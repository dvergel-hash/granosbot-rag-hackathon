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xl/tables/table4.xml" ContentType="application/vnd.openxmlformats-officedocument.spreadsheetml.table+xml"/>
  <Override PartName="/xl/queryTables/queryTable3.xml" ContentType="application/vnd.openxmlformats-officedocument.spreadsheetml.queryTable+xml"/>
  <Override PartName="/xl/tables/table5.xml" ContentType="application/vnd.openxmlformats-officedocument.spreadsheetml.table+xml"/>
  <Override PartName="/xl/queryTables/queryTable4.xml" ContentType="application/vnd.openxmlformats-officedocument.spreadsheetml.queryTable+xml"/>
  <Override PartName="/xl/tables/table6.xml" ContentType="application/vnd.openxmlformats-officedocument.spreadsheetml.table+xml"/>
  <Override PartName="/xl/queryTables/queryTable5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\\intranet.fyo.com\Archivos\GRANOS\Tesoreria\Grupo Tesoreria\Finanzas\11. FYO CAPITAL\Monitor liquidez\"/>
    </mc:Choice>
  </mc:AlternateContent>
  <xr:revisionPtr revIDLastSave="0" documentId="13_ncr:1_{3FCC7185-F904-48A3-8C55-40535803D081}" xr6:coauthVersionLast="47" xr6:coauthVersionMax="47" xr10:uidLastSave="{00000000-0000-0000-0000-000000000000}"/>
  <bookViews>
    <workbookView xWindow="-108" yWindow="-108" windowWidth="23256" windowHeight="12456" tabRatio="854" xr2:uid="{088A9492-3C98-4457-9E4D-46193887FD37}"/>
  </bookViews>
  <sheets>
    <sheet name="Monitor global" sheetId="2" r:id="rId1"/>
    <sheet name="Cartera clientes" sheetId="1" r:id="rId2"/>
    <sheet name="Stress test RJO" sheetId="4" r:id="rId3"/>
    <sheet name="Tabla" sheetId="14" r:id="rId4"/>
    <sheet name="CC NUEVA" sheetId="12" r:id="rId5"/>
    <sheet name="CC vb" sheetId="6" r:id="rId6"/>
    <sheet name="Clientes CBOT" sheetId="3" r:id="rId7"/>
    <sheet name="Conversor" sheetId="7" r:id="rId8"/>
    <sheet name="Listado clientes" sheetId="8" state="hidden" r:id="rId9"/>
    <sheet name="Saldo CC" sheetId="13" r:id="rId10"/>
    <sheet name="Colocaciones base" sheetId="10" r:id="rId11"/>
    <sheet name="Fact_SaldosMonetarios_FyoCapita" sheetId="23" r:id="rId12"/>
    <sheet name="Fact_AUM_FyoCapital" sheetId="17" r:id="rId13"/>
    <sheet name="clientes SQL" sheetId="19" r:id="rId14"/>
    <sheet name="Statement base" sheetId="11" r:id="rId15"/>
  </sheets>
  <definedNames>
    <definedName name="_xlnm._FilterDatabase" localSheetId="1" hidden="1">'Cartera clientes'!$E$2:$E$51</definedName>
    <definedName name="_xlnm._FilterDatabase" localSheetId="4" hidden="1">'CC NUEVA'!$A$3:$N$1084</definedName>
    <definedName name="_xlnm._FilterDatabase" localSheetId="5" hidden="1">'CC vb'!$A$3:$N$1299</definedName>
    <definedName name="_xlnm._FilterDatabase" localSheetId="13" hidden="1">'clientes SQL'!$A$1:$D$403</definedName>
    <definedName name="_xlnm._FilterDatabase" localSheetId="8" hidden="1">'Listado clientes'!$A$1:$C$1002</definedName>
    <definedName name="_xlnm._FilterDatabase" localSheetId="2" hidden="1">'Stress test RJO'!$A$2:$AA$14</definedName>
    <definedName name="DatosExternos_1" localSheetId="10" hidden="1">'Colocaciones base'!$A$1:$AZ$52</definedName>
    <definedName name="DatosExternos_1" localSheetId="9" hidden="1">'Saldo CC'!$A$1:$H$1279</definedName>
    <definedName name="DatosExternos_2" localSheetId="12" hidden="1">Fact_AUM_FyoCapital!$A$1:$K$2132</definedName>
    <definedName name="DatosExternos_2" localSheetId="14" hidden="1">'Statement base'!$A$1:$AP$112</definedName>
    <definedName name="DatosExternos_3" localSheetId="11" hidden="1">Fact_SaldosMonetarios_FyoCapita!$A$1:$L$577</definedName>
  </definedNames>
  <calcPr calcId="191029"/>
  <pivotCaches>
    <pivotCache cacheId="76" r:id="rId16"/>
    <pivotCache cacheId="80" r:id="rId17"/>
    <pivotCache cacheId="88" r:id="rId1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" i="17" l="1"/>
  <c r="L3" i="17"/>
  <c r="L4" i="17"/>
  <c r="L5" i="17"/>
  <c r="L6" i="17"/>
  <c r="L7" i="17"/>
  <c r="L8" i="17"/>
  <c r="L9" i="17"/>
  <c r="L10" i="17"/>
  <c r="L11" i="17"/>
  <c r="L12" i="17"/>
  <c r="L13" i="17"/>
  <c r="L14" i="17"/>
  <c r="L15" i="17"/>
  <c r="L16" i="17"/>
  <c r="L17" i="17"/>
  <c r="L18" i="17"/>
  <c r="L19" i="17"/>
  <c r="L20" i="17"/>
  <c r="L21" i="17"/>
  <c r="L22" i="17"/>
  <c r="L23" i="17"/>
  <c r="L24" i="17"/>
  <c r="L25" i="17"/>
  <c r="L26" i="17"/>
  <c r="L27" i="17"/>
  <c r="L28" i="17"/>
  <c r="L29" i="17"/>
  <c r="L30" i="17"/>
  <c r="L31" i="17"/>
  <c r="L32" i="17"/>
  <c r="L33" i="17"/>
  <c r="L34" i="17"/>
  <c r="L35" i="17"/>
  <c r="L36" i="17"/>
  <c r="L37" i="17"/>
  <c r="L38" i="17"/>
  <c r="L39" i="17"/>
  <c r="L40" i="17"/>
  <c r="L41" i="17"/>
  <c r="L42" i="17"/>
  <c r="L43" i="17"/>
  <c r="L44" i="17"/>
  <c r="L45" i="17"/>
  <c r="L46" i="17"/>
  <c r="L47" i="17"/>
  <c r="L48" i="17"/>
  <c r="L49" i="17"/>
  <c r="L50" i="17"/>
  <c r="L51" i="17"/>
  <c r="L52" i="17"/>
  <c r="L53" i="17"/>
  <c r="L54" i="17"/>
  <c r="L55" i="17"/>
  <c r="L56" i="17"/>
  <c r="L57" i="17"/>
  <c r="L58" i="17"/>
  <c r="L59" i="17"/>
  <c r="L60" i="17"/>
  <c r="L61" i="17"/>
  <c r="L62" i="17"/>
  <c r="L63" i="17"/>
  <c r="L64" i="17"/>
  <c r="L65" i="17"/>
  <c r="L66" i="17"/>
  <c r="L67" i="17"/>
  <c r="L68" i="17"/>
  <c r="L69" i="17"/>
  <c r="L70" i="17"/>
  <c r="L71" i="17"/>
  <c r="L72" i="17"/>
  <c r="L73" i="17"/>
  <c r="L74" i="17"/>
  <c r="L75" i="17"/>
  <c r="L76" i="17"/>
  <c r="L77" i="17"/>
  <c r="L78" i="17"/>
  <c r="L79" i="17"/>
  <c r="L80" i="17"/>
  <c r="L81" i="17"/>
  <c r="L82" i="17"/>
  <c r="L83" i="17"/>
  <c r="L84" i="17"/>
  <c r="L85" i="17"/>
  <c r="L86" i="17"/>
  <c r="L87" i="17"/>
  <c r="L88" i="17"/>
  <c r="L89" i="17"/>
  <c r="L90" i="17"/>
  <c r="L91" i="17"/>
  <c r="L92" i="17"/>
  <c r="L93" i="17"/>
  <c r="L94" i="17"/>
  <c r="L95" i="17"/>
  <c r="L96" i="17"/>
  <c r="L97" i="17"/>
  <c r="L98" i="17"/>
  <c r="L99" i="17"/>
  <c r="L100" i="17"/>
  <c r="L101" i="17"/>
  <c r="L102" i="17"/>
  <c r="L103" i="17"/>
  <c r="L104" i="17"/>
  <c r="L105" i="17"/>
  <c r="L106" i="17"/>
  <c r="L107" i="17"/>
  <c r="L108" i="17"/>
  <c r="L109" i="17"/>
  <c r="L110" i="17"/>
  <c r="L111" i="17"/>
  <c r="L112" i="17"/>
  <c r="L113" i="17"/>
  <c r="L114" i="17"/>
  <c r="L115" i="17"/>
  <c r="L116" i="17"/>
  <c r="L117" i="17"/>
  <c r="L118" i="17"/>
  <c r="L119" i="17"/>
  <c r="L120" i="17"/>
  <c r="L121" i="17"/>
  <c r="L122" i="17"/>
  <c r="L123" i="17"/>
  <c r="L124" i="17"/>
  <c r="L125" i="17"/>
  <c r="L126" i="17"/>
  <c r="L127" i="17"/>
  <c r="L128" i="17"/>
  <c r="L129" i="17"/>
  <c r="L130" i="17"/>
  <c r="L131" i="17"/>
  <c r="L132" i="17"/>
  <c r="L133" i="17"/>
  <c r="L134" i="17"/>
  <c r="L135" i="17"/>
  <c r="L136" i="17"/>
  <c r="L137" i="17"/>
  <c r="L138" i="17"/>
  <c r="L139" i="17"/>
  <c r="L140" i="17"/>
  <c r="L141" i="17"/>
  <c r="L142" i="17"/>
  <c r="L143" i="17"/>
  <c r="L144" i="17"/>
  <c r="L145" i="17"/>
  <c r="L146" i="17"/>
  <c r="L147" i="17"/>
  <c r="L148" i="17"/>
  <c r="L149" i="17"/>
  <c r="L150" i="17"/>
  <c r="L151" i="17"/>
  <c r="L152" i="17"/>
  <c r="L153" i="17"/>
  <c r="L154" i="17"/>
  <c r="L155" i="17"/>
  <c r="L156" i="17"/>
  <c r="L157" i="17"/>
  <c r="L158" i="17"/>
  <c r="L159" i="17"/>
  <c r="L160" i="17"/>
  <c r="L161" i="17"/>
  <c r="L162" i="17"/>
  <c r="L163" i="17"/>
  <c r="L164" i="17"/>
  <c r="L165" i="17"/>
  <c r="L166" i="17"/>
  <c r="L167" i="17"/>
  <c r="L168" i="17"/>
  <c r="L169" i="17"/>
  <c r="L170" i="17"/>
  <c r="L171" i="17"/>
  <c r="L172" i="17"/>
  <c r="L173" i="17"/>
  <c r="L174" i="17"/>
  <c r="L175" i="17"/>
  <c r="L176" i="17"/>
  <c r="L177" i="17"/>
  <c r="L178" i="17"/>
  <c r="L179" i="17"/>
  <c r="L180" i="17"/>
  <c r="L181" i="17"/>
  <c r="L182" i="17"/>
  <c r="L183" i="17"/>
  <c r="L184" i="17"/>
  <c r="L185" i="17"/>
  <c r="L186" i="17"/>
  <c r="L187" i="17"/>
  <c r="L188" i="17"/>
  <c r="L189" i="17"/>
  <c r="L190" i="17"/>
  <c r="L191" i="17"/>
  <c r="L192" i="17"/>
  <c r="L193" i="17"/>
  <c r="L194" i="17"/>
  <c r="L195" i="17"/>
  <c r="L196" i="17"/>
  <c r="L197" i="17"/>
  <c r="L198" i="17"/>
  <c r="L199" i="17"/>
  <c r="L200" i="17"/>
  <c r="L201" i="17"/>
  <c r="L202" i="17"/>
  <c r="L203" i="17"/>
  <c r="L204" i="17"/>
  <c r="L205" i="17"/>
  <c r="L206" i="17"/>
  <c r="L207" i="17"/>
  <c r="L208" i="17"/>
  <c r="L209" i="17"/>
  <c r="L210" i="17"/>
  <c r="L211" i="17"/>
  <c r="L212" i="17"/>
  <c r="L213" i="17"/>
  <c r="L214" i="17"/>
  <c r="L215" i="17"/>
  <c r="L216" i="17"/>
  <c r="L217" i="17"/>
  <c r="L218" i="17"/>
  <c r="L219" i="17"/>
  <c r="L220" i="17"/>
  <c r="L221" i="17"/>
  <c r="L222" i="17"/>
  <c r="L223" i="17"/>
  <c r="L224" i="17"/>
  <c r="L225" i="17"/>
  <c r="L226" i="17"/>
  <c r="L227" i="17"/>
  <c r="L228" i="17"/>
  <c r="L229" i="17"/>
  <c r="L230" i="17"/>
  <c r="L231" i="17"/>
  <c r="L232" i="17"/>
  <c r="L233" i="17"/>
  <c r="L234" i="17"/>
  <c r="L235" i="17"/>
  <c r="L236" i="17"/>
  <c r="L237" i="17"/>
  <c r="L238" i="17"/>
  <c r="L239" i="17"/>
  <c r="L240" i="17"/>
  <c r="L241" i="17"/>
  <c r="L242" i="17"/>
  <c r="L243" i="17"/>
  <c r="L244" i="17"/>
  <c r="L245" i="17"/>
  <c r="L246" i="17"/>
  <c r="L247" i="17"/>
  <c r="L248" i="17"/>
  <c r="L249" i="17"/>
  <c r="L250" i="17"/>
  <c r="L251" i="17"/>
  <c r="L252" i="17"/>
  <c r="L253" i="17"/>
  <c r="L254" i="17"/>
  <c r="L255" i="17"/>
  <c r="L256" i="17"/>
  <c r="L257" i="17"/>
  <c r="L258" i="17"/>
  <c r="L259" i="17"/>
  <c r="L260" i="17"/>
  <c r="L261" i="17"/>
  <c r="L262" i="17"/>
  <c r="L263" i="17"/>
  <c r="L264" i="17"/>
  <c r="L265" i="17"/>
  <c r="L266" i="17"/>
  <c r="L267" i="17"/>
  <c r="L268" i="17"/>
  <c r="L269" i="17"/>
  <c r="L270" i="17"/>
  <c r="L271" i="17"/>
  <c r="L272" i="17"/>
  <c r="L273" i="17"/>
  <c r="L274" i="17"/>
  <c r="L275" i="17"/>
  <c r="L276" i="17"/>
  <c r="L277" i="17"/>
  <c r="L278" i="17"/>
  <c r="L279" i="17"/>
  <c r="L280" i="17"/>
  <c r="L281" i="17"/>
  <c r="L282" i="17"/>
  <c r="L283" i="17"/>
  <c r="L284" i="17"/>
  <c r="L285" i="17"/>
  <c r="L286" i="17"/>
  <c r="L287" i="17"/>
  <c r="L288" i="17"/>
  <c r="L289" i="17"/>
  <c r="L290" i="17"/>
  <c r="L291" i="17"/>
  <c r="L292" i="17"/>
  <c r="L293" i="17"/>
  <c r="L294" i="17"/>
  <c r="L295" i="17"/>
  <c r="L296" i="17"/>
  <c r="L297" i="17"/>
  <c r="L298" i="17"/>
  <c r="L299" i="17"/>
  <c r="L300" i="17"/>
  <c r="L301" i="17"/>
  <c r="L302" i="17"/>
  <c r="L303" i="17"/>
  <c r="L304" i="17"/>
  <c r="L305" i="17"/>
  <c r="L306" i="17"/>
  <c r="L307" i="17"/>
  <c r="L308" i="17"/>
  <c r="L309" i="17"/>
  <c r="L310" i="17"/>
  <c r="L311" i="17"/>
  <c r="L312" i="17"/>
  <c r="L313" i="17"/>
  <c r="L314" i="17"/>
  <c r="L315" i="17"/>
  <c r="L316" i="17"/>
  <c r="L317" i="17"/>
  <c r="L318" i="17"/>
  <c r="L319" i="17"/>
  <c r="L320" i="17"/>
  <c r="L321" i="17"/>
  <c r="L322" i="17"/>
  <c r="L323" i="17"/>
  <c r="L324" i="17"/>
  <c r="L325" i="17"/>
  <c r="L326" i="17"/>
  <c r="L327" i="17"/>
  <c r="L328" i="17"/>
  <c r="L329" i="17"/>
  <c r="L330" i="17"/>
  <c r="L331" i="17"/>
  <c r="L332" i="17"/>
  <c r="L333" i="17"/>
  <c r="L334" i="17"/>
  <c r="L335" i="17"/>
  <c r="L336" i="17"/>
  <c r="L337" i="17"/>
  <c r="L338" i="17"/>
  <c r="L339" i="17"/>
  <c r="L340" i="17"/>
  <c r="L341" i="17"/>
  <c r="L342" i="17"/>
  <c r="L343" i="17"/>
  <c r="L344" i="17"/>
  <c r="L345" i="17"/>
  <c r="L346" i="17"/>
  <c r="L347" i="17"/>
  <c r="L348" i="17"/>
  <c r="L349" i="17"/>
  <c r="L350" i="17"/>
  <c r="L351" i="17"/>
  <c r="L352" i="17"/>
  <c r="L353" i="17"/>
  <c r="L354" i="17"/>
  <c r="L355" i="17"/>
  <c r="L356" i="17"/>
  <c r="L357" i="17"/>
  <c r="L358" i="17"/>
  <c r="L359" i="17"/>
  <c r="L360" i="17"/>
  <c r="L361" i="17"/>
  <c r="L362" i="17"/>
  <c r="L363" i="17"/>
  <c r="L364" i="17"/>
  <c r="L365" i="17"/>
  <c r="L366" i="17"/>
  <c r="L367" i="17"/>
  <c r="L368" i="17"/>
  <c r="L369" i="17"/>
  <c r="L370" i="17"/>
  <c r="L371" i="17"/>
  <c r="L372" i="17"/>
  <c r="L373" i="17"/>
  <c r="L374" i="17"/>
  <c r="L375" i="17"/>
  <c r="L376" i="17"/>
  <c r="L377" i="17"/>
  <c r="L378" i="17"/>
  <c r="L379" i="17"/>
  <c r="L380" i="17"/>
  <c r="L381" i="17"/>
  <c r="L382" i="17"/>
  <c r="L383" i="17"/>
  <c r="L384" i="17"/>
  <c r="L385" i="17"/>
  <c r="L386" i="17"/>
  <c r="L387" i="17"/>
  <c r="L388" i="17"/>
  <c r="L389" i="17"/>
  <c r="L390" i="17"/>
  <c r="L391" i="17"/>
  <c r="L392" i="17"/>
  <c r="L393" i="17"/>
  <c r="L394" i="17"/>
  <c r="L395" i="17"/>
  <c r="L396" i="17"/>
  <c r="L397" i="17"/>
  <c r="L398" i="17"/>
  <c r="L399" i="17"/>
  <c r="L400" i="17"/>
  <c r="L401" i="17"/>
  <c r="L402" i="17"/>
  <c r="L403" i="17"/>
  <c r="L404" i="17"/>
  <c r="L405" i="17"/>
  <c r="L406" i="17"/>
  <c r="L407" i="17"/>
  <c r="L408" i="17"/>
  <c r="L409" i="17"/>
  <c r="L410" i="17"/>
  <c r="L411" i="17"/>
  <c r="L412" i="17"/>
  <c r="L413" i="17"/>
  <c r="L414" i="17"/>
  <c r="L415" i="17"/>
  <c r="L416" i="17"/>
  <c r="L417" i="17"/>
  <c r="L418" i="17"/>
  <c r="L419" i="17"/>
  <c r="L420" i="17"/>
  <c r="L421" i="17"/>
  <c r="L422" i="17"/>
  <c r="L423" i="17"/>
  <c r="L424" i="17"/>
  <c r="L425" i="17"/>
  <c r="L426" i="17"/>
  <c r="L427" i="17"/>
  <c r="L428" i="17"/>
  <c r="L429" i="17"/>
  <c r="L430" i="17"/>
  <c r="L431" i="17"/>
  <c r="L432" i="17"/>
  <c r="L433" i="17"/>
  <c r="L434" i="17"/>
  <c r="L435" i="17"/>
  <c r="L436" i="17"/>
  <c r="L437" i="17"/>
  <c r="L438" i="17"/>
  <c r="L439" i="17"/>
  <c r="L440" i="17"/>
  <c r="L441" i="17"/>
  <c r="L442" i="17"/>
  <c r="L443" i="17"/>
  <c r="L444" i="17"/>
  <c r="L445" i="17"/>
  <c r="L446" i="17"/>
  <c r="L447" i="17"/>
  <c r="L448" i="17"/>
  <c r="L449" i="17"/>
  <c r="L450" i="17"/>
  <c r="L451" i="17"/>
  <c r="L452" i="17"/>
  <c r="L453" i="17"/>
  <c r="L454" i="17"/>
  <c r="L455" i="17"/>
  <c r="L456" i="17"/>
  <c r="L457" i="17"/>
  <c r="L458" i="17"/>
  <c r="L459" i="17"/>
  <c r="L460" i="17"/>
  <c r="L461" i="17"/>
  <c r="L462" i="17"/>
  <c r="L463" i="17"/>
  <c r="L464" i="17"/>
  <c r="L465" i="17"/>
  <c r="L466" i="17"/>
  <c r="L467" i="17"/>
  <c r="L468" i="17"/>
  <c r="L469" i="17"/>
  <c r="L470" i="17"/>
  <c r="L471" i="17"/>
  <c r="L472" i="17"/>
  <c r="L473" i="17"/>
  <c r="L474" i="17"/>
  <c r="L475" i="17"/>
  <c r="L476" i="17"/>
  <c r="L477" i="17"/>
  <c r="L478" i="17"/>
  <c r="L479" i="17"/>
  <c r="L480" i="17"/>
  <c r="L481" i="17"/>
  <c r="L482" i="17"/>
  <c r="L483" i="17"/>
  <c r="L484" i="17"/>
  <c r="L485" i="17"/>
  <c r="L486" i="17"/>
  <c r="L487" i="17"/>
  <c r="L488" i="17"/>
  <c r="L489" i="17"/>
  <c r="L490" i="17"/>
  <c r="L491" i="17"/>
  <c r="L492" i="17"/>
  <c r="L493" i="17"/>
  <c r="L494" i="17"/>
  <c r="L495" i="17"/>
  <c r="L496" i="17"/>
  <c r="L497" i="17"/>
  <c r="L498" i="17"/>
  <c r="L499" i="17"/>
  <c r="L500" i="17"/>
  <c r="L501" i="17"/>
  <c r="L502" i="17"/>
  <c r="L503" i="17"/>
  <c r="L504" i="17"/>
  <c r="L505" i="17"/>
  <c r="L506" i="17"/>
  <c r="L507" i="17"/>
  <c r="L508" i="17"/>
  <c r="L509" i="17"/>
  <c r="L510" i="17"/>
  <c r="L511" i="17"/>
  <c r="L512" i="17"/>
  <c r="L513" i="17"/>
  <c r="L514" i="17"/>
  <c r="L515" i="17"/>
  <c r="L516" i="17"/>
  <c r="L517" i="17"/>
  <c r="L518" i="17"/>
  <c r="L519" i="17"/>
  <c r="L520" i="17"/>
  <c r="L521" i="17"/>
  <c r="L522" i="17"/>
  <c r="L523" i="17"/>
  <c r="L524" i="17"/>
  <c r="L525" i="17"/>
  <c r="L526" i="17"/>
  <c r="L527" i="17"/>
  <c r="L528" i="17"/>
  <c r="L529" i="17"/>
  <c r="L530" i="17"/>
  <c r="L531" i="17"/>
  <c r="L532" i="17"/>
  <c r="L533" i="17"/>
  <c r="L534" i="17"/>
  <c r="L535" i="17"/>
  <c r="L536" i="17"/>
  <c r="L537" i="17"/>
  <c r="L538" i="17"/>
  <c r="L539" i="17"/>
  <c r="L540" i="17"/>
  <c r="L541" i="17"/>
  <c r="L542" i="17"/>
  <c r="L543" i="17"/>
  <c r="L544" i="17"/>
  <c r="L545" i="17"/>
  <c r="L546" i="17"/>
  <c r="L547" i="17"/>
  <c r="L548" i="17"/>
  <c r="L549" i="17"/>
  <c r="L550" i="17"/>
  <c r="L551" i="17"/>
  <c r="L552" i="17"/>
  <c r="L553" i="17"/>
  <c r="L554" i="17"/>
  <c r="L555" i="17"/>
  <c r="L556" i="17"/>
  <c r="L557" i="17"/>
  <c r="L558" i="17"/>
  <c r="L559" i="17"/>
  <c r="L560" i="17"/>
  <c r="L561" i="17"/>
  <c r="L562" i="17"/>
  <c r="L563" i="17"/>
  <c r="L564" i="17"/>
  <c r="L565" i="17"/>
  <c r="L566" i="17"/>
  <c r="L567" i="17"/>
  <c r="L568" i="17"/>
  <c r="L569" i="17"/>
  <c r="L570" i="17"/>
  <c r="L571" i="17"/>
  <c r="L572" i="17"/>
  <c r="L573" i="17"/>
  <c r="L574" i="17"/>
  <c r="L575" i="17"/>
  <c r="L576" i="17"/>
  <c r="L577" i="17"/>
  <c r="L578" i="17"/>
  <c r="L579" i="17"/>
  <c r="L580" i="17"/>
  <c r="L581" i="17"/>
  <c r="L582" i="17"/>
  <c r="L583" i="17"/>
  <c r="L584" i="17"/>
  <c r="L585" i="17"/>
  <c r="L586" i="17"/>
  <c r="L587" i="17"/>
  <c r="L588" i="17"/>
  <c r="L589" i="17"/>
  <c r="L590" i="17"/>
  <c r="L591" i="17"/>
  <c r="L592" i="17"/>
  <c r="L593" i="17"/>
  <c r="L594" i="17"/>
  <c r="L595" i="17"/>
  <c r="L596" i="17"/>
  <c r="L597" i="17"/>
  <c r="L598" i="17"/>
  <c r="L599" i="17"/>
  <c r="L600" i="17"/>
  <c r="L601" i="17"/>
  <c r="L602" i="17"/>
  <c r="L603" i="17"/>
  <c r="L604" i="17"/>
  <c r="L605" i="17"/>
  <c r="L606" i="17"/>
  <c r="L607" i="17"/>
  <c r="L608" i="17"/>
  <c r="L609" i="17"/>
  <c r="L610" i="17"/>
  <c r="L611" i="17"/>
  <c r="L612" i="17"/>
  <c r="L613" i="17"/>
  <c r="L614" i="17"/>
  <c r="L615" i="17"/>
  <c r="L616" i="17"/>
  <c r="L617" i="17"/>
  <c r="L618" i="17"/>
  <c r="L619" i="17"/>
  <c r="L620" i="17"/>
  <c r="L621" i="17"/>
  <c r="L622" i="17"/>
  <c r="L623" i="17"/>
  <c r="L624" i="17"/>
  <c r="L625" i="17"/>
  <c r="L626" i="17"/>
  <c r="L627" i="17"/>
  <c r="L628" i="17"/>
  <c r="L629" i="17"/>
  <c r="L630" i="17"/>
  <c r="L631" i="17"/>
  <c r="L632" i="17"/>
  <c r="L633" i="17"/>
  <c r="L634" i="17"/>
  <c r="L635" i="17"/>
  <c r="L636" i="17"/>
  <c r="L637" i="17"/>
  <c r="L638" i="17"/>
  <c r="L639" i="17"/>
  <c r="L640" i="17"/>
  <c r="L641" i="17"/>
  <c r="L642" i="17"/>
  <c r="L643" i="17"/>
  <c r="L644" i="17"/>
  <c r="L645" i="17"/>
  <c r="L646" i="17"/>
  <c r="L647" i="17"/>
  <c r="L648" i="17"/>
  <c r="L649" i="17"/>
  <c r="L650" i="17"/>
  <c r="L651" i="17"/>
  <c r="L652" i="17"/>
  <c r="L653" i="17"/>
  <c r="L654" i="17"/>
  <c r="L655" i="17"/>
  <c r="L656" i="17"/>
  <c r="L657" i="17"/>
  <c r="L658" i="17"/>
  <c r="L659" i="17"/>
  <c r="L660" i="17"/>
  <c r="L661" i="17"/>
  <c r="L662" i="17"/>
  <c r="L663" i="17"/>
  <c r="L664" i="17"/>
  <c r="L665" i="17"/>
  <c r="L666" i="17"/>
  <c r="L667" i="17"/>
  <c r="L668" i="17"/>
  <c r="L669" i="17"/>
  <c r="L670" i="17"/>
  <c r="L671" i="17"/>
  <c r="L672" i="17"/>
  <c r="L673" i="17"/>
  <c r="L674" i="17"/>
  <c r="L675" i="17"/>
  <c r="L676" i="17"/>
  <c r="L677" i="17"/>
  <c r="L678" i="17"/>
  <c r="L679" i="17"/>
  <c r="L680" i="17"/>
  <c r="L681" i="17"/>
  <c r="L682" i="17"/>
  <c r="L683" i="17"/>
  <c r="L684" i="17"/>
  <c r="L685" i="17"/>
  <c r="L686" i="17"/>
  <c r="L687" i="17"/>
  <c r="L688" i="17"/>
  <c r="L689" i="17"/>
  <c r="L690" i="17"/>
  <c r="L691" i="17"/>
  <c r="L692" i="17"/>
  <c r="L693" i="17"/>
  <c r="L694" i="17"/>
  <c r="L695" i="17"/>
  <c r="L696" i="17"/>
  <c r="L697" i="17"/>
  <c r="L698" i="17"/>
  <c r="L699" i="17"/>
  <c r="L700" i="17"/>
  <c r="L701" i="17"/>
  <c r="L702" i="17"/>
  <c r="L703" i="17"/>
  <c r="L704" i="17"/>
  <c r="L705" i="17"/>
  <c r="L706" i="17"/>
  <c r="L707" i="17"/>
  <c r="L708" i="17"/>
  <c r="L709" i="17"/>
  <c r="L710" i="17"/>
  <c r="L711" i="17"/>
  <c r="L712" i="17"/>
  <c r="L713" i="17"/>
  <c r="L714" i="17"/>
  <c r="L715" i="17"/>
  <c r="L716" i="17"/>
  <c r="L717" i="17"/>
  <c r="L718" i="17"/>
  <c r="L719" i="17"/>
  <c r="L720" i="17"/>
  <c r="L721" i="17"/>
  <c r="L722" i="17"/>
  <c r="L723" i="17"/>
  <c r="L724" i="17"/>
  <c r="L725" i="17"/>
  <c r="L726" i="17"/>
  <c r="L727" i="17"/>
  <c r="L728" i="17"/>
  <c r="L729" i="17"/>
  <c r="L730" i="17"/>
  <c r="L731" i="17"/>
  <c r="L732" i="17"/>
  <c r="L733" i="17"/>
  <c r="L734" i="17"/>
  <c r="L735" i="17"/>
  <c r="L736" i="17"/>
  <c r="L737" i="17"/>
  <c r="L738" i="17"/>
  <c r="L739" i="17"/>
  <c r="L740" i="17"/>
  <c r="L741" i="17"/>
  <c r="L742" i="17"/>
  <c r="L743" i="17"/>
  <c r="L744" i="17"/>
  <c r="L745" i="17"/>
  <c r="L746" i="17"/>
  <c r="L747" i="17"/>
  <c r="L748" i="17"/>
  <c r="L749" i="17"/>
  <c r="L750" i="17"/>
  <c r="L751" i="17"/>
  <c r="L752" i="17"/>
  <c r="L753" i="17"/>
  <c r="L754" i="17"/>
  <c r="L755" i="17"/>
  <c r="L756" i="17"/>
  <c r="L757" i="17"/>
  <c r="L758" i="17"/>
  <c r="L759" i="17"/>
  <c r="L760" i="17"/>
  <c r="L761" i="17"/>
  <c r="L762" i="17"/>
  <c r="L763" i="17"/>
  <c r="L764" i="17"/>
  <c r="L765" i="17"/>
  <c r="L766" i="17"/>
  <c r="L767" i="17"/>
  <c r="L768" i="17"/>
  <c r="L769" i="17"/>
  <c r="L770" i="17"/>
  <c r="L771" i="17"/>
  <c r="L772" i="17"/>
  <c r="L773" i="17"/>
  <c r="L774" i="17"/>
  <c r="L775" i="17"/>
  <c r="L776" i="17"/>
  <c r="L777" i="17"/>
  <c r="L778" i="17"/>
  <c r="L779" i="17"/>
  <c r="L780" i="17"/>
  <c r="L781" i="17"/>
  <c r="L782" i="17"/>
  <c r="L783" i="17"/>
  <c r="L784" i="17"/>
  <c r="L785" i="17"/>
  <c r="L786" i="17"/>
  <c r="L787" i="17"/>
  <c r="L788" i="17"/>
  <c r="L789" i="17"/>
  <c r="L790" i="17"/>
  <c r="L791" i="17"/>
  <c r="L792" i="17"/>
  <c r="L793" i="17"/>
  <c r="L794" i="17"/>
  <c r="L795" i="17"/>
  <c r="L796" i="17"/>
  <c r="L797" i="17"/>
  <c r="L798" i="17"/>
  <c r="L799" i="17"/>
  <c r="L800" i="17"/>
  <c r="L801" i="17"/>
  <c r="L802" i="17"/>
  <c r="L803" i="17"/>
  <c r="L804" i="17"/>
  <c r="L805" i="17"/>
  <c r="L806" i="17"/>
  <c r="L807" i="17"/>
  <c r="L808" i="17"/>
  <c r="L809" i="17"/>
  <c r="L810" i="17"/>
  <c r="L811" i="17"/>
  <c r="L812" i="17"/>
  <c r="L813" i="17"/>
  <c r="L814" i="17"/>
  <c r="L815" i="17"/>
  <c r="L816" i="17"/>
  <c r="L817" i="17"/>
  <c r="L818" i="17"/>
  <c r="L819" i="17"/>
  <c r="L820" i="17"/>
  <c r="L821" i="17"/>
  <c r="L822" i="17"/>
  <c r="L823" i="17"/>
  <c r="L824" i="17"/>
  <c r="L825" i="17"/>
  <c r="L826" i="17"/>
  <c r="L827" i="17"/>
  <c r="L828" i="17"/>
  <c r="L829" i="17"/>
  <c r="L830" i="17"/>
  <c r="L831" i="17"/>
  <c r="L832" i="17"/>
  <c r="L833" i="17"/>
  <c r="L834" i="17"/>
  <c r="L835" i="17"/>
  <c r="L836" i="17"/>
  <c r="L837" i="17"/>
  <c r="L838" i="17"/>
  <c r="L839" i="17"/>
  <c r="L840" i="17"/>
  <c r="L841" i="17"/>
  <c r="L842" i="17"/>
  <c r="L843" i="17"/>
  <c r="L844" i="17"/>
  <c r="L845" i="17"/>
  <c r="L846" i="17"/>
  <c r="L847" i="17"/>
  <c r="L848" i="17"/>
  <c r="L849" i="17"/>
  <c r="L850" i="17"/>
  <c r="L851" i="17"/>
  <c r="L852" i="17"/>
  <c r="L853" i="17"/>
  <c r="L854" i="17"/>
  <c r="L855" i="17"/>
  <c r="L856" i="17"/>
  <c r="L857" i="17"/>
  <c r="L858" i="17"/>
  <c r="L859" i="17"/>
  <c r="L860" i="17"/>
  <c r="L861" i="17"/>
  <c r="L862" i="17"/>
  <c r="L863" i="17"/>
  <c r="L864" i="17"/>
  <c r="L865" i="17"/>
  <c r="L866" i="17"/>
  <c r="L867" i="17"/>
  <c r="L868" i="17"/>
  <c r="L869" i="17"/>
  <c r="L870" i="17"/>
  <c r="L871" i="17"/>
  <c r="L872" i="17"/>
  <c r="L873" i="17"/>
  <c r="L874" i="17"/>
  <c r="L875" i="17"/>
  <c r="L876" i="17"/>
  <c r="L877" i="17"/>
  <c r="L878" i="17"/>
  <c r="L879" i="17"/>
  <c r="L880" i="17"/>
  <c r="L881" i="17"/>
  <c r="L882" i="17"/>
  <c r="L883" i="17"/>
  <c r="L884" i="17"/>
  <c r="L885" i="17"/>
  <c r="L886" i="17"/>
  <c r="L887" i="17"/>
  <c r="L888" i="17"/>
  <c r="L889" i="17"/>
  <c r="L890" i="17"/>
  <c r="L891" i="17"/>
  <c r="L892" i="17"/>
  <c r="L893" i="17"/>
  <c r="L894" i="17"/>
  <c r="L895" i="17"/>
  <c r="L896" i="17"/>
  <c r="L897" i="17"/>
  <c r="L898" i="17"/>
  <c r="L899" i="17"/>
  <c r="L900" i="17"/>
  <c r="L901" i="17"/>
  <c r="L902" i="17"/>
  <c r="L903" i="17"/>
  <c r="L904" i="17"/>
  <c r="L905" i="17"/>
  <c r="L906" i="17"/>
  <c r="L907" i="17"/>
  <c r="L908" i="17"/>
  <c r="L909" i="17"/>
  <c r="L910" i="17"/>
  <c r="L911" i="17"/>
  <c r="L912" i="17"/>
  <c r="L913" i="17"/>
  <c r="L914" i="17"/>
  <c r="L915" i="17"/>
  <c r="L916" i="17"/>
  <c r="L917" i="17"/>
  <c r="L918" i="17"/>
  <c r="L919" i="17"/>
  <c r="L920" i="17"/>
  <c r="L921" i="17"/>
  <c r="L922" i="17"/>
  <c r="L923" i="17"/>
  <c r="L924" i="17"/>
  <c r="L925" i="17"/>
  <c r="L926" i="17"/>
  <c r="L927" i="17"/>
  <c r="L928" i="17"/>
  <c r="L929" i="17"/>
  <c r="L930" i="17"/>
  <c r="L931" i="17"/>
  <c r="L932" i="17"/>
  <c r="L933" i="17"/>
  <c r="L934" i="17"/>
  <c r="L935" i="17"/>
  <c r="L936" i="17"/>
  <c r="L937" i="17"/>
  <c r="L938" i="17"/>
  <c r="L939" i="17"/>
  <c r="L940" i="17"/>
  <c r="L941" i="17"/>
  <c r="L942" i="17"/>
  <c r="L943" i="17"/>
  <c r="L944" i="17"/>
  <c r="L945" i="17"/>
  <c r="L946" i="17"/>
  <c r="L947" i="17"/>
  <c r="L948" i="17"/>
  <c r="L949" i="17"/>
  <c r="L950" i="17"/>
  <c r="L951" i="17"/>
  <c r="L952" i="17"/>
  <c r="L953" i="17"/>
  <c r="L954" i="17"/>
  <c r="L955" i="17"/>
  <c r="L956" i="17"/>
  <c r="L957" i="17"/>
  <c r="L958" i="17"/>
  <c r="L959" i="17"/>
  <c r="L960" i="17"/>
  <c r="L961" i="17"/>
  <c r="L962" i="17"/>
  <c r="L963" i="17"/>
  <c r="L964" i="17"/>
  <c r="L965" i="17"/>
  <c r="L966" i="17"/>
  <c r="L967" i="17"/>
  <c r="L968" i="17"/>
  <c r="L969" i="17"/>
  <c r="L970" i="17"/>
  <c r="L971" i="17"/>
  <c r="L972" i="17"/>
  <c r="L973" i="17"/>
  <c r="L974" i="17"/>
  <c r="L975" i="17"/>
  <c r="L976" i="17"/>
  <c r="L977" i="17"/>
  <c r="L978" i="17"/>
  <c r="L979" i="17"/>
  <c r="L980" i="17"/>
  <c r="L981" i="17"/>
  <c r="L982" i="17"/>
  <c r="L983" i="17"/>
  <c r="L984" i="17"/>
  <c r="L985" i="17"/>
  <c r="L986" i="17"/>
  <c r="L987" i="17"/>
  <c r="L988" i="17"/>
  <c r="L989" i="17"/>
  <c r="L990" i="17"/>
  <c r="L991" i="17"/>
  <c r="L992" i="17"/>
  <c r="L993" i="17"/>
  <c r="L994" i="17"/>
  <c r="L995" i="17"/>
  <c r="L996" i="17"/>
  <c r="L997" i="17"/>
  <c r="L998" i="17"/>
  <c r="L999" i="17"/>
  <c r="L1000" i="17"/>
  <c r="L1001" i="17"/>
  <c r="L1002" i="17"/>
  <c r="L1003" i="17"/>
  <c r="L1004" i="17"/>
  <c r="L1005" i="17"/>
  <c r="L1006" i="17"/>
  <c r="L1007" i="17"/>
  <c r="L1008" i="17"/>
  <c r="L1009" i="17"/>
  <c r="L1010" i="17"/>
  <c r="L1011" i="17"/>
  <c r="L1012" i="17"/>
  <c r="L1013" i="17"/>
  <c r="L1014" i="17"/>
  <c r="L1015" i="17"/>
  <c r="L1016" i="17"/>
  <c r="L1017" i="17"/>
  <c r="L1018" i="17"/>
  <c r="L1019" i="17"/>
  <c r="L1020" i="17"/>
  <c r="L1021" i="17"/>
  <c r="L1022" i="17"/>
  <c r="L1023" i="17"/>
  <c r="L1024" i="17"/>
  <c r="L1025" i="17"/>
  <c r="L1026" i="17"/>
  <c r="L1027" i="17"/>
  <c r="L1028" i="17"/>
  <c r="L1029" i="17"/>
  <c r="L1030" i="17"/>
  <c r="L1031" i="17"/>
  <c r="L1032" i="17"/>
  <c r="L1033" i="17"/>
  <c r="L1034" i="17"/>
  <c r="L1035" i="17"/>
  <c r="L1036" i="17"/>
  <c r="L1037" i="17"/>
  <c r="L1038" i="17"/>
  <c r="L1039" i="17"/>
  <c r="L1040" i="17"/>
  <c r="L1041" i="17"/>
  <c r="L1042" i="17"/>
  <c r="L1043" i="17"/>
  <c r="L1044" i="17"/>
  <c r="L1045" i="17"/>
  <c r="L1046" i="17"/>
  <c r="L1047" i="17"/>
  <c r="L1048" i="17"/>
  <c r="L1049" i="17"/>
  <c r="L1050" i="17"/>
  <c r="L1051" i="17"/>
  <c r="L1052" i="17"/>
  <c r="L1053" i="17"/>
  <c r="L1054" i="17"/>
  <c r="L1055" i="17"/>
  <c r="L1056" i="17"/>
  <c r="L1057" i="17"/>
  <c r="L1058" i="17"/>
  <c r="L1059" i="17"/>
  <c r="L1060" i="17"/>
  <c r="L1061" i="17"/>
  <c r="L1062" i="17"/>
  <c r="L1063" i="17"/>
  <c r="L1064" i="17"/>
  <c r="L1065" i="17"/>
  <c r="L1066" i="17"/>
  <c r="L1067" i="17"/>
  <c r="L1068" i="17"/>
  <c r="L1069" i="17"/>
  <c r="L1070" i="17"/>
  <c r="L1071" i="17"/>
  <c r="L1072" i="17"/>
  <c r="L1073" i="17"/>
  <c r="L1074" i="17"/>
  <c r="L1075" i="17"/>
  <c r="L1076" i="17"/>
  <c r="L1077" i="17"/>
  <c r="L1078" i="17"/>
  <c r="L1079" i="17"/>
  <c r="L1080" i="17"/>
  <c r="L1081" i="17"/>
  <c r="L1082" i="17"/>
  <c r="L1083" i="17"/>
  <c r="L1084" i="17"/>
  <c r="L1085" i="17"/>
  <c r="L1086" i="17"/>
  <c r="L1087" i="17"/>
  <c r="L1088" i="17"/>
  <c r="L1089" i="17"/>
  <c r="L1090" i="17"/>
  <c r="L1091" i="17"/>
  <c r="L1092" i="17"/>
  <c r="L1093" i="17"/>
  <c r="L1094" i="17"/>
  <c r="L1095" i="17"/>
  <c r="L1096" i="17"/>
  <c r="L1097" i="17"/>
  <c r="L1098" i="17"/>
  <c r="L1099" i="17"/>
  <c r="L1100" i="17"/>
  <c r="L1101" i="17"/>
  <c r="L1102" i="17"/>
  <c r="L1103" i="17"/>
  <c r="L1104" i="17"/>
  <c r="L1105" i="17"/>
  <c r="L1106" i="17"/>
  <c r="L1107" i="17"/>
  <c r="L1108" i="17"/>
  <c r="L1109" i="17"/>
  <c r="L1110" i="17"/>
  <c r="L1111" i="17"/>
  <c r="L1112" i="17"/>
  <c r="L1113" i="17"/>
  <c r="L1114" i="17"/>
  <c r="L1115" i="17"/>
  <c r="L1116" i="17"/>
  <c r="L1117" i="17"/>
  <c r="L1118" i="17"/>
  <c r="L1119" i="17"/>
  <c r="L1120" i="17"/>
  <c r="L1121" i="17"/>
  <c r="L1122" i="17"/>
  <c r="L1123" i="17"/>
  <c r="L1124" i="17"/>
  <c r="L1125" i="17"/>
  <c r="L1126" i="17"/>
  <c r="L1127" i="17"/>
  <c r="L1128" i="17"/>
  <c r="L1129" i="17"/>
  <c r="L1130" i="17"/>
  <c r="L1131" i="17"/>
  <c r="L1132" i="17"/>
  <c r="L1133" i="17"/>
  <c r="L1134" i="17"/>
  <c r="L1135" i="17"/>
  <c r="L1136" i="17"/>
  <c r="L1137" i="17"/>
  <c r="L1138" i="17"/>
  <c r="L1139" i="17"/>
  <c r="L1140" i="17"/>
  <c r="L1141" i="17"/>
  <c r="L1142" i="17"/>
  <c r="L1143" i="17"/>
  <c r="L1144" i="17"/>
  <c r="L1145" i="17"/>
  <c r="L1146" i="17"/>
  <c r="L1147" i="17"/>
  <c r="L1148" i="17"/>
  <c r="L1149" i="17"/>
  <c r="L1150" i="17"/>
  <c r="L1151" i="17"/>
  <c r="L1152" i="17"/>
  <c r="L1153" i="17"/>
  <c r="L1154" i="17"/>
  <c r="L1155" i="17"/>
  <c r="L1156" i="17"/>
  <c r="L1157" i="17"/>
  <c r="L1158" i="17"/>
  <c r="L1159" i="17"/>
  <c r="L1160" i="17"/>
  <c r="L1161" i="17"/>
  <c r="L1162" i="17"/>
  <c r="L1163" i="17"/>
  <c r="L1164" i="17"/>
  <c r="L1165" i="17"/>
  <c r="L1166" i="17"/>
  <c r="L1167" i="17"/>
  <c r="L1168" i="17"/>
  <c r="L1169" i="17"/>
  <c r="L1170" i="17"/>
  <c r="L1171" i="17"/>
  <c r="L1172" i="17"/>
  <c r="L1173" i="17"/>
  <c r="L1174" i="17"/>
  <c r="L1175" i="17"/>
  <c r="L1176" i="17"/>
  <c r="L1177" i="17"/>
  <c r="L1178" i="17"/>
  <c r="L1179" i="17"/>
  <c r="L1180" i="17"/>
  <c r="L1181" i="17"/>
  <c r="L1182" i="17"/>
  <c r="L1183" i="17"/>
  <c r="L1184" i="17"/>
  <c r="L1185" i="17"/>
  <c r="L1186" i="17"/>
  <c r="L1187" i="17"/>
  <c r="L1188" i="17"/>
  <c r="L1189" i="17"/>
  <c r="L1190" i="17"/>
  <c r="L1191" i="17"/>
  <c r="L1192" i="17"/>
  <c r="L1193" i="17"/>
  <c r="L1194" i="17"/>
  <c r="L1195" i="17"/>
  <c r="L1196" i="17"/>
  <c r="L1197" i="17"/>
  <c r="L1198" i="17"/>
  <c r="L1199" i="17"/>
  <c r="L1200" i="17"/>
  <c r="L1201" i="17"/>
  <c r="L1202" i="17"/>
  <c r="L1203" i="17"/>
  <c r="L1204" i="17"/>
  <c r="L1205" i="17"/>
  <c r="L1206" i="17"/>
  <c r="L1207" i="17"/>
  <c r="L1208" i="17"/>
  <c r="L1209" i="17"/>
  <c r="L1210" i="17"/>
  <c r="L1211" i="17"/>
  <c r="L1212" i="17"/>
  <c r="L1213" i="17"/>
  <c r="L1214" i="17"/>
  <c r="L1215" i="17"/>
  <c r="L1216" i="17"/>
  <c r="L1217" i="17"/>
  <c r="L1218" i="17"/>
  <c r="L1219" i="17"/>
  <c r="L1220" i="17"/>
  <c r="L1221" i="17"/>
  <c r="L1222" i="17"/>
  <c r="L1223" i="17"/>
  <c r="L1224" i="17"/>
  <c r="L1225" i="17"/>
  <c r="L1226" i="17"/>
  <c r="L1227" i="17"/>
  <c r="L1228" i="17"/>
  <c r="L1229" i="17"/>
  <c r="L1230" i="17"/>
  <c r="L1231" i="17"/>
  <c r="L1232" i="17"/>
  <c r="L1233" i="17"/>
  <c r="L1234" i="17"/>
  <c r="L1235" i="17"/>
  <c r="L1236" i="17"/>
  <c r="L1237" i="17"/>
  <c r="L1238" i="17"/>
  <c r="L1239" i="17"/>
  <c r="L1240" i="17"/>
  <c r="L1241" i="17"/>
  <c r="L1242" i="17"/>
  <c r="L1243" i="17"/>
  <c r="L1244" i="17"/>
  <c r="L1245" i="17"/>
  <c r="L1246" i="17"/>
  <c r="L1247" i="17"/>
  <c r="L1248" i="17"/>
  <c r="L1249" i="17"/>
  <c r="L1250" i="17"/>
  <c r="L1251" i="17"/>
  <c r="L1252" i="17"/>
  <c r="L1253" i="17"/>
  <c r="L1254" i="17"/>
  <c r="L1255" i="17"/>
  <c r="L1256" i="17"/>
  <c r="L1257" i="17"/>
  <c r="L1258" i="17"/>
  <c r="L1259" i="17"/>
  <c r="L1260" i="17"/>
  <c r="L1261" i="17"/>
  <c r="L1262" i="17"/>
  <c r="L1263" i="17"/>
  <c r="L1264" i="17"/>
  <c r="L1265" i="17"/>
  <c r="L1266" i="17"/>
  <c r="L1267" i="17"/>
  <c r="L1268" i="17"/>
  <c r="L1269" i="17"/>
  <c r="L1270" i="17"/>
  <c r="L1271" i="17"/>
  <c r="L1272" i="17"/>
  <c r="L1273" i="17"/>
  <c r="L1274" i="17"/>
  <c r="L1275" i="17"/>
  <c r="L1276" i="17"/>
  <c r="L1277" i="17"/>
  <c r="L1278" i="17"/>
  <c r="L1279" i="17"/>
  <c r="L1280" i="17"/>
  <c r="L1281" i="17"/>
  <c r="L1282" i="17"/>
  <c r="L1283" i="17"/>
  <c r="L1284" i="17"/>
  <c r="L1285" i="17"/>
  <c r="L1286" i="17"/>
  <c r="L1287" i="17"/>
  <c r="L1288" i="17"/>
  <c r="L1289" i="17"/>
  <c r="L1290" i="17"/>
  <c r="L1291" i="17"/>
  <c r="L1292" i="17"/>
  <c r="L1293" i="17"/>
  <c r="L1294" i="17"/>
  <c r="L1295" i="17"/>
  <c r="L1296" i="17"/>
  <c r="L1297" i="17"/>
  <c r="L1298" i="17"/>
  <c r="L1299" i="17"/>
  <c r="L1300" i="17"/>
  <c r="L1301" i="17"/>
  <c r="L1302" i="17"/>
  <c r="L1303" i="17"/>
  <c r="L1304" i="17"/>
  <c r="L1305" i="17"/>
  <c r="L1306" i="17"/>
  <c r="L1307" i="17"/>
  <c r="L1308" i="17"/>
  <c r="L1309" i="17"/>
  <c r="L1310" i="17"/>
  <c r="L1311" i="17"/>
  <c r="L1312" i="17"/>
  <c r="L1313" i="17"/>
  <c r="L1314" i="17"/>
  <c r="L1315" i="17"/>
  <c r="L1316" i="17"/>
  <c r="L1317" i="17"/>
  <c r="L1318" i="17"/>
  <c r="L1319" i="17"/>
  <c r="L1320" i="17"/>
  <c r="L1321" i="17"/>
  <c r="L1322" i="17"/>
  <c r="L1323" i="17"/>
  <c r="L1324" i="17"/>
  <c r="L1325" i="17"/>
  <c r="L1326" i="17"/>
  <c r="L1327" i="17"/>
  <c r="L1328" i="17"/>
  <c r="L1329" i="17"/>
  <c r="L1330" i="17"/>
  <c r="L1331" i="17"/>
  <c r="L1332" i="17"/>
  <c r="L1333" i="17"/>
  <c r="L1334" i="17"/>
  <c r="L1335" i="17"/>
  <c r="L1336" i="17"/>
  <c r="L1337" i="17"/>
  <c r="L1338" i="17"/>
  <c r="L1339" i="17"/>
  <c r="L1340" i="17"/>
  <c r="L1341" i="17"/>
  <c r="L1342" i="17"/>
  <c r="L1343" i="17"/>
  <c r="L1344" i="17"/>
  <c r="L1345" i="17"/>
  <c r="L1346" i="17"/>
  <c r="L1347" i="17"/>
  <c r="L1348" i="17"/>
  <c r="L1349" i="17"/>
  <c r="L1350" i="17"/>
  <c r="L1351" i="17"/>
  <c r="L1352" i="17"/>
  <c r="L1353" i="17"/>
  <c r="L1354" i="17"/>
  <c r="L1355" i="17"/>
  <c r="L1356" i="17"/>
  <c r="L1357" i="17"/>
  <c r="L1358" i="17"/>
  <c r="L1359" i="17"/>
  <c r="L1360" i="17"/>
  <c r="L1361" i="17"/>
  <c r="L1362" i="17"/>
  <c r="L1363" i="17"/>
  <c r="L1364" i="17"/>
  <c r="L1365" i="17"/>
  <c r="L1366" i="17"/>
  <c r="L1367" i="17"/>
  <c r="L1368" i="17"/>
  <c r="L1369" i="17"/>
  <c r="L1370" i="17"/>
  <c r="L1371" i="17"/>
  <c r="L1372" i="17"/>
  <c r="L1373" i="17"/>
  <c r="L1374" i="17"/>
  <c r="L1375" i="17"/>
  <c r="L1376" i="17"/>
  <c r="L1377" i="17"/>
  <c r="L1378" i="17"/>
  <c r="L1379" i="17"/>
  <c r="L1380" i="17"/>
  <c r="L1381" i="17"/>
  <c r="L1382" i="17"/>
  <c r="L1383" i="17"/>
  <c r="L1384" i="17"/>
  <c r="L1385" i="17"/>
  <c r="L1386" i="17"/>
  <c r="L1387" i="17"/>
  <c r="L1388" i="17"/>
  <c r="L1389" i="17"/>
  <c r="L1390" i="17"/>
  <c r="L1391" i="17"/>
  <c r="L1392" i="17"/>
  <c r="L1393" i="17"/>
  <c r="L1394" i="17"/>
  <c r="L1395" i="17"/>
  <c r="L1396" i="17"/>
  <c r="L1397" i="17"/>
  <c r="L1398" i="17"/>
  <c r="L1399" i="17"/>
  <c r="L1400" i="17"/>
  <c r="L1401" i="17"/>
  <c r="L1402" i="17"/>
  <c r="L1403" i="17"/>
  <c r="L1404" i="17"/>
  <c r="L1405" i="17"/>
  <c r="L1406" i="17"/>
  <c r="L1407" i="17"/>
  <c r="L1408" i="17"/>
  <c r="L1409" i="17"/>
  <c r="L1410" i="17"/>
  <c r="L1411" i="17"/>
  <c r="L1412" i="17"/>
  <c r="L1413" i="17"/>
  <c r="L1414" i="17"/>
  <c r="L1415" i="17"/>
  <c r="L1416" i="17"/>
  <c r="L1417" i="17"/>
  <c r="L1418" i="17"/>
  <c r="L1419" i="17"/>
  <c r="L1420" i="17"/>
  <c r="L1421" i="17"/>
  <c r="L1422" i="17"/>
  <c r="L1423" i="17"/>
  <c r="L1424" i="17"/>
  <c r="L1425" i="17"/>
  <c r="L1426" i="17"/>
  <c r="L1427" i="17"/>
  <c r="L1428" i="17"/>
  <c r="L1429" i="17"/>
  <c r="L1430" i="17"/>
  <c r="L1431" i="17"/>
  <c r="L1432" i="17"/>
  <c r="L1433" i="17"/>
  <c r="L1434" i="17"/>
  <c r="L1435" i="17"/>
  <c r="L1436" i="17"/>
  <c r="L1437" i="17"/>
  <c r="L1438" i="17"/>
  <c r="L1439" i="17"/>
  <c r="L1440" i="17"/>
  <c r="L1441" i="17"/>
  <c r="L1442" i="17"/>
  <c r="L1443" i="17"/>
  <c r="L1444" i="17"/>
  <c r="L1445" i="17"/>
  <c r="L1446" i="17"/>
  <c r="L1447" i="17"/>
  <c r="L1448" i="17"/>
  <c r="L1449" i="17"/>
  <c r="L1450" i="17"/>
  <c r="L1451" i="17"/>
  <c r="L1452" i="17"/>
  <c r="L1453" i="17"/>
  <c r="L1454" i="17"/>
  <c r="L1455" i="17"/>
  <c r="L1456" i="17"/>
  <c r="L1457" i="17"/>
  <c r="L1458" i="17"/>
  <c r="L1459" i="17"/>
  <c r="L1460" i="17"/>
  <c r="L1461" i="17"/>
  <c r="L1462" i="17"/>
  <c r="L1463" i="17"/>
  <c r="L1464" i="17"/>
  <c r="L1465" i="17"/>
  <c r="L1466" i="17"/>
  <c r="L1467" i="17"/>
  <c r="L1468" i="17"/>
  <c r="L1469" i="17"/>
  <c r="L1470" i="17"/>
  <c r="L1471" i="17"/>
  <c r="L1472" i="17"/>
  <c r="L1473" i="17"/>
  <c r="L1474" i="17"/>
  <c r="L1475" i="17"/>
  <c r="L1476" i="17"/>
  <c r="L1477" i="17"/>
  <c r="L1478" i="17"/>
  <c r="L1479" i="17"/>
  <c r="L1480" i="17"/>
  <c r="L1481" i="17"/>
  <c r="L1482" i="17"/>
  <c r="L1483" i="17"/>
  <c r="L1484" i="17"/>
  <c r="L1485" i="17"/>
  <c r="L1486" i="17"/>
  <c r="L1487" i="17"/>
  <c r="L1488" i="17"/>
  <c r="L1489" i="17"/>
  <c r="L1490" i="17"/>
  <c r="L1491" i="17"/>
  <c r="L1492" i="17"/>
  <c r="L1493" i="17"/>
  <c r="L1494" i="17"/>
  <c r="L1495" i="17"/>
  <c r="L1496" i="17"/>
  <c r="L1497" i="17"/>
  <c r="L1498" i="17"/>
  <c r="L1499" i="17"/>
  <c r="L1500" i="17"/>
  <c r="L1501" i="17"/>
  <c r="L1502" i="17"/>
  <c r="L1503" i="17"/>
  <c r="L1504" i="17"/>
  <c r="L1505" i="17"/>
  <c r="L1506" i="17"/>
  <c r="L1507" i="17"/>
  <c r="L1508" i="17"/>
  <c r="L1509" i="17"/>
  <c r="L1510" i="17"/>
  <c r="L1511" i="17"/>
  <c r="L1512" i="17"/>
  <c r="L1513" i="17"/>
  <c r="L1514" i="17"/>
  <c r="L1515" i="17"/>
  <c r="L1516" i="17"/>
  <c r="L1517" i="17"/>
  <c r="L1518" i="17"/>
  <c r="L1519" i="17"/>
  <c r="L1520" i="17"/>
  <c r="L1521" i="17"/>
  <c r="L1522" i="17"/>
  <c r="L1523" i="17"/>
  <c r="L1524" i="17"/>
  <c r="L1525" i="17"/>
  <c r="L1526" i="17"/>
  <c r="L1527" i="17"/>
  <c r="L1528" i="17"/>
  <c r="L1529" i="17"/>
  <c r="L1530" i="17"/>
  <c r="L1531" i="17"/>
  <c r="L1532" i="17"/>
  <c r="L1533" i="17"/>
  <c r="L1534" i="17"/>
  <c r="L1535" i="17"/>
  <c r="L1536" i="17"/>
  <c r="L1537" i="17"/>
  <c r="L1538" i="17"/>
  <c r="L1539" i="17"/>
  <c r="L1540" i="17"/>
  <c r="L1541" i="17"/>
  <c r="L1542" i="17"/>
  <c r="L1543" i="17"/>
  <c r="L1544" i="17"/>
  <c r="L1545" i="17"/>
  <c r="L1546" i="17"/>
  <c r="L1547" i="17"/>
  <c r="L1548" i="17"/>
  <c r="L1549" i="17"/>
  <c r="L1550" i="17"/>
  <c r="L1551" i="17"/>
  <c r="L1552" i="17"/>
  <c r="L1553" i="17"/>
  <c r="L1554" i="17"/>
  <c r="L1555" i="17"/>
  <c r="L1556" i="17"/>
  <c r="L1557" i="17"/>
  <c r="L1558" i="17"/>
  <c r="L1559" i="17"/>
  <c r="L1560" i="17"/>
  <c r="L1561" i="17"/>
  <c r="L1562" i="17"/>
  <c r="L1563" i="17"/>
  <c r="L1564" i="17"/>
  <c r="L1565" i="17"/>
  <c r="L1566" i="17"/>
  <c r="L1567" i="17"/>
  <c r="L1568" i="17"/>
  <c r="L1569" i="17"/>
  <c r="L1570" i="17"/>
  <c r="L1571" i="17"/>
  <c r="L1572" i="17"/>
  <c r="L1573" i="17"/>
  <c r="L1574" i="17"/>
  <c r="L1575" i="17"/>
  <c r="L1576" i="17"/>
  <c r="L1577" i="17"/>
  <c r="L1578" i="17"/>
  <c r="L1579" i="17"/>
  <c r="L1580" i="17"/>
  <c r="L1581" i="17"/>
  <c r="L1582" i="17"/>
  <c r="L1583" i="17"/>
  <c r="L1584" i="17"/>
  <c r="L1585" i="17"/>
  <c r="L1586" i="17"/>
  <c r="L1587" i="17"/>
  <c r="L1588" i="17"/>
  <c r="L1589" i="17"/>
  <c r="L1590" i="17"/>
  <c r="L1591" i="17"/>
  <c r="L1592" i="17"/>
  <c r="L1593" i="17"/>
  <c r="L1594" i="17"/>
  <c r="L1595" i="17"/>
  <c r="L1596" i="17"/>
  <c r="L1597" i="17"/>
  <c r="L1598" i="17"/>
  <c r="L1599" i="17"/>
  <c r="L1600" i="17"/>
  <c r="L1601" i="17"/>
  <c r="L1602" i="17"/>
  <c r="L1603" i="17"/>
  <c r="L1604" i="17"/>
  <c r="L1605" i="17"/>
  <c r="L1606" i="17"/>
  <c r="L1607" i="17"/>
  <c r="L1608" i="17"/>
  <c r="L1609" i="17"/>
  <c r="L1610" i="17"/>
  <c r="L1611" i="17"/>
  <c r="L1612" i="17"/>
  <c r="L1613" i="17"/>
  <c r="L1614" i="17"/>
  <c r="L1615" i="17"/>
  <c r="L1616" i="17"/>
  <c r="L1617" i="17"/>
  <c r="L1618" i="17"/>
  <c r="L1619" i="17"/>
  <c r="L1620" i="17"/>
  <c r="L1621" i="17"/>
  <c r="L1622" i="17"/>
  <c r="L1623" i="17"/>
  <c r="L1624" i="17"/>
  <c r="L1625" i="17"/>
  <c r="L1626" i="17"/>
  <c r="L1627" i="17"/>
  <c r="L1628" i="17"/>
  <c r="L1629" i="17"/>
  <c r="L1630" i="17"/>
  <c r="L1631" i="17"/>
  <c r="L1632" i="17"/>
  <c r="L1633" i="17"/>
  <c r="L1634" i="17"/>
  <c r="L1635" i="17"/>
  <c r="L1636" i="17"/>
  <c r="L1637" i="17"/>
  <c r="L1638" i="17"/>
  <c r="L1639" i="17"/>
  <c r="L1640" i="17"/>
  <c r="L1641" i="17"/>
  <c r="L1642" i="17"/>
  <c r="L1643" i="17"/>
  <c r="L1644" i="17"/>
  <c r="L1645" i="17"/>
  <c r="L1646" i="17"/>
  <c r="L1647" i="17"/>
  <c r="L1648" i="17"/>
  <c r="L1649" i="17"/>
  <c r="L1650" i="17"/>
  <c r="L1651" i="17"/>
  <c r="L1652" i="17"/>
  <c r="L1653" i="17"/>
  <c r="L1654" i="17"/>
  <c r="L1655" i="17"/>
  <c r="L1656" i="17"/>
  <c r="L1657" i="17"/>
  <c r="L1658" i="17"/>
  <c r="L1659" i="17"/>
  <c r="L1660" i="17"/>
  <c r="L1661" i="17"/>
  <c r="L1662" i="17"/>
  <c r="L1663" i="17"/>
  <c r="L1664" i="17"/>
  <c r="L1665" i="17"/>
  <c r="L1666" i="17"/>
  <c r="L1667" i="17"/>
  <c r="L1668" i="17"/>
  <c r="L1669" i="17"/>
  <c r="L1670" i="17"/>
  <c r="L1671" i="17"/>
  <c r="L1672" i="17"/>
  <c r="L1673" i="17"/>
  <c r="L1674" i="17"/>
  <c r="L1675" i="17"/>
  <c r="L1676" i="17"/>
  <c r="L1677" i="17"/>
  <c r="L1678" i="17"/>
  <c r="L1679" i="17"/>
  <c r="L1680" i="17"/>
  <c r="L1681" i="17"/>
  <c r="L1682" i="17"/>
  <c r="L1683" i="17"/>
  <c r="L1684" i="17"/>
  <c r="L1685" i="17"/>
  <c r="L1686" i="17"/>
  <c r="L1687" i="17"/>
  <c r="L1688" i="17"/>
  <c r="L1689" i="17"/>
  <c r="L1690" i="17"/>
  <c r="L1691" i="17"/>
  <c r="L1692" i="17"/>
  <c r="L1693" i="17"/>
  <c r="L1694" i="17"/>
  <c r="L1695" i="17"/>
  <c r="L1696" i="17"/>
  <c r="L1697" i="17"/>
  <c r="L1698" i="17"/>
  <c r="L1699" i="17"/>
  <c r="L1700" i="17"/>
  <c r="L1701" i="17"/>
  <c r="L1702" i="17"/>
  <c r="L1703" i="17"/>
  <c r="L1704" i="17"/>
  <c r="L1705" i="17"/>
  <c r="L1706" i="17"/>
  <c r="L1707" i="17"/>
  <c r="L1708" i="17"/>
  <c r="L1709" i="17"/>
  <c r="L1710" i="17"/>
  <c r="L1711" i="17"/>
  <c r="L1712" i="17"/>
  <c r="L1713" i="17"/>
  <c r="L1714" i="17"/>
  <c r="L1715" i="17"/>
  <c r="L1716" i="17"/>
  <c r="L1717" i="17"/>
  <c r="L1718" i="17"/>
  <c r="L1719" i="17"/>
  <c r="L1720" i="17"/>
  <c r="L1721" i="17"/>
  <c r="L1722" i="17"/>
  <c r="L1723" i="17"/>
  <c r="L1724" i="17"/>
  <c r="L1725" i="17"/>
  <c r="L1726" i="17"/>
  <c r="L1727" i="17"/>
  <c r="L1728" i="17"/>
  <c r="L1729" i="17"/>
  <c r="L1730" i="17"/>
  <c r="L1731" i="17"/>
  <c r="L1732" i="17"/>
  <c r="L1733" i="17"/>
  <c r="L1734" i="17"/>
  <c r="L1735" i="17"/>
  <c r="L1736" i="17"/>
  <c r="L1737" i="17"/>
  <c r="L1738" i="17"/>
  <c r="L1739" i="17"/>
  <c r="L1740" i="17"/>
  <c r="L1741" i="17"/>
  <c r="L1742" i="17"/>
  <c r="L1743" i="17"/>
  <c r="L1744" i="17"/>
  <c r="L1745" i="17"/>
  <c r="L1746" i="17"/>
  <c r="L1747" i="17"/>
  <c r="L1748" i="17"/>
  <c r="L1749" i="17"/>
  <c r="L1750" i="17"/>
  <c r="L1751" i="17"/>
  <c r="L1752" i="17"/>
  <c r="L1753" i="17"/>
  <c r="L1754" i="17"/>
  <c r="L1755" i="17"/>
  <c r="L1756" i="17"/>
  <c r="L1757" i="17"/>
  <c r="L1758" i="17"/>
  <c r="L1759" i="17"/>
  <c r="L1760" i="17"/>
  <c r="L1761" i="17"/>
  <c r="L1762" i="17"/>
  <c r="L1763" i="17"/>
  <c r="L1764" i="17"/>
  <c r="L1765" i="17"/>
  <c r="L1766" i="17"/>
  <c r="L1767" i="17"/>
  <c r="L1768" i="17"/>
  <c r="L1769" i="17"/>
  <c r="L1770" i="17"/>
  <c r="L1771" i="17"/>
  <c r="L1772" i="17"/>
  <c r="L1773" i="17"/>
  <c r="L1774" i="17"/>
  <c r="L1775" i="17"/>
  <c r="L1776" i="17"/>
  <c r="L1777" i="17"/>
  <c r="L1778" i="17"/>
  <c r="L1779" i="17"/>
  <c r="L1780" i="17"/>
  <c r="L1781" i="17"/>
  <c r="L1782" i="17"/>
  <c r="L1783" i="17"/>
  <c r="L1784" i="17"/>
  <c r="L1785" i="17"/>
  <c r="L1786" i="17"/>
  <c r="L1787" i="17"/>
  <c r="L1788" i="17"/>
  <c r="L1789" i="17"/>
  <c r="L1790" i="17"/>
  <c r="L1791" i="17"/>
  <c r="L1792" i="17"/>
  <c r="L1793" i="17"/>
  <c r="L1794" i="17"/>
  <c r="L1795" i="17"/>
  <c r="L1796" i="17"/>
  <c r="L1797" i="17"/>
  <c r="L1798" i="17"/>
  <c r="L1799" i="17"/>
  <c r="L1800" i="17"/>
  <c r="L1801" i="17"/>
  <c r="L1802" i="17"/>
  <c r="L1803" i="17"/>
  <c r="L1804" i="17"/>
  <c r="L1805" i="17"/>
  <c r="L1806" i="17"/>
  <c r="L1807" i="17"/>
  <c r="L1808" i="17"/>
  <c r="L1809" i="17"/>
  <c r="L1810" i="17"/>
  <c r="L1811" i="17"/>
  <c r="L1812" i="17"/>
  <c r="L1813" i="17"/>
  <c r="L1814" i="17"/>
  <c r="L1815" i="17"/>
  <c r="L1816" i="17"/>
  <c r="L1817" i="17"/>
  <c r="L1818" i="17"/>
  <c r="L1819" i="17"/>
  <c r="L1820" i="17"/>
  <c r="L1821" i="17"/>
  <c r="L1822" i="17"/>
  <c r="L1823" i="17"/>
  <c r="L1824" i="17"/>
  <c r="L1825" i="17"/>
  <c r="L1826" i="17"/>
  <c r="L1827" i="17"/>
  <c r="L1828" i="17"/>
  <c r="L1829" i="17"/>
  <c r="L1830" i="17"/>
  <c r="L1831" i="17"/>
  <c r="L1832" i="17"/>
  <c r="L1833" i="17"/>
  <c r="L1834" i="17"/>
  <c r="L1835" i="17"/>
  <c r="L1836" i="17"/>
  <c r="L1837" i="17"/>
  <c r="L1838" i="17"/>
  <c r="L1839" i="17"/>
  <c r="L1840" i="17"/>
  <c r="L1841" i="17"/>
  <c r="L1842" i="17"/>
  <c r="L1843" i="17"/>
  <c r="L1844" i="17"/>
  <c r="L1845" i="17"/>
  <c r="L1846" i="17"/>
  <c r="L1847" i="17"/>
  <c r="L1848" i="17"/>
  <c r="L1849" i="17"/>
  <c r="L1850" i="17"/>
  <c r="L1851" i="17"/>
  <c r="L1852" i="17"/>
  <c r="L1853" i="17"/>
  <c r="L1854" i="17"/>
  <c r="L1855" i="17"/>
  <c r="L1856" i="17"/>
  <c r="L1857" i="17"/>
  <c r="L1858" i="17"/>
  <c r="L1859" i="17"/>
  <c r="L1860" i="17"/>
  <c r="L1861" i="17"/>
  <c r="L1862" i="17"/>
  <c r="L1863" i="17"/>
  <c r="L1864" i="17"/>
  <c r="L1865" i="17"/>
  <c r="L1866" i="17"/>
  <c r="L1867" i="17"/>
  <c r="L1868" i="17"/>
  <c r="L1869" i="17"/>
  <c r="L1870" i="17"/>
  <c r="L1871" i="17"/>
  <c r="L1872" i="17"/>
  <c r="L1873" i="17"/>
  <c r="L1874" i="17"/>
  <c r="L1875" i="17"/>
  <c r="L1876" i="17"/>
  <c r="L1877" i="17"/>
  <c r="L1878" i="17"/>
  <c r="L1879" i="17"/>
  <c r="L1880" i="17"/>
  <c r="L1881" i="17"/>
  <c r="L1882" i="17"/>
  <c r="L1883" i="17"/>
  <c r="L1884" i="17"/>
  <c r="L1885" i="17"/>
  <c r="L1886" i="17"/>
  <c r="L1887" i="17"/>
  <c r="L1888" i="17"/>
  <c r="L1889" i="17"/>
  <c r="L1890" i="17"/>
  <c r="L1891" i="17"/>
  <c r="L1892" i="17"/>
  <c r="L1893" i="17"/>
  <c r="L1894" i="17"/>
  <c r="L1895" i="17"/>
  <c r="L1896" i="17"/>
  <c r="L1897" i="17"/>
  <c r="L1898" i="17"/>
  <c r="L1899" i="17"/>
  <c r="L1900" i="17"/>
  <c r="L1901" i="17"/>
  <c r="L1902" i="17"/>
  <c r="L1903" i="17"/>
  <c r="L1904" i="17"/>
  <c r="L1905" i="17"/>
  <c r="L1906" i="17"/>
  <c r="L1907" i="17"/>
  <c r="L1908" i="17"/>
  <c r="L1909" i="17"/>
  <c r="L1910" i="17"/>
  <c r="L1911" i="17"/>
  <c r="L1912" i="17"/>
  <c r="L1913" i="17"/>
  <c r="L1914" i="17"/>
  <c r="L1915" i="17"/>
  <c r="L1916" i="17"/>
  <c r="L1917" i="17"/>
  <c r="L1918" i="17"/>
  <c r="L1919" i="17"/>
  <c r="L1920" i="17"/>
  <c r="L1921" i="17"/>
  <c r="L1922" i="17"/>
  <c r="L1923" i="17"/>
  <c r="L1924" i="17"/>
  <c r="L1925" i="17"/>
  <c r="L1926" i="17"/>
  <c r="L1927" i="17"/>
  <c r="L1928" i="17"/>
  <c r="L1929" i="17"/>
  <c r="L1930" i="17"/>
  <c r="L1931" i="17"/>
  <c r="L1932" i="17"/>
  <c r="L1933" i="17"/>
  <c r="L1934" i="17"/>
  <c r="L1935" i="17"/>
  <c r="L1936" i="17"/>
  <c r="L1937" i="17"/>
  <c r="L1938" i="17"/>
  <c r="L1939" i="17"/>
  <c r="L1940" i="17"/>
  <c r="L1941" i="17"/>
  <c r="L1942" i="17"/>
  <c r="L1943" i="17"/>
  <c r="L1944" i="17"/>
  <c r="L1945" i="17"/>
  <c r="L1946" i="17"/>
  <c r="L1947" i="17"/>
  <c r="L1948" i="17"/>
  <c r="L1949" i="17"/>
  <c r="L1950" i="17"/>
  <c r="L1951" i="17"/>
  <c r="L1952" i="17"/>
  <c r="L1953" i="17"/>
  <c r="L1954" i="17"/>
  <c r="L1955" i="17"/>
  <c r="L1956" i="17"/>
  <c r="L1957" i="17"/>
  <c r="L1958" i="17"/>
  <c r="L1959" i="17"/>
  <c r="L1960" i="17"/>
  <c r="L1961" i="17"/>
  <c r="L1962" i="17"/>
  <c r="L1963" i="17"/>
  <c r="L1964" i="17"/>
  <c r="L1965" i="17"/>
  <c r="L1966" i="17"/>
  <c r="L1967" i="17"/>
  <c r="L1968" i="17"/>
  <c r="L1969" i="17"/>
  <c r="L1970" i="17"/>
  <c r="L1971" i="17"/>
  <c r="L1972" i="17"/>
  <c r="L1973" i="17"/>
  <c r="L1974" i="17"/>
  <c r="L1975" i="17"/>
  <c r="L1976" i="17"/>
  <c r="L1977" i="17"/>
  <c r="L1978" i="17"/>
  <c r="L1979" i="17"/>
  <c r="L1980" i="17"/>
  <c r="L1981" i="17"/>
  <c r="L1982" i="17"/>
  <c r="L1983" i="17"/>
  <c r="L1984" i="17"/>
  <c r="L1985" i="17"/>
  <c r="L1986" i="17"/>
  <c r="L1987" i="17"/>
  <c r="L1988" i="17"/>
  <c r="L1989" i="17"/>
  <c r="L1990" i="17"/>
  <c r="L1991" i="17"/>
  <c r="L1992" i="17"/>
  <c r="L1993" i="17"/>
  <c r="L1994" i="17"/>
  <c r="L1995" i="17"/>
  <c r="L1996" i="17"/>
  <c r="L1997" i="17"/>
  <c r="L1998" i="17"/>
  <c r="L1999" i="17"/>
  <c r="L2000" i="17"/>
  <c r="L2001" i="17"/>
  <c r="L2002" i="17"/>
  <c r="L2003" i="17"/>
  <c r="L2004" i="17"/>
  <c r="L2005" i="17"/>
  <c r="L2006" i="17"/>
  <c r="L2007" i="17"/>
  <c r="L2008" i="17"/>
  <c r="L2009" i="17"/>
  <c r="L2010" i="17"/>
  <c r="L2011" i="17"/>
  <c r="L2012" i="17"/>
  <c r="L2013" i="17"/>
  <c r="L2014" i="17"/>
  <c r="L2015" i="17"/>
  <c r="L2016" i="17"/>
  <c r="L2017" i="17"/>
  <c r="L2018" i="17"/>
  <c r="L2019" i="17"/>
  <c r="L2020" i="17"/>
  <c r="L2021" i="17"/>
  <c r="L2022" i="17"/>
  <c r="L2023" i="17"/>
  <c r="L2024" i="17"/>
  <c r="L2025" i="17"/>
  <c r="L2026" i="17"/>
  <c r="L2027" i="17"/>
  <c r="L2028" i="17"/>
  <c r="L2029" i="17"/>
  <c r="L2030" i="17"/>
  <c r="L2031" i="17"/>
  <c r="L2032" i="17"/>
  <c r="L2033" i="17"/>
  <c r="L2034" i="17"/>
  <c r="L2035" i="17"/>
  <c r="L2036" i="17"/>
  <c r="L2037" i="17"/>
  <c r="L2038" i="17"/>
  <c r="L2039" i="17"/>
  <c r="L2040" i="17"/>
  <c r="L2041" i="17"/>
  <c r="L2042" i="17"/>
  <c r="L2043" i="17"/>
  <c r="L2044" i="17"/>
  <c r="L2045" i="17"/>
  <c r="L2046" i="17"/>
  <c r="L2047" i="17"/>
  <c r="L2048" i="17"/>
  <c r="L2049" i="17"/>
  <c r="L2050" i="17"/>
  <c r="L2051" i="17"/>
  <c r="L2052" i="17"/>
  <c r="L2053" i="17"/>
  <c r="L2054" i="17"/>
  <c r="L2055" i="17"/>
  <c r="L2056" i="17"/>
  <c r="L2057" i="17"/>
  <c r="L2058" i="17"/>
  <c r="L2059" i="17"/>
  <c r="L2060" i="17"/>
  <c r="L2061" i="17"/>
  <c r="L2062" i="17"/>
  <c r="L2063" i="17"/>
  <c r="L2064" i="17"/>
  <c r="L2065" i="17"/>
  <c r="L2066" i="17"/>
  <c r="L2067" i="17"/>
  <c r="L2068" i="17"/>
  <c r="L2069" i="17"/>
  <c r="L2070" i="17"/>
  <c r="L2071" i="17"/>
  <c r="L2072" i="17"/>
  <c r="L2073" i="17"/>
  <c r="L2074" i="17"/>
  <c r="L2075" i="17"/>
  <c r="L2076" i="17"/>
  <c r="L2077" i="17"/>
  <c r="L2078" i="17"/>
  <c r="L2079" i="17"/>
  <c r="L2080" i="17"/>
  <c r="L2081" i="17"/>
  <c r="L2082" i="17"/>
  <c r="L2083" i="17"/>
  <c r="L2084" i="17"/>
  <c r="L2085" i="17"/>
  <c r="L2086" i="17"/>
  <c r="L2087" i="17"/>
  <c r="L2088" i="17"/>
  <c r="L2089" i="17"/>
  <c r="L2090" i="17"/>
  <c r="L2091" i="17"/>
  <c r="L2092" i="17"/>
  <c r="L2093" i="17"/>
  <c r="L2094" i="17"/>
  <c r="L2095" i="17"/>
  <c r="L2096" i="17"/>
  <c r="L2097" i="17"/>
  <c r="L2098" i="17"/>
  <c r="L2099" i="17"/>
  <c r="L2100" i="17"/>
  <c r="L2101" i="17"/>
  <c r="L2102" i="17"/>
  <c r="L2103" i="17"/>
  <c r="L2104" i="17"/>
  <c r="L2105" i="17"/>
  <c r="L2106" i="17"/>
  <c r="L2107" i="17"/>
  <c r="L2108" i="17"/>
  <c r="L2109" i="17"/>
  <c r="L2110" i="17"/>
  <c r="L2111" i="17"/>
  <c r="L2112" i="17"/>
  <c r="L2113" i="17"/>
  <c r="L2114" i="17"/>
  <c r="L2115" i="17"/>
  <c r="L2116" i="17"/>
  <c r="L2117" i="17"/>
  <c r="L2118" i="17"/>
  <c r="L2119" i="17"/>
  <c r="L2120" i="17"/>
  <c r="L2121" i="17"/>
  <c r="L2122" i="17"/>
  <c r="L2123" i="17"/>
  <c r="L2124" i="17"/>
  <c r="L2125" i="17"/>
  <c r="L2126" i="17"/>
  <c r="L2127" i="17"/>
  <c r="L2128" i="17"/>
  <c r="L2129" i="17"/>
  <c r="L2130" i="17"/>
  <c r="L2131" i="17"/>
  <c r="L2132" i="17"/>
  <c r="F22" i="2"/>
  <c r="I8" i="14"/>
  <c r="J8" i="14"/>
  <c r="K8" i="14"/>
  <c r="L8" i="14"/>
  <c r="M8" i="14"/>
  <c r="N8" i="14"/>
  <c r="O8" i="14"/>
  <c r="P8" i="14"/>
  <c r="Q8" i="14"/>
  <c r="R8" i="14"/>
  <c r="S8" i="14"/>
  <c r="T8" i="14"/>
  <c r="I21" i="14"/>
  <c r="J21" i="14"/>
  <c r="K21" i="14"/>
  <c r="L21" i="14"/>
  <c r="M21" i="14"/>
  <c r="N21" i="14"/>
  <c r="O21" i="14"/>
  <c r="P21" i="14"/>
  <c r="Q21" i="14"/>
  <c r="R21" i="14"/>
  <c r="S21" i="14"/>
  <c r="T21" i="14"/>
  <c r="C6" i="7" l="1"/>
  <c r="D10" i="7"/>
  <c r="M16" i="2"/>
  <c r="M15" i="2"/>
  <c r="AO2" i="1" l="1" a="1"/>
  <c r="AO2" i="1" s="1"/>
  <c r="T4" i="4" l="1"/>
  <c r="T5" i="4"/>
  <c r="T6" i="4"/>
  <c r="T7" i="4"/>
  <c r="T8" i="4"/>
  <c r="T9" i="4"/>
  <c r="T10" i="4"/>
  <c r="T11" i="4"/>
  <c r="T12" i="4"/>
  <c r="T13" i="4"/>
  <c r="M14" i="2" l="1"/>
  <c r="L14" i="2" s="1"/>
  <c r="D2" i="19"/>
  <c r="D5" i="19"/>
  <c r="D6" i="19"/>
  <c r="D7" i="19"/>
  <c r="D8" i="19"/>
  <c r="D9" i="19"/>
  <c r="D10" i="19"/>
  <c r="D11" i="19"/>
  <c r="D12" i="19"/>
  <c r="D13" i="19"/>
  <c r="D14" i="19"/>
  <c r="D15" i="19"/>
  <c r="D16" i="19"/>
  <c r="D17" i="19"/>
  <c r="D18" i="19"/>
  <c r="D19" i="19"/>
  <c r="D20" i="19"/>
  <c r="D21" i="19"/>
  <c r="D22" i="19"/>
  <c r="D23" i="19"/>
  <c r="D24" i="19"/>
  <c r="D25" i="19"/>
  <c r="D26" i="19"/>
  <c r="D27" i="19"/>
  <c r="D28" i="19"/>
  <c r="D29" i="19"/>
  <c r="D30" i="19"/>
  <c r="D31" i="19"/>
  <c r="D32" i="19"/>
  <c r="D33" i="19"/>
  <c r="D34" i="19"/>
  <c r="D35" i="19"/>
  <c r="D36" i="19"/>
  <c r="D37" i="19"/>
  <c r="D38" i="19"/>
  <c r="D39" i="19"/>
  <c r="D40" i="19"/>
  <c r="D41" i="19"/>
  <c r="D42" i="19"/>
  <c r="D43" i="19"/>
  <c r="D44" i="19"/>
  <c r="D45" i="19"/>
  <c r="D46" i="19"/>
  <c r="D47" i="19"/>
  <c r="D48" i="19"/>
  <c r="D49" i="19"/>
  <c r="D50" i="19"/>
  <c r="D51" i="19"/>
  <c r="D52" i="19"/>
  <c r="D53" i="19"/>
  <c r="D54" i="19"/>
  <c r="D55" i="19"/>
  <c r="D56" i="19"/>
  <c r="D57" i="19"/>
  <c r="D58" i="19"/>
  <c r="D59" i="19"/>
  <c r="D60" i="19"/>
  <c r="D61" i="19"/>
  <c r="D62" i="19"/>
  <c r="D63" i="19"/>
  <c r="D64" i="19"/>
  <c r="D65" i="19"/>
  <c r="D66" i="19"/>
  <c r="D67" i="19"/>
  <c r="D68" i="19"/>
  <c r="D69" i="19"/>
  <c r="D70" i="19"/>
  <c r="D71" i="19"/>
  <c r="D72" i="19"/>
  <c r="D73" i="19"/>
  <c r="D74" i="19"/>
  <c r="D75" i="19"/>
  <c r="D76" i="19"/>
  <c r="D77" i="19"/>
  <c r="D78" i="19"/>
  <c r="D79" i="19"/>
  <c r="D80" i="19"/>
  <c r="D81" i="19"/>
  <c r="D82" i="19"/>
  <c r="D83" i="19"/>
  <c r="D84" i="19"/>
  <c r="D85" i="19"/>
  <c r="D86" i="19"/>
  <c r="D87" i="19"/>
  <c r="D88" i="19"/>
  <c r="D89" i="19"/>
  <c r="D90" i="19"/>
  <c r="D91" i="19"/>
  <c r="D92" i="19"/>
  <c r="D93" i="19"/>
  <c r="D94" i="19"/>
  <c r="D95" i="19"/>
  <c r="D96" i="19"/>
  <c r="D97" i="19"/>
  <c r="D98" i="19"/>
  <c r="D99" i="19"/>
  <c r="D100" i="19"/>
  <c r="D101" i="19"/>
  <c r="D102" i="19"/>
  <c r="D103" i="19"/>
  <c r="D104" i="19"/>
  <c r="D105" i="19"/>
  <c r="D106" i="19"/>
  <c r="D107" i="19"/>
  <c r="D108" i="19"/>
  <c r="D109" i="19"/>
  <c r="D110" i="19"/>
  <c r="D111" i="19"/>
  <c r="D112" i="19"/>
  <c r="D113" i="19"/>
  <c r="D114" i="19"/>
  <c r="D115" i="19"/>
  <c r="D116" i="19"/>
  <c r="D117" i="19"/>
  <c r="D118" i="19"/>
  <c r="D119" i="19"/>
  <c r="D120" i="19"/>
  <c r="D121" i="19"/>
  <c r="D122" i="19"/>
  <c r="D123" i="19"/>
  <c r="D124" i="19"/>
  <c r="D125" i="19"/>
  <c r="D126" i="19"/>
  <c r="D127" i="19"/>
  <c r="D128" i="19"/>
  <c r="D129" i="19"/>
  <c r="D130" i="19"/>
  <c r="D131" i="19"/>
  <c r="D132" i="19"/>
  <c r="D133" i="19"/>
  <c r="D134" i="19"/>
  <c r="D135" i="19"/>
  <c r="D136" i="19"/>
  <c r="D137" i="19"/>
  <c r="D138" i="19"/>
  <c r="D139" i="19"/>
  <c r="D140" i="19"/>
  <c r="D141" i="19"/>
  <c r="D142" i="19"/>
  <c r="D143" i="19"/>
  <c r="D144" i="19"/>
  <c r="D145" i="19"/>
  <c r="D146" i="19"/>
  <c r="D147" i="19"/>
  <c r="D148" i="19"/>
  <c r="D149" i="19"/>
  <c r="D150" i="19"/>
  <c r="D151" i="19"/>
  <c r="D152" i="19"/>
  <c r="D153" i="19"/>
  <c r="D154" i="19"/>
  <c r="D155" i="19"/>
  <c r="D156" i="19"/>
  <c r="D157" i="19"/>
  <c r="D158" i="19"/>
  <c r="D159" i="19"/>
  <c r="D160" i="19"/>
  <c r="D161" i="19"/>
  <c r="D162" i="19"/>
  <c r="D163" i="19"/>
  <c r="D164" i="19"/>
  <c r="D165" i="19"/>
  <c r="D166" i="19"/>
  <c r="D167" i="19"/>
  <c r="D168" i="19"/>
  <c r="D169" i="19"/>
  <c r="D170" i="19"/>
  <c r="D171" i="19"/>
  <c r="D172" i="19"/>
  <c r="D173" i="19"/>
  <c r="D174" i="19"/>
  <c r="D175" i="19"/>
  <c r="D176" i="19"/>
  <c r="D177" i="19"/>
  <c r="D178" i="19"/>
  <c r="D179" i="19"/>
  <c r="D180" i="19"/>
  <c r="D181" i="19"/>
  <c r="D182" i="19"/>
  <c r="D183" i="19"/>
  <c r="D184" i="19"/>
  <c r="D185" i="19"/>
  <c r="D186" i="19"/>
  <c r="D187" i="19"/>
  <c r="D188" i="19"/>
  <c r="D189" i="19"/>
  <c r="D190" i="19"/>
  <c r="D191" i="19"/>
  <c r="D192" i="19"/>
  <c r="D193" i="19"/>
  <c r="D194" i="19"/>
  <c r="D195" i="19"/>
  <c r="D196" i="19"/>
  <c r="D197" i="19"/>
  <c r="D198" i="19"/>
  <c r="D199" i="19"/>
  <c r="D200" i="19"/>
  <c r="D201" i="19"/>
  <c r="D202" i="19"/>
  <c r="D203" i="19"/>
  <c r="D204" i="19"/>
  <c r="D205" i="19"/>
  <c r="D206" i="19"/>
  <c r="D207" i="19"/>
  <c r="D208" i="19"/>
  <c r="D209" i="19"/>
  <c r="D210" i="19"/>
  <c r="D211" i="19"/>
  <c r="D212" i="19"/>
  <c r="D213" i="19"/>
  <c r="D214" i="19"/>
  <c r="D215" i="19"/>
  <c r="D216" i="19"/>
  <c r="D217" i="19"/>
  <c r="D218" i="19"/>
  <c r="D219" i="19"/>
  <c r="D220" i="19"/>
  <c r="D221" i="19"/>
  <c r="D222" i="19"/>
  <c r="D223" i="19"/>
  <c r="D224" i="19"/>
  <c r="D225" i="19"/>
  <c r="D226" i="19"/>
  <c r="D227" i="19"/>
  <c r="D228" i="19"/>
  <c r="D229" i="19"/>
  <c r="D230" i="19"/>
  <c r="D231" i="19"/>
  <c r="D232" i="19"/>
  <c r="D233" i="19"/>
  <c r="D234" i="19"/>
  <c r="D235" i="19"/>
  <c r="D236" i="19"/>
  <c r="D237" i="19"/>
  <c r="D238" i="19"/>
  <c r="D239" i="19"/>
  <c r="D240" i="19"/>
  <c r="D241" i="19"/>
  <c r="D242" i="19"/>
  <c r="D243" i="19"/>
  <c r="D244" i="19"/>
  <c r="D245" i="19"/>
  <c r="D246" i="19"/>
  <c r="D247" i="19"/>
  <c r="D248" i="19"/>
  <c r="D249" i="19"/>
  <c r="D250" i="19"/>
  <c r="D251" i="19"/>
  <c r="D252" i="19"/>
  <c r="D253" i="19"/>
  <c r="D254" i="19"/>
  <c r="D255" i="19"/>
  <c r="D256" i="19"/>
  <c r="D257" i="19"/>
  <c r="D258" i="19"/>
  <c r="D259" i="19"/>
  <c r="D260" i="19"/>
  <c r="D261" i="19"/>
  <c r="D262" i="19"/>
  <c r="D263" i="19"/>
  <c r="D264" i="19"/>
  <c r="D265" i="19"/>
  <c r="D266" i="19"/>
  <c r="D267" i="19"/>
  <c r="D268" i="19"/>
  <c r="D269" i="19"/>
  <c r="D270" i="19"/>
  <c r="D271" i="19"/>
  <c r="D272" i="19"/>
  <c r="D273" i="19"/>
  <c r="D274" i="19"/>
  <c r="D275" i="19"/>
  <c r="D276" i="19"/>
  <c r="D277" i="19"/>
  <c r="D278" i="19"/>
  <c r="D279" i="19"/>
  <c r="D280" i="19"/>
  <c r="D281" i="19"/>
  <c r="D282" i="19"/>
  <c r="D283" i="19"/>
  <c r="D284" i="19"/>
  <c r="D285" i="19"/>
  <c r="D286" i="19"/>
  <c r="D287" i="19"/>
  <c r="D288" i="19"/>
  <c r="D289" i="19"/>
  <c r="D290" i="19"/>
  <c r="D291" i="19"/>
  <c r="D292" i="19"/>
  <c r="D293" i="19"/>
  <c r="D294" i="19"/>
  <c r="D295" i="19"/>
  <c r="D296" i="19"/>
  <c r="D297" i="19"/>
  <c r="D298" i="19"/>
  <c r="D299" i="19"/>
  <c r="D300" i="19"/>
  <c r="D301" i="19"/>
  <c r="D302" i="19"/>
  <c r="D303" i="19"/>
  <c r="D304" i="19"/>
  <c r="D305" i="19"/>
  <c r="D306" i="19"/>
  <c r="D307" i="19"/>
  <c r="D308" i="19"/>
  <c r="D309" i="19"/>
  <c r="D310" i="19"/>
  <c r="D311" i="19"/>
  <c r="D312" i="19"/>
  <c r="D313" i="19"/>
  <c r="D314" i="19"/>
  <c r="D315" i="19"/>
  <c r="D316" i="19"/>
  <c r="D317" i="19"/>
  <c r="D318" i="19"/>
  <c r="D319" i="19"/>
  <c r="D320" i="19"/>
  <c r="D321" i="19"/>
  <c r="D322" i="19"/>
  <c r="D323" i="19"/>
  <c r="D324" i="19"/>
  <c r="D325" i="19"/>
  <c r="D326" i="19"/>
  <c r="D327" i="19"/>
  <c r="D328" i="19"/>
  <c r="D329" i="19"/>
  <c r="D330" i="19"/>
  <c r="D331" i="19"/>
  <c r="D332" i="19"/>
  <c r="D333" i="19"/>
  <c r="D334" i="19"/>
  <c r="D335" i="19"/>
  <c r="D336" i="19"/>
  <c r="D337" i="19"/>
  <c r="D338" i="19"/>
  <c r="D339" i="19"/>
  <c r="D340" i="19"/>
  <c r="D341" i="19"/>
  <c r="D342" i="19"/>
  <c r="D343" i="19"/>
  <c r="D344" i="19"/>
  <c r="D345" i="19"/>
  <c r="D346" i="19"/>
  <c r="D347" i="19"/>
  <c r="D348" i="19"/>
  <c r="D349" i="19"/>
  <c r="D350" i="19"/>
  <c r="D351" i="19"/>
  <c r="D352" i="19"/>
  <c r="D353" i="19"/>
  <c r="D354" i="19"/>
  <c r="D355" i="19"/>
  <c r="D356" i="19"/>
  <c r="D357" i="19"/>
  <c r="D358" i="19"/>
  <c r="D359" i="19"/>
  <c r="D360" i="19"/>
  <c r="D361" i="19"/>
  <c r="D362" i="19"/>
  <c r="D363" i="19"/>
  <c r="D364" i="19"/>
  <c r="D365" i="19"/>
  <c r="D366" i="19"/>
  <c r="D367" i="19"/>
  <c r="D368" i="19"/>
  <c r="D369" i="19"/>
  <c r="D370" i="19"/>
  <c r="D371" i="19"/>
  <c r="D372" i="19"/>
  <c r="D373" i="19"/>
  <c r="D374" i="19"/>
  <c r="D375" i="19"/>
  <c r="D376" i="19"/>
  <c r="D377" i="19"/>
  <c r="D378" i="19"/>
  <c r="D379" i="19"/>
  <c r="D380" i="19"/>
  <c r="D381" i="19"/>
  <c r="D382" i="19"/>
  <c r="D383" i="19"/>
  <c r="D384" i="19"/>
  <c r="D385" i="19"/>
  <c r="D386" i="19"/>
  <c r="D387" i="19"/>
  <c r="D388" i="19"/>
  <c r="D389" i="19"/>
  <c r="D390" i="19"/>
  <c r="D391" i="19"/>
  <c r="D392" i="19"/>
  <c r="D393" i="19"/>
  <c r="D394" i="19"/>
  <c r="D395" i="19"/>
  <c r="D396" i="19"/>
  <c r="D397" i="19"/>
  <c r="D398" i="19"/>
  <c r="D399" i="19"/>
  <c r="D400" i="19"/>
  <c r="D401" i="19"/>
  <c r="D402" i="19"/>
  <c r="D403" i="19"/>
  <c r="D3" i="19"/>
  <c r="D4" i="19"/>
  <c r="I1300" i="6"/>
  <c r="I1301" i="6"/>
  <c r="I1302" i="6"/>
  <c r="I1303" i="6"/>
  <c r="I1304" i="6"/>
  <c r="I1305" i="6"/>
  <c r="I1306" i="6"/>
  <c r="I1307" i="6"/>
  <c r="I1308" i="6"/>
  <c r="I1309" i="6"/>
  <c r="I1310" i="6"/>
  <c r="I1311" i="6"/>
  <c r="I1312" i="6"/>
  <c r="I1313" i="6"/>
  <c r="I1314" i="6"/>
  <c r="I1315" i="6"/>
  <c r="I1316" i="6"/>
  <c r="I1317" i="6"/>
  <c r="I1318" i="6"/>
  <c r="I1319" i="6"/>
  <c r="I1320" i="6"/>
  <c r="I1321" i="6"/>
  <c r="I1322" i="6"/>
  <c r="I1323" i="6"/>
  <c r="I1324" i="6"/>
  <c r="I1325" i="6"/>
  <c r="I1326" i="6"/>
  <c r="I1327" i="6"/>
  <c r="I1328" i="6"/>
  <c r="I1329" i="6"/>
  <c r="I1330" i="6"/>
  <c r="I1331" i="6"/>
  <c r="I1332" i="6"/>
  <c r="I1333" i="6"/>
  <c r="I1334" i="6"/>
  <c r="I1335" i="6"/>
  <c r="I1336" i="6"/>
  <c r="I1337" i="6"/>
  <c r="I1338" i="6"/>
  <c r="I1339" i="6"/>
  <c r="I1340" i="6"/>
  <c r="I1341" i="6"/>
  <c r="I1342" i="6"/>
  <c r="I1343" i="6"/>
  <c r="I1344" i="6"/>
  <c r="I1345" i="6"/>
  <c r="I1346" i="6"/>
  <c r="I1347" i="6"/>
  <c r="I1348" i="6"/>
  <c r="I1349" i="6"/>
  <c r="I1350" i="6"/>
  <c r="I1351" i="6"/>
  <c r="I1352" i="6"/>
  <c r="I1353" i="6"/>
  <c r="I1354" i="6"/>
  <c r="I1355" i="6"/>
  <c r="I1356" i="6"/>
  <c r="I1357" i="6"/>
  <c r="I1358" i="6"/>
  <c r="I1359" i="6"/>
  <c r="I1360" i="6"/>
  <c r="I1361" i="6"/>
  <c r="I1362" i="6"/>
  <c r="I1363" i="6"/>
  <c r="I1364" i="6"/>
  <c r="I1365" i="6"/>
  <c r="I1366" i="6"/>
  <c r="I1367" i="6"/>
  <c r="I1368" i="6"/>
  <c r="I1369" i="6"/>
  <c r="I1370" i="6"/>
  <c r="I1371" i="6"/>
  <c r="I1372" i="6"/>
  <c r="I1373" i="6"/>
  <c r="I1374" i="6"/>
  <c r="I1375" i="6"/>
  <c r="I1376" i="6"/>
  <c r="I1377" i="6"/>
  <c r="I1378" i="6"/>
  <c r="I1379" i="6"/>
  <c r="I1380" i="6"/>
  <c r="I1381" i="6"/>
  <c r="I1382" i="6"/>
  <c r="I1383" i="6"/>
  <c r="I1384" i="6"/>
  <c r="I1385" i="6"/>
  <c r="I1386" i="6"/>
  <c r="I1387" i="6"/>
  <c r="I1388" i="6"/>
  <c r="I1389" i="6"/>
  <c r="I1390" i="6"/>
  <c r="I1391" i="6"/>
  <c r="I1392" i="6"/>
  <c r="I1393" i="6"/>
  <c r="I1394" i="6"/>
  <c r="I1395" i="6"/>
  <c r="I1396" i="6"/>
  <c r="I1397" i="6"/>
  <c r="I1398" i="6"/>
  <c r="I1399" i="6"/>
  <c r="I1400" i="6"/>
  <c r="I1401" i="6"/>
  <c r="I1402" i="6"/>
  <c r="I1403" i="6"/>
  <c r="I1404" i="6"/>
  <c r="I1405" i="6"/>
  <c r="I1406" i="6"/>
  <c r="I1407" i="6"/>
  <c r="I1408" i="6"/>
  <c r="I1409" i="6"/>
  <c r="I1410" i="6"/>
  <c r="I1411" i="6"/>
  <c r="I1412" i="6"/>
  <c r="I1413" i="6"/>
  <c r="I1414" i="6"/>
  <c r="I1415" i="6"/>
  <c r="I1416" i="6"/>
  <c r="I1417" i="6"/>
  <c r="I1418" i="6"/>
  <c r="I1419" i="6"/>
  <c r="I1420" i="6"/>
  <c r="I1421" i="6"/>
  <c r="I1422" i="6"/>
  <c r="I1423" i="6"/>
  <c r="I1424" i="6"/>
  <c r="I1425" i="6"/>
  <c r="I1426" i="6"/>
  <c r="I1427" i="6"/>
  <c r="I1428" i="6"/>
  <c r="I1429" i="6"/>
  <c r="I1430" i="6"/>
  <c r="I1431" i="6"/>
  <c r="I1432" i="6"/>
  <c r="I1433" i="6"/>
  <c r="I1434" i="6"/>
  <c r="I1435" i="6"/>
  <c r="I1436" i="6"/>
  <c r="I1437" i="6"/>
  <c r="I1438" i="6"/>
  <c r="I1439" i="6"/>
  <c r="I1440" i="6"/>
  <c r="I1441" i="6"/>
  <c r="I1442" i="6"/>
  <c r="I1443" i="6"/>
  <c r="I1444" i="6"/>
  <c r="I1445" i="6"/>
  <c r="I1446" i="6"/>
  <c r="I1447" i="6"/>
  <c r="I1448" i="6"/>
  <c r="I1449" i="6"/>
  <c r="I1450" i="6"/>
  <c r="I1451" i="6"/>
  <c r="I1452" i="6"/>
  <c r="I1453" i="6"/>
  <c r="I1454" i="6"/>
  <c r="I1455" i="6"/>
  <c r="I1456" i="6"/>
  <c r="I1457" i="6"/>
  <c r="I1458" i="6"/>
  <c r="I1459" i="6"/>
  <c r="I1460" i="6"/>
  <c r="I1461" i="6"/>
  <c r="I1462" i="6"/>
  <c r="I1463" i="6"/>
  <c r="I1464" i="6"/>
  <c r="I1465" i="6"/>
  <c r="I1466" i="6"/>
  <c r="I1467" i="6"/>
  <c r="I1468" i="6"/>
  <c r="I1469" i="6"/>
  <c r="I1470" i="6"/>
  <c r="I1471" i="6"/>
  <c r="I1472" i="6"/>
  <c r="I1473" i="6"/>
  <c r="I1474" i="6"/>
  <c r="I1475" i="6"/>
  <c r="I1476" i="6"/>
  <c r="I1477" i="6"/>
  <c r="I1478" i="6"/>
  <c r="I1479" i="6"/>
  <c r="I1480" i="6"/>
  <c r="I1481" i="6"/>
  <c r="I1482" i="6"/>
  <c r="I1483" i="6"/>
  <c r="I1484" i="6"/>
  <c r="I1485" i="6"/>
  <c r="I1486" i="6"/>
  <c r="I1487" i="6"/>
  <c r="I1488" i="6"/>
  <c r="I1489" i="6"/>
  <c r="I1490" i="6"/>
  <c r="I1491" i="6"/>
  <c r="I1492" i="6"/>
  <c r="I1493" i="6"/>
  <c r="I1494" i="6"/>
  <c r="I1495" i="6"/>
  <c r="I1496" i="6"/>
  <c r="I1497" i="6"/>
  <c r="I1498" i="6"/>
  <c r="I1499" i="6"/>
  <c r="I1500" i="6"/>
  <c r="I1501" i="6"/>
  <c r="I1502" i="6"/>
  <c r="I1503" i="6"/>
  <c r="I1504" i="6"/>
  <c r="I1505" i="6"/>
  <c r="I1506" i="6"/>
  <c r="I1507" i="6"/>
  <c r="I1508" i="6"/>
  <c r="I1509" i="6"/>
  <c r="I1510" i="6"/>
  <c r="I1511" i="6"/>
  <c r="I1512" i="6"/>
  <c r="I1513" i="6"/>
  <c r="I1514" i="6"/>
  <c r="I1515" i="6"/>
  <c r="I1516" i="6"/>
  <c r="I1517" i="6"/>
  <c r="I1518" i="6"/>
  <c r="I1519" i="6"/>
  <c r="I1520" i="6"/>
  <c r="I1521" i="6"/>
  <c r="I1522" i="6"/>
  <c r="I1523" i="6"/>
  <c r="I1524" i="6"/>
  <c r="I1525" i="6"/>
  <c r="I1526" i="6"/>
  <c r="I1527" i="6"/>
  <c r="I1528" i="6"/>
  <c r="I1529" i="6"/>
  <c r="I1530" i="6"/>
  <c r="I1531" i="6"/>
  <c r="I1532" i="6"/>
  <c r="I1533" i="6"/>
  <c r="I1534" i="6"/>
  <c r="I1535" i="6"/>
  <c r="I1536" i="6"/>
  <c r="I1537" i="6"/>
  <c r="I1538" i="6"/>
  <c r="I1539" i="6"/>
  <c r="I1540" i="6"/>
  <c r="I1541" i="6"/>
  <c r="I1542" i="6"/>
  <c r="I1543" i="6"/>
  <c r="I1544" i="6"/>
  <c r="I1545" i="6"/>
  <c r="I1546" i="6"/>
  <c r="I1547" i="6"/>
  <c r="I1548" i="6"/>
  <c r="I1549" i="6"/>
  <c r="I1550" i="6"/>
  <c r="I1551" i="6"/>
  <c r="I1552" i="6"/>
  <c r="I1553" i="6"/>
  <c r="I1554" i="6"/>
  <c r="I1555" i="6"/>
  <c r="I1556" i="6"/>
  <c r="I1557" i="6"/>
  <c r="I1558" i="6"/>
  <c r="I1559" i="6"/>
  <c r="I1560" i="6"/>
  <c r="I1561" i="6"/>
  <c r="I1562" i="6"/>
  <c r="I1563" i="6"/>
  <c r="I1564" i="6"/>
  <c r="I1565" i="6"/>
  <c r="I1566" i="6"/>
  <c r="I1567" i="6"/>
  <c r="I1568" i="6"/>
  <c r="I1569" i="6"/>
  <c r="I1570" i="6"/>
  <c r="I1571" i="6"/>
  <c r="I1572" i="6"/>
  <c r="I1573" i="6"/>
  <c r="I1574" i="6"/>
  <c r="I1575" i="6"/>
  <c r="I1576" i="6"/>
  <c r="I1577" i="6"/>
  <c r="I1578" i="6"/>
  <c r="I1579" i="6"/>
  <c r="I1580" i="6"/>
  <c r="I1581" i="6"/>
  <c r="I1582" i="6"/>
  <c r="I1583" i="6"/>
  <c r="I1584" i="6"/>
  <c r="I1585" i="6"/>
  <c r="I1586" i="6"/>
  <c r="I1587" i="6"/>
  <c r="I1588" i="6"/>
  <c r="I1589" i="6"/>
  <c r="I1590" i="6"/>
  <c r="I1591" i="6"/>
  <c r="I1592" i="6"/>
  <c r="I1593" i="6"/>
  <c r="I1594" i="6"/>
  <c r="I1595" i="6"/>
  <c r="I1596" i="6"/>
  <c r="I1597" i="6"/>
  <c r="I1598" i="6"/>
  <c r="I1599" i="6"/>
  <c r="I1600" i="6"/>
  <c r="I1601" i="6"/>
  <c r="I1602" i="6"/>
  <c r="I1603" i="6"/>
  <c r="I1604" i="6"/>
  <c r="I1605" i="6"/>
  <c r="I1606" i="6"/>
  <c r="I1607" i="6"/>
  <c r="I1608" i="6"/>
  <c r="I1609" i="6"/>
  <c r="I1610" i="6"/>
  <c r="I1611" i="6"/>
  <c r="I1612" i="6"/>
  <c r="I1613" i="6"/>
  <c r="I1614" i="6"/>
  <c r="I1615" i="6"/>
  <c r="I1616" i="6"/>
  <c r="I1617" i="6"/>
  <c r="I1618" i="6"/>
  <c r="I1619" i="6"/>
  <c r="I1620" i="6"/>
  <c r="I1621" i="6"/>
  <c r="I1622" i="6"/>
  <c r="I1623" i="6"/>
  <c r="I1624" i="6"/>
  <c r="I1625" i="6"/>
  <c r="I1626" i="6"/>
  <c r="I1627" i="6"/>
  <c r="I1628" i="6"/>
  <c r="I1629" i="6"/>
  <c r="I1630" i="6"/>
  <c r="I1631" i="6"/>
  <c r="I1632" i="6"/>
  <c r="I1633" i="6"/>
  <c r="I1634" i="6"/>
  <c r="I1635" i="6"/>
  <c r="I1636" i="6"/>
  <c r="I1637" i="6"/>
  <c r="I1638" i="6"/>
  <c r="I1639" i="6"/>
  <c r="I1640" i="6"/>
  <c r="I1641" i="6"/>
  <c r="I1642" i="6"/>
  <c r="I1643" i="6"/>
  <c r="I1644" i="6"/>
  <c r="I1645" i="6"/>
  <c r="I1646" i="6"/>
  <c r="I1647" i="6"/>
  <c r="I1648" i="6"/>
  <c r="I1649" i="6"/>
  <c r="I1650" i="6"/>
  <c r="I1651" i="6"/>
  <c r="I1652" i="6"/>
  <c r="I1653" i="6"/>
  <c r="I1654" i="6"/>
  <c r="I1655" i="6"/>
  <c r="I1656" i="6"/>
  <c r="I1657" i="6"/>
  <c r="I1658" i="6"/>
  <c r="I1659" i="6"/>
  <c r="I1660" i="6"/>
  <c r="I1661" i="6"/>
  <c r="I1662" i="6"/>
  <c r="I1663" i="6"/>
  <c r="I1664" i="6"/>
  <c r="I1665" i="6"/>
  <c r="I1666" i="6"/>
  <c r="I1667" i="6"/>
  <c r="I1668" i="6"/>
  <c r="I1669" i="6"/>
  <c r="I1670" i="6"/>
  <c r="I1671" i="6"/>
  <c r="I1672" i="6"/>
  <c r="I1673" i="6"/>
  <c r="I1674" i="6"/>
  <c r="I1675" i="6"/>
  <c r="I1676" i="6"/>
  <c r="I1677" i="6"/>
  <c r="I1678" i="6"/>
  <c r="I1679" i="6"/>
  <c r="I1680" i="6"/>
  <c r="I1681" i="6"/>
  <c r="I1682" i="6"/>
  <c r="I1683" i="6"/>
  <c r="I1684" i="6"/>
  <c r="I1685" i="6"/>
  <c r="I1686" i="6"/>
  <c r="I1687" i="6"/>
  <c r="I1688" i="6"/>
  <c r="I1689" i="6"/>
  <c r="I1690" i="6"/>
  <c r="I1691" i="6"/>
  <c r="I1692" i="6"/>
  <c r="I1693" i="6"/>
  <c r="I1694" i="6"/>
  <c r="I1695" i="6"/>
  <c r="I1696" i="6"/>
  <c r="I1697" i="6"/>
  <c r="I1698" i="6"/>
  <c r="I1699" i="6"/>
  <c r="I1700" i="6"/>
  <c r="I1701" i="6"/>
  <c r="I1702" i="6"/>
  <c r="I1703" i="6"/>
  <c r="I1704" i="6"/>
  <c r="I1705" i="6"/>
  <c r="I1706" i="6"/>
  <c r="I1707" i="6"/>
  <c r="I1708" i="6"/>
  <c r="I1709" i="6"/>
  <c r="I1710" i="6"/>
  <c r="I1711" i="6"/>
  <c r="I1712" i="6"/>
  <c r="I1713" i="6"/>
  <c r="I1714" i="6"/>
  <c r="I1715" i="6"/>
  <c r="I1716" i="6"/>
  <c r="I1717" i="6"/>
  <c r="I1718" i="6"/>
  <c r="I1719" i="6"/>
  <c r="I1720" i="6"/>
  <c r="I1721" i="6"/>
  <c r="I1722" i="6"/>
  <c r="I1723" i="6"/>
  <c r="I1724" i="6"/>
  <c r="I1725" i="6"/>
  <c r="I1726" i="6"/>
  <c r="I1727" i="6"/>
  <c r="I1728" i="6"/>
  <c r="I1729" i="6"/>
  <c r="I1730" i="6"/>
  <c r="I1731" i="6"/>
  <c r="I1732" i="6"/>
  <c r="I1733" i="6"/>
  <c r="I1734" i="6"/>
  <c r="I1735" i="6"/>
  <c r="I1736" i="6"/>
  <c r="I1737" i="6"/>
  <c r="I1738" i="6"/>
  <c r="I1739" i="6"/>
  <c r="I1740" i="6"/>
  <c r="I1741" i="6"/>
  <c r="I1742" i="6"/>
  <c r="I1743" i="6"/>
  <c r="I1744" i="6"/>
  <c r="I1745" i="6"/>
  <c r="I1746" i="6"/>
  <c r="I1747" i="6"/>
  <c r="I1748" i="6"/>
  <c r="I1749" i="6"/>
  <c r="I1750" i="6"/>
  <c r="I1751" i="6"/>
  <c r="I1752" i="6"/>
  <c r="I1753" i="6"/>
  <c r="I1754" i="6"/>
  <c r="I1755" i="6"/>
  <c r="I1756" i="6"/>
  <c r="I1757" i="6"/>
  <c r="I1758" i="6"/>
  <c r="I1759" i="6"/>
  <c r="I1760" i="6"/>
  <c r="I1761" i="6"/>
  <c r="I1762" i="6"/>
  <c r="I1763" i="6"/>
  <c r="I1764" i="6"/>
  <c r="I1765" i="6"/>
  <c r="I1766" i="6"/>
  <c r="I1767" i="6"/>
  <c r="I1768" i="6"/>
  <c r="I1769" i="6"/>
  <c r="I1770" i="6"/>
  <c r="I1771" i="6"/>
  <c r="I1772" i="6"/>
  <c r="I1773" i="6"/>
  <c r="I1774" i="6"/>
  <c r="I1775" i="6"/>
  <c r="I1776" i="6"/>
  <c r="I1777" i="6"/>
  <c r="I1778" i="6"/>
  <c r="I1779" i="6"/>
  <c r="I1780" i="6"/>
  <c r="I1781" i="6"/>
  <c r="I1782" i="6"/>
  <c r="I1783" i="6"/>
  <c r="I1784" i="6"/>
  <c r="I1785" i="6"/>
  <c r="I1786" i="6"/>
  <c r="I1787" i="6"/>
  <c r="I1788" i="6"/>
  <c r="I1789" i="6"/>
  <c r="I1790" i="6"/>
  <c r="I1791" i="6"/>
  <c r="I1792" i="6"/>
  <c r="I1793" i="6"/>
  <c r="I1794" i="6"/>
  <c r="I1795" i="6"/>
  <c r="I1796" i="6"/>
  <c r="I1797" i="6"/>
  <c r="I1798" i="6"/>
  <c r="I1799" i="6"/>
  <c r="I1800" i="6"/>
  <c r="I1801" i="6"/>
  <c r="I1802" i="6"/>
  <c r="I1803" i="6"/>
  <c r="I1804" i="6"/>
  <c r="I1805" i="6"/>
  <c r="I1806" i="6"/>
  <c r="I1807" i="6"/>
  <c r="I1808" i="6"/>
  <c r="I1809" i="6"/>
  <c r="I1810" i="6"/>
  <c r="I1811" i="6"/>
  <c r="I1812" i="6"/>
  <c r="I1813" i="6"/>
  <c r="I1814" i="6"/>
  <c r="I1815" i="6"/>
  <c r="I1816" i="6"/>
  <c r="I1817" i="6"/>
  <c r="I1818" i="6"/>
  <c r="I1819" i="6"/>
  <c r="I1820" i="6"/>
  <c r="I1821" i="6"/>
  <c r="I1822" i="6"/>
  <c r="I1823" i="6"/>
  <c r="I1824" i="6"/>
  <c r="I1825" i="6"/>
  <c r="I1826" i="6"/>
  <c r="I1827" i="6"/>
  <c r="I1828" i="6"/>
  <c r="I1829" i="6"/>
  <c r="I1830" i="6"/>
  <c r="I1831" i="6"/>
  <c r="I1832" i="6"/>
  <c r="I1833" i="6"/>
  <c r="I1834" i="6"/>
  <c r="I1835" i="6"/>
  <c r="I1836" i="6"/>
  <c r="I1837" i="6"/>
  <c r="I1838" i="6"/>
  <c r="I1839" i="6"/>
  <c r="I1840" i="6"/>
  <c r="I1841" i="6"/>
  <c r="I1842" i="6"/>
  <c r="I1843" i="6"/>
  <c r="I1844" i="6"/>
  <c r="I1845" i="6"/>
  <c r="I1846" i="6"/>
  <c r="I1847" i="6"/>
  <c r="I1848" i="6"/>
  <c r="I1849" i="6"/>
  <c r="I1850" i="6"/>
  <c r="I1851" i="6"/>
  <c r="I1852" i="6"/>
  <c r="I1853" i="6"/>
  <c r="I1854" i="6"/>
  <c r="I1855" i="6"/>
  <c r="I1856" i="6"/>
  <c r="I1857" i="6"/>
  <c r="I1858" i="6"/>
  <c r="I1859" i="6"/>
  <c r="I1860" i="6"/>
  <c r="I1861" i="6"/>
  <c r="I1862" i="6"/>
  <c r="I1863" i="6"/>
  <c r="I1864" i="6"/>
  <c r="I1865" i="6"/>
  <c r="I1866" i="6"/>
  <c r="I1867" i="6"/>
  <c r="I1868" i="6"/>
  <c r="I1869" i="6"/>
  <c r="I1870" i="6"/>
  <c r="I1871" i="6"/>
  <c r="I1872" i="6"/>
  <c r="I1873" i="6"/>
  <c r="I1874" i="6"/>
  <c r="I1875" i="6"/>
  <c r="I1876" i="6"/>
  <c r="I1877" i="6"/>
  <c r="I1878" i="6"/>
  <c r="I1879" i="6"/>
  <c r="I1880" i="6"/>
  <c r="I1881" i="6"/>
  <c r="I1882" i="6"/>
  <c r="I1883" i="6"/>
  <c r="I1884" i="6"/>
  <c r="I1885" i="6"/>
  <c r="I1886" i="6"/>
  <c r="I1887" i="6"/>
  <c r="I1888" i="6"/>
  <c r="I1889" i="6"/>
  <c r="I1890" i="6"/>
  <c r="I1891" i="6"/>
  <c r="I1892" i="6"/>
  <c r="I1893" i="6"/>
  <c r="I1894" i="6"/>
  <c r="I1895" i="6"/>
  <c r="I1896" i="6"/>
  <c r="I1897" i="6"/>
  <c r="I1898" i="6"/>
  <c r="I1899" i="6"/>
  <c r="I1900" i="6"/>
  <c r="I1901" i="6"/>
  <c r="I1902" i="6"/>
  <c r="I1903" i="6"/>
  <c r="I1904" i="6"/>
  <c r="I1905" i="6"/>
  <c r="I1906" i="6"/>
  <c r="I1907" i="6"/>
  <c r="I1908" i="6"/>
  <c r="I1909" i="6"/>
  <c r="I1910" i="6"/>
  <c r="I1911" i="6"/>
  <c r="I1912" i="6"/>
  <c r="I1913" i="6"/>
  <c r="I1914" i="6"/>
  <c r="I1915" i="6"/>
  <c r="I1916" i="6"/>
  <c r="I1917" i="6"/>
  <c r="I1918" i="6"/>
  <c r="I1919" i="6"/>
  <c r="I1920" i="6"/>
  <c r="I1921" i="6"/>
  <c r="I1922" i="6"/>
  <c r="I1923" i="6"/>
  <c r="I1924" i="6"/>
  <c r="I1925" i="6"/>
  <c r="I1926" i="6"/>
  <c r="I1927" i="6"/>
  <c r="I1928" i="6"/>
  <c r="I1929" i="6"/>
  <c r="I1930" i="6"/>
  <c r="I1931" i="6"/>
  <c r="I1932" i="6"/>
  <c r="I1933" i="6"/>
  <c r="I1934" i="6"/>
  <c r="I1935" i="6"/>
  <c r="I1936" i="6"/>
  <c r="I1937" i="6"/>
  <c r="I1938" i="6"/>
  <c r="I1939" i="6"/>
  <c r="I1940" i="6"/>
  <c r="I1941" i="6"/>
  <c r="I1942" i="6"/>
  <c r="I1943" i="6"/>
  <c r="I1944" i="6"/>
  <c r="I1945" i="6"/>
  <c r="I1946" i="6"/>
  <c r="I1947" i="6"/>
  <c r="I1948" i="6"/>
  <c r="I1949" i="6"/>
  <c r="I1950" i="6"/>
  <c r="I1951" i="6"/>
  <c r="I1952" i="6"/>
  <c r="I1953" i="6"/>
  <c r="I1954" i="6"/>
  <c r="I1955" i="6"/>
  <c r="I1956" i="6"/>
  <c r="I1957" i="6"/>
  <c r="I1958" i="6"/>
  <c r="I1959" i="6"/>
  <c r="I1960" i="6"/>
  <c r="I1961" i="6"/>
  <c r="I1962" i="6"/>
  <c r="I1963" i="6"/>
  <c r="I1964" i="6"/>
  <c r="I1965" i="6"/>
  <c r="I1966" i="6"/>
  <c r="I1967" i="6"/>
  <c r="I1968" i="6"/>
  <c r="I1969" i="6"/>
  <c r="I1970" i="6"/>
  <c r="I1971" i="6"/>
  <c r="I1972" i="6"/>
  <c r="I1973" i="6"/>
  <c r="I1974" i="6"/>
  <c r="I1975" i="6"/>
  <c r="I1976" i="6"/>
  <c r="I1977" i="6"/>
  <c r="I1978" i="6"/>
  <c r="I1979" i="6"/>
  <c r="I1980" i="6"/>
  <c r="I1981" i="6"/>
  <c r="I1982" i="6"/>
  <c r="I1983" i="6"/>
  <c r="I1984" i="6"/>
  <c r="I1985" i="6"/>
  <c r="I1986" i="6"/>
  <c r="I1987" i="6"/>
  <c r="I1988" i="6"/>
  <c r="I1989" i="6"/>
  <c r="I1990" i="6"/>
  <c r="I1991" i="6"/>
  <c r="I1992" i="6"/>
  <c r="I1993" i="6"/>
  <c r="I1994" i="6"/>
  <c r="I1995" i="6"/>
  <c r="I1996" i="6"/>
  <c r="I1997" i="6"/>
  <c r="I1998" i="6"/>
  <c r="I1999" i="6"/>
  <c r="I2000" i="6"/>
  <c r="I2001" i="6"/>
  <c r="I2002" i="6"/>
  <c r="I2003" i="6"/>
  <c r="I2004" i="6"/>
  <c r="I2005" i="6"/>
  <c r="I2006" i="6"/>
  <c r="I2007" i="6"/>
  <c r="I2008" i="6"/>
  <c r="I2009" i="6"/>
  <c r="I2010" i="6"/>
  <c r="I2011" i="6"/>
  <c r="I2012" i="6"/>
  <c r="I2013" i="6"/>
  <c r="I2014" i="6"/>
  <c r="I2015" i="6"/>
  <c r="I2016" i="6"/>
  <c r="I2017" i="6"/>
  <c r="I2018" i="6"/>
  <c r="I2019" i="6"/>
  <c r="I2020" i="6"/>
  <c r="I2021" i="6"/>
  <c r="I2022" i="6"/>
  <c r="I2023" i="6"/>
  <c r="I2024" i="6"/>
  <c r="I2025" i="6"/>
  <c r="I2026" i="6"/>
  <c r="I2027" i="6"/>
  <c r="I2028" i="6"/>
  <c r="I2029" i="6"/>
  <c r="I2030" i="6"/>
  <c r="I2031" i="6"/>
  <c r="I2032" i="6"/>
  <c r="I2033" i="6"/>
  <c r="I2034" i="6"/>
  <c r="I2035" i="6"/>
  <c r="I2036" i="6"/>
  <c r="I2037" i="6"/>
  <c r="I2038" i="6"/>
  <c r="I2039" i="6"/>
  <c r="I2040" i="6"/>
  <c r="I2041" i="6"/>
  <c r="I2042" i="6"/>
  <c r="I2043" i="6"/>
  <c r="I2044" i="6"/>
  <c r="I2045" i="6"/>
  <c r="I2046" i="6"/>
  <c r="I2047" i="6"/>
  <c r="I2048" i="6"/>
  <c r="I2049" i="6"/>
  <c r="I2050" i="6"/>
  <c r="I2051" i="6"/>
  <c r="I2052" i="6"/>
  <c r="I2053" i="6"/>
  <c r="I2054" i="6"/>
  <c r="I2055" i="6"/>
  <c r="I2056" i="6"/>
  <c r="I2057" i="6"/>
  <c r="I2058" i="6"/>
  <c r="I2059" i="6"/>
  <c r="I2060" i="6"/>
  <c r="I2061" i="6"/>
  <c r="I2062" i="6"/>
  <c r="I2063" i="6"/>
  <c r="I2064" i="6"/>
  <c r="I2065" i="6"/>
  <c r="I2066" i="6"/>
  <c r="I2067" i="6"/>
  <c r="I2068" i="6"/>
  <c r="I2069" i="6"/>
  <c r="I2070" i="6"/>
  <c r="I2071" i="6"/>
  <c r="I2072" i="6"/>
  <c r="I2073" i="6"/>
  <c r="I2074" i="6"/>
  <c r="I2075" i="6"/>
  <c r="I2076" i="6"/>
  <c r="I2077" i="6"/>
  <c r="I2078" i="6"/>
  <c r="I2079" i="6"/>
  <c r="I2080" i="6"/>
  <c r="H1282" i="6"/>
  <c r="I1282" i="6" s="1"/>
  <c r="H1283" i="6"/>
  <c r="I1283" i="6" s="1"/>
  <c r="H1284" i="6"/>
  <c r="I1284" i="6" s="1"/>
  <c r="H1285" i="6"/>
  <c r="I1285" i="6" s="1"/>
  <c r="H1286" i="6"/>
  <c r="I1286" i="6" s="1"/>
  <c r="H1287" i="6"/>
  <c r="I1287" i="6" s="1"/>
  <c r="H1288" i="6"/>
  <c r="I1288" i="6" s="1"/>
  <c r="H1289" i="6"/>
  <c r="I1289" i="6" s="1"/>
  <c r="H1290" i="6"/>
  <c r="I1290" i="6" s="1"/>
  <c r="H1291" i="6"/>
  <c r="I1291" i="6" s="1"/>
  <c r="H1292" i="6"/>
  <c r="I1292" i="6" s="1"/>
  <c r="H1293" i="6"/>
  <c r="I1293" i="6" s="1"/>
  <c r="H1294" i="6"/>
  <c r="I1294" i="6" s="1"/>
  <c r="H1295" i="6"/>
  <c r="I1295" i="6" s="1"/>
  <c r="H1296" i="6"/>
  <c r="I1296" i="6" s="1"/>
  <c r="H1297" i="6"/>
  <c r="I1297" i="6" s="1"/>
  <c r="H1298" i="6"/>
  <c r="I1298" i="6" s="1"/>
  <c r="H1299" i="6"/>
  <c r="I1299" i="6" s="1"/>
  <c r="H1300" i="6"/>
  <c r="H1301" i="6"/>
  <c r="H1302" i="6"/>
  <c r="H1303" i="6"/>
  <c r="H1304" i="6"/>
  <c r="H1305" i="6"/>
  <c r="H1306" i="6"/>
  <c r="H1307" i="6"/>
  <c r="H1308" i="6"/>
  <c r="H1309" i="6"/>
  <c r="H1310" i="6"/>
  <c r="H1311" i="6"/>
  <c r="H1312" i="6"/>
  <c r="H1313" i="6"/>
  <c r="H1314" i="6"/>
  <c r="H1315" i="6"/>
  <c r="H1316" i="6"/>
  <c r="H1317" i="6"/>
  <c r="H1318" i="6"/>
  <c r="H1319" i="6"/>
  <c r="H1320" i="6"/>
  <c r="H1321" i="6"/>
  <c r="H1322" i="6"/>
  <c r="H1323" i="6"/>
  <c r="H1324" i="6"/>
  <c r="H1325" i="6"/>
  <c r="H1326" i="6"/>
  <c r="H1327" i="6"/>
  <c r="H1328" i="6"/>
  <c r="H1329" i="6"/>
  <c r="H1330" i="6"/>
  <c r="H1331" i="6"/>
  <c r="H1332" i="6"/>
  <c r="H1333" i="6"/>
  <c r="H1334" i="6"/>
  <c r="H1335" i="6"/>
  <c r="H1336" i="6"/>
  <c r="H1337" i="6"/>
  <c r="H1338" i="6"/>
  <c r="H1339" i="6"/>
  <c r="H1340" i="6"/>
  <c r="H1341" i="6"/>
  <c r="H1342" i="6"/>
  <c r="H1343" i="6"/>
  <c r="H1344" i="6"/>
  <c r="H1345" i="6"/>
  <c r="H1346" i="6"/>
  <c r="H1347" i="6"/>
  <c r="H1348" i="6"/>
  <c r="H1349" i="6"/>
  <c r="H1350" i="6"/>
  <c r="H1351" i="6"/>
  <c r="H1352" i="6"/>
  <c r="H1353" i="6"/>
  <c r="H1354" i="6"/>
  <c r="H1355" i="6"/>
  <c r="H1356" i="6"/>
  <c r="H1357" i="6"/>
  <c r="H1358" i="6"/>
  <c r="H1359" i="6"/>
  <c r="H1360" i="6"/>
  <c r="H1361" i="6"/>
  <c r="H1362" i="6"/>
  <c r="H1363" i="6"/>
  <c r="H1364" i="6"/>
  <c r="H1365" i="6"/>
  <c r="H1366" i="6"/>
  <c r="H1367" i="6"/>
  <c r="H1368" i="6"/>
  <c r="H1369" i="6"/>
  <c r="H1370" i="6"/>
  <c r="H1371" i="6"/>
  <c r="H1372" i="6"/>
  <c r="H1373" i="6"/>
  <c r="H1374" i="6"/>
  <c r="H1375" i="6"/>
  <c r="H1376" i="6"/>
  <c r="H1377" i="6"/>
  <c r="H1378" i="6"/>
  <c r="H1379" i="6"/>
  <c r="H1380" i="6"/>
  <c r="H1381" i="6"/>
  <c r="H1382" i="6"/>
  <c r="H1383" i="6"/>
  <c r="H1384" i="6"/>
  <c r="H1385" i="6"/>
  <c r="H1386" i="6"/>
  <c r="H1387" i="6"/>
  <c r="H1388" i="6"/>
  <c r="H1389" i="6"/>
  <c r="H1390" i="6"/>
  <c r="H1391" i="6"/>
  <c r="H1392" i="6"/>
  <c r="H1393" i="6"/>
  <c r="H1394" i="6"/>
  <c r="H1395" i="6"/>
  <c r="H1396" i="6"/>
  <c r="H1397" i="6"/>
  <c r="H1398" i="6"/>
  <c r="H1399" i="6"/>
  <c r="H1400" i="6"/>
  <c r="H1401" i="6"/>
  <c r="H1402" i="6"/>
  <c r="H1403" i="6"/>
  <c r="H1404" i="6"/>
  <c r="H1405" i="6"/>
  <c r="H1406" i="6"/>
  <c r="H1407" i="6"/>
  <c r="H1408" i="6"/>
  <c r="H1409" i="6"/>
  <c r="H1410" i="6"/>
  <c r="H1411" i="6"/>
  <c r="H1412" i="6"/>
  <c r="H1413" i="6"/>
  <c r="H1414" i="6"/>
  <c r="H1415" i="6"/>
  <c r="H1416" i="6"/>
  <c r="H1417" i="6"/>
  <c r="H1418" i="6"/>
  <c r="H1419" i="6"/>
  <c r="H1420" i="6"/>
  <c r="H1421" i="6"/>
  <c r="H1422" i="6"/>
  <c r="H1423" i="6"/>
  <c r="H1424" i="6"/>
  <c r="H1425" i="6"/>
  <c r="H1426" i="6"/>
  <c r="H1427" i="6"/>
  <c r="H1428" i="6"/>
  <c r="H1429" i="6"/>
  <c r="H1430" i="6"/>
  <c r="H1431" i="6"/>
  <c r="H1432" i="6"/>
  <c r="H1433" i="6"/>
  <c r="H1434" i="6"/>
  <c r="H1435" i="6"/>
  <c r="H1436" i="6"/>
  <c r="H1437" i="6"/>
  <c r="H1438" i="6"/>
  <c r="H1439" i="6"/>
  <c r="H1440" i="6"/>
  <c r="H1441" i="6"/>
  <c r="H1442" i="6"/>
  <c r="H1443" i="6"/>
  <c r="H1444" i="6"/>
  <c r="H1445" i="6"/>
  <c r="H1446" i="6"/>
  <c r="H1447" i="6"/>
  <c r="H1448" i="6"/>
  <c r="H1449" i="6"/>
  <c r="H1450" i="6"/>
  <c r="H1451" i="6"/>
  <c r="H1452" i="6"/>
  <c r="H1453" i="6"/>
  <c r="H1454" i="6"/>
  <c r="H1455" i="6"/>
  <c r="H1456" i="6"/>
  <c r="H1457" i="6"/>
  <c r="H1458" i="6"/>
  <c r="H1459" i="6"/>
  <c r="H1460" i="6"/>
  <c r="H1461" i="6"/>
  <c r="H1462" i="6"/>
  <c r="H1463" i="6"/>
  <c r="H1464" i="6"/>
  <c r="H1465" i="6"/>
  <c r="H1466" i="6"/>
  <c r="H1467" i="6"/>
  <c r="H1468" i="6"/>
  <c r="H1469" i="6"/>
  <c r="H1470" i="6"/>
  <c r="H1471" i="6"/>
  <c r="H1472" i="6"/>
  <c r="H1473" i="6"/>
  <c r="H1474" i="6"/>
  <c r="H1475" i="6"/>
  <c r="H1476" i="6"/>
  <c r="H1477" i="6"/>
  <c r="H1478" i="6"/>
  <c r="H1479" i="6"/>
  <c r="H1480" i="6"/>
  <c r="H1481" i="6"/>
  <c r="H1482" i="6"/>
  <c r="H1483" i="6"/>
  <c r="H1484" i="6"/>
  <c r="H1485" i="6"/>
  <c r="H1486" i="6"/>
  <c r="H1487" i="6"/>
  <c r="H1488" i="6"/>
  <c r="H1489" i="6"/>
  <c r="H1490" i="6"/>
  <c r="H1491" i="6"/>
  <c r="H1492" i="6"/>
  <c r="H1493" i="6"/>
  <c r="H1494" i="6"/>
  <c r="H1495" i="6"/>
  <c r="H1496" i="6"/>
  <c r="H1497" i="6"/>
  <c r="H1498" i="6"/>
  <c r="H1499" i="6"/>
  <c r="H1500" i="6"/>
  <c r="H1501" i="6"/>
  <c r="H1502" i="6"/>
  <c r="H1503" i="6"/>
  <c r="H1504" i="6"/>
  <c r="H1505" i="6"/>
  <c r="H1506" i="6"/>
  <c r="H1507" i="6"/>
  <c r="H1508" i="6"/>
  <c r="H1509" i="6"/>
  <c r="H1510" i="6"/>
  <c r="H1511" i="6"/>
  <c r="H1512" i="6"/>
  <c r="H1513" i="6"/>
  <c r="H1514" i="6"/>
  <c r="H1515" i="6"/>
  <c r="H1516" i="6"/>
  <c r="H1517" i="6"/>
  <c r="H1518" i="6"/>
  <c r="H1519" i="6"/>
  <c r="H1520" i="6"/>
  <c r="H1521" i="6"/>
  <c r="H1522" i="6"/>
  <c r="H1523" i="6"/>
  <c r="H1524" i="6"/>
  <c r="H1525" i="6"/>
  <c r="H1526" i="6"/>
  <c r="H1527" i="6"/>
  <c r="H1528" i="6"/>
  <c r="H1529" i="6"/>
  <c r="H1530" i="6"/>
  <c r="H1531" i="6"/>
  <c r="H1532" i="6"/>
  <c r="H1533" i="6"/>
  <c r="H1534" i="6"/>
  <c r="H1535" i="6"/>
  <c r="H1536" i="6"/>
  <c r="H1537" i="6"/>
  <c r="H1538" i="6"/>
  <c r="H1539" i="6"/>
  <c r="H1540" i="6"/>
  <c r="H1541" i="6"/>
  <c r="H1542" i="6"/>
  <c r="H1543" i="6"/>
  <c r="H1544" i="6"/>
  <c r="H1545" i="6"/>
  <c r="H1546" i="6"/>
  <c r="H1547" i="6"/>
  <c r="H1548" i="6"/>
  <c r="H1549" i="6"/>
  <c r="H1550" i="6"/>
  <c r="H1551" i="6"/>
  <c r="H1552" i="6"/>
  <c r="H1553" i="6"/>
  <c r="H1554" i="6"/>
  <c r="H1555" i="6"/>
  <c r="H1556" i="6"/>
  <c r="H1557" i="6"/>
  <c r="H1558" i="6"/>
  <c r="H1559" i="6"/>
  <c r="H1560" i="6"/>
  <c r="H1561" i="6"/>
  <c r="H1562" i="6"/>
  <c r="H1563" i="6"/>
  <c r="H1564" i="6"/>
  <c r="H1565" i="6"/>
  <c r="H1566" i="6"/>
  <c r="H1567" i="6"/>
  <c r="H1568" i="6"/>
  <c r="H1569" i="6"/>
  <c r="H1570" i="6"/>
  <c r="H1571" i="6"/>
  <c r="H1572" i="6"/>
  <c r="H1573" i="6"/>
  <c r="H1574" i="6"/>
  <c r="H1575" i="6"/>
  <c r="H1576" i="6"/>
  <c r="H1577" i="6"/>
  <c r="H1578" i="6"/>
  <c r="H1579" i="6"/>
  <c r="H1580" i="6"/>
  <c r="H1581" i="6"/>
  <c r="H1582" i="6"/>
  <c r="H1583" i="6"/>
  <c r="H1584" i="6"/>
  <c r="H1585" i="6"/>
  <c r="H1586" i="6"/>
  <c r="H1587" i="6"/>
  <c r="H1588" i="6"/>
  <c r="H1589" i="6"/>
  <c r="H1590" i="6"/>
  <c r="H1591" i="6"/>
  <c r="H1592" i="6"/>
  <c r="H1593" i="6"/>
  <c r="H1594" i="6"/>
  <c r="H1595" i="6"/>
  <c r="H1596" i="6"/>
  <c r="H1597" i="6"/>
  <c r="H1598" i="6"/>
  <c r="H1599" i="6"/>
  <c r="H1600" i="6"/>
  <c r="H1601" i="6"/>
  <c r="H1602" i="6"/>
  <c r="H1603" i="6"/>
  <c r="H1604" i="6"/>
  <c r="H1605" i="6"/>
  <c r="H1606" i="6"/>
  <c r="H1607" i="6"/>
  <c r="H1608" i="6"/>
  <c r="H1609" i="6"/>
  <c r="H1610" i="6"/>
  <c r="H1611" i="6"/>
  <c r="H1612" i="6"/>
  <c r="H1613" i="6"/>
  <c r="H1614" i="6"/>
  <c r="H1615" i="6"/>
  <c r="H1616" i="6"/>
  <c r="H1617" i="6"/>
  <c r="H1618" i="6"/>
  <c r="H1619" i="6"/>
  <c r="H1620" i="6"/>
  <c r="H1621" i="6"/>
  <c r="H1622" i="6"/>
  <c r="H1623" i="6"/>
  <c r="H1624" i="6"/>
  <c r="H1625" i="6"/>
  <c r="H1626" i="6"/>
  <c r="H1627" i="6"/>
  <c r="H1628" i="6"/>
  <c r="H1629" i="6"/>
  <c r="H1630" i="6"/>
  <c r="H1631" i="6"/>
  <c r="H1632" i="6"/>
  <c r="H1633" i="6"/>
  <c r="H1634" i="6"/>
  <c r="H1635" i="6"/>
  <c r="H1636" i="6"/>
  <c r="H1637" i="6"/>
  <c r="H1638" i="6"/>
  <c r="H1639" i="6"/>
  <c r="H1640" i="6"/>
  <c r="H1641" i="6"/>
  <c r="H1642" i="6"/>
  <c r="H1643" i="6"/>
  <c r="H1644" i="6"/>
  <c r="H1645" i="6"/>
  <c r="H1646" i="6"/>
  <c r="H1647" i="6"/>
  <c r="H1648" i="6"/>
  <c r="H1649" i="6"/>
  <c r="H1650" i="6"/>
  <c r="H1651" i="6"/>
  <c r="H1652" i="6"/>
  <c r="H1653" i="6"/>
  <c r="H1654" i="6"/>
  <c r="H1655" i="6"/>
  <c r="H1656" i="6"/>
  <c r="H1657" i="6"/>
  <c r="H1658" i="6"/>
  <c r="H1659" i="6"/>
  <c r="H1660" i="6"/>
  <c r="H1661" i="6"/>
  <c r="H1662" i="6"/>
  <c r="H1663" i="6"/>
  <c r="H1664" i="6"/>
  <c r="H1665" i="6"/>
  <c r="H1666" i="6"/>
  <c r="H1667" i="6"/>
  <c r="H1668" i="6"/>
  <c r="H1669" i="6"/>
  <c r="H1670" i="6"/>
  <c r="H1671" i="6"/>
  <c r="H1672" i="6"/>
  <c r="H1673" i="6"/>
  <c r="H1674" i="6"/>
  <c r="H1675" i="6"/>
  <c r="H1676" i="6"/>
  <c r="H1677" i="6"/>
  <c r="H1678" i="6"/>
  <c r="H1679" i="6"/>
  <c r="H1680" i="6"/>
  <c r="H1681" i="6"/>
  <c r="H1682" i="6"/>
  <c r="H1683" i="6"/>
  <c r="H1684" i="6"/>
  <c r="H1685" i="6"/>
  <c r="H1686" i="6"/>
  <c r="H1687" i="6"/>
  <c r="H1688" i="6"/>
  <c r="H1689" i="6"/>
  <c r="H1690" i="6"/>
  <c r="H1691" i="6"/>
  <c r="H1692" i="6"/>
  <c r="H1693" i="6"/>
  <c r="H1694" i="6"/>
  <c r="H1695" i="6"/>
  <c r="H1696" i="6"/>
  <c r="H1697" i="6"/>
  <c r="H1698" i="6"/>
  <c r="H1699" i="6"/>
  <c r="H1700" i="6"/>
  <c r="H1701" i="6"/>
  <c r="H1702" i="6"/>
  <c r="H1703" i="6"/>
  <c r="H1704" i="6"/>
  <c r="H1705" i="6"/>
  <c r="H1706" i="6"/>
  <c r="H1707" i="6"/>
  <c r="H1708" i="6"/>
  <c r="H1709" i="6"/>
  <c r="H1710" i="6"/>
  <c r="H1711" i="6"/>
  <c r="H1712" i="6"/>
  <c r="H1713" i="6"/>
  <c r="H1714" i="6"/>
  <c r="H1715" i="6"/>
  <c r="H1716" i="6"/>
  <c r="H1717" i="6"/>
  <c r="H1718" i="6"/>
  <c r="H1719" i="6"/>
  <c r="H1720" i="6"/>
  <c r="H1721" i="6"/>
  <c r="H1722" i="6"/>
  <c r="H1723" i="6"/>
  <c r="H1724" i="6"/>
  <c r="H1725" i="6"/>
  <c r="H1726" i="6"/>
  <c r="H1727" i="6"/>
  <c r="H1728" i="6"/>
  <c r="H1729" i="6"/>
  <c r="H1730" i="6"/>
  <c r="H1731" i="6"/>
  <c r="H1732" i="6"/>
  <c r="H1733" i="6"/>
  <c r="H1734" i="6"/>
  <c r="H1735" i="6"/>
  <c r="H1736" i="6"/>
  <c r="H1737" i="6"/>
  <c r="H1738" i="6"/>
  <c r="H1739" i="6"/>
  <c r="H1740" i="6"/>
  <c r="H1741" i="6"/>
  <c r="H1742" i="6"/>
  <c r="H1743" i="6"/>
  <c r="H1744" i="6"/>
  <c r="H1745" i="6"/>
  <c r="H1746" i="6"/>
  <c r="H1747" i="6"/>
  <c r="H1748" i="6"/>
  <c r="H1749" i="6"/>
  <c r="H1750" i="6"/>
  <c r="H1751" i="6"/>
  <c r="H1752" i="6"/>
  <c r="H1753" i="6"/>
  <c r="H1754" i="6"/>
  <c r="H1755" i="6"/>
  <c r="H1756" i="6"/>
  <c r="H1757" i="6"/>
  <c r="H1758" i="6"/>
  <c r="H1759" i="6"/>
  <c r="H1760" i="6"/>
  <c r="H1761" i="6"/>
  <c r="H1762" i="6"/>
  <c r="H1763" i="6"/>
  <c r="H1764" i="6"/>
  <c r="H1765" i="6"/>
  <c r="H1766" i="6"/>
  <c r="H1767" i="6"/>
  <c r="H1768" i="6"/>
  <c r="H1769" i="6"/>
  <c r="H1770" i="6"/>
  <c r="H1771" i="6"/>
  <c r="H1772" i="6"/>
  <c r="H1773" i="6"/>
  <c r="H1774" i="6"/>
  <c r="H1775" i="6"/>
  <c r="H1776" i="6"/>
  <c r="H1777" i="6"/>
  <c r="H1778" i="6"/>
  <c r="H1779" i="6"/>
  <c r="H1780" i="6"/>
  <c r="H1781" i="6"/>
  <c r="H1782" i="6"/>
  <c r="H1783" i="6"/>
  <c r="H1784" i="6"/>
  <c r="H1785" i="6"/>
  <c r="H1786" i="6"/>
  <c r="H1787" i="6"/>
  <c r="H1788" i="6"/>
  <c r="H1789" i="6"/>
  <c r="H1790" i="6"/>
  <c r="H1791" i="6"/>
  <c r="H1792" i="6"/>
  <c r="H1793" i="6"/>
  <c r="H1794" i="6"/>
  <c r="H1795" i="6"/>
  <c r="H1796" i="6"/>
  <c r="H1797" i="6"/>
  <c r="H1798" i="6"/>
  <c r="H1799" i="6"/>
  <c r="H1800" i="6"/>
  <c r="H1801" i="6"/>
  <c r="H1802" i="6"/>
  <c r="H1803" i="6"/>
  <c r="H1804" i="6"/>
  <c r="H1805" i="6"/>
  <c r="H1806" i="6"/>
  <c r="H1807" i="6"/>
  <c r="H1808" i="6"/>
  <c r="H1809" i="6"/>
  <c r="H1810" i="6"/>
  <c r="H1811" i="6"/>
  <c r="H1812" i="6"/>
  <c r="H1813" i="6"/>
  <c r="H1814" i="6"/>
  <c r="H1815" i="6"/>
  <c r="H1816" i="6"/>
  <c r="H1817" i="6"/>
  <c r="H1818" i="6"/>
  <c r="H1819" i="6"/>
  <c r="H1820" i="6"/>
  <c r="H1821" i="6"/>
  <c r="H1822" i="6"/>
  <c r="H1823" i="6"/>
  <c r="H1824" i="6"/>
  <c r="H1825" i="6"/>
  <c r="H1826" i="6"/>
  <c r="H1827" i="6"/>
  <c r="H1828" i="6"/>
  <c r="H1829" i="6"/>
  <c r="H1830" i="6"/>
  <c r="H1831" i="6"/>
  <c r="H1832" i="6"/>
  <c r="H1833" i="6"/>
  <c r="H1834" i="6"/>
  <c r="H1835" i="6"/>
  <c r="H1836" i="6"/>
  <c r="H1837" i="6"/>
  <c r="H1838" i="6"/>
  <c r="H1839" i="6"/>
  <c r="H1840" i="6"/>
  <c r="H1841" i="6"/>
  <c r="H1842" i="6"/>
  <c r="H1843" i="6"/>
  <c r="H1844" i="6"/>
  <c r="H1845" i="6"/>
  <c r="H1846" i="6"/>
  <c r="H1847" i="6"/>
  <c r="H1848" i="6"/>
  <c r="H1849" i="6"/>
  <c r="H1850" i="6"/>
  <c r="H1851" i="6"/>
  <c r="H1852" i="6"/>
  <c r="H1853" i="6"/>
  <c r="H1854" i="6"/>
  <c r="H1855" i="6"/>
  <c r="H1856" i="6"/>
  <c r="H1857" i="6"/>
  <c r="H1858" i="6"/>
  <c r="H1859" i="6"/>
  <c r="H1860" i="6"/>
  <c r="H1861" i="6"/>
  <c r="H1862" i="6"/>
  <c r="H1863" i="6"/>
  <c r="H1864" i="6"/>
  <c r="H1865" i="6"/>
  <c r="H1866" i="6"/>
  <c r="H1867" i="6"/>
  <c r="H1868" i="6"/>
  <c r="H1869" i="6"/>
  <c r="H1870" i="6"/>
  <c r="H1871" i="6"/>
  <c r="H1872" i="6"/>
  <c r="H1873" i="6"/>
  <c r="H1874" i="6"/>
  <c r="H1875" i="6"/>
  <c r="H1876" i="6"/>
  <c r="H1877" i="6"/>
  <c r="H1878" i="6"/>
  <c r="H1879" i="6"/>
  <c r="H1880" i="6"/>
  <c r="H1881" i="6"/>
  <c r="H1882" i="6"/>
  <c r="H1883" i="6"/>
  <c r="H1884" i="6"/>
  <c r="H1885" i="6"/>
  <c r="H1886" i="6"/>
  <c r="H1887" i="6"/>
  <c r="H1888" i="6"/>
  <c r="H1889" i="6"/>
  <c r="H1890" i="6"/>
  <c r="H1891" i="6"/>
  <c r="H1892" i="6"/>
  <c r="H1893" i="6"/>
  <c r="H1894" i="6"/>
  <c r="H1895" i="6"/>
  <c r="H1896" i="6"/>
  <c r="H1897" i="6"/>
  <c r="H1898" i="6"/>
  <c r="H1899" i="6"/>
  <c r="H1900" i="6"/>
  <c r="H1901" i="6"/>
  <c r="H1902" i="6"/>
  <c r="H1903" i="6"/>
  <c r="H1904" i="6"/>
  <c r="H1905" i="6"/>
  <c r="H1906" i="6"/>
  <c r="H1907" i="6"/>
  <c r="H1908" i="6"/>
  <c r="H1909" i="6"/>
  <c r="H1910" i="6"/>
  <c r="H1911" i="6"/>
  <c r="H1912" i="6"/>
  <c r="H1913" i="6"/>
  <c r="H1914" i="6"/>
  <c r="H1915" i="6"/>
  <c r="H1916" i="6"/>
  <c r="H1917" i="6"/>
  <c r="H1918" i="6"/>
  <c r="H1919" i="6"/>
  <c r="H1920" i="6"/>
  <c r="H1921" i="6"/>
  <c r="H1922" i="6"/>
  <c r="H1923" i="6"/>
  <c r="H1924" i="6"/>
  <c r="H1925" i="6"/>
  <c r="H1926" i="6"/>
  <c r="H1927" i="6"/>
  <c r="H1928" i="6"/>
  <c r="H1929" i="6"/>
  <c r="H1930" i="6"/>
  <c r="H1931" i="6"/>
  <c r="H1932" i="6"/>
  <c r="H1933" i="6"/>
  <c r="H1934" i="6"/>
  <c r="H1935" i="6"/>
  <c r="H1936" i="6"/>
  <c r="H1937" i="6"/>
  <c r="H1938" i="6"/>
  <c r="H1939" i="6"/>
  <c r="H1940" i="6"/>
  <c r="H1941" i="6"/>
  <c r="H1942" i="6"/>
  <c r="H1943" i="6"/>
  <c r="H1944" i="6"/>
  <c r="H1945" i="6"/>
  <c r="H1946" i="6"/>
  <c r="H1947" i="6"/>
  <c r="H1948" i="6"/>
  <c r="H1949" i="6"/>
  <c r="H1950" i="6"/>
  <c r="H1951" i="6"/>
  <c r="H1952" i="6"/>
  <c r="H1953" i="6"/>
  <c r="H1954" i="6"/>
  <c r="H1955" i="6"/>
  <c r="H1956" i="6"/>
  <c r="H1957" i="6"/>
  <c r="H1958" i="6"/>
  <c r="H1959" i="6"/>
  <c r="H1960" i="6"/>
  <c r="H1961" i="6"/>
  <c r="H1962" i="6"/>
  <c r="H1963" i="6"/>
  <c r="H1964" i="6"/>
  <c r="H1965" i="6"/>
  <c r="H1966" i="6"/>
  <c r="H1967" i="6"/>
  <c r="H1968" i="6"/>
  <c r="H1969" i="6"/>
  <c r="H1970" i="6"/>
  <c r="H1971" i="6"/>
  <c r="H1972" i="6"/>
  <c r="H1973" i="6"/>
  <c r="H1974" i="6"/>
  <c r="H1975" i="6"/>
  <c r="H1976" i="6"/>
  <c r="H1977" i="6"/>
  <c r="H1978" i="6"/>
  <c r="H1979" i="6"/>
  <c r="H1980" i="6"/>
  <c r="H1981" i="6"/>
  <c r="H1982" i="6"/>
  <c r="H1983" i="6"/>
  <c r="H1984" i="6"/>
  <c r="H1985" i="6"/>
  <c r="H1986" i="6"/>
  <c r="H1987" i="6"/>
  <c r="H1988" i="6"/>
  <c r="H1989" i="6"/>
  <c r="H1990" i="6"/>
  <c r="H1991" i="6"/>
  <c r="H1992" i="6"/>
  <c r="H1993" i="6"/>
  <c r="H1994" i="6"/>
  <c r="H1995" i="6"/>
  <c r="H1996" i="6"/>
  <c r="H1997" i="6"/>
  <c r="H1998" i="6"/>
  <c r="H1999" i="6"/>
  <c r="H2000" i="6"/>
  <c r="H2001" i="6"/>
  <c r="H2002" i="6"/>
  <c r="H2003" i="6"/>
  <c r="H2004" i="6"/>
  <c r="H2005" i="6"/>
  <c r="H2006" i="6"/>
  <c r="H2007" i="6"/>
  <c r="H2008" i="6"/>
  <c r="H2009" i="6"/>
  <c r="H2010" i="6"/>
  <c r="H2011" i="6"/>
  <c r="H2012" i="6"/>
  <c r="H2013" i="6"/>
  <c r="H2014" i="6"/>
  <c r="H2015" i="6"/>
  <c r="H2016" i="6"/>
  <c r="H2017" i="6"/>
  <c r="H2018" i="6"/>
  <c r="H2019" i="6"/>
  <c r="H2020" i="6"/>
  <c r="H2021" i="6"/>
  <c r="H2022" i="6"/>
  <c r="H2023" i="6"/>
  <c r="H2024" i="6"/>
  <c r="H2025" i="6"/>
  <c r="H2026" i="6"/>
  <c r="H2027" i="6"/>
  <c r="H2028" i="6"/>
  <c r="H2029" i="6"/>
  <c r="H2030" i="6"/>
  <c r="H2031" i="6"/>
  <c r="H2032" i="6"/>
  <c r="H2033" i="6"/>
  <c r="H2034" i="6"/>
  <c r="H2035" i="6"/>
  <c r="H2036" i="6"/>
  <c r="H2037" i="6"/>
  <c r="H2038" i="6"/>
  <c r="H2039" i="6"/>
  <c r="H2040" i="6"/>
  <c r="H2041" i="6"/>
  <c r="H2042" i="6"/>
  <c r="H2043" i="6"/>
  <c r="H2044" i="6"/>
  <c r="H2045" i="6"/>
  <c r="H2046" i="6"/>
  <c r="H2047" i="6"/>
  <c r="H2048" i="6"/>
  <c r="H2049" i="6"/>
  <c r="H2050" i="6"/>
  <c r="H2051" i="6"/>
  <c r="H2052" i="6"/>
  <c r="H2053" i="6"/>
  <c r="H2054" i="6"/>
  <c r="H2055" i="6"/>
  <c r="H2056" i="6"/>
  <c r="H2057" i="6"/>
  <c r="H2058" i="6"/>
  <c r="H2059" i="6"/>
  <c r="H2060" i="6"/>
  <c r="H2061" i="6"/>
  <c r="H2062" i="6"/>
  <c r="H2063" i="6"/>
  <c r="H2064" i="6"/>
  <c r="H2065" i="6"/>
  <c r="H2066" i="6"/>
  <c r="H2067" i="6"/>
  <c r="H2068" i="6"/>
  <c r="H2069" i="6"/>
  <c r="H2070" i="6"/>
  <c r="H2071" i="6"/>
  <c r="H2072" i="6"/>
  <c r="H2073" i="6"/>
  <c r="H2074" i="6"/>
  <c r="H2075" i="6"/>
  <c r="H2076" i="6"/>
  <c r="H2077" i="6"/>
  <c r="H2078" i="6"/>
  <c r="H2079" i="6"/>
  <c r="H2080" i="6"/>
  <c r="T3" i="4"/>
  <c r="H5" i="12"/>
  <c r="H6" i="12"/>
  <c r="H7" i="12"/>
  <c r="H8" i="12"/>
  <c r="H9" i="12"/>
  <c r="H10" i="12"/>
  <c r="H11" i="12"/>
  <c r="H12" i="12"/>
  <c r="H13" i="12"/>
  <c r="H14" i="12"/>
  <c r="H15" i="12"/>
  <c r="H16" i="12"/>
  <c r="H17" i="12"/>
  <c r="H18" i="12"/>
  <c r="H19" i="12"/>
  <c r="H20" i="12"/>
  <c r="H21" i="12"/>
  <c r="H22" i="12"/>
  <c r="H23" i="12"/>
  <c r="H24" i="12"/>
  <c r="H25" i="12"/>
  <c r="H26" i="12"/>
  <c r="H27" i="12"/>
  <c r="H28" i="12"/>
  <c r="H29" i="12"/>
  <c r="H30" i="12"/>
  <c r="H31" i="12"/>
  <c r="H32" i="12"/>
  <c r="H33" i="12"/>
  <c r="H34" i="12"/>
  <c r="H35" i="12"/>
  <c r="H36" i="12"/>
  <c r="H37" i="12"/>
  <c r="H38" i="12"/>
  <c r="H39" i="12"/>
  <c r="H40" i="12"/>
  <c r="H41" i="12"/>
  <c r="H42" i="12"/>
  <c r="H43" i="12"/>
  <c r="H44" i="12"/>
  <c r="H45" i="12"/>
  <c r="H46" i="12"/>
  <c r="H47" i="12"/>
  <c r="H48" i="12"/>
  <c r="H49" i="12"/>
  <c r="H50" i="12"/>
  <c r="H51" i="12"/>
  <c r="H52" i="12"/>
  <c r="H53" i="12"/>
  <c r="H54" i="12"/>
  <c r="H55" i="12"/>
  <c r="H56" i="12"/>
  <c r="H57" i="12"/>
  <c r="H58" i="12"/>
  <c r="H59" i="12"/>
  <c r="H60" i="12"/>
  <c r="H61" i="12"/>
  <c r="H62" i="12"/>
  <c r="H63" i="12"/>
  <c r="H64" i="12"/>
  <c r="H65" i="12"/>
  <c r="H66" i="12"/>
  <c r="H67" i="12"/>
  <c r="H68" i="12"/>
  <c r="H69" i="12"/>
  <c r="H70" i="12"/>
  <c r="H71" i="12"/>
  <c r="H72" i="12"/>
  <c r="H73" i="12"/>
  <c r="H74" i="12"/>
  <c r="H75" i="12"/>
  <c r="H76" i="12"/>
  <c r="H77" i="12"/>
  <c r="H78" i="12"/>
  <c r="H79" i="12"/>
  <c r="H80" i="12"/>
  <c r="H81" i="12"/>
  <c r="H82" i="12"/>
  <c r="H83" i="12"/>
  <c r="H84" i="12"/>
  <c r="H85" i="12"/>
  <c r="H86" i="12"/>
  <c r="H87" i="12"/>
  <c r="H88" i="12"/>
  <c r="H89" i="12"/>
  <c r="H90" i="12"/>
  <c r="H91" i="12"/>
  <c r="H92" i="12"/>
  <c r="H93" i="12"/>
  <c r="H94" i="12"/>
  <c r="H95" i="12"/>
  <c r="H96" i="12"/>
  <c r="H97" i="12"/>
  <c r="H98" i="12"/>
  <c r="H99" i="12"/>
  <c r="H100" i="12"/>
  <c r="H101" i="12"/>
  <c r="H102" i="12"/>
  <c r="H103" i="12"/>
  <c r="H104" i="12"/>
  <c r="H105" i="12"/>
  <c r="H106" i="12"/>
  <c r="H107" i="12"/>
  <c r="H108" i="12"/>
  <c r="H109" i="12"/>
  <c r="H110" i="12"/>
  <c r="H111" i="12"/>
  <c r="H112" i="12"/>
  <c r="H113" i="12"/>
  <c r="H114" i="12"/>
  <c r="H115" i="12"/>
  <c r="H116" i="12"/>
  <c r="H117" i="12"/>
  <c r="H118" i="12"/>
  <c r="H119" i="12"/>
  <c r="H120" i="12"/>
  <c r="H121" i="12"/>
  <c r="H122" i="12"/>
  <c r="H123" i="12"/>
  <c r="H124" i="12"/>
  <c r="H125" i="12"/>
  <c r="H126" i="12"/>
  <c r="H127" i="12"/>
  <c r="H128" i="12"/>
  <c r="H129" i="12"/>
  <c r="H130" i="12"/>
  <c r="H131" i="12"/>
  <c r="H132" i="12"/>
  <c r="H133" i="12"/>
  <c r="H134" i="12"/>
  <c r="H135" i="12"/>
  <c r="H136" i="12"/>
  <c r="H137" i="12"/>
  <c r="H138" i="12"/>
  <c r="H139" i="12"/>
  <c r="H140" i="12"/>
  <c r="H141" i="12"/>
  <c r="H142" i="12"/>
  <c r="H143" i="12"/>
  <c r="H144" i="12"/>
  <c r="H145" i="12"/>
  <c r="H146" i="12"/>
  <c r="H147" i="12"/>
  <c r="H148" i="12"/>
  <c r="H149" i="12"/>
  <c r="H150" i="12"/>
  <c r="H151" i="12"/>
  <c r="H152" i="12"/>
  <c r="H153" i="12"/>
  <c r="H154" i="12"/>
  <c r="H155" i="12"/>
  <c r="H156" i="12"/>
  <c r="H157" i="12"/>
  <c r="H158" i="12"/>
  <c r="H159" i="12"/>
  <c r="H160" i="12"/>
  <c r="H161" i="12"/>
  <c r="H162" i="12"/>
  <c r="H163" i="12"/>
  <c r="H164" i="12"/>
  <c r="H165" i="12"/>
  <c r="H166" i="12"/>
  <c r="H167" i="12"/>
  <c r="H168" i="12"/>
  <c r="H169" i="12"/>
  <c r="H170" i="12"/>
  <c r="H171" i="12"/>
  <c r="H172" i="12"/>
  <c r="H173" i="12"/>
  <c r="H174" i="12"/>
  <c r="H175" i="12"/>
  <c r="H176" i="12"/>
  <c r="H177" i="12"/>
  <c r="H178" i="12"/>
  <c r="H179" i="12"/>
  <c r="H180" i="12"/>
  <c r="H181" i="12"/>
  <c r="H182" i="12"/>
  <c r="H183" i="12"/>
  <c r="H184" i="12"/>
  <c r="H185" i="12"/>
  <c r="H186" i="12"/>
  <c r="H187" i="12"/>
  <c r="H188" i="12"/>
  <c r="H189" i="12"/>
  <c r="H190" i="12"/>
  <c r="H191" i="12"/>
  <c r="H192" i="12"/>
  <c r="H193" i="12"/>
  <c r="H194" i="12"/>
  <c r="H195" i="12"/>
  <c r="H196" i="12"/>
  <c r="H197" i="12"/>
  <c r="H198" i="12"/>
  <c r="H199" i="12"/>
  <c r="H200" i="12"/>
  <c r="H201" i="12"/>
  <c r="H202" i="12"/>
  <c r="H203" i="12"/>
  <c r="H204" i="12"/>
  <c r="H205" i="12"/>
  <c r="H206" i="12"/>
  <c r="H207" i="12"/>
  <c r="H208" i="12"/>
  <c r="H209" i="12"/>
  <c r="H210" i="12"/>
  <c r="H211" i="12"/>
  <c r="H212" i="12"/>
  <c r="H213" i="12"/>
  <c r="H214" i="12"/>
  <c r="H215" i="12"/>
  <c r="H216" i="12"/>
  <c r="H217" i="12"/>
  <c r="H218" i="12"/>
  <c r="H219" i="12"/>
  <c r="H220" i="12"/>
  <c r="H221" i="12"/>
  <c r="H222" i="12"/>
  <c r="H223" i="12"/>
  <c r="H224" i="12"/>
  <c r="H225" i="12"/>
  <c r="H226" i="12"/>
  <c r="H227" i="12"/>
  <c r="H228" i="12"/>
  <c r="H229" i="12"/>
  <c r="H230" i="12"/>
  <c r="H231" i="12"/>
  <c r="H232" i="12"/>
  <c r="H233" i="12"/>
  <c r="H234" i="12"/>
  <c r="H235" i="12"/>
  <c r="H236" i="12"/>
  <c r="H237" i="12"/>
  <c r="H238" i="12"/>
  <c r="H239" i="12"/>
  <c r="H240" i="12"/>
  <c r="H241" i="12"/>
  <c r="H242" i="12"/>
  <c r="H243" i="12"/>
  <c r="H244" i="12"/>
  <c r="H245" i="12"/>
  <c r="H246" i="12"/>
  <c r="H247" i="12"/>
  <c r="H248" i="12"/>
  <c r="H249" i="12"/>
  <c r="H250" i="12"/>
  <c r="H251" i="12"/>
  <c r="H252" i="12"/>
  <c r="H253" i="12"/>
  <c r="H254" i="12"/>
  <c r="H255" i="12"/>
  <c r="H256" i="12"/>
  <c r="H257" i="12"/>
  <c r="H258" i="12"/>
  <c r="H259" i="12"/>
  <c r="H260" i="12"/>
  <c r="H261" i="12"/>
  <c r="H262" i="12"/>
  <c r="H263" i="12"/>
  <c r="H264" i="12"/>
  <c r="H265" i="12"/>
  <c r="H266" i="12"/>
  <c r="H267" i="12"/>
  <c r="H268" i="12"/>
  <c r="H269" i="12"/>
  <c r="H270" i="12"/>
  <c r="H271" i="12"/>
  <c r="H272" i="12"/>
  <c r="H273" i="12"/>
  <c r="H274" i="12"/>
  <c r="H275" i="12"/>
  <c r="H276" i="12"/>
  <c r="H277" i="12"/>
  <c r="H278" i="12"/>
  <c r="H279" i="12"/>
  <c r="H280" i="12"/>
  <c r="H281" i="12"/>
  <c r="H282" i="12"/>
  <c r="H283" i="12"/>
  <c r="H284" i="12"/>
  <c r="H285" i="12"/>
  <c r="H286" i="12"/>
  <c r="H287" i="12"/>
  <c r="H288" i="12"/>
  <c r="H289" i="12"/>
  <c r="H290" i="12"/>
  <c r="H291" i="12"/>
  <c r="H292" i="12"/>
  <c r="H293" i="12"/>
  <c r="H294" i="12"/>
  <c r="H295" i="12"/>
  <c r="H296" i="12"/>
  <c r="H297" i="12"/>
  <c r="H298" i="12"/>
  <c r="H299" i="12"/>
  <c r="H300" i="12"/>
  <c r="H301" i="12"/>
  <c r="H302" i="12"/>
  <c r="H303" i="12"/>
  <c r="H304" i="12"/>
  <c r="H305" i="12"/>
  <c r="H306" i="12"/>
  <c r="H307" i="12"/>
  <c r="H308" i="12"/>
  <c r="H309" i="12"/>
  <c r="H310" i="12"/>
  <c r="H311" i="12"/>
  <c r="H312" i="12"/>
  <c r="H313" i="12"/>
  <c r="H314" i="12"/>
  <c r="H315" i="12"/>
  <c r="H316" i="12"/>
  <c r="H317" i="12"/>
  <c r="H318" i="12"/>
  <c r="H319" i="12"/>
  <c r="H320" i="12"/>
  <c r="H321" i="12"/>
  <c r="H322" i="12"/>
  <c r="H323" i="12"/>
  <c r="H324" i="12"/>
  <c r="H325" i="12"/>
  <c r="H326" i="12"/>
  <c r="H327" i="12"/>
  <c r="H328" i="12"/>
  <c r="H329" i="12"/>
  <c r="H330" i="12"/>
  <c r="H331" i="12"/>
  <c r="H332" i="12"/>
  <c r="H333" i="12"/>
  <c r="H334" i="12"/>
  <c r="H335" i="12"/>
  <c r="H336" i="12"/>
  <c r="H337" i="12"/>
  <c r="H338" i="12"/>
  <c r="H339" i="12"/>
  <c r="H340" i="12"/>
  <c r="H341" i="12"/>
  <c r="H342" i="12"/>
  <c r="H343" i="12"/>
  <c r="H344" i="12"/>
  <c r="H345" i="12"/>
  <c r="H346" i="12"/>
  <c r="H347" i="12"/>
  <c r="H348" i="12"/>
  <c r="H349" i="12"/>
  <c r="H350" i="12"/>
  <c r="H351" i="12"/>
  <c r="H352" i="12"/>
  <c r="H353" i="12"/>
  <c r="H354" i="12"/>
  <c r="H355" i="12"/>
  <c r="H356" i="12"/>
  <c r="H357" i="12"/>
  <c r="H358" i="12"/>
  <c r="H359" i="12"/>
  <c r="H360" i="12"/>
  <c r="H361" i="12"/>
  <c r="H362" i="12"/>
  <c r="H363" i="12"/>
  <c r="H364" i="12"/>
  <c r="H365" i="12"/>
  <c r="H366" i="12"/>
  <c r="H367" i="12"/>
  <c r="H368" i="12"/>
  <c r="H369" i="12"/>
  <c r="H370" i="12"/>
  <c r="H371" i="12"/>
  <c r="H372" i="12"/>
  <c r="H373" i="12"/>
  <c r="H374" i="12"/>
  <c r="H375" i="12"/>
  <c r="H376" i="12"/>
  <c r="H377" i="12"/>
  <c r="H378" i="12"/>
  <c r="H379" i="12"/>
  <c r="H380" i="12"/>
  <c r="H381" i="12"/>
  <c r="H382" i="12"/>
  <c r="H383" i="12"/>
  <c r="H384" i="12"/>
  <c r="H385" i="12"/>
  <c r="H386" i="12"/>
  <c r="H387" i="12"/>
  <c r="H388" i="12"/>
  <c r="H389" i="12"/>
  <c r="H390" i="12"/>
  <c r="H391" i="12"/>
  <c r="H392" i="12"/>
  <c r="H393" i="12"/>
  <c r="H394" i="12"/>
  <c r="H395" i="12"/>
  <c r="H396" i="12"/>
  <c r="H397" i="12"/>
  <c r="H398" i="12"/>
  <c r="H399" i="12"/>
  <c r="H400" i="12"/>
  <c r="H401" i="12"/>
  <c r="H402" i="12"/>
  <c r="H403" i="12"/>
  <c r="H404" i="12"/>
  <c r="H405" i="12"/>
  <c r="H406" i="12"/>
  <c r="H407" i="12"/>
  <c r="H408" i="12"/>
  <c r="H409" i="12"/>
  <c r="H410" i="12"/>
  <c r="H411" i="12"/>
  <c r="H412" i="12"/>
  <c r="H413" i="12"/>
  <c r="H414" i="12"/>
  <c r="H415" i="12"/>
  <c r="H416" i="12"/>
  <c r="H417" i="12"/>
  <c r="H418" i="12"/>
  <c r="H419" i="12"/>
  <c r="H420" i="12"/>
  <c r="H421" i="12"/>
  <c r="H422" i="12"/>
  <c r="H423" i="12"/>
  <c r="H424" i="12"/>
  <c r="H425" i="12"/>
  <c r="H426" i="12"/>
  <c r="H427" i="12"/>
  <c r="H428" i="12"/>
  <c r="H429" i="12"/>
  <c r="H430" i="12"/>
  <c r="H431" i="12"/>
  <c r="H432" i="12"/>
  <c r="H433" i="12"/>
  <c r="H434" i="12"/>
  <c r="H435" i="12"/>
  <c r="H436" i="12"/>
  <c r="H437" i="12"/>
  <c r="H438" i="12"/>
  <c r="H439" i="12"/>
  <c r="H440" i="12"/>
  <c r="H441" i="12"/>
  <c r="H442" i="12"/>
  <c r="H443" i="12"/>
  <c r="H444" i="12"/>
  <c r="H445" i="12"/>
  <c r="H446" i="12"/>
  <c r="H447" i="12"/>
  <c r="H448" i="12"/>
  <c r="H449" i="12"/>
  <c r="H450" i="12"/>
  <c r="H451" i="12"/>
  <c r="H452" i="12"/>
  <c r="H453" i="12"/>
  <c r="H454" i="12"/>
  <c r="H455" i="12"/>
  <c r="H456" i="12"/>
  <c r="H457" i="12"/>
  <c r="H458" i="12"/>
  <c r="H459" i="12"/>
  <c r="H460" i="12"/>
  <c r="H461" i="12"/>
  <c r="H462" i="12"/>
  <c r="H463" i="12"/>
  <c r="H464" i="12"/>
  <c r="H465" i="12"/>
  <c r="H466" i="12"/>
  <c r="H467" i="12"/>
  <c r="H468" i="12"/>
  <c r="H469" i="12"/>
  <c r="H470" i="12"/>
  <c r="H471" i="12"/>
  <c r="H472" i="12"/>
  <c r="H473" i="12"/>
  <c r="H474" i="12"/>
  <c r="H475" i="12"/>
  <c r="H476" i="12"/>
  <c r="H477" i="12"/>
  <c r="H478" i="12"/>
  <c r="H479" i="12"/>
  <c r="H480" i="12"/>
  <c r="H481" i="12"/>
  <c r="H482" i="12"/>
  <c r="H483" i="12"/>
  <c r="H484" i="12"/>
  <c r="H485" i="12"/>
  <c r="H486" i="12"/>
  <c r="H487" i="12"/>
  <c r="H488" i="12"/>
  <c r="H489" i="12"/>
  <c r="H490" i="12"/>
  <c r="H491" i="12"/>
  <c r="H492" i="12"/>
  <c r="H493" i="12"/>
  <c r="H494" i="12"/>
  <c r="H495" i="12"/>
  <c r="H496" i="12"/>
  <c r="H497" i="12"/>
  <c r="H498" i="12"/>
  <c r="H499" i="12"/>
  <c r="H500" i="12"/>
  <c r="H501" i="12"/>
  <c r="H502" i="12"/>
  <c r="H503" i="12"/>
  <c r="H504" i="12"/>
  <c r="H505" i="12"/>
  <c r="H506" i="12"/>
  <c r="H507" i="12"/>
  <c r="H508" i="12"/>
  <c r="H509" i="12"/>
  <c r="H510" i="12"/>
  <c r="H511" i="12"/>
  <c r="H512" i="12"/>
  <c r="H513" i="12"/>
  <c r="H514" i="12"/>
  <c r="H515" i="12"/>
  <c r="H516" i="12"/>
  <c r="H517" i="12"/>
  <c r="H518" i="12"/>
  <c r="H519" i="12"/>
  <c r="H520" i="12"/>
  <c r="H521" i="12"/>
  <c r="H522" i="12"/>
  <c r="H523" i="12"/>
  <c r="H524" i="12"/>
  <c r="H525" i="12"/>
  <c r="H526" i="12"/>
  <c r="H527" i="12"/>
  <c r="H528" i="12"/>
  <c r="H529" i="12"/>
  <c r="H530" i="12"/>
  <c r="H531" i="12"/>
  <c r="H532" i="12"/>
  <c r="H533" i="12"/>
  <c r="H534" i="12"/>
  <c r="H535" i="12"/>
  <c r="H536" i="12"/>
  <c r="H537" i="12"/>
  <c r="H538" i="12"/>
  <c r="H539" i="12"/>
  <c r="H540" i="12"/>
  <c r="H541" i="12"/>
  <c r="H542" i="12"/>
  <c r="H543" i="12"/>
  <c r="H544" i="12"/>
  <c r="H545" i="12"/>
  <c r="H546" i="12"/>
  <c r="H547" i="12"/>
  <c r="H548" i="12"/>
  <c r="H549" i="12"/>
  <c r="H550" i="12"/>
  <c r="H551" i="12"/>
  <c r="H552" i="12"/>
  <c r="H553" i="12"/>
  <c r="H554" i="12"/>
  <c r="H555" i="12"/>
  <c r="H556" i="12"/>
  <c r="H557" i="12"/>
  <c r="H558" i="12"/>
  <c r="H559" i="12"/>
  <c r="H560" i="12"/>
  <c r="H561" i="12"/>
  <c r="H562" i="12"/>
  <c r="H563" i="12"/>
  <c r="H564" i="12"/>
  <c r="H565" i="12"/>
  <c r="H566" i="12"/>
  <c r="H567" i="12"/>
  <c r="H568" i="12"/>
  <c r="H569" i="12"/>
  <c r="H570" i="12"/>
  <c r="H571" i="12"/>
  <c r="H572" i="12"/>
  <c r="H573" i="12"/>
  <c r="H574" i="12"/>
  <c r="H575" i="12"/>
  <c r="H576" i="12"/>
  <c r="H577" i="12"/>
  <c r="H578" i="12"/>
  <c r="H579" i="12"/>
  <c r="H580" i="12"/>
  <c r="H581" i="12"/>
  <c r="H582" i="12"/>
  <c r="H583" i="12"/>
  <c r="H584" i="12"/>
  <c r="H585" i="12"/>
  <c r="H586" i="12"/>
  <c r="H587" i="12"/>
  <c r="H588" i="12"/>
  <c r="H589" i="12"/>
  <c r="H590" i="12"/>
  <c r="H591" i="12"/>
  <c r="H592" i="12"/>
  <c r="H593" i="12"/>
  <c r="H594" i="12"/>
  <c r="H595" i="12"/>
  <c r="H596" i="12"/>
  <c r="H597" i="12"/>
  <c r="H598" i="12"/>
  <c r="H599" i="12"/>
  <c r="H600" i="12"/>
  <c r="H601" i="12"/>
  <c r="H602" i="12"/>
  <c r="H603" i="12"/>
  <c r="H604" i="12"/>
  <c r="H605" i="12"/>
  <c r="H606" i="12"/>
  <c r="H607" i="12"/>
  <c r="H608" i="12"/>
  <c r="H609" i="12"/>
  <c r="H610" i="12"/>
  <c r="H611" i="12"/>
  <c r="H612" i="12"/>
  <c r="H613" i="12"/>
  <c r="H614" i="12"/>
  <c r="H615" i="12"/>
  <c r="H616" i="12"/>
  <c r="H617" i="12"/>
  <c r="H618" i="12"/>
  <c r="H619" i="12"/>
  <c r="H620" i="12"/>
  <c r="H621" i="12"/>
  <c r="H622" i="12"/>
  <c r="H623" i="12"/>
  <c r="H624" i="12"/>
  <c r="H625" i="12"/>
  <c r="H626" i="12"/>
  <c r="H627" i="12"/>
  <c r="H628" i="12"/>
  <c r="H629" i="12"/>
  <c r="H630" i="12"/>
  <c r="H631" i="12"/>
  <c r="H632" i="12"/>
  <c r="H633" i="12"/>
  <c r="H634" i="12"/>
  <c r="H635" i="12"/>
  <c r="H636" i="12"/>
  <c r="H637" i="12"/>
  <c r="H638" i="12"/>
  <c r="H639" i="12"/>
  <c r="H640" i="12"/>
  <c r="H641" i="12"/>
  <c r="H642" i="12"/>
  <c r="H643" i="12"/>
  <c r="H644" i="12"/>
  <c r="H645" i="12"/>
  <c r="H646" i="12"/>
  <c r="H647" i="12"/>
  <c r="H648" i="12"/>
  <c r="H649" i="12"/>
  <c r="H650" i="12"/>
  <c r="H651" i="12"/>
  <c r="H652" i="12"/>
  <c r="H653" i="12"/>
  <c r="H654" i="12"/>
  <c r="H655" i="12"/>
  <c r="H656" i="12"/>
  <c r="H657" i="12"/>
  <c r="H658" i="12"/>
  <c r="H659" i="12"/>
  <c r="H660" i="12"/>
  <c r="H661" i="12"/>
  <c r="H662" i="12"/>
  <c r="H663" i="12"/>
  <c r="H664" i="12"/>
  <c r="H665" i="12"/>
  <c r="H666" i="12"/>
  <c r="H667" i="12"/>
  <c r="H668" i="12"/>
  <c r="H669" i="12"/>
  <c r="H670" i="12"/>
  <c r="H671" i="12"/>
  <c r="H672" i="12"/>
  <c r="H673" i="12"/>
  <c r="H674" i="12"/>
  <c r="H675" i="12"/>
  <c r="H676" i="12"/>
  <c r="H677" i="12"/>
  <c r="H678" i="12"/>
  <c r="H679" i="12"/>
  <c r="H680" i="12"/>
  <c r="H681" i="12"/>
  <c r="H682" i="12"/>
  <c r="H683" i="12"/>
  <c r="H684" i="12"/>
  <c r="H685" i="12"/>
  <c r="H686" i="12"/>
  <c r="H687" i="12"/>
  <c r="H688" i="12"/>
  <c r="H689" i="12"/>
  <c r="H690" i="12"/>
  <c r="H691" i="12"/>
  <c r="H692" i="12"/>
  <c r="H693" i="12"/>
  <c r="H694" i="12"/>
  <c r="H695" i="12"/>
  <c r="H696" i="12"/>
  <c r="H697" i="12"/>
  <c r="H698" i="12"/>
  <c r="H699" i="12"/>
  <c r="H700" i="12"/>
  <c r="H701" i="12"/>
  <c r="H702" i="12"/>
  <c r="H703" i="12"/>
  <c r="H704" i="12"/>
  <c r="H705" i="12"/>
  <c r="H706" i="12"/>
  <c r="H707" i="12"/>
  <c r="H708" i="12"/>
  <c r="H709" i="12"/>
  <c r="H710" i="12"/>
  <c r="H711" i="12"/>
  <c r="H712" i="12"/>
  <c r="H713" i="12"/>
  <c r="H714" i="12"/>
  <c r="H715" i="12"/>
  <c r="H716" i="12"/>
  <c r="H717" i="12"/>
  <c r="H718" i="12"/>
  <c r="H719" i="12"/>
  <c r="H720" i="12"/>
  <c r="H721" i="12"/>
  <c r="H722" i="12"/>
  <c r="H723" i="12"/>
  <c r="H724" i="12"/>
  <c r="H725" i="12"/>
  <c r="H726" i="12"/>
  <c r="H727" i="12"/>
  <c r="H728" i="12"/>
  <c r="H729" i="12"/>
  <c r="H730" i="12"/>
  <c r="H731" i="12"/>
  <c r="H732" i="12"/>
  <c r="H733" i="12"/>
  <c r="H734" i="12"/>
  <c r="H735" i="12"/>
  <c r="H736" i="12"/>
  <c r="H737" i="12"/>
  <c r="H738" i="12"/>
  <c r="H739" i="12"/>
  <c r="H740" i="12"/>
  <c r="H741" i="12"/>
  <c r="H742" i="12"/>
  <c r="H743" i="12"/>
  <c r="H744" i="12"/>
  <c r="H745" i="12"/>
  <c r="H746" i="12"/>
  <c r="H747" i="12"/>
  <c r="H748" i="12"/>
  <c r="H749" i="12"/>
  <c r="H750" i="12"/>
  <c r="H751" i="12"/>
  <c r="H752" i="12"/>
  <c r="H753" i="12"/>
  <c r="H754" i="12"/>
  <c r="H755" i="12"/>
  <c r="H756" i="12"/>
  <c r="H757" i="12"/>
  <c r="H758" i="12"/>
  <c r="H759" i="12"/>
  <c r="H760" i="12"/>
  <c r="H761" i="12"/>
  <c r="H762" i="12"/>
  <c r="H763" i="12"/>
  <c r="H764" i="12"/>
  <c r="H765" i="12"/>
  <c r="H766" i="12"/>
  <c r="H767" i="12"/>
  <c r="H768" i="12"/>
  <c r="H769" i="12"/>
  <c r="H770" i="12"/>
  <c r="H771" i="12"/>
  <c r="H772" i="12"/>
  <c r="H773" i="12"/>
  <c r="H774" i="12"/>
  <c r="H775" i="12"/>
  <c r="H776" i="12"/>
  <c r="H777" i="12"/>
  <c r="H778" i="12"/>
  <c r="H779" i="12"/>
  <c r="H780" i="12"/>
  <c r="H781" i="12"/>
  <c r="H782" i="12"/>
  <c r="H783" i="12"/>
  <c r="H784" i="12"/>
  <c r="H785" i="12"/>
  <c r="H786" i="12"/>
  <c r="H787" i="12"/>
  <c r="H788" i="12"/>
  <c r="H789" i="12"/>
  <c r="H790" i="12"/>
  <c r="H791" i="12"/>
  <c r="H792" i="12"/>
  <c r="H793" i="12"/>
  <c r="H794" i="12"/>
  <c r="H795" i="12"/>
  <c r="H796" i="12"/>
  <c r="H797" i="12"/>
  <c r="H798" i="12"/>
  <c r="H799" i="12"/>
  <c r="H800" i="12"/>
  <c r="H801" i="12"/>
  <c r="H802" i="12"/>
  <c r="H803" i="12"/>
  <c r="H804" i="12"/>
  <c r="H805" i="12"/>
  <c r="H806" i="12"/>
  <c r="H807" i="12"/>
  <c r="H808" i="12"/>
  <c r="H809" i="12"/>
  <c r="H810" i="12"/>
  <c r="H811" i="12"/>
  <c r="H812" i="12"/>
  <c r="H813" i="12"/>
  <c r="H814" i="12"/>
  <c r="H815" i="12"/>
  <c r="H816" i="12"/>
  <c r="H817" i="12"/>
  <c r="H818" i="12"/>
  <c r="H819" i="12"/>
  <c r="H820" i="12"/>
  <c r="H821" i="12"/>
  <c r="H822" i="12"/>
  <c r="H823" i="12"/>
  <c r="H824" i="12"/>
  <c r="H825" i="12"/>
  <c r="H826" i="12"/>
  <c r="H827" i="12"/>
  <c r="H828" i="12"/>
  <c r="H829" i="12"/>
  <c r="H830" i="12"/>
  <c r="H831" i="12"/>
  <c r="H832" i="12"/>
  <c r="H833" i="12"/>
  <c r="H834" i="12"/>
  <c r="H835" i="12"/>
  <c r="H836" i="12"/>
  <c r="H837" i="12"/>
  <c r="H838" i="12"/>
  <c r="H839" i="12"/>
  <c r="H840" i="12"/>
  <c r="H841" i="12"/>
  <c r="H842" i="12"/>
  <c r="H843" i="12"/>
  <c r="H844" i="12"/>
  <c r="H845" i="12"/>
  <c r="H846" i="12"/>
  <c r="H847" i="12"/>
  <c r="H848" i="12"/>
  <c r="H849" i="12"/>
  <c r="H850" i="12"/>
  <c r="H851" i="12"/>
  <c r="H852" i="12"/>
  <c r="H853" i="12"/>
  <c r="H854" i="12"/>
  <c r="H855" i="12"/>
  <c r="H856" i="12"/>
  <c r="H857" i="12"/>
  <c r="H858" i="12"/>
  <c r="H859" i="12"/>
  <c r="H860" i="12"/>
  <c r="H861" i="12"/>
  <c r="H862" i="12"/>
  <c r="H863" i="12"/>
  <c r="H864" i="12"/>
  <c r="H865" i="12"/>
  <c r="H866" i="12"/>
  <c r="H867" i="12"/>
  <c r="H868" i="12"/>
  <c r="H869" i="12"/>
  <c r="H870" i="12"/>
  <c r="H871" i="12"/>
  <c r="H872" i="12"/>
  <c r="H873" i="12"/>
  <c r="H874" i="12"/>
  <c r="H875" i="12"/>
  <c r="H876" i="12"/>
  <c r="H877" i="12"/>
  <c r="H878" i="12"/>
  <c r="H879" i="12"/>
  <c r="H880" i="12"/>
  <c r="H881" i="12"/>
  <c r="H882" i="12"/>
  <c r="H883" i="12"/>
  <c r="H884" i="12"/>
  <c r="H885" i="12"/>
  <c r="H886" i="12"/>
  <c r="H887" i="12"/>
  <c r="H888" i="12"/>
  <c r="H889" i="12"/>
  <c r="H890" i="12"/>
  <c r="H891" i="12"/>
  <c r="H892" i="12"/>
  <c r="H893" i="12"/>
  <c r="H894" i="12"/>
  <c r="H895" i="12"/>
  <c r="H896" i="12"/>
  <c r="H897" i="12"/>
  <c r="H898" i="12"/>
  <c r="H899" i="12"/>
  <c r="H900" i="12"/>
  <c r="H901" i="12"/>
  <c r="H902" i="12"/>
  <c r="H903" i="12"/>
  <c r="H904" i="12"/>
  <c r="H905" i="12"/>
  <c r="H906" i="12"/>
  <c r="H907" i="12"/>
  <c r="H908" i="12"/>
  <c r="H909" i="12"/>
  <c r="H910" i="12"/>
  <c r="H911" i="12"/>
  <c r="H912" i="12"/>
  <c r="H913" i="12"/>
  <c r="H914" i="12"/>
  <c r="H915" i="12"/>
  <c r="H916" i="12"/>
  <c r="H917" i="12"/>
  <c r="H918" i="12"/>
  <c r="H919" i="12"/>
  <c r="H920" i="12"/>
  <c r="H921" i="12"/>
  <c r="H922" i="12"/>
  <c r="H923" i="12"/>
  <c r="H924" i="12"/>
  <c r="H925" i="12"/>
  <c r="H926" i="12"/>
  <c r="H927" i="12"/>
  <c r="H928" i="12"/>
  <c r="H929" i="12"/>
  <c r="H930" i="12"/>
  <c r="H931" i="12"/>
  <c r="H932" i="12"/>
  <c r="H933" i="12"/>
  <c r="H934" i="12"/>
  <c r="H935" i="12"/>
  <c r="H936" i="12"/>
  <c r="H937" i="12"/>
  <c r="H938" i="12"/>
  <c r="H939" i="12"/>
  <c r="H940" i="12"/>
  <c r="H941" i="12"/>
  <c r="H942" i="12"/>
  <c r="H943" i="12"/>
  <c r="H944" i="12"/>
  <c r="H945" i="12"/>
  <c r="H946" i="12"/>
  <c r="H947" i="12"/>
  <c r="H948" i="12"/>
  <c r="H949" i="12"/>
  <c r="H950" i="12"/>
  <c r="H951" i="12"/>
  <c r="H952" i="12"/>
  <c r="H953" i="12"/>
  <c r="H954" i="12"/>
  <c r="H955" i="12"/>
  <c r="H956" i="12"/>
  <c r="H957" i="12"/>
  <c r="H958" i="12"/>
  <c r="H959" i="12"/>
  <c r="H960" i="12"/>
  <c r="H961" i="12"/>
  <c r="H962" i="12"/>
  <c r="H963" i="12"/>
  <c r="H964" i="12"/>
  <c r="H965" i="12"/>
  <c r="H966" i="12"/>
  <c r="H967" i="12"/>
  <c r="H968" i="12"/>
  <c r="H969" i="12"/>
  <c r="H970" i="12"/>
  <c r="H971" i="12"/>
  <c r="H972" i="12"/>
  <c r="H973" i="12"/>
  <c r="H974" i="12"/>
  <c r="H975" i="12"/>
  <c r="H976" i="12"/>
  <c r="H977" i="12"/>
  <c r="H978" i="12"/>
  <c r="H979" i="12"/>
  <c r="H980" i="12"/>
  <c r="H981" i="12"/>
  <c r="H982" i="12"/>
  <c r="H983" i="12"/>
  <c r="H984" i="12"/>
  <c r="H985" i="12"/>
  <c r="H986" i="12"/>
  <c r="H987" i="12"/>
  <c r="H988" i="12"/>
  <c r="H989" i="12"/>
  <c r="H990" i="12"/>
  <c r="H991" i="12"/>
  <c r="H992" i="12"/>
  <c r="H993" i="12"/>
  <c r="H994" i="12"/>
  <c r="H995" i="12"/>
  <c r="H996" i="12"/>
  <c r="H997" i="12"/>
  <c r="H998" i="12"/>
  <c r="H999" i="12"/>
  <c r="H1000" i="12"/>
  <c r="H1001" i="12"/>
  <c r="H1002" i="12"/>
  <c r="H1003" i="12"/>
  <c r="H1004" i="12"/>
  <c r="H1005" i="12"/>
  <c r="H1006" i="12"/>
  <c r="H1007" i="12"/>
  <c r="H1008" i="12"/>
  <c r="H1009" i="12"/>
  <c r="H1010" i="12"/>
  <c r="H1011" i="12"/>
  <c r="H1012" i="12"/>
  <c r="H1013" i="12"/>
  <c r="H1014" i="12"/>
  <c r="H1015" i="12"/>
  <c r="H1016" i="12"/>
  <c r="H1017" i="12"/>
  <c r="H1018" i="12"/>
  <c r="H1019" i="12"/>
  <c r="H1020" i="12"/>
  <c r="H1021" i="12"/>
  <c r="H1022" i="12"/>
  <c r="H1023" i="12"/>
  <c r="H1024" i="12"/>
  <c r="H1025" i="12"/>
  <c r="H1026" i="12"/>
  <c r="H1027" i="12"/>
  <c r="H1028" i="12"/>
  <c r="H1029" i="12"/>
  <c r="H1030" i="12"/>
  <c r="H1031" i="12"/>
  <c r="H1032" i="12"/>
  <c r="H1033" i="12"/>
  <c r="H1034" i="12"/>
  <c r="H1035" i="12"/>
  <c r="H1036" i="12"/>
  <c r="H1037" i="12"/>
  <c r="H1038" i="12"/>
  <c r="H1039" i="12"/>
  <c r="H1040" i="12"/>
  <c r="H1041" i="12"/>
  <c r="H1042" i="12"/>
  <c r="H1043" i="12"/>
  <c r="H1044" i="12"/>
  <c r="H1045" i="12"/>
  <c r="H1046" i="12"/>
  <c r="H1047" i="12"/>
  <c r="H1048" i="12"/>
  <c r="H1049" i="12"/>
  <c r="H1050" i="12"/>
  <c r="H1051" i="12"/>
  <c r="H1052" i="12"/>
  <c r="H1053" i="12"/>
  <c r="H1054" i="12"/>
  <c r="H1055" i="12"/>
  <c r="H1056" i="12"/>
  <c r="H1057" i="12"/>
  <c r="H1058" i="12"/>
  <c r="H1059" i="12"/>
  <c r="H1060" i="12"/>
  <c r="H1061" i="12"/>
  <c r="H1062" i="12"/>
  <c r="H1063" i="12"/>
  <c r="H1064" i="12"/>
  <c r="H1065" i="12"/>
  <c r="H1066" i="12"/>
  <c r="H1067" i="12"/>
  <c r="H1068" i="12"/>
  <c r="H1069" i="12"/>
  <c r="H1070" i="12"/>
  <c r="H1071" i="12"/>
  <c r="H1072" i="12"/>
  <c r="H1073" i="12"/>
  <c r="H1074" i="12"/>
  <c r="H1075" i="12"/>
  <c r="H1076" i="12"/>
  <c r="H1077" i="12"/>
  <c r="H1078" i="12"/>
  <c r="H1079" i="12"/>
  <c r="H1080" i="12"/>
  <c r="H1081" i="12"/>
  <c r="H1082" i="12"/>
  <c r="H1083" i="12"/>
  <c r="H1084" i="12"/>
  <c r="H1085" i="12"/>
  <c r="H1086" i="12"/>
  <c r="H1087" i="12"/>
  <c r="H1088" i="12"/>
  <c r="H1089" i="12"/>
  <c r="H1090" i="12"/>
  <c r="H1091" i="12"/>
  <c r="H1092" i="12"/>
  <c r="H1093" i="12"/>
  <c r="H1094" i="12"/>
  <c r="H1095" i="12"/>
  <c r="H1096" i="12"/>
  <c r="H1097" i="12"/>
  <c r="H1098" i="12"/>
  <c r="H1099" i="12"/>
  <c r="H1100" i="12"/>
  <c r="H1101" i="12"/>
  <c r="H1102" i="12"/>
  <c r="H1103" i="12"/>
  <c r="H1104" i="12"/>
  <c r="H1105" i="12"/>
  <c r="H1106" i="12"/>
  <c r="H1107" i="12"/>
  <c r="H1108" i="12"/>
  <c r="H1109" i="12"/>
  <c r="H1110" i="12"/>
  <c r="H1111" i="12"/>
  <c r="H1112" i="12"/>
  <c r="H1113" i="12"/>
  <c r="H1114" i="12"/>
  <c r="H1115" i="12"/>
  <c r="H1116" i="12"/>
  <c r="H1117" i="12"/>
  <c r="H1118" i="12"/>
  <c r="H1119" i="12"/>
  <c r="H1120" i="12"/>
  <c r="H1121" i="12"/>
  <c r="H1122" i="12"/>
  <c r="H1123" i="12"/>
  <c r="H1124" i="12"/>
  <c r="H1125" i="12"/>
  <c r="H1126" i="12"/>
  <c r="H1127" i="12"/>
  <c r="H1128" i="12"/>
  <c r="H1129" i="12"/>
  <c r="H1130" i="12"/>
  <c r="H1131" i="12"/>
  <c r="F224" i="12"/>
  <c r="F225" i="12"/>
  <c r="F226" i="12"/>
  <c r="F227" i="12"/>
  <c r="F228" i="12"/>
  <c r="F229" i="12"/>
  <c r="F230" i="12"/>
  <c r="F231" i="12"/>
  <c r="F232" i="12"/>
  <c r="F233" i="12"/>
  <c r="F234" i="12"/>
  <c r="F235" i="12"/>
  <c r="F236" i="12"/>
  <c r="F237" i="12"/>
  <c r="F238" i="12"/>
  <c r="F239" i="12"/>
  <c r="F240" i="12"/>
  <c r="F241" i="12"/>
  <c r="F242" i="12"/>
  <c r="F243" i="12"/>
  <c r="F244" i="12"/>
  <c r="F245" i="12"/>
  <c r="F246" i="12"/>
  <c r="F247" i="12"/>
  <c r="F248" i="12"/>
  <c r="F249" i="12"/>
  <c r="F250" i="12"/>
  <c r="F251" i="12"/>
  <c r="F252" i="12"/>
  <c r="F253" i="12"/>
  <c r="F254" i="12"/>
  <c r="F255" i="12"/>
  <c r="F256" i="12"/>
  <c r="F257" i="12"/>
  <c r="F258" i="12"/>
  <c r="F259" i="12"/>
  <c r="F260" i="12"/>
  <c r="F261" i="12"/>
  <c r="F262" i="12"/>
  <c r="F263" i="12"/>
  <c r="F264" i="12"/>
  <c r="F265" i="12"/>
  <c r="F266" i="12"/>
  <c r="F267" i="12"/>
  <c r="F268" i="12"/>
  <c r="F269" i="12"/>
  <c r="F270" i="12"/>
  <c r="F271" i="12"/>
  <c r="F272" i="12"/>
  <c r="F273" i="12"/>
  <c r="F274" i="12"/>
  <c r="F275" i="12"/>
  <c r="F276" i="12"/>
  <c r="F277" i="12"/>
  <c r="F278" i="12"/>
  <c r="F279" i="12"/>
  <c r="F280" i="12"/>
  <c r="F281" i="12"/>
  <c r="F282" i="12"/>
  <c r="F283" i="12"/>
  <c r="F284" i="12"/>
  <c r="F285" i="12"/>
  <c r="F286" i="12"/>
  <c r="F287" i="12"/>
  <c r="F288" i="12"/>
  <c r="F289" i="12"/>
  <c r="F290" i="12"/>
  <c r="F291" i="12"/>
  <c r="F292" i="12"/>
  <c r="F293" i="12"/>
  <c r="F294" i="12"/>
  <c r="F295" i="12"/>
  <c r="F296" i="12"/>
  <c r="F297" i="12"/>
  <c r="F298" i="12"/>
  <c r="F299" i="12"/>
  <c r="F300" i="12"/>
  <c r="F301" i="12"/>
  <c r="F302" i="12"/>
  <c r="F303" i="12"/>
  <c r="F304" i="12"/>
  <c r="F305" i="12"/>
  <c r="F306" i="12"/>
  <c r="F307" i="12"/>
  <c r="F308" i="12"/>
  <c r="F309" i="12"/>
  <c r="F310" i="12"/>
  <c r="F311" i="12"/>
  <c r="F312" i="12"/>
  <c r="F313" i="12"/>
  <c r="F314" i="12"/>
  <c r="F315" i="12"/>
  <c r="F316" i="12"/>
  <c r="F317" i="12"/>
  <c r="F318" i="12"/>
  <c r="F319" i="12"/>
  <c r="F320" i="12"/>
  <c r="F321" i="12"/>
  <c r="F322" i="12"/>
  <c r="F323" i="12"/>
  <c r="F324" i="12"/>
  <c r="F325" i="12"/>
  <c r="F326" i="12"/>
  <c r="F327" i="12"/>
  <c r="F328" i="12"/>
  <c r="F329" i="12"/>
  <c r="F330" i="12"/>
  <c r="F331" i="12"/>
  <c r="F332" i="12"/>
  <c r="F333" i="12"/>
  <c r="F334" i="12"/>
  <c r="F335" i="12"/>
  <c r="F336" i="12"/>
  <c r="F337" i="12"/>
  <c r="F338" i="12"/>
  <c r="F339" i="12"/>
  <c r="F340" i="12"/>
  <c r="F341" i="12"/>
  <c r="F342" i="12"/>
  <c r="F343" i="12"/>
  <c r="F344" i="12"/>
  <c r="F345" i="12"/>
  <c r="F346" i="12"/>
  <c r="F347" i="12"/>
  <c r="F348" i="12"/>
  <c r="F349" i="12"/>
  <c r="F350" i="12"/>
  <c r="F351" i="12"/>
  <c r="F352" i="12"/>
  <c r="F353" i="12"/>
  <c r="F354" i="12"/>
  <c r="F355" i="12"/>
  <c r="F356" i="12"/>
  <c r="F357" i="12"/>
  <c r="F358" i="12"/>
  <c r="F359" i="12"/>
  <c r="F360" i="12"/>
  <c r="F361" i="12"/>
  <c r="F362" i="12"/>
  <c r="F363" i="12"/>
  <c r="F364" i="12"/>
  <c r="F365" i="12"/>
  <c r="F366" i="12"/>
  <c r="F367" i="12"/>
  <c r="F368" i="12"/>
  <c r="F369" i="12"/>
  <c r="F370" i="12"/>
  <c r="F371" i="12"/>
  <c r="F372" i="12"/>
  <c r="F373" i="12"/>
  <c r="F374" i="12"/>
  <c r="F375" i="12"/>
  <c r="F376" i="12"/>
  <c r="F377" i="12"/>
  <c r="F378" i="12"/>
  <c r="F379" i="12"/>
  <c r="F380" i="12"/>
  <c r="F381" i="12"/>
  <c r="F382" i="12"/>
  <c r="F383" i="12"/>
  <c r="F384" i="12"/>
  <c r="F385" i="12"/>
  <c r="F386" i="12"/>
  <c r="F387" i="12"/>
  <c r="F388" i="12"/>
  <c r="F389" i="12"/>
  <c r="F390" i="12"/>
  <c r="F391" i="12"/>
  <c r="F392" i="12"/>
  <c r="F393" i="12"/>
  <c r="F394" i="12"/>
  <c r="F395" i="12"/>
  <c r="F396" i="12"/>
  <c r="F397" i="12"/>
  <c r="F398" i="12"/>
  <c r="F399" i="12"/>
  <c r="F400" i="12"/>
  <c r="F401" i="12"/>
  <c r="F402" i="12"/>
  <c r="F403" i="12"/>
  <c r="F404" i="12"/>
  <c r="F405" i="12"/>
  <c r="F406" i="12"/>
  <c r="F407" i="12"/>
  <c r="F408" i="12"/>
  <c r="F409" i="12"/>
  <c r="F410" i="12"/>
  <c r="F411" i="12"/>
  <c r="F412" i="12"/>
  <c r="F413" i="12"/>
  <c r="F414" i="12"/>
  <c r="F415" i="12"/>
  <c r="F416" i="12"/>
  <c r="F417" i="12"/>
  <c r="F418" i="12"/>
  <c r="F419" i="12"/>
  <c r="F420" i="12"/>
  <c r="F421" i="12"/>
  <c r="F422" i="12"/>
  <c r="F423" i="12"/>
  <c r="F424" i="12"/>
  <c r="F425" i="12"/>
  <c r="F426" i="12"/>
  <c r="F427" i="12"/>
  <c r="F428" i="12"/>
  <c r="F429" i="12"/>
  <c r="F430" i="12"/>
  <c r="F431" i="12"/>
  <c r="F432" i="12"/>
  <c r="F433" i="12"/>
  <c r="F434" i="12"/>
  <c r="F435" i="12"/>
  <c r="F436" i="12"/>
  <c r="F437" i="12"/>
  <c r="F438" i="12"/>
  <c r="F439" i="12"/>
  <c r="F440" i="12"/>
  <c r="F441" i="12"/>
  <c r="F442" i="12"/>
  <c r="F443" i="12"/>
  <c r="F444" i="12"/>
  <c r="F445" i="12"/>
  <c r="F446" i="12"/>
  <c r="F447" i="12"/>
  <c r="F448" i="12"/>
  <c r="F449" i="12"/>
  <c r="F450" i="12"/>
  <c r="F451" i="12"/>
  <c r="F452" i="12"/>
  <c r="F453" i="12"/>
  <c r="F454" i="12"/>
  <c r="F455" i="12"/>
  <c r="F456" i="12"/>
  <c r="F457" i="12"/>
  <c r="F458" i="12"/>
  <c r="F459" i="12"/>
  <c r="F460" i="12"/>
  <c r="F461" i="12"/>
  <c r="F462" i="12"/>
  <c r="F463" i="12"/>
  <c r="F464" i="12"/>
  <c r="F465" i="12"/>
  <c r="F466" i="12"/>
  <c r="F467" i="12"/>
  <c r="F468" i="12"/>
  <c r="F469" i="12"/>
  <c r="F470" i="12"/>
  <c r="F471" i="12"/>
  <c r="F472" i="12"/>
  <c r="F473" i="12"/>
  <c r="F474" i="12"/>
  <c r="F475" i="12"/>
  <c r="F476" i="12"/>
  <c r="F477" i="12"/>
  <c r="F478" i="12"/>
  <c r="F479" i="12"/>
  <c r="F480" i="12"/>
  <c r="F481" i="12"/>
  <c r="F482" i="12"/>
  <c r="F483" i="12"/>
  <c r="F484" i="12"/>
  <c r="F485" i="12"/>
  <c r="F486" i="12"/>
  <c r="F487" i="12"/>
  <c r="F488" i="12"/>
  <c r="F489" i="12"/>
  <c r="F490" i="12"/>
  <c r="F491" i="12"/>
  <c r="F492" i="12"/>
  <c r="F493" i="12"/>
  <c r="F494" i="12"/>
  <c r="F495" i="12"/>
  <c r="F496" i="12"/>
  <c r="F497" i="12"/>
  <c r="F498" i="12"/>
  <c r="F499" i="12"/>
  <c r="F500" i="12"/>
  <c r="F501" i="12"/>
  <c r="F502" i="12"/>
  <c r="F503" i="12"/>
  <c r="F504" i="12"/>
  <c r="F505" i="12"/>
  <c r="F506" i="12"/>
  <c r="F507" i="12"/>
  <c r="F508" i="12"/>
  <c r="F509" i="12"/>
  <c r="F510" i="12"/>
  <c r="F511" i="12"/>
  <c r="F512" i="12"/>
  <c r="F513" i="12"/>
  <c r="F514" i="12"/>
  <c r="F515" i="12"/>
  <c r="F516" i="12"/>
  <c r="F517" i="12"/>
  <c r="F518" i="12"/>
  <c r="F519" i="12"/>
  <c r="F520" i="12"/>
  <c r="F521" i="12"/>
  <c r="F522" i="12"/>
  <c r="F523" i="12"/>
  <c r="F524" i="12"/>
  <c r="F525" i="12"/>
  <c r="F526" i="12"/>
  <c r="F527" i="12"/>
  <c r="F528" i="12"/>
  <c r="F529" i="12"/>
  <c r="F530" i="12"/>
  <c r="F531" i="12"/>
  <c r="F532" i="12"/>
  <c r="F533" i="12"/>
  <c r="F534" i="12"/>
  <c r="F535" i="12"/>
  <c r="F536" i="12"/>
  <c r="F537" i="12"/>
  <c r="F538" i="12"/>
  <c r="F539" i="12"/>
  <c r="F540" i="12"/>
  <c r="F541" i="12"/>
  <c r="F542" i="12"/>
  <c r="F543" i="12"/>
  <c r="F544" i="12"/>
  <c r="F545" i="12"/>
  <c r="F546" i="12"/>
  <c r="F547" i="12"/>
  <c r="F548" i="12"/>
  <c r="F549" i="12"/>
  <c r="F550" i="12"/>
  <c r="F551" i="12"/>
  <c r="F552" i="12"/>
  <c r="F553" i="12"/>
  <c r="F554" i="12"/>
  <c r="F555" i="12"/>
  <c r="F556" i="12"/>
  <c r="F557" i="12"/>
  <c r="F558" i="12"/>
  <c r="F559" i="12"/>
  <c r="F560" i="12"/>
  <c r="F561" i="12"/>
  <c r="F562" i="12"/>
  <c r="F563" i="12"/>
  <c r="F564" i="12"/>
  <c r="F565" i="12"/>
  <c r="F566" i="12"/>
  <c r="F567" i="12"/>
  <c r="F568" i="12"/>
  <c r="F569" i="12"/>
  <c r="F570" i="12"/>
  <c r="F571" i="12"/>
  <c r="F572" i="12"/>
  <c r="F573" i="12"/>
  <c r="F574" i="12"/>
  <c r="F575" i="12"/>
  <c r="F576" i="12"/>
  <c r="F577" i="12"/>
  <c r="F578" i="12"/>
  <c r="F579" i="12"/>
  <c r="F580" i="12"/>
  <c r="F581" i="12"/>
  <c r="F582" i="12"/>
  <c r="F583" i="12"/>
  <c r="F584" i="12"/>
  <c r="F585" i="12"/>
  <c r="F586" i="12"/>
  <c r="F587" i="12"/>
  <c r="F588" i="12"/>
  <c r="F589" i="12"/>
  <c r="F590" i="12"/>
  <c r="F591" i="12"/>
  <c r="F592" i="12"/>
  <c r="F593" i="12"/>
  <c r="F594" i="12"/>
  <c r="F595" i="12"/>
  <c r="F596" i="12"/>
  <c r="F597" i="12"/>
  <c r="F598" i="12"/>
  <c r="F599" i="12"/>
  <c r="F600" i="12"/>
  <c r="F601" i="12"/>
  <c r="F602" i="12"/>
  <c r="F603" i="12"/>
  <c r="F604" i="12"/>
  <c r="F605" i="12"/>
  <c r="F606" i="12"/>
  <c r="F607" i="12"/>
  <c r="F608" i="12"/>
  <c r="F609" i="12"/>
  <c r="F610" i="12"/>
  <c r="F611" i="12"/>
  <c r="F612" i="12"/>
  <c r="F613" i="12"/>
  <c r="F614" i="12"/>
  <c r="F615" i="12"/>
  <c r="F616" i="12"/>
  <c r="F617" i="12"/>
  <c r="F618" i="12"/>
  <c r="F619" i="12"/>
  <c r="F620" i="12"/>
  <c r="F621" i="12"/>
  <c r="F622" i="12"/>
  <c r="F623" i="12"/>
  <c r="F624" i="12"/>
  <c r="F625" i="12"/>
  <c r="F626" i="12"/>
  <c r="F627" i="12"/>
  <c r="F628" i="12"/>
  <c r="F629" i="12"/>
  <c r="F630" i="12"/>
  <c r="F631" i="12"/>
  <c r="F632" i="12"/>
  <c r="F633" i="12"/>
  <c r="F634" i="12"/>
  <c r="F635" i="12"/>
  <c r="F636" i="12"/>
  <c r="F637" i="12"/>
  <c r="F638" i="12"/>
  <c r="F639" i="12"/>
  <c r="F640" i="12"/>
  <c r="F641" i="12"/>
  <c r="F642" i="12"/>
  <c r="F643" i="12"/>
  <c r="F644" i="12"/>
  <c r="F645" i="12"/>
  <c r="F646" i="12"/>
  <c r="F647" i="12"/>
  <c r="F648" i="12"/>
  <c r="F649" i="12"/>
  <c r="F650" i="12"/>
  <c r="F651" i="12"/>
  <c r="F652" i="12"/>
  <c r="F653" i="12"/>
  <c r="F654" i="12"/>
  <c r="F655" i="12"/>
  <c r="F656" i="12"/>
  <c r="F657" i="12"/>
  <c r="F658" i="12"/>
  <c r="F659" i="12"/>
  <c r="F660" i="12"/>
  <c r="F661" i="12"/>
  <c r="F662" i="12"/>
  <c r="F663" i="12"/>
  <c r="F664" i="12"/>
  <c r="F665" i="12"/>
  <c r="F666" i="12"/>
  <c r="F667" i="12"/>
  <c r="F668" i="12"/>
  <c r="F669" i="12"/>
  <c r="F670" i="12"/>
  <c r="F671" i="12"/>
  <c r="F672" i="12"/>
  <c r="F673" i="12"/>
  <c r="F674" i="12"/>
  <c r="F675" i="12"/>
  <c r="F676" i="12"/>
  <c r="F677" i="12"/>
  <c r="F678" i="12"/>
  <c r="F679" i="12"/>
  <c r="F680" i="12"/>
  <c r="F681" i="12"/>
  <c r="F682" i="12"/>
  <c r="F683" i="12"/>
  <c r="F684" i="12"/>
  <c r="F685" i="12"/>
  <c r="F686" i="12"/>
  <c r="F687" i="12"/>
  <c r="F688" i="12"/>
  <c r="F689" i="12"/>
  <c r="F690" i="12"/>
  <c r="F691" i="12"/>
  <c r="F692" i="12"/>
  <c r="F693" i="12"/>
  <c r="F694" i="12"/>
  <c r="F695" i="12"/>
  <c r="F696" i="12"/>
  <c r="F697" i="12"/>
  <c r="F698" i="12"/>
  <c r="F699" i="12"/>
  <c r="F700" i="12"/>
  <c r="F701" i="12"/>
  <c r="F702" i="12"/>
  <c r="F703" i="12"/>
  <c r="F704" i="12"/>
  <c r="F705" i="12"/>
  <c r="F706" i="12"/>
  <c r="F707" i="12"/>
  <c r="F708" i="12"/>
  <c r="F709" i="12"/>
  <c r="F710" i="12"/>
  <c r="F711" i="12"/>
  <c r="F712" i="12"/>
  <c r="F713" i="12"/>
  <c r="F714" i="12"/>
  <c r="F715" i="12"/>
  <c r="F716" i="12"/>
  <c r="F717" i="12"/>
  <c r="F718" i="12"/>
  <c r="F719" i="12"/>
  <c r="F720" i="12"/>
  <c r="F721" i="12"/>
  <c r="F722" i="12"/>
  <c r="F723" i="12"/>
  <c r="F724" i="12"/>
  <c r="F725" i="12"/>
  <c r="F726" i="12"/>
  <c r="F727" i="12"/>
  <c r="F728" i="12"/>
  <c r="F729" i="12"/>
  <c r="F730" i="12"/>
  <c r="F731" i="12"/>
  <c r="F732" i="12"/>
  <c r="F733" i="12"/>
  <c r="F734" i="12"/>
  <c r="F735" i="12"/>
  <c r="F736" i="12"/>
  <c r="F737" i="12"/>
  <c r="F738" i="12"/>
  <c r="F739" i="12"/>
  <c r="F740" i="12"/>
  <c r="F741" i="12"/>
  <c r="F742" i="12"/>
  <c r="F743" i="12"/>
  <c r="F744" i="12"/>
  <c r="F745" i="12"/>
  <c r="F746" i="12"/>
  <c r="F747" i="12"/>
  <c r="F748" i="12"/>
  <c r="F749" i="12"/>
  <c r="F750" i="12"/>
  <c r="F751" i="12"/>
  <c r="F752" i="12"/>
  <c r="F753" i="12"/>
  <c r="F754" i="12"/>
  <c r="F755" i="12"/>
  <c r="F756" i="12"/>
  <c r="F757" i="12"/>
  <c r="F758" i="12"/>
  <c r="F759" i="12"/>
  <c r="F760" i="12"/>
  <c r="F761" i="12"/>
  <c r="F762" i="12"/>
  <c r="F763" i="12"/>
  <c r="F764" i="12"/>
  <c r="F765" i="12"/>
  <c r="F766" i="12"/>
  <c r="F767" i="12"/>
  <c r="F768" i="12"/>
  <c r="F769" i="12"/>
  <c r="F770" i="12"/>
  <c r="F771" i="12"/>
  <c r="F772" i="12"/>
  <c r="F773" i="12"/>
  <c r="F774" i="12"/>
  <c r="F775" i="12"/>
  <c r="F776" i="12"/>
  <c r="F777" i="12"/>
  <c r="F778" i="12"/>
  <c r="F779" i="12"/>
  <c r="F780" i="12"/>
  <c r="F781" i="12"/>
  <c r="F782" i="12"/>
  <c r="F783" i="12"/>
  <c r="F784" i="12"/>
  <c r="F785" i="12"/>
  <c r="F786" i="12"/>
  <c r="F787" i="12"/>
  <c r="F788" i="12"/>
  <c r="F789" i="12"/>
  <c r="F790" i="12"/>
  <c r="F791" i="12"/>
  <c r="F792" i="12"/>
  <c r="F793" i="12"/>
  <c r="F794" i="12"/>
  <c r="F795" i="12"/>
  <c r="F796" i="12"/>
  <c r="F797" i="12"/>
  <c r="F798" i="12"/>
  <c r="F799" i="12"/>
  <c r="F800" i="12"/>
  <c r="F801" i="12"/>
  <c r="F802" i="12"/>
  <c r="F803" i="12"/>
  <c r="F804" i="12"/>
  <c r="F805" i="12"/>
  <c r="F806" i="12"/>
  <c r="F807" i="12"/>
  <c r="F808" i="12"/>
  <c r="F809" i="12"/>
  <c r="F810" i="12"/>
  <c r="F811" i="12"/>
  <c r="F812" i="12"/>
  <c r="F813" i="12"/>
  <c r="F814" i="12"/>
  <c r="F815" i="12"/>
  <c r="F816" i="12"/>
  <c r="F817" i="12"/>
  <c r="F818" i="12"/>
  <c r="F819" i="12"/>
  <c r="F820" i="12"/>
  <c r="F821" i="12"/>
  <c r="F822" i="12"/>
  <c r="F823" i="12"/>
  <c r="F824" i="12"/>
  <c r="F825" i="12"/>
  <c r="F826" i="12"/>
  <c r="F827" i="12"/>
  <c r="F828" i="12"/>
  <c r="F829" i="12"/>
  <c r="F830" i="12"/>
  <c r="F831" i="12"/>
  <c r="F832" i="12"/>
  <c r="F833" i="12"/>
  <c r="F834" i="12"/>
  <c r="F835" i="12"/>
  <c r="F836" i="12"/>
  <c r="F837" i="12"/>
  <c r="F838" i="12"/>
  <c r="F839" i="12"/>
  <c r="F840" i="12"/>
  <c r="F841" i="12"/>
  <c r="F842" i="12"/>
  <c r="F843" i="12"/>
  <c r="F844" i="12"/>
  <c r="F845" i="12"/>
  <c r="F846" i="12"/>
  <c r="F847" i="12"/>
  <c r="F848" i="12"/>
  <c r="F849" i="12"/>
  <c r="F850" i="12"/>
  <c r="F851" i="12"/>
  <c r="F852" i="12"/>
  <c r="F853" i="12"/>
  <c r="F854" i="12"/>
  <c r="F855" i="12"/>
  <c r="F856" i="12"/>
  <c r="F857" i="12"/>
  <c r="F858" i="12"/>
  <c r="F859" i="12"/>
  <c r="F860" i="12"/>
  <c r="F861" i="12"/>
  <c r="F862" i="12"/>
  <c r="F863" i="12"/>
  <c r="F864" i="12"/>
  <c r="F865" i="12"/>
  <c r="F866" i="12"/>
  <c r="F867" i="12"/>
  <c r="F868" i="12"/>
  <c r="F869" i="12"/>
  <c r="F870" i="12"/>
  <c r="F871" i="12"/>
  <c r="F872" i="12"/>
  <c r="F873" i="12"/>
  <c r="F874" i="12"/>
  <c r="F875" i="12"/>
  <c r="F876" i="12"/>
  <c r="F877" i="12"/>
  <c r="F878" i="12"/>
  <c r="F879" i="12"/>
  <c r="F880" i="12"/>
  <c r="F881" i="12"/>
  <c r="F882" i="12"/>
  <c r="F883" i="12"/>
  <c r="F884" i="12"/>
  <c r="F885" i="12"/>
  <c r="F886" i="12"/>
  <c r="F887" i="12"/>
  <c r="F888" i="12"/>
  <c r="F889" i="12"/>
  <c r="F890" i="12"/>
  <c r="F891" i="12"/>
  <c r="F892" i="12"/>
  <c r="F893" i="12"/>
  <c r="F894" i="12"/>
  <c r="F895" i="12"/>
  <c r="F896" i="12"/>
  <c r="F897" i="12"/>
  <c r="F898" i="12"/>
  <c r="F899" i="12"/>
  <c r="F900" i="12"/>
  <c r="F901" i="12"/>
  <c r="F902" i="12"/>
  <c r="F903" i="12"/>
  <c r="F904" i="12"/>
  <c r="F905" i="12"/>
  <c r="F906" i="12"/>
  <c r="F907" i="12"/>
  <c r="F908" i="12"/>
  <c r="F909" i="12"/>
  <c r="F910" i="12"/>
  <c r="F911" i="12"/>
  <c r="F912" i="12"/>
  <c r="F913" i="12"/>
  <c r="F914" i="12"/>
  <c r="F915" i="12"/>
  <c r="F916" i="12"/>
  <c r="F917" i="12"/>
  <c r="F918" i="12"/>
  <c r="F919" i="12"/>
  <c r="F920" i="12"/>
  <c r="F921" i="12"/>
  <c r="F922" i="12"/>
  <c r="F923" i="12"/>
  <c r="F924" i="12"/>
  <c r="F925" i="12"/>
  <c r="F926" i="12"/>
  <c r="F927" i="12"/>
  <c r="F928" i="12"/>
  <c r="F929" i="12"/>
  <c r="F930" i="12"/>
  <c r="F931" i="12"/>
  <c r="F932" i="12"/>
  <c r="F933" i="12"/>
  <c r="F934" i="12"/>
  <c r="F935" i="12"/>
  <c r="F936" i="12"/>
  <c r="F937" i="12"/>
  <c r="F938" i="12"/>
  <c r="F939" i="12"/>
  <c r="F940" i="12"/>
  <c r="F941" i="12"/>
  <c r="F942" i="12"/>
  <c r="F943" i="12"/>
  <c r="F944" i="12"/>
  <c r="F945" i="12"/>
  <c r="F946" i="12"/>
  <c r="F947" i="12"/>
  <c r="F948" i="12"/>
  <c r="F949" i="12"/>
  <c r="F950" i="12"/>
  <c r="F951" i="12"/>
  <c r="F952" i="12"/>
  <c r="F953" i="12"/>
  <c r="F954" i="12"/>
  <c r="F955" i="12"/>
  <c r="F956" i="12"/>
  <c r="F957" i="12"/>
  <c r="F958" i="12"/>
  <c r="F959" i="12"/>
  <c r="F960" i="12"/>
  <c r="F961" i="12"/>
  <c r="F962" i="12"/>
  <c r="F963" i="12"/>
  <c r="F964" i="12"/>
  <c r="F965" i="12"/>
  <c r="F966" i="12"/>
  <c r="F967" i="12"/>
  <c r="F968" i="12"/>
  <c r="F969" i="12"/>
  <c r="F970" i="12"/>
  <c r="F971" i="12"/>
  <c r="F972" i="12"/>
  <c r="F973" i="12"/>
  <c r="F974" i="12"/>
  <c r="F975" i="12"/>
  <c r="F976" i="12"/>
  <c r="F977" i="12"/>
  <c r="F978" i="12"/>
  <c r="F979" i="12"/>
  <c r="F980" i="12"/>
  <c r="F981" i="12"/>
  <c r="F982" i="12"/>
  <c r="F983" i="12"/>
  <c r="F984" i="12"/>
  <c r="F985" i="12"/>
  <c r="F986" i="12"/>
  <c r="F987" i="12"/>
  <c r="F988" i="12"/>
  <c r="F989" i="12"/>
  <c r="F990" i="12"/>
  <c r="F991" i="12"/>
  <c r="F992" i="12"/>
  <c r="F993" i="12"/>
  <c r="F994" i="12"/>
  <c r="F995" i="12"/>
  <c r="F996" i="12"/>
  <c r="F997" i="12"/>
  <c r="F998" i="12"/>
  <c r="F999" i="12"/>
  <c r="F1000" i="12"/>
  <c r="F1001" i="12"/>
  <c r="F1002" i="12"/>
  <c r="F1003" i="12"/>
  <c r="F1004" i="12"/>
  <c r="F1005" i="12"/>
  <c r="F1006" i="12"/>
  <c r="F1007" i="12"/>
  <c r="F1008" i="12"/>
  <c r="F1009" i="12"/>
  <c r="F1010" i="12"/>
  <c r="F1011" i="12"/>
  <c r="F1012" i="12"/>
  <c r="F1013" i="12"/>
  <c r="F1014" i="12"/>
  <c r="F1015" i="12"/>
  <c r="F1016" i="12"/>
  <c r="F1017" i="12"/>
  <c r="F1018" i="12"/>
  <c r="F1019" i="12"/>
  <c r="F1020" i="12"/>
  <c r="F1021" i="12"/>
  <c r="F1022" i="12"/>
  <c r="F1023" i="12"/>
  <c r="F1024" i="12"/>
  <c r="F1025" i="12"/>
  <c r="F1026" i="12"/>
  <c r="F1027" i="12"/>
  <c r="F1028" i="12"/>
  <c r="F1029" i="12"/>
  <c r="F1030" i="12"/>
  <c r="F1031" i="12"/>
  <c r="F1032" i="12"/>
  <c r="F1033" i="12"/>
  <c r="F1034" i="12"/>
  <c r="F1035" i="12"/>
  <c r="F1036" i="12"/>
  <c r="F1037" i="12"/>
  <c r="F1038" i="12"/>
  <c r="F1039" i="12"/>
  <c r="F1040" i="12"/>
  <c r="F1041" i="12"/>
  <c r="F1042" i="12"/>
  <c r="F1043" i="12"/>
  <c r="F1044" i="12"/>
  <c r="F1045" i="12"/>
  <c r="F1046" i="12"/>
  <c r="F1047" i="12"/>
  <c r="F1048" i="12"/>
  <c r="F1049" i="12"/>
  <c r="F1050" i="12"/>
  <c r="F1051" i="12"/>
  <c r="F1052" i="12"/>
  <c r="F1053" i="12"/>
  <c r="F1054" i="12"/>
  <c r="F1055" i="12"/>
  <c r="F1056" i="12"/>
  <c r="F1057" i="12"/>
  <c r="F1058" i="12"/>
  <c r="F1059" i="12"/>
  <c r="F1060" i="12"/>
  <c r="F1061" i="12"/>
  <c r="F1062" i="12"/>
  <c r="F1063" i="12"/>
  <c r="F1064" i="12"/>
  <c r="F1065" i="12"/>
  <c r="F1066" i="12"/>
  <c r="F1067" i="12"/>
  <c r="F1068" i="12"/>
  <c r="F1069" i="12"/>
  <c r="F1070" i="12"/>
  <c r="F1071" i="12"/>
  <c r="F1072" i="12"/>
  <c r="F1073" i="12"/>
  <c r="F1074" i="12"/>
  <c r="F1075" i="12"/>
  <c r="F1076" i="12"/>
  <c r="F1077" i="12"/>
  <c r="F1078" i="12"/>
  <c r="F1079" i="12"/>
  <c r="F1080" i="12"/>
  <c r="F1081" i="12"/>
  <c r="F1082" i="12"/>
  <c r="F1083" i="12"/>
  <c r="F1084" i="12"/>
  <c r="F1085" i="12"/>
  <c r="F1086" i="12"/>
  <c r="F1087" i="12"/>
  <c r="F1088" i="12"/>
  <c r="F1089" i="12"/>
  <c r="F1090" i="12"/>
  <c r="F1091" i="12"/>
  <c r="F1092" i="12"/>
  <c r="F1093" i="12"/>
  <c r="F1094" i="12"/>
  <c r="F1095" i="12"/>
  <c r="F1096" i="12"/>
  <c r="F1097" i="12"/>
  <c r="F1098" i="12"/>
  <c r="F1099" i="12"/>
  <c r="F1100" i="12"/>
  <c r="F1101" i="12"/>
  <c r="F1102" i="12"/>
  <c r="F1103" i="12"/>
  <c r="F1104" i="12"/>
  <c r="F1105" i="12"/>
  <c r="F1106" i="12"/>
  <c r="F1107" i="12"/>
  <c r="F1108" i="12"/>
  <c r="F1109" i="12"/>
  <c r="F1110" i="12"/>
  <c r="F1111" i="12"/>
  <c r="F1112" i="12"/>
  <c r="F1113" i="12"/>
  <c r="F1114" i="12"/>
  <c r="F1115" i="12"/>
  <c r="F1116" i="12"/>
  <c r="F1117" i="12"/>
  <c r="F1118" i="12"/>
  <c r="F1119" i="12"/>
  <c r="F1120" i="12"/>
  <c r="F1121" i="12"/>
  <c r="F1122" i="12"/>
  <c r="F1123" i="12"/>
  <c r="F1124" i="12"/>
  <c r="F1125" i="12"/>
  <c r="F1126" i="12"/>
  <c r="F1127" i="12"/>
  <c r="F1128" i="12"/>
  <c r="F1129" i="12"/>
  <c r="F1130" i="12"/>
  <c r="F1131" i="12"/>
  <c r="D224" i="12"/>
  <c r="D225" i="12"/>
  <c r="D226" i="12"/>
  <c r="D227" i="12"/>
  <c r="D228" i="12"/>
  <c r="D229" i="12"/>
  <c r="D230" i="12"/>
  <c r="D231" i="12"/>
  <c r="D232" i="12"/>
  <c r="D233" i="12"/>
  <c r="D234" i="12"/>
  <c r="D235" i="12"/>
  <c r="J235" i="12" s="1"/>
  <c r="D236" i="12"/>
  <c r="J236" i="12" s="1"/>
  <c r="D237" i="12"/>
  <c r="D238" i="12"/>
  <c r="D239" i="12"/>
  <c r="D240" i="12"/>
  <c r="D241" i="12"/>
  <c r="D242" i="12"/>
  <c r="D243" i="12"/>
  <c r="D244" i="12"/>
  <c r="D245" i="12"/>
  <c r="D246" i="12"/>
  <c r="D247" i="12"/>
  <c r="D248" i="12"/>
  <c r="D249" i="12"/>
  <c r="D250" i="12"/>
  <c r="D251" i="12"/>
  <c r="D252" i="12"/>
  <c r="D253" i="12"/>
  <c r="D254" i="12"/>
  <c r="D255" i="12"/>
  <c r="D256" i="12"/>
  <c r="D257" i="12"/>
  <c r="D258" i="12"/>
  <c r="D259" i="12"/>
  <c r="D260" i="12"/>
  <c r="J260" i="12" s="1"/>
  <c r="D261" i="12"/>
  <c r="J261" i="12" s="1"/>
  <c r="D262" i="12"/>
  <c r="D263" i="12"/>
  <c r="D264" i="12"/>
  <c r="D265" i="12"/>
  <c r="D266" i="12"/>
  <c r="D267" i="12"/>
  <c r="D268" i="12"/>
  <c r="D269" i="12"/>
  <c r="D270" i="12"/>
  <c r="D271" i="12"/>
  <c r="J271" i="12" s="1"/>
  <c r="D272" i="12"/>
  <c r="D273" i="12"/>
  <c r="D274" i="12"/>
  <c r="D275" i="12"/>
  <c r="D276" i="12"/>
  <c r="D277" i="12"/>
  <c r="D278" i="12"/>
  <c r="J278" i="12" s="1"/>
  <c r="D279" i="12"/>
  <c r="D280" i="12"/>
  <c r="D281" i="12"/>
  <c r="D282" i="12"/>
  <c r="D283" i="12"/>
  <c r="D284" i="12"/>
  <c r="D285" i="12"/>
  <c r="J285" i="12" s="1"/>
  <c r="D286" i="12"/>
  <c r="D287" i="12"/>
  <c r="D288" i="12"/>
  <c r="D289" i="12"/>
  <c r="D290" i="12"/>
  <c r="D291" i="12"/>
  <c r="D292" i="12"/>
  <c r="D293" i="12"/>
  <c r="D294" i="12"/>
  <c r="D295" i="12"/>
  <c r="D296" i="12"/>
  <c r="D297" i="12"/>
  <c r="D298" i="12"/>
  <c r="D299" i="12"/>
  <c r="D300" i="12"/>
  <c r="D301" i="12"/>
  <c r="D302" i="12"/>
  <c r="D303" i="12"/>
  <c r="D304" i="12"/>
  <c r="D305" i="12"/>
  <c r="D306" i="12"/>
  <c r="D307" i="12"/>
  <c r="J307" i="12" s="1"/>
  <c r="D308" i="12"/>
  <c r="J308" i="12" s="1"/>
  <c r="D309" i="12"/>
  <c r="D310" i="12"/>
  <c r="D311" i="12"/>
  <c r="D312" i="12"/>
  <c r="D313" i="12"/>
  <c r="D314" i="12"/>
  <c r="D315" i="12"/>
  <c r="D316" i="12"/>
  <c r="D317" i="12"/>
  <c r="D318" i="12"/>
  <c r="D319" i="12"/>
  <c r="J319" i="12" s="1"/>
  <c r="D320" i="12"/>
  <c r="J320" i="12" s="1"/>
  <c r="D321" i="12"/>
  <c r="D322" i="12"/>
  <c r="D323" i="12"/>
  <c r="D324" i="12"/>
  <c r="D325" i="12"/>
  <c r="D326" i="12"/>
  <c r="D327" i="12"/>
  <c r="D328" i="12"/>
  <c r="D329" i="12"/>
  <c r="D330" i="12"/>
  <c r="D331" i="12"/>
  <c r="D332" i="12"/>
  <c r="D333" i="12"/>
  <c r="D334" i="12"/>
  <c r="D335" i="12"/>
  <c r="D336" i="12"/>
  <c r="D337" i="12"/>
  <c r="D338" i="12"/>
  <c r="D339" i="12"/>
  <c r="D340" i="12"/>
  <c r="D341" i="12"/>
  <c r="D342" i="12"/>
  <c r="D343" i="12"/>
  <c r="J343" i="12" s="1"/>
  <c r="D344" i="12"/>
  <c r="J344" i="12" s="1"/>
  <c r="D345" i="12"/>
  <c r="J345" i="12" s="1"/>
  <c r="D346" i="12"/>
  <c r="J346" i="12" s="1"/>
  <c r="D347" i="12"/>
  <c r="D348" i="12"/>
  <c r="D349" i="12"/>
  <c r="D350" i="12"/>
  <c r="D351" i="12"/>
  <c r="D352" i="12"/>
  <c r="D353" i="12"/>
  <c r="D354" i="12"/>
  <c r="D355" i="12"/>
  <c r="D356" i="12"/>
  <c r="D357" i="12"/>
  <c r="D358" i="12"/>
  <c r="D359" i="12"/>
  <c r="D360" i="12"/>
  <c r="D361" i="12"/>
  <c r="D362" i="12"/>
  <c r="D363" i="12"/>
  <c r="D364" i="12"/>
  <c r="D365" i="12"/>
  <c r="D366" i="12"/>
  <c r="D367" i="12"/>
  <c r="D368" i="12"/>
  <c r="D369" i="12"/>
  <c r="D370" i="12"/>
  <c r="D371" i="12"/>
  <c r="D372" i="12"/>
  <c r="D373" i="12"/>
  <c r="D374" i="12"/>
  <c r="D375" i="12"/>
  <c r="J375" i="12" s="1"/>
  <c r="D376" i="12"/>
  <c r="D377" i="12"/>
  <c r="D378" i="12"/>
  <c r="D379" i="12"/>
  <c r="D380" i="12"/>
  <c r="D381" i="12"/>
  <c r="D382" i="12"/>
  <c r="D383" i="12"/>
  <c r="D384" i="12"/>
  <c r="D385" i="12"/>
  <c r="J385" i="12" s="1"/>
  <c r="D386" i="12"/>
  <c r="D387" i="12"/>
  <c r="D388" i="12"/>
  <c r="D389" i="12"/>
  <c r="D390" i="12"/>
  <c r="D391" i="12"/>
  <c r="D392" i="12"/>
  <c r="D393" i="12"/>
  <c r="J393" i="12" s="1"/>
  <c r="D394" i="12"/>
  <c r="D395" i="12"/>
  <c r="D396" i="12"/>
  <c r="D397" i="12"/>
  <c r="D398" i="12"/>
  <c r="D399" i="12"/>
  <c r="D400" i="12"/>
  <c r="D401" i="12"/>
  <c r="D402" i="12"/>
  <c r="D403" i="12"/>
  <c r="D404" i="12"/>
  <c r="D405" i="12"/>
  <c r="D406" i="12"/>
  <c r="D407" i="12"/>
  <c r="D408" i="12"/>
  <c r="D409" i="12"/>
  <c r="D410" i="12"/>
  <c r="D411" i="12"/>
  <c r="D412" i="12"/>
  <c r="D413" i="12"/>
  <c r="D414" i="12"/>
  <c r="D415" i="12"/>
  <c r="J415" i="12" s="1"/>
  <c r="D416" i="12"/>
  <c r="J416" i="12" s="1"/>
  <c r="D417" i="12"/>
  <c r="D418" i="12"/>
  <c r="D419" i="12"/>
  <c r="D420" i="12"/>
  <c r="D421" i="12"/>
  <c r="D422" i="12"/>
  <c r="D423" i="12"/>
  <c r="D424" i="12"/>
  <c r="D425" i="12"/>
  <c r="D426" i="12"/>
  <c r="D427" i="12"/>
  <c r="D428" i="12"/>
  <c r="D429" i="12"/>
  <c r="J429" i="12" s="1"/>
  <c r="D430" i="12"/>
  <c r="D431" i="12"/>
  <c r="D432" i="12"/>
  <c r="D433" i="12"/>
  <c r="J433" i="12" s="1"/>
  <c r="D434" i="12"/>
  <c r="D435" i="12"/>
  <c r="D436" i="12"/>
  <c r="D437" i="12"/>
  <c r="D438" i="12"/>
  <c r="D439" i="12"/>
  <c r="D440" i="12"/>
  <c r="D441" i="12"/>
  <c r="D442" i="12"/>
  <c r="D443" i="12"/>
  <c r="D444" i="12"/>
  <c r="D445" i="12"/>
  <c r="D446" i="12"/>
  <c r="D447" i="12"/>
  <c r="D448" i="12"/>
  <c r="D449" i="12"/>
  <c r="D450" i="12"/>
  <c r="D451" i="12"/>
  <c r="D452" i="12"/>
  <c r="J452" i="12" s="1"/>
  <c r="D453" i="12"/>
  <c r="D454" i="12"/>
  <c r="D455" i="12"/>
  <c r="D456" i="12"/>
  <c r="D457" i="12"/>
  <c r="D458" i="12"/>
  <c r="D459" i="12"/>
  <c r="D460" i="12"/>
  <c r="D461" i="12"/>
  <c r="D462" i="12"/>
  <c r="D463" i="12"/>
  <c r="J463" i="12" s="1"/>
  <c r="D464" i="12"/>
  <c r="D465" i="12"/>
  <c r="D466" i="12"/>
  <c r="D467" i="12"/>
  <c r="D468" i="12"/>
  <c r="D469" i="12"/>
  <c r="D470" i="12"/>
  <c r="D471" i="12"/>
  <c r="D472" i="12"/>
  <c r="D473" i="12"/>
  <c r="D474" i="12"/>
  <c r="D475" i="12"/>
  <c r="D476" i="12"/>
  <c r="D477" i="12"/>
  <c r="D478" i="12"/>
  <c r="D479" i="12"/>
  <c r="D480" i="12"/>
  <c r="D481" i="12"/>
  <c r="D482" i="12"/>
  <c r="D483" i="12"/>
  <c r="D484" i="12"/>
  <c r="D485" i="12"/>
  <c r="D486" i="12"/>
  <c r="D487" i="12"/>
  <c r="D488" i="12"/>
  <c r="D489" i="12"/>
  <c r="D490" i="12"/>
  <c r="D491" i="12"/>
  <c r="D492" i="12"/>
  <c r="D493" i="12"/>
  <c r="D494" i="12"/>
  <c r="D495" i="12"/>
  <c r="D496" i="12"/>
  <c r="D497" i="12"/>
  <c r="D498" i="12"/>
  <c r="D499" i="12"/>
  <c r="D500" i="12"/>
  <c r="D501" i="12"/>
  <c r="J501" i="12" s="1"/>
  <c r="D502" i="12"/>
  <c r="D503" i="12"/>
  <c r="D504" i="12"/>
  <c r="D505" i="12"/>
  <c r="D506" i="12"/>
  <c r="D507" i="12"/>
  <c r="D508" i="12"/>
  <c r="D509" i="12"/>
  <c r="D510" i="12"/>
  <c r="D511" i="12"/>
  <c r="D512" i="12"/>
  <c r="D513" i="12"/>
  <c r="D514" i="12"/>
  <c r="D515" i="12"/>
  <c r="J515" i="12" s="1"/>
  <c r="D516" i="12"/>
  <c r="D517" i="12"/>
  <c r="D518" i="12"/>
  <c r="D519" i="12"/>
  <c r="D520" i="12"/>
  <c r="D521" i="12"/>
  <c r="D522" i="12"/>
  <c r="D523" i="12"/>
  <c r="J523" i="12" s="1"/>
  <c r="D524" i="12"/>
  <c r="J524" i="12" s="1"/>
  <c r="D525" i="12"/>
  <c r="D526" i="12"/>
  <c r="D527" i="12"/>
  <c r="D528" i="12"/>
  <c r="D529" i="12"/>
  <c r="D530" i="12"/>
  <c r="D531" i="12"/>
  <c r="D532" i="12"/>
  <c r="D533" i="12"/>
  <c r="D534" i="12"/>
  <c r="D535" i="12"/>
  <c r="D536" i="12"/>
  <c r="D537" i="12"/>
  <c r="D538" i="12"/>
  <c r="D539" i="12"/>
  <c r="D540" i="12"/>
  <c r="D541" i="12"/>
  <c r="D542" i="12"/>
  <c r="D543" i="12"/>
  <c r="J543" i="12" s="1"/>
  <c r="D544" i="12"/>
  <c r="D545" i="12"/>
  <c r="D546" i="12"/>
  <c r="D547" i="12"/>
  <c r="J547" i="12" s="1"/>
  <c r="D548" i="12"/>
  <c r="J548" i="12" s="1"/>
  <c r="D549" i="12"/>
  <c r="D550" i="12"/>
  <c r="D551" i="12"/>
  <c r="D552" i="12"/>
  <c r="D553" i="12"/>
  <c r="D554" i="12"/>
  <c r="D555" i="12"/>
  <c r="D556" i="12"/>
  <c r="D557" i="12"/>
  <c r="D558" i="12"/>
  <c r="D559" i="12"/>
  <c r="D560" i="12"/>
  <c r="D561" i="12"/>
  <c r="D562" i="12"/>
  <c r="D563" i="12"/>
  <c r="D564" i="12"/>
  <c r="D565" i="12"/>
  <c r="D566" i="12"/>
  <c r="D567" i="12"/>
  <c r="D568" i="12"/>
  <c r="D569" i="12"/>
  <c r="D570" i="12"/>
  <c r="D571" i="12"/>
  <c r="D572" i="12"/>
  <c r="D573" i="12"/>
  <c r="J573" i="12" s="1"/>
  <c r="D574" i="12"/>
  <c r="D575" i="12"/>
  <c r="D576" i="12"/>
  <c r="D577" i="12"/>
  <c r="D578" i="12"/>
  <c r="J578" i="12" s="1"/>
  <c r="D579" i="12"/>
  <c r="D580" i="12"/>
  <c r="D581" i="12"/>
  <c r="D582" i="12"/>
  <c r="D583" i="12"/>
  <c r="D584" i="12"/>
  <c r="D585" i="12"/>
  <c r="D586" i="12"/>
  <c r="D587" i="12"/>
  <c r="D588" i="12"/>
  <c r="D589" i="12"/>
  <c r="D590" i="12"/>
  <c r="D591" i="12"/>
  <c r="D592" i="12"/>
  <c r="D593" i="12"/>
  <c r="D594" i="12"/>
  <c r="D595" i="12"/>
  <c r="D596" i="12"/>
  <c r="D597" i="12"/>
  <c r="D598" i="12"/>
  <c r="D599" i="12"/>
  <c r="D600" i="12"/>
  <c r="D601" i="12"/>
  <c r="D602" i="12"/>
  <c r="D603" i="12"/>
  <c r="D604" i="12"/>
  <c r="D605" i="12"/>
  <c r="D606" i="12"/>
  <c r="D607" i="12"/>
  <c r="J607" i="12" s="1"/>
  <c r="D608" i="12"/>
  <c r="J608" i="12" s="1"/>
  <c r="D609" i="12"/>
  <c r="J609" i="12" s="1"/>
  <c r="D610" i="12"/>
  <c r="D611" i="12"/>
  <c r="D612" i="12"/>
  <c r="D613" i="12"/>
  <c r="D614" i="12"/>
  <c r="D615" i="12"/>
  <c r="D616" i="12"/>
  <c r="D617" i="12"/>
  <c r="D618" i="12"/>
  <c r="D619" i="12"/>
  <c r="D620" i="12"/>
  <c r="D621" i="12"/>
  <c r="D622" i="12"/>
  <c r="D623" i="12"/>
  <c r="D624" i="12"/>
  <c r="D625" i="12"/>
  <c r="D626" i="12"/>
  <c r="D627" i="12"/>
  <c r="D628" i="12"/>
  <c r="D629" i="12"/>
  <c r="D630" i="12"/>
  <c r="D631" i="12"/>
  <c r="J631" i="12" s="1"/>
  <c r="D632" i="12"/>
  <c r="D633" i="12"/>
  <c r="D634" i="12"/>
  <c r="D635" i="12"/>
  <c r="D636" i="12"/>
  <c r="D637" i="12"/>
  <c r="D638" i="12"/>
  <c r="D639" i="12"/>
  <c r="D640" i="12"/>
  <c r="D641" i="12"/>
  <c r="D642" i="12"/>
  <c r="D643" i="12"/>
  <c r="D644" i="12"/>
  <c r="D645" i="12"/>
  <c r="J645" i="12" s="1"/>
  <c r="D646" i="12"/>
  <c r="J646" i="12" s="1"/>
  <c r="D647" i="12"/>
  <c r="D648" i="12"/>
  <c r="D649" i="12"/>
  <c r="D650" i="12"/>
  <c r="D651" i="12"/>
  <c r="D652" i="12"/>
  <c r="D653" i="12"/>
  <c r="D654" i="12"/>
  <c r="D655" i="12"/>
  <c r="D656" i="12"/>
  <c r="D657" i="12"/>
  <c r="D658" i="12"/>
  <c r="D659" i="12"/>
  <c r="D660" i="12"/>
  <c r="D661" i="12"/>
  <c r="D662" i="12"/>
  <c r="D663" i="12"/>
  <c r="D664" i="12"/>
  <c r="D665" i="12"/>
  <c r="D666" i="12"/>
  <c r="D667" i="12"/>
  <c r="D668" i="12"/>
  <c r="D669" i="12"/>
  <c r="D670" i="12"/>
  <c r="D671" i="12"/>
  <c r="D672" i="12"/>
  <c r="D673" i="12"/>
  <c r="D674" i="12"/>
  <c r="D675" i="12"/>
  <c r="D676" i="12"/>
  <c r="D677" i="12"/>
  <c r="D678" i="12"/>
  <c r="D679" i="12"/>
  <c r="D680" i="12"/>
  <c r="D681" i="12"/>
  <c r="D682" i="12"/>
  <c r="D683" i="12"/>
  <c r="D684" i="12"/>
  <c r="D685" i="12"/>
  <c r="D686" i="12"/>
  <c r="D687" i="12"/>
  <c r="D688" i="12"/>
  <c r="D689" i="12"/>
  <c r="D690" i="12"/>
  <c r="D691" i="12"/>
  <c r="J691" i="12" s="1"/>
  <c r="D692" i="12"/>
  <c r="J692" i="12" s="1"/>
  <c r="D693" i="12"/>
  <c r="J693" i="12" s="1"/>
  <c r="D694" i="12"/>
  <c r="D695" i="12"/>
  <c r="J695" i="12" s="1"/>
  <c r="D696" i="12"/>
  <c r="D697" i="12"/>
  <c r="D698" i="12"/>
  <c r="D699" i="12"/>
  <c r="D700" i="12"/>
  <c r="D701" i="12"/>
  <c r="D702" i="12"/>
  <c r="D703" i="12"/>
  <c r="D704" i="12"/>
  <c r="D705" i="12"/>
  <c r="D706" i="12"/>
  <c r="D707" i="12"/>
  <c r="D708" i="12"/>
  <c r="D709" i="12"/>
  <c r="D710" i="12"/>
  <c r="D711" i="12"/>
  <c r="D712" i="12"/>
  <c r="D713" i="12"/>
  <c r="D714" i="12"/>
  <c r="D715" i="12"/>
  <c r="D716" i="12"/>
  <c r="D717" i="12"/>
  <c r="D718" i="12"/>
  <c r="D719" i="12"/>
  <c r="D720" i="12"/>
  <c r="D721" i="12"/>
  <c r="D722" i="12"/>
  <c r="D723" i="12"/>
  <c r="D724" i="12"/>
  <c r="D725" i="12"/>
  <c r="D726" i="12"/>
  <c r="D727" i="12"/>
  <c r="D728" i="12"/>
  <c r="D729" i="12"/>
  <c r="D730" i="12"/>
  <c r="D731" i="12"/>
  <c r="D732" i="12"/>
  <c r="D733" i="12"/>
  <c r="J733" i="12" s="1"/>
  <c r="D734" i="12"/>
  <c r="D735" i="12"/>
  <c r="D736" i="12"/>
  <c r="D737" i="12"/>
  <c r="D738" i="12"/>
  <c r="D739" i="12"/>
  <c r="J739" i="12" s="1"/>
  <c r="D740" i="12"/>
  <c r="J740" i="12" s="1"/>
  <c r="D741" i="12"/>
  <c r="D742" i="12"/>
  <c r="D743" i="12"/>
  <c r="D744" i="12"/>
  <c r="D745" i="12"/>
  <c r="D746" i="12"/>
  <c r="D747" i="12"/>
  <c r="D748" i="12"/>
  <c r="D749" i="12"/>
  <c r="D750" i="12"/>
  <c r="D751" i="12"/>
  <c r="D752" i="12"/>
  <c r="D753" i="12"/>
  <c r="D754" i="12"/>
  <c r="D755" i="12"/>
  <c r="D756" i="12"/>
  <c r="D757" i="12"/>
  <c r="D758" i="12"/>
  <c r="D759" i="12"/>
  <c r="D760" i="12"/>
  <c r="D761" i="12"/>
  <c r="D762" i="12"/>
  <c r="D763" i="12"/>
  <c r="D764" i="12"/>
  <c r="D765" i="12"/>
  <c r="D766" i="12"/>
  <c r="D767" i="12"/>
  <c r="D768" i="12"/>
  <c r="D769" i="12"/>
  <c r="D770" i="12"/>
  <c r="D771" i="12"/>
  <c r="D772" i="12"/>
  <c r="D773" i="12"/>
  <c r="D774" i="12"/>
  <c r="D775" i="12"/>
  <c r="J775" i="12" s="1"/>
  <c r="D776" i="12"/>
  <c r="J776" i="12" s="1"/>
  <c r="D777" i="12"/>
  <c r="J777" i="12" s="1"/>
  <c r="D778" i="12"/>
  <c r="D779" i="12"/>
  <c r="D780" i="12"/>
  <c r="D781" i="12"/>
  <c r="D782" i="12"/>
  <c r="D783" i="12"/>
  <c r="D784" i="12"/>
  <c r="D785" i="12"/>
  <c r="D786" i="12"/>
  <c r="D787" i="12"/>
  <c r="D788" i="12"/>
  <c r="D789" i="12"/>
  <c r="D790" i="12"/>
  <c r="D791" i="12"/>
  <c r="D792" i="12"/>
  <c r="D793" i="12"/>
  <c r="D794" i="12"/>
  <c r="D795" i="12"/>
  <c r="D796" i="12"/>
  <c r="D797" i="12"/>
  <c r="D798" i="12"/>
  <c r="D799" i="12"/>
  <c r="D800" i="12"/>
  <c r="D801" i="12"/>
  <c r="D802" i="12"/>
  <c r="D803" i="12"/>
  <c r="D804" i="12"/>
  <c r="D805" i="12"/>
  <c r="D806" i="12"/>
  <c r="D807" i="12"/>
  <c r="D808" i="12"/>
  <c r="D809" i="12"/>
  <c r="D810" i="12"/>
  <c r="D811" i="12"/>
  <c r="D812" i="12"/>
  <c r="J812" i="12" s="1"/>
  <c r="D813" i="12"/>
  <c r="D814" i="12"/>
  <c r="D815" i="12"/>
  <c r="D816" i="12"/>
  <c r="D817" i="12"/>
  <c r="D818" i="12"/>
  <c r="D819" i="12"/>
  <c r="D820" i="12"/>
  <c r="D821" i="12"/>
  <c r="D822" i="12"/>
  <c r="D823" i="12"/>
  <c r="D824" i="12"/>
  <c r="D825" i="12"/>
  <c r="D826" i="12"/>
  <c r="D827" i="12"/>
  <c r="D828" i="12"/>
  <c r="D829" i="12"/>
  <c r="D830" i="12"/>
  <c r="D831" i="12"/>
  <c r="D832" i="12"/>
  <c r="D833" i="12"/>
  <c r="D834" i="12"/>
  <c r="D835" i="12"/>
  <c r="J835" i="12" s="1"/>
  <c r="D836" i="12"/>
  <c r="J836" i="12" s="1"/>
  <c r="D837" i="12"/>
  <c r="J837" i="12" s="1"/>
  <c r="D838" i="12"/>
  <c r="D839" i="12"/>
  <c r="D840" i="12"/>
  <c r="D841" i="12"/>
  <c r="D842" i="12"/>
  <c r="D843" i="12"/>
  <c r="D844" i="12"/>
  <c r="D845" i="12"/>
  <c r="D846" i="12"/>
  <c r="D847" i="12"/>
  <c r="D848" i="12"/>
  <c r="D849" i="12"/>
  <c r="D850" i="12"/>
  <c r="D851" i="12"/>
  <c r="D852" i="12"/>
  <c r="J852" i="12" s="1"/>
  <c r="D853" i="12"/>
  <c r="D854" i="12"/>
  <c r="D855" i="12"/>
  <c r="D856" i="12"/>
  <c r="D857" i="12"/>
  <c r="D858" i="12"/>
  <c r="D859" i="12"/>
  <c r="D860" i="12"/>
  <c r="D861" i="12"/>
  <c r="D862" i="12"/>
  <c r="D863" i="12"/>
  <c r="D864" i="12"/>
  <c r="D865" i="12"/>
  <c r="D866" i="12"/>
  <c r="D867" i="12"/>
  <c r="D868" i="12"/>
  <c r="D869" i="12"/>
  <c r="D870" i="12"/>
  <c r="D871" i="12"/>
  <c r="D872" i="12"/>
  <c r="D873" i="12"/>
  <c r="D874" i="12"/>
  <c r="D875" i="12"/>
  <c r="D876" i="12"/>
  <c r="D877" i="12"/>
  <c r="D878" i="12"/>
  <c r="D879" i="12"/>
  <c r="J879" i="12" s="1"/>
  <c r="D880" i="12"/>
  <c r="J880" i="12" s="1"/>
  <c r="D881" i="12"/>
  <c r="D882" i="12"/>
  <c r="D883" i="12"/>
  <c r="D884" i="12"/>
  <c r="D885" i="12"/>
  <c r="D886" i="12"/>
  <c r="D887" i="12"/>
  <c r="D888" i="12"/>
  <c r="D889" i="12"/>
  <c r="D890" i="12"/>
  <c r="D891" i="12"/>
  <c r="D892" i="12"/>
  <c r="D893" i="12"/>
  <c r="D894" i="12"/>
  <c r="D895" i="12"/>
  <c r="D896" i="12"/>
  <c r="D897" i="12"/>
  <c r="D898" i="12"/>
  <c r="D899" i="12"/>
  <c r="D900" i="12"/>
  <c r="D901" i="12"/>
  <c r="D902" i="12"/>
  <c r="D903" i="12"/>
  <c r="D904" i="12"/>
  <c r="D905" i="12"/>
  <c r="D906" i="12"/>
  <c r="D907" i="12"/>
  <c r="D908" i="12"/>
  <c r="J908" i="12" s="1"/>
  <c r="D909" i="12"/>
  <c r="J909" i="12" s="1"/>
  <c r="D910" i="12"/>
  <c r="J910" i="12" s="1"/>
  <c r="D911" i="12"/>
  <c r="D912" i="12"/>
  <c r="D913" i="12"/>
  <c r="D914" i="12"/>
  <c r="D915" i="12"/>
  <c r="D916" i="12"/>
  <c r="D917" i="12"/>
  <c r="D918" i="12"/>
  <c r="D919" i="12"/>
  <c r="D920" i="12"/>
  <c r="D921" i="12"/>
  <c r="D922" i="12"/>
  <c r="D923" i="12"/>
  <c r="D924" i="12"/>
  <c r="D925" i="12"/>
  <c r="D926" i="12"/>
  <c r="D927" i="12"/>
  <c r="D928" i="12"/>
  <c r="D929" i="12"/>
  <c r="D930" i="12"/>
  <c r="D931" i="12"/>
  <c r="J931" i="12" s="1"/>
  <c r="D932" i="12"/>
  <c r="J932" i="12" s="1"/>
  <c r="D933" i="12"/>
  <c r="J933" i="12" s="1"/>
  <c r="D934" i="12"/>
  <c r="D935" i="12"/>
  <c r="D936" i="12"/>
  <c r="D937" i="12"/>
  <c r="D938" i="12"/>
  <c r="D939" i="12"/>
  <c r="D940" i="12"/>
  <c r="D941" i="12"/>
  <c r="D942" i="12"/>
  <c r="D943" i="12"/>
  <c r="D944" i="12"/>
  <c r="D945" i="12"/>
  <c r="D946" i="12"/>
  <c r="D947" i="12"/>
  <c r="D948" i="12"/>
  <c r="D949" i="12"/>
  <c r="D950" i="12"/>
  <c r="D951" i="12"/>
  <c r="D952" i="12"/>
  <c r="D953" i="12"/>
  <c r="D954" i="12"/>
  <c r="D955" i="12"/>
  <c r="D956" i="12"/>
  <c r="D957" i="12"/>
  <c r="D958" i="12"/>
  <c r="D959" i="12"/>
  <c r="D960" i="12"/>
  <c r="D961" i="12"/>
  <c r="D962" i="12"/>
  <c r="D963" i="12"/>
  <c r="D964" i="12"/>
  <c r="D965" i="12"/>
  <c r="D966" i="12"/>
  <c r="D967" i="12"/>
  <c r="D968" i="12"/>
  <c r="J968" i="12" s="1"/>
  <c r="D969" i="12"/>
  <c r="J969" i="12" s="1"/>
  <c r="D970" i="12"/>
  <c r="D971" i="12"/>
  <c r="D972" i="12"/>
  <c r="D973" i="12"/>
  <c r="D974" i="12"/>
  <c r="D975" i="12"/>
  <c r="D976" i="12"/>
  <c r="D977" i="12"/>
  <c r="D978" i="12"/>
  <c r="D979" i="12"/>
  <c r="J979" i="12" s="1"/>
  <c r="D980" i="12"/>
  <c r="D981" i="12"/>
  <c r="D982" i="12"/>
  <c r="D983" i="12"/>
  <c r="D984" i="12"/>
  <c r="D985" i="12"/>
  <c r="D986" i="12"/>
  <c r="D987" i="12"/>
  <c r="D988" i="12"/>
  <c r="D989" i="12"/>
  <c r="D990" i="12"/>
  <c r="D991" i="12"/>
  <c r="D992" i="12"/>
  <c r="D993" i="12"/>
  <c r="D994" i="12"/>
  <c r="D995" i="12"/>
  <c r="D996" i="12"/>
  <c r="D997" i="12"/>
  <c r="J997" i="12" s="1"/>
  <c r="D998" i="12"/>
  <c r="J998" i="12" s="1"/>
  <c r="D999" i="12"/>
  <c r="D1000" i="12"/>
  <c r="D1001" i="12"/>
  <c r="D1002" i="12"/>
  <c r="D1003" i="12"/>
  <c r="J1003" i="12" s="1"/>
  <c r="D1004" i="12"/>
  <c r="J1004" i="12" s="1"/>
  <c r="D1005" i="12"/>
  <c r="J1005" i="12" s="1"/>
  <c r="D1006" i="12"/>
  <c r="D1007" i="12"/>
  <c r="D1008" i="12"/>
  <c r="D1009" i="12"/>
  <c r="D1010" i="12"/>
  <c r="D1011" i="12"/>
  <c r="D1012" i="12"/>
  <c r="D1013" i="12"/>
  <c r="D1014" i="12"/>
  <c r="D1015" i="12"/>
  <c r="D1016" i="12"/>
  <c r="D1017" i="12"/>
  <c r="D1018" i="12"/>
  <c r="D1019" i="12"/>
  <c r="D1020" i="12"/>
  <c r="D1021" i="12"/>
  <c r="D1022" i="12"/>
  <c r="J1022" i="12" s="1"/>
  <c r="D1023" i="12"/>
  <c r="D1024" i="12"/>
  <c r="D1025" i="12"/>
  <c r="D1026" i="12"/>
  <c r="J1026" i="12" s="1"/>
  <c r="D1027" i="12"/>
  <c r="D1028" i="12"/>
  <c r="D1029" i="12"/>
  <c r="J1029" i="12" s="1"/>
  <c r="D1030" i="12"/>
  <c r="D1031" i="12"/>
  <c r="D1032" i="12"/>
  <c r="D1033" i="12"/>
  <c r="D1034" i="12"/>
  <c r="D1035" i="12"/>
  <c r="D1036" i="12"/>
  <c r="D1037" i="12"/>
  <c r="D1038" i="12"/>
  <c r="D1039" i="12"/>
  <c r="D1040" i="12"/>
  <c r="D1041" i="12"/>
  <c r="D1042" i="12"/>
  <c r="D1043" i="12"/>
  <c r="D1044" i="12"/>
  <c r="D1045" i="12"/>
  <c r="D1046" i="12"/>
  <c r="D1047" i="12"/>
  <c r="D1048" i="12"/>
  <c r="D1049" i="12"/>
  <c r="D1050" i="12"/>
  <c r="D1051" i="12"/>
  <c r="D1052" i="12"/>
  <c r="D1053" i="12"/>
  <c r="D1054" i="12"/>
  <c r="D1055" i="12"/>
  <c r="D1056" i="12"/>
  <c r="D1057" i="12"/>
  <c r="D1058" i="12"/>
  <c r="D1059" i="12"/>
  <c r="J1059" i="12" s="1"/>
  <c r="D1060" i="12"/>
  <c r="D1061" i="12"/>
  <c r="D1062" i="12"/>
  <c r="D1063" i="12"/>
  <c r="D1064" i="12"/>
  <c r="D1065" i="12"/>
  <c r="D1066" i="12"/>
  <c r="D1067" i="12"/>
  <c r="D1068" i="12"/>
  <c r="D1069" i="12"/>
  <c r="D1070" i="12"/>
  <c r="D1071" i="12"/>
  <c r="D1072" i="12"/>
  <c r="D1073" i="12"/>
  <c r="D1074" i="12"/>
  <c r="J1074" i="12" s="1"/>
  <c r="D1075" i="12"/>
  <c r="D1076" i="12"/>
  <c r="D1077" i="12"/>
  <c r="J1077" i="12" s="1"/>
  <c r="D1078" i="12"/>
  <c r="D1079" i="12"/>
  <c r="D1080" i="12"/>
  <c r="J1080" i="12" s="1"/>
  <c r="D1081" i="12"/>
  <c r="D1082" i="12"/>
  <c r="D1083" i="12"/>
  <c r="D1084" i="12"/>
  <c r="D1085" i="12"/>
  <c r="D1086" i="12"/>
  <c r="D1087" i="12"/>
  <c r="D1088" i="12"/>
  <c r="D1089" i="12"/>
  <c r="D1090" i="12"/>
  <c r="D1091" i="12"/>
  <c r="D1092" i="12"/>
  <c r="D1093" i="12"/>
  <c r="D1094" i="12"/>
  <c r="D1095" i="12"/>
  <c r="D1096" i="12"/>
  <c r="D1097" i="12"/>
  <c r="D1098" i="12"/>
  <c r="J1098" i="12" s="1"/>
  <c r="D1099" i="12"/>
  <c r="D1100" i="12"/>
  <c r="D1101" i="12"/>
  <c r="J1101" i="12" s="1"/>
  <c r="D1102" i="12"/>
  <c r="J1102" i="12" s="1"/>
  <c r="D1103" i="12"/>
  <c r="J1103" i="12" s="1"/>
  <c r="D1104" i="12"/>
  <c r="D1105" i="12"/>
  <c r="D1106" i="12"/>
  <c r="D1107" i="12"/>
  <c r="D1108" i="12"/>
  <c r="D1109" i="12"/>
  <c r="D1110" i="12"/>
  <c r="D1111" i="12"/>
  <c r="D1112" i="12"/>
  <c r="D1113" i="12"/>
  <c r="D1114" i="12"/>
  <c r="D1115" i="12"/>
  <c r="J1115" i="12" s="1"/>
  <c r="D1116" i="12"/>
  <c r="D1117" i="12"/>
  <c r="D1118" i="12"/>
  <c r="D1119" i="12"/>
  <c r="D1120" i="12"/>
  <c r="D1121" i="12"/>
  <c r="D1122" i="12"/>
  <c r="J1122" i="12" s="1"/>
  <c r="D1123" i="12"/>
  <c r="D1124" i="12"/>
  <c r="D1125" i="12"/>
  <c r="D1126" i="12"/>
  <c r="D1127" i="12"/>
  <c r="D1128" i="12"/>
  <c r="D1129" i="12"/>
  <c r="D1130" i="12"/>
  <c r="D1131" i="12"/>
  <c r="C224" i="12"/>
  <c r="C225" i="12"/>
  <c r="C226" i="12"/>
  <c r="C227" i="12"/>
  <c r="C228" i="12"/>
  <c r="C229" i="12"/>
  <c r="C230" i="12"/>
  <c r="C231" i="12"/>
  <c r="C232" i="12"/>
  <c r="C233" i="12"/>
  <c r="C234" i="12"/>
  <c r="I234" i="12" s="1"/>
  <c r="C235" i="12"/>
  <c r="I235" i="12" s="1"/>
  <c r="C236" i="12"/>
  <c r="C237" i="12"/>
  <c r="C238" i="12"/>
  <c r="I238" i="12" s="1"/>
  <c r="C239" i="12"/>
  <c r="C240" i="12"/>
  <c r="C241" i="12"/>
  <c r="C242" i="12"/>
  <c r="C243" i="12"/>
  <c r="C244" i="12"/>
  <c r="C245" i="12"/>
  <c r="C246" i="12"/>
  <c r="C247" i="12"/>
  <c r="C248" i="12"/>
  <c r="C249" i="12"/>
  <c r="C250" i="12"/>
  <c r="C251" i="12"/>
  <c r="C252" i="12"/>
  <c r="C253" i="12"/>
  <c r="C254" i="12"/>
  <c r="I254" i="12" s="1"/>
  <c r="C255" i="12"/>
  <c r="I255" i="12" s="1"/>
  <c r="C256" i="12"/>
  <c r="C257" i="12"/>
  <c r="C258" i="12"/>
  <c r="C259" i="12"/>
  <c r="I259" i="12" s="1"/>
  <c r="C260" i="12"/>
  <c r="C261" i="12"/>
  <c r="C262" i="12"/>
  <c r="C263" i="12"/>
  <c r="C264" i="12"/>
  <c r="C265" i="12"/>
  <c r="C266" i="12"/>
  <c r="C267" i="12"/>
  <c r="C268" i="12"/>
  <c r="C269" i="12"/>
  <c r="C270" i="12"/>
  <c r="C271" i="12"/>
  <c r="C272" i="12"/>
  <c r="C273" i="12"/>
  <c r="C274" i="12"/>
  <c r="C275" i="12"/>
  <c r="C276" i="12"/>
  <c r="C277" i="12"/>
  <c r="C278" i="12"/>
  <c r="C279" i="12"/>
  <c r="C280" i="12"/>
  <c r="C281" i="12"/>
  <c r="C282" i="12"/>
  <c r="I282" i="12" s="1"/>
  <c r="C283" i="12"/>
  <c r="I283" i="12" s="1"/>
  <c r="C284" i="12"/>
  <c r="C285" i="12"/>
  <c r="C286" i="12"/>
  <c r="C287" i="12"/>
  <c r="C288" i="12"/>
  <c r="C289" i="12"/>
  <c r="C290" i="12"/>
  <c r="C291" i="12"/>
  <c r="C292" i="12"/>
  <c r="C293" i="12"/>
  <c r="C294" i="12"/>
  <c r="C295" i="12"/>
  <c r="I295" i="12" s="1"/>
  <c r="C296" i="12"/>
  <c r="C297" i="12"/>
  <c r="C298" i="12"/>
  <c r="C299" i="12"/>
  <c r="C300" i="12"/>
  <c r="C301" i="12"/>
  <c r="C302" i="12"/>
  <c r="C303" i="12"/>
  <c r="I303" i="12" s="1"/>
  <c r="C304" i="12"/>
  <c r="I304" i="12" s="1"/>
  <c r="C305" i="12"/>
  <c r="I305" i="12" s="1"/>
  <c r="C306" i="12"/>
  <c r="C307" i="12"/>
  <c r="I307" i="12" s="1"/>
  <c r="C308" i="12"/>
  <c r="C309" i="12"/>
  <c r="C310" i="12"/>
  <c r="C311" i="12"/>
  <c r="C312" i="12"/>
  <c r="C313" i="12"/>
  <c r="C314" i="12"/>
  <c r="C315" i="12"/>
  <c r="C316" i="12"/>
  <c r="C317" i="12"/>
  <c r="C318" i="12"/>
  <c r="C319" i="12"/>
  <c r="I319" i="12" s="1"/>
  <c r="C320" i="12"/>
  <c r="C321" i="12"/>
  <c r="C322" i="12"/>
  <c r="C323" i="12"/>
  <c r="I323" i="12" s="1"/>
  <c r="C324" i="12"/>
  <c r="C325" i="12"/>
  <c r="C326" i="12"/>
  <c r="C327" i="12"/>
  <c r="C328" i="12"/>
  <c r="C329" i="12"/>
  <c r="C330" i="12"/>
  <c r="I330" i="12" s="1"/>
  <c r="C331" i="12"/>
  <c r="I331" i="12" s="1"/>
  <c r="C332" i="12"/>
  <c r="C333" i="12"/>
  <c r="C334" i="12"/>
  <c r="I334" i="12" s="1"/>
  <c r="C335" i="12"/>
  <c r="C336" i="12"/>
  <c r="C337" i="12"/>
  <c r="C338" i="12"/>
  <c r="C339" i="12"/>
  <c r="I339" i="12" s="1"/>
  <c r="C340" i="12"/>
  <c r="C341" i="12"/>
  <c r="C342" i="12"/>
  <c r="C343" i="12"/>
  <c r="C344" i="12"/>
  <c r="C345" i="12"/>
  <c r="C346" i="12"/>
  <c r="C347" i="12"/>
  <c r="C348" i="12"/>
  <c r="C349" i="12"/>
  <c r="C350" i="12"/>
  <c r="C351" i="12"/>
  <c r="I351" i="12" s="1"/>
  <c r="C352" i="12"/>
  <c r="C353" i="12"/>
  <c r="C354" i="12"/>
  <c r="C355" i="12"/>
  <c r="C356" i="12"/>
  <c r="C357" i="12"/>
  <c r="C358" i="12"/>
  <c r="C359" i="12"/>
  <c r="C360" i="12"/>
  <c r="C361" i="12"/>
  <c r="C362" i="12"/>
  <c r="C363" i="12"/>
  <c r="C364" i="12"/>
  <c r="C365" i="12"/>
  <c r="C366" i="12"/>
  <c r="I366" i="12" s="1"/>
  <c r="C367" i="12"/>
  <c r="I367" i="12" s="1"/>
  <c r="C368" i="12"/>
  <c r="C369" i="12"/>
  <c r="C370" i="12"/>
  <c r="I370" i="12" s="1"/>
  <c r="C371" i="12"/>
  <c r="C372" i="12"/>
  <c r="C373" i="12"/>
  <c r="C374" i="12"/>
  <c r="C375" i="12"/>
  <c r="C376" i="12"/>
  <c r="C377" i="12"/>
  <c r="C378" i="12"/>
  <c r="C379" i="12"/>
  <c r="C380" i="12"/>
  <c r="C381" i="12"/>
  <c r="C382" i="12"/>
  <c r="C383" i="12"/>
  <c r="C384" i="12"/>
  <c r="C385" i="12"/>
  <c r="I385" i="12" s="1"/>
  <c r="C386" i="12"/>
  <c r="C387" i="12"/>
  <c r="C388" i="12"/>
  <c r="I388" i="12" s="1"/>
  <c r="C389" i="12"/>
  <c r="C390" i="12"/>
  <c r="I390" i="12" s="1"/>
  <c r="C391" i="12"/>
  <c r="I391" i="12" s="1"/>
  <c r="C392" i="12"/>
  <c r="C393" i="12"/>
  <c r="C394" i="12"/>
  <c r="I394" i="12" s="1"/>
  <c r="C395" i="12"/>
  <c r="C396" i="12"/>
  <c r="C397" i="12"/>
  <c r="C398" i="12"/>
  <c r="C399" i="12"/>
  <c r="C400" i="12"/>
  <c r="C401" i="12"/>
  <c r="C402" i="12"/>
  <c r="C403" i="12"/>
  <c r="I403" i="12" s="1"/>
  <c r="C404" i="12"/>
  <c r="C405" i="12"/>
  <c r="C406" i="12"/>
  <c r="I406" i="12" s="1"/>
  <c r="C407" i="12"/>
  <c r="C408" i="12"/>
  <c r="C409" i="12"/>
  <c r="C410" i="12"/>
  <c r="C411" i="12"/>
  <c r="C412" i="12"/>
  <c r="C413" i="12"/>
  <c r="C414" i="12"/>
  <c r="C415" i="12"/>
  <c r="I415" i="12" s="1"/>
  <c r="C416" i="12"/>
  <c r="C417" i="12"/>
  <c r="C418" i="12"/>
  <c r="C419" i="12"/>
  <c r="C420" i="12"/>
  <c r="C421" i="12"/>
  <c r="C422" i="12"/>
  <c r="C423" i="12"/>
  <c r="C424" i="12"/>
  <c r="C425" i="12"/>
  <c r="C426" i="12"/>
  <c r="C427" i="12"/>
  <c r="I427" i="12" s="1"/>
  <c r="C428" i="12"/>
  <c r="C429" i="12"/>
  <c r="C430" i="12"/>
  <c r="C431" i="12"/>
  <c r="C432" i="12"/>
  <c r="C433" i="12"/>
  <c r="C434" i="12"/>
  <c r="C435" i="12"/>
  <c r="C436" i="12"/>
  <c r="C437" i="12"/>
  <c r="C438" i="12"/>
  <c r="C439" i="12"/>
  <c r="I439" i="12" s="1"/>
  <c r="C440" i="12"/>
  <c r="C441" i="12"/>
  <c r="C442" i="12"/>
  <c r="C443" i="12"/>
  <c r="C444" i="12"/>
  <c r="C445" i="12"/>
  <c r="C446" i="12"/>
  <c r="C447" i="12"/>
  <c r="I447" i="12" s="1"/>
  <c r="C448" i="12"/>
  <c r="C449" i="12"/>
  <c r="C450" i="12"/>
  <c r="I450" i="12" s="1"/>
  <c r="C451" i="12"/>
  <c r="I451" i="12" s="1"/>
  <c r="C452" i="12"/>
  <c r="C453" i="12"/>
  <c r="C454" i="12"/>
  <c r="C455" i="12"/>
  <c r="C456" i="12"/>
  <c r="C457" i="12"/>
  <c r="C458" i="12"/>
  <c r="C459" i="12"/>
  <c r="C460" i="12"/>
  <c r="I460" i="12" s="1"/>
  <c r="C461" i="12"/>
  <c r="C462" i="12"/>
  <c r="I462" i="12" s="1"/>
  <c r="C463" i="12"/>
  <c r="I463" i="12" s="1"/>
  <c r="C464" i="12"/>
  <c r="C465" i="12"/>
  <c r="C466" i="12"/>
  <c r="C467" i="12"/>
  <c r="C468" i="12"/>
  <c r="C469" i="12"/>
  <c r="C470" i="12"/>
  <c r="I470" i="12" s="1"/>
  <c r="C471" i="12"/>
  <c r="C472" i="12"/>
  <c r="C473" i="12"/>
  <c r="C474" i="12"/>
  <c r="C475" i="12"/>
  <c r="C476" i="12"/>
  <c r="C477" i="12"/>
  <c r="C478" i="12"/>
  <c r="C479" i="12"/>
  <c r="C480" i="12"/>
  <c r="C481" i="12"/>
  <c r="C482" i="12"/>
  <c r="C483" i="12"/>
  <c r="C484" i="12"/>
  <c r="C485" i="12"/>
  <c r="C486" i="12"/>
  <c r="C487" i="12"/>
  <c r="I487" i="12" s="1"/>
  <c r="C488" i="12"/>
  <c r="C489" i="12"/>
  <c r="C490" i="12"/>
  <c r="C491" i="12"/>
  <c r="C492" i="12"/>
  <c r="C493" i="12"/>
  <c r="C494" i="12"/>
  <c r="C495" i="12"/>
  <c r="C496" i="12"/>
  <c r="C497" i="12"/>
  <c r="C498" i="12"/>
  <c r="I498" i="12" s="1"/>
  <c r="C499" i="12"/>
  <c r="I499" i="12" s="1"/>
  <c r="C500" i="12"/>
  <c r="C501" i="12"/>
  <c r="C502" i="12"/>
  <c r="C503" i="12"/>
  <c r="C504" i="12"/>
  <c r="C505" i="12"/>
  <c r="C506" i="12"/>
  <c r="C507" i="12"/>
  <c r="C508" i="12"/>
  <c r="C509" i="12"/>
  <c r="C510" i="12"/>
  <c r="C511" i="12"/>
  <c r="C512" i="12"/>
  <c r="C513" i="12"/>
  <c r="C514" i="12"/>
  <c r="C515" i="12"/>
  <c r="C516" i="12"/>
  <c r="C517" i="12"/>
  <c r="I517" i="12" s="1"/>
  <c r="C518" i="12"/>
  <c r="I518" i="12" s="1"/>
  <c r="C519" i="12"/>
  <c r="C520" i="12"/>
  <c r="C521" i="12"/>
  <c r="C522" i="12"/>
  <c r="I522" i="12" s="1"/>
  <c r="C523" i="12"/>
  <c r="C524" i="12"/>
  <c r="C525" i="12"/>
  <c r="C526" i="12"/>
  <c r="C527" i="12"/>
  <c r="I527" i="12" s="1"/>
  <c r="C528" i="12"/>
  <c r="I528" i="12" s="1"/>
  <c r="C529" i="12"/>
  <c r="C530" i="12"/>
  <c r="C531" i="12"/>
  <c r="C532" i="12"/>
  <c r="C533" i="12"/>
  <c r="C534" i="12"/>
  <c r="I534" i="12" s="1"/>
  <c r="C535" i="12"/>
  <c r="I535" i="12" s="1"/>
  <c r="C536" i="12"/>
  <c r="C537" i="12"/>
  <c r="C538" i="12"/>
  <c r="C539" i="12"/>
  <c r="C540" i="12"/>
  <c r="C541" i="12"/>
  <c r="C542" i="12"/>
  <c r="I542" i="12" s="1"/>
  <c r="C543" i="12"/>
  <c r="C544" i="12"/>
  <c r="C545" i="12"/>
  <c r="C546" i="12"/>
  <c r="I546" i="12" s="1"/>
  <c r="C547" i="12"/>
  <c r="C548" i="12"/>
  <c r="C549" i="12"/>
  <c r="C550" i="12"/>
  <c r="C551" i="12"/>
  <c r="C552" i="12"/>
  <c r="C553" i="12"/>
  <c r="C554" i="12"/>
  <c r="C555" i="12"/>
  <c r="C556" i="12"/>
  <c r="C557" i="12"/>
  <c r="C558" i="12"/>
  <c r="C559" i="12"/>
  <c r="I559" i="12" s="1"/>
  <c r="C560" i="12"/>
  <c r="C561" i="12"/>
  <c r="C562" i="12"/>
  <c r="C563" i="12"/>
  <c r="C564" i="12"/>
  <c r="C565" i="12"/>
  <c r="C566" i="12"/>
  <c r="C567" i="12"/>
  <c r="C568" i="12"/>
  <c r="C569" i="12"/>
  <c r="C570" i="12"/>
  <c r="C571" i="12"/>
  <c r="C572" i="12"/>
  <c r="C573" i="12"/>
  <c r="C574" i="12"/>
  <c r="C575" i="12"/>
  <c r="C576" i="12"/>
  <c r="C577" i="12"/>
  <c r="C578" i="12"/>
  <c r="C579" i="12"/>
  <c r="C580" i="12"/>
  <c r="C581" i="12"/>
  <c r="C582" i="12"/>
  <c r="I582" i="12" s="1"/>
  <c r="C583" i="12"/>
  <c r="C584" i="12"/>
  <c r="C585" i="12"/>
  <c r="C586" i="12"/>
  <c r="C587" i="12"/>
  <c r="C588" i="12"/>
  <c r="C589" i="12"/>
  <c r="C590" i="12"/>
  <c r="C591" i="12"/>
  <c r="C592" i="12"/>
  <c r="C593" i="12"/>
  <c r="C594" i="12"/>
  <c r="I594" i="12" s="1"/>
  <c r="C595" i="12"/>
  <c r="I595" i="12" s="1"/>
  <c r="C596" i="12"/>
  <c r="C597" i="12"/>
  <c r="C598" i="12"/>
  <c r="I598" i="12" s="1"/>
  <c r="C599" i="12"/>
  <c r="C600" i="12"/>
  <c r="C601" i="12"/>
  <c r="C602" i="12"/>
  <c r="C603" i="12"/>
  <c r="C604" i="12"/>
  <c r="C605" i="12"/>
  <c r="C606" i="12"/>
  <c r="C607" i="12"/>
  <c r="C608" i="12"/>
  <c r="C609" i="12"/>
  <c r="C610" i="12"/>
  <c r="C611" i="12"/>
  <c r="C612" i="12"/>
  <c r="C613" i="12"/>
  <c r="C614" i="12"/>
  <c r="C615" i="12"/>
  <c r="C616" i="12"/>
  <c r="C617" i="12"/>
  <c r="C618" i="12"/>
  <c r="I618" i="12" s="1"/>
  <c r="C619" i="12"/>
  <c r="I619" i="12" s="1"/>
  <c r="C620" i="12"/>
  <c r="C621" i="12"/>
  <c r="C622" i="12"/>
  <c r="C623" i="12"/>
  <c r="C624" i="12"/>
  <c r="C625" i="12"/>
  <c r="C626" i="12"/>
  <c r="C627" i="12"/>
  <c r="I627" i="12" s="1"/>
  <c r="C628" i="12"/>
  <c r="C629" i="12"/>
  <c r="C630" i="12"/>
  <c r="I630" i="12" s="1"/>
  <c r="C631" i="12"/>
  <c r="C632" i="12"/>
  <c r="C633" i="12"/>
  <c r="C634" i="12"/>
  <c r="C635" i="12"/>
  <c r="C636" i="12"/>
  <c r="C637" i="12"/>
  <c r="C638" i="12"/>
  <c r="I638" i="12" s="1"/>
  <c r="C639" i="12"/>
  <c r="C640" i="12"/>
  <c r="C641" i="12"/>
  <c r="C642" i="12"/>
  <c r="C643" i="12"/>
  <c r="C644" i="12"/>
  <c r="C645" i="12"/>
  <c r="C646" i="12"/>
  <c r="C647" i="12"/>
  <c r="C648" i="12"/>
  <c r="C649" i="12"/>
  <c r="C650" i="12"/>
  <c r="I650" i="12" s="1"/>
  <c r="C651" i="12"/>
  <c r="I651" i="12" s="1"/>
  <c r="C652" i="12"/>
  <c r="I652" i="12" s="1"/>
  <c r="C653" i="12"/>
  <c r="C654" i="12"/>
  <c r="I654" i="12" s="1"/>
  <c r="C655" i="12"/>
  <c r="C656" i="12"/>
  <c r="C657" i="12"/>
  <c r="C658" i="12"/>
  <c r="C659" i="12"/>
  <c r="C660" i="12"/>
  <c r="C661" i="12"/>
  <c r="C662" i="12"/>
  <c r="C663" i="12"/>
  <c r="C664" i="12"/>
  <c r="C665" i="12"/>
  <c r="I665" i="12" s="1"/>
  <c r="C666" i="12"/>
  <c r="I666" i="12" s="1"/>
  <c r="C667" i="12"/>
  <c r="I667" i="12" s="1"/>
  <c r="C668" i="12"/>
  <c r="C669" i="12"/>
  <c r="C670" i="12"/>
  <c r="C671" i="12"/>
  <c r="C672" i="12"/>
  <c r="C673" i="12"/>
  <c r="C674" i="12"/>
  <c r="C675" i="12"/>
  <c r="C676" i="12"/>
  <c r="C677" i="12"/>
  <c r="C678" i="12"/>
  <c r="C679" i="12"/>
  <c r="I679" i="12" s="1"/>
  <c r="C680" i="12"/>
  <c r="C681" i="12"/>
  <c r="C682" i="12"/>
  <c r="C683" i="12"/>
  <c r="C684" i="12"/>
  <c r="C685" i="12"/>
  <c r="C686" i="12"/>
  <c r="C687" i="12"/>
  <c r="C688" i="12"/>
  <c r="C689" i="12"/>
  <c r="C690" i="12"/>
  <c r="I690" i="12" s="1"/>
  <c r="C691" i="12"/>
  <c r="C692" i="12"/>
  <c r="C693" i="12"/>
  <c r="C694" i="12"/>
  <c r="C695" i="12"/>
  <c r="C696" i="12"/>
  <c r="C697" i="12"/>
  <c r="C698" i="12"/>
  <c r="C699" i="12"/>
  <c r="C700" i="12"/>
  <c r="C701" i="12"/>
  <c r="C702" i="12"/>
  <c r="I702" i="12" s="1"/>
  <c r="C703" i="12"/>
  <c r="C704" i="12"/>
  <c r="C705" i="12"/>
  <c r="C706" i="12"/>
  <c r="I706" i="12" s="1"/>
  <c r="C707" i="12"/>
  <c r="C708" i="12"/>
  <c r="C709" i="12"/>
  <c r="C710" i="12"/>
  <c r="C711" i="12"/>
  <c r="C712" i="12"/>
  <c r="C713" i="12"/>
  <c r="C714" i="12"/>
  <c r="I714" i="12" s="1"/>
  <c r="C715" i="12"/>
  <c r="C716" i="12"/>
  <c r="C717" i="12"/>
  <c r="C718" i="12"/>
  <c r="I718" i="12" s="1"/>
  <c r="C719" i="12"/>
  <c r="C720" i="12"/>
  <c r="I720" i="12" s="1"/>
  <c r="C721" i="12"/>
  <c r="C722" i="12"/>
  <c r="C723" i="12"/>
  <c r="C724" i="12"/>
  <c r="I724" i="12" s="1"/>
  <c r="C725" i="12"/>
  <c r="C726" i="12"/>
  <c r="C727" i="12"/>
  <c r="C728" i="12"/>
  <c r="C729" i="12"/>
  <c r="C730" i="12"/>
  <c r="C731" i="12"/>
  <c r="C732" i="12"/>
  <c r="C733" i="12"/>
  <c r="C734" i="12"/>
  <c r="C735" i="12"/>
  <c r="C736" i="12"/>
  <c r="C737" i="12"/>
  <c r="C738" i="12"/>
  <c r="I738" i="12" s="1"/>
  <c r="C739" i="12"/>
  <c r="I739" i="12" s="1"/>
  <c r="C740" i="12"/>
  <c r="C741" i="12"/>
  <c r="C742" i="12"/>
  <c r="C743" i="12"/>
  <c r="C744" i="12"/>
  <c r="C745" i="12"/>
  <c r="C746" i="12"/>
  <c r="C747" i="12"/>
  <c r="C748" i="12"/>
  <c r="C749" i="12"/>
  <c r="C750" i="12"/>
  <c r="I750" i="12" s="1"/>
  <c r="C751" i="12"/>
  <c r="I751" i="12" s="1"/>
  <c r="C752" i="12"/>
  <c r="C753" i="12"/>
  <c r="C754" i="12"/>
  <c r="C755" i="12"/>
  <c r="C756" i="12"/>
  <c r="C757" i="12"/>
  <c r="C758" i="12"/>
  <c r="C759" i="12"/>
  <c r="C760" i="12"/>
  <c r="C761" i="12"/>
  <c r="C762" i="12"/>
  <c r="I762" i="12" s="1"/>
  <c r="C763" i="12"/>
  <c r="I763" i="12" s="1"/>
  <c r="C764" i="12"/>
  <c r="C765" i="12"/>
  <c r="C766" i="12"/>
  <c r="I766" i="12" s="1"/>
  <c r="C767" i="12"/>
  <c r="I767" i="12" s="1"/>
  <c r="C768" i="12"/>
  <c r="C769" i="12"/>
  <c r="C770" i="12"/>
  <c r="C771" i="12"/>
  <c r="I771" i="12" s="1"/>
  <c r="C772" i="12"/>
  <c r="C773" i="12"/>
  <c r="C774" i="12"/>
  <c r="C775" i="12"/>
  <c r="C776" i="12"/>
  <c r="C777" i="12"/>
  <c r="C778" i="12"/>
  <c r="C779" i="12"/>
  <c r="I779" i="12" s="1"/>
  <c r="C780" i="12"/>
  <c r="I780" i="12" s="1"/>
  <c r="C781" i="12"/>
  <c r="C782" i="12"/>
  <c r="C783" i="12"/>
  <c r="C784" i="12"/>
  <c r="C785" i="12"/>
  <c r="C786" i="12"/>
  <c r="I786" i="12" s="1"/>
  <c r="C787" i="12"/>
  <c r="C788" i="12"/>
  <c r="C789" i="12"/>
  <c r="C790" i="12"/>
  <c r="C791" i="12"/>
  <c r="C792" i="12"/>
  <c r="C793" i="12"/>
  <c r="C794" i="12"/>
  <c r="C795" i="12"/>
  <c r="C796" i="12"/>
  <c r="C797" i="12"/>
  <c r="C798" i="12"/>
  <c r="I798" i="12" s="1"/>
  <c r="C799" i="12"/>
  <c r="I799" i="12" s="1"/>
  <c r="C800" i="12"/>
  <c r="C801" i="12"/>
  <c r="C802" i="12"/>
  <c r="C803" i="12"/>
  <c r="C804" i="12"/>
  <c r="C805" i="12"/>
  <c r="C806" i="12"/>
  <c r="C807" i="12"/>
  <c r="C808" i="12"/>
  <c r="C809" i="12"/>
  <c r="C810" i="12"/>
  <c r="I810" i="12" s="1"/>
  <c r="C811" i="12"/>
  <c r="I811" i="12" s="1"/>
  <c r="C812" i="12"/>
  <c r="C813" i="12"/>
  <c r="C814" i="12"/>
  <c r="I814" i="12" s="1"/>
  <c r="C815" i="12"/>
  <c r="C816" i="12"/>
  <c r="C817" i="12"/>
  <c r="C818" i="12"/>
  <c r="C819" i="12"/>
  <c r="I819" i="12" s="1"/>
  <c r="C820" i="12"/>
  <c r="C821" i="12"/>
  <c r="C822" i="12"/>
  <c r="C823" i="12"/>
  <c r="C824" i="12"/>
  <c r="C825" i="12"/>
  <c r="C826" i="12"/>
  <c r="I826" i="12" s="1"/>
  <c r="C827" i="12"/>
  <c r="I827" i="12" s="1"/>
  <c r="C828" i="12"/>
  <c r="C829" i="12"/>
  <c r="C830" i="12"/>
  <c r="C831" i="12"/>
  <c r="C832" i="12"/>
  <c r="C833" i="12"/>
  <c r="C834" i="12"/>
  <c r="I834" i="12" s="1"/>
  <c r="C835" i="12"/>
  <c r="C836" i="12"/>
  <c r="C837" i="12"/>
  <c r="C838" i="12"/>
  <c r="C839" i="12"/>
  <c r="C840" i="12"/>
  <c r="C841" i="12"/>
  <c r="C842" i="12"/>
  <c r="C843" i="12"/>
  <c r="C844" i="12"/>
  <c r="C845" i="12"/>
  <c r="C846" i="12"/>
  <c r="I846" i="12" s="1"/>
  <c r="C847" i="12"/>
  <c r="I847" i="12" s="1"/>
  <c r="C848" i="12"/>
  <c r="C849" i="12"/>
  <c r="C850" i="12"/>
  <c r="C851" i="12"/>
  <c r="C852" i="12"/>
  <c r="C853" i="12"/>
  <c r="C854" i="12"/>
  <c r="C855" i="12"/>
  <c r="C856" i="12"/>
  <c r="C857" i="12"/>
  <c r="C858" i="12"/>
  <c r="I858" i="12" s="1"/>
  <c r="C859" i="12"/>
  <c r="C860" i="12"/>
  <c r="C861" i="12"/>
  <c r="C862" i="12"/>
  <c r="I862" i="12" s="1"/>
  <c r="C863" i="12"/>
  <c r="C864" i="12"/>
  <c r="C865" i="12"/>
  <c r="C866" i="12"/>
  <c r="I866" i="12" s="1"/>
  <c r="C867" i="12"/>
  <c r="C868" i="12"/>
  <c r="C869" i="12"/>
  <c r="C870" i="12"/>
  <c r="C871" i="12"/>
  <c r="I871" i="12" s="1"/>
  <c r="C872" i="12"/>
  <c r="C873" i="12"/>
  <c r="C874" i="12"/>
  <c r="I874" i="12" s="1"/>
  <c r="C875" i="12"/>
  <c r="C876" i="12"/>
  <c r="C877" i="12"/>
  <c r="C878" i="12"/>
  <c r="C879" i="12"/>
  <c r="C880" i="12"/>
  <c r="C881" i="12"/>
  <c r="C882" i="12"/>
  <c r="C883" i="12"/>
  <c r="C884" i="12"/>
  <c r="C885" i="12"/>
  <c r="C886" i="12"/>
  <c r="C887" i="12"/>
  <c r="C888" i="12"/>
  <c r="C889" i="12"/>
  <c r="C890" i="12"/>
  <c r="C891" i="12"/>
  <c r="C892" i="12"/>
  <c r="C893" i="12"/>
  <c r="C894" i="12"/>
  <c r="I894" i="12" s="1"/>
  <c r="C895" i="12"/>
  <c r="I895" i="12" s="1"/>
  <c r="C896" i="12"/>
  <c r="C897" i="12"/>
  <c r="C898" i="12"/>
  <c r="C899" i="12"/>
  <c r="C900" i="12"/>
  <c r="C901" i="12"/>
  <c r="C902" i="12"/>
  <c r="C903" i="12"/>
  <c r="C904" i="12"/>
  <c r="C905" i="12"/>
  <c r="C906" i="12"/>
  <c r="I906" i="12" s="1"/>
  <c r="C907" i="12"/>
  <c r="I907" i="12" s="1"/>
  <c r="C908" i="12"/>
  <c r="C909" i="12"/>
  <c r="C910" i="12"/>
  <c r="C911" i="12"/>
  <c r="C912" i="12"/>
  <c r="C913" i="12"/>
  <c r="I913" i="12" s="1"/>
  <c r="C914" i="12"/>
  <c r="C915" i="12"/>
  <c r="C916" i="12"/>
  <c r="C917" i="12"/>
  <c r="C918" i="12"/>
  <c r="C919" i="12"/>
  <c r="I919" i="12" s="1"/>
  <c r="C920" i="12"/>
  <c r="C921" i="12"/>
  <c r="C922" i="12"/>
  <c r="I922" i="12" s="1"/>
  <c r="C923" i="12"/>
  <c r="C924" i="12"/>
  <c r="C925" i="12"/>
  <c r="C926" i="12"/>
  <c r="I926" i="12" s="1"/>
  <c r="C927" i="12"/>
  <c r="C928" i="12"/>
  <c r="C929" i="12"/>
  <c r="C930" i="12"/>
  <c r="C931" i="12"/>
  <c r="C932" i="12"/>
  <c r="C933" i="12"/>
  <c r="C934" i="12"/>
  <c r="C935" i="12"/>
  <c r="C936" i="12"/>
  <c r="C937" i="12"/>
  <c r="C938" i="12"/>
  <c r="C939" i="12"/>
  <c r="C940" i="12"/>
  <c r="C941" i="12"/>
  <c r="C942" i="12"/>
  <c r="I942" i="12" s="1"/>
  <c r="C943" i="12"/>
  <c r="I943" i="12" s="1"/>
  <c r="C944" i="12"/>
  <c r="C945" i="12"/>
  <c r="C946" i="12"/>
  <c r="C947" i="12"/>
  <c r="C948" i="12"/>
  <c r="C949" i="12"/>
  <c r="C950" i="12"/>
  <c r="C951" i="12"/>
  <c r="C952" i="12"/>
  <c r="C953" i="12"/>
  <c r="C954" i="12"/>
  <c r="I954" i="12" s="1"/>
  <c r="C955" i="12"/>
  <c r="I955" i="12" s="1"/>
  <c r="C956" i="12"/>
  <c r="C957" i="12"/>
  <c r="C958" i="12"/>
  <c r="C959" i="12"/>
  <c r="C960" i="12"/>
  <c r="I960" i="12" s="1"/>
  <c r="C961" i="12"/>
  <c r="C962" i="12"/>
  <c r="C963" i="12"/>
  <c r="C964" i="12"/>
  <c r="C965" i="12"/>
  <c r="C966" i="12"/>
  <c r="I966" i="12" s="1"/>
  <c r="C967" i="12"/>
  <c r="I967" i="12" s="1"/>
  <c r="C968" i="12"/>
  <c r="C969" i="12"/>
  <c r="C970" i="12"/>
  <c r="C971" i="12"/>
  <c r="C972" i="12"/>
  <c r="C973" i="12"/>
  <c r="C974" i="12"/>
  <c r="I974" i="12" s="1"/>
  <c r="C975" i="12"/>
  <c r="C976" i="12"/>
  <c r="C977" i="12"/>
  <c r="C978" i="12"/>
  <c r="C979" i="12"/>
  <c r="C980" i="12"/>
  <c r="C981" i="12"/>
  <c r="C982" i="12"/>
  <c r="C983" i="12"/>
  <c r="C984" i="12"/>
  <c r="C985" i="12"/>
  <c r="C986" i="12"/>
  <c r="C987" i="12"/>
  <c r="I987" i="12" s="1"/>
  <c r="C988" i="12"/>
  <c r="C989" i="12"/>
  <c r="C990" i="12"/>
  <c r="I990" i="12" s="1"/>
  <c r="C991" i="12"/>
  <c r="I991" i="12" s="1"/>
  <c r="C992" i="12"/>
  <c r="C993" i="12"/>
  <c r="C994" i="12"/>
  <c r="C995" i="12"/>
  <c r="C996" i="12"/>
  <c r="C997" i="12"/>
  <c r="C998" i="12"/>
  <c r="C999" i="12"/>
  <c r="C1000" i="12"/>
  <c r="C1001" i="12"/>
  <c r="C1002" i="12"/>
  <c r="I1002" i="12" s="1"/>
  <c r="C1003" i="12"/>
  <c r="C1004" i="12"/>
  <c r="C1005" i="12"/>
  <c r="C1006" i="12"/>
  <c r="C1007" i="12"/>
  <c r="C1008" i="12"/>
  <c r="I1008" i="12" s="1"/>
  <c r="C1009" i="12"/>
  <c r="C1010" i="12"/>
  <c r="C1011" i="12"/>
  <c r="C1012" i="12"/>
  <c r="C1013" i="12"/>
  <c r="I1013" i="12" s="1"/>
  <c r="C1014" i="12"/>
  <c r="I1014" i="12" s="1"/>
  <c r="C1015" i="12"/>
  <c r="I1015" i="12" s="1"/>
  <c r="C1016" i="12"/>
  <c r="C1017" i="12"/>
  <c r="C1018" i="12"/>
  <c r="C1019" i="12"/>
  <c r="C1020" i="12"/>
  <c r="C1021" i="12"/>
  <c r="C1022" i="12"/>
  <c r="I1022" i="12" s="1"/>
  <c r="C1023" i="12"/>
  <c r="C1024" i="12"/>
  <c r="C1025" i="12"/>
  <c r="C1026" i="12"/>
  <c r="C1027" i="12"/>
  <c r="C1028" i="12"/>
  <c r="C1029" i="12"/>
  <c r="C1030" i="12"/>
  <c r="C1031" i="12"/>
  <c r="C1032" i="12"/>
  <c r="C1033" i="12"/>
  <c r="C1034" i="12"/>
  <c r="C1035" i="12"/>
  <c r="I1035" i="12" s="1"/>
  <c r="C1036" i="12"/>
  <c r="C1037" i="12"/>
  <c r="C1038" i="12"/>
  <c r="I1038" i="12" s="1"/>
  <c r="C1039" i="12"/>
  <c r="C1040" i="12"/>
  <c r="C1041" i="12"/>
  <c r="C1042" i="12"/>
  <c r="C1043" i="12"/>
  <c r="C1044" i="12"/>
  <c r="C1045" i="12"/>
  <c r="C1046" i="12"/>
  <c r="C1047" i="12"/>
  <c r="C1048" i="12"/>
  <c r="C1049" i="12"/>
  <c r="C1050" i="12"/>
  <c r="I1050" i="12" s="1"/>
  <c r="C1051" i="12"/>
  <c r="I1051" i="12" s="1"/>
  <c r="C1052" i="12"/>
  <c r="C1053" i="12"/>
  <c r="C1054" i="12"/>
  <c r="C1055" i="12"/>
  <c r="I1055" i="12" s="1"/>
  <c r="C1056" i="12"/>
  <c r="C1057" i="12"/>
  <c r="C1058" i="12"/>
  <c r="C1059" i="12"/>
  <c r="C1060" i="12"/>
  <c r="I1060" i="12" s="1"/>
  <c r="C1061" i="12"/>
  <c r="C1062" i="12"/>
  <c r="I1062" i="12" s="1"/>
  <c r="C1063" i="12"/>
  <c r="I1063" i="12" s="1"/>
  <c r="C1064" i="12"/>
  <c r="C1065" i="12"/>
  <c r="C1066" i="12"/>
  <c r="C1067" i="12"/>
  <c r="C1068" i="12"/>
  <c r="C1069" i="12"/>
  <c r="C1070" i="12"/>
  <c r="C1071" i="12"/>
  <c r="C1072" i="12"/>
  <c r="C1073" i="12"/>
  <c r="C1074" i="12"/>
  <c r="C1075" i="12"/>
  <c r="C1076" i="12"/>
  <c r="C1077" i="12"/>
  <c r="I1077" i="12" s="1"/>
  <c r="C1078" i="12"/>
  <c r="C1079" i="12"/>
  <c r="C1080" i="12"/>
  <c r="C1081" i="12"/>
  <c r="C1082" i="12"/>
  <c r="I1082" i="12" s="1"/>
  <c r="C1083" i="12"/>
  <c r="C1084" i="12"/>
  <c r="C1085" i="12"/>
  <c r="C1086" i="12"/>
  <c r="C1087" i="12"/>
  <c r="C1088" i="12"/>
  <c r="C1089" i="12"/>
  <c r="C1090" i="12"/>
  <c r="C1091" i="12"/>
  <c r="C1092" i="12"/>
  <c r="C1093" i="12"/>
  <c r="I1093" i="12" s="1"/>
  <c r="C1094" i="12"/>
  <c r="C1095" i="12"/>
  <c r="C1096" i="12"/>
  <c r="C1097" i="12"/>
  <c r="C1098" i="12"/>
  <c r="C1099" i="12"/>
  <c r="C1100" i="12"/>
  <c r="C1101" i="12"/>
  <c r="C1102" i="12"/>
  <c r="I1102" i="12" s="1"/>
  <c r="C1103" i="12"/>
  <c r="I1103" i="12" s="1"/>
  <c r="C1104" i="12"/>
  <c r="C1105" i="12"/>
  <c r="C1106" i="12"/>
  <c r="C1107" i="12"/>
  <c r="C1108" i="12"/>
  <c r="C1109" i="12"/>
  <c r="C1110" i="12"/>
  <c r="C1111" i="12"/>
  <c r="C1112" i="12"/>
  <c r="C1113" i="12"/>
  <c r="C1114" i="12"/>
  <c r="C1115" i="12"/>
  <c r="C1116" i="12"/>
  <c r="C1117" i="12"/>
  <c r="C1118" i="12"/>
  <c r="I1118" i="12" s="1"/>
  <c r="C1119" i="12"/>
  <c r="I1119" i="12" s="1"/>
  <c r="C1120" i="12"/>
  <c r="C1121" i="12"/>
  <c r="C1122" i="12"/>
  <c r="C1123" i="12"/>
  <c r="C1124" i="12"/>
  <c r="C1125" i="12"/>
  <c r="C1126" i="12"/>
  <c r="C1127" i="12"/>
  <c r="C1128" i="12"/>
  <c r="C1129" i="12"/>
  <c r="I1129" i="12" s="1"/>
  <c r="C1130" i="12"/>
  <c r="C1131" i="12"/>
  <c r="G224" i="12"/>
  <c r="G225" i="12"/>
  <c r="G226" i="12"/>
  <c r="G227" i="12"/>
  <c r="G228" i="12"/>
  <c r="G229" i="12"/>
  <c r="G230" i="12"/>
  <c r="G231" i="12"/>
  <c r="G232" i="12"/>
  <c r="G233" i="12"/>
  <c r="G234" i="12"/>
  <c r="G235" i="12"/>
  <c r="G236" i="12"/>
  <c r="G237" i="12"/>
  <c r="G238" i="12"/>
  <c r="G239" i="12"/>
  <c r="G240" i="12"/>
  <c r="G241" i="12"/>
  <c r="G242" i="12"/>
  <c r="G243" i="12"/>
  <c r="G244" i="12"/>
  <c r="G245" i="12"/>
  <c r="G246" i="12"/>
  <c r="G247" i="12"/>
  <c r="G248" i="12"/>
  <c r="G249" i="12"/>
  <c r="G250" i="12"/>
  <c r="G251" i="12"/>
  <c r="G252" i="12"/>
  <c r="G253" i="12"/>
  <c r="G254" i="12"/>
  <c r="G255" i="12"/>
  <c r="G256" i="12"/>
  <c r="G257" i="12"/>
  <c r="G258" i="12"/>
  <c r="G259" i="12"/>
  <c r="G260" i="12"/>
  <c r="G261" i="12"/>
  <c r="G262" i="12"/>
  <c r="G263" i="12"/>
  <c r="G264" i="12"/>
  <c r="G265" i="12"/>
  <c r="G266" i="12"/>
  <c r="G267" i="12"/>
  <c r="G268" i="12"/>
  <c r="G269" i="12"/>
  <c r="G270" i="12"/>
  <c r="G271" i="12"/>
  <c r="G272" i="12"/>
  <c r="G273" i="12"/>
  <c r="G274" i="12"/>
  <c r="G275" i="12"/>
  <c r="G276" i="12"/>
  <c r="G277" i="12"/>
  <c r="G278" i="12"/>
  <c r="G279" i="12"/>
  <c r="G280" i="12"/>
  <c r="G281" i="12"/>
  <c r="G282" i="12"/>
  <c r="G283" i="12"/>
  <c r="G284" i="12"/>
  <c r="G285" i="12"/>
  <c r="G286" i="12"/>
  <c r="G287" i="12"/>
  <c r="G288" i="12"/>
  <c r="G289" i="12"/>
  <c r="G290" i="12"/>
  <c r="G291" i="12"/>
  <c r="G292" i="12"/>
  <c r="G293" i="12"/>
  <c r="G294" i="12"/>
  <c r="G295" i="12"/>
  <c r="G296" i="12"/>
  <c r="G297" i="12"/>
  <c r="G298" i="12"/>
  <c r="G299" i="12"/>
  <c r="G300" i="12"/>
  <c r="G301" i="12"/>
  <c r="G302" i="12"/>
  <c r="G303" i="12"/>
  <c r="G304" i="12"/>
  <c r="G305" i="12"/>
  <c r="G306" i="12"/>
  <c r="G307" i="12"/>
  <c r="G308" i="12"/>
  <c r="G309" i="12"/>
  <c r="G310" i="12"/>
  <c r="G311" i="12"/>
  <c r="G312" i="12"/>
  <c r="G313" i="12"/>
  <c r="G314" i="12"/>
  <c r="G315" i="12"/>
  <c r="G316" i="12"/>
  <c r="G317" i="12"/>
  <c r="G318" i="12"/>
  <c r="G319" i="12"/>
  <c r="G320" i="12"/>
  <c r="G321" i="12"/>
  <c r="G322" i="12"/>
  <c r="G323" i="12"/>
  <c r="G324" i="12"/>
  <c r="G325" i="12"/>
  <c r="G326" i="12"/>
  <c r="G327" i="12"/>
  <c r="G328" i="12"/>
  <c r="G329" i="12"/>
  <c r="G330" i="12"/>
  <c r="G331" i="12"/>
  <c r="G332" i="12"/>
  <c r="G333" i="12"/>
  <c r="G334" i="12"/>
  <c r="G335" i="12"/>
  <c r="G336" i="12"/>
  <c r="G337" i="12"/>
  <c r="G338" i="12"/>
  <c r="G339" i="12"/>
  <c r="G340" i="12"/>
  <c r="G341" i="12"/>
  <c r="G342" i="12"/>
  <c r="G343" i="12"/>
  <c r="G344" i="12"/>
  <c r="G345" i="12"/>
  <c r="G346" i="12"/>
  <c r="G347" i="12"/>
  <c r="G348" i="12"/>
  <c r="G349" i="12"/>
  <c r="G350" i="12"/>
  <c r="G351" i="12"/>
  <c r="G352" i="12"/>
  <c r="G353" i="12"/>
  <c r="G354" i="12"/>
  <c r="G355" i="12"/>
  <c r="G356" i="12"/>
  <c r="G357" i="12"/>
  <c r="G358" i="12"/>
  <c r="G359" i="12"/>
  <c r="G360" i="12"/>
  <c r="G361" i="12"/>
  <c r="G362" i="12"/>
  <c r="G363" i="12"/>
  <c r="G364" i="12"/>
  <c r="G365" i="12"/>
  <c r="G366" i="12"/>
  <c r="G367" i="12"/>
  <c r="G368" i="12"/>
  <c r="G369" i="12"/>
  <c r="G370" i="12"/>
  <c r="G371" i="12"/>
  <c r="G372" i="12"/>
  <c r="G373" i="12"/>
  <c r="G374" i="12"/>
  <c r="G375" i="12"/>
  <c r="G376" i="12"/>
  <c r="G377" i="12"/>
  <c r="G378" i="12"/>
  <c r="G379" i="12"/>
  <c r="G380" i="12"/>
  <c r="G381" i="12"/>
  <c r="G382" i="12"/>
  <c r="G383" i="12"/>
  <c r="G384" i="12"/>
  <c r="G385" i="12"/>
  <c r="G386" i="12"/>
  <c r="G387" i="12"/>
  <c r="G388" i="12"/>
  <c r="G389" i="12"/>
  <c r="G390" i="12"/>
  <c r="G391" i="12"/>
  <c r="G392" i="12"/>
  <c r="G393" i="12"/>
  <c r="G394" i="12"/>
  <c r="G395" i="12"/>
  <c r="G396" i="12"/>
  <c r="G397" i="12"/>
  <c r="G398" i="12"/>
  <c r="G399" i="12"/>
  <c r="G400" i="12"/>
  <c r="G401" i="12"/>
  <c r="G402" i="12"/>
  <c r="G403" i="12"/>
  <c r="G404" i="12"/>
  <c r="G405" i="12"/>
  <c r="G406" i="12"/>
  <c r="G407" i="12"/>
  <c r="G408" i="12"/>
  <c r="G409" i="12"/>
  <c r="G410" i="12"/>
  <c r="G411" i="12"/>
  <c r="G412" i="12"/>
  <c r="G413" i="12"/>
  <c r="G414" i="12"/>
  <c r="G415" i="12"/>
  <c r="G416" i="12"/>
  <c r="G417" i="12"/>
  <c r="G418" i="12"/>
  <c r="G419" i="12"/>
  <c r="G420" i="12"/>
  <c r="G421" i="12"/>
  <c r="G422" i="12"/>
  <c r="G423" i="12"/>
  <c r="G424" i="12"/>
  <c r="G425" i="12"/>
  <c r="G426" i="12"/>
  <c r="G427" i="12"/>
  <c r="G428" i="12"/>
  <c r="G429" i="12"/>
  <c r="G430" i="12"/>
  <c r="G431" i="12"/>
  <c r="G432" i="12"/>
  <c r="G433" i="12"/>
  <c r="G434" i="12"/>
  <c r="G435" i="12"/>
  <c r="G436" i="12"/>
  <c r="G437" i="12"/>
  <c r="G438" i="12"/>
  <c r="G439" i="12"/>
  <c r="G440" i="12"/>
  <c r="G441" i="12"/>
  <c r="G442" i="12"/>
  <c r="G443" i="12"/>
  <c r="G444" i="12"/>
  <c r="G445" i="12"/>
  <c r="G446" i="12"/>
  <c r="G447" i="12"/>
  <c r="G448" i="12"/>
  <c r="G449" i="12"/>
  <c r="G450" i="12"/>
  <c r="G451" i="12"/>
  <c r="G452" i="12"/>
  <c r="G453" i="12"/>
  <c r="G454" i="12"/>
  <c r="G455" i="12"/>
  <c r="G456" i="12"/>
  <c r="G457" i="12"/>
  <c r="G458" i="12"/>
  <c r="G459" i="12"/>
  <c r="G460" i="12"/>
  <c r="G461" i="12"/>
  <c r="G462" i="12"/>
  <c r="G463" i="12"/>
  <c r="G464" i="12"/>
  <c r="G465" i="12"/>
  <c r="G466" i="12"/>
  <c r="G467" i="12"/>
  <c r="G468" i="12"/>
  <c r="G469" i="12"/>
  <c r="G470" i="12"/>
  <c r="G471" i="12"/>
  <c r="G472" i="12"/>
  <c r="G473" i="12"/>
  <c r="G474" i="12"/>
  <c r="G475" i="12"/>
  <c r="G476" i="12"/>
  <c r="G477" i="12"/>
  <c r="G478" i="12"/>
  <c r="G479" i="12"/>
  <c r="G480" i="12"/>
  <c r="G481" i="12"/>
  <c r="G482" i="12"/>
  <c r="G483" i="12"/>
  <c r="G484" i="12"/>
  <c r="G485" i="12"/>
  <c r="G486" i="12"/>
  <c r="G487" i="12"/>
  <c r="G488" i="12"/>
  <c r="G489" i="12"/>
  <c r="G490" i="12"/>
  <c r="G491" i="12"/>
  <c r="G492" i="12"/>
  <c r="G493" i="12"/>
  <c r="G494" i="12"/>
  <c r="G495" i="12"/>
  <c r="G496" i="12"/>
  <c r="G497" i="12"/>
  <c r="G498" i="12"/>
  <c r="G499" i="12"/>
  <c r="G500" i="12"/>
  <c r="G501" i="12"/>
  <c r="G502" i="12"/>
  <c r="G503" i="12"/>
  <c r="G504" i="12"/>
  <c r="G505" i="12"/>
  <c r="G506" i="12"/>
  <c r="G507" i="12"/>
  <c r="G508" i="12"/>
  <c r="G509" i="12"/>
  <c r="G510" i="12"/>
  <c r="G511" i="12"/>
  <c r="G512" i="12"/>
  <c r="G513" i="12"/>
  <c r="G514" i="12"/>
  <c r="G515" i="12"/>
  <c r="G516" i="12"/>
  <c r="G517" i="12"/>
  <c r="G518" i="12"/>
  <c r="G519" i="12"/>
  <c r="G520" i="12"/>
  <c r="G521" i="12"/>
  <c r="G522" i="12"/>
  <c r="G523" i="12"/>
  <c r="G524" i="12"/>
  <c r="G525" i="12"/>
  <c r="G526" i="12"/>
  <c r="G527" i="12"/>
  <c r="G528" i="12"/>
  <c r="G529" i="12"/>
  <c r="G530" i="12"/>
  <c r="G531" i="12"/>
  <c r="G532" i="12"/>
  <c r="G533" i="12"/>
  <c r="G534" i="12"/>
  <c r="G535" i="12"/>
  <c r="G536" i="12"/>
  <c r="G537" i="12"/>
  <c r="G538" i="12"/>
  <c r="G539" i="12"/>
  <c r="G540" i="12"/>
  <c r="G541" i="12"/>
  <c r="G542" i="12"/>
  <c r="G543" i="12"/>
  <c r="G544" i="12"/>
  <c r="G545" i="12"/>
  <c r="G546" i="12"/>
  <c r="G547" i="12"/>
  <c r="G548" i="12"/>
  <c r="G549" i="12"/>
  <c r="G550" i="12"/>
  <c r="G551" i="12"/>
  <c r="G552" i="12"/>
  <c r="G553" i="12"/>
  <c r="G554" i="12"/>
  <c r="G555" i="12"/>
  <c r="G556" i="12"/>
  <c r="G557" i="12"/>
  <c r="G558" i="12"/>
  <c r="G559" i="12"/>
  <c r="G560" i="12"/>
  <c r="G561" i="12"/>
  <c r="G562" i="12"/>
  <c r="G563" i="12"/>
  <c r="G564" i="12"/>
  <c r="G565" i="12"/>
  <c r="G566" i="12"/>
  <c r="G567" i="12"/>
  <c r="G568" i="12"/>
  <c r="G569" i="12"/>
  <c r="G570" i="12"/>
  <c r="G571" i="12"/>
  <c r="G572" i="12"/>
  <c r="G573" i="12"/>
  <c r="G574" i="12"/>
  <c r="G575" i="12"/>
  <c r="G576" i="12"/>
  <c r="G577" i="12"/>
  <c r="G578" i="12"/>
  <c r="G579" i="12"/>
  <c r="G580" i="12"/>
  <c r="G581" i="12"/>
  <c r="G582" i="12"/>
  <c r="G583" i="12"/>
  <c r="G584" i="12"/>
  <c r="G585" i="12"/>
  <c r="G586" i="12"/>
  <c r="G587" i="12"/>
  <c r="G588" i="12"/>
  <c r="G589" i="12"/>
  <c r="G590" i="12"/>
  <c r="G591" i="12"/>
  <c r="G592" i="12"/>
  <c r="G593" i="12"/>
  <c r="G594" i="12"/>
  <c r="G595" i="12"/>
  <c r="G596" i="12"/>
  <c r="G597" i="12"/>
  <c r="G598" i="12"/>
  <c r="G599" i="12"/>
  <c r="G600" i="12"/>
  <c r="G601" i="12"/>
  <c r="G602" i="12"/>
  <c r="G603" i="12"/>
  <c r="G604" i="12"/>
  <c r="G605" i="12"/>
  <c r="G606" i="12"/>
  <c r="G607" i="12"/>
  <c r="G608" i="12"/>
  <c r="G609" i="12"/>
  <c r="G610" i="12"/>
  <c r="G611" i="12"/>
  <c r="G612" i="12"/>
  <c r="G613" i="12"/>
  <c r="G614" i="12"/>
  <c r="G615" i="12"/>
  <c r="G616" i="12"/>
  <c r="G617" i="12"/>
  <c r="G618" i="12"/>
  <c r="G619" i="12"/>
  <c r="G620" i="12"/>
  <c r="G621" i="12"/>
  <c r="G622" i="12"/>
  <c r="G623" i="12"/>
  <c r="G624" i="12"/>
  <c r="G625" i="12"/>
  <c r="G626" i="12"/>
  <c r="G627" i="12"/>
  <c r="G628" i="12"/>
  <c r="G629" i="12"/>
  <c r="G630" i="12"/>
  <c r="G631" i="12"/>
  <c r="G632" i="12"/>
  <c r="G633" i="12"/>
  <c r="G634" i="12"/>
  <c r="G635" i="12"/>
  <c r="G636" i="12"/>
  <c r="G637" i="12"/>
  <c r="G638" i="12"/>
  <c r="G639" i="12"/>
  <c r="G640" i="12"/>
  <c r="G641" i="12"/>
  <c r="G642" i="12"/>
  <c r="G643" i="12"/>
  <c r="G644" i="12"/>
  <c r="G645" i="12"/>
  <c r="G646" i="12"/>
  <c r="G647" i="12"/>
  <c r="G648" i="12"/>
  <c r="G649" i="12"/>
  <c r="G650" i="12"/>
  <c r="G651" i="12"/>
  <c r="G652" i="12"/>
  <c r="G653" i="12"/>
  <c r="G654" i="12"/>
  <c r="G655" i="12"/>
  <c r="G656" i="12"/>
  <c r="G657" i="12"/>
  <c r="G658" i="12"/>
  <c r="G659" i="12"/>
  <c r="G660" i="12"/>
  <c r="G661" i="12"/>
  <c r="G662" i="12"/>
  <c r="G663" i="12"/>
  <c r="G664" i="12"/>
  <c r="G665" i="12"/>
  <c r="G666" i="12"/>
  <c r="G667" i="12"/>
  <c r="G668" i="12"/>
  <c r="G669" i="12"/>
  <c r="G670" i="12"/>
  <c r="G671" i="12"/>
  <c r="G672" i="12"/>
  <c r="G673" i="12"/>
  <c r="G674" i="12"/>
  <c r="G675" i="12"/>
  <c r="G676" i="12"/>
  <c r="G677" i="12"/>
  <c r="G678" i="12"/>
  <c r="G679" i="12"/>
  <c r="G680" i="12"/>
  <c r="G681" i="12"/>
  <c r="G682" i="12"/>
  <c r="G683" i="12"/>
  <c r="G684" i="12"/>
  <c r="G685" i="12"/>
  <c r="G686" i="12"/>
  <c r="G687" i="12"/>
  <c r="G688" i="12"/>
  <c r="G689" i="12"/>
  <c r="G690" i="12"/>
  <c r="G691" i="12"/>
  <c r="G692" i="12"/>
  <c r="G693" i="12"/>
  <c r="G694" i="12"/>
  <c r="G695" i="12"/>
  <c r="G696" i="12"/>
  <c r="G697" i="12"/>
  <c r="G698" i="12"/>
  <c r="G699" i="12"/>
  <c r="G700" i="12"/>
  <c r="G701" i="12"/>
  <c r="G702" i="12"/>
  <c r="G703" i="12"/>
  <c r="G704" i="12"/>
  <c r="G705" i="12"/>
  <c r="G706" i="12"/>
  <c r="G707" i="12"/>
  <c r="G708" i="12"/>
  <c r="G709" i="12"/>
  <c r="G710" i="12"/>
  <c r="G711" i="12"/>
  <c r="G712" i="12"/>
  <c r="G713" i="12"/>
  <c r="G714" i="12"/>
  <c r="G715" i="12"/>
  <c r="G716" i="12"/>
  <c r="G717" i="12"/>
  <c r="G718" i="12"/>
  <c r="G719" i="12"/>
  <c r="G720" i="12"/>
  <c r="G721" i="12"/>
  <c r="G722" i="12"/>
  <c r="G723" i="12"/>
  <c r="G724" i="12"/>
  <c r="G725" i="12"/>
  <c r="G726" i="12"/>
  <c r="G727" i="12"/>
  <c r="G728" i="12"/>
  <c r="G729" i="12"/>
  <c r="G730" i="12"/>
  <c r="G731" i="12"/>
  <c r="G732" i="12"/>
  <c r="G733" i="12"/>
  <c r="G734" i="12"/>
  <c r="G735" i="12"/>
  <c r="G736" i="12"/>
  <c r="G737" i="12"/>
  <c r="G738" i="12"/>
  <c r="G739" i="12"/>
  <c r="G740" i="12"/>
  <c r="G741" i="12"/>
  <c r="G742" i="12"/>
  <c r="G743" i="12"/>
  <c r="G744" i="12"/>
  <c r="G745" i="12"/>
  <c r="G746" i="12"/>
  <c r="G747" i="12"/>
  <c r="G748" i="12"/>
  <c r="G749" i="12"/>
  <c r="G750" i="12"/>
  <c r="G751" i="12"/>
  <c r="G752" i="12"/>
  <c r="G753" i="12"/>
  <c r="G754" i="12"/>
  <c r="G755" i="12"/>
  <c r="G756" i="12"/>
  <c r="G757" i="12"/>
  <c r="G758" i="12"/>
  <c r="G759" i="12"/>
  <c r="G760" i="12"/>
  <c r="G761" i="12"/>
  <c r="G762" i="12"/>
  <c r="G763" i="12"/>
  <c r="G764" i="12"/>
  <c r="G765" i="12"/>
  <c r="G766" i="12"/>
  <c r="G767" i="12"/>
  <c r="G768" i="12"/>
  <c r="G769" i="12"/>
  <c r="G770" i="12"/>
  <c r="G771" i="12"/>
  <c r="G772" i="12"/>
  <c r="G773" i="12"/>
  <c r="G774" i="12"/>
  <c r="G775" i="12"/>
  <c r="G776" i="12"/>
  <c r="G777" i="12"/>
  <c r="G778" i="12"/>
  <c r="G779" i="12"/>
  <c r="G780" i="12"/>
  <c r="G781" i="12"/>
  <c r="G782" i="12"/>
  <c r="G783" i="12"/>
  <c r="G784" i="12"/>
  <c r="G785" i="12"/>
  <c r="G786" i="12"/>
  <c r="G787" i="12"/>
  <c r="G788" i="12"/>
  <c r="G789" i="12"/>
  <c r="G790" i="12"/>
  <c r="G791" i="12"/>
  <c r="G792" i="12"/>
  <c r="G793" i="12"/>
  <c r="G794" i="12"/>
  <c r="G795" i="12"/>
  <c r="G796" i="12"/>
  <c r="G797" i="12"/>
  <c r="G798" i="12"/>
  <c r="G799" i="12"/>
  <c r="G800" i="12"/>
  <c r="G801" i="12"/>
  <c r="G802" i="12"/>
  <c r="G803" i="12"/>
  <c r="G804" i="12"/>
  <c r="G805" i="12"/>
  <c r="G806" i="12"/>
  <c r="G807" i="12"/>
  <c r="G808" i="12"/>
  <c r="G809" i="12"/>
  <c r="G810" i="12"/>
  <c r="G811" i="12"/>
  <c r="G812" i="12"/>
  <c r="G813" i="12"/>
  <c r="G814" i="12"/>
  <c r="G815" i="12"/>
  <c r="G816" i="12"/>
  <c r="G817" i="12"/>
  <c r="G818" i="12"/>
  <c r="G819" i="12"/>
  <c r="G820" i="12"/>
  <c r="G821" i="12"/>
  <c r="G822" i="12"/>
  <c r="G823" i="12"/>
  <c r="G824" i="12"/>
  <c r="G825" i="12"/>
  <c r="G826" i="12"/>
  <c r="G827" i="12"/>
  <c r="G828" i="12"/>
  <c r="G829" i="12"/>
  <c r="G830" i="12"/>
  <c r="G831" i="12"/>
  <c r="G832" i="12"/>
  <c r="G833" i="12"/>
  <c r="G834" i="12"/>
  <c r="G835" i="12"/>
  <c r="G836" i="12"/>
  <c r="G837" i="12"/>
  <c r="G838" i="12"/>
  <c r="G839" i="12"/>
  <c r="G840" i="12"/>
  <c r="G841" i="12"/>
  <c r="G842" i="12"/>
  <c r="G843" i="12"/>
  <c r="G844" i="12"/>
  <c r="G845" i="12"/>
  <c r="G846" i="12"/>
  <c r="G847" i="12"/>
  <c r="G848" i="12"/>
  <c r="G849" i="12"/>
  <c r="G850" i="12"/>
  <c r="G851" i="12"/>
  <c r="G852" i="12"/>
  <c r="G853" i="12"/>
  <c r="G854" i="12"/>
  <c r="G855" i="12"/>
  <c r="G856" i="12"/>
  <c r="G857" i="12"/>
  <c r="G858" i="12"/>
  <c r="G859" i="12"/>
  <c r="G860" i="12"/>
  <c r="G861" i="12"/>
  <c r="G862" i="12"/>
  <c r="G863" i="12"/>
  <c r="G864" i="12"/>
  <c r="G865" i="12"/>
  <c r="G866" i="12"/>
  <c r="G867" i="12"/>
  <c r="G868" i="12"/>
  <c r="G869" i="12"/>
  <c r="G870" i="12"/>
  <c r="G871" i="12"/>
  <c r="G872" i="12"/>
  <c r="G873" i="12"/>
  <c r="G874" i="12"/>
  <c r="G875" i="12"/>
  <c r="G876" i="12"/>
  <c r="G877" i="12"/>
  <c r="G878" i="12"/>
  <c r="G879" i="12"/>
  <c r="G880" i="12"/>
  <c r="G881" i="12"/>
  <c r="G882" i="12"/>
  <c r="G883" i="12"/>
  <c r="G884" i="12"/>
  <c r="G885" i="12"/>
  <c r="G886" i="12"/>
  <c r="G887" i="12"/>
  <c r="G888" i="12"/>
  <c r="G889" i="12"/>
  <c r="G890" i="12"/>
  <c r="G891" i="12"/>
  <c r="G892" i="12"/>
  <c r="G893" i="12"/>
  <c r="G894" i="12"/>
  <c r="G895" i="12"/>
  <c r="G896" i="12"/>
  <c r="G897" i="12"/>
  <c r="G898" i="12"/>
  <c r="G899" i="12"/>
  <c r="G900" i="12"/>
  <c r="G901" i="12"/>
  <c r="G902" i="12"/>
  <c r="G903" i="12"/>
  <c r="G904" i="12"/>
  <c r="G905" i="12"/>
  <c r="G906" i="12"/>
  <c r="G907" i="12"/>
  <c r="G908" i="12"/>
  <c r="G909" i="12"/>
  <c r="G910" i="12"/>
  <c r="G911" i="12"/>
  <c r="G912" i="12"/>
  <c r="G913" i="12"/>
  <c r="G914" i="12"/>
  <c r="G915" i="12"/>
  <c r="G916" i="12"/>
  <c r="G917" i="12"/>
  <c r="G918" i="12"/>
  <c r="G919" i="12"/>
  <c r="G920" i="12"/>
  <c r="G921" i="12"/>
  <c r="G922" i="12"/>
  <c r="G923" i="12"/>
  <c r="G924" i="12"/>
  <c r="G925" i="12"/>
  <c r="G926" i="12"/>
  <c r="G927" i="12"/>
  <c r="G928" i="12"/>
  <c r="G929" i="12"/>
  <c r="G930" i="12"/>
  <c r="G931" i="12"/>
  <c r="G932" i="12"/>
  <c r="G933" i="12"/>
  <c r="G934" i="12"/>
  <c r="G935" i="12"/>
  <c r="G936" i="12"/>
  <c r="G937" i="12"/>
  <c r="G938" i="12"/>
  <c r="G939" i="12"/>
  <c r="G940" i="12"/>
  <c r="G941" i="12"/>
  <c r="G942" i="12"/>
  <c r="G943" i="12"/>
  <c r="G944" i="12"/>
  <c r="G945" i="12"/>
  <c r="G946" i="12"/>
  <c r="G947" i="12"/>
  <c r="G948" i="12"/>
  <c r="G949" i="12"/>
  <c r="G950" i="12"/>
  <c r="G951" i="12"/>
  <c r="G952" i="12"/>
  <c r="G953" i="12"/>
  <c r="G954" i="12"/>
  <c r="G955" i="12"/>
  <c r="G956" i="12"/>
  <c r="G957" i="12"/>
  <c r="G958" i="12"/>
  <c r="G959" i="12"/>
  <c r="G960" i="12"/>
  <c r="G961" i="12"/>
  <c r="G962" i="12"/>
  <c r="G963" i="12"/>
  <c r="G964" i="12"/>
  <c r="G965" i="12"/>
  <c r="G966" i="12"/>
  <c r="G967" i="12"/>
  <c r="G968" i="12"/>
  <c r="G969" i="12"/>
  <c r="G970" i="12"/>
  <c r="G971" i="12"/>
  <c r="G972" i="12"/>
  <c r="G973" i="12"/>
  <c r="G974" i="12"/>
  <c r="G975" i="12"/>
  <c r="G976" i="12"/>
  <c r="G977" i="12"/>
  <c r="G978" i="12"/>
  <c r="G979" i="12"/>
  <c r="G980" i="12"/>
  <c r="G981" i="12"/>
  <c r="G982" i="12"/>
  <c r="G983" i="12"/>
  <c r="G984" i="12"/>
  <c r="G985" i="12"/>
  <c r="G986" i="12"/>
  <c r="G987" i="12"/>
  <c r="G988" i="12"/>
  <c r="G989" i="12"/>
  <c r="G990" i="12"/>
  <c r="G991" i="12"/>
  <c r="G992" i="12"/>
  <c r="G993" i="12"/>
  <c r="G994" i="12"/>
  <c r="G995" i="12"/>
  <c r="G996" i="12"/>
  <c r="G997" i="12"/>
  <c r="G998" i="12"/>
  <c r="G999" i="12"/>
  <c r="G1000" i="12"/>
  <c r="G1001" i="12"/>
  <c r="G1002" i="12"/>
  <c r="G1003" i="12"/>
  <c r="G1004" i="12"/>
  <c r="G1005" i="12"/>
  <c r="G1006" i="12"/>
  <c r="G1007" i="12"/>
  <c r="G1008" i="12"/>
  <c r="G1009" i="12"/>
  <c r="G1010" i="12"/>
  <c r="G1011" i="12"/>
  <c r="G1012" i="12"/>
  <c r="G1013" i="12"/>
  <c r="G1014" i="12"/>
  <c r="G1015" i="12"/>
  <c r="G1016" i="12"/>
  <c r="G1017" i="12"/>
  <c r="G1018" i="12"/>
  <c r="G1019" i="12"/>
  <c r="G1020" i="12"/>
  <c r="G1021" i="12"/>
  <c r="G1022" i="12"/>
  <c r="G1023" i="12"/>
  <c r="G1024" i="12"/>
  <c r="G1025" i="12"/>
  <c r="G1026" i="12"/>
  <c r="G1027" i="12"/>
  <c r="G1028" i="12"/>
  <c r="G1029" i="12"/>
  <c r="G1030" i="12"/>
  <c r="G1031" i="12"/>
  <c r="G1032" i="12"/>
  <c r="G1033" i="12"/>
  <c r="G1034" i="12"/>
  <c r="G1035" i="12"/>
  <c r="G1036" i="12"/>
  <c r="G1037" i="12"/>
  <c r="G1038" i="12"/>
  <c r="G1039" i="12"/>
  <c r="G1040" i="12"/>
  <c r="G1041" i="12"/>
  <c r="G1042" i="12"/>
  <c r="G1043" i="12"/>
  <c r="G1044" i="12"/>
  <c r="G1045" i="12"/>
  <c r="G1046" i="12"/>
  <c r="G1047" i="12"/>
  <c r="G1048" i="12"/>
  <c r="G1049" i="12"/>
  <c r="G1050" i="12"/>
  <c r="G1051" i="12"/>
  <c r="G1052" i="12"/>
  <c r="G1053" i="12"/>
  <c r="G1054" i="12"/>
  <c r="G1055" i="12"/>
  <c r="G1056" i="12"/>
  <c r="G1057" i="12"/>
  <c r="G1058" i="12"/>
  <c r="G1059" i="12"/>
  <c r="G1060" i="12"/>
  <c r="G1061" i="12"/>
  <c r="G1062" i="12"/>
  <c r="G1063" i="12"/>
  <c r="G1064" i="12"/>
  <c r="G1065" i="12"/>
  <c r="G1066" i="12"/>
  <c r="G1067" i="12"/>
  <c r="G1068" i="12"/>
  <c r="G1069" i="12"/>
  <c r="G1070" i="12"/>
  <c r="G1071" i="12"/>
  <c r="G1072" i="12"/>
  <c r="G1073" i="12"/>
  <c r="G1074" i="12"/>
  <c r="G1075" i="12"/>
  <c r="G1076" i="12"/>
  <c r="G1077" i="12"/>
  <c r="G1078" i="12"/>
  <c r="G1079" i="12"/>
  <c r="G1080" i="12"/>
  <c r="G1081" i="12"/>
  <c r="G1082" i="12"/>
  <c r="G1083" i="12"/>
  <c r="G1084" i="12"/>
  <c r="G1085" i="12"/>
  <c r="G1086" i="12"/>
  <c r="G1087" i="12"/>
  <c r="G1088" i="12"/>
  <c r="G1089" i="12"/>
  <c r="G1090" i="12"/>
  <c r="G1091" i="12"/>
  <c r="G1092" i="12"/>
  <c r="G1093" i="12"/>
  <c r="G1094" i="12"/>
  <c r="G1095" i="12"/>
  <c r="G1096" i="12"/>
  <c r="G1097" i="12"/>
  <c r="G1098" i="12"/>
  <c r="G1099" i="12"/>
  <c r="G1100" i="12"/>
  <c r="G1101" i="12"/>
  <c r="G1102" i="12"/>
  <c r="G1103" i="12"/>
  <c r="G1104" i="12"/>
  <c r="G1105" i="12"/>
  <c r="G1106" i="12"/>
  <c r="G1107" i="12"/>
  <c r="G1108" i="12"/>
  <c r="G1109" i="12"/>
  <c r="G1110" i="12"/>
  <c r="G1111" i="12"/>
  <c r="G1112" i="12"/>
  <c r="G1113" i="12"/>
  <c r="G1114" i="12"/>
  <c r="G1115" i="12"/>
  <c r="G1116" i="12"/>
  <c r="G1117" i="12"/>
  <c r="G1118" i="12"/>
  <c r="G1119" i="12"/>
  <c r="G1120" i="12"/>
  <c r="G1121" i="12"/>
  <c r="G1122" i="12"/>
  <c r="G1123" i="12"/>
  <c r="G1124" i="12"/>
  <c r="G1125" i="12"/>
  <c r="G1126" i="12"/>
  <c r="G1127" i="12"/>
  <c r="G1128" i="12"/>
  <c r="G1129" i="12"/>
  <c r="G1130" i="12"/>
  <c r="G1131" i="12"/>
  <c r="I1122" i="12" l="1"/>
  <c r="I1098" i="12"/>
  <c r="J1086" i="12"/>
  <c r="I1074" i="12"/>
  <c r="J1062" i="12"/>
  <c r="I1026" i="12"/>
  <c r="I978" i="12"/>
  <c r="I930" i="12"/>
  <c r="I918" i="12"/>
  <c r="I870" i="12"/>
  <c r="I822" i="12"/>
  <c r="I774" i="12"/>
  <c r="I726" i="12"/>
  <c r="I678" i="12"/>
  <c r="I642" i="12"/>
  <c r="I606" i="12"/>
  <c r="I438" i="12"/>
  <c r="I402" i="12"/>
  <c r="I378" i="12"/>
  <c r="I354" i="12"/>
  <c r="I318" i="12"/>
  <c r="I294" i="12"/>
  <c r="I246" i="12"/>
  <c r="I1121" i="12"/>
  <c r="J1109" i="12"/>
  <c r="J1097" i="12"/>
  <c r="J1049" i="12"/>
  <c r="J1013" i="12"/>
  <c r="J1001" i="12"/>
  <c r="J953" i="12"/>
  <c r="J941" i="12"/>
  <c r="J905" i="12"/>
  <c r="J893" i="12"/>
  <c r="J881" i="12"/>
  <c r="J857" i="12"/>
  <c r="J833" i="12"/>
  <c r="J797" i="12"/>
  <c r="J785" i="12"/>
  <c r="J665" i="12"/>
  <c r="J581" i="12"/>
  <c r="J557" i="12"/>
  <c r="J509" i="12"/>
  <c r="J485" i="12"/>
  <c r="J425" i="12"/>
  <c r="J305" i="12"/>
  <c r="I1120" i="12"/>
  <c r="J1108" i="12"/>
  <c r="J1060" i="12"/>
  <c r="J1048" i="12"/>
  <c r="J1036" i="12"/>
  <c r="J1000" i="12"/>
  <c r="J988" i="12"/>
  <c r="I976" i="12"/>
  <c r="J952" i="12"/>
  <c r="J940" i="12"/>
  <c r="J928" i="12"/>
  <c r="J892" i="12"/>
  <c r="I880" i="12"/>
  <c r="J844" i="12"/>
  <c r="J832" i="12"/>
  <c r="J784" i="12"/>
  <c r="J724" i="12"/>
  <c r="J700" i="12"/>
  <c r="J688" i="12"/>
  <c r="I664" i="12"/>
  <c r="I544" i="12"/>
  <c r="I472" i="12"/>
  <c r="J1035" i="12"/>
  <c r="I879" i="12"/>
  <c r="I543" i="12"/>
  <c r="J1046" i="12"/>
  <c r="J1129" i="12"/>
  <c r="J1117" i="12"/>
  <c r="J1093" i="12"/>
  <c r="J1081" i="12"/>
  <c r="J1069" i="12"/>
  <c r="I1045" i="12"/>
  <c r="J1021" i="12"/>
  <c r="I997" i="12"/>
  <c r="J973" i="12"/>
  <c r="I961" i="12"/>
  <c r="J913" i="12"/>
  <c r="I805" i="12"/>
  <c r="I733" i="12"/>
  <c r="J637" i="12"/>
  <c r="J613" i="12"/>
  <c r="I577" i="12"/>
  <c r="J565" i="12"/>
  <c r="J541" i="12"/>
  <c r="J517" i="12"/>
  <c r="J469" i="12"/>
  <c r="I457" i="12"/>
  <c r="J445" i="12"/>
  <c r="I433" i="12"/>
  <c r="I313" i="12"/>
  <c r="J277" i="12"/>
  <c r="I241" i="12"/>
  <c r="J1128" i="12"/>
  <c r="J1092" i="12"/>
  <c r="I1080" i="12"/>
  <c r="J1068" i="12"/>
  <c r="J1008" i="12"/>
  <c r="J960" i="12"/>
  <c r="I948" i="12"/>
  <c r="I852" i="12"/>
  <c r="I804" i="12"/>
  <c r="J780" i="12"/>
  <c r="I732" i="12"/>
  <c r="J720" i="12"/>
  <c r="I696" i="12"/>
  <c r="J672" i="12"/>
  <c r="J576" i="12"/>
  <c r="J528" i="12"/>
  <c r="J432" i="12"/>
  <c r="J324" i="12"/>
  <c r="J276" i="12"/>
  <c r="J264" i="12"/>
  <c r="J1127" i="12"/>
  <c r="I1115" i="12"/>
  <c r="J1091" i="12"/>
  <c r="I1079" i="12"/>
  <c r="J1055" i="12"/>
  <c r="I863" i="12"/>
  <c r="J827" i="12"/>
  <c r="I803" i="12"/>
  <c r="J779" i="12"/>
  <c r="J767" i="12"/>
  <c r="I695" i="12"/>
  <c r="I647" i="12"/>
  <c r="J599" i="12"/>
  <c r="J575" i="12"/>
  <c r="J527" i="12"/>
  <c r="I515" i="12"/>
  <c r="J503" i="12"/>
  <c r="I347" i="12"/>
  <c r="J323" i="12"/>
  <c r="J1078" i="12"/>
  <c r="J922" i="12"/>
  <c r="J874" i="12"/>
  <c r="J862" i="12"/>
  <c r="J826" i="12"/>
  <c r="J814" i="12"/>
  <c r="J766" i="12"/>
  <c r="J754" i="12"/>
  <c r="J718" i="12"/>
  <c r="J706" i="12"/>
  <c r="J682" i="12"/>
  <c r="J622" i="12"/>
  <c r="J598" i="12"/>
  <c r="J502" i="12"/>
  <c r="J406" i="12"/>
  <c r="J394" i="12"/>
  <c r="J370" i="12"/>
  <c r="J334" i="12"/>
  <c r="J238" i="12"/>
  <c r="I1087" i="12"/>
  <c r="I1027" i="12"/>
  <c r="I979" i="12"/>
  <c r="J883" i="12"/>
  <c r="I835" i="12"/>
  <c r="J823" i="12"/>
  <c r="I775" i="12"/>
  <c r="J751" i="12"/>
  <c r="I727" i="12"/>
  <c r="I691" i="12"/>
  <c r="J667" i="12"/>
  <c r="I607" i="12"/>
  <c r="I571" i="12"/>
  <c r="J559" i="12"/>
  <c r="I547" i="12"/>
  <c r="J487" i="12"/>
  <c r="J475" i="12"/>
  <c r="I355" i="12"/>
  <c r="J259" i="12"/>
  <c r="I247" i="12"/>
  <c r="J989" i="12"/>
  <c r="I989" i="12"/>
  <c r="J929" i="12"/>
  <c r="I929" i="12"/>
  <c r="J869" i="12"/>
  <c r="I869" i="12"/>
  <c r="J701" i="12"/>
  <c r="I701" i="12"/>
  <c r="J521" i="12"/>
  <c r="I521" i="12"/>
  <c r="J473" i="12"/>
  <c r="I473" i="12"/>
  <c r="J389" i="12"/>
  <c r="I389" i="12"/>
  <c r="J317" i="12"/>
  <c r="I317" i="12"/>
  <c r="J233" i="12"/>
  <c r="I233" i="12"/>
  <c r="J1096" i="12"/>
  <c r="I1096" i="12"/>
  <c r="J1084" i="12"/>
  <c r="I1084" i="12"/>
  <c r="J1072" i="12"/>
  <c r="I1072" i="12"/>
  <c r="J1024" i="12"/>
  <c r="I1024" i="12"/>
  <c r="J1012" i="12"/>
  <c r="I1012" i="12"/>
  <c r="J964" i="12"/>
  <c r="I964" i="12"/>
  <c r="J916" i="12"/>
  <c r="I916" i="12"/>
  <c r="J904" i="12"/>
  <c r="I904" i="12"/>
  <c r="J868" i="12"/>
  <c r="I868" i="12"/>
  <c r="J856" i="12"/>
  <c r="I856" i="12"/>
  <c r="J820" i="12"/>
  <c r="I820" i="12"/>
  <c r="J808" i="12"/>
  <c r="I808" i="12"/>
  <c r="J796" i="12"/>
  <c r="I796" i="12"/>
  <c r="J772" i="12"/>
  <c r="I772" i="12"/>
  <c r="I760" i="12"/>
  <c r="J760" i="12"/>
  <c r="J748" i="12"/>
  <c r="I748" i="12"/>
  <c r="J736" i="12"/>
  <c r="I736" i="12"/>
  <c r="J712" i="12"/>
  <c r="I712" i="12"/>
  <c r="J676" i="12"/>
  <c r="I676" i="12"/>
  <c r="J652" i="12"/>
  <c r="J640" i="12"/>
  <c r="I640" i="12"/>
  <c r="J628" i="12"/>
  <c r="J616" i="12"/>
  <c r="I616" i="12"/>
  <c r="J604" i="12"/>
  <c r="I604" i="12"/>
  <c r="J592" i="12"/>
  <c r="I592" i="12"/>
  <c r="I580" i="12"/>
  <c r="J580" i="12"/>
  <c r="J568" i="12"/>
  <c r="I568" i="12"/>
  <c r="J556" i="12"/>
  <c r="I556" i="12"/>
  <c r="J532" i="12"/>
  <c r="I532" i="12"/>
  <c r="J520" i="12"/>
  <c r="I520" i="12"/>
  <c r="J508" i="12"/>
  <c r="I508" i="12"/>
  <c r="J496" i="12"/>
  <c r="I496" i="12"/>
  <c r="J484" i="12"/>
  <c r="J460" i="12"/>
  <c r="J448" i="12"/>
  <c r="I448" i="12"/>
  <c r="I436" i="12"/>
  <c r="J436" i="12"/>
  <c r="J424" i="12"/>
  <c r="I424" i="12"/>
  <c r="J412" i="12"/>
  <c r="J400" i="12"/>
  <c r="I400" i="12"/>
  <c r="J388" i="12"/>
  <c r="J376" i="12"/>
  <c r="I376" i="12"/>
  <c r="J364" i="12"/>
  <c r="I364" i="12"/>
  <c r="J352" i="12"/>
  <c r="J340" i="12"/>
  <c r="I328" i="12"/>
  <c r="J328" i="12"/>
  <c r="J316" i="12"/>
  <c r="I316" i="12"/>
  <c r="J304" i="12"/>
  <c r="J292" i="12"/>
  <c r="I292" i="12"/>
  <c r="J280" i="12"/>
  <c r="I280" i="12"/>
  <c r="J268" i="12"/>
  <c r="I268" i="12"/>
  <c r="I256" i="12"/>
  <c r="J256" i="12"/>
  <c r="I244" i="12"/>
  <c r="J244" i="12"/>
  <c r="J232" i="12"/>
  <c r="I232" i="12"/>
  <c r="I1049" i="12"/>
  <c r="I1001" i="12"/>
  <c r="I581" i="12"/>
  <c r="I1073" i="12"/>
  <c r="J1073" i="12"/>
  <c r="J1037" i="12"/>
  <c r="I1037" i="12"/>
  <c r="J977" i="12"/>
  <c r="I977" i="12"/>
  <c r="J725" i="12"/>
  <c r="I725" i="12"/>
  <c r="J653" i="12"/>
  <c r="I653" i="12"/>
  <c r="J497" i="12"/>
  <c r="I497" i="12"/>
  <c r="J413" i="12"/>
  <c r="I413" i="12"/>
  <c r="J365" i="12"/>
  <c r="I365" i="12"/>
  <c r="J293" i="12"/>
  <c r="I293" i="12"/>
  <c r="J1131" i="12"/>
  <c r="I1131" i="12"/>
  <c r="J1119" i="12"/>
  <c r="J1107" i="12"/>
  <c r="J1095" i="12"/>
  <c r="I1095" i="12"/>
  <c r="J1083" i="12"/>
  <c r="I1083" i="12"/>
  <c r="J1071" i="12"/>
  <c r="I1071" i="12"/>
  <c r="I1059" i="12"/>
  <c r="I1047" i="12"/>
  <c r="J1047" i="12"/>
  <c r="J1023" i="12"/>
  <c r="J1011" i="12"/>
  <c r="I1011" i="12"/>
  <c r="J999" i="12"/>
  <c r="J987" i="12"/>
  <c r="J975" i="12"/>
  <c r="I975" i="12"/>
  <c r="J963" i="12"/>
  <c r="I963" i="12"/>
  <c r="J951" i="12"/>
  <c r="I951" i="12"/>
  <c r="J939" i="12"/>
  <c r="J927" i="12"/>
  <c r="J915" i="12"/>
  <c r="I915" i="12"/>
  <c r="J903" i="12"/>
  <c r="I903" i="12"/>
  <c r="J891" i="12"/>
  <c r="I891" i="12"/>
  <c r="J867" i="12"/>
  <c r="I867" i="12"/>
  <c r="J855" i="12"/>
  <c r="I855" i="12"/>
  <c r="J843" i="12"/>
  <c r="I843" i="12"/>
  <c r="J831" i="12"/>
  <c r="I831" i="12"/>
  <c r="J819" i="12"/>
  <c r="J807" i="12"/>
  <c r="I807" i="12"/>
  <c r="J795" i="12"/>
  <c r="I795" i="12"/>
  <c r="J783" i="12"/>
  <c r="I783" i="12"/>
  <c r="J771" i="12"/>
  <c r="I759" i="12"/>
  <c r="J759" i="12"/>
  <c r="J747" i="12"/>
  <c r="I747" i="12"/>
  <c r="J735" i="12"/>
  <c r="I735" i="12"/>
  <c r="J723" i="12"/>
  <c r="I723" i="12"/>
  <c r="J711" i="12"/>
  <c r="I711" i="12"/>
  <c r="J699" i="12"/>
  <c r="I699" i="12"/>
  <c r="I687" i="12"/>
  <c r="J687" i="12"/>
  <c r="J675" i="12"/>
  <c r="I675" i="12"/>
  <c r="I663" i="12"/>
  <c r="J651" i="12"/>
  <c r="J639" i="12"/>
  <c r="I639" i="12"/>
  <c r="J627" i="12"/>
  <c r="I615" i="12"/>
  <c r="J615" i="12"/>
  <c r="I603" i="12"/>
  <c r="J603" i="12"/>
  <c r="J591" i="12"/>
  <c r="I591" i="12"/>
  <c r="I579" i="12"/>
  <c r="J579" i="12"/>
  <c r="J567" i="12"/>
  <c r="I567" i="12"/>
  <c r="J555" i="12"/>
  <c r="I555" i="12"/>
  <c r="J531" i="12"/>
  <c r="I531" i="12"/>
  <c r="J519" i="12"/>
  <c r="I519" i="12"/>
  <c r="J507" i="12"/>
  <c r="I507" i="12"/>
  <c r="J495" i="12"/>
  <c r="I495" i="12"/>
  <c r="J483" i="12"/>
  <c r="I471" i="12"/>
  <c r="I459" i="12"/>
  <c r="J459" i="12"/>
  <c r="I1128" i="12"/>
  <c r="I1092" i="12"/>
  <c r="I1048" i="12"/>
  <c r="I1000" i="12"/>
  <c r="I953" i="12"/>
  <c r="I576" i="12"/>
  <c r="I509" i="12"/>
  <c r="I445" i="12"/>
  <c r="J1079" i="12"/>
  <c r="J863" i="12"/>
  <c r="J732" i="12"/>
  <c r="J577" i="12"/>
  <c r="I1085" i="12"/>
  <c r="J1085" i="12"/>
  <c r="J1025" i="12"/>
  <c r="I1025" i="12"/>
  <c r="J809" i="12"/>
  <c r="I809" i="12"/>
  <c r="J737" i="12"/>
  <c r="I737" i="12"/>
  <c r="J677" i="12"/>
  <c r="I677" i="12"/>
  <c r="J617" i="12"/>
  <c r="I617" i="12"/>
  <c r="J437" i="12"/>
  <c r="I437" i="12"/>
  <c r="J329" i="12"/>
  <c r="I329" i="12"/>
  <c r="J257" i="12"/>
  <c r="I257" i="12"/>
  <c r="J1130" i="12"/>
  <c r="I1130" i="12"/>
  <c r="J1118" i="12"/>
  <c r="J1106" i="12"/>
  <c r="I1106" i="12"/>
  <c r="J1094" i="12"/>
  <c r="I1094" i="12"/>
  <c r="J1082" i="12"/>
  <c r="J1070" i="12"/>
  <c r="I1058" i="12"/>
  <c r="J1058" i="12"/>
  <c r="J1034" i="12"/>
  <c r="J1010" i="12"/>
  <c r="I1010" i="12"/>
  <c r="I998" i="12"/>
  <c r="J986" i="12"/>
  <c r="J974" i="12"/>
  <c r="I962" i="12"/>
  <c r="J962" i="12"/>
  <c r="J950" i="12"/>
  <c r="I950" i="12"/>
  <c r="J938" i="12"/>
  <c r="I938" i="12"/>
  <c r="J926" i="12"/>
  <c r="J914" i="12"/>
  <c r="I914" i="12"/>
  <c r="I902" i="12"/>
  <c r="J902" i="12"/>
  <c r="J890" i="12"/>
  <c r="I890" i="12"/>
  <c r="I878" i="12"/>
  <c r="J878" i="12"/>
  <c r="J866" i="12"/>
  <c r="J854" i="12"/>
  <c r="I854" i="12"/>
  <c r="J842" i="12"/>
  <c r="I842" i="12"/>
  <c r="J830" i="12"/>
  <c r="I830" i="12"/>
  <c r="J818" i="12"/>
  <c r="I818" i="12"/>
  <c r="I806" i="12"/>
  <c r="J806" i="12"/>
  <c r="J794" i="12"/>
  <c r="I794" i="12"/>
  <c r="J782" i="12"/>
  <c r="I782" i="12"/>
  <c r="J770" i="12"/>
  <c r="I770" i="12"/>
  <c r="J758" i="12"/>
  <c r="I758" i="12"/>
  <c r="J746" i="12"/>
  <c r="I746" i="12"/>
  <c r="J734" i="12"/>
  <c r="I734" i="12"/>
  <c r="J722" i="12"/>
  <c r="I722" i="12"/>
  <c r="J710" i="12"/>
  <c r="I710" i="12"/>
  <c r="J698" i="12"/>
  <c r="I698" i="12"/>
  <c r="J686" i="12"/>
  <c r="I686" i="12"/>
  <c r="I674" i="12"/>
  <c r="J674" i="12"/>
  <c r="J662" i="12"/>
  <c r="I662" i="12"/>
  <c r="J650" i="12"/>
  <c r="J638" i="12"/>
  <c r="J626" i="12"/>
  <c r="I626" i="12"/>
  <c r="J614" i="12"/>
  <c r="I602" i="12"/>
  <c r="J602" i="12"/>
  <c r="J590" i="12"/>
  <c r="I590" i="12"/>
  <c r="I578" i="12"/>
  <c r="I566" i="12"/>
  <c r="J566" i="12"/>
  <c r="J554" i="12"/>
  <c r="I554" i="12"/>
  <c r="J542" i="12"/>
  <c r="J530" i="12"/>
  <c r="I530" i="12"/>
  <c r="J518" i="12"/>
  <c r="J506" i="12"/>
  <c r="I506" i="12"/>
  <c r="I494" i="12"/>
  <c r="J494" i="12"/>
  <c r="J482" i="12"/>
  <c r="I482" i="12"/>
  <c r="J470" i="12"/>
  <c r="I458" i="12"/>
  <c r="J458" i="12"/>
  <c r="J446" i="12"/>
  <c r="I446" i="12"/>
  <c r="J434" i="12"/>
  <c r="I434" i="12"/>
  <c r="J422" i="12"/>
  <c r="I422" i="12"/>
  <c r="J410" i="12"/>
  <c r="I410" i="12"/>
  <c r="J398" i="12"/>
  <c r="I398" i="12"/>
  <c r="I386" i="12"/>
  <c r="J386" i="12"/>
  <c r="I374" i="12"/>
  <c r="J374" i="12"/>
  <c r="J362" i="12"/>
  <c r="I362" i="12"/>
  <c r="J350" i="12"/>
  <c r="I278" i="12"/>
  <c r="I1127" i="12"/>
  <c r="I1091" i="12"/>
  <c r="I1046" i="12"/>
  <c r="I999" i="12"/>
  <c r="I952" i="12"/>
  <c r="I905" i="12"/>
  <c r="I857" i="12"/>
  <c r="I754" i="12"/>
  <c r="I700" i="12"/>
  <c r="I637" i="12"/>
  <c r="I575" i="12"/>
  <c r="I503" i="12"/>
  <c r="I432" i="12"/>
  <c r="J976" i="12"/>
  <c r="J696" i="12"/>
  <c r="J544" i="12"/>
  <c r="J347" i="12"/>
  <c r="J449" i="12"/>
  <c r="I449" i="12"/>
  <c r="J1067" i="12"/>
  <c r="I1067" i="12"/>
  <c r="J1043" i="12"/>
  <c r="I1043" i="12"/>
  <c r="J1031" i="12"/>
  <c r="I1031" i="12"/>
  <c r="I1019" i="12"/>
  <c r="J1019" i="12"/>
  <c r="J1007" i="12"/>
  <c r="I1007" i="12"/>
  <c r="I995" i="12"/>
  <c r="J995" i="12"/>
  <c r="J983" i="12"/>
  <c r="I983" i="12"/>
  <c r="J971" i="12"/>
  <c r="I971" i="12"/>
  <c r="J959" i="12"/>
  <c r="I959" i="12"/>
  <c r="I947" i="12"/>
  <c r="J947" i="12"/>
  <c r="I935" i="12"/>
  <c r="J935" i="12"/>
  <c r="J923" i="12"/>
  <c r="I923" i="12"/>
  <c r="J911" i="12"/>
  <c r="I911" i="12"/>
  <c r="J899" i="12"/>
  <c r="I899" i="12"/>
  <c r="J887" i="12"/>
  <c r="I887" i="12"/>
  <c r="I875" i="12"/>
  <c r="J875" i="12"/>
  <c r="I851" i="12"/>
  <c r="J851" i="12"/>
  <c r="I839" i="12"/>
  <c r="J839" i="12"/>
  <c r="J815" i="12"/>
  <c r="I815" i="12"/>
  <c r="J791" i="12"/>
  <c r="I791" i="12"/>
  <c r="J755" i="12"/>
  <c r="I755" i="12"/>
  <c r="J743" i="12"/>
  <c r="I743" i="12"/>
  <c r="I731" i="12"/>
  <c r="J731" i="12"/>
  <c r="I719" i="12"/>
  <c r="J719" i="12"/>
  <c r="J707" i="12"/>
  <c r="I707" i="12"/>
  <c r="J683" i="12"/>
  <c r="I683" i="12"/>
  <c r="J671" i="12"/>
  <c r="I671" i="12"/>
  <c r="I659" i="12"/>
  <c r="J659" i="12"/>
  <c r="J635" i="12"/>
  <c r="I635" i="12"/>
  <c r="J623" i="12"/>
  <c r="I623" i="12"/>
  <c r="J611" i="12"/>
  <c r="I611" i="12"/>
  <c r="I587" i="12"/>
  <c r="J587" i="12"/>
  <c r="J563" i="12"/>
  <c r="I563" i="12"/>
  <c r="J551" i="12"/>
  <c r="I551" i="12"/>
  <c r="J539" i="12"/>
  <c r="I539" i="12"/>
  <c r="I491" i="12"/>
  <c r="J491" i="12"/>
  <c r="J479" i="12"/>
  <c r="I479" i="12"/>
  <c r="J467" i="12"/>
  <c r="I467" i="12"/>
  <c r="J455" i="12"/>
  <c r="I455" i="12"/>
  <c r="I443" i="12"/>
  <c r="J443" i="12"/>
  <c r="I431" i="12"/>
  <c r="J431" i="12"/>
  <c r="J419" i="12"/>
  <c r="I419" i="12"/>
  <c r="J407" i="12"/>
  <c r="I407" i="12"/>
  <c r="J395" i="12"/>
  <c r="I395" i="12"/>
  <c r="J383" i="12"/>
  <c r="I383" i="12"/>
  <c r="J371" i="12"/>
  <c r="I371" i="12"/>
  <c r="J359" i="12"/>
  <c r="I359" i="12"/>
  <c r="J335" i="12"/>
  <c r="I335" i="12"/>
  <c r="J311" i="12"/>
  <c r="I311" i="12"/>
  <c r="J299" i="12"/>
  <c r="I299" i="12"/>
  <c r="I287" i="12"/>
  <c r="J287" i="12"/>
  <c r="J275" i="12"/>
  <c r="I275" i="12"/>
  <c r="J263" i="12"/>
  <c r="I263" i="12"/>
  <c r="J251" i="12"/>
  <c r="I251" i="12"/>
  <c r="J239" i="12"/>
  <c r="I239" i="12"/>
  <c r="J227" i="12"/>
  <c r="I227" i="12"/>
  <c r="I1117" i="12"/>
  <c r="I1034" i="12"/>
  <c r="I986" i="12"/>
  <c r="I939" i="12"/>
  <c r="I892" i="12"/>
  <c r="I844" i="12"/>
  <c r="I797" i="12"/>
  <c r="I682" i="12"/>
  <c r="I622" i="12"/>
  <c r="I557" i="12"/>
  <c r="I484" i="12"/>
  <c r="I340" i="12"/>
  <c r="I264" i="12"/>
  <c r="J948" i="12"/>
  <c r="J664" i="12"/>
  <c r="I1061" i="12"/>
  <c r="J1061" i="12"/>
  <c r="J821" i="12"/>
  <c r="I821" i="12"/>
  <c r="J749" i="12"/>
  <c r="I749" i="12"/>
  <c r="J689" i="12"/>
  <c r="I689" i="12"/>
  <c r="J629" i="12"/>
  <c r="I629" i="12"/>
  <c r="J569" i="12"/>
  <c r="I569" i="12"/>
  <c r="J401" i="12"/>
  <c r="I401" i="12"/>
  <c r="J353" i="12"/>
  <c r="I353" i="12"/>
  <c r="J245" i="12"/>
  <c r="I245" i="12"/>
  <c r="I1097" i="12"/>
  <c r="I1105" i="12"/>
  <c r="J1105" i="12"/>
  <c r="I1057" i="12"/>
  <c r="J1057" i="12"/>
  <c r="I1033" i="12"/>
  <c r="J1033" i="12"/>
  <c r="J1009" i="12"/>
  <c r="I1009" i="12"/>
  <c r="J985" i="12"/>
  <c r="I985" i="12"/>
  <c r="J949" i="12"/>
  <c r="I949" i="12"/>
  <c r="J937" i="12"/>
  <c r="I937" i="12"/>
  <c r="J925" i="12"/>
  <c r="I925" i="12"/>
  <c r="I901" i="12"/>
  <c r="J901" i="12"/>
  <c r="J889" i="12"/>
  <c r="I889" i="12"/>
  <c r="J877" i="12"/>
  <c r="I877" i="12"/>
  <c r="J865" i="12"/>
  <c r="I865" i="12"/>
  <c r="J853" i="12"/>
  <c r="I853" i="12"/>
  <c r="J841" i="12"/>
  <c r="I841" i="12"/>
  <c r="J829" i="12"/>
  <c r="I829" i="12"/>
  <c r="I817" i="12"/>
  <c r="J817" i="12"/>
  <c r="J793" i="12"/>
  <c r="I793" i="12"/>
  <c r="J781" i="12"/>
  <c r="I781" i="12"/>
  <c r="J769" i="12"/>
  <c r="I769" i="12"/>
  <c r="J757" i="12"/>
  <c r="I757" i="12"/>
  <c r="I745" i="12"/>
  <c r="J745" i="12"/>
  <c r="I721" i="12"/>
  <c r="J721" i="12"/>
  <c r="J709" i="12"/>
  <c r="I709" i="12"/>
  <c r="J697" i="12"/>
  <c r="I697" i="12"/>
  <c r="J685" i="12"/>
  <c r="I685" i="12"/>
  <c r="I673" i="12"/>
  <c r="J673" i="12"/>
  <c r="J661" i="12"/>
  <c r="I661" i="12"/>
  <c r="J649" i="12"/>
  <c r="I649" i="12"/>
  <c r="J625" i="12"/>
  <c r="I625" i="12"/>
  <c r="J601" i="12"/>
  <c r="I601" i="12"/>
  <c r="J589" i="12"/>
  <c r="I589" i="12"/>
  <c r="J553" i="12"/>
  <c r="I553" i="12"/>
  <c r="I529" i="12"/>
  <c r="J529" i="12"/>
  <c r="J505" i="12"/>
  <c r="I505" i="12"/>
  <c r="I493" i="12"/>
  <c r="J493" i="12"/>
  <c r="J481" i="12"/>
  <c r="I481" i="12"/>
  <c r="J421" i="12"/>
  <c r="I421" i="12"/>
  <c r="J409" i="12"/>
  <c r="I409" i="12"/>
  <c r="J397" i="12"/>
  <c r="I397" i="12"/>
  <c r="I373" i="12"/>
  <c r="J373" i="12"/>
  <c r="J361" i="12"/>
  <c r="I361" i="12"/>
  <c r="J349" i="12"/>
  <c r="I349" i="12"/>
  <c r="J337" i="12"/>
  <c r="I337" i="12"/>
  <c r="J325" i="12"/>
  <c r="I325" i="12"/>
  <c r="I301" i="12"/>
  <c r="J301" i="12"/>
  <c r="I289" i="12"/>
  <c r="J289" i="12"/>
  <c r="J265" i="12"/>
  <c r="I265" i="12"/>
  <c r="J253" i="12"/>
  <c r="I253" i="12"/>
  <c r="J229" i="12"/>
  <c r="I229" i="12"/>
  <c r="I1036" i="12"/>
  <c r="I988" i="12"/>
  <c r="I941" i="12"/>
  <c r="I628" i="12"/>
  <c r="I565" i="12"/>
  <c r="I352" i="12"/>
  <c r="I277" i="12"/>
  <c r="J961" i="12"/>
  <c r="J1116" i="12"/>
  <c r="I1116" i="12"/>
  <c r="I1104" i="12"/>
  <c r="J1104" i="12"/>
  <c r="I1056" i="12"/>
  <c r="J1056" i="12"/>
  <c r="J1044" i="12"/>
  <c r="I1044" i="12"/>
  <c r="J1032" i="12"/>
  <c r="I1032" i="12"/>
  <c r="J1020" i="12"/>
  <c r="I1020" i="12"/>
  <c r="I996" i="12"/>
  <c r="J996" i="12"/>
  <c r="J984" i="12"/>
  <c r="I984" i="12"/>
  <c r="J972" i="12"/>
  <c r="I972" i="12"/>
  <c r="I936" i="12"/>
  <c r="J936" i="12"/>
  <c r="J924" i="12"/>
  <c r="I924" i="12"/>
  <c r="J912" i="12"/>
  <c r="I912" i="12"/>
  <c r="J900" i="12"/>
  <c r="I900" i="12"/>
  <c r="J888" i="12"/>
  <c r="I888" i="12"/>
  <c r="I876" i="12"/>
  <c r="J876" i="12"/>
  <c r="J864" i="12"/>
  <c r="I864" i="12"/>
  <c r="J840" i="12"/>
  <c r="I840" i="12"/>
  <c r="J828" i="12"/>
  <c r="I828" i="12"/>
  <c r="J816" i="12"/>
  <c r="I816" i="12"/>
  <c r="J792" i="12"/>
  <c r="I792" i="12"/>
  <c r="J768" i="12"/>
  <c r="I768" i="12"/>
  <c r="J756" i="12"/>
  <c r="I756" i="12"/>
  <c r="J744" i="12"/>
  <c r="I744" i="12"/>
  <c r="J708" i="12"/>
  <c r="I708" i="12"/>
  <c r="J684" i="12"/>
  <c r="I684" i="12"/>
  <c r="J660" i="12"/>
  <c r="I660" i="12"/>
  <c r="J648" i="12"/>
  <c r="I648" i="12"/>
  <c r="J636" i="12"/>
  <c r="I636" i="12"/>
  <c r="I624" i="12"/>
  <c r="J624" i="12"/>
  <c r="J612" i="12"/>
  <c r="I612" i="12"/>
  <c r="J600" i="12"/>
  <c r="I600" i="12"/>
  <c r="I588" i="12"/>
  <c r="J588" i="12"/>
  <c r="J564" i="12"/>
  <c r="I564" i="12"/>
  <c r="J552" i="12"/>
  <c r="I552" i="12"/>
  <c r="J540" i="12"/>
  <c r="I540" i="12"/>
  <c r="I516" i="12"/>
  <c r="J516" i="12"/>
  <c r="J504" i="12"/>
  <c r="I504" i="12"/>
  <c r="I492" i="12"/>
  <c r="J492" i="12"/>
  <c r="J480" i="12"/>
  <c r="I480" i="12"/>
  <c r="J468" i="12"/>
  <c r="I468" i="12"/>
  <c r="J456" i="12"/>
  <c r="I456" i="12"/>
  <c r="J444" i="12"/>
  <c r="I444" i="12"/>
  <c r="J420" i="12"/>
  <c r="I420" i="12"/>
  <c r="J408" i="12"/>
  <c r="I408" i="12"/>
  <c r="J396" i="12"/>
  <c r="I396" i="12"/>
  <c r="J384" i="12"/>
  <c r="I384" i="12"/>
  <c r="I372" i="12"/>
  <c r="J372" i="12"/>
  <c r="J360" i="12"/>
  <c r="I360" i="12"/>
  <c r="J348" i="12"/>
  <c r="I348" i="12"/>
  <c r="J336" i="12"/>
  <c r="I336" i="12"/>
  <c r="J312" i="12"/>
  <c r="I312" i="12"/>
  <c r="I300" i="12"/>
  <c r="J300" i="12"/>
  <c r="I288" i="12"/>
  <c r="J288" i="12"/>
  <c r="J252" i="12"/>
  <c r="I252" i="12"/>
  <c r="J240" i="12"/>
  <c r="I240" i="12"/>
  <c r="J228" i="12"/>
  <c r="I228" i="12"/>
  <c r="I1081" i="12"/>
  <c r="I940" i="12"/>
  <c r="I893" i="12"/>
  <c r="I688" i="12"/>
  <c r="I485" i="12"/>
  <c r="I425" i="12"/>
  <c r="I276" i="12"/>
  <c r="J313" i="12"/>
  <c r="J1126" i="12"/>
  <c r="I1126" i="12"/>
  <c r="I1114" i="12"/>
  <c r="J1114" i="12"/>
  <c r="J1090" i="12"/>
  <c r="I1090" i="12"/>
  <c r="I1078" i="12"/>
  <c r="J1066" i="12"/>
  <c r="I1066" i="12"/>
  <c r="J1054" i="12"/>
  <c r="I1054" i="12"/>
  <c r="J1042" i="12"/>
  <c r="I1042" i="12"/>
  <c r="I1030" i="12"/>
  <c r="J1030" i="12"/>
  <c r="J1018" i="12"/>
  <c r="I1018" i="12"/>
  <c r="J1006" i="12"/>
  <c r="I1006" i="12"/>
  <c r="I994" i="12"/>
  <c r="J994" i="12"/>
  <c r="J982" i="12"/>
  <c r="I982" i="12"/>
  <c r="I970" i="12"/>
  <c r="J970" i="12"/>
  <c r="J958" i="12"/>
  <c r="I958" i="12"/>
  <c r="J946" i="12"/>
  <c r="I946" i="12"/>
  <c r="I934" i="12"/>
  <c r="I910" i="12"/>
  <c r="I898" i="12"/>
  <c r="J898" i="12"/>
  <c r="J886" i="12"/>
  <c r="I886" i="12"/>
  <c r="J850" i="12"/>
  <c r="I850" i="12"/>
  <c r="I838" i="12"/>
  <c r="J838" i="12"/>
  <c r="I802" i="12"/>
  <c r="J802" i="12"/>
  <c r="J790" i="12"/>
  <c r="I790" i="12"/>
  <c r="I778" i="12"/>
  <c r="J778" i="12"/>
  <c r="J742" i="12"/>
  <c r="I742" i="12"/>
  <c r="J730" i="12"/>
  <c r="I730" i="12"/>
  <c r="I694" i="12"/>
  <c r="J694" i="12"/>
  <c r="J670" i="12"/>
  <c r="I670" i="12"/>
  <c r="J658" i="12"/>
  <c r="I658" i="12"/>
  <c r="I646" i="12"/>
  <c r="J634" i="12"/>
  <c r="I634" i="12"/>
  <c r="I610" i="12"/>
  <c r="J610" i="12"/>
  <c r="J586" i="12"/>
  <c r="I586" i="12"/>
  <c r="J574" i="12"/>
  <c r="I574" i="12"/>
  <c r="J562" i="12"/>
  <c r="I562" i="12"/>
  <c r="J550" i="12"/>
  <c r="I550" i="12"/>
  <c r="I538" i="12"/>
  <c r="J538" i="12"/>
  <c r="J526" i="12"/>
  <c r="I526" i="12"/>
  <c r="J514" i="12"/>
  <c r="I514" i="12"/>
  <c r="I502" i="12"/>
  <c r="J490" i="12"/>
  <c r="I490" i="12"/>
  <c r="J478" i="12"/>
  <c r="I478" i="12"/>
  <c r="J466" i="12"/>
  <c r="I466" i="12"/>
  <c r="J454" i="12"/>
  <c r="I454" i="12"/>
  <c r="J442" i="12"/>
  <c r="I442" i="12"/>
  <c r="I430" i="12"/>
  <c r="J430" i="12"/>
  <c r="J418" i="12"/>
  <c r="I418" i="12"/>
  <c r="J382" i="12"/>
  <c r="I382" i="12"/>
  <c r="J358" i="12"/>
  <c r="I358" i="12"/>
  <c r="I346" i="12"/>
  <c r="J322" i="12"/>
  <c r="I322" i="12"/>
  <c r="J310" i="12"/>
  <c r="I310" i="12"/>
  <c r="J298" i="12"/>
  <c r="I298" i="12"/>
  <c r="I286" i="12"/>
  <c r="J286" i="12"/>
  <c r="J274" i="12"/>
  <c r="I274" i="12"/>
  <c r="J262" i="12"/>
  <c r="I262" i="12"/>
  <c r="J250" i="12"/>
  <c r="I250" i="12"/>
  <c r="J226" i="12"/>
  <c r="I226" i="12"/>
  <c r="I1109" i="12"/>
  <c r="I1070" i="12"/>
  <c r="I1023" i="12"/>
  <c r="I928" i="12"/>
  <c r="I881" i="12"/>
  <c r="I614" i="12"/>
  <c r="I483" i="12"/>
  <c r="I412" i="12"/>
  <c r="J1045" i="12"/>
  <c r="J934" i="12"/>
  <c r="J805" i="12"/>
  <c r="J663" i="12"/>
  <c r="J472" i="12"/>
  <c r="J845" i="12"/>
  <c r="I845" i="12"/>
  <c r="J773" i="12"/>
  <c r="I773" i="12"/>
  <c r="J605" i="12"/>
  <c r="I605" i="12"/>
  <c r="J533" i="12"/>
  <c r="I533" i="12"/>
  <c r="J461" i="12"/>
  <c r="I461" i="12"/>
  <c r="J269" i="12"/>
  <c r="I269" i="12"/>
  <c r="I1108" i="12"/>
  <c r="I1069" i="12"/>
  <c r="I927" i="12"/>
  <c r="I833" i="12"/>
  <c r="I785" i="12"/>
  <c r="I672" i="12"/>
  <c r="I613" i="12"/>
  <c r="J1121" i="12"/>
  <c r="J804" i="12"/>
  <c r="J647" i="12"/>
  <c r="J471" i="12"/>
  <c r="J965" i="12"/>
  <c r="I965" i="12"/>
  <c r="J917" i="12"/>
  <c r="I917" i="12"/>
  <c r="J761" i="12"/>
  <c r="I761" i="12"/>
  <c r="J713" i="12"/>
  <c r="I713" i="12"/>
  <c r="J641" i="12"/>
  <c r="I641" i="12"/>
  <c r="J593" i="12"/>
  <c r="I593" i="12"/>
  <c r="J545" i="12"/>
  <c r="I545" i="12"/>
  <c r="J377" i="12"/>
  <c r="I377" i="12"/>
  <c r="J341" i="12"/>
  <c r="I341" i="12"/>
  <c r="J281" i="12"/>
  <c r="I281" i="12"/>
  <c r="I1107" i="12"/>
  <c r="I1068" i="12"/>
  <c r="I1021" i="12"/>
  <c r="I973" i="12"/>
  <c r="I832" i="12"/>
  <c r="I784" i="12"/>
  <c r="I599" i="12"/>
  <c r="I541" i="12"/>
  <c r="I469" i="12"/>
  <c r="I324" i="12"/>
  <c r="J1120" i="12"/>
  <c r="J803" i="12"/>
  <c r="J457" i="12"/>
  <c r="J241" i="12"/>
  <c r="J447" i="12"/>
  <c r="I435" i="12"/>
  <c r="J435" i="12"/>
  <c r="J423" i="12"/>
  <c r="J411" i="12"/>
  <c r="I411" i="12"/>
  <c r="J399" i="12"/>
  <c r="I399" i="12"/>
  <c r="I387" i="12"/>
  <c r="I375" i="12"/>
  <c r="J363" i="12"/>
  <c r="I363" i="12"/>
  <c r="J351" i="12"/>
  <c r="J339" i="12"/>
  <c r="I327" i="12"/>
  <c r="J327" i="12"/>
  <c r="J315" i="12"/>
  <c r="I315" i="12"/>
  <c r="J303" i="12"/>
  <c r="J291" i="12"/>
  <c r="I291" i="12"/>
  <c r="J279" i="12"/>
  <c r="J267" i="12"/>
  <c r="I267" i="12"/>
  <c r="J255" i="12"/>
  <c r="I243" i="12"/>
  <c r="J243" i="12"/>
  <c r="I231" i="12"/>
  <c r="I423" i="12"/>
  <c r="J387" i="12"/>
  <c r="J338" i="12"/>
  <c r="I338" i="12"/>
  <c r="J326" i="12"/>
  <c r="J314" i="12"/>
  <c r="I314" i="12"/>
  <c r="I302" i="12"/>
  <c r="J302" i="12"/>
  <c r="J290" i="12"/>
  <c r="I290" i="12"/>
  <c r="J266" i="12"/>
  <c r="I266" i="12"/>
  <c r="J254" i="12"/>
  <c r="I242" i="12"/>
  <c r="J242" i="12"/>
  <c r="J230" i="12"/>
  <c r="I230" i="12"/>
  <c r="I326" i="12"/>
  <c r="I350" i="12"/>
  <c r="I1101" i="12"/>
  <c r="I279" i="12"/>
  <c r="J231" i="12"/>
  <c r="J1125" i="12"/>
  <c r="J1113" i="12"/>
  <c r="J1089" i="12"/>
  <c r="I1065" i="12"/>
  <c r="I1053" i="12"/>
  <c r="J1053" i="12"/>
  <c r="I1041" i="12"/>
  <c r="J1041" i="12"/>
  <c r="I1029" i="12"/>
  <c r="I1017" i="12"/>
  <c r="I1005" i="12"/>
  <c r="I993" i="12"/>
  <c r="J993" i="12"/>
  <c r="I981" i="12"/>
  <c r="I969" i="12"/>
  <c r="J957" i="12"/>
  <c r="I957" i="12"/>
  <c r="I945" i="12"/>
  <c r="J945" i="12"/>
  <c r="I933" i="12"/>
  <c r="I921" i="12"/>
  <c r="J921" i="12"/>
  <c r="I909" i="12"/>
  <c r="I897" i="12"/>
  <c r="J897" i="12"/>
  <c r="J885" i="12"/>
  <c r="I885" i="12"/>
  <c r="I873" i="12"/>
  <c r="J873" i="12"/>
  <c r="I861" i="12"/>
  <c r="I849" i="12"/>
  <c r="J849" i="12"/>
  <c r="I837" i="12"/>
  <c r="I825" i="12"/>
  <c r="J813" i="12"/>
  <c r="I813" i="12"/>
  <c r="I801" i="12"/>
  <c r="J801" i="12"/>
  <c r="I789" i="12"/>
  <c r="I777" i="12"/>
  <c r="I765" i="12"/>
  <c r="J765" i="12"/>
  <c r="I753" i="12"/>
  <c r="J741" i="12"/>
  <c r="I741" i="12"/>
  <c r="I729" i="12"/>
  <c r="J729" i="12"/>
  <c r="I717" i="12"/>
  <c r="I705" i="12"/>
  <c r="J705" i="12"/>
  <c r="I693" i="12"/>
  <c r="I681" i="12"/>
  <c r="J681" i="12"/>
  <c r="J669" i="12"/>
  <c r="I669" i="12"/>
  <c r="I657" i="12"/>
  <c r="J657" i="12"/>
  <c r="I645" i="12"/>
  <c r="I633" i="12"/>
  <c r="I621" i="12"/>
  <c r="J621" i="12"/>
  <c r="I609" i="12"/>
  <c r="J597" i="12"/>
  <c r="I597" i="12"/>
  <c r="I585" i="12"/>
  <c r="J585" i="12"/>
  <c r="I573" i="12"/>
  <c r="I561" i="12"/>
  <c r="I549" i="12"/>
  <c r="I537" i="12"/>
  <c r="J537" i="12"/>
  <c r="J525" i="12"/>
  <c r="I525" i="12"/>
  <c r="I513" i="12"/>
  <c r="J513" i="12"/>
  <c r="I501" i="12"/>
  <c r="I489" i="12"/>
  <c r="J489" i="12"/>
  <c r="I477" i="12"/>
  <c r="J477" i="12"/>
  <c r="I465" i="12"/>
  <c r="J465" i="12"/>
  <c r="J453" i="12"/>
  <c r="I453" i="12"/>
  <c r="I441" i="12"/>
  <c r="J441" i="12"/>
  <c r="I429" i="12"/>
  <c r="I417" i="12"/>
  <c r="J417" i="12"/>
  <c r="I405" i="12"/>
  <c r="I393" i="12"/>
  <c r="J381" i="12"/>
  <c r="I381" i="12"/>
  <c r="I369" i="12"/>
  <c r="J369" i="12"/>
  <c r="I357" i="12"/>
  <c r="I345" i="12"/>
  <c r="I333" i="12"/>
  <c r="J333" i="12"/>
  <c r="I321" i="12"/>
  <c r="J309" i="12"/>
  <c r="I309" i="12"/>
  <c r="I297" i="12"/>
  <c r="J297" i="12"/>
  <c r="I285" i="12"/>
  <c r="I273" i="12"/>
  <c r="J273" i="12"/>
  <c r="I261" i="12"/>
  <c r="I249" i="12"/>
  <c r="J249" i="12"/>
  <c r="J237" i="12"/>
  <c r="I237" i="12"/>
  <c r="I225" i="12"/>
  <c r="J225" i="12"/>
  <c r="I1125" i="12"/>
  <c r="I1113" i="12"/>
  <c r="I1089" i="12"/>
  <c r="I823" i="12"/>
  <c r="J861" i="12"/>
  <c r="J825" i="12"/>
  <c r="J789" i="12"/>
  <c r="J753" i="12"/>
  <c r="J561" i="12"/>
  <c r="J1124" i="12"/>
  <c r="J1112" i="12"/>
  <c r="J1100" i="12"/>
  <c r="J1088" i="12"/>
  <c r="I1088" i="12"/>
  <c r="I1076" i="12"/>
  <c r="J1076" i="12"/>
  <c r="I1064" i="12"/>
  <c r="J1064" i="12"/>
  <c r="I1052" i="12"/>
  <c r="J1052" i="12"/>
  <c r="I1040" i="12"/>
  <c r="J1040" i="12"/>
  <c r="I1028" i="12"/>
  <c r="J1028" i="12"/>
  <c r="I1016" i="12"/>
  <c r="J1016" i="12"/>
  <c r="I1004" i="12"/>
  <c r="I992" i="12"/>
  <c r="J992" i="12"/>
  <c r="I980" i="12"/>
  <c r="I968" i="12"/>
  <c r="I956" i="12"/>
  <c r="J956" i="12"/>
  <c r="I944" i="12"/>
  <c r="J944" i="12"/>
  <c r="I932" i="12"/>
  <c r="I920" i="12"/>
  <c r="J920" i="12"/>
  <c r="I908" i="12"/>
  <c r="I896" i="12"/>
  <c r="J896" i="12"/>
  <c r="I884" i="12"/>
  <c r="J884" i="12"/>
  <c r="I872" i="12"/>
  <c r="J872" i="12"/>
  <c r="I860" i="12"/>
  <c r="I848" i="12"/>
  <c r="J848" i="12"/>
  <c r="I836" i="12"/>
  <c r="I824" i="12"/>
  <c r="I812" i="12"/>
  <c r="I800" i="12"/>
  <c r="J800" i="12"/>
  <c r="I788" i="12"/>
  <c r="J788" i="12"/>
  <c r="I776" i="12"/>
  <c r="I764" i="12"/>
  <c r="J764" i="12"/>
  <c r="I752" i="12"/>
  <c r="I740" i="12"/>
  <c r="I728" i="12"/>
  <c r="J728" i="12"/>
  <c r="I716" i="12"/>
  <c r="J716" i="12"/>
  <c r="I704" i="12"/>
  <c r="J704" i="12"/>
  <c r="I692" i="12"/>
  <c r="I680" i="12"/>
  <c r="J680" i="12"/>
  <c r="I668" i="12"/>
  <c r="I656" i="12"/>
  <c r="J656" i="12"/>
  <c r="I644" i="12"/>
  <c r="J644" i="12"/>
  <c r="I632" i="12"/>
  <c r="I620" i="12"/>
  <c r="J620" i="12"/>
  <c r="I608" i="12"/>
  <c r="I596" i="12"/>
  <c r="J596" i="12"/>
  <c r="I584" i="12"/>
  <c r="J584" i="12"/>
  <c r="I572" i="12"/>
  <c r="J572" i="12"/>
  <c r="I560" i="12"/>
  <c r="I548" i="12"/>
  <c r="I536" i="12"/>
  <c r="J536" i="12"/>
  <c r="I524" i="12"/>
  <c r="I512" i="12"/>
  <c r="J512" i="12"/>
  <c r="I500" i="12"/>
  <c r="J500" i="12"/>
  <c r="I488" i="12"/>
  <c r="J488" i="12"/>
  <c r="I476" i="12"/>
  <c r="J476" i="12"/>
  <c r="I464" i="12"/>
  <c r="J464" i="12"/>
  <c r="I452" i="12"/>
  <c r="I440" i="12"/>
  <c r="J440" i="12"/>
  <c r="I428" i="12"/>
  <c r="J428" i="12"/>
  <c r="I416" i="12"/>
  <c r="I404" i="12"/>
  <c r="J404" i="12"/>
  <c r="I392" i="12"/>
  <c r="J392" i="12"/>
  <c r="I380" i="12"/>
  <c r="J380" i="12"/>
  <c r="I368" i="12"/>
  <c r="J368" i="12"/>
  <c r="I356" i="12"/>
  <c r="J356" i="12"/>
  <c r="I344" i="12"/>
  <c r="I332" i="12"/>
  <c r="J332" i="12"/>
  <c r="I320" i="12"/>
  <c r="I308" i="12"/>
  <c r="I296" i="12"/>
  <c r="J296" i="12"/>
  <c r="I284" i="12"/>
  <c r="J284" i="12"/>
  <c r="I272" i="12"/>
  <c r="J272" i="12"/>
  <c r="I260" i="12"/>
  <c r="I248" i="12"/>
  <c r="J248" i="12"/>
  <c r="I236" i="12"/>
  <c r="I224" i="12"/>
  <c r="J224" i="12"/>
  <c r="I1124" i="12"/>
  <c r="I1112" i="12"/>
  <c r="I1100" i="12"/>
  <c r="I475" i="12"/>
  <c r="J1065" i="12"/>
  <c r="J860" i="12"/>
  <c r="J824" i="12"/>
  <c r="J752" i="12"/>
  <c r="J717" i="12"/>
  <c r="J560" i="12"/>
  <c r="J1123" i="12"/>
  <c r="J1111" i="12"/>
  <c r="J1099" i="12"/>
  <c r="J1087" i="12"/>
  <c r="J1075" i="12"/>
  <c r="I1075" i="12"/>
  <c r="J1063" i="12"/>
  <c r="J1051" i="12"/>
  <c r="J1039" i="12"/>
  <c r="J1027" i="12"/>
  <c r="J1015" i="12"/>
  <c r="I1003" i="12"/>
  <c r="J991" i="12"/>
  <c r="J967" i="12"/>
  <c r="J955" i="12"/>
  <c r="J943" i="12"/>
  <c r="I931" i="12"/>
  <c r="J919" i="12"/>
  <c r="J907" i="12"/>
  <c r="J895" i="12"/>
  <c r="J871" i="12"/>
  <c r="J859" i="12"/>
  <c r="I859" i="12"/>
  <c r="J847" i="12"/>
  <c r="J811" i="12"/>
  <c r="J799" i="12"/>
  <c r="J787" i="12"/>
  <c r="I787" i="12"/>
  <c r="J763" i="12"/>
  <c r="J727" i="12"/>
  <c r="J715" i="12"/>
  <c r="I715" i="12"/>
  <c r="I703" i="12"/>
  <c r="J679" i="12"/>
  <c r="J655" i="12"/>
  <c r="J643" i="12"/>
  <c r="I643" i="12"/>
  <c r="I631" i="12"/>
  <c r="J619" i="12"/>
  <c r="J595" i="12"/>
  <c r="J583" i="12"/>
  <c r="I583" i="12"/>
  <c r="J571" i="12"/>
  <c r="J535" i="12"/>
  <c r="I523" i="12"/>
  <c r="J511" i="12"/>
  <c r="J499" i="12"/>
  <c r="J451" i="12"/>
  <c r="J439" i="12"/>
  <c r="J427" i="12"/>
  <c r="J403" i="12"/>
  <c r="J391" i="12"/>
  <c r="J379" i="12"/>
  <c r="I379" i="12"/>
  <c r="J367" i="12"/>
  <c r="J355" i="12"/>
  <c r="I343" i="12"/>
  <c r="J331" i="12"/>
  <c r="J295" i="12"/>
  <c r="J283" i="12"/>
  <c r="I271" i="12"/>
  <c r="J247" i="12"/>
  <c r="I1123" i="12"/>
  <c r="I1111" i="12"/>
  <c r="I1099" i="12"/>
  <c r="I1086" i="12"/>
  <c r="I883" i="12"/>
  <c r="I511" i="12"/>
  <c r="J1017" i="12"/>
  <c r="J981" i="12"/>
  <c r="J668" i="12"/>
  <c r="J633" i="12"/>
  <c r="J405" i="12"/>
  <c r="J1110" i="12"/>
  <c r="J1050" i="12"/>
  <c r="J1038" i="12"/>
  <c r="J1014" i="12"/>
  <c r="J1002" i="12"/>
  <c r="J990" i="12"/>
  <c r="J978" i="12"/>
  <c r="J966" i="12"/>
  <c r="J954" i="12"/>
  <c r="J942" i="12"/>
  <c r="J930" i="12"/>
  <c r="J918" i="12"/>
  <c r="J906" i="12"/>
  <c r="J894" i="12"/>
  <c r="J882" i="12"/>
  <c r="J870" i="12"/>
  <c r="J858" i="12"/>
  <c r="J846" i="12"/>
  <c r="J834" i="12"/>
  <c r="J822" i="12"/>
  <c r="J810" i="12"/>
  <c r="J798" i="12"/>
  <c r="J786" i="12"/>
  <c r="J774" i="12"/>
  <c r="J762" i="12"/>
  <c r="J750" i="12"/>
  <c r="J738" i="12"/>
  <c r="J726" i="12"/>
  <c r="J714" i="12"/>
  <c r="J702" i="12"/>
  <c r="J690" i="12"/>
  <c r="J678" i="12"/>
  <c r="J666" i="12"/>
  <c r="J654" i="12"/>
  <c r="J642" i="12"/>
  <c r="J630" i="12"/>
  <c r="J618" i="12"/>
  <c r="J606" i="12"/>
  <c r="J594" i="12"/>
  <c r="J582" i="12"/>
  <c r="J570" i="12"/>
  <c r="I570" i="12"/>
  <c r="J558" i="12"/>
  <c r="I558" i="12"/>
  <c r="J546" i="12"/>
  <c r="J534" i="12"/>
  <c r="J522" i="12"/>
  <c r="J510" i="12"/>
  <c r="J498" i="12"/>
  <c r="J486" i="12"/>
  <c r="I486" i="12"/>
  <c r="J474" i="12"/>
  <c r="I474" i="12"/>
  <c r="J462" i="12"/>
  <c r="J450" i="12"/>
  <c r="J438" i="12"/>
  <c r="J426" i="12"/>
  <c r="I426" i="12"/>
  <c r="J414" i="12"/>
  <c r="I414" i="12"/>
  <c r="J402" i="12"/>
  <c r="J390" i="12"/>
  <c r="J378" i="12"/>
  <c r="J366" i="12"/>
  <c r="J354" i="12"/>
  <c r="J342" i="12"/>
  <c r="I342" i="12"/>
  <c r="J330" i="12"/>
  <c r="J318" i="12"/>
  <c r="J306" i="12"/>
  <c r="I306" i="12"/>
  <c r="J294" i="12"/>
  <c r="J282" i="12"/>
  <c r="J270" i="12"/>
  <c r="I270" i="12"/>
  <c r="J258" i="12"/>
  <c r="I258" i="12"/>
  <c r="J246" i="12"/>
  <c r="J234" i="12"/>
  <c r="I1110" i="12"/>
  <c r="I1039" i="12"/>
  <c r="I882" i="12"/>
  <c r="I655" i="12"/>
  <c r="I510" i="12"/>
  <c r="J980" i="12"/>
  <c r="J703" i="12"/>
  <c r="J632" i="12"/>
  <c r="J549" i="12"/>
  <c r="J357" i="12"/>
  <c r="J321" i="12"/>
  <c r="N13" i="2"/>
  <c r="M13" i="2" s="1"/>
  <c r="L13" i="2" s="1"/>
  <c r="X114" i="11"/>
  <c r="N8" i="2"/>
  <c r="M8" i="2" s="1"/>
  <c r="L8" i="2" s="1"/>
  <c r="M7" i="2"/>
  <c r="S7" i="4" l="1"/>
  <c r="S8" i="4"/>
  <c r="S3" i="4"/>
  <c r="S10" i="4"/>
  <c r="S6" i="4"/>
  <c r="S9" i="4"/>
  <c r="S12" i="4"/>
  <c r="S11" i="4"/>
  <c r="S13" i="4"/>
  <c r="S5" i="4"/>
  <c r="S4" i="4"/>
  <c r="L7" i="2"/>
  <c r="G1300" i="6"/>
  <c r="J1300" i="6"/>
  <c r="G1301" i="6"/>
  <c r="J1301" i="6"/>
  <c r="G1302" i="6"/>
  <c r="J1302" i="6"/>
  <c r="G1303" i="6"/>
  <c r="J1303" i="6"/>
  <c r="G1304" i="6"/>
  <c r="J1304" i="6"/>
  <c r="G1305" i="6"/>
  <c r="J1305" i="6"/>
  <c r="G1306" i="6"/>
  <c r="G1307" i="6"/>
  <c r="J1307" i="6"/>
  <c r="G1308" i="6"/>
  <c r="J1308" i="6"/>
  <c r="G1309" i="6"/>
  <c r="J1309" i="6"/>
  <c r="G1310" i="6"/>
  <c r="J1310" i="6"/>
  <c r="G1311" i="6"/>
  <c r="J1311" i="6"/>
  <c r="G1312" i="6"/>
  <c r="J1312" i="6"/>
  <c r="G1313" i="6"/>
  <c r="J1313" i="6"/>
  <c r="G1314" i="6"/>
  <c r="J1314" i="6"/>
  <c r="G1315" i="6"/>
  <c r="J1315" i="6"/>
  <c r="G1316" i="6"/>
  <c r="J1316" i="6"/>
  <c r="G1317" i="6"/>
  <c r="J1317" i="6"/>
  <c r="G1318" i="6"/>
  <c r="J1318" i="6"/>
  <c r="G1319" i="6"/>
  <c r="J1319" i="6"/>
  <c r="G1320" i="6"/>
  <c r="G1321" i="6"/>
  <c r="J1321" i="6"/>
  <c r="G1322" i="6"/>
  <c r="J1322" i="6"/>
  <c r="G1323" i="6"/>
  <c r="J1323" i="6"/>
  <c r="G1324" i="6"/>
  <c r="J1324" i="6"/>
  <c r="G1325" i="6"/>
  <c r="J1325" i="6"/>
  <c r="G1326" i="6"/>
  <c r="J1326" i="6"/>
  <c r="G1327" i="6"/>
  <c r="J1327" i="6"/>
  <c r="G1328" i="6"/>
  <c r="J1328" i="6"/>
  <c r="G1329" i="6"/>
  <c r="G1330" i="6"/>
  <c r="J1330" i="6"/>
  <c r="G1331" i="6"/>
  <c r="J1331" i="6"/>
  <c r="G1332" i="6"/>
  <c r="J1332" i="6"/>
  <c r="G1333" i="6"/>
  <c r="G1334" i="6"/>
  <c r="J1334" i="6"/>
  <c r="G1335" i="6"/>
  <c r="J1335" i="6"/>
  <c r="G1336" i="6"/>
  <c r="J1336" i="6"/>
  <c r="G1337" i="6"/>
  <c r="J1337" i="6"/>
  <c r="G1338" i="6"/>
  <c r="J1338" i="6"/>
  <c r="G1339" i="6"/>
  <c r="J1339" i="6"/>
  <c r="G1340" i="6"/>
  <c r="J1340" i="6"/>
  <c r="G1341" i="6"/>
  <c r="J1341" i="6"/>
  <c r="G1342" i="6"/>
  <c r="G1343" i="6"/>
  <c r="J1343" i="6"/>
  <c r="G1344" i="6"/>
  <c r="J1344" i="6"/>
  <c r="G1345" i="6"/>
  <c r="J1345" i="6"/>
  <c r="G1346" i="6"/>
  <c r="J1346" i="6"/>
  <c r="G1347" i="6"/>
  <c r="J1347" i="6"/>
  <c r="G1348" i="6"/>
  <c r="J1348" i="6"/>
  <c r="G1349" i="6"/>
  <c r="J1349" i="6"/>
  <c r="G1350" i="6"/>
  <c r="J1350" i="6"/>
  <c r="G1351" i="6"/>
  <c r="J1351" i="6"/>
  <c r="G1352" i="6"/>
  <c r="J1352" i="6"/>
  <c r="G1353" i="6"/>
  <c r="J1353" i="6"/>
  <c r="G1354" i="6"/>
  <c r="J1354" i="6"/>
  <c r="G1355" i="6"/>
  <c r="J1355" i="6"/>
  <c r="G1356" i="6"/>
  <c r="G1357" i="6"/>
  <c r="J1357" i="6"/>
  <c r="G1358" i="6"/>
  <c r="J1358" i="6"/>
  <c r="G1359" i="6"/>
  <c r="J1359" i="6"/>
  <c r="G1360" i="6"/>
  <c r="J1360" i="6"/>
  <c r="G1361" i="6"/>
  <c r="J1361" i="6"/>
  <c r="G1362" i="6"/>
  <c r="J1362" i="6"/>
  <c r="G1363" i="6"/>
  <c r="J1363" i="6"/>
  <c r="G1364" i="6"/>
  <c r="J1364" i="6"/>
  <c r="G1365" i="6"/>
  <c r="G1366" i="6"/>
  <c r="J1366" i="6"/>
  <c r="G1367" i="6"/>
  <c r="J1367" i="6"/>
  <c r="G1368" i="6"/>
  <c r="J1368" i="6"/>
  <c r="G1369" i="6"/>
  <c r="G1370" i="6"/>
  <c r="J1370" i="6"/>
  <c r="G1371" i="6"/>
  <c r="J1371" i="6"/>
  <c r="G1372" i="6"/>
  <c r="J1372" i="6"/>
  <c r="G1373" i="6"/>
  <c r="J1373" i="6"/>
  <c r="G1374" i="6"/>
  <c r="J1374" i="6"/>
  <c r="G1375" i="6"/>
  <c r="J1375" i="6"/>
  <c r="G1376" i="6"/>
  <c r="J1376" i="6"/>
  <c r="G1377" i="6"/>
  <c r="J1377" i="6"/>
  <c r="G1378" i="6"/>
  <c r="G1379" i="6"/>
  <c r="J1379" i="6"/>
  <c r="G1380" i="6"/>
  <c r="J1380" i="6"/>
  <c r="G1381" i="6"/>
  <c r="J1381" i="6"/>
  <c r="G1382" i="6"/>
  <c r="J1382" i="6"/>
  <c r="G1383" i="6"/>
  <c r="J1383" i="6"/>
  <c r="G1384" i="6"/>
  <c r="J1384" i="6"/>
  <c r="G1385" i="6"/>
  <c r="J1385" i="6"/>
  <c r="G1386" i="6"/>
  <c r="J1386" i="6"/>
  <c r="G1387" i="6"/>
  <c r="J1387" i="6"/>
  <c r="G1388" i="6"/>
  <c r="J1388" i="6"/>
  <c r="G1389" i="6"/>
  <c r="J1389" i="6"/>
  <c r="G1390" i="6"/>
  <c r="J1390" i="6"/>
  <c r="G1391" i="6"/>
  <c r="J1391" i="6"/>
  <c r="G1392" i="6"/>
  <c r="G1393" i="6"/>
  <c r="J1393" i="6"/>
  <c r="G1394" i="6"/>
  <c r="J1394" i="6"/>
  <c r="G1395" i="6"/>
  <c r="J1395" i="6"/>
  <c r="G1396" i="6"/>
  <c r="J1396" i="6"/>
  <c r="G1397" i="6"/>
  <c r="J1397" i="6"/>
  <c r="G1398" i="6"/>
  <c r="J1398" i="6"/>
  <c r="G1399" i="6"/>
  <c r="J1399" i="6"/>
  <c r="G1400" i="6"/>
  <c r="J1400" i="6"/>
  <c r="G1401" i="6"/>
  <c r="G1402" i="6"/>
  <c r="J1402" i="6"/>
  <c r="G1403" i="6"/>
  <c r="J1403" i="6"/>
  <c r="G1404" i="6"/>
  <c r="J1404" i="6"/>
  <c r="G1405" i="6"/>
  <c r="G1406" i="6"/>
  <c r="J1406" i="6"/>
  <c r="G1407" i="6"/>
  <c r="J1407" i="6"/>
  <c r="G1408" i="6"/>
  <c r="J1408" i="6"/>
  <c r="G1409" i="6"/>
  <c r="J1409" i="6"/>
  <c r="G1410" i="6"/>
  <c r="J1410" i="6"/>
  <c r="G1411" i="6"/>
  <c r="J1411" i="6"/>
  <c r="G1412" i="6"/>
  <c r="J1412" i="6"/>
  <c r="G1413" i="6"/>
  <c r="J1413" i="6"/>
  <c r="G1414" i="6"/>
  <c r="G1415" i="6"/>
  <c r="J1415" i="6"/>
  <c r="G1416" i="6"/>
  <c r="J1416" i="6"/>
  <c r="G1417" i="6"/>
  <c r="J1417" i="6"/>
  <c r="G1418" i="6"/>
  <c r="J1418" i="6"/>
  <c r="G1419" i="6"/>
  <c r="J1419" i="6"/>
  <c r="G1420" i="6"/>
  <c r="J1420" i="6"/>
  <c r="G1421" i="6"/>
  <c r="J1421" i="6"/>
  <c r="G1422" i="6"/>
  <c r="J1422" i="6"/>
  <c r="G1423" i="6"/>
  <c r="J1423" i="6"/>
  <c r="G1424" i="6"/>
  <c r="J1424" i="6"/>
  <c r="G1425" i="6"/>
  <c r="J1425" i="6"/>
  <c r="G1426" i="6"/>
  <c r="J1426" i="6"/>
  <c r="G1427" i="6"/>
  <c r="J1427" i="6"/>
  <c r="G1428" i="6"/>
  <c r="G1429" i="6"/>
  <c r="J1429" i="6"/>
  <c r="G1430" i="6"/>
  <c r="J1430" i="6"/>
  <c r="G1431" i="6"/>
  <c r="J1431" i="6"/>
  <c r="G1432" i="6"/>
  <c r="J1432" i="6"/>
  <c r="G1433" i="6"/>
  <c r="J1433" i="6"/>
  <c r="G1434" i="6"/>
  <c r="J1434" i="6"/>
  <c r="G1435" i="6"/>
  <c r="J1435" i="6"/>
  <c r="G1436" i="6"/>
  <c r="J1436" i="6"/>
  <c r="G1437" i="6"/>
  <c r="G1438" i="6"/>
  <c r="J1438" i="6"/>
  <c r="G1439" i="6"/>
  <c r="J1439" i="6"/>
  <c r="G1440" i="6"/>
  <c r="J1440" i="6"/>
  <c r="G1441" i="6"/>
  <c r="G1442" i="6"/>
  <c r="J1442" i="6"/>
  <c r="G1443" i="6"/>
  <c r="J1443" i="6"/>
  <c r="G1444" i="6"/>
  <c r="J1444" i="6"/>
  <c r="G1445" i="6"/>
  <c r="J1445" i="6"/>
  <c r="G1446" i="6"/>
  <c r="J1446" i="6"/>
  <c r="G1447" i="6"/>
  <c r="J1447" i="6"/>
  <c r="G1448" i="6"/>
  <c r="J1448" i="6"/>
  <c r="G1449" i="6"/>
  <c r="J1449" i="6"/>
  <c r="G1450" i="6"/>
  <c r="G1451" i="6"/>
  <c r="J1451" i="6"/>
  <c r="G1452" i="6"/>
  <c r="J1452" i="6"/>
  <c r="G1453" i="6"/>
  <c r="J1453" i="6"/>
  <c r="G1454" i="6"/>
  <c r="J1454" i="6"/>
  <c r="G1455" i="6"/>
  <c r="J1455" i="6"/>
  <c r="G1456" i="6"/>
  <c r="J1456" i="6"/>
  <c r="G1457" i="6"/>
  <c r="J1457" i="6"/>
  <c r="G1458" i="6"/>
  <c r="J1458" i="6"/>
  <c r="G1459" i="6"/>
  <c r="J1459" i="6"/>
  <c r="G1460" i="6"/>
  <c r="J1460" i="6"/>
  <c r="G1461" i="6"/>
  <c r="J1461" i="6"/>
  <c r="G1462" i="6"/>
  <c r="J1462" i="6"/>
  <c r="G1463" i="6"/>
  <c r="J1463" i="6"/>
  <c r="G1464" i="6"/>
  <c r="G1465" i="6"/>
  <c r="J1465" i="6"/>
  <c r="G1466" i="6"/>
  <c r="J1466" i="6"/>
  <c r="G1467" i="6"/>
  <c r="J1467" i="6"/>
  <c r="G1468" i="6"/>
  <c r="J1468" i="6"/>
  <c r="G1469" i="6"/>
  <c r="J1469" i="6"/>
  <c r="G1470" i="6"/>
  <c r="J1470" i="6"/>
  <c r="G1471" i="6"/>
  <c r="J1471" i="6"/>
  <c r="G1472" i="6"/>
  <c r="J1472" i="6"/>
  <c r="G1473" i="6"/>
  <c r="G1474" i="6"/>
  <c r="J1474" i="6"/>
  <c r="G1475" i="6"/>
  <c r="J1475" i="6"/>
  <c r="G1476" i="6"/>
  <c r="J1476" i="6"/>
  <c r="G1477" i="6"/>
  <c r="G1478" i="6"/>
  <c r="J1478" i="6"/>
  <c r="G1479" i="6"/>
  <c r="J1479" i="6"/>
  <c r="G1480" i="6"/>
  <c r="J1480" i="6"/>
  <c r="G1481" i="6"/>
  <c r="J1481" i="6"/>
  <c r="G1482" i="6"/>
  <c r="J1482" i="6"/>
  <c r="G1483" i="6"/>
  <c r="G1484" i="6"/>
  <c r="G1485" i="6"/>
  <c r="G1486" i="6"/>
  <c r="J1486" i="6"/>
  <c r="G1487" i="6"/>
  <c r="J1487" i="6"/>
  <c r="G1488" i="6"/>
  <c r="J1488" i="6"/>
  <c r="G1489" i="6"/>
  <c r="J1489" i="6"/>
  <c r="G1490" i="6"/>
  <c r="J1490" i="6"/>
  <c r="G1491" i="6"/>
  <c r="J1491" i="6"/>
  <c r="G1492" i="6"/>
  <c r="J1492" i="6"/>
  <c r="G1493" i="6"/>
  <c r="J1493" i="6"/>
  <c r="G1494" i="6"/>
  <c r="G1495" i="6"/>
  <c r="J1495" i="6"/>
  <c r="G1496" i="6"/>
  <c r="J1496" i="6"/>
  <c r="G1497" i="6"/>
  <c r="J1497" i="6"/>
  <c r="G1498" i="6"/>
  <c r="J1498" i="6"/>
  <c r="G1499" i="6"/>
  <c r="J1499" i="6"/>
  <c r="G1500" i="6"/>
  <c r="J1500" i="6"/>
  <c r="G1501" i="6"/>
  <c r="J1501" i="6"/>
  <c r="G1502" i="6"/>
  <c r="J1502" i="6"/>
  <c r="G1503" i="6"/>
  <c r="J1503" i="6"/>
  <c r="G1504" i="6"/>
  <c r="J1504" i="6"/>
  <c r="G1505" i="6"/>
  <c r="J1505" i="6"/>
  <c r="G1506" i="6"/>
  <c r="J1506" i="6"/>
  <c r="G1507" i="6"/>
  <c r="G1508" i="6"/>
  <c r="J1508" i="6"/>
  <c r="G1509" i="6"/>
  <c r="G1510" i="6"/>
  <c r="J1510" i="6"/>
  <c r="G1511" i="6"/>
  <c r="J1511" i="6"/>
  <c r="G1512" i="6"/>
  <c r="J1512" i="6"/>
  <c r="G1513" i="6"/>
  <c r="J1513" i="6"/>
  <c r="G1514" i="6"/>
  <c r="J1514" i="6"/>
  <c r="G1515" i="6"/>
  <c r="J1515" i="6"/>
  <c r="G1516" i="6"/>
  <c r="J1516" i="6"/>
  <c r="G1517" i="6"/>
  <c r="J1517" i="6"/>
  <c r="G1518" i="6"/>
  <c r="J1518" i="6"/>
  <c r="G1519" i="6"/>
  <c r="J1519" i="6"/>
  <c r="G1520" i="6"/>
  <c r="G1521" i="6"/>
  <c r="J1521" i="6"/>
  <c r="G1522" i="6"/>
  <c r="J1522" i="6"/>
  <c r="G1523" i="6"/>
  <c r="J1523" i="6"/>
  <c r="G1524" i="6"/>
  <c r="J1524" i="6"/>
  <c r="G1525" i="6"/>
  <c r="J1525" i="6"/>
  <c r="G1526" i="6"/>
  <c r="J1526" i="6"/>
  <c r="G1527" i="6"/>
  <c r="J1527" i="6"/>
  <c r="G1528" i="6"/>
  <c r="J1528" i="6"/>
  <c r="G1529" i="6"/>
  <c r="J1529" i="6"/>
  <c r="G1530" i="6"/>
  <c r="G1531" i="6"/>
  <c r="J1531" i="6"/>
  <c r="G1532" i="6"/>
  <c r="J1532" i="6"/>
  <c r="G1533" i="6"/>
  <c r="J1533" i="6"/>
  <c r="G1534" i="6"/>
  <c r="J1534" i="6"/>
  <c r="G1535" i="6"/>
  <c r="J1535" i="6"/>
  <c r="G1536" i="6"/>
  <c r="J1536" i="6"/>
  <c r="G1537" i="6"/>
  <c r="J1537" i="6"/>
  <c r="G1538" i="6"/>
  <c r="J1538" i="6"/>
  <c r="G1539" i="6"/>
  <c r="J1539" i="6"/>
  <c r="G1540" i="6"/>
  <c r="J1540" i="6"/>
  <c r="G1541" i="6"/>
  <c r="J1541" i="6"/>
  <c r="G1542" i="6"/>
  <c r="J1542" i="6"/>
  <c r="G1543" i="6"/>
  <c r="G1544" i="6"/>
  <c r="J1544" i="6"/>
  <c r="G1545" i="6"/>
  <c r="J1545" i="6"/>
  <c r="G1546" i="6"/>
  <c r="J1546" i="6"/>
  <c r="G1547" i="6"/>
  <c r="J1547" i="6"/>
  <c r="G1548" i="6"/>
  <c r="G1549" i="6"/>
  <c r="J1549" i="6"/>
  <c r="G1550" i="6"/>
  <c r="J1550" i="6"/>
  <c r="G1551" i="6"/>
  <c r="J1551" i="6"/>
  <c r="G1552" i="6"/>
  <c r="J1552" i="6"/>
  <c r="G1553" i="6"/>
  <c r="J1553" i="6"/>
  <c r="G1554" i="6"/>
  <c r="J1554" i="6"/>
  <c r="G1555" i="6"/>
  <c r="J1555" i="6"/>
  <c r="G1556" i="6"/>
  <c r="G1557" i="6"/>
  <c r="J1557" i="6"/>
  <c r="G1558" i="6"/>
  <c r="J1558" i="6"/>
  <c r="G1559" i="6"/>
  <c r="G1560" i="6"/>
  <c r="J1560" i="6"/>
  <c r="G1561" i="6"/>
  <c r="J1561" i="6"/>
  <c r="G1562" i="6"/>
  <c r="G1563" i="6"/>
  <c r="J1563" i="6"/>
  <c r="G1564" i="6"/>
  <c r="J1564" i="6"/>
  <c r="G1565" i="6"/>
  <c r="G1566" i="6"/>
  <c r="J1566" i="6"/>
  <c r="G1567" i="6"/>
  <c r="J1567" i="6"/>
  <c r="G1568" i="6"/>
  <c r="G1569" i="6"/>
  <c r="J1569" i="6"/>
  <c r="G1570" i="6"/>
  <c r="J1570" i="6"/>
  <c r="G1571" i="6"/>
  <c r="G1572" i="6"/>
  <c r="J1572" i="6"/>
  <c r="G1573" i="6"/>
  <c r="J1573" i="6"/>
  <c r="G1574" i="6"/>
  <c r="G1575" i="6"/>
  <c r="J1575" i="6"/>
  <c r="G1576" i="6"/>
  <c r="J1576" i="6"/>
  <c r="G1577" i="6"/>
  <c r="G1578" i="6"/>
  <c r="J1578" i="6"/>
  <c r="G1579" i="6"/>
  <c r="J1579" i="6"/>
  <c r="G1580" i="6"/>
  <c r="G1581" i="6"/>
  <c r="J1581" i="6"/>
  <c r="G1582" i="6"/>
  <c r="J1582" i="6"/>
  <c r="G1583" i="6"/>
  <c r="G1584" i="6"/>
  <c r="J1584" i="6"/>
  <c r="G1585" i="6"/>
  <c r="J1585" i="6"/>
  <c r="G1586" i="6"/>
  <c r="G1587" i="6"/>
  <c r="J1587" i="6"/>
  <c r="G1588" i="6"/>
  <c r="J1588" i="6"/>
  <c r="G1589" i="6"/>
  <c r="G1590" i="6"/>
  <c r="J1590" i="6"/>
  <c r="G1591" i="6"/>
  <c r="J1591" i="6"/>
  <c r="G1592" i="6"/>
  <c r="G1593" i="6"/>
  <c r="J1593" i="6"/>
  <c r="G1594" i="6"/>
  <c r="J1594" i="6"/>
  <c r="G1595" i="6"/>
  <c r="G1596" i="6"/>
  <c r="J1596" i="6"/>
  <c r="G1597" i="6"/>
  <c r="J1597" i="6"/>
  <c r="G1598" i="6"/>
  <c r="G1599" i="6"/>
  <c r="J1599" i="6"/>
  <c r="G1600" i="6"/>
  <c r="J1600" i="6"/>
  <c r="G1601" i="6"/>
  <c r="G1602" i="6"/>
  <c r="J1602" i="6"/>
  <c r="G1603" i="6"/>
  <c r="J1603" i="6"/>
  <c r="G1604" i="6"/>
  <c r="G1605" i="6"/>
  <c r="J1605" i="6"/>
  <c r="G1606" i="6"/>
  <c r="J1606" i="6"/>
  <c r="G1607" i="6"/>
  <c r="G1608" i="6"/>
  <c r="J1608" i="6"/>
  <c r="G1609" i="6"/>
  <c r="J1609" i="6"/>
  <c r="G1610" i="6"/>
  <c r="G1611" i="6"/>
  <c r="J1611" i="6"/>
  <c r="G1612" i="6"/>
  <c r="J1612" i="6"/>
  <c r="G1613" i="6"/>
  <c r="G1614" i="6"/>
  <c r="J1614" i="6"/>
  <c r="G1615" i="6"/>
  <c r="J1615" i="6"/>
  <c r="G1616" i="6"/>
  <c r="G1617" i="6"/>
  <c r="J1617" i="6"/>
  <c r="G1618" i="6"/>
  <c r="J1618" i="6"/>
  <c r="G1619" i="6"/>
  <c r="G1620" i="6"/>
  <c r="J1620" i="6"/>
  <c r="G1621" i="6"/>
  <c r="J1621" i="6"/>
  <c r="G1622" i="6"/>
  <c r="G1623" i="6"/>
  <c r="J1623" i="6"/>
  <c r="G1624" i="6"/>
  <c r="J1624" i="6"/>
  <c r="G1625" i="6"/>
  <c r="G1626" i="6"/>
  <c r="J1626" i="6"/>
  <c r="G1627" i="6"/>
  <c r="J1627" i="6"/>
  <c r="G1628" i="6"/>
  <c r="G1629" i="6"/>
  <c r="J1629" i="6"/>
  <c r="G1630" i="6"/>
  <c r="J1630" i="6"/>
  <c r="G1631" i="6"/>
  <c r="G1632" i="6"/>
  <c r="J1632" i="6"/>
  <c r="G1633" i="6"/>
  <c r="J1633" i="6"/>
  <c r="G1634" i="6"/>
  <c r="G1635" i="6"/>
  <c r="J1635" i="6"/>
  <c r="G1636" i="6"/>
  <c r="J1636" i="6"/>
  <c r="G1637" i="6"/>
  <c r="G1638" i="6"/>
  <c r="J1638" i="6"/>
  <c r="G1639" i="6"/>
  <c r="J1639" i="6"/>
  <c r="G1640" i="6"/>
  <c r="G1641" i="6"/>
  <c r="J1641" i="6"/>
  <c r="G1642" i="6"/>
  <c r="J1642" i="6"/>
  <c r="G1643" i="6"/>
  <c r="G1644" i="6"/>
  <c r="J1644" i="6"/>
  <c r="G1645" i="6"/>
  <c r="J1645" i="6"/>
  <c r="G1646" i="6"/>
  <c r="G1647" i="6"/>
  <c r="J1647" i="6"/>
  <c r="G1648" i="6"/>
  <c r="J1648" i="6"/>
  <c r="G1649" i="6"/>
  <c r="G1650" i="6"/>
  <c r="J1650" i="6"/>
  <c r="G1651" i="6"/>
  <c r="J1651" i="6"/>
  <c r="G1652" i="6"/>
  <c r="G1653" i="6"/>
  <c r="J1653" i="6"/>
  <c r="G1654" i="6"/>
  <c r="J1654" i="6"/>
  <c r="G1655" i="6"/>
  <c r="G1656" i="6"/>
  <c r="J1656" i="6"/>
  <c r="G1657" i="6"/>
  <c r="J1657" i="6"/>
  <c r="G1658" i="6"/>
  <c r="G1659" i="6"/>
  <c r="J1659" i="6"/>
  <c r="G1660" i="6"/>
  <c r="J1660" i="6"/>
  <c r="G1661" i="6"/>
  <c r="G1662" i="6"/>
  <c r="J1662" i="6"/>
  <c r="G1663" i="6"/>
  <c r="J1663" i="6"/>
  <c r="G1664" i="6"/>
  <c r="G1665" i="6"/>
  <c r="J1665" i="6"/>
  <c r="G1666" i="6"/>
  <c r="J1666" i="6"/>
  <c r="G1667" i="6"/>
  <c r="G1668" i="6"/>
  <c r="J1668" i="6"/>
  <c r="G1669" i="6"/>
  <c r="J1669" i="6"/>
  <c r="G1670" i="6"/>
  <c r="G1671" i="6"/>
  <c r="J1671" i="6"/>
  <c r="G1672" i="6"/>
  <c r="J1672" i="6"/>
  <c r="G1673" i="6"/>
  <c r="G1674" i="6"/>
  <c r="J1674" i="6"/>
  <c r="G1675" i="6"/>
  <c r="J1675" i="6"/>
  <c r="G1676" i="6"/>
  <c r="G1677" i="6"/>
  <c r="J1677" i="6"/>
  <c r="G1678" i="6"/>
  <c r="J1678" i="6"/>
  <c r="G1679" i="6"/>
  <c r="G1680" i="6"/>
  <c r="J1680" i="6"/>
  <c r="G1681" i="6"/>
  <c r="J1681" i="6"/>
  <c r="G1682" i="6"/>
  <c r="G1683" i="6"/>
  <c r="J1683" i="6"/>
  <c r="G1684" i="6"/>
  <c r="J1684" i="6"/>
  <c r="G1685" i="6"/>
  <c r="G1686" i="6"/>
  <c r="J1686" i="6"/>
  <c r="G1687" i="6"/>
  <c r="J1687" i="6"/>
  <c r="G1688" i="6"/>
  <c r="G1689" i="6"/>
  <c r="J1689" i="6"/>
  <c r="G1690" i="6"/>
  <c r="J1690" i="6"/>
  <c r="G1691" i="6"/>
  <c r="G1692" i="6"/>
  <c r="J1692" i="6"/>
  <c r="G1693" i="6"/>
  <c r="J1693" i="6"/>
  <c r="G1694" i="6"/>
  <c r="G1695" i="6"/>
  <c r="J1695" i="6"/>
  <c r="G1696" i="6"/>
  <c r="J1696" i="6"/>
  <c r="G1697" i="6"/>
  <c r="G1698" i="6"/>
  <c r="J1698" i="6"/>
  <c r="G1699" i="6"/>
  <c r="J1699" i="6"/>
  <c r="G1700" i="6"/>
  <c r="G1701" i="6"/>
  <c r="J1701" i="6"/>
  <c r="G1702" i="6"/>
  <c r="J1702" i="6"/>
  <c r="G1703" i="6"/>
  <c r="G1704" i="6"/>
  <c r="J1704" i="6"/>
  <c r="G1705" i="6"/>
  <c r="J1705" i="6"/>
  <c r="G1706" i="6"/>
  <c r="G1707" i="6"/>
  <c r="J1707" i="6"/>
  <c r="G1708" i="6"/>
  <c r="J1708" i="6"/>
  <c r="G1709" i="6"/>
  <c r="G1710" i="6"/>
  <c r="J1710" i="6"/>
  <c r="G1711" i="6"/>
  <c r="J1711" i="6"/>
  <c r="G1712" i="6"/>
  <c r="G1713" i="6"/>
  <c r="J1713" i="6"/>
  <c r="G1714" i="6"/>
  <c r="J1714" i="6"/>
  <c r="G1715" i="6"/>
  <c r="G1716" i="6"/>
  <c r="J1716" i="6"/>
  <c r="G1717" i="6"/>
  <c r="J1717" i="6"/>
  <c r="G1718" i="6"/>
  <c r="G1719" i="6"/>
  <c r="J1719" i="6"/>
  <c r="G1720" i="6"/>
  <c r="J1720" i="6"/>
  <c r="G1721" i="6"/>
  <c r="G1722" i="6"/>
  <c r="J1722" i="6"/>
  <c r="G1723" i="6"/>
  <c r="J1723" i="6"/>
  <c r="G1724" i="6"/>
  <c r="G1725" i="6"/>
  <c r="J1725" i="6"/>
  <c r="G1726" i="6"/>
  <c r="J1726" i="6"/>
  <c r="G1727" i="6"/>
  <c r="G1728" i="6"/>
  <c r="J1728" i="6"/>
  <c r="G1729" i="6"/>
  <c r="J1729" i="6"/>
  <c r="G1730" i="6"/>
  <c r="G1731" i="6"/>
  <c r="J1731" i="6"/>
  <c r="G1732" i="6"/>
  <c r="J1732" i="6"/>
  <c r="G1733" i="6"/>
  <c r="G1734" i="6"/>
  <c r="J1734" i="6"/>
  <c r="G1735" i="6"/>
  <c r="J1735" i="6"/>
  <c r="G1736" i="6"/>
  <c r="G1737" i="6"/>
  <c r="J1737" i="6"/>
  <c r="G1738" i="6"/>
  <c r="J1738" i="6"/>
  <c r="G1739" i="6"/>
  <c r="G1740" i="6"/>
  <c r="J1740" i="6"/>
  <c r="G1741" i="6"/>
  <c r="J1741" i="6"/>
  <c r="G1742" i="6"/>
  <c r="G1743" i="6"/>
  <c r="J1743" i="6"/>
  <c r="G1744" i="6"/>
  <c r="J1744" i="6"/>
  <c r="G1745" i="6"/>
  <c r="G1746" i="6"/>
  <c r="J1746" i="6"/>
  <c r="G1747" i="6"/>
  <c r="J1747" i="6"/>
  <c r="G1748" i="6"/>
  <c r="G1749" i="6"/>
  <c r="J1749" i="6"/>
  <c r="G1750" i="6"/>
  <c r="J1750" i="6"/>
  <c r="G1751" i="6"/>
  <c r="G1752" i="6"/>
  <c r="J1752" i="6"/>
  <c r="G1753" i="6"/>
  <c r="J1753" i="6"/>
  <c r="G1754" i="6"/>
  <c r="G1755" i="6"/>
  <c r="J1755" i="6"/>
  <c r="G1756" i="6"/>
  <c r="J1756" i="6"/>
  <c r="G1757" i="6"/>
  <c r="G1758" i="6"/>
  <c r="J1758" i="6"/>
  <c r="G1759" i="6"/>
  <c r="J1759" i="6"/>
  <c r="G1760" i="6"/>
  <c r="G1761" i="6"/>
  <c r="J1761" i="6"/>
  <c r="G1762" i="6"/>
  <c r="J1762" i="6"/>
  <c r="G1763" i="6"/>
  <c r="G1764" i="6"/>
  <c r="J1764" i="6"/>
  <c r="G1765" i="6"/>
  <c r="J1765" i="6"/>
  <c r="G1766" i="6"/>
  <c r="G1767" i="6"/>
  <c r="J1767" i="6"/>
  <c r="G1768" i="6"/>
  <c r="J1768" i="6"/>
  <c r="G1769" i="6"/>
  <c r="G1770" i="6"/>
  <c r="J1770" i="6"/>
  <c r="G1771" i="6"/>
  <c r="J1771" i="6"/>
  <c r="G1772" i="6"/>
  <c r="G1773" i="6"/>
  <c r="J1773" i="6"/>
  <c r="G1774" i="6"/>
  <c r="J1774" i="6"/>
  <c r="G1775" i="6"/>
  <c r="G1776" i="6"/>
  <c r="J1776" i="6"/>
  <c r="G1777" i="6"/>
  <c r="J1777" i="6"/>
  <c r="G1778" i="6"/>
  <c r="G1779" i="6"/>
  <c r="J1779" i="6"/>
  <c r="G1780" i="6"/>
  <c r="J1780" i="6"/>
  <c r="G1781" i="6"/>
  <c r="J1781" i="6"/>
  <c r="G1782" i="6"/>
  <c r="J1782" i="6"/>
  <c r="G1783" i="6"/>
  <c r="J1783" i="6"/>
  <c r="G1784" i="6"/>
  <c r="J1784" i="6"/>
  <c r="G1785" i="6"/>
  <c r="J1785" i="6"/>
  <c r="G1786" i="6"/>
  <c r="J1786" i="6"/>
  <c r="G1787" i="6"/>
  <c r="J1787" i="6"/>
  <c r="G1788" i="6"/>
  <c r="J1788" i="6"/>
  <c r="G1789" i="6"/>
  <c r="J1789" i="6"/>
  <c r="G1790" i="6"/>
  <c r="J1790" i="6"/>
  <c r="G1791" i="6"/>
  <c r="J1791" i="6"/>
  <c r="G1792" i="6"/>
  <c r="J1792" i="6"/>
  <c r="G1793" i="6"/>
  <c r="J1793" i="6"/>
  <c r="G1794" i="6"/>
  <c r="J1794" i="6"/>
  <c r="G1795" i="6"/>
  <c r="J1795" i="6"/>
  <c r="G1796" i="6"/>
  <c r="J1796" i="6"/>
  <c r="G1797" i="6"/>
  <c r="J1797" i="6"/>
  <c r="G1798" i="6"/>
  <c r="J1798" i="6"/>
  <c r="G1799" i="6"/>
  <c r="J1799" i="6"/>
  <c r="G1800" i="6"/>
  <c r="J1800" i="6"/>
  <c r="G1801" i="6"/>
  <c r="J1801" i="6"/>
  <c r="G1802" i="6"/>
  <c r="J1802" i="6"/>
  <c r="G1803" i="6"/>
  <c r="J1803" i="6"/>
  <c r="G1804" i="6"/>
  <c r="J1804" i="6"/>
  <c r="G1805" i="6"/>
  <c r="J1805" i="6"/>
  <c r="G1806" i="6"/>
  <c r="J1806" i="6"/>
  <c r="G1807" i="6"/>
  <c r="J1807" i="6"/>
  <c r="G1808" i="6"/>
  <c r="J1808" i="6"/>
  <c r="G1809" i="6"/>
  <c r="J1809" i="6"/>
  <c r="G1810" i="6"/>
  <c r="J1810" i="6"/>
  <c r="G1811" i="6"/>
  <c r="J1811" i="6"/>
  <c r="G1812" i="6"/>
  <c r="J1812" i="6"/>
  <c r="G1813" i="6"/>
  <c r="J1813" i="6"/>
  <c r="G1814" i="6"/>
  <c r="J1814" i="6"/>
  <c r="G1815" i="6"/>
  <c r="J1815" i="6"/>
  <c r="G1816" i="6"/>
  <c r="J1816" i="6"/>
  <c r="G1817" i="6"/>
  <c r="J1817" i="6"/>
  <c r="G1818" i="6"/>
  <c r="J1818" i="6"/>
  <c r="G1819" i="6"/>
  <c r="J1819" i="6"/>
  <c r="G1820" i="6"/>
  <c r="J1820" i="6"/>
  <c r="G1821" i="6"/>
  <c r="J1821" i="6"/>
  <c r="G1822" i="6"/>
  <c r="J1822" i="6"/>
  <c r="G1823" i="6"/>
  <c r="J1823" i="6"/>
  <c r="G1824" i="6"/>
  <c r="J1824" i="6"/>
  <c r="G1825" i="6"/>
  <c r="J1825" i="6"/>
  <c r="G1826" i="6"/>
  <c r="J1826" i="6"/>
  <c r="G1827" i="6"/>
  <c r="J1827" i="6"/>
  <c r="G1828" i="6"/>
  <c r="J1828" i="6"/>
  <c r="G1829" i="6"/>
  <c r="J1829" i="6"/>
  <c r="G1830" i="6"/>
  <c r="J1830" i="6"/>
  <c r="G1831" i="6"/>
  <c r="J1831" i="6"/>
  <c r="G1832" i="6"/>
  <c r="J1832" i="6"/>
  <c r="G1833" i="6"/>
  <c r="J1833" i="6"/>
  <c r="G1834" i="6"/>
  <c r="J1834" i="6"/>
  <c r="G1835" i="6"/>
  <c r="J1835" i="6"/>
  <c r="G1836" i="6"/>
  <c r="J1836" i="6"/>
  <c r="G1837" i="6"/>
  <c r="J1837" i="6"/>
  <c r="G1838" i="6"/>
  <c r="J1838" i="6"/>
  <c r="G1839" i="6"/>
  <c r="J1839" i="6"/>
  <c r="G1840" i="6"/>
  <c r="J1840" i="6"/>
  <c r="G1841" i="6"/>
  <c r="J1841" i="6"/>
  <c r="G1842" i="6"/>
  <c r="J1842" i="6"/>
  <c r="G1843" i="6"/>
  <c r="J1843" i="6"/>
  <c r="G1844" i="6"/>
  <c r="J1844" i="6"/>
  <c r="G1845" i="6"/>
  <c r="J1845" i="6"/>
  <c r="G1846" i="6"/>
  <c r="J1846" i="6"/>
  <c r="G1847" i="6"/>
  <c r="J1847" i="6"/>
  <c r="G1848" i="6"/>
  <c r="J1848" i="6"/>
  <c r="G1849" i="6"/>
  <c r="J1849" i="6"/>
  <c r="G1850" i="6"/>
  <c r="J1850" i="6"/>
  <c r="G1851" i="6"/>
  <c r="J1851" i="6"/>
  <c r="G1852" i="6"/>
  <c r="J1852" i="6"/>
  <c r="G1853" i="6"/>
  <c r="J1853" i="6"/>
  <c r="G1854" i="6"/>
  <c r="J1854" i="6"/>
  <c r="G1855" i="6"/>
  <c r="J1855" i="6"/>
  <c r="G1856" i="6"/>
  <c r="J1856" i="6"/>
  <c r="G1857" i="6"/>
  <c r="J1857" i="6"/>
  <c r="G1858" i="6"/>
  <c r="J1858" i="6"/>
  <c r="G1859" i="6"/>
  <c r="J1859" i="6"/>
  <c r="G1860" i="6"/>
  <c r="J1860" i="6"/>
  <c r="G1861" i="6"/>
  <c r="J1861" i="6"/>
  <c r="G1862" i="6"/>
  <c r="J1862" i="6"/>
  <c r="G1863" i="6"/>
  <c r="J1863" i="6"/>
  <c r="G1864" i="6"/>
  <c r="J1864" i="6"/>
  <c r="G1865" i="6"/>
  <c r="J1865" i="6"/>
  <c r="G1866" i="6"/>
  <c r="J1866" i="6"/>
  <c r="G1867" i="6"/>
  <c r="J1867" i="6"/>
  <c r="G1868" i="6"/>
  <c r="J1868" i="6"/>
  <c r="G1869" i="6"/>
  <c r="J1869" i="6"/>
  <c r="G1870" i="6"/>
  <c r="J1870" i="6"/>
  <c r="G1871" i="6"/>
  <c r="J1871" i="6"/>
  <c r="G1872" i="6"/>
  <c r="J1872" i="6"/>
  <c r="G1873" i="6"/>
  <c r="J1873" i="6"/>
  <c r="G1874" i="6"/>
  <c r="J1874" i="6"/>
  <c r="G1875" i="6"/>
  <c r="J1875" i="6"/>
  <c r="G1876" i="6"/>
  <c r="J1876" i="6"/>
  <c r="G1877" i="6"/>
  <c r="J1877" i="6"/>
  <c r="G1878" i="6"/>
  <c r="J1878" i="6"/>
  <c r="G1879" i="6"/>
  <c r="J1879" i="6"/>
  <c r="G1880" i="6"/>
  <c r="J1880" i="6"/>
  <c r="G1881" i="6"/>
  <c r="J1881" i="6"/>
  <c r="G1882" i="6"/>
  <c r="J1882" i="6"/>
  <c r="G1883" i="6"/>
  <c r="J1883" i="6"/>
  <c r="G1884" i="6"/>
  <c r="J1884" i="6"/>
  <c r="G1885" i="6"/>
  <c r="J1885" i="6"/>
  <c r="G1886" i="6"/>
  <c r="J1886" i="6"/>
  <c r="G1887" i="6"/>
  <c r="J1887" i="6"/>
  <c r="G1888" i="6"/>
  <c r="J1888" i="6"/>
  <c r="G1889" i="6"/>
  <c r="J1889" i="6"/>
  <c r="G1890" i="6"/>
  <c r="J1890" i="6"/>
  <c r="G1891" i="6"/>
  <c r="J1891" i="6"/>
  <c r="G1892" i="6"/>
  <c r="J1892" i="6"/>
  <c r="G1893" i="6"/>
  <c r="J1893" i="6"/>
  <c r="G1894" i="6"/>
  <c r="J1894" i="6"/>
  <c r="G1895" i="6"/>
  <c r="J1895" i="6"/>
  <c r="G1896" i="6"/>
  <c r="J1896" i="6"/>
  <c r="G1897" i="6"/>
  <c r="J1897" i="6"/>
  <c r="G1898" i="6"/>
  <c r="J1898" i="6"/>
  <c r="G1899" i="6"/>
  <c r="J1899" i="6"/>
  <c r="G1900" i="6"/>
  <c r="J1900" i="6"/>
  <c r="G1901" i="6"/>
  <c r="J1901" i="6"/>
  <c r="G1902" i="6"/>
  <c r="J1902" i="6"/>
  <c r="G1903" i="6"/>
  <c r="J1903" i="6"/>
  <c r="G1904" i="6"/>
  <c r="J1904" i="6"/>
  <c r="G1905" i="6"/>
  <c r="J1905" i="6"/>
  <c r="G1906" i="6"/>
  <c r="J1906" i="6"/>
  <c r="G1907" i="6"/>
  <c r="J1907" i="6"/>
  <c r="G1908" i="6"/>
  <c r="J1908" i="6"/>
  <c r="G1909" i="6"/>
  <c r="J1909" i="6"/>
  <c r="G1910" i="6"/>
  <c r="J1910" i="6"/>
  <c r="G1911" i="6"/>
  <c r="J1911" i="6"/>
  <c r="G1912" i="6"/>
  <c r="J1912" i="6"/>
  <c r="G1913" i="6"/>
  <c r="J1913" i="6"/>
  <c r="G1914" i="6"/>
  <c r="J1914" i="6"/>
  <c r="G1915" i="6"/>
  <c r="J1915" i="6"/>
  <c r="G1916" i="6"/>
  <c r="J1916" i="6"/>
  <c r="G1917" i="6"/>
  <c r="J1917" i="6"/>
  <c r="G1918" i="6"/>
  <c r="J1918" i="6"/>
  <c r="G1919" i="6"/>
  <c r="J1919" i="6"/>
  <c r="G1920" i="6"/>
  <c r="J1920" i="6"/>
  <c r="G1921" i="6"/>
  <c r="J1921" i="6"/>
  <c r="G1922" i="6"/>
  <c r="J1922" i="6"/>
  <c r="G1923" i="6"/>
  <c r="J1923" i="6"/>
  <c r="G1924" i="6"/>
  <c r="J1924" i="6"/>
  <c r="G1925" i="6"/>
  <c r="J1925" i="6"/>
  <c r="G1926" i="6"/>
  <c r="J1926" i="6"/>
  <c r="G1927" i="6"/>
  <c r="J1927" i="6"/>
  <c r="G1928" i="6"/>
  <c r="J1928" i="6"/>
  <c r="G1929" i="6"/>
  <c r="J1929" i="6"/>
  <c r="G1930" i="6"/>
  <c r="J1930" i="6"/>
  <c r="G1931" i="6"/>
  <c r="J1931" i="6"/>
  <c r="G1932" i="6"/>
  <c r="J1932" i="6"/>
  <c r="G1933" i="6"/>
  <c r="J1933" i="6"/>
  <c r="G1934" i="6"/>
  <c r="J1934" i="6"/>
  <c r="G1935" i="6"/>
  <c r="J1935" i="6"/>
  <c r="G1936" i="6"/>
  <c r="J1936" i="6"/>
  <c r="G1937" i="6"/>
  <c r="J1937" i="6"/>
  <c r="G1938" i="6"/>
  <c r="J1938" i="6"/>
  <c r="G1939" i="6"/>
  <c r="J1939" i="6"/>
  <c r="G1940" i="6"/>
  <c r="J1940" i="6"/>
  <c r="G1941" i="6"/>
  <c r="J1941" i="6"/>
  <c r="G1942" i="6"/>
  <c r="J1942" i="6"/>
  <c r="G1943" i="6"/>
  <c r="J1943" i="6"/>
  <c r="G1944" i="6"/>
  <c r="J1944" i="6"/>
  <c r="G1945" i="6"/>
  <c r="J1945" i="6"/>
  <c r="G1946" i="6"/>
  <c r="J1946" i="6"/>
  <c r="G1947" i="6"/>
  <c r="J1947" i="6"/>
  <c r="G1948" i="6"/>
  <c r="J1948" i="6"/>
  <c r="G1949" i="6"/>
  <c r="J1949" i="6"/>
  <c r="G1950" i="6"/>
  <c r="J1950" i="6"/>
  <c r="G1951" i="6"/>
  <c r="J1951" i="6"/>
  <c r="G1952" i="6"/>
  <c r="J1952" i="6"/>
  <c r="G1953" i="6"/>
  <c r="J1953" i="6"/>
  <c r="G1954" i="6"/>
  <c r="J1954" i="6"/>
  <c r="G1955" i="6"/>
  <c r="J1955" i="6"/>
  <c r="G1956" i="6"/>
  <c r="J1956" i="6"/>
  <c r="G1957" i="6"/>
  <c r="J1957" i="6"/>
  <c r="G1958" i="6"/>
  <c r="J1958" i="6"/>
  <c r="G1959" i="6"/>
  <c r="J1959" i="6"/>
  <c r="G1960" i="6"/>
  <c r="J1960" i="6"/>
  <c r="G1961" i="6"/>
  <c r="J1961" i="6"/>
  <c r="G1962" i="6"/>
  <c r="J1962" i="6"/>
  <c r="G1963" i="6"/>
  <c r="J1963" i="6"/>
  <c r="G1964" i="6"/>
  <c r="J1964" i="6"/>
  <c r="G1965" i="6"/>
  <c r="J1965" i="6"/>
  <c r="G1966" i="6"/>
  <c r="J1966" i="6"/>
  <c r="G1967" i="6"/>
  <c r="J1967" i="6"/>
  <c r="G1968" i="6"/>
  <c r="J1968" i="6"/>
  <c r="G1969" i="6"/>
  <c r="J1969" i="6"/>
  <c r="G1970" i="6"/>
  <c r="J1970" i="6"/>
  <c r="G1971" i="6"/>
  <c r="J1971" i="6"/>
  <c r="G1972" i="6"/>
  <c r="J1972" i="6"/>
  <c r="G1973" i="6"/>
  <c r="J1973" i="6"/>
  <c r="G1974" i="6"/>
  <c r="J1974" i="6"/>
  <c r="G1975" i="6"/>
  <c r="J1975" i="6"/>
  <c r="G1976" i="6"/>
  <c r="J1976" i="6"/>
  <c r="G1977" i="6"/>
  <c r="J1977" i="6"/>
  <c r="G1978" i="6"/>
  <c r="J1978" i="6"/>
  <c r="G1979" i="6"/>
  <c r="J1979" i="6"/>
  <c r="G1980" i="6"/>
  <c r="J1980" i="6"/>
  <c r="G1981" i="6"/>
  <c r="J1981" i="6"/>
  <c r="G1982" i="6"/>
  <c r="J1982" i="6"/>
  <c r="G1983" i="6"/>
  <c r="J1983" i="6"/>
  <c r="G1984" i="6"/>
  <c r="J1984" i="6"/>
  <c r="G1985" i="6"/>
  <c r="J1985" i="6"/>
  <c r="G1986" i="6"/>
  <c r="J1986" i="6"/>
  <c r="G1987" i="6"/>
  <c r="J1987" i="6"/>
  <c r="G1988" i="6"/>
  <c r="J1988" i="6"/>
  <c r="G1989" i="6"/>
  <c r="J1989" i="6"/>
  <c r="G1990" i="6"/>
  <c r="J1990" i="6"/>
  <c r="G1991" i="6"/>
  <c r="J1991" i="6"/>
  <c r="G1992" i="6"/>
  <c r="J1992" i="6"/>
  <c r="G1993" i="6"/>
  <c r="J1993" i="6"/>
  <c r="G1994" i="6"/>
  <c r="J1994" i="6"/>
  <c r="G1995" i="6"/>
  <c r="J1995" i="6"/>
  <c r="G1996" i="6"/>
  <c r="J1996" i="6"/>
  <c r="G1997" i="6"/>
  <c r="J1997" i="6"/>
  <c r="G1998" i="6"/>
  <c r="J1998" i="6"/>
  <c r="G1999" i="6"/>
  <c r="J1999" i="6"/>
  <c r="G2000" i="6"/>
  <c r="J2000" i="6"/>
  <c r="G2001" i="6"/>
  <c r="J2001" i="6"/>
  <c r="G2002" i="6"/>
  <c r="J2002" i="6"/>
  <c r="G2003" i="6"/>
  <c r="J2003" i="6"/>
  <c r="G2004" i="6"/>
  <c r="J2004" i="6"/>
  <c r="G2005" i="6"/>
  <c r="J2005" i="6"/>
  <c r="G2006" i="6"/>
  <c r="J2006" i="6"/>
  <c r="G2007" i="6"/>
  <c r="J2007" i="6"/>
  <c r="G2008" i="6"/>
  <c r="J2008" i="6"/>
  <c r="G2009" i="6"/>
  <c r="J2009" i="6"/>
  <c r="G2010" i="6"/>
  <c r="J2010" i="6"/>
  <c r="G2011" i="6"/>
  <c r="J2011" i="6"/>
  <c r="G2012" i="6"/>
  <c r="J2012" i="6"/>
  <c r="G2013" i="6"/>
  <c r="J2013" i="6"/>
  <c r="G2014" i="6"/>
  <c r="J2014" i="6"/>
  <c r="G2015" i="6"/>
  <c r="J2015" i="6"/>
  <c r="G2016" i="6"/>
  <c r="J2016" i="6"/>
  <c r="G2017" i="6"/>
  <c r="J2017" i="6"/>
  <c r="G2018" i="6"/>
  <c r="J2018" i="6"/>
  <c r="G2019" i="6"/>
  <c r="J2019" i="6"/>
  <c r="G2020" i="6"/>
  <c r="J2020" i="6"/>
  <c r="G2021" i="6"/>
  <c r="J2021" i="6"/>
  <c r="G2022" i="6"/>
  <c r="J2022" i="6"/>
  <c r="G2023" i="6"/>
  <c r="J2023" i="6"/>
  <c r="G2024" i="6"/>
  <c r="J2024" i="6"/>
  <c r="G2025" i="6"/>
  <c r="J2025" i="6"/>
  <c r="G2026" i="6"/>
  <c r="J2026" i="6"/>
  <c r="G2027" i="6"/>
  <c r="J2027" i="6"/>
  <c r="G2028" i="6"/>
  <c r="J2028" i="6"/>
  <c r="G2029" i="6"/>
  <c r="J2029" i="6"/>
  <c r="G2030" i="6"/>
  <c r="J2030" i="6"/>
  <c r="G2031" i="6"/>
  <c r="J2031" i="6"/>
  <c r="G2032" i="6"/>
  <c r="J2032" i="6"/>
  <c r="G2033" i="6"/>
  <c r="J2033" i="6"/>
  <c r="G2034" i="6"/>
  <c r="J2034" i="6"/>
  <c r="G2035" i="6"/>
  <c r="J2035" i="6"/>
  <c r="G2036" i="6"/>
  <c r="J2036" i="6"/>
  <c r="G2037" i="6"/>
  <c r="J2037" i="6"/>
  <c r="G2038" i="6"/>
  <c r="J2038" i="6"/>
  <c r="G2039" i="6"/>
  <c r="J2039" i="6"/>
  <c r="G2040" i="6"/>
  <c r="J2040" i="6"/>
  <c r="G2041" i="6"/>
  <c r="J2041" i="6"/>
  <c r="G2042" i="6"/>
  <c r="J2042" i="6"/>
  <c r="G2043" i="6"/>
  <c r="J2043" i="6"/>
  <c r="G2044" i="6"/>
  <c r="J2044" i="6"/>
  <c r="G2045" i="6"/>
  <c r="J2045" i="6"/>
  <c r="G2046" i="6"/>
  <c r="J2046" i="6"/>
  <c r="G2047" i="6"/>
  <c r="J2047" i="6"/>
  <c r="G2048" i="6"/>
  <c r="J2048" i="6"/>
  <c r="G2049" i="6"/>
  <c r="J2049" i="6"/>
  <c r="G2050" i="6"/>
  <c r="J2050" i="6"/>
  <c r="G2051" i="6"/>
  <c r="J2051" i="6"/>
  <c r="G2052" i="6"/>
  <c r="J2052" i="6"/>
  <c r="G2053" i="6"/>
  <c r="J2053" i="6"/>
  <c r="G2054" i="6"/>
  <c r="J2054" i="6"/>
  <c r="G2055" i="6"/>
  <c r="J2055" i="6"/>
  <c r="G2056" i="6"/>
  <c r="J2056" i="6"/>
  <c r="G2057" i="6"/>
  <c r="J2057" i="6"/>
  <c r="G2058" i="6"/>
  <c r="J2058" i="6"/>
  <c r="G2059" i="6"/>
  <c r="J2059" i="6"/>
  <c r="G2060" i="6"/>
  <c r="J2060" i="6"/>
  <c r="G2061" i="6"/>
  <c r="J2061" i="6"/>
  <c r="G2062" i="6"/>
  <c r="J2062" i="6"/>
  <c r="G2063" i="6"/>
  <c r="J2063" i="6"/>
  <c r="G2064" i="6"/>
  <c r="J2064" i="6"/>
  <c r="G2065" i="6"/>
  <c r="J2065" i="6"/>
  <c r="G2066" i="6"/>
  <c r="J2066" i="6"/>
  <c r="G2067" i="6"/>
  <c r="J2067" i="6"/>
  <c r="G2068" i="6"/>
  <c r="J2068" i="6"/>
  <c r="G2069" i="6"/>
  <c r="J2069" i="6"/>
  <c r="G2070" i="6"/>
  <c r="J2070" i="6"/>
  <c r="G2071" i="6"/>
  <c r="J2071" i="6"/>
  <c r="G2072" i="6"/>
  <c r="J2072" i="6"/>
  <c r="G2073" i="6"/>
  <c r="J2073" i="6"/>
  <c r="G2074" i="6"/>
  <c r="J2074" i="6"/>
  <c r="G2075" i="6"/>
  <c r="J2075" i="6"/>
  <c r="G2076" i="6"/>
  <c r="J2076" i="6"/>
  <c r="G2077" i="6"/>
  <c r="J2077" i="6"/>
  <c r="G2078" i="6"/>
  <c r="J2078" i="6"/>
  <c r="G2079" i="6"/>
  <c r="J2079" i="6"/>
  <c r="G2080" i="6"/>
  <c r="J2080" i="6"/>
  <c r="B1085" i="12"/>
  <c r="B1086" i="12"/>
  <c r="B1087" i="12"/>
  <c r="B1088" i="12"/>
  <c r="B1089" i="12"/>
  <c r="B1090" i="12"/>
  <c r="B1091" i="12"/>
  <c r="B1092" i="12"/>
  <c r="B1093" i="12"/>
  <c r="B1094" i="12"/>
  <c r="B1095" i="12"/>
  <c r="B1096" i="12"/>
  <c r="B1097" i="12"/>
  <c r="B1098" i="12"/>
  <c r="B1099" i="12"/>
  <c r="B1100" i="12"/>
  <c r="B1101" i="12"/>
  <c r="B1102" i="12"/>
  <c r="B1103" i="12"/>
  <c r="B1104" i="12"/>
  <c r="B1105" i="12"/>
  <c r="B1106" i="12"/>
  <c r="B1107" i="12"/>
  <c r="B1108" i="12"/>
  <c r="B1109" i="12"/>
  <c r="B1110" i="12"/>
  <c r="B1111" i="12"/>
  <c r="B1112" i="12"/>
  <c r="B1113" i="12"/>
  <c r="B1114" i="12"/>
  <c r="B1115" i="12"/>
  <c r="B1116" i="12"/>
  <c r="B1117" i="12"/>
  <c r="B1118" i="12"/>
  <c r="B1119" i="12"/>
  <c r="B1120" i="12"/>
  <c r="B1121" i="12"/>
  <c r="B1122" i="12"/>
  <c r="B1123" i="12"/>
  <c r="B1124" i="12"/>
  <c r="B1125" i="12"/>
  <c r="B1126" i="12"/>
  <c r="B1127" i="12"/>
  <c r="B1128" i="12"/>
  <c r="B1129" i="12"/>
  <c r="B1130" i="12"/>
  <c r="B1131" i="12"/>
  <c r="I10" i="14"/>
  <c r="J10" i="14"/>
  <c r="K10" i="14"/>
  <c r="L10" i="14"/>
  <c r="M10" i="14"/>
  <c r="N10" i="14"/>
  <c r="O10" i="14"/>
  <c r="P10" i="14"/>
  <c r="Q10" i="14"/>
  <c r="R10" i="14"/>
  <c r="S10" i="14"/>
  <c r="T10" i="14"/>
  <c r="I11" i="14"/>
  <c r="J11" i="14"/>
  <c r="K11" i="14"/>
  <c r="L11" i="14"/>
  <c r="M11" i="14"/>
  <c r="N11" i="14"/>
  <c r="O11" i="14"/>
  <c r="P11" i="14"/>
  <c r="Q11" i="14"/>
  <c r="R11" i="14"/>
  <c r="S11" i="14"/>
  <c r="T11" i="14"/>
  <c r="I12" i="14"/>
  <c r="J12" i="14"/>
  <c r="K12" i="14"/>
  <c r="L12" i="14"/>
  <c r="M12" i="14"/>
  <c r="N12" i="14"/>
  <c r="O12" i="14"/>
  <c r="P12" i="14"/>
  <c r="Q12" i="14"/>
  <c r="R12" i="14"/>
  <c r="S12" i="14"/>
  <c r="T12" i="14"/>
  <c r="I13" i="14"/>
  <c r="J13" i="14"/>
  <c r="K13" i="14"/>
  <c r="L13" i="14"/>
  <c r="M13" i="14"/>
  <c r="N13" i="14"/>
  <c r="O13" i="14"/>
  <c r="P13" i="14"/>
  <c r="Q13" i="14"/>
  <c r="R13" i="14"/>
  <c r="S13" i="14"/>
  <c r="T13" i="14"/>
  <c r="I14" i="14"/>
  <c r="J14" i="14"/>
  <c r="K14" i="14"/>
  <c r="L14" i="14"/>
  <c r="M14" i="14"/>
  <c r="N14" i="14"/>
  <c r="O14" i="14"/>
  <c r="P14" i="14"/>
  <c r="Q14" i="14"/>
  <c r="R14" i="14"/>
  <c r="S14" i="14"/>
  <c r="T14" i="14"/>
  <c r="I15" i="14"/>
  <c r="J15" i="14"/>
  <c r="K15" i="14"/>
  <c r="L15" i="14"/>
  <c r="M15" i="14"/>
  <c r="N15" i="14"/>
  <c r="O15" i="14"/>
  <c r="P15" i="14"/>
  <c r="Q15" i="14"/>
  <c r="R15" i="14"/>
  <c r="S15" i="14"/>
  <c r="T15" i="14"/>
  <c r="I16" i="14"/>
  <c r="J16" i="14"/>
  <c r="K16" i="14"/>
  <c r="L16" i="14"/>
  <c r="M16" i="14"/>
  <c r="N16" i="14"/>
  <c r="O16" i="14"/>
  <c r="P16" i="14"/>
  <c r="Q16" i="14"/>
  <c r="R16" i="14"/>
  <c r="S16" i="14"/>
  <c r="T16" i="14"/>
  <c r="I17" i="14"/>
  <c r="J17" i="14"/>
  <c r="K17" i="14"/>
  <c r="L17" i="14"/>
  <c r="M17" i="14"/>
  <c r="N17" i="14"/>
  <c r="O17" i="14"/>
  <c r="P17" i="14"/>
  <c r="Q17" i="14"/>
  <c r="R17" i="14"/>
  <c r="S17" i="14"/>
  <c r="T17" i="14"/>
  <c r="I18" i="14"/>
  <c r="J18" i="14"/>
  <c r="K18" i="14"/>
  <c r="L18" i="14"/>
  <c r="M18" i="14"/>
  <c r="N18" i="14"/>
  <c r="O18" i="14"/>
  <c r="P18" i="14"/>
  <c r="Q18" i="14"/>
  <c r="R18" i="14"/>
  <c r="S18" i="14"/>
  <c r="T18" i="14"/>
  <c r="I19" i="14"/>
  <c r="J19" i="14"/>
  <c r="K19" i="14"/>
  <c r="L19" i="14"/>
  <c r="M19" i="14"/>
  <c r="N19" i="14"/>
  <c r="O19" i="14"/>
  <c r="P19" i="14"/>
  <c r="Q19" i="14"/>
  <c r="R19" i="14"/>
  <c r="S19" i="14"/>
  <c r="T19" i="14"/>
  <c r="I20" i="14"/>
  <c r="J20" i="14"/>
  <c r="K20" i="14"/>
  <c r="L20" i="14"/>
  <c r="M20" i="14"/>
  <c r="N20" i="14"/>
  <c r="O20" i="14"/>
  <c r="P20" i="14"/>
  <c r="Q20" i="14"/>
  <c r="R20" i="14"/>
  <c r="S20" i="14"/>
  <c r="T20" i="14"/>
  <c r="AY2" i="1" a="1"/>
  <c r="G1282" i="6"/>
  <c r="G1283" i="6"/>
  <c r="G1284" i="6"/>
  <c r="J1284" i="6"/>
  <c r="G1285" i="6"/>
  <c r="G1286" i="6"/>
  <c r="G1287" i="6"/>
  <c r="J1287" i="6"/>
  <c r="G1288" i="6"/>
  <c r="G1289" i="6"/>
  <c r="G1290" i="6"/>
  <c r="J1290" i="6"/>
  <c r="G1291" i="6"/>
  <c r="G1292" i="6"/>
  <c r="G1293" i="6"/>
  <c r="J1293" i="6"/>
  <c r="G1294" i="6"/>
  <c r="G1295" i="6"/>
  <c r="G1296" i="6"/>
  <c r="J1296" i="6"/>
  <c r="G1297" i="6"/>
  <c r="G1298" i="6"/>
  <c r="G1299" i="6"/>
  <c r="J1299" i="6"/>
  <c r="B4" i="4"/>
  <c r="A3" i="12" a="1"/>
  <c r="B5" i="4"/>
  <c r="B6" i="4"/>
  <c r="B7" i="4"/>
  <c r="B8" i="4"/>
  <c r="B9" i="4"/>
  <c r="B10" i="4"/>
  <c r="B11" i="4"/>
  <c r="B12" i="4"/>
  <c r="B13" i="4"/>
  <c r="B3" i="4"/>
  <c r="I5" i="14"/>
  <c r="J5" i="14"/>
  <c r="I6" i="14"/>
  <c r="J6" i="14"/>
  <c r="K6" i="14"/>
  <c r="L6" i="14"/>
  <c r="M6" i="14"/>
  <c r="N6" i="14"/>
  <c r="O6" i="14"/>
  <c r="P6" i="14"/>
  <c r="Q6" i="14"/>
  <c r="R6" i="14"/>
  <c r="S6" i="14"/>
  <c r="T6" i="14"/>
  <c r="I7" i="14"/>
  <c r="J7" i="14"/>
  <c r="K7" i="14"/>
  <c r="L7" i="14"/>
  <c r="M7" i="14"/>
  <c r="N7" i="14"/>
  <c r="O7" i="14"/>
  <c r="P7" i="14"/>
  <c r="Q7" i="14"/>
  <c r="R7" i="14"/>
  <c r="S7" i="14"/>
  <c r="T7" i="14"/>
  <c r="I9" i="14"/>
  <c r="J9" i="14"/>
  <c r="K9" i="14"/>
  <c r="L9" i="14"/>
  <c r="M9" i="14"/>
  <c r="N9" i="14"/>
  <c r="O9" i="14"/>
  <c r="P9" i="14"/>
  <c r="Q9" i="14"/>
  <c r="R9" i="14"/>
  <c r="S9" i="14"/>
  <c r="T9" i="14"/>
  <c r="S5" i="14"/>
  <c r="T5" i="14"/>
  <c r="R5" i="14"/>
  <c r="P5" i="14"/>
  <c r="Q5" i="14"/>
  <c r="O5" i="14"/>
  <c r="M5" i="14"/>
  <c r="N5" i="14"/>
  <c r="K5" i="14"/>
  <c r="L5" i="14"/>
  <c r="T23" i="14" l="1"/>
  <c r="P23" i="14"/>
  <c r="I23" i="14"/>
  <c r="R23" i="14"/>
  <c r="S23" i="14"/>
  <c r="L23" i="14"/>
  <c r="K23" i="14"/>
  <c r="Q23" i="14"/>
  <c r="Q22" i="14"/>
  <c r="J23" i="14"/>
  <c r="N23" i="14"/>
  <c r="M23" i="14"/>
  <c r="O23" i="14"/>
  <c r="AZ12" i="1"/>
  <c r="AZ24" i="1"/>
  <c r="AZ36" i="1"/>
  <c r="AZ48" i="1"/>
  <c r="AZ42" i="1"/>
  <c r="AZ43" i="1"/>
  <c r="AZ44" i="1"/>
  <c r="AZ33" i="1"/>
  <c r="AZ34" i="1"/>
  <c r="AZ13" i="1"/>
  <c r="AZ25" i="1"/>
  <c r="AZ37" i="1"/>
  <c r="AZ49" i="1"/>
  <c r="AZ17" i="1"/>
  <c r="AZ6" i="1"/>
  <c r="AZ20" i="1"/>
  <c r="AZ45" i="1"/>
  <c r="AZ14" i="1"/>
  <c r="AZ26" i="1"/>
  <c r="AZ38" i="1"/>
  <c r="AZ50" i="1"/>
  <c r="AZ29" i="1"/>
  <c r="AZ19" i="1"/>
  <c r="AZ3" i="1"/>
  <c r="AZ15" i="1"/>
  <c r="AZ27" i="1"/>
  <c r="AZ39" i="1"/>
  <c r="AZ51" i="1"/>
  <c r="AZ18" i="1"/>
  <c r="AZ7" i="1"/>
  <c r="AZ8" i="1"/>
  <c r="AZ9" i="1"/>
  <c r="AZ10" i="1"/>
  <c r="AZ4" i="1"/>
  <c r="AZ16" i="1"/>
  <c r="AZ28" i="1"/>
  <c r="AZ40" i="1"/>
  <c r="AZ41" i="1"/>
  <c r="AZ30" i="1"/>
  <c r="AZ31" i="1"/>
  <c r="AZ32" i="1"/>
  <c r="AZ21" i="1"/>
  <c r="AZ22" i="1"/>
  <c r="AZ46" i="1"/>
  <c r="AZ11" i="1"/>
  <c r="AZ23" i="1"/>
  <c r="AZ35" i="1"/>
  <c r="AZ47" i="1"/>
  <c r="AZ5" i="1"/>
  <c r="A3" i="12"/>
  <c r="F8" i="12"/>
  <c r="F20" i="12"/>
  <c r="F32" i="12"/>
  <c r="F44" i="12"/>
  <c r="F56" i="12"/>
  <c r="F68" i="12"/>
  <c r="F80" i="12"/>
  <c r="F92" i="12"/>
  <c r="F104" i="12"/>
  <c r="F116" i="12"/>
  <c r="F128" i="12"/>
  <c r="F140" i="12"/>
  <c r="F152" i="12"/>
  <c r="F164" i="12"/>
  <c r="F176" i="12"/>
  <c r="F188" i="12"/>
  <c r="F200" i="12"/>
  <c r="F212" i="12"/>
  <c r="D9" i="12"/>
  <c r="J9" i="12" s="1"/>
  <c r="D21" i="12"/>
  <c r="J21" i="12" s="1"/>
  <c r="D33" i="12"/>
  <c r="J33" i="12" s="1"/>
  <c r="D45" i="12"/>
  <c r="J45" i="12" s="1"/>
  <c r="D57" i="12"/>
  <c r="J57" i="12" s="1"/>
  <c r="D69" i="12"/>
  <c r="J69" i="12" s="1"/>
  <c r="D81" i="12"/>
  <c r="J81" i="12" s="1"/>
  <c r="D93" i="12"/>
  <c r="J93" i="12" s="1"/>
  <c r="D105" i="12"/>
  <c r="J105" i="12" s="1"/>
  <c r="D117" i="12"/>
  <c r="J117" i="12" s="1"/>
  <c r="D129" i="12"/>
  <c r="J129" i="12" s="1"/>
  <c r="D141" i="12"/>
  <c r="J141" i="12" s="1"/>
  <c r="D153" i="12"/>
  <c r="J153" i="12" s="1"/>
  <c r="D165" i="12"/>
  <c r="J165" i="12" s="1"/>
  <c r="D177" i="12"/>
  <c r="J177" i="12" s="1"/>
  <c r="D189" i="12"/>
  <c r="J189" i="12" s="1"/>
  <c r="D201" i="12"/>
  <c r="J201" i="12" s="1"/>
  <c r="D213" i="12"/>
  <c r="J213" i="12" s="1"/>
  <c r="C10" i="12"/>
  <c r="I10" i="12" s="1"/>
  <c r="C22" i="12"/>
  <c r="I22" i="12" s="1"/>
  <c r="C34" i="12"/>
  <c r="I34" i="12" s="1"/>
  <c r="C46" i="12"/>
  <c r="I46" i="12" s="1"/>
  <c r="C58" i="12"/>
  <c r="I58" i="12" s="1"/>
  <c r="C70" i="12"/>
  <c r="I70" i="12" s="1"/>
  <c r="C82" i="12"/>
  <c r="I82" i="12" s="1"/>
  <c r="C94" i="12"/>
  <c r="I94" i="12" s="1"/>
  <c r="C106" i="12"/>
  <c r="I106" i="12" s="1"/>
  <c r="C118" i="12"/>
  <c r="I118" i="12" s="1"/>
  <c r="C130" i="12"/>
  <c r="I130" i="12" s="1"/>
  <c r="C142" i="12"/>
  <c r="I142" i="12" s="1"/>
  <c r="C154" i="12"/>
  <c r="I154" i="12" s="1"/>
  <c r="C166" i="12"/>
  <c r="I166" i="12" s="1"/>
  <c r="C178" i="12"/>
  <c r="I178" i="12" s="1"/>
  <c r="C190" i="12"/>
  <c r="I190" i="12" s="1"/>
  <c r="C202" i="12"/>
  <c r="I202" i="12" s="1"/>
  <c r="C214" i="12"/>
  <c r="I214" i="12" s="1"/>
  <c r="G47" i="12"/>
  <c r="G59" i="12"/>
  <c r="G71" i="12"/>
  <c r="G83" i="12"/>
  <c r="G95" i="12"/>
  <c r="G107" i="12"/>
  <c r="G119" i="12"/>
  <c r="G131" i="12"/>
  <c r="G143" i="12"/>
  <c r="G155" i="12"/>
  <c r="G167" i="12"/>
  <c r="G179" i="12"/>
  <c r="G191" i="12"/>
  <c r="G203" i="12"/>
  <c r="G215" i="12"/>
  <c r="F9" i="12"/>
  <c r="F21" i="12"/>
  <c r="F33" i="12"/>
  <c r="F45" i="12"/>
  <c r="F57" i="12"/>
  <c r="F69" i="12"/>
  <c r="F81" i="12"/>
  <c r="F93" i="12"/>
  <c r="F105" i="12"/>
  <c r="F117" i="12"/>
  <c r="F129" i="12"/>
  <c r="F141" i="12"/>
  <c r="F153" i="12"/>
  <c r="F165" i="12"/>
  <c r="F177" i="12"/>
  <c r="F189" i="12"/>
  <c r="F201" i="12"/>
  <c r="F213" i="12"/>
  <c r="D10" i="12"/>
  <c r="J10" i="12" s="1"/>
  <c r="D22" i="12"/>
  <c r="J22" i="12" s="1"/>
  <c r="D34" i="12"/>
  <c r="J34" i="12" s="1"/>
  <c r="D46" i="12"/>
  <c r="J46" i="12" s="1"/>
  <c r="D58" i="12"/>
  <c r="J58" i="12" s="1"/>
  <c r="D70" i="12"/>
  <c r="J70" i="12" s="1"/>
  <c r="D82" i="12"/>
  <c r="J82" i="12" s="1"/>
  <c r="D94" i="12"/>
  <c r="J94" i="12" s="1"/>
  <c r="D106" i="12"/>
  <c r="J106" i="12" s="1"/>
  <c r="D118" i="12"/>
  <c r="J118" i="12" s="1"/>
  <c r="D130" i="12"/>
  <c r="J130" i="12" s="1"/>
  <c r="D142" i="12"/>
  <c r="J142" i="12" s="1"/>
  <c r="D154" i="12"/>
  <c r="J154" i="12" s="1"/>
  <c r="D166" i="12"/>
  <c r="J166" i="12" s="1"/>
  <c r="D178" i="12"/>
  <c r="J178" i="12" s="1"/>
  <c r="D190" i="12"/>
  <c r="J190" i="12" s="1"/>
  <c r="D202" i="12"/>
  <c r="J202" i="12" s="1"/>
  <c r="D214" i="12"/>
  <c r="J214" i="12" s="1"/>
  <c r="C11" i="12"/>
  <c r="I11" i="12" s="1"/>
  <c r="C23" i="12"/>
  <c r="I23" i="12" s="1"/>
  <c r="C35" i="12"/>
  <c r="I35" i="12" s="1"/>
  <c r="C47" i="12"/>
  <c r="I47" i="12" s="1"/>
  <c r="C59" i="12"/>
  <c r="I59" i="12" s="1"/>
  <c r="C71" i="12"/>
  <c r="I71" i="12" s="1"/>
  <c r="C83" i="12"/>
  <c r="I83" i="12" s="1"/>
  <c r="C95" i="12"/>
  <c r="I95" i="12" s="1"/>
  <c r="C107" i="12"/>
  <c r="I107" i="12" s="1"/>
  <c r="C119" i="12"/>
  <c r="I119" i="12" s="1"/>
  <c r="C131" i="12"/>
  <c r="I131" i="12" s="1"/>
  <c r="C143" i="12"/>
  <c r="I143" i="12" s="1"/>
  <c r="C155" i="12"/>
  <c r="I155" i="12" s="1"/>
  <c r="C167" i="12"/>
  <c r="I167" i="12" s="1"/>
  <c r="C179" i="12"/>
  <c r="I179" i="12" s="1"/>
  <c r="C191" i="12"/>
  <c r="I191" i="12" s="1"/>
  <c r="C203" i="12"/>
  <c r="I203" i="12" s="1"/>
  <c r="C215" i="12"/>
  <c r="I215" i="12" s="1"/>
  <c r="G48" i="12"/>
  <c r="G60" i="12"/>
  <c r="G72" i="12"/>
  <c r="G84" i="12"/>
  <c r="G96" i="12"/>
  <c r="G108" i="12"/>
  <c r="G120" i="12"/>
  <c r="G132" i="12"/>
  <c r="G144" i="12"/>
  <c r="G156" i="12"/>
  <c r="G168" i="12"/>
  <c r="G180" i="12"/>
  <c r="G192" i="12"/>
  <c r="G204" i="12"/>
  <c r="G216" i="12"/>
  <c r="F10" i="12"/>
  <c r="F22" i="12"/>
  <c r="F34" i="12"/>
  <c r="F46" i="12"/>
  <c r="F58" i="12"/>
  <c r="F70" i="12"/>
  <c r="F82" i="12"/>
  <c r="F94" i="12"/>
  <c r="F106" i="12"/>
  <c r="F118" i="12"/>
  <c r="F130" i="12"/>
  <c r="F142" i="12"/>
  <c r="F154" i="12"/>
  <c r="F166" i="12"/>
  <c r="F178" i="12"/>
  <c r="F190" i="12"/>
  <c r="F202" i="12"/>
  <c r="F214" i="12"/>
  <c r="D11" i="12"/>
  <c r="J11" i="12" s="1"/>
  <c r="D23" i="12"/>
  <c r="J23" i="12" s="1"/>
  <c r="D35" i="12"/>
  <c r="J35" i="12" s="1"/>
  <c r="D47" i="12"/>
  <c r="J47" i="12" s="1"/>
  <c r="D59" i="12"/>
  <c r="J59" i="12" s="1"/>
  <c r="D71" i="12"/>
  <c r="J71" i="12" s="1"/>
  <c r="D83" i="12"/>
  <c r="J83" i="12" s="1"/>
  <c r="D95" i="12"/>
  <c r="J95" i="12" s="1"/>
  <c r="D107" i="12"/>
  <c r="J107" i="12" s="1"/>
  <c r="D119" i="12"/>
  <c r="J119" i="12" s="1"/>
  <c r="D131" i="12"/>
  <c r="J131" i="12" s="1"/>
  <c r="D143" i="12"/>
  <c r="J143" i="12" s="1"/>
  <c r="D155" i="12"/>
  <c r="J155" i="12" s="1"/>
  <c r="D167" i="12"/>
  <c r="J167" i="12" s="1"/>
  <c r="D179" i="12"/>
  <c r="J179" i="12" s="1"/>
  <c r="D191" i="12"/>
  <c r="J191" i="12" s="1"/>
  <c r="D203" i="12"/>
  <c r="J203" i="12" s="1"/>
  <c r="D215" i="12"/>
  <c r="J215" i="12" s="1"/>
  <c r="C12" i="12"/>
  <c r="I12" i="12" s="1"/>
  <c r="C24" i="12"/>
  <c r="I24" i="12" s="1"/>
  <c r="C36" i="12"/>
  <c r="I36" i="12" s="1"/>
  <c r="C48" i="12"/>
  <c r="I48" i="12" s="1"/>
  <c r="C60" i="12"/>
  <c r="I60" i="12" s="1"/>
  <c r="C72" i="12"/>
  <c r="I72" i="12" s="1"/>
  <c r="C84" i="12"/>
  <c r="I84" i="12" s="1"/>
  <c r="C96" i="12"/>
  <c r="I96" i="12" s="1"/>
  <c r="C108" i="12"/>
  <c r="I108" i="12" s="1"/>
  <c r="C120" i="12"/>
  <c r="I120" i="12" s="1"/>
  <c r="C132" i="12"/>
  <c r="I132" i="12" s="1"/>
  <c r="C144" i="12"/>
  <c r="I144" i="12" s="1"/>
  <c r="C156" i="12"/>
  <c r="I156" i="12" s="1"/>
  <c r="C168" i="12"/>
  <c r="I168" i="12" s="1"/>
  <c r="C180" i="12"/>
  <c r="I180" i="12" s="1"/>
  <c r="C192" i="12"/>
  <c r="I192" i="12" s="1"/>
  <c r="C204" i="12"/>
  <c r="I204" i="12" s="1"/>
  <c r="C216" i="12"/>
  <c r="I216" i="12" s="1"/>
  <c r="G49" i="12"/>
  <c r="G61" i="12"/>
  <c r="G73" i="12"/>
  <c r="G85" i="12"/>
  <c r="G97" i="12"/>
  <c r="G109" i="12"/>
  <c r="G121" i="12"/>
  <c r="G133" i="12"/>
  <c r="G145" i="12"/>
  <c r="G157" i="12"/>
  <c r="G169" i="12"/>
  <c r="G181" i="12"/>
  <c r="G193" i="12"/>
  <c r="G205" i="12"/>
  <c r="G217" i="12"/>
  <c r="F11" i="12"/>
  <c r="F23" i="12"/>
  <c r="F35" i="12"/>
  <c r="F47" i="12"/>
  <c r="F59" i="12"/>
  <c r="F71" i="12"/>
  <c r="F83" i="12"/>
  <c r="F95" i="12"/>
  <c r="F107" i="12"/>
  <c r="F119" i="12"/>
  <c r="F131" i="12"/>
  <c r="F143" i="12"/>
  <c r="F155" i="12"/>
  <c r="F167" i="12"/>
  <c r="F179" i="12"/>
  <c r="F191" i="12"/>
  <c r="F203" i="12"/>
  <c r="F215" i="12"/>
  <c r="D12" i="12"/>
  <c r="J12" i="12" s="1"/>
  <c r="D24" i="12"/>
  <c r="J24" i="12" s="1"/>
  <c r="D36" i="12"/>
  <c r="J36" i="12" s="1"/>
  <c r="D48" i="12"/>
  <c r="J48" i="12" s="1"/>
  <c r="D60" i="12"/>
  <c r="J60" i="12" s="1"/>
  <c r="D72" i="12"/>
  <c r="J72" i="12" s="1"/>
  <c r="D84" i="12"/>
  <c r="J84" i="12" s="1"/>
  <c r="D96" i="12"/>
  <c r="J96" i="12" s="1"/>
  <c r="D108" i="12"/>
  <c r="J108" i="12" s="1"/>
  <c r="D120" i="12"/>
  <c r="J120" i="12" s="1"/>
  <c r="D132" i="12"/>
  <c r="J132" i="12" s="1"/>
  <c r="D144" i="12"/>
  <c r="J144" i="12" s="1"/>
  <c r="D156" i="12"/>
  <c r="J156" i="12" s="1"/>
  <c r="D168" i="12"/>
  <c r="J168" i="12" s="1"/>
  <c r="D180" i="12"/>
  <c r="J180" i="12" s="1"/>
  <c r="D192" i="12"/>
  <c r="J192" i="12" s="1"/>
  <c r="D204" i="12"/>
  <c r="J204" i="12" s="1"/>
  <c r="D216" i="12"/>
  <c r="J216" i="12" s="1"/>
  <c r="C13" i="12"/>
  <c r="I13" i="12" s="1"/>
  <c r="C25" i="12"/>
  <c r="I25" i="12" s="1"/>
  <c r="C37" i="12"/>
  <c r="I37" i="12" s="1"/>
  <c r="C49" i="12"/>
  <c r="I49" i="12" s="1"/>
  <c r="C61" i="12"/>
  <c r="I61" i="12" s="1"/>
  <c r="C73" i="12"/>
  <c r="I73" i="12" s="1"/>
  <c r="C85" i="12"/>
  <c r="I85" i="12" s="1"/>
  <c r="C97" i="12"/>
  <c r="I97" i="12" s="1"/>
  <c r="C109" i="12"/>
  <c r="I109" i="12" s="1"/>
  <c r="C121" i="12"/>
  <c r="I121" i="12" s="1"/>
  <c r="C133" i="12"/>
  <c r="I133" i="12" s="1"/>
  <c r="C145" i="12"/>
  <c r="I145" i="12" s="1"/>
  <c r="C157" i="12"/>
  <c r="I157" i="12" s="1"/>
  <c r="C169" i="12"/>
  <c r="I169" i="12" s="1"/>
  <c r="C181" i="12"/>
  <c r="I181" i="12" s="1"/>
  <c r="C193" i="12"/>
  <c r="I193" i="12" s="1"/>
  <c r="C205" i="12"/>
  <c r="I205" i="12" s="1"/>
  <c r="C217" i="12"/>
  <c r="I217" i="12" s="1"/>
  <c r="G50" i="12"/>
  <c r="G62" i="12"/>
  <c r="G74" i="12"/>
  <c r="G86" i="12"/>
  <c r="G98" i="12"/>
  <c r="G110" i="12"/>
  <c r="G122" i="12"/>
  <c r="G134" i="12"/>
  <c r="G146" i="12"/>
  <c r="G158" i="12"/>
  <c r="G170" i="12"/>
  <c r="G182" i="12"/>
  <c r="G194" i="12"/>
  <c r="G206" i="12"/>
  <c r="G218" i="12"/>
  <c r="F12" i="12"/>
  <c r="F24" i="12"/>
  <c r="F36" i="12"/>
  <c r="F48" i="12"/>
  <c r="F60" i="12"/>
  <c r="F72" i="12"/>
  <c r="F84" i="12"/>
  <c r="F96" i="12"/>
  <c r="F108" i="12"/>
  <c r="F120" i="12"/>
  <c r="F132" i="12"/>
  <c r="F144" i="12"/>
  <c r="F156" i="12"/>
  <c r="F168" i="12"/>
  <c r="F180" i="12"/>
  <c r="F192" i="12"/>
  <c r="F204" i="12"/>
  <c r="F216" i="12"/>
  <c r="D13" i="12"/>
  <c r="J13" i="12" s="1"/>
  <c r="D25" i="12"/>
  <c r="J25" i="12" s="1"/>
  <c r="D37" i="12"/>
  <c r="J37" i="12" s="1"/>
  <c r="D49" i="12"/>
  <c r="J49" i="12" s="1"/>
  <c r="D61" i="12"/>
  <c r="J61" i="12" s="1"/>
  <c r="D73" i="12"/>
  <c r="J73" i="12" s="1"/>
  <c r="D85" i="12"/>
  <c r="J85" i="12" s="1"/>
  <c r="D97" i="12"/>
  <c r="J97" i="12" s="1"/>
  <c r="D109" i="12"/>
  <c r="J109" i="12" s="1"/>
  <c r="D121" i="12"/>
  <c r="J121" i="12" s="1"/>
  <c r="D133" i="12"/>
  <c r="J133" i="12" s="1"/>
  <c r="D145" i="12"/>
  <c r="J145" i="12" s="1"/>
  <c r="D157" i="12"/>
  <c r="J157" i="12" s="1"/>
  <c r="D169" i="12"/>
  <c r="J169" i="12" s="1"/>
  <c r="D181" i="12"/>
  <c r="J181" i="12" s="1"/>
  <c r="D193" i="12"/>
  <c r="J193" i="12" s="1"/>
  <c r="D205" i="12"/>
  <c r="J205" i="12" s="1"/>
  <c r="D217" i="12"/>
  <c r="J217" i="12" s="1"/>
  <c r="C14" i="12"/>
  <c r="I14" i="12" s="1"/>
  <c r="C26" i="12"/>
  <c r="I26" i="12" s="1"/>
  <c r="C38" i="12"/>
  <c r="I38" i="12" s="1"/>
  <c r="C50" i="12"/>
  <c r="I50" i="12" s="1"/>
  <c r="C62" i="12"/>
  <c r="I62" i="12" s="1"/>
  <c r="C74" i="12"/>
  <c r="I74" i="12" s="1"/>
  <c r="C86" i="12"/>
  <c r="I86" i="12" s="1"/>
  <c r="C98" i="12"/>
  <c r="I98" i="12" s="1"/>
  <c r="C110" i="12"/>
  <c r="I110" i="12" s="1"/>
  <c r="C122" i="12"/>
  <c r="I122" i="12" s="1"/>
  <c r="C134" i="12"/>
  <c r="I134" i="12" s="1"/>
  <c r="C146" i="12"/>
  <c r="I146" i="12" s="1"/>
  <c r="C158" i="12"/>
  <c r="I158" i="12" s="1"/>
  <c r="C170" i="12"/>
  <c r="I170" i="12" s="1"/>
  <c r="C182" i="12"/>
  <c r="I182" i="12" s="1"/>
  <c r="C194" i="12"/>
  <c r="I194" i="12" s="1"/>
  <c r="C206" i="12"/>
  <c r="I206" i="12" s="1"/>
  <c r="C218" i="12"/>
  <c r="I218" i="12" s="1"/>
  <c r="G51" i="12"/>
  <c r="G63" i="12"/>
  <c r="G75" i="12"/>
  <c r="G87" i="12"/>
  <c r="G99" i="12"/>
  <c r="G111" i="12"/>
  <c r="G123" i="12"/>
  <c r="G135" i="12"/>
  <c r="G147" i="12"/>
  <c r="G159" i="12"/>
  <c r="G171" i="12"/>
  <c r="G183" i="12"/>
  <c r="G195" i="12"/>
  <c r="G207" i="12"/>
  <c r="G219" i="12"/>
  <c r="G16" i="12"/>
  <c r="G28" i="12"/>
  <c r="G40" i="12"/>
  <c r="F13" i="12"/>
  <c r="F25" i="12"/>
  <c r="F37" i="12"/>
  <c r="F49" i="12"/>
  <c r="F61" i="12"/>
  <c r="F73" i="12"/>
  <c r="F85" i="12"/>
  <c r="F97" i="12"/>
  <c r="F109" i="12"/>
  <c r="F14" i="12"/>
  <c r="F38" i="12"/>
  <c r="F62" i="12"/>
  <c r="F86" i="12"/>
  <c r="F110" i="12"/>
  <c r="F127" i="12"/>
  <c r="F149" i="12"/>
  <c r="F171" i="12"/>
  <c r="F193" i="12"/>
  <c r="F210" i="12"/>
  <c r="D17" i="12"/>
  <c r="J17" i="12" s="1"/>
  <c r="D39" i="12"/>
  <c r="J39" i="12" s="1"/>
  <c r="D56" i="12"/>
  <c r="J56" i="12" s="1"/>
  <c r="D78" i="12"/>
  <c r="J78" i="12" s="1"/>
  <c r="D100" i="12"/>
  <c r="J100" i="12" s="1"/>
  <c r="D122" i="12"/>
  <c r="J122" i="12" s="1"/>
  <c r="D139" i="12"/>
  <c r="J139" i="12" s="1"/>
  <c r="D161" i="12"/>
  <c r="J161" i="12" s="1"/>
  <c r="D183" i="12"/>
  <c r="J183" i="12" s="1"/>
  <c r="D200" i="12"/>
  <c r="J200" i="12" s="1"/>
  <c r="D222" i="12"/>
  <c r="J222" i="12" s="1"/>
  <c r="C7" i="12"/>
  <c r="I7" i="12" s="1"/>
  <c r="C29" i="12"/>
  <c r="I29" i="12" s="1"/>
  <c r="C51" i="12"/>
  <c r="I51" i="12" s="1"/>
  <c r="C68" i="12"/>
  <c r="I68" i="12" s="1"/>
  <c r="C90" i="12"/>
  <c r="I90" i="12" s="1"/>
  <c r="C112" i="12"/>
  <c r="I112" i="12" s="1"/>
  <c r="C129" i="12"/>
  <c r="I129" i="12" s="1"/>
  <c r="C151" i="12"/>
  <c r="I151" i="12" s="1"/>
  <c r="C173" i="12"/>
  <c r="I173" i="12" s="1"/>
  <c r="C195" i="12"/>
  <c r="I195" i="12" s="1"/>
  <c r="C212" i="12"/>
  <c r="I212" i="12" s="1"/>
  <c r="G55" i="12"/>
  <c r="G77" i="12"/>
  <c r="G94" i="12"/>
  <c r="G116" i="12"/>
  <c r="G138" i="12"/>
  <c r="G160" i="12"/>
  <c r="G177" i="12"/>
  <c r="G199" i="12"/>
  <c r="G221" i="12"/>
  <c r="G6" i="12"/>
  <c r="G19" i="12"/>
  <c r="G32" i="12"/>
  <c r="G12" i="12"/>
  <c r="F99" i="12"/>
  <c r="D90" i="12"/>
  <c r="J90" i="12" s="1"/>
  <c r="D151" i="12"/>
  <c r="J151" i="12" s="1"/>
  <c r="C63" i="12"/>
  <c r="I63" i="12" s="1"/>
  <c r="C185" i="12"/>
  <c r="I185" i="12" s="1"/>
  <c r="G67" i="12"/>
  <c r="G172" i="12"/>
  <c r="F52" i="12"/>
  <c r="F162" i="12"/>
  <c r="D74" i="12"/>
  <c r="J74" i="12" s="1"/>
  <c r="D174" i="12"/>
  <c r="J174" i="12" s="1"/>
  <c r="C64" i="12"/>
  <c r="I64" i="12" s="1"/>
  <c r="C147" i="12"/>
  <c r="I147" i="12" s="1"/>
  <c r="C208" i="12"/>
  <c r="I208" i="12" s="1"/>
  <c r="G129" i="12"/>
  <c r="G27" i="12"/>
  <c r="F53" i="12"/>
  <c r="D75" i="12"/>
  <c r="J75" i="12" s="1"/>
  <c r="C87" i="12"/>
  <c r="I87" i="12" s="1"/>
  <c r="C209" i="12"/>
  <c r="I209" i="12" s="1"/>
  <c r="G130" i="12"/>
  <c r="F54" i="12"/>
  <c r="F15" i="12"/>
  <c r="F39" i="12"/>
  <c r="F63" i="12"/>
  <c r="F87" i="12"/>
  <c r="F111" i="12"/>
  <c r="F133" i="12"/>
  <c r="F150" i="12"/>
  <c r="F172" i="12"/>
  <c r="F194" i="12"/>
  <c r="F211" i="12"/>
  <c r="D18" i="12"/>
  <c r="J18" i="12" s="1"/>
  <c r="D40" i="12"/>
  <c r="J40" i="12" s="1"/>
  <c r="D62" i="12"/>
  <c r="J62" i="12" s="1"/>
  <c r="D79" i="12"/>
  <c r="J79" i="12" s="1"/>
  <c r="D101" i="12"/>
  <c r="J101" i="12" s="1"/>
  <c r="D123" i="12"/>
  <c r="J123" i="12" s="1"/>
  <c r="D140" i="12"/>
  <c r="J140" i="12" s="1"/>
  <c r="D162" i="12"/>
  <c r="J162" i="12" s="1"/>
  <c r="D184" i="12"/>
  <c r="J184" i="12" s="1"/>
  <c r="D206" i="12"/>
  <c r="J206" i="12" s="1"/>
  <c r="D223" i="12"/>
  <c r="J223" i="12" s="1"/>
  <c r="C8" i="12"/>
  <c r="I8" i="12" s="1"/>
  <c r="C30" i="12"/>
  <c r="I30" i="12" s="1"/>
  <c r="C52" i="12"/>
  <c r="I52" i="12" s="1"/>
  <c r="C69" i="12"/>
  <c r="I69" i="12" s="1"/>
  <c r="C91" i="12"/>
  <c r="I91" i="12" s="1"/>
  <c r="C113" i="12"/>
  <c r="I113" i="12" s="1"/>
  <c r="C135" i="12"/>
  <c r="I135" i="12" s="1"/>
  <c r="C152" i="12"/>
  <c r="I152" i="12" s="1"/>
  <c r="C174" i="12"/>
  <c r="I174" i="12" s="1"/>
  <c r="C196" i="12"/>
  <c r="I196" i="12" s="1"/>
  <c r="C213" i="12"/>
  <c r="I213" i="12" s="1"/>
  <c r="G56" i="12"/>
  <c r="G78" i="12"/>
  <c r="G100" i="12"/>
  <c r="G117" i="12"/>
  <c r="G139" i="12"/>
  <c r="G161" i="12"/>
  <c r="G178" i="12"/>
  <c r="G200" i="12"/>
  <c r="G222" i="12"/>
  <c r="G7" i="12"/>
  <c r="G20" i="12"/>
  <c r="G33" i="12"/>
  <c r="G34" i="12"/>
  <c r="G38" i="12"/>
  <c r="F205" i="12"/>
  <c r="C124" i="12"/>
  <c r="I124" i="12" s="1"/>
  <c r="G106" i="12"/>
  <c r="G189" i="12"/>
  <c r="G26" i="12"/>
  <c r="F28" i="12"/>
  <c r="F145" i="12"/>
  <c r="D52" i="12"/>
  <c r="J52" i="12" s="1"/>
  <c r="D152" i="12"/>
  <c r="J152" i="12" s="1"/>
  <c r="C42" i="12"/>
  <c r="I42" i="12" s="1"/>
  <c r="C125" i="12"/>
  <c r="I125" i="12" s="1"/>
  <c r="C186" i="12"/>
  <c r="I186" i="12" s="1"/>
  <c r="G46" i="12"/>
  <c r="G173" i="12"/>
  <c r="F29" i="12"/>
  <c r="F163" i="12"/>
  <c r="D31" i="12"/>
  <c r="J31" i="12" s="1"/>
  <c r="D158" i="12"/>
  <c r="J158" i="12" s="1"/>
  <c r="C65" i="12"/>
  <c r="I65" i="12" s="1"/>
  <c r="C187" i="12"/>
  <c r="I187" i="12" s="1"/>
  <c r="G69" i="12"/>
  <c r="G174" i="12"/>
  <c r="G15" i="12"/>
  <c r="F16" i="12"/>
  <c r="F40" i="12"/>
  <c r="F64" i="12"/>
  <c r="F88" i="12"/>
  <c r="F112" i="12"/>
  <c r="F134" i="12"/>
  <c r="F151" i="12"/>
  <c r="F173" i="12"/>
  <c r="F195" i="12"/>
  <c r="F217" i="12"/>
  <c r="D19" i="12"/>
  <c r="J19" i="12" s="1"/>
  <c r="D41" i="12"/>
  <c r="J41" i="12" s="1"/>
  <c r="D63" i="12"/>
  <c r="J63" i="12" s="1"/>
  <c r="D80" i="12"/>
  <c r="J80" i="12" s="1"/>
  <c r="D102" i="12"/>
  <c r="J102" i="12" s="1"/>
  <c r="D124" i="12"/>
  <c r="J124" i="12" s="1"/>
  <c r="D146" i="12"/>
  <c r="J146" i="12" s="1"/>
  <c r="D163" i="12"/>
  <c r="J163" i="12" s="1"/>
  <c r="D185" i="12"/>
  <c r="J185" i="12" s="1"/>
  <c r="D207" i="12"/>
  <c r="J207" i="12" s="1"/>
  <c r="C9" i="12"/>
  <c r="I9" i="12" s="1"/>
  <c r="C31" i="12"/>
  <c r="I31" i="12" s="1"/>
  <c r="C53" i="12"/>
  <c r="I53" i="12" s="1"/>
  <c r="C75" i="12"/>
  <c r="I75" i="12" s="1"/>
  <c r="C92" i="12"/>
  <c r="I92" i="12" s="1"/>
  <c r="C114" i="12"/>
  <c r="I114" i="12" s="1"/>
  <c r="C136" i="12"/>
  <c r="I136" i="12" s="1"/>
  <c r="C153" i="12"/>
  <c r="I153" i="12" s="1"/>
  <c r="C175" i="12"/>
  <c r="I175" i="12" s="1"/>
  <c r="C197" i="12"/>
  <c r="I197" i="12" s="1"/>
  <c r="C219" i="12"/>
  <c r="I219" i="12" s="1"/>
  <c r="G57" i="12"/>
  <c r="G79" i="12"/>
  <c r="G101" i="12"/>
  <c r="G118" i="12"/>
  <c r="G140" i="12"/>
  <c r="G162" i="12"/>
  <c r="G184" i="12"/>
  <c r="G201" i="12"/>
  <c r="G223" i="12"/>
  <c r="G8" i="12"/>
  <c r="G21" i="12"/>
  <c r="F27" i="12"/>
  <c r="F139" i="12"/>
  <c r="D51" i="12"/>
  <c r="J51" i="12" s="1"/>
  <c r="D134" i="12"/>
  <c r="J134" i="12" s="1"/>
  <c r="C41" i="12"/>
  <c r="I41" i="12" s="1"/>
  <c r="C163" i="12"/>
  <c r="I163" i="12" s="1"/>
  <c r="G128" i="12"/>
  <c r="D30" i="12"/>
  <c r="J30" i="12" s="1"/>
  <c r="G112" i="12"/>
  <c r="G212" i="12"/>
  <c r="G4" i="12"/>
  <c r="F101" i="12"/>
  <c r="F207" i="12"/>
  <c r="D14" i="12"/>
  <c r="J14" i="12" s="1"/>
  <c r="D92" i="12"/>
  <c r="J92" i="12" s="1"/>
  <c r="D197" i="12"/>
  <c r="J197" i="12" s="1"/>
  <c r="C43" i="12"/>
  <c r="I43" i="12" s="1"/>
  <c r="C126" i="12"/>
  <c r="I126" i="12" s="1"/>
  <c r="G91" i="12"/>
  <c r="G196" i="12"/>
  <c r="F78" i="12"/>
  <c r="F17" i="12"/>
  <c r="F41" i="12"/>
  <c r="F65" i="12"/>
  <c r="F89" i="12"/>
  <c r="F113" i="12"/>
  <c r="F135" i="12"/>
  <c r="F157" i="12"/>
  <c r="F174" i="12"/>
  <c r="F196" i="12"/>
  <c r="F218" i="12"/>
  <c r="D20" i="12"/>
  <c r="J20" i="12" s="1"/>
  <c r="D42" i="12"/>
  <c r="J42" i="12" s="1"/>
  <c r="D64" i="12"/>
  <c r="J64" i="12" s="1"/>
  <c r="D86" i="12"/>
  <c r="J86" i="12" s="1"/>
  <c r="D103" i="12"/>
  <c r="J103" i="12" s="1"/>
  <c r="D125" i="12"/>
  <c r="J125" i="12" s="1"/>
  <c r="D147" i="12"/>
  <c r="J147" i="12" s="1"/>
  <c r="D164" i="12"/>
  <c r="J164" i="12" s="1"/>
  <c r="D186" i="12"/>
  <c r="J186" i="12" s="1"/>
  <c r="D208" i="12"/>
  <c r="J208" i="12" s="1"/>
  <c r="C15" i="12"/>
  <c r="I15" i="12" s="1"/>
  <c r="C32" i="12"/>
  <c r="I32" i="12" s="1"/>
  <c r="C54" i="12"/>
  <c r="I54" i="12" s="1"/>
  <c r="C76" i="12"/>
  <c r="I76" i="12" s="1"/>
  <c r="C93" i="12"/>
  <c r="I93" i="12" s="1"/>
  <c r="C115" i="12"/>
  <c r="I115" i="12" s="1"/>
  <c r="C137" i="12"/>
  <c r="I137" i="12" s="1"/>
  <c r="C159" i="12"/>
  <c r="I159" i="12" s="1"/>
  <c r="C176" i="12"/>
  <c r="I176" i="12" s="1"/>
  <c r="C198" i="12"/>
  <c r="I198" i="12" s="1"/>
  <c r="C220" i="12"/>
  <c r="I220" i="12" s="1"/>
  <c r="G41" i="12"/>
  <c r="G58" i="12"/>
  <c r="G80" i="12"/>
  <c r="G102" i="12"/>
  <c r="G124" i="12"/>
  <c r="G141" i="12"/>
  <c r="G163" i="12"/>
  <c r="G185" i="12"/>
  <c r="G202" i="12"/>
  <c r="G9" i="12"/>
  <c r="G22" i="12"/>
  <c r="G35" i="12"/>
  <c r="C184" i="12"/>
  <c r="I184" i="12" s="1"/>
  <c r="G166" i="12"/>
  <c r="F51" i="12"/>
  <c r="F161" i="12"/>
  <c r="F222" i="12"/>
  <c r="D29" i="12"/>
  <c r="J29" i="12" s="1"/>
  <c r="D112" i="12"/>
  <c r="J112" i="12" s="1"/>
  <c r="D212" i="12"/>
  <c r="J212" i="12" s="1"/>
  <c r="C19" i="12"/>
  <c r="I19" i="12" s="1"/>
  <c r="C102" i="12"/>
  <c r="I102" i="12" s="1"/>
  <c r="C207" i="12"/>
  <c r="I207" i="12" s="1"/>
  <c r="G45" i="12"/>
  <c r="G150" i="12"/>
  <c r="F100" i="12"/>
  <c r="F184" i="12"/>
  <c r="D8" i="12"/>
  <c r="J8" i="12" s="1"/>
  <c r="D135" i="12"/>
  <c r="J135" i="12" s="1"/>
  <c r="C20" i="12"/>
  <c r="I20" i="12" s="1"/>
  <c r="C103" i="12"/>
  <c r="I103" i="12" s="1"/>
  <c r="C164" i="12"/>
  <c r="I164" i="12" s="1"/>
  <c r="G68" i="12"/>
  <c r="G190" i="12"/>
  <c r="F77" i="12"/>
  <c r="F185" i="12"/>
  <c r="D53" i="12"/>
  <c r="J53" i="12" s="1"/>
  <c r="D175" i="12"/>
  <c r="J175" i="12" s="1"/>
  <c r="C21" i="12"/>
  <c r="I21" i="12" s="1"/>
  <c r="C148" i="12"/>
  <c r="I148" i="12" s="1"/>
  <c r="G113" i="12"/>
  <c r="G29" i="12"/>
  <c r="F18" i="12"/>
  <c r="F42" i="12"/>
  <c r="F66" i="12"/>
  <c r="F90" i="12"/>
  <c r="F114" i="12"/>
  <c r="F136" i="12"/>
  <c r="F158" i="12"/>
  <c r="F175" i="12"/>
  <c r="F197" i="12"/>
  <c r="F219" i="12"/>
  <c r="D26" i="12"/>
  <c r="J26" i="12" s="1"/>
  <c r="D43" i="12"/>
  <c r="J43" i="12" s="1"/>
  <c r="D65" i="12"/>
  <c r="J65" i="12" s="1"/>
  <c r="D87" i="12"/>
  <c r="J87" i="12" s="1"/>
  <c r="D104" i="12"/>
  <c r="J104" i="12" s="1"/>
  <c r="D126" i="12"/>
  <c r="J126" i="12" s="1"/>
  <c r="D148" i="12"/>
  <c r="J148" i="12" s="1"/>
  <c r="D170" i="12"/>
  <c r="J170" i="12" s="1"/>
  <c r="D187" i="12"/>
  <c r="J187" i="12" s="1"/>
  <c r="D209" i="12"/>
  <c r="J209" i="12" s="1"/>
  <c r="C16" i="12"/>
  <c r="I16" i="12" s="1"/>
  <c r="C33" i="12"/>
  <c r="I33" i="12" s="1"/>
  <c r="C55" i="12"/>
  <c r="I55" i="12" s="1"/>
  <c r="C77" i="12"/>
  <c r="I77" i="12" s="1"/>
  <c r="C99" i="12"/>
  <c r="I99" i="12" s="1"/>
  <c r="C116" i="12"/>
  <c r="I116" i="12" s="1"/>
  <c r="C138" i="12"/>
  <c r="I138" i="12" s="1"/>
  <c r="C160" i="12"/>
  <c r="I160" i="12" s="1"/>
  <c r="C177" i="12"/>
  <c r="I177" i="12" s="1"/>
  <c r="C199" i="12"/>
  <c r="I199" i="12" s="1"/>
  <c r="C221" i="12"/>
  <c r="I221" i="12" s="1"/>
  <c r="G42" i="12"/>
  <c r="G64" i="12"/>
  <c r="G81" i="12"/>
  <c r="G103" i="12"/>
  <c r="G125" i="12"/>
  <c r="G142" i="12"/>
  <c r="G164" i="12"/>
  <c r="G186" i="12"/>
  <c r="G208" i="12"/>
  <c r="G10" i="12"/>
  <c r="G23" i="12"/>
  <c r="G36" i="12"/>
  <c r="G11" i="12"/>
  <c r="G37" i="12"/>
  <c r="F50" i="12"/>
  <c r="F98" i="12"/>
  <c r="F138" i="12"/>
  <c r="F182" i="12"/>
  <c r="F221" i="12"/>
  <c r="D6" i="12"/>
  <c r="J6" i="12" s="1"/>
  <c r="D50" i="12"/>
  <c r="J50" i="12" s="1"/>
  <c r="D89" i="12"/>
  <c r="J89" i="12" s="1"/>
  <c r="D150" i="12"/>
  <c r="J150" i="12" s="1"/>
  <c r="D172" i="12"/>
  <c r="J172" i="12" s="1"/>
  <c r="D211" i="12"/>
  <c r="J211" i="12" s="1"/>
  <c r="C18" i="12"/>
  <c r="I18" i="12" s="1"/>
  <c r="C57" i="12"/>
  <c r="I57" i="12" s="1"/>
  <c r="C79" i="12"/>
  <c r="I79" i="12" s="1"/>
  <c r="C123" i="12"/>
  <c r="I123" i="12" s="1"/>
  <c r="C162" i="12"/>
  <c r="I162" i="12" s="1"/>
  <c r="C201" i="12"/>
  <c r="I201" i="12" s="1"/>
  <c r="G44" i="12"/>
  <c r="G88" i="12"/>
  <c r="G127" i="12"/>
  <c r="G188" i="12"/>
  <c r="G25" i="12"/>
  <c r="F122" i="12"/>
  <c r="D7" i="12"/>
  <c r="J7" i="12" s="1"/>
  <c r="D195" i="12"/>
  <c r="J195" i="12" s="1"/>
  <c r="C141" i="12"/>
  <c r="I141" i="12" s="1"/>
  <c r="G89" i="12"/>
  <c r="G39" i="12"/>
  <c r="F76" i="12"/>
  <c r="F206" i="12"/>
  <c r="D91" i="12"/>
  <c r="J91" i="12" s="1"/>
  <c r="D196" i="12"/>
  <c r="J196" i="12" s="1"/>
  <c r="G151" i="12"/>
  <c r="G14" i="12"/>
  <c r="F5" i="12"/>
  <c r="F146" i="12"/>
  <c r="D136" i="12"/>
  <c r="J136" i="12" s="1"/>
  <c r="D219" i="12"/>
  <c r="J219" i="12" s="1"/>
  <c r="C165" i="12"/>
  <c r="I165" i="12" s="1"/>
  <c r="G152" i="12"/>
  <c r="F6" i="12"/>
  <c r="F125" i="12"/>
  <c r="F186" i="12"/>
  <c r="F19" i="12"/>
  <c r="F43" i="12"/>
  <c r="F67" i="12"/>
  <c r="F91" i="12"/>
  <c r="F115" i="12"/>
  <c r="F137" i="12"/>
  <c r="F159" i="12"/>
  <c r="F181" i="12"/>
  <c r="F198" i="12"/>
  <c r="F220" i="12"/>
  <c r="D5" i="12"/>
  <c r="J5" i="12" s="1"/>
  <c r="D27" i="12"/>
  <c r="J27" i="12" s="1"/>
  <c r="D44" i="12"/>
  <c r="J44" i="12" s="1"/>
  <c r="D66" i="12"/>
  <c r="J66" i="12" s="1"/>
  <c r="D88" i="12"/>
  <c r="J88" i="12" s="1"/>
  <c r="D110" i="12"/>
  <c r="J110" i="12" s="1"/>
  <c r="D127" i="12"/>
  <c r="J127" i="12" s="1"/>
  <c r="D149" i="12"/>
  <c r="J149" i="12" s="1"/>
  <c r="D171" i="12"/>
  <c r="J171" i="12" s="1"/>
  <c r="D188" i="12"/>
  <c r="J188" i="12" s="1"/>
  <c r="D210" i="12"/>
  <c r="J210" i="12" s="1"/>
  <c r="C17" i="12"/>
  <c r="I17" i="12" s="1"/>
  <c r="C39" i="12"/>
  <c r="I39" i="12" s="1"/>
  <c r="C56" i="12"/>
  <c r="I56" i="12" s="1"/>
  <c r="C78" i="12"/>
  <c r="I78" i="12" s="1"/>
  <c r="C100" i="12"/>
  <c r="I100" i="12" s="1"/>
  <c r="C117" i="12"/>
  <c r="I117" i="12" s="1"/>
  <c r="C139" i="12"/>
  <c r="I139" i="12" s="1"/>
  <c r="C161" i="12"/>
  <c r="I161" i="12" s="1"/>
  <c r="C183" i="12"/>
  <c r="I183" i="12" s="1"/>
  <c r="C200" i="12"/>
  <c r="I200" i="12" s="1"/>
  <c r="C222" i="12"/>
  <c r="I222" i="12" s="1"/>
  <c r="G43" i="12"/>
  <c r="G65" i="12"/>
  <c r="G82" i="12"/>
  <c r="G104" i="12"/>
  <c r="G126" i="12"/>
  <c r="G148" i="12"/>
  <c r="G165" i="12"/>
  <c r="G187" i="12"/>
  <c r="G209" i="12"/>
  <c r="G24" i="12"/>
  <c r="F26" i="12"/>
  <c r="F74" i="12"/>
  <c r="F121" i="12"/>
  <c r="F160" i="12"/>
  <c r="F199" i="12"/>
  <c r="D28" i="12"/>
  <c r="J28" i="12" s="1"/>
  <c r="D67" i="12"/>
  <c r="J67" i="12" s="1"/>
  <c r="D111" i="12"/>
  <c r="J111" i="12" s="1"/>
  <c r="D128" i="12"/>
  <c r="J128" i="12" s="1"/>
  <c r="D194" i="12"/>
  <c r="J194" i="12" s="1"/>
  <c r="C40" i="12"/>
  <c r="I40" i="12" s="1"/>
  <c r="C101" i="12"/>
  <c r="I101" i="12" s="1"/>
  <c r="C140" i="12"/>
  <c r="I140" i="12" s="1"/>
  <c r="C223" i="12"/>
  <c r="I223" i="12" s="1"/>
  <c r="G66" i="12"/>
  <c r="G105" i="12"/>
  <c r="G149" i="12"/>
  <c r="G210" i="12"/>
  <c r="F75" i="12"/>
  <c r="F183" i="12"/>
  <c r="D68" i="12"/>
  <c r="J68" i="12" s="1"/>
  <c r="D173" i="12"/>
  <c r="J173" i="12" s="1"/>
  <c r="C80" i="12"/>
  <c r="I80" i="12" s="1"/>
  <c r="G211" i="12"/>
  <c r="G13" i="12"/>
  <c r="F123" i="12"/>
  <c r="F223" i="12"/>
  <c r="D113" i="12"/>
  <c r="J113" i="12" s="1"/>
  <c r="D218" i="12"/>
  <c r="J218" i="12" s="1"/>
  <c r="C81" i="12"/>
  <c r="I81" i="12" s="1"/>
  <c r="G90" i="12"/>
  <c r="F124" i="12"/>
  <c r="D114" i="12"/>
  <c r="J114" i="12" s="1"/>
  <c r="C104" i="12"/>
  <c r="I104" i="12" s="1"/>
  <c r="G52" i="12"/>
  <c r="G213" i="12"/>
  <c r="F30" i="12"/>
  <c r="F169" i="12"/>
  <c r="F79" i="12"/>
  <c r="D76" i="12"/>
  <c r="J76" i="12" s="1"/>
  <c r="D198" i="12"/>
  <c r="J198" i="12" s="1"/>
  <c r="C5" i="12"/>
  <c r="I5" i="12" s="1"/>
  <c r="C127" i="12"/>
  <c r="I127" i="12" s="1"/>
  <c r="G114" i="12"/>
  <c r="G31" i="12"/>
  <c r="F7" i="12"/>
  <c r="D55" i="12"/>
  <c r="J55" i="12" s="1"/>
  <c r="F102" i="12"/>
  <c r="D77" i="12"/>
  <c r="J77" i="12" s="1"/>
  <c r="D199" i="12"/>
  <c r="J199" i="12" s="1"/>
  <c r="C6" i="12"/>
  <c r="I6" i="12" s="1"/>
  <c r="C128" i="12"/>
  <c r="I128" i="12" s="1"/>
  <c r="G115" i="12"/>
  <c r="G5" i="12"/>
  <c r="C89" i="12"/>
  <c r="I89" i="12" s="1"/>
  <c r="D176" i="12"/>
  <c r="J176" i="12" s="1"/>
  <c r="G18" i="12"/>
  <c r="F103" i="12"/>
  <c r="D98" i="12"/>
  <c r="J98" i="12" s="1"/>
  <c r="D220" i="12"/>
  <c r="J220" i="12" s="1"/>
  <c r="C27" i="12"/>
  <c r="I27" i="12" s="1"/>
  <c r="C149" i="12"/>
  <c r="I149" i="12" s="1"/>
  <c r="G136" i="12"/>
  <c r="C211" i="12"/>
  <c r="I211" i="12" s="1"/>
  <c r="G198" i="12"/>
  <c r="D54" i="12"/>
  <c r="J54" i="12" s="1"/>
  <c r="F55" i="12"/>
  <c r="D182" i="12"/>
  <c r="J182" i="12" s="1"/>
  <c r="G220" i="12"/>
  <c r="F126" i="12"/>
  <c r="D99" i="12"/>
  <c r="J99" i="12" s="1"/>
  <c r="D221" i="12"/>
  <c r="J221" i="12" s="1"/>
  <c r="C28" i="12"/>
  <c r="I28" i="12" s="1"/>
  <c r="C150" i="12"/>
  <c r="I150" i="12" s="1"/>
  <c r="G137" i="12"/>
  <c r="F147" i="12"/>
  <c r="D115" i="12"/>
  <c r="J115" i="12" s="1"/>
  <c r="C44" i="12"/>
  <c r="I44" i="12" s="1"/>
  <c r="C171" i="12"/>
  <c r="I171" i="12" s="1"/>
  <c r="G153" i="12"/>
  <c r="F148" i="12"/>
  <c r="D116" i="12"/>
  <c r="J116" i="12" s="1"/>
  <c r="C45" i="12"/>
  <c r="I45" i="12" s="1"/>
  <c r="C172" i="12"/>
  <c r="I172" i="12" s="1"/>
  <c r="G154" i="12"/>
  <c r="F209" i="12"/>
  <c r="D160" i="12"/>
  <c r="J160" i="12" s="1"/>
  <c r="G76" i="12"/>
  <c r="C105" i="12"/>
  <c r="I105" i="12" s="1"/>
  <c r="G214" i="12"/>
  <c r="G93" i="12"/>
  <c r="F170" i="12"/>
  <c r="D15" i="12"/>
  <c r="J15" i="12" s="1"/>
  <c r="D137" i="12"/>
  <c r="J137" i="12" s="1"/>
  <c r="C66" i="12"/>
  <c r="I66" i="12" s="1"/>
  <c r="C188" i="12"/>
  <c r="I188" i="12" s="1"/>
  <c r="G53" i="12"/>
  <c r="G175" i="12"/>
  <c r="F187" i="12"/>
  <c r="D16" i="12"/>
  <c r="J16" i="12" s="1"/>
  <c r="D138" i="12"/>
  <c r="J138" i="12" s="1"/>
  <c r="C67" i="12"/>
  <c r="I67" i="12" s="1"/>
  <c r="C189" i="12"/>
  <c r="I189" i="12" s="1"/>
  <c r="G54" i="12"/>
  <c r="G176" i="12"/>
  <c r="F208" i="12"/>
  <c r="D32" i="12"/>
  <c r="J32" i="12" s="1"/>
  <c r="D159" i="12"/>
  <c r="J159" i="12" s="1"/>
  <c r="C88" i="12"/>
  <c r="I88" i="12" s="1"/>
  <c r="C210" i="12"/>
  <c r="I210" i="12" s="1"/>
  <c r="G70" i="12"/>
  <c r="G197" i="12"/>
  <c r="D38" i="12"/>
  <c r="J38" i="12" s="1"/>
  <c r="G17" i="12"/>
  <c r="F31" i="12"/>
  <c r="G92" i="12"/>
  <c r="C111" i="12"/>
  <c r="I111" i="12" s="1"/>
  <c r="G30" i="12"/>
  <c r="C4" i="12"/>
  <c r="B9" i="12"/>
  <c r="J1292" i="6"/>
  <c r="J1295" i="6"/>
  <c r="J1289" i="6"/>
  <c r="J1286" i="6"/>
  <c r="J1298" i="6"/>
  <c r="J1283" i="6"/>
  <c r="AY2" i="1"/>
  <c r="J1640" i="6"/>
  <c r="J1622" i="6"/>
  <c r="J1568" i="6"/>
  <c r="J1769" i="6"/>
  <c r="J1697" i="6"/>
  <c r="J1661" i="6"/>
  <c r="J1643" i="6"/>
  <c r="J1589" i="6"/>
  <c r="J1507" i="6"/>
  <c r="J1485" i="6"/>
  <c r="J1733" i="6"/>
  <c r="J1772" i="6"/>
  <c r="J1754" i="6"/>
  <c r="J1736" i="6"/>
  <c r="J1718" i="6"/>
  <c r="J1700" i="6"/>
  <c r="J1682" i="6"/>
  <c r="J1664" i="6"/>
  <c r="J1646" i="6"/>
  <c r="J1628" i="6"/>
  <c r="J1610" i="6"/>
  <c r="J1592" i="6"/>
  <c r="J1574" i="6"/>
  <c r="J1556" i="6"/>
  <c r="J1484" i="6"/>
  <c r="J1694" i="6"/>
  <c r="J1775" i="6"/>
  <c r="J1757" i="6"/>
  <c r="J1739" i="6"/>
  <c r="J1721" i="6"/>
  <c r="J1703" i="6"/>
  <c r="J1685" i="6"/>
  <c r="J1667" i="6"/>
  <c r="J1649" i="6"/>
  <c r="J1631" i="6"/>
  <c r="J1613" i="6"/>
  <c r="J1595" i="6"/>
  <c r="J1577" i="6"/>
  <c r="J1559" i="6"/>
  <c r="J1520" i="6"/>
  <c r="J1483" i="6"/>
  <c r="J1548" i="6"/>
  <c r="J1509" i="6"/>
  <c r="J1766" i="6"/>
  <c r="J1676" i="6"/>
  <c r="J1658" i="6"/>
  <c r="J1604" i="6"/>
  <c r="J1543" i="6"/>
  <c r="J1715" i="6"/>
  <c r="J1607" i="6"/>
  <c r="J1778" i="6"/>
  <c r="J1760" i="6"/>
  <c r="J1742" i="6"/>
  <c r="J1724" i="6"/>
  <c r="J1706" i="6"/>
  <c r="J1688" i="6"/>
  <c r="J1670" i="6"/>
  <c r="J1652" i="6"/>
  <c r="J1634" i="6"/>
  <c r="J1616" i="6"/>
  <c r="J1598" i="6"/>
  <c r="J1580" i="6"/>
  <c r="J1562" i="6"/>
  <c r="J1530" i="6"/>
  <c r="J1751" i="6"/>
  <c r="J1748" i="6"/>
  <c r="J1730" i="6"/>
  <c r="J1712" i="6"/>
  <c r="J1586" i="6"/>
  <c r="J1679" i="6"/>
  <c r="J1625" i="6"/>
  <c r="J1571" i="6"/>
  <c r="J1763" i="6"/>
  <c r="J1745" i="6"/>
  <c r="J1727" i="6"/>
  <c r="J1709" i="6"/>
  <c r="J1691" i="6"/>
  <c r="J1673" i="6"/>
  <c r="J1655" i="6"/>
  <c r="J1637" i="6"/>
  <c r="J1619" i="6"/>
  <c r="J1601" i="6"/>
  <c r="J1583" i="6"/>
  <c r="J1565" i="6"/>
  <c r="J1494" i="6"/>
  <c r="J1477" i="6"/>
  <c r="J1464" i="6"/>
  <c r="J1441" i="6"/>
  <c r="J1428" i="6"/>
  <c r="J1405" i="6"/>
  <c r="J1392" i="6"/>
  <c r="J1369" i="6"/>
  <c r="J1356" i="6"/>
  <c r="J1333" i="6"/>
  <c r="J1320" i="6"/>
  <c r="J1473" i="6"/>
  <c r="J1450" i="6"/>
  <c r="J1437" i="6"/>
  <c r="J1414" i="6"/>
  <c r="J1401" i="6"/>
  <c r="J1378" i="6"/>
  <c r="J1365" i="6"/>
  <c r="J1342" i="6"/>
  <c r="J1329" i="6"/>
  <c r="J1306" i="6"/>
  <c r="J1297" i="6"/>
  <c r="J1294" i="6"/>
  <c r="J1291" i="6"/>
  <c r="J1288" i="6"/>
  <c r="J1285" i="6"/>
  <c r="J1282" i="6"/>
  <c r="N22" i="14"/>
  <c r="M22" i="14"/>
  <c r="O22" i="14"/>
  <c r="T22" i="14"/>
  <c r="I22" i="14"/>
  <c r="P22" i="14"/>
  <c r="L22" i="14"/>
  <c r="R22" i="14"/>
  <c r="K22" i="14"/>
  <c r="S22" i="14"/>
  <c r="J22" i="14"/>
  <c r="F4" i="12"/>
  <c r="D4" i="12"/>
  <c r="E3" i="6" a="1"/>
  <c r="F3" i="6" a="1"/>
  <c r="F3" i="6" s="1"/>
  <c r="C3" i="6" a="1"/>
  <c r="C3" i="6" s="1"/>
  <c r="D3" i="6" a="1"/>
  <c r="D3" i="6" s="1"/>
  <c r="B3" i="6" a="1"/>
  <c r="B3" i="6" s="1"/>
  <c r="A3" i="6" a="1"/>
  <c r="AV2" i="1" a="1"/>
  <c r="AV2" i="1" s="1"/>
  <c r="AW2" i="1" a="1"/>
  <c r="AW2" i="1" s="1"/>
  <c r="AX2" i="1" a="1"/>
  <c r="AX2" i="1" s="1"/>
  <c r="AT2" i="1" a="1"/>
  <c r="AT2" i="1" s="1"/>
  <c r="AU2" i="1" a="1"/>
  <c r="AU2" i="1" s="1"/>
  <c r="AS2" i="1" a="1"/>
  <c r="AS2" i="1" s="1"/>
  <c r="AR2" i="1" a="1"/>
  <c r="AR2" i="1" s="1"/>
  <c r="AM2" i="1" a="1"/>
  <c r="AM2" i="1" s="1"/>
  <c r="AN2" i="1" a="1"/>
  <c r="AN2" i="1" s="1"/>
  <c r="AP2" i="1" a="1"/>
  <c r="AP2" i="1" s="1"/>
  <c r="AQ2" i="1" a="1"/>
  <c r="AK2" i="1" a="1"/>
  <c r="AK2" i="1" s="1"/>
  <c r="AL2" i="1" a="1"/>
  <c r="AH2" i="1" a="1"/>
  <c r="AH2" i="1" s="1"/>
  <c r="AI2" i="1" a="1"/>
  <c r="AI2" i="1" s="1"/>
  <c r="AJ2" i="1" a="1"/>
  <c r="AJ2" i="1" s="1"/>
  <c r="AB2" i="1" a="1"/>
  <c r="AB2" i="1" s="1"/>
  <c r="AC2" i="1" a="1"/>
  <c r="AC2" i="1" s="1"/>
  <c r="AD2" i="1" a="1"/>
  <c r="AD2" i="1" s="1"/>
  <c r="AE2" i="1" a="1"/>
  <c r="AE2" i="1" s="1"/>
  <c r="AF2" i="1" a="1"/>
  <c r="AF2" i="1" s="1"/>
  <c r="AG2" i="1" a="1"/>
  <c r="AG2" i="1" s="1"/>
  <c r="W2" i="1" a="1"/>
  <c r="W2" i="1" s="1"/>
  <c r="X2" i="1" a="1"/>
  <c r="X2" i="1" s="1"/>
  <c r="Y2" i="1" a="1"/>
  <c r="Y2" i="1" s="1"/>
  <c r="Z2" i="1" a="1"/>
  <c r="Z2" i="1" s="1"/>
  <c r="AA2" i="1" a="1"/>
  <c r="AA2" i="1" s="1"/>
  <c r="S2" i="1" a="1"/>
  <c r="S2" i="1" s="1"/>
  <c r="T2" i="1" a="1"/>
  <c r="T2" i="1" s="1"/>
  <c r="U2" i="1" a="1"/>
  <c r="V2" i="1" a="1"/>
  <c r="V2" i="1" s="1"/>
  <c r="P2" i="1" a="1"/>
  <c r="P2" i="1" s="1"/>
  <c r="Q2" i="1" a="1"/>
  <c r="Q2" i="1" s="1"/>
  <c r="R2" i="1" a="1"/>
  <c r="R2" i="1" s="1"/>
  <c r="M2" i="1" a="1"/>
  <c r="N2" i="1" a="1"/>
  <c r="N2" i="1" s="1"/>
  <c r="O2" i="1" a="1"/>
  <c r="O2" i="1" s="1"/>
  <c r="I2" i="1" a="1"/>
  <c r="I2" i="1" s="1"/>
  <c r="J2" i="1" a="1"/>
  <c r="J2" i="1" s="1"/>
  <c r="K2" i="1" a="1"/>
  <c r="K2" i="1" s="1"/>
  <c r="L2" i="1" a="1"/>
  <c r="L2" i="1" s="1"/>
  <c r="H2" i="1" a="1"/>
  <c r="H2" i="1" s="1"/>
  <c r="G2" i="1" a="1"/>
  <c r="G2" i="1" s="1"/>
  <c r="F2" i="1" a="1"/>
  <c r="F2" i="1" s="1"/>
  <c r="E2" i="1" a="1"/>
  <c r="D2" i="1" a="1"/>
  <c r="D2" i="1" s="1"/>
  <c r="C2" i="1" a="1"/>
  <c r="C2" i="1" s="1"/>
  <c r="B2" i="1" a="1"/>
  <c r="B2" i="1" s="1"/>
  <c r="A2" i="1" a="1"/>
  <c r="A2" i="1" s="1"/>
  <c r="G1276" i="6" l="1"/>
  <c r="G1278" i="6"/>
  <c r="G1281" i="6"/>
  <c r="G1277" i="6"/>
  <c r="G1279" i="6"/>
  <c r="G1280" i="6"/>
  <c r="H1280" i="6"/>
  <c r="H1281" i="6"/>
  <c r="H1276" i="6"/>
  <c r="H1277" i="6"/>
  <c r="H1278" i="6"/>
  <c r="H1279" i="6"/>
  <c r="H1274" i="6"/>
  <c r="I1274" i="6" s="1"/>
  <c r="H1275" i="6"/>
  <c r="G1275" i="6"/>
  <c r="G1274" i="6"/>
  <c r="G1271" i="6"/>
  <c r="G1272" i="6"/>
  <c r="G1273" i="6"/>
  <c r="H1272" i="6"/>
  <c r="H1273" i="6"/>
  <c r="H1271" i="6"/>
  <c r="BB6" i="1"/>
  <c r="G1270" i="6"/>
  <c r="BB44" i="1"/>
  <c r="BB39" i="1"/>
  <c r="BB48" i="1"/>
  <c r="BK48" i="1" s="1"/>
  <c r="BB33" i="1"/>
  <c r="BI33" i="1" s="1"/>
  <c r="BB42" i="1"/>
  <c r="BB16" i="1"/>
  <c r="BB37" i="1"/>
  <c r="BJ37" i="1" s="1"/>
  <c r="BB21" i="1"/>
  <c r="BB30" i="1"/>
  <c r="BB4" i="1"/>
  <c r="BB25" i="1"/>
  <c r="BK25" i="1" s="1"/>
  <c r="BB9" i="1"/>
  <c r="BB18" i="1"/>
  <c r="BB51" i="1"/>
  <c r="BB13" i="1"/>
  <c r="BK13" i="1" s="1"/>
  <c r="BB29" i="1"/>
  <c r="BB31" i="1"/>
  <c r="BB19" i="1"/>
  <c r="BL19" i="1" s="1"/>
  <c r="BB7" i="1"/>
  <c r="BB32" i="1"/>
  <c r="BB20" i="1"/>
  <c r="BK20" i="1" s="1"/>
  <c r="BB41" i="1"/>
  <c r="BB8" i="1"/>
  <c r="BB3" i="1"/>
  <c r="BB12" i="1"/>
  <c r="BB43" i="1"/>
  <c r="BL43" i="1" s="1"/>
  <c r="BB17" i="1"/>
  <c r="BN17" i="1" s="1"/>
  <c r="BB50" i="1"/>
  <c r="BN50" i="1" s="1"/>
  <c r="BB35" i="1"/>
  <c r="BB47" i="1"/>
  <c r="BB5" i="1"/>
  <c r="BB38" i="1"/>
  <c r="BB46" i="1"/>
  <c r="BN46" i="1" s="1"/>
  <c r="BB23" i="1"/>
  <c r="BB26" i="1"/>
  <c r="BB34" i="1"/>
  <c r="BB36" i="1"/>
  <c r="BB24" i="1"/>
  <c r="BI24" i="1" s="1"/>
  <c r="BB11" i="1"/>
  <c r="BK11" i="1" s="1"/>
  <c r="BB40" i="1"/>
  <c r="BB14" i="1"/>
  <c r="BL14" i="1" s="1"/>
  <c r="BB22" i="1"/>
  <c r="BI22" i="1" s="1"/>
  <c r="BB27" i="1"/>
  <c r="BM27" i="1" s="1"/>
  <c r="BB15" i="1"/>
  <c r="BB45" i="1"/>
  <c r="BB28" i="1"/>
  <c r="BB49" i="1"/>
  <c r="BB10" i="1"/>
  <c r="H1269" i="6"/>
  <c r="I1269" i="6" s="1"/>
  <c r="H1270" i="6"/>
  <c r="G1269" i="6"/>
  <c r="G1268" i="6"/>
  <c r="G1265" i="6"/>
  <c r="G1264" i="6"/>
  <c r="G1266" i="6"/>
  <c r="G1267" i="6"/>
  <c r="G1263" i="6"/>
  <c r="H1262" i="6"/>
  <c r="I1262" i="6" s="1"/>
  <c r="H1267" i="6"/>
  <c r="H1268" i="6"/>
  <c r="H1263" i="6"/>
  <c r="H1264" i="6"/>
  <c r="H1265" i="6"/>
  <c r="H1266" i="6"/>
  <c r="G1262" i="6"/>
  <c r="H1260" i="6"/>
  <c r="I1260" i="6" s="1"/>
  <c r="H1261" i="6"/>
  <c r="G1261" i="6"/>
  <c r="G1260" i="6"/>
  <c r="H16" i="6"/>
  <c r="I16" i="6" s="1"/>
  <c r="H28" i="6"/>
  <c r="I28" i="6" s="1"/>
  <c r="H40" i="6"/>
  <c r="I40" i="6" s="1"/>
  <c r="H52" i="6"/>
  <c r="I52" i="6" s="1"/>
  <c r="H64" i="6"/>
  <c r="I64" i="6" s="1"/>
  <c r="H76" i="6"/>
  <c r="I76" i="6" s="1"/>
  <c r="H88" i="6"/>
  <c r="I88" i="6" s="1"/>
  <c r="H100" i="6"/>
  <c r="I100" i="6" s="1"/>
  <c r="H112" i="6"/>
  <c r="I112" i="6" s="1"/>
  <c r="H124" i="6"/>
  <c r="I124" i="6" s="1"/>
  <c r="H136" i="6"/>
  <c r="I136" i="6" s="1"/>
  <c r="H148" i="6"/>
  <c r="I148" i="6" s="1"/>
  <c r="H160" i="6"/>
  <c r="I160" i="6" s="1"/>
  <c r="H172" i="6"/>
  <c r="I172" i="6" s="1"/>
  <c r="H184" i="6"/>
  <c r="I184" i="6" s="1"/>
  <c r="H196" i="6"/>
  <c r="I196" i="6" s="1"/>
  <c r="H208" i="6"/>
  <c r="I208" i="6" s="1"/>
  <c r="H220" i="6"/>
  <c r="I220" i="6" s="1"/>
  <c r="H232" i="6"/>
  <c r="I232" i="6" s="1"/>
  <c r="H244" i="6"/>
  <c r="I244" i="6" s="1"/>
  <c r="H256" i="6"/>
  <c r="I256" i="6" s="1"/>
  <c r="H268" i="6"/>
  <c r="I268" i="6" s="1"/>
  <c r="H280" i="6"/>
  <c r="I280" i="6" s="1"/>
  <c r="H292" i="6"/>
  <c r="I292" i="6" s="1"/>
  <c r="H304" i="6"/>
  <c r="I304" i="6" s="1"/>
  <c r="H316" i="6"/>
  <c r="I316" i="6" s="1"/>
  <c r="H328" i="6"/>
  <c r="I328" i="6" s="1"/>
  <c r="H340" i="6"/>
  <c r="I340" i="6" s="1"/>
  <c r="H352" i="6"/>
  <c r="I352" i="6" s="1"/>
  <c r="H364" i="6"/>
  <c r="I364" i="6" s="1"/>
  <c r="H376" i="6"/>
  <c r="I376" i="6" s="1"/>
  <c r="H388" i="6"/>
  <c r="I388" i="6" s="1"/>
  <c r="H400" i="6"/>
  <c r="I400" i="6" s="1"/>
  <c r="H412" i="6"/>
  <c r="I412" i="6" s="1"/>
  <c r="H424" i="6"/>
  <c r="I424" i="6" s="1"/>
  <c r="H436" i="6"/>
  <c r="I436" i="6" s="1"/>
  <c r="H448" i="6"/>
  <c r="I448" i="6" s="1"/>
  <c r="H460" i="6"/>
  <c r="I460" i="6" s="1"/>
  <c r="H472" i="6"/>
  <c r="I472" i="6" s="1"/>
  <c r="H484" i="6"/>
  <c r="I484" i="6" s="1"/>
  <c r="H496" i="6"/>
  <c r="I496" i="6" s="1"/>
  <c r="H508" i="6"/>
  <c r="I508" i="6" s="1"/>
  <c r="H520" i="6"/>
  <c r="I520" i="6" s="1"/>
  <c r="H532" i="6"/>
  <c r="I532" i="6" s="1"/>
  <c r="H544" i="6"/>
  <c r="I544" i="6" s="1"/>
  <c r="H556" i="6"/>
  <c r="I556" i="6" s="1"/>
  <c r="H568" i="6"/>
  <c r="I568" i="6" s="1"/>
  <c r="H580" i="6"/>
  <c r="I580" i="6" s="1"/>
  <c r="H592" i="6"/>
  <c r="I592" i="6" s="1"/>
  <c r="H604" i="6"/>
  <c r="I604" i="6" s="1"/>
  <c r="H616" i="6"/>
  <c r="I616" i="6" s="1"/>
  <c r="H628" i="6"/>
  <c r="I628" i="6" s="1"/>
  <c r="H640" i="6"/>
  <c r="I640" i="6" s="1"/>
  <c r="H652" i="6"/>
  <c r="I652" i="6" s="1"/>
  <c r="H664" i="6"/>
  <c r="I664" i="6" s="1"/>
  <c r="H676" i="6"/>
  <c r="I676" i="6" s="1"/>
  <c r="H688" i="6"/>
  <c r="I688" i="6" s="1"/>
  <c r="H700" i="6"/>
  <c r="I700" i="6" s="1"/>
  <c r="H712" i="6"/>
  <c r="I712" i="6" s="1"/>
  <c r="H724" i="6"/>
  <c r="I724" i="6" s="1"/>
  <c r="H736" i="6"/>
  <c r="I736" i="6" s="1"/>
  <c r="H5" i="6"/>
  <c r="I5" i="6" s="1"/>
  <c r="H17" i="6"/>
  <c r="I17" i="6" s="1"/>
  <c r="H29" i="6"/>
  <c r="I29" i="6" s="1"/>
  <c r="H41" i="6"/>
  <c r="I41" i="6" s="1"/>
  <c r="H53" i="6"/>
  <c r="I53" i="6" s="1"/>
  <c r="H65" i="6"/>
  <c r="I65" i="6" s="1"/>
  <c r="H77" i="6"/>
  <c r="I77" i="6" s="1"/>
  <c r="H89" i="6"/>
  <c r="I89" i="6" s="1"/>
  <c r="H101" i="6"/>
  <c r="I101" i="6" s="1"/>
  <c r="H113" i="6"/>
  <c r="I113" i="6" s="1"/>
  <c r="H125" i="6"/>
  <c r="I125" i="6" s="1"/>
  <c r="H137" i="6"/>
  <c r="I137" i="6" s="1"/>
  <c r="H149" i="6"/>
  <c r="I149" i="6" s="1"/>
  <c r="H161" i="6"/>
  <c r="I161" i="6" s="1"/>
  <c r="H173" i="6"/>
  <c r="I173" i="6" s="1"/>
  <c r="H185" i="6"/>
  <c r="I185" i="6" s="1"/>
  <c r="H197" i="6"/>
  <c r="I197" i="6" s="1"/>
  <c r="H209" i="6"/>
  <c r="I209" i="6" s="1"/>
  <c r="H221" i="6"/>
  <c r="I221" i="6" s="1"/>
  <c r="H233" i="6"/>
  <c r="I233" i="6" s="1"/>
  <c r="H245" i="6"/>
  <c r="I245" i="6" s="1"/>
  <c r="H257" i="6"/>
  <c r="I257" i="6" s="1"/>
  <c r="H269" i="6"/>
  <c r="I269" i="6" s="1"/>
  <c r="H281" i="6"/>
  <c r="I281" i="6" s="1"/>
  <c r="H293" i="6"/>
  <c r="I293" i="6" s="1"/>
  <c r="H305" i="6"/>
  <c r="I305" i="6" s="1"/>
  <c r="H317" i="6"/>
  <c r="I317" i="6" s="1"/>
  <c r="H329" i="6"/>
  <c r="I329" i="6" s="1"/>
  <c r="H341" i="6"/>
  <c r="I341" i="6" s="1"/>
  <c r="H353" i="6"/>
  <c r="I353" i="6" s="1"/>
  <c r="H365" i="6"/>
  <c r="I365" i="6" s="1"/>
  <c r="H377" i="6"/>
  <c r="I377" i="6" s="1"/>
  <c r="H389" i="6"/>
  <c r="I389" i="6" s="1"/>
  <c r="H401" i="6"/>
  <c r="I401" i="6" s="1"/>
  <c r="H413" i="6"/>
  <c r="I413" i="6" s="1"/>
  <c r="H425" i="6"/>
  <c r="I425" i="6" s="1"/>
  <c r="H437" i="6"/>
  <c r="I437" i="6" s="1"/>
  <c r="H449" i="6"/>
  <c r="I449" i="6" s="1"/>
  <c r="H461" i="6"/>
  <c r="I461" i="6" s="1"/>
  <c r="H473" i="6"/>
  <c r="I473" i="6" s="1"/>
  <c r="H485" i="6"/>
  <c r="I485" i="6" s="1"/>
  <c r="H497" i="6"/>
  <c r="I497" i="6" s="1"/>
  <c r="H509" i="6"/>
  <c r="I509" i="6" s="1"/>
  <c r="H521" i="6"/>
  <c r="I521" i="6" s="1"/>
  <c r="H533" i="6"/>
  <c r="I533" i="6" s="1"/>
  <c r="H545" i="6"/>
  <c r="I545" i="6" s="1"/>
  <c r="H557" i="6"/>
  <c r="I557" i="6" s="1"/>
  <c r="H569" i="6"/>
  <c r="I569" i="6" s="1"/>
  <c r="H581" i="6"/>
  <c r="I581" i="6" s="1"/>
  <c r="H593" i="6"/>
  <c r="I593" i="6" s="1"/>
  <c r="H605" i="6"/>
  <c r="I605" i="6" s="1"/>
  <c r="H617" i="6"/>
  <c r="I617" i="6" s="1"/>
  <c r="H629" i="6"/>
  <c r="I629" i="6" s="1"/>
  <c r="H641" i="6"/>
  <c r="I641" i="6" s="1"/>
  <c r="H653" i="6"/>
  <c r="I653" i="6" s="1"/>
  <c r="H665" i="6"/>
  <c r="I665" i="6" s="1"/>
  <c r="H677" i="6"/>
  <c r="I677" i="6" s="1"/>
  <c r="H689" i="6"/>
  <c r="I689" i="6" s="1"/>
  <c r="H701" i="6"/>
  <c r="I701" i="6" s="1"/>
  <c r="H713" i="6"/>
  <c r="I713" i="6" s="1"/>
  <c r="H725" i="6"/>
  <c r="I725" i="6" s="1"/>
  <c r="H737" i="6"/>
  <c r="I737" i="6" s="1"/>
  <c r="H749" i="6"/>
  <c r="I749" i="6" s="1"/>
  <c r="H761" i="6"/>
  <c r="I761" i="6" s="1"/>
  <c r="H773" i="6"/>
  <c r="I773" i="6" s="1"/>
  <c r="H785" i="6"/>
  <c r="I785" i="6" s="1"/>
  <c r="H797" i="6"/>
  <c r="I797" i="6" s="1"/>
  <c r="H809" i="6"/>
  <c r="I809" i="6" s="1"/>
  <c r="H821" i="6"/>
  <c r="I821" i="6" s="1"/>
  <c r="H833" i="6"/>
  <c r="I833" i="6" s="1"/>
  <c r="H845" i="6"/>
  <c r="I845" i="6" s="1"/>
  <c r="H857" i="6"/>
  <c r="I857" i="6" s="1"/>
  <c r="H869" i="6"/>
  <c r="I869" i="6" s="1"/>
  <c r="H881" i="6"/>
  <c r="I881" i="6" s="1"/>
  <c r="H893" i="6"/>
  <c r="I893" i="6" s="1"/>
  <c r="H905" i="6"/>
  <c r="I905" i="6" s="1"/>
  <c r="H917" i="6"/>
  <c r="I917" i="6" s="1"/>
  <c r="H929" i="6"/>
  <c r="I929" i="6" s="1"/>
  <c r="H941" i="6"/>
  <c r="I941" i="6" s="1"/>
  <c r="H953" i="6"/>
  <c r="I953" i="6" s="1"/>
  <c r="H965" i="6"/>
  <c r="I965" i="6" s="1"/>
  <c r="H977" i="6"/>
  <c r="I977" i="6" s="1"/>
  <c r="H989" i="6"/>
  <c r="I989" i="6" s="1"/>
  <c r="H1001" i="6"/>
  <c r="I1001" i="6" s="1"/>
  <c r="H1013" i="6"/>
  <c r="I1013" i="6" s="1"/>
  <c r="H6" i="6"/>
  <c r="I6" i="6" s="1"/>
  <c r="H18" i="6"/>
  <c r="I18" i="6" s="1"/>
  <c r="H30" i="6"/>
  <c r="I30" i="6" s="1"/>
  <c r="H42" i="6"/>
  <c r="I42" i="6" s="1"/>
  <c r="H54" i="6"/>
  <c r="I54" i="6" s="1"/>
  <c r="H66" i="6"/>
  <c r="I66" i="6" s="1"/>
  <c r="H78" i="6"/>
  <c r="I78" i="6" s="1"/>
  <c r="H90" i="6"/>
  <c r="I90" i="6" s="1"/>
  <c r="H102" i="6"/>
  <c r="I102" i="6" s="1"/>
  <c r="H114" i="6"/>
  <c r="I114" i="6" s="1"/>
  <c r="H126" i="6"/>
  <c r="I126" i="6" s="1"/>
  <c r="H138" i="6"/>
  <c r="I138" i="6" s="1"/>
  <c r="H150" i="6"/>
  <c r="I150" i="6" s="1"/>
  <c r="H162" i="6"/>
  <c r="I162" i="6" s="1"/>
  <c r="H174" i="6"/>
  <c r="I174" i="6" s="1"/>
  <c r="H186" i="6"/>
  <c r="I186" i="6" s="1"/>
  <c r="H198" i="6"/>
  <c r="I198" i="6" s="1"/>
  <c r="H210" i="6"/>
  <c r="I210" i="6" s="1"/>
  <c r="H222" i="6"/>
  <c r="I222" i="6" s="1"/>
  <c r="H234" i="6"/>
  <c r="I234" i="6" s="1"/>
  <c r="H246" i="6"/>
  <c r="I246" i="6" s="1"/>
  <c r="H258" i="6"/>
  <c r="I258" i="6" s="1"/>
  <c r="H270" i="6"/>
  <c r="I270" i="6" s="1"/>
  <c r="H282" i="6"/>
  <c r="I282" i="6" s="1"/>
  <c r="H294" i="6"/>
  <c r="I294" i="6" s="1"/>
  <c r="H306" i="6"/>
  <c r="I306" i="6" s="1"/>
  <c r="H318" i="6"/>
  <c r="I318" i="6" s="1"/>
  <c r="H330" i="6"/>
  <c r="I330" i="6" s="1"/>
  <c r="H342" i="6"/>
  <c r="I342" i="6" s="1"/>
  <c r="H354" i="6"/>
  <c r="I354" i="6" s="1"/>
  <c r="H366" i="6"/>
  <c r="I366" i="6" s="1"/>
  <c r="H378" i="6"/>
  <c r="I378" i="6" s="1"/>
  <c r="H390" i="6"/>
  <c r="I390" i="6" s="1"/>
  <c r="H402" i="6"/>
  <c r="I402" i="6" s="1"/>
  <c r="H414" i="6"/>
  <c r="I414" i="6" s="1"/>
  <c r="H426" i="6"/>
  <c r="I426" i="6" s="1"/>
  <c r="H7" i="6"/>
  <c r="I7" i="6" s="1"/>
  <c r="H19" i="6"/>
  <c r="I19" i="6" s="1"/>
  <c r="H31" i="6"/>
  <c r="I31" i="6" s="1"/>
  <c r="H43" i="6"/>
  <c r="I43" i="6" s="1"/>
  <c r="H55" i="6"/>
  <c r="I55" i="6" s="1"/>
  <c r="H67" i="6"/>
  <c r="I67" i="6" s="1"/>
  <c r="H79" i="6"/>
  <c r="I79" i="6" s="1"/>
  <c r="H91" i="6"/>
  <c r="I91" i="6" s="1"/>
  <c r="H103" i="6"/>
  <c r="I103" i="6" s="1"/>
  <c r="H115" i="6"/>
  <c r="I115" i="6" s="1"/>
  <c r="H127" i="6"/>
  <c r="I127" i="6" s="1"/>
  <c r="H139" i="6"/>
  <c r="I139" i="6" s="1"/>
  <c r="H151" i="6"/>
  <c r="I151" i="6" s="1"/>
  <c r="H163" i="6"/>
  <c r="I163" i="6" s="1"/>
  <c r="H175" i="6"/>
  <c r="I175" i="6" s="1"/>
  <c r="H187" i="6"/>
  <c r="I187" i="6" s="1"/>
  <c r="H199" i="6"/>
  <c r="I199" i="6" s="1"/>
  <c r="H211" i="6"/>
  <c r="I211" i="6" s="1"/>
  <c r="H223" i="6"/>
  <c r="I223" i="6" s="1"/>
  <c r="H235" i="6"/>
  <c r="I235" i="6" s="1"/>
  <c r="H247" i="6"/>
  <c r="I247" i="6" s="1"/>
  <c r="H259" i="6"/>
  <c r="I259" i="6" s="1"/>
  <c r="H271" i="6"/>
  <c r="I271" i="6" s="1"/>
  <c r="H283" i="6"/>
  <c r="I283" i="6" s="1"/>
  <c r="H295" i="6"/>
  <c r="I295" i="6" s="1"/>
  <c r="H307" i="6"/>
  <c r="I307" i="6" s="1"/>
  <c r="H319" i="6"/>
  <c r="I319" i="6" s="1"/>
  <c r="H331" i="6"/>
  <c r="I331" i="6" s="1"/>
  <c r="H343" i="6"/>
  <c r="I343" i="6" s="1"/>
  <c r="H355" i="6"/>
  <c r="I355" i="6" s="1"/>
  <c r="H367" i="6"/>
  <c r="I367" i="6" s="1"/>
  <c r="H379" i="6"/>
  <c r="I379" i="6" s="1"/>
  <c r="H391" i="6"/>
  <c r="I391" i="6" s="1"/>
  <c r="H403" i="6"/>
  <c r="I403" i="6" s="1"/>
  <c r="H415" i="6"/>
  <c r="I415" i="6" s="1"/>
  <c r="H427" i="6"/>
  <c r="I427" i="6" s="1"/>
  <c r="H439" i="6"/>
  <c r="I439" i="6" s="1"/>
  <c r="H451" i="6"/>
  <c r="I451" i="6" s="1"/>
  <c r="H463" i="6"/>
  <c r="I463" i="6" s="1"/>
  <c r="H475" i="6"/>
  <c r="I475" i="6" s="1"/>
  <c r="H487" i="6"/>
  <c r="I487" i="6" s="1"/>
  <c r="H499" i="6"/>
  <c r="I499" i="6" s="1"/>
  <c r="H511" i="6"/>
  <c r="I511" i="6" s="1"/>
  <c r="H523" i="6"/>
  <c r="I523" i="6" s="1"/>
  <c r="H535" i="6"/>
  <c r="I535" i="6" s="1"/>
  <c r="H547" i="6"/>
  <c r="I547" i="6" s="1"/>
  <c r="H559" i="6"/>
  <c r="I559" i="6" s="1"/>
  <c r="H571" i="6"/>
  <c r="I571" i="6" s="1"/>
  <c r="H583" i="6"/>
  <c r="I583" i="6" s="1"/>
  <c r="H595" i="6"/>
  <c r="I595" i="6" s="1"/>
  <c r="H607" i="6"/>
  <c r="I607" i="6" s="1"/>
  <c r="H619" i="6"/>
  <c r="I619" i="6" s="1"/>
  <c r="H631" i="6"/>
  <c r="I631" i="6" s="1"/>
  <c r="H643" i="6"/>
  <c r="I643" i="6" s="1"/>
  <c r="H655" i="6"/>
  <c r="I655" i="6" s="1"/>
  <c r="H667" i="6"/>
  <c r="I667" i="6" s="1"/>
  <c r="H679" i="6"/>
  <c r="I679" i="6" s="1"/>
  <c r="H691" i="6"/>
  <c r="I691" i="6" s="1"/>
  <c r="H703" i="6"/>
  <c r="I703" i="6" s="1"/>
  <c r="H715" i="6"/>
  <c r="I715" i="6" s="1"/>
  <c r="H727" i="6"/>
  <c r="I727" i="6" s="1"/>
  <c r="H739" i="6"/>
  <c r="I739" i="6" s="1"/>
  <c r="H751" i="6"/>
  <c r="I751" i="6" s="1"/>
  <c r="H763" i="6"/>
  <c r="I763" i="6" s="1"/>
  <c r="H775" i="6"/>
  <c r="I775" i="6" s="1"/>
  <c r="H787" i="6"/>
  <c r="I787" i="6" s="1"/>
  <c r="H799" i="6"/>
  <c r="I799" i="6" s="1"/>
  <c r="H811" i="6"/>
  <c r="I811" i="6" s="1"/>
  <c r="H823" i="6"/>
  <c r="I823" i="6" s="1"/>
  <c r="H835" i="6"/>
  <c r="I835" i="6" s="1"/>
  <c r="H847" i="6"/>
  <c r="I847" i="6" s="1"/>
  <c r="H859" i="6"/>
  <c r="I859" i="6" s="1"/>
  <c r="H871" i="6"/>
  <c r="I871" i="6" s="1"/>
  <c r="H883" i="6"/>
  <c r="I883" i="6" s="1"/>
  <c r="H895" i="6"/>
  <c r="I895" i="6" s="1"/>
  <c r="H907" i="6"/>
  <c r="I907" i="6" s="1"/>
  <c r="H919" i="6"/>
  <c r="I919" i="6" s="1"/>
  <c r="H931" i="6"/>
  <c r="I931" i="6" s="1"/>
  <c r="H943" i="6"/>
  <c r="I943" i="6" s="1"/>
  <c r="H955" i="6"/>
  <c r="I955" i="6" s="1"/>
  <c r="H967" i="6"/>
  <c r="I967" i="6" s="1"/>
  <c r="H979" i="6"/>
  <c r="I979" i="6" s="1"/>
  <c r="H991" i="6"/>
  <c r="I991" i="6" s="1"/>
  <c r="H1003" i="6"/>
  <c r="I1003" i="6" s="1"/>
  <c r="H1015" i="6"/>
  <c r="I1015" i="6" s="1"/>
  <c r="H9" i="6"/>
  <c r="I9" i="6" s="1"/>
  <c r="H21" i="6"/>
  <c r="I21" i="6" s="1"/>
  <c r="H33" i="6"/>
  <c r="I33" i="6" s="1"/>
  <c r="H45" i="6"/>
  <c r="I45" i="6" s="1"/>
  <c r="H57" i="6"/>
  <c r="I57" i="6" s="1"/>
  <c r="H69" i="6"/>
  <c r="I69" i="6" s="1"/>
  <c r="H81" i="6"/>
  <c r="I81" i="6" s="1"/>
  <c r="H93" i="6"/>
  <c r="I93" i="6" s="1"/>
  <c r="H105" i="6"/>
  <c r="I105" i="6" s="1"/>
  <c r="H117" i="6"/>
  <c r="I117" i="6" s="1"/>
  <c r="H129" i="6"/>
  <c r="I129" i="6" s="1"/>
  <c r="H141" i="6"/>
  <c r="I141" i="6" s="1"/>
  <c r="H153" i="6"/>
  <c r="I153" i="6" s="1"/>
  <c r="H165" i="6"/>
  <c r="I165" i="6" s="1"/>
  <c r="H177" i="6"/>
  <c r="I177" i="6" s="1"/>
  <c r="H189" i="6"/>
  <c r="I189" i="6" s="1"/>
  <c r="H201" i="6"/>
  <c r="I201" i="6" s="1"/>
  <c r="H213" i="6"/>
  <c r="I213" i="6" s="1"/>
  <c r="H225" i="6"/>
  <c r="I225" i="6" s="1"/>
  <c r="H237" i="6"/>
  <c r="I237" i="6" s="1"/>
  <c r="H249" i="6"/>
  <c r="I249" i="6" s="1"/>
  <c r="H261" i="6"/>
  <c r="I261" i="6" s="1"/>
  <c r="H273" i="6"/>
  <c r="I273" i="6" s="1"/>
  <c r="H285" i="6"/>
  <c r="I285" i="6" s="1"/>
  <c r="H297" i="6"/>
  <c r="I297" i="6" s="1"/>
  <c r="H309" i="6"/>
  <c r="I309" i="6" s="1"/>
  <c r="H321" i="6"/>
  <c r="I321" i="6" s="1"/>
  <c r="H333" i="6"/>
  <c r="I333" i="6" s="1"/>
  <c r="H345" i="6"/>
  <c r="I345" i="6" s="1"/>
  <c r="H357" i="6"/>
  <c r="I357" i="6" s="1"/>
  <c r="H369" i="6"/>
  <c r="I369" i="6" s="1"/>
  <c r="H381" i="6"/>
  <c r="I381" i="6" s="1"/>
  <c r="H393" i="6"/>
  <c r="I393" i="6" s="1"/>
  <c r="H405" i="6"/>
  <c r="I405" i="6" s="1"/>
  <c r="H417" i="6"/>
  <c r="I417" i="6" s="1"/>
  <c r="H429" i="6"/>
  <c r="I429" i="6" s="1"/>
  <c r="H441" i="6"/>
  <c r="I441" i="6" s="1"/>
  <c r="H453" i="6"/>
  <c r="I453" i="6" s="1"/>
  <c r="H465" i="6"/>
  <c r="I465" i="6" s="1"/>
  <c r="H477" i="6"/>
  <c r="I477" i="6" s="1"/>
  <c r="H25" i="6"/>
  <c r="I25" i="6" s="1"/>
  <c r="H47" i="6"/>
  <c r="I47" i="6" s="1"/>
  <c r="H68" i="6"/>
  <c r="I68" i="6" s="1"/>
  <c r="H86" i="6"/>
  <c r="I86" i="6" s="1"/>
  <c r="H108" i="6"/>
  <c r="I108" i="6" s="1"/>
  <c r="H130" i="6"/>
  <c r="I130" i="6" s="1"/>
  <c r="H147" i="6"/>
  <c r="I147" i="6" s="1"/>
  <c r="H169" i="6"/>
  <c r="I169" i="6" s="1"/>
  <c r="H191" i="6"/>
  <c r="I191" i="6" s="1"/>
  <c r="H212" i="6"/>
  <c r="I212" i="6" s="1"/>
  <c r="H230" i="6"/>
  <c r="I230" i="6" s="1"/>
  <c r="H252" i="6"/>
  <c r="I252" i="6" s="1"/>
  <c r="H274" i="6"/>
  <c r="I274" i="6" s="1"/>
  <c r="H291" i="6"/>
  <c r="I291" i="6" s="1"/>
  <c r="H313" i="6"/>
  <c r="I313" i="6" s="1"/>
  <c r="H335" i="6"/>
  <c r="I335" i="6" s="1"/>
  <c r="H356" i="6"/>
  <c r="I356" i="6" s="1"/>
  <c r="H374" i="6"/>
  <c r="I374" i="6" s="1"/>
  <c r="H396" i="6"/>
  <c r="I396" i="6" s="1"/>
  <c r="H418" i="6"/>
  <c r="I418" i="6" s="1"/>
  <c r="H435" i="6"/>
  <c r="I435" i="6" s="1"/>
  <c r="H455" i="6"/>
  <c r="I455" i="6" s="1"/>
  <c r="H471" i="6"/>
  <c r="I471" i="6" s="1"/>
  <c r="H490" i="6"/>
  <c r="I490" i="6" s="1"/>
  <c r="H505" i="6"/>
  <c r="I505" i="6" s="1"/>
  <c r="H522" i="6"/>
  <c r="I522" i="6" s="1"/>
  <c r="H538" i="6"/>
  <c r="I538" i="6" s="1"/>
  <c r="H553" i="6"/>
  <c r="I553" i="6" s="1"/>
  <c r="H570" i="6"/>
  <c r="I570" i="6" s="1"/>
  <c r="H586" i="6"/>
  <c r="I586" i="6" s="1"/>
  <c r="H601" i="6"/>
  <c r="I601" i="6" s="1"/>
  <c r="H618" i="6"/>
  <c r="I618" i="6" s="1"/>
  <c r="H634" i="6"/>
  <c r="I634" i="6" s="1"/>
  <c r="H649" i="6"/>
  <c r="I649" i="6" s="1"/>
  <c r="H666" i="6"/>
  <c r="I666" i="6" s="1"/>
  <c r="H682" i="6"/>
  <c r="I682" i="6" s="1"/>
  <c r="H697" i="6"/>
  <c r="I697" i="6" s="1"/>
  <c r="H714" i="6"/>
  <c r="I714" i="6" s="1"/>
  <c r="H730" i="6"/>
  <c r="I730" i="6" s="1"/>
  <c r="H745" i="6"/>
  <c r="I745" i="6" s="1"/>
  <c r="H759" i="6"/>
  <c r="I759" i="6" s="1"/>
  <c r="H774" i="6"/>
  <c r="I774" i="6" s="1"/>
  <c r="H789" i="6"/>
  <c r="I789" i="6" s="1"/>
  <c r="H803" i="6"/>
  <c r="I803" i="6" s="1"/>
  <c r="H817" i="6"/>
  <c r="I817" i="6" s="1"/>
  <c r="H831" i="6"/>
  <c r="I831" i="6" s="1"/>
  <c r="H846" i="6"/>
  <c r="I846" i="6" s="1"/>
  <c r="H861" i="6"/>
  <c r="I861" i="6" s="1"/>
  <c r="H875" i="6"/>
  <c r="I875" i="6" s="1"/>
  <c r="H889" i="6"/>
  <c r="I889" i="6" s="1"/>
  <c r="H903" i="6"/>
  <c r="I903" i="6" s="1"/>
  <c r="H918" i="6"/>
  <c r="I918" i="6" s="1"/>
  <c r="H933" i="6"/>
  <c r="I933" i="6" s="1"/>
  <c r="H947" i="6"/>
  <c r="I947" i="6" s="1"/>
  <c r="H961" i="6"/>
  <c r="I961" i="6" s="1"/>
  <c r="H975" i="6"/>
  <c r="I975" i="6" s="1"/>
  <c r="H990" i="6"/>
  <c r="I990" i="6" s="1"/>
  <c r="H1005" i="6"/>
  <c r="I1005" i="6" s="1"/>
  <c r="H1019" i="6"/>
  <c r="I1019" i="6" s="1"/>
  <c r="H1031" i="6"/>
  <c r="I1031" i="6" s="1"/>
  <c r="H1043" i="6"/>
  <c r="I1043" i="6" s="1"/>
  <c r="H1055" i="6"/>
  <c r="I1055" i="6" s="1"/>
  <c r="H1067" i="6"/>
  <c r="I1067" i="6" s="1"/>
  <c r="H1079" i="6"/>
  <c r="I1079" i="6" s="1"/>
  <c r="H1091" i="6"/>
  <c r="I1091" i="6" s="1"/>
  <c r="H1103" i="6"/>
  <c r="I1103" i="6" s="1"/>
  <c r="H1115" i="6"/>
  <c r="I1115" i="6" s="1"/>
  <c r="H1127" i="6"/>
  <c r="I1127" i="6" s="1"/>
  <c r="H1139" i="6"/>
  <c r="I1139" i="6" s="1"/>
  <c r="H1151" i="6"/>
  <c r="I1151" i="6" s="1"/>
  <c r="H1163" i="6"/>
  <c r="I1163" i="6" s="1"/>
  <c r="H1175" i="6"/>
  <c r="I1175" i="6" s="1"/>
  <c r="H1187" i="6"/>
  <c r="I1187" i="6" s="1"/>
  <c r="H1199" i="6"/>
  <c r="I1199" i="6" s="1"/>
  <c r="H1211" i="6"/>
  <c r="I1211" i="6" s="1"/>
  <c r="H1223" i="6"/>
  <c r="I1223" i="6" s="1"/>
  <c r="H1235" i="6"/>
  <c r="I1235" i="6" s="1"/>
  <c r="H1247" i="6"/>
  <c r="I1247" i="6" s="1"/>
  <c r="H1259" i="6"/>
  <c r="I1259" i="6" s="1"/>
  <c r="H8" i="6"/>
  <c r="I8" i="6" s="1"/>
  <c r="H26" i="6"/>
  <c r="I26" i="6" s="1"/>
  <c r="H48" i="6"/>
  <c r="I48" i="6" s="1"/>
  <c r="H70" i="6"/>
  <c r="I70" i="6" s="1"/>
  <c r="H87" i="6"/>
  <c r="I87" i="6" s="1"/>
  <c r="H109" i="6"/>
  <c r="I109" i="6" s="1"/>
  <c r="H131" i="6"/>
  <c r="I131" i="6" s="1"/>
  <c r="H152" i="6"/>
  <c r="I152" i="6" s="1"/>
  <c r="H170" i="6"/>
  <c r="I170" i="6" s="1"/>
  <c r="H192" i="6"/>
  <c r="I192" i="6" s="1"/>
  <c r="H214" i="6"/>
  <c r="I214" i="6" s="1"/>
  <c r="H231" i="6"/>
  <c r="I231" i="6" s="1"/>
  <c r="H253" i="6"/>
  <c r="I253" i="6" s="1"/>
  <c r="H275" i="6"/>
  <c r="I275" i="6" s="1"/>
  <c r="H296" i="6"/>
  <c r="I296" i="6" s="1"/>
  <c r="H314" i="6"/>
  <c r="I314" i="6" s="1"/>
  <c r="H336" i="6"/>
  <c r="I336" i="6" s="1"/>
  <c r="H358" i="6"/>
  <c r="I358" i="6" s="1"/>
  <c r="H375" i="6"/>
  <c r="I375" i="6" s="1"/>
  <c r="H397" i="6"/>
  <c r="I397" i="6" s="1"/>
  <c r="H419" i="6"/>
  <c r="I419" i="6" s="1"/>
  <c r="H438" i="6"/>
  <c r="I438" i="6" s="1"/>
  <c r="H456" i="6"/>
  <c r="I456" i="6" s="1"/>
  <c r="H474" i="6"/>
  <c r="I474" i="6" s="1"/>
  <c r="H491" i="6"/>
  <c r="I491" i="6" s="1"/>
  <c r="H506" i="6"/>
  <c r="I506" i="6" s="1"/>
  <c r="H524" i="6"/>
  <c r="I524" i="6" s="1"/>
  <c r="H539" i="6"/>
  <c r="I539" i="6" s="1"/>
  <c r="H554" i="6"/>
  <c r="I554" i="6" s="1"/>
  <c r="H572" i="6"/>
  <c r="I572" i="6" s="1"/>
  <c r="H587" i="6"/>
  <c r="I587" i="6" s="1"/>
  <c r="H602" i="6"/>
  <c r="I602" i="6" s="1"/>
  <c r="H620" i="6"/>
  <c r="I620" i="6" s="1"/>
  <c r="H635" i="6"/>
  <c r="I635" i="6" s="1"/>
  <c r="H650" i="6"/>
  <c r="I650" i="6" s="1"/>
  <c r="H668" i="6"/>
  <c r="I668" i="6" s="1"/>
  <c r="H683" i="6"/>
  <c r="I683" i="6" s="1"/>
  <c r="H698" i="6"/>
  <c r="I698" i="6" s="1"/>
  <c r="H716" i="6"/>
  <c r="I716" i="6" s="1"/>
  <c r="H731" i="6"/>
  <c r="I731" i="6" s="1"/>
  <c r="H746" i="6"/>
  <c r="I746" i="6" s="1"/>
  <c r="H760" i="6"/>
  <c r="I760" i="6" s="1"/>
  <c r="H776" i="6"/>
  <c r="I776" i="6" s="1"/>
  <c r="H790" i="6"/>
  <c r="I790" i="6" s="1"/>
  <c r="H804" i="6"/>
  <c r="I804" i="6" s="1"/>
  <c r="H818" i="6"/>
  <c r="I818" i="6" s="1"/>
  <c r="H832" i="6"/>
  <c r="I832" i="6" s="1"/>
  <c r="H848" i="6"/>
  <c r="I848" i="6" s="1"/>
  <c r="H862" i="6"/>
  <c r="I862" i="6" s="1"/>
  <c r="H876" i="6"/>
  <c r="I876" i="6" s="1"/>
  <c r="H890" i="6"/>
  <c r="I890" i="6" s="1"/>
  <c r="H904" i="6"/>
  <c r="I904" i="6" s="1"/>
  <c r="H920" i="6"/>
  <c r="I920" i="6" s="1"/>
  <c r="H934" i="6"/>
  <c r="I934" i="6" s="1"/>
  <c r="H948" i="6"/>
  <c r="I948" i="6" s="1"/>
  <c r="H962" i="6"/>
  <c r="I962" i="6" s="1"/>
  <c r="H976" i="6"/>
  <c r="I976" i="6" s="1"/>
  <c r="H992" i="6"/>
  <c r="I992" i="6" s="1"/>
  <c r="H1006" i="6"/>
  <c r="I1006" i="6" s="1"/>
  <c r="H1020" i="6"/>
  <c r="I1020" i="6" s="1"/>
  <c r="H1032" i="6"/>
  <c r="I1032" i="6" s="1"/>
  <c r="H1044" i="6"/>
  <c r="I1044" i="6" s="1"/>
  <c r="H1056" i="6"/>
  <c r="I1056" i="6" s="1"/>
  <c r="H1068" i="6"/>
  <c r="I1068" i="6" s="1"/>
  <c r="H1080" i="6"/>
  <c r="I1080" i="6" s="1"/>
  <c r="H1092" i="6"/>
  <c r="I1092" i="6" s="1"/>
  <c r="H1104" i="6"/>
  <c r="I1104" i="6" s="1"/>
  <c r="H1116" i="6"/>
  <c r="I1116" i="6" s="1"/>
  <c r="H1128" i="6"/>
  <c r="I1128" i="6" s="1"/>
  <c r="H1140" i="6"/>
  <c r="I1140" i="6" s="1"/>
  <c r="H1152" i="6"/>
  <c r="I1152" i="6" s="1"/>
  <c r="H1164" i="6"/>
  <c r="I1164" i="6" s="1"/>
  <c r="H1176" i="6"/>
  <c r="I1176" i="6" s="1"/>
  <c r="H1188" i="6"/>
  <c r="I1188" i="6" s="1"/>
  <c r="H1200" i="6"/>
  <c r="I1200" i="6" s="1"/>
  <c r="H1212" i="6"/>
  <c r="I1212" i="6" s="1"/>
  <c r="H1224" i="6"/>
  <c r="I1224" i="6" s="1"/>
  <c r="H1236" i="6"/>
  <c r="I1236" i="6" s="1"/>
  <c r="H1248" i="6"/>
  <c r="I1248" i="6" s="1"/>
  <c r="H32" i="6"/>
  <c r="I32" i="6" s="1"/>
  <c r="H72" i="6"/>
  <c r="I72" i="6" s="1"/>
  <c r="H111" i="6"/>
  <c r="I111" i="6" s="1"/>
  <c r="H155" i="6"/>
  <c r="I155" i="6" s="1"/>
  <c r="H194" i="6"/>
  <c r="I194" i="6" s="1"/>
  <c r="H238" i="6"/>
  <c r="I238" i="6" s="1"/>
  <c r="H10" i="6"/>
  <c r="I10" i="6" s="1"/>
  <c r="H27" i="6"/>
  <c r="I27" i="6" s="1"/>
  <c r="H49" i="6"/>
  <c r="I49" i="6" s="1"/>
  <c r="H71" i="6"/>
  <c r="I71" i="6" s="1"/>
  <c r="H92" i="6"/>
  <c r="I92" i="6" s="1"/>
  <c r="H110" i="6"/>
  <c r="I110" i="6" s="1"/>
  <c r="H132" i="6"/>
  <c r="I132" i="6" s="1"/>
  <c r="H154" i="6"/>
  <c r="I154" i="6" s="1"/>
  <c r="H171" i="6"/>
  <c r="I171" i="6" s="1"/>
  <c r="H193" i="6"/>
  <c r="I193" i="6" s="1"/>
  <c r="H215" i="6"/>
  <c r="I215" i="6" s="1"/>
  <c r="H236" i="6"/>
  <c r="I236" i="6" s="1"/>
  <c r="H254" i="6"/>
  <c r="I254" i="6" s="1"/>
  <c r="H276" i="6"/>
  <c r="I276" i="6" s="1"/>
  <c r="H298" i="6"/>
  <c r="I298" i="6" s="1"/>
  <c r="H315" i="6"/>
  <c r="I315" i="6" s="1"/>
  <c r="H337" i="6"/>
  <c r="I337" i="6" s="1"/>
  <c r="H359" i="6"/>
  <c r="I359" i="6" s="1"/>
  <c r="H380" i="6"/>
  <c r="I380" i="6" s="1"/>
  <c r="H398" i="6"/>
  <c r="I398" i="6" s="1"/>
  <c r="H420" i="6"/>
  <c r="I420" i="6" s="1"/>
  <c r="H440" i="6"/>
  <c r="I440" i="6" s="1"/>
  <c r="H457" i="6"/>
  <c r="I457" i="6" s="1"/>
  <c r="H476" i="6"/>
  <c r="I476" i="6" s="1"/>
  <c r="H492" i="6"/>
  <c r="I492" i="6" s="1"/>
  <c r="H507" i="6"/>
  <c r="I507" i="6" s="1"/>
  <c r="H525" i="6"/>
  <c r="I525" i="6" s="1"/>
  <c r="H540" i="6"/>
  <c r="I540" i="6" s="1"/>
  <c r="H555" i="6"/>
  <c r="I555" i="6" s="1"/>
  <c r="H573" i="6"/>
  <c r="I573" i="6" s="1"/>
  <c r="H588" i="6"/>
  <c r="I588" i="6" s="1"/>
  <c r="H603" i="6"/>
  <c r="I603" i="6" s="1"/>
  <c r="H621" i="6"/>
  <c r="I621" i="6" s="1"/>
  <c r="H636" i="6"/>
  <c r="I636" i="6" s="1"/>
  <c r="H651" i="6"/>
  <c r="I651" i="6" s="1"/>
  <c r="H669" i="6"/>
  <c r="I669" i="6" s="1"/>
  <c r="H684" i="6"/>
  <c r="I684" i="6" s="1"/>
  <c r="H699" i="6"/>
  <c r="I699" i="6" s="1"/>
  <c r="H717" i="6"/>
  <c r="I717" i="6" s="1"/>
  <c r="H732" i="6"/>
  <c r="I732" i="6" s="1"/>
  <c r="H747" i="6"/>
  <c r="I747" i="6" s="1"/>
  <c r="H762" i="6"/>
  <c r="I762" i="6" s="1"/>
  <c r="H777" i="6"/>
  <c r="I777" i="6" s="1"/>
  <c r="H791" i="6"/>
  <c r="I791" i="6" s="1"/>
  <c r="H805" i="6"/>
  <c r="I805" i="6" s="1"/>
  <c r="H819" i="6"/>
  <c r="I819" i="6" s="1"/>
  <c r="H834" i="6"/>
  <c r="I834" i="6" s="1"/>
  <c r="H849" i="6"/>
  <c r="I849" i="6" s="1"/>
  <c r="H863" i="6"/>
  <c r="I863" i="6" s="1"/>
  <c r="H877" i="6"/>
  <c r="I877" i="6" s="1"/>
  <c r="H891" i="6"/>
  <c r="I891" i="6" s="1"/>
  <c r="H906" i="6"/>
  <c r="I906" i="6" s="1"/>
  <c r="H921" i="6"/>
  <c r="I921" i="6" s="1"/>
  <c r="H935" i="6"/>
  <c r="I935" i="6" s="1"/>
  <c r="H949" i="6"/>
  <c r="I949" i="6" s="1"/>
  <c r="H963" i="6"/>
  <c r="I963" i="6" s="1"/>
  <c r="H978" i="6"/>
  <c r="I978" i="6" s="1"/>
  <c r="H993" i="6"/>
  <c r="I993" i="6" s="1"/>
  <c r="H1007" i="6"/>
  <c r="I1007" i="6" s="1"/>
  <c r="H1021" i="6"/>
  <c r="I1021" i="6" s="1"/>
  <c r="H1033" i="6"/>
  <c r="I1033" i="6" s="1"/>
  <c r="H1045" i="6"/>
  <c r="I1045" i="6" s="1"/>
  <c r="H1057" i="6"/>
  <c r="I1057" i="6" s="1"/>
  <c r="H1069" i="6"/>
  <c r="I1069" i="6" s="1"/>
  <c r="H1081" i="6"/>
  <c r="I1081" i="6" s="1"/>
  <c r="H1093" i="6"/>
  <c r="I1093" i="6" s="1"/>
  <c r="H1105" i="6"/>
  <c r="I1105" i="6" s="1"/>
  <c r="H1117" i="6"/>
  <c r="I1117" i="6" s="1"/>
  <c r="H1129" i="6"/>
  <c r="I1129" i="6" s="1"/>
  <c r="H1141" i="6"/>
  <c r="I1141" i="6" s="1"/>
  <c r="H1153" i="6"/>
  <c r="I1153" i="6" s="1"/>
  <c r="H1165" i="6"/>
  <c r="I1165" i="6" s="1"/>
  <c r="H1177" i="6"/>
  <c r="I1177" i="6" s="1"/>
  <c r="H1189" i="6"/>
  <c r="I1189" i="6" s="1"/>
  <c r="H1201" i="6"/>
  <c r="I1201" i="6" s="1"/>
  <c r="H1213" i="6"/>
  <c r="I1213" i="6" s="1"/>
  <c r="H1225" i="6"/>
  <c r="I1225" i="6" s="1"/>
  <c r="H1237" i="6"/>
  <c r="I1237" i="6" s="1"/>
  <c r="H1249" i="6"/>
  <c r="I1249" i="6" s="1"/>
  <c r="H11" i="6"/>
  <c r="I11" i="6" s="1"/>
  <c r="H50" i="6"/>
  <c r="I50" i="6" s="1"/>
  <c r="H94" i="6"/>
  <c r="I94" i="6" s="1"/>
  <c r="H133" i="6"/>
  <c r="I133" i="6" s="1"/>
  <c r="H176" i="6"/>
  <c r="I176" i="6" s="1"/>
  <c r="H216" i="6"/>
  <c r="I216" i="6" s="1"/>
  <c r="H13" i="6"/>
  <c r="I13" i="6" s="1"/>
  <c r="H35" i="6"/>
  <c r="I35" i="6" s="1"/>
  <c r="H56" i="6"/>
  <c r="I56" i="6" s="1"/>
  <c r="H74" i="6"/>
  <c r="I74" i="6" s="1"/>
  <c r="H96" i="6"/>
  <c r="I96" i="6" s="1"/>
  <c r="H118" i="6"/>
  <c r="I118" i="6" s="1"/>
  <c r="H135" i="6"/>
  <c r="I135" i="6" s="1"/>
  <c r="H157" i="6"/>
  <c r="I157" i="6" s="1"/>
  <c r="H179" i="6"/>
  <c r="I179" i="6" s="1"/>
  <c r="H200" i="6"/>
  <c r="I200" i="6" s="1"/>
  <c r="H218" i="6"/>
  <c r="I218" i="6" s="1"/>
  <c r="H240" i="6"/>
  <c r="I240" i="6" s="1"/>
  <c r="H262" i="6"/>
  <c r="I262" i="6" s="1"/>
  <c r="H279" i="6"/>
  <c r="I279" i="6" s="1"/>
  <c r="H301" i="6"/>
  <c r="I301" i="6" s="1"/>
  <c r="H323" i="6"/>
  <c r="I323" i="6" s="1"/>
  <c r="H344" i="6"/>
  <c r="I344" i="6" s="1"/>
  <c r="H362" i="6"/>
  <c r="I362" i="6" s="1"/>
  <c r="H384" i="6"/>
  <c r="I384" i="6" s="1"/>
  <c r="H406" i="6"/>
  <c r="I406" i="6" s="1"/>
  <c r="H423" i="6"/>
  <c r="I423" i="6" s="1"/>
  <c r="H444" i="6"/>
  <c r="I444" i="6" s="1"/>
  <c r="H462" i="6"/>
  <c r="I462" i="6" s="1"/>
  <c r="H480" i="6"/>
  <c r="I480" i="6" s="1"/>
  <c r="H495" i="6"/>
  <c r="I495" i="6" s="1"/>
  <c r="H513" i="6"/>
  <c r="I513" i="6" s="1"/>
  <c r="H528" i="6"/>
  <c r="I528" i="6" s="1"/>
  <c r="H543" i="6"/>
  <c r="I543" i="6" s="1"/>
  <c r="H561" i="6"/>
  <c r="I561" i="6" s="1"/>
  <c r="H576" i="6"/>
  <c r="I576" i="6" s="1"/>
  <c r="H591" i="6"/>
  <c r="I591" i="6" s="1"/>
  <c r="H609" i="6"/>
  <c r="I609" i="6" s="1"/>
  <c r="H624" i="6"/>
  <c r="I624" i="6" s="1"/>
  <c r="H639" i="6"/>
  <c r="I639" i="6" s="1"/>
  <c r="H657" i="6"/>
  <c r="I657" i="6" s="1"/>
  <c r="H672" i="6"/>
  <c r="I672" i="6" s="1"/>
  <c r="H687" i="6"/>
  <c r="I687" i="6" s="1"/>
  <c r="H705" i="6"/>
  <c r="I705" i="6" s="1"/>
  <c r="H720" i="6"/>
  <c r="I720" i="6" s="1"/>
  <c r="H735" i="6"/>
  <c r="I735" i="6" s="1"/>
  <c r="H752" i="6"/>
  <c r="I752" i="6" s="1"/>
  <c r="H766" i="6"/>
  <c r="I766" i="6" s="1"/>
  <c r="H780" i="6"/>
  <c r="I780" i="6" s="1"/>
  <c r="H794" i="6"/>
  <c r="I794" i="6" s="1"/>
  <c r="H808" i="6"/>
  <c r="I808" i="6" s="1"/>
  <c r="H824" i="6"/>
  <c r="I824" i="6" s="1"/>
  <c r="H838" i="6"/>
  <c r="I838" i="6" s="1"/>
  <c r="H852" i="6"/>
  <c r="I852" i="6" s="1"/>
  <c r="H866" i="6"/>
  <c r="I866" i="6" s="1"/>
  <c r="H880" i="6"/>
  <c r="I880" i="6" s="1"/>
  <c r="H896" i="6"/>
  <c r="I896" i="6" s="1"/>
  <c r="H910" i="6"/>
  <c r="I910" i="6" s="1"/>
  <c r="H924" i="6"/>
  <c r="I924" i="6" s="1"/>
  <c r="H938" i="6"/>
  <c r="I938" i="6" s="1"/>
  <c r="H952" i="6"/>
  <c r="I952" i="6" s="1"/>
  <c r="H968" i="6"/>
  <c r="I968" i="6" s="1"/>
  <c r="H982" i="6"/>
  <c r="I982" i="6" s="1"/>
  <c r="H996" i="6"/>
  <c r="I996" i="6" s="1"/>
  <c r="H1010" i="6"/>
  <c r="I1010" i="6" s="1"/>
  <c r="H1024" i="6"/>
  <c r="I1024" i="6" s="1"/>
  <c r="H1036" i="6"/>
  <c r="I1036" i="6" s="1"/>
  <c r="H1048" i="6"/>
  <c r="I1048" i="6" s="1"/>
  <c r="H1060" i="6"/>
  <c r="I1060" i="6" s="1"/>
  <c r="H1072" i="6"/>
  <c r="I1072" i="6" s="1"/>
  <c r="H1084" i="6"/>
  <c r="I1084" i="6" s="1"/>
  <c r="H1096" i="6"/>
  <c r="I1096" i="6" s="1"/>
  <c r="H1108" i="6"/>
  <c r="I1108" i="6" s="1"/>
  <c r="H1120" i="6"/>
  <c r="I1120" i="6" s="1"/>
  <c r="H1132" i="6"/>
  <c r="I1132" i="6" s="1"/>
  <c r="H1144" i="6"/>
  <c r="I1144" i="6" s="1"/>
  <c r="H1156" i="6"/>
  <c r="I1156" i="6" s="1"/>
  <c r="H1168" i="6"/>
  <c r="I1168" i="6" s="1"/>
  <c r="H1180" i="6"/>
  <c r="I1180" i="6" s="1"/>
  <c r="H1192" i="6"/>
  <c r="I1192" i="6" s="1"/>
  <c r="H1204" i="6"/>
  <c r="I1204" i="6" s="1"/>
  <c r="H1216" i="6"/>
  <c r="I1216" i="6" s="1"/>
  <c r="H1228" i="6"/>
  <c r="I1228" i="6" s="1"/>
  <c r="H1240" i="6"/>
  <c r="I1240" i="6" s="1"/>
  <c r="H1252" i="6"/>
  <c r="I1252" i="6" s="1"/>
  <c r="H14" i="6"/>
  <c r="I14" i="6" s="1"/>
  <c r="H36" i="6"/>
  <c r="I36" i="6" s="1"/>
  <c r="H58" i="6"/>
  <c r="I58" i="6" s="1"/>
  <c r="H75" i="6"/>
  <c r="I75" i="6" s="1"/>
  <c r="H97" i="6"/>
  <c r="I97" i="6" s="1"/>
  <c r="H119" i="6"/>
  <c r="I119" i="6" s="1"/>
  <c r="H140" i="6"/>
  <c r="I140" i="6" s="1"/>
  <c r="H158" i="6"/>
  <c r="I158" i="6" s="1"/>
  <c r="H180" i="6"/>
  <c r="I180" i="6" s="1"/>
  <c r="H202" i="6"/>
  <c r="I202" i="6" s="1"/>
  <c r="H219" i="6"/>
  <c r="I219" i="6" s="1"/>
  <c r="H241" i="6"/>
  <c r="I241" i="6" s="1"/>
  <c r="H263" i="6"/>
  <c r="I263" i="6" s="1"/>
  <c r="H284" i="6"/>
  <c r="I284" i="6" s="1"/>
  <c r="H302" i="6"/>
  <c r="I302" i="6" s="1"/>
  <c r="H324" i="6"/>
  <c r="I324" i="6" s="1"/>
  <c r="H346" i="6"/>
  <c r="I346" i="6" s="1"/>
  <c r="H363" i="6"/>
  <c r="I363" i="6" s="1"/>
  <c r="H385" i="6"/>
  <c r="I385" i="6" s="1"/>
  <c r="H407" i="6"/>
  <c r="I407" i="6" s="1"/>
  <c r="H428" i="6"/>
  <c r="I428" i="6" s="1"/>
  <c r="H445" i="6"/>
  <c r="I445" i="6" s="1"/>
  <c r="H464" i="6"/>
  <c r="I464" i="6" s="1"/>
  <c r="H481" i="6"/>
  <c r="I481" i="6" s="1"/>
  <c r="H498" i="6"/>
  <c r="I498" i="6" s="1"/>
  <c r="H514" i="6"/>
  <c r="I514" i="6" s="1"/>
  <c r="H529" i="6"/>
  <c r="I529" i="6" s="1"/>
  <c r="H546" i="6"/>
  <c r="I546" i="6" s="1"/>
  <c r="H562" i="6"/>
  <c r="I562" i="6" s="1"/>
  <c r="H577" i="6"/>
  <c r="I577" i="6" s="1"/>
  <c r="H594" i="6"/>
  <c r="I594" i="6" s="1"/>
  <c r="H610" i="6"/>
  <c r="I610" i="6" s="1"/>
  <c r="H625" i="6"/>
  <c r="I625" i="6" s="1"/>
  <c r="H642" i="6"/>
  <c r="I642" i="6" s="1"/>
  <c r="H658" i="6"/>
  <c r="I658" i="6" s="1"/>
  <c r="H673" i="6"/>
  <c r="I673" i="6" s="1"/>
  <c r="H690" i="6"/>
  <c r="I690" i="6" s="1"/>
  <c r="H706" i="6"/>
  <c r="I706" i="6" s="1"/>
  <c r="H721" i="6"/>
  <c r="I721" i="6" s="1"/>
  <c r="H738" i="6"/>
  <c r="I738" i="6" s="1"/>
  <c r="H753" i="6"/>
  <c r="I753" i="6" s="1"/>
  <c r="H767" i="6"/>
  <c r="I767" i="6" s="1"/>
  <c r="H781" i="6"/>
  <c r="I781" i="6" s="1"/>
  <c r="H795" i="6"/>
  <c r="I795" i="6" s="1"/>
  <c r="H810" i="6"/>
  <c r="I810" i="6" s="1"/>
  <c r="H825" i="6"/>
  <c r="I825" i="6" s="1"/>
  <c r="H839" i="6"/>
  <c r="I839" i="6" s="1"/>
  <c r="H853" i="6"/>
  <c r="I853" i="6" s="1"/>
  <c r="H867" i="6"/>
  <c r="I867" i="6" s="1"/>
  <c r="H882" i="6"/>
  <c r="I882" i="6" s="1"/>
  <c r="H897" i="6"/>
  <c r="I897" i="6" s="1"/>
  <c r="H911" i="6"/>
  <c r="I911" i="6" s="1"/>
  <c r="H925" i="6"/>
  <c r="I925" i="6" s="1"/>
  <c r="H939" i="6"/>
  <c r="I939" i="6" s="1"/>
  <c r="H954" i="6"/>
  <c r="I954" i="6" s="1"/>
  <c r="H969" i="6"/>
  <c r="I969" i="6" s="1"/>
  <c r="H983" i="6"/>
  <c r="I983" i="6" s="1"/>
  <c r="H997" i="6"/>
  <c r="I997" i="6" s="1"/>
  <c r="H1011" i="6"/>
  <c r="I1011" i="6" s="1"/>
  <c r="H1025" i="6"/>
  <c r="I1025" i="6" s="1"/>
  <c r="H1037" i="6"/>
  <c r="I1037" i="6" s="1"/>
  <c r="H1049" i="6"/>
  <c r="I1049" i="6" s="1"/>
  <c r="H1061" i="6"/>
  <c r="I1061" i="6" s="1"/>
  <c r="H1073" i="6"/>
  <c r="I1073" i="6" s="1"/>
  <c r="H1085" i="6"/>
  <c r="I1085" i="6" s="1"/>
  <c r="H1097" i="6"/>
  <c r="I1097" i="6" s="1"/>
  <c r="H1109" i="6"/>
  <c r="I1109" i="6" s="1"/>
  <c r="H1121" i="6"/>
  <c r="I1121" i="6" s="1"/>
  <c r="H1133" i="6"/>
  <c r="I1133" i="6" s="1"/>
  <c r="H1145" i="6"/>
  <c r="I1145" i="6" s="1"/>
  <c r="H1157" i="6"/>
  <c r="I1157" i="6" s="1"/>
  <c r="H1169" i="6"/>
  <c r="I1169" i="6" s="1"/>
  <c r="H1181" i="6"/>
  <c r="I1181" i="6" s="1"/>
  <c r="H1193" i="6"/>
  <c r="I1193" i="6" s="1"/>
  <c r="H1205" i="6"/>
  <c r="I1205" i="6" s="1"/>
  <c r="H1217" i="6"/>
  <c r="I1217" i="6" s="1"/>
  <c r="H1229" i="6"/>
  <c r="I1229" i="6" s="1"/>
  <c r="H1241" i="6"/>
  <c r="I1241" i="6" s="1"/>
  <c r="H1253" i="6"/>
  <c r="I1253" i="6" s="1"/>
  <c r="H4" i="6"/>
  <c r="I4" i="6" s="1"/>
  <c r="H15" i="6"/>
  <c r="I15" i="6" s="1"/>
  <c r="H37" i="6"/>
  <c r="I37" i="6" s="1"/>
  <c r="H59" i="6"/>
  <c r="I59" i="6" s="1"/>
  <c r="H80" i="6"/>
  <c r="I80" i="6" s="1"/>
  <c r="H98" i="6"/>
  <c r="I98" i="6" s="1"/>
  <c r="H120" i="6"/>
  <c r="I120" i="6" s="1"/>
  <c r="H142" i="6"/>
  <c r="I142" i="6" s="1"/>
  <c r="H159" i="6"/>
  <c r="I159" i="6" s="1"/>
  <c r="H181" i="6"/>
  <c r="I181" i="6" s="1"/>
  <c r="H203" i="6"/>
  <c r="I203" i="6" s="1"/>
  <c r="H224" i="6"/>
  <c r="I224" i="6" s="1"/>
  <c r="H242" i="6"/>
  <c r="I242" i="6" s="1"/>
  <c r="H264" i="6"/>
  <c r="I264" i="6" s="1"/>
  <c r="H286" i="6"/>
  <c r="I286" i="6" s="1"/>
  <c r="H303" i="6"/>
  <c r="I303" i="6" s="1"/>
  <c r="H325" i="6"/>
  <c r="I325" i="6" s="1"/>
  <c r="H347" i="6"/>
  <c r="I347" i="6" s="1"/>
  <c r="H368" i="6"/>
  <c r="I368" i="6" s="1"/>
  <c r="H386" i="6"/>
  <c r="I386" i="6" s="1"/>
  <c r="H408" i="6"/>
  <c r="I408" i="6" s="1"/>
  <c r="H430" i="6"/>
  <c r="I430" i="6" s="1"/>
  <c r="H446" i="6"/>
  <c r="I446" i="6" s="1"/>
  <c r="H466" i="6"/>
  <c r="I466" i="6" s="1"/>
  <c r="H482" i="6"/>
  <c r="I482" i="6" s="1"/>
  <c r="H500" i="6"/>
  <c r="I500" i="6" s="1"/>
  <c r="H515" i="6"/>
  <c r="I515" i="6" s="1"/>
  <c r="H530" i="6"/>
  <c r="I530" i="6" s="1"/>
  <c r="H548" i="6"/>
  <c r="I548" i="6" s="1"/>
  <c r="H563" i="6"/>
  <c r="I563" i="6" s="1"/>
  <c r="H578" i="6"/>
  <c r="I578" i="6" s="1"/>
  <c r="H596" i="6"/>
  <c r="I596" i="6" s="1"/>
  <c r="H611" i="6"/>
  <c r="I611" i="6" s="1"/>
  <c r="H626" i="6"/>
  <c r="I626" i="6" s="1"/>
  <c r="H644" i="6"/>
  <c r="I644" i="6" s="1"/>
  <c r="H659" i="6"/>
  <c r="I659" i="6" s="1"/>
  <c r="H674" i="6"/>
  <c r="I674" i="6" s="1"/>
  <c r="H692" i="6"/>
  <c r="I692" i="6" s="1"/>
  <c r="H707" i="6"/>
  <c r="I707" i="6" s="1"/>
  <c r="H722" i="6"/>
  <c r="I722" i="6" s="1"/>
  <c r="H740" i="6"/>
  <c r="I740" i="6" s="1"/>
  <c r="H754" i="6"/>
  <c r="I754" i="6" s="1"/>
  <c r="H768" i="6"/>
  <c r="I768" i="6" s="1"/>
  <c r="H782" i="6"/>
  <c r="I782" i="6" s="1"/>
  <c r="H796" i="6"/>
  <c r="I796" i="6" s="1"/>
  <c r="H812" i="6"/>
  <c r="I812" i="6" s="1"/>
  <c r="H826" i="6"/>
  <c r="I826" i="6" s="1"/>
  <c r="H840" i="6"/>
  <c r="I840" i="6" s="1"/>
  <c r="H854" i="6"/>
  <c r="I854" i="6" s="1"/>
  <c r="H868" i="6"/>
  <c r="I868" i="6" s="1"/>
  <c r="H884" i="6"/>
  <c r="I884" i="6" s="1"/>
  <c r="H898" i="6"/>
  <c r="I898" i="6" s="1"/>
  <c r="H912" i="6"/>
  <c r="I912" i="6" s="1"/>
  <c r="H926" i="6"/>
  <c r="I926" i="6" s="1"/>
  <c r="H940" i="6"/>
  <c r="I940" i="6" s="1"/>
  <c r="H956" i="6"/>
  <c r="I956" i="6" s="1"/>
  <c r="H970" i="6"/>
  <c r="I970" i="6" s="1"/>
  <c r="H984" i="6"/>
  <c r="I984" i="6" s="1"/>
  <c r="H998" i="6"/>
  <c r="I998" i="6" s="1"/>
  <c r="H1012" i="6"/>
  <c r="I1012" i="6" s="1"/>
  <c r="H1026" i="6"/>
  <c r="I1026" i="6" s="1"/>
  <c r="H1038" i="6"/>
  <c r="I1038" i="6" s="1"/>
  <c r="H1050" i="6"/>
  <c r="I1050" i="6" s="1"/>
  <c r="H1062" i="6"/>
  <c r="I1062" i="6" s="1"/>
  <c r="H1074" i="6"/>
  <c r="I1074" i="6" s="1"/>
  <c r="H1086" i="6"/>
  <c r="I1086" i="6" s="1"/>
  <c r="H1098" i="6"/>
  <c r="I1098" i="6" s="1"/>
  <c r="H1110" i="6"/>
  <c r="I1110" i="6" s="1"/>
  <c r="H1122" i="6"/>
  <c r="I1122" i="6" s="1"/>
  <c r="H1134" i="6"/>
  <c r="I1134" i="6" s="1"/>
  <c r="H1146" i="6"/>
  <c r="I1146" i="6" s="1"/>
  <c r="H1158" i="6"/>
  <c r="I1158" i="6" s="1"/>
  <c r="H1170" i="6"/>
  <c r="I1170" i="6" s="1"/>
  <c r="H1182" i="6"/>
  <c r="I1182" i="6" s="1"/>
  <c r="H1194" i="6"/>
  <c r="I1194" i="6" s="1"/>
  <c r="H1206" i="6"/>
  <c r="I1206" i="6" s="1"/>
  <c r="H1218" i="6"/>
  <c r="I1218" i="6" s="1"/>
  <c r="H1230" i="6"/>
  <c r="I1230" i="6" s="1"/>
  <c r="H1242" i="6"/>
  <c r="I1242" i="6" s="1"/>
  <c r="H1254" i="6"/>
  <c r="I1254" i="6" s="1"/>
  <c r="H39" i="6"/>
  <c r="I39" i="6" s="1"/>
  <c r="H83" i="6"/>
  <c r="I83" i="6" s="1"/>
  <c r="H122" i="6"/>
  <c r="I122" i="6" s="1"/>
  <c r="H166" i="6"/>
  <c r="I166" i="6" s="1"/>
  <c r="H205" i="6"/>
  <c r="I205" i="6" s="1"/>
  <c r="H248" i="6"/>
  <c r="I248" i="6" s="1"/>
  <c r="H20" i="6"/>
  <c r="I20" i="6" s="1"/>
  <c r="H38" i="6"/>
  <c r="I38" i="6" s="1"/>
  <c r="H60" i="6"/>
  <c r="I60" i="6" s="1"/>
  <c r="H82" i="6"/>
  <c r="I82" i="6" s="1"/>
  <c r="H99" i="6"/>
  <c r="I99" i="6" s="1"/>
  <c r="H121" i="6"/>
  <c r="I121" i="6" s="1"/>
  <c r="H143" i="6"/>
  <c r="I143" i="6" s="1"/>
  <c r="H164" i="6"/>
  <c r="I164" i="6" s="1"/>
  <c r="H182" i="6"/>
  <c r="I182" i="6" s="1"/>
  <c r="H204" i="6"/>
  <c r="I204" i="6" s="1"/>
  <c r="H226" i="6"/>
  <c r="I226" i="6" s="1"/>
  <c r="H243" i="6"/>
  <c r="I243" i="6" s="1"/>
  <c r="H265" i="6"/>
  <c r="I265" i="6" s="1"/>
  <c r="H287" i="6"/>
  <c r="I287" i="6" s="1"/>
  <c r="H308" i="6"/>
  <c r="I308" i="6" s="1"/>
  <c r="H326" i="6"/>
  <c r="I326" i="6" s="1"/>
  <c r="H348" i="6"/>
  <c r="I348" i="6" s="1"/>
  <c r="H370" i="6"/>
  <c r="I370" i="6" s="1"/>
  <c r="H387" i="6"/>
  <c r="I387" i="6" s="1"/>
  <c r="H409" i="6"/>
  <c r="I409" i="6" s="1"/>
  <c r="H431" i="6"/>
  <c r="I431" i="6" s="1"/>
  <c r="H447" i="6"/>
  <c r="I447" i="6" s="1"/>
  <c r="H467" i="6"/>
  <c r="I467" i="6" s="1"/>
  <c r="H483" i="6"/>
  <c r="I483" i="6" s="1"/>
  <c r="H501" i="6"/>
  <c r="I501" i="6" s="1"/>
  <c r="H516" i="6"/>
  <c r="I516" i="6" s="1"/>
  <c r="H531" i="6"/>
  <c r="I531" i="6" s="1"/>
  <c r="H549" i="6"/>
  <c r="I549" i="6" s="1"/>
  <c r="H564" i="6"/>
  <c r="I564" i="6" s="1"/>
  <c r="H579" i="6"/>
  <c r="I579" i="6" s="1"/>
  <c r="H597" i="6"/>
  <c r="I597" i="6" s="1"/>
  <c r="H612" i="6"/>
  <c r="I612" i="6" s="1"/>
  <c r="H627" i="6"/>
  <c r="I627" i="6" s="1"/>
  <c r="H645" i="6"/>
  <c r="I645" i="6" s="1"/>
  <c r="H660" i="6"/>
  <c r="I660" i="6" s="1"/>
  <c r="H675" i="6"/>
  <c r="I675" i="6" s="1"/>
  <c r="H693" i="6"/>
  <c r="I693" i="6" s="1"/>
  <c r="H708" i="6"/>
  <c r="I708" i="6" s="1"/>
  <c r="H723" i="6"/>
  <c r="I723" i="6" s="1"/>
  <c r="H741" i="6"/>
  <c r="I741" i="6" s="1"/>
  <c r="H755" i="6"/>
  <c r="I755" i="6" s="1"/>
  <c r="H769" i="6"/>
  <c r="I769" i="6" s="1"/>
  <c r="H783" i="6"/>
  <c r="I783" i="6" s="1"/>
  <c r="H798" i="6"/>
  <c r="I798" i="6" s="1"/>
  <c r="H813" i="6"/>
  <c r="I813" i="6" s="1"/>
  <c r="H827" i="6"/>
  <c r="I827" i="6" s="1"/>
  <c r="H841" i="6"/>
  <c r="I841" i="6" s="1"/>
  <c r="H855" i="6"/>
  <c r="I855" i="6" s="1"/>
  <c r="H870" i="6"/>
  <c r="I870" i="6" s="1"/>
  <c r="H885" i="6"/>
  <c r="I885" i="6" s="1"/>
  <c r="H899" i="6"/>
  <c r="I899" i="6" s="1"/>
  <c r="H913" i="6"/>
  <c r="I913" i="6" s="1"/>
  <c r="H927" i="6"/>
  <c r="I927" i="6" s="1"/>
  <c r="H942" i="6"/>
  <c r="I942" i="6" s="1"/>
  <c r="H957" i="6"/>
  <c r="I957" i="6" s="1"/>
  <c r="H971" i="6"/>
  <c r="I971" i="6" s="1"/>
  <c r="H985" i="6"/>
  <c r="I985" i="6" s="1"/>
  <c r="H999" i="6"/>
  <c r="I999" i="6" s="1"/>
  <c r="H1014" i="6"/>
  <c r="I1014" i="6" s="1"/>
  <c r="H1027" i="6"/>
  <c r="I1027" i="6" s="1"/>
  <c r="H1039" i="6"/>
  <c r="I1039" i="6" s="1"/>
  <c r="H1051" i="6"/>
  <c r="I1051" i="6" s="1"/>
  <c r="H1063" i="6"/>
  <c r="I1063" i="6" s="1"/>
  <c r="H1075" i="6"/>
  <c r="I1075" i="6" s="1"/>
  <c r="H1087" i="6"/>
  <c r="I1087" i="6" s="1"/>
  <c r="H1099" i="6"/>
  <c r="I1099" i="6" s="1"/>
  <c r="H1111" i="6"/>
  <c r="I1111" i="6" s="1"/>
  <c r="H1123" i="6"/>
  <c r="I1123" i="6" s="1"/>
  <c r="H1135" i="6"/>
  <c r="I1135" i="6" s="1"/>
  <c r="H1147" i="6"/>
  <c r="I1147" i="6" s="1"/>
  <c r="H1159" i="6"/>
  <c r="I1159" i="6" s="1"/>
  <c r="H1171" i="6"/>
  <c r="I1171" i="6" s="1"/>
  <c r="H1183" i="6"/>
  <c r="I1183" i="6" s="1"/>
  <c r="H1195" i="6"/>
  <c r="I1195" i="6" s="1"/>
  <c r="H1207" i="6"/>
  <c r="I1207" i="6" s="1"/>
  <c r="H1219" i="6"/>
  <c r="I1219" i="6" s="1"/>
  <c r="H1231" i="6"/>
  <c r="I1231" i="6" s="1"/>
  <c r="H1243" i="6"/>
  <c r="I1243" i="6" s="1"/>
  <c r="H1255" i="6"/>
  <c r="I1255" i="6" s="1"/>
  <c r="H22" i="6"/>
  <c r="I22" i="6" s="1"/>
  <c r="H61" i="6"/>
  <c r="I61" i="6" s="1"/>
  <c r="H104" i="6"/>
  <c r="I104" i="6" s="1"/>
  <c r="H144" i="6"/>
  <c r="I144" i="6" s="1"/>
  <c r="H183" i="6"/>
  <c r="I183" i="6" s="1"/>
  <c r="H227" i="6"/>
  <c r="I227" i="6" s="1"/>
  <c r="H85" i="6"/>
  <c r="I85" i="6" s="1"/>
  <c r="H168" i="6"/>
  <c r="I168" i="6" s="1"/>
  <c r="H251" i="6"/>
  <c r="I251" i="6" s="1"/>
  <c r="H300" i="6"/>
  <c r="I300" i="6" s="1"/>
  <c r="H350" i="6"/>
  <c r="I350" i="6" s="1"/>
  <c r="H399" i="6"/>
  <c r="I399" i="6" s="1"/>
  <c r="H450" i="6"/>
  <c r="I450" i="6" s="1"/>
  <c r="H489" i="6"/>
  <c r="I489" i="6" s="1"/>
  <c r="H527" i="6"/>
  <c r="I527" i="6" s="1"/>
  <c r="H566" i="6"/>
  <c r="I566" i="6" s="1"/>
  <c r="H606" i="6"/>
  <c r="I606" i="6" s="1"/>
  <c r="H646" i="6"/>
  <c r="I646" i="6" s="1"/>
  <c r="H681" i="6"/>
  <c r="I681" i="6" s="1"/>
  <c r="H719" i="6"/>
  <c r="I719" i="6" s="1"/>
  <c r="H757" i="6"/>
  <c r="I757" i="6" s="1"/>
  <c r="H792" i="6"/>
  <c r="I792" i="6" s="1"/>
  <c r="H828" i="6"/>
  <c r="I828" i="6" s="1"/>
  <c r="H860" i="6"/>
  <c r="I860" i="6" s="1"/>
  <c r="H894" i="6"/>
  <c r="I894" i="6" s="1"/>
  <c r="H930" i="6"/>
  <c r="I930" i="6" s="1"/>
  <c r="H964" i="6"/>
  <c r="I964" i="6" s="1"/>
  <c r="H1000" i="6"/>
  <c r="I1000" i="6" s="1"/>
  <c r="H1030" i="6"/>
  <c r="I1030" i="6" s="1"/>
  <c r="H1059" i="6"/>
  <c r="I1059" i="6" s="1"/>
  <c r="H1089" i="6"/>
  <c r="I1089" i="6" s="1"/>
  <c r="H1118" i="6"/>
  <c r="I1118" i="6" s="1"/>
  <c r="H1148" i="6"/>
  <c r="I1148" i="6" s="1"/>
  <c r="H1174" i="6"/>
  <c r="I1174" i="6" s="1"/>
  <c r="H1203" i="6"/>
  <c r="I1203" i="6" s="1"/>
  <c r="H1233" i="6"/>
  <c r="I1233" i="6" s="1"/>
  <c r="H116" i="6"/>
  <c r="I116" i="6" s="1"/>
  <c r="H267" i="6"/>
  <c r="I267" i="6" s="1"/>
  <c r="H416" i="6"/>
  <c r="I416" i="6" s="1"/>
  <c r="H503" i="6"/>
  <c r="I503" i="6" s="1"/>
  <c r="H582" i="6"/>
  <c r="I582" i="6" s="1"/>
  <c r="H656" i="6"/>
  <c r="I656" i="6" s="1"/>
  <c r="H770" i="6"/>
  <c r="I770" i="6" s="1"/>
  <c r="H802" i="6"/>
  <c r="I802" i="6" s="1"/>
  <c r="H908" i="6"/>
  <c r="I908" i="6" s="1"/>
  <c r="H974" i="6"/>
  <c r="I974" i="6" s="1"/>
  <c r="H1070" i="6"/>
  <c r="I1070" i="6" s="1"/>
  <c r="H1155" i="6"/>
  <c r="I1155" i="6" s="1"/>
  <c r="H1214" i="6"/>
  <c r="I1214" i="6" s="1"/>
  <c r="H486" i="6"/>
  <c r="I486" i="6" s="1"/>
  <c r="H888" i="6"/>
  <c r="I888" i="6" s="1"/>
  <c r="H1142" i="6"/>
  <c r="I1142" i="6" s="1"/>
  <c r="H349" i="6"/>
  <c r="I349" i="6" s="1"/>
  <c r="H756" i="6"/>
  <c r="I756" i="6" s="1"/>
  <c r="H1058" i="6"/>
  <c r="I1058" i="6" s="1"/>
  <c r="H12" i="6"/>
  <c r="I12" i="6" s="1"/>
  <c r="H95" i="6"/>
  <c r="I95" i="6" s="1"/>
  <c r="H178" i="6"/>
  <c r="I178" i="6" s="1"/>
  <c r="H255" i="6"/>
  <c r="I255" i="6" s="1"/>
  <c r="H310" i="6"/>
  <c r="I310" i="6" s="1"/>
  <c r="H351" i="6"/>
  <c r="I351" i="6" s="1"/>
  <c r="H404" i="6"/>
  <c r="I404" i="6" s="1"/>
  <c r="H452" i="6"/>
  <c r="I452" i="6" s="1"/>
  <c r="H493" i="6"/>
  <c r="I493" i="6" s="1"/>
  <c r="H534" i="6"/>
  <c r="I534" i="6" s="1"/>
  <c r="H567" i="6"/>
  <c r="I567" i="6" s="1"/>
  <c r="H608" i="6"/>
  <c r="I608" i="6" s="1"/>
  <c r="H647" i="6"/>
  <c r="I647" i="6" s="1"/>
  <c r="H685" i="6"/>
  <c r="I685" i="6" s="1"/>
  <c r="H726" i="6"/>
  <c r="I726" i="6" s="1"/>
  <c r="H758" i="6"/>
  <c r="I758" i="6" s="1"/>
  <c r="H793" i="6"/>
  <c r="I793" i="6" s="1"/>
  <c r="H829" i="6"/>
  <c r="I829" i="6" s="1"/>
  <c r="H864" i="6"/>
  <c r="I864" i="6" s="1"/>
  <c r="H900" i="6"/>
  <c r="I900" i="6" s="1"/>
  <c r="H932" i="6"/>
  <c r="I932" i="6" s="1"/>
  <c r="H966" i="6"/>
  <c r="I966" i="6" s="1"/>
  <c r="H1002" i="6"/>
  <c r="I1002" i="6" s="1"/>
  <c r="H1034" i="6"/>
  <c r="I1034" i="6" s="1"/>
  <c r="H1064" i="6"/>
  <c r="I1064" i="6" s="1"/>
  <c r="H1090" i="6"/>
  <c r="I1090" i="6" s="1"/>
  <c r="H1119" i="6"/>
  <c r="I1119" i="6" s="1"/>
  <c r="H1149" i="6"/>
  <c r="I1149" i="6" s="1"/>
  <c r="H1178" i="6"/>
  <c r="I1178" i="6" s="1"/>
  <c r="H1208" i="6"/>
  <c r="I1208" i="6" s="1"/>
  <c r="H1234" i="6"/>
  <c r="I1234" i="6" s="1"/>
  <c r="H320" i="6"/>
  <c r="I320" i="6" s="1"/>
  <c r="H695" i="6"/>
  <c r="I695" i="6" s="1"/>
  <c r="H1009" i="6"/>
  <c r="I1009" i="6" s="1"/>
  <c r="H1244" i="6"/>
  <c r="I1244" i="6" s="1"/>
  <c r="H442" i="6"/>
  <c r="I442" i="6" s="1"/>
  <c r="H923" i="6"/>
  <c r="I923" i="6" s="1"/>
  <c r="H1198" i="6"/>
  <c r="I1198" i="6" s="1"/>
  <c r="H299" i="6"/>
  <c r="I299" i="6" s="1"/>
  <c r="H638" i="6"/>
  <c r="I638" i="6" s="1"/>
  <c r="H960" i="6"/>
  <c r="I960" i="6" s="1"/>
  <c r="H1232" i="6"/>
  <c r="I1232" i="6" s="1"/>
  <c r="H23" i="6"/>
  <c r="I23" i="6" s="1"/>
  <c r="H106" i="6"/>
  <c r="I106" i="6" s="1"/>
  <c r="H188" i="6"/>
  <c r="I188" i="6" s="1"/>
  <c r="H260" i="6"/>
  <c r="I260" i="6" s="1"/>
  <c r="H311" i="6"/>
  <c r="I311" i="6" s="1"/>
  <c r="H360" i="6"/>
  <c r="I360" i="6" s="1"/>
  <c r="H410" i="6"/>
  <c r="I410" i="6" s="1"/>
  <c r="H454" i="6"/>
  <c r="I454" i="6" s="1"/>
  <c r="H494" i="6"/>
  <c r="I494" i="6" s="1"/>
  <c r="H536" i="6"/>
  <c r="I536" i="6" s="1"/>
  <c r="H574" i="6"/>
  <c r="I574" i="6" s="1"/>
  <c r="H613" i="6"/>
  <c r="I613" i="6" s="1"/>
  <c r="H648" i="6"/>
  <c r="I648" i="6" s="1"/>
  <c r="H686" i="6"/>
  <c r="I686" i="6" s="1"/>
  <c r="H728" i="6"/>
  <c r="I728" i="6" s="1"/>
  <c r="H764" i="6"/>
  <c r="I764" i="6" s="1"/>
  <c r="H800" i="6"/>
  <c r="I800" i="6" s="1"/>
  <c r="H830" i="6"/>
  <c r="I830" i="6" s="1"/>
  <c r="H865" i="6"/>
  <c r="I865" i="6" s="1"/>
  <c r="H901" i="6"/>
  <c r="I901" i="6" s="1"/>
  <c r="H936" i="6"/>
  <c r="I936" i="6" s="1"/>
  <c r="H972" i="6"/>
  <c r="I972" i="6" s="1"/>
  <c r="H1004" i="6"/>
  <c r="I1004" i="6" s="1"/>
  <c r="H1035" i="6"/>
  <c r="I1035" i="6" s="1"/>
  <c r="H1065" i="6"/>
  <c r="I1065" i="6" s="1"/>
  <c r="H1094" i="6"/>
  <c r="I1094" i="6" s="1"/>
  <c r="H1124" i="6"/>
  <c r="I1124" i="6" s="1"/>
  <c r="H1150" i="6"/>
  <c r="I1150" i="6" s="1"/>
  <c r="H1179" i="6"/>
  <c r="I1179" i="6" s="1"/>
  <c r="H1209" i="6"/>
  <c r="I1209" i="6" s="1"/>
  <c r="H1238" i="6"/>
  <c r="I1238" i="6" s="1"/>
  <c r="H459" i="6"/>
  <c r="I459" i="6" s="1"/>
  <c r="H837" i="6"/>
  <c r="I837" i="6" s="1"/>
  <c r="H1100" i="6"/>
  <c r="I1100" i="6" s="1"/>
  <c r="H395" i="6"/>
  <c r="I395" i="6" s="1"/>
  <c r="H680" i="6"/>
  <c r="I680" i="6" s="1"/>
  <c r="H995" i="6"/>
  <c r="I995" i="6" s="1"/>
  <c r="H1258" i="6"/>
  <c r="I1258" i="6" s="1"/>
  <c r="H24" i="6"/>
  <c r="I24" i="6" s="1"/>
  <c r="H107" i="6"/>
  <c r="I107" i="6" s="1"/>
  <c r="H190" i="6"/>
  <c r="I190" i="6" s="1"/>
  <c r="H266" i="6"/>
  <c r="I266" i="6" s="1"/>
  <c r="H312" i="6"/>
  <c r="I312" i="6" s="1"/>
  <c r="H361" i="6"/>
  <c r="I361" i="6" s="1"/>
  <c r="H411" i="6"/>
  <c r="I411" i="6" s="1"/>
  <c r="H458" i="6"/>
  <c r="I458" i="6" s="1"/>
  <c r="H502" i="6"/>
  <c r="I502" i="6" s="1"/>
  <c r="H537" i="6"/>
  <c r="I537" i="6" s="1"/>
  <c r="H575" i="6"/>
  <c r="I575" i="6" s="1"/>
  <c r="H614" i="6"/>
  <c r="I614" i="6" s="1"/>
  <c r="H654" i="6"/>
  <c r="I654" i="6" s="1"/>
  <c r="H694" i="6"/>
  <c r="I694" i="6" s="1"/>
  <c r="H729" i="6"/>
  <c r="I729" i="6" s="1"/>
  <c r="H765" i="6"/>
  <c r="I765" i="6" s="1"/>
  <c r="H801" i="6"/>
  <c r="I801" i="6" s="1"/>
  <c r="H836" i="6"/>
  <c r="I836" i="6" s="1"/>
  <c r="H872" i="6"/>
  <c r="I872" i="6" s="1"/>
  <c r="H902" i="6"/>
  <c r="I902" i="6" s="1"/>
  <c r="H937" i="6"/>
  <c r="I937" i="6" s="1"/>
  <c r="H973" i="6"/>
  <c r="I973" i="6" s="1"/>
  <c r="H1008" i="6"/>
  <c r="I1008" i="6" s="1"/>
  <c r="H1040" i="6"/>
  <c r="I1040" i="6" s="1"/>
  <c r="H1066" i="6"/>
  <c r="I1066" i="6" s="1"/>
  <c r="H1095" i="6"/>
  <c r="I1095" i="6" s="1"/>
  <c r="H1125" i="6"/>
  <c r="I1125" i="6" s="1"/>
  <c r="H1154" i="6"/>
  <c r="I1154" i="6" s="1"/>
  <c r="H1184" i="6"/>
  <c r="I1184" i="6" s="1"/>
  <c r="H1210" i="6"/>
  <c r="I1210" i="6" s="1"/>
  <c r="H1239" i="6"/>
  <c r="I1239" i="6" s="1"/>
  <c r="H34" i="6"/>
  <c r="I34" i="6" s="1"/>
  <c r="H195" i="6"/>
  <c r="I195" i="6" s="1"/>
  <c r="H371" i="6"/>
  <c r="I371" i="6" s="1"/>
  <c r="H541" i="6"/>
  <c r="I541" i="6" s="1"/>
  <c r="H615" i="6"/>
  <c r="I615" i="6" s="1"/>
  <c r="H733" i="6"/>
  <c r="I733" i="6" s="1"/>
  <c r="H873" i="6"/>
  <c r="I873" i="6" s="1"/>
  <c r="H944" i="6"/>
  <c r="I944" i="6" s="1"/>
  <c r="H1041" i="6"/>
  <c r="I1041" i="6" s="1"/>
  <c r="H1126" i="6"/>
  <c r="I1126" i="6" s="1"/>
  <c r="H1185" i="6"/>
  <c r="I1185" i="6" s="1"/>
  <c r="H290" i="6"/>
  <c r="I290" i="6" s="1"/>
  <c r="H786" i="6"/>
  <c r="I786" i="6" s="1"/>
  <c r="H1054" i="6"/>
  <c r="I1054" i="6" s="1"/>
  <c r="H250" i="6"/>
  <c r="I250" i="6" s="1"/>
  <c r="H600" i="6"/>
  <c r="I600" i="6" s="1"/>
  <c r="H822" i="6"/>
  <c r="I822" i="6" s="1"/>
  <c r="H1114" i="6"/>
  <c r="I1114" i="6" s="1"/>
  <c r="H44" i="6"/>
  <c r="I44" i="6" s="1"/>
  <c r="H123" i="6"/>
  <c r="I123" i="6" s="1"/>
  <c r="H206" i="6"/>
  <c r="I206" i="6" s="1"/>
  <c r="H272" i="6"/>
  <c r="I272" i="6" s="1"/>
  <c r="H322" i="6"/>
  <c r="I322" i="6" s="1"/>
  <c r="H372" i="6"/>
  <c r="I372" i="6" s="1"/>
  <c r="H421" i="6"/>
  <c r="I421" i="6" s="1"/>
  <c r="H468" i="6"/>
  <c r="I468" i="6" s="1"/>
  <c r="H504" i="6"/>
  <c r="I504" i="6" s="1"/>
  <c r="H542" i="6"/>
  <c r="I542" i="6" s="1"/>
  <c r="H584" i="6"/>
  <c r="I584" i="6" s="1"/>
  <c r="H622" i="6"/>
  <c r="I622" i="6" s="1"/>
  <c r="H661" i="6"/>
  <c r="I661" i="6" s="1"/>
  <c r="H696" i="6"/>
  <c r="I696" i="6" s="1"/>
  <c r="H734" i="6"/>
  <c r="I734" i="6" s="1"/>
  <c r="H771" i="6"/>
  <c r="I771" i="6" s="1"/>
  <c r="H806" i="6"/>
  <c r="I806" i="6" s="1"/>
  <c r="H842" i="6"/>
  <c r="I842" i="6" s="1"/>
  <c r="H874" i="6"/>
  <c r="I874" i="6" s="1"/>
  <c r="H909" i="6"/>
  <c r="I909" i="6" s="1"/>
  <c r="H945" i="6"/>
  <c r="I945" i="6" s="1"/>
  <c r="H980" i="6"/>
  <c r="I980" i="6" s="1"/>
  <c r="H1016" i="6"/>
  <c r="I1016" i="6" s="1"/>
  <c r="H1042" i="6"/>
  <c r="I1042" i="6" s="1"/>
  <c r="H1071" i="6"/>
  <c r="I1071" i="6" s="1"/>
  <c r="H1101" i="6"/>
  <c r="I1101" i="6" s="1"/>
  <c r="H1130" i="6"/>
  <c r="I1130" i="6" s="1"/>
  <c r="H1160" i="6"/>
  <c r="I1160" i="6" s="1"/>
  <c r="H1186" i="6"/>
  <c r="I1186" i="6" s="1"/>
  <c r="H1215" i="6"/>
  <c r="I1215" i="6" s="1"/>
  <c r="H1245" i="6"/>
  <c r="I1245" i="6" s="1"/>
  <c r="H518" i="6"/>
  <c r="I518" i="6" s="1"/>
  <c r="H958" i="6"/>
  <c r="I958" i="6" s="1"/>
  <c r="H1256" i="6"/>
  <c r="I1256" i="6" s="1"/>
  <c r="H73" i="6"/>
  <c r="I73" i="6" s="1"/>
  <c r="H339" i="6"/>
  <c r="I339" i="6" s="1"/>
  <c r="H599" i="6"/>
  <c r="I599" i="6" s="1"/>
  <c r="H750" i="6"/>
  <c r="I750" i="6" s="1"/>
  <c r="H959" i="6"/>
  <c r="I959" i="6" s="1"/>
  <c r="H1083" i="6"/>
  <c r="I1083" i="6" s="1"/>
  <c r="H1257" i="6"/>
  <c r="I1257" i="6" s="1"/>
  <c r="H488" i="6"/>
  <c r="I488" i="6" s="1"/>
  <c r="H718" i="6"/>
  <c r="I718" i="6" s="1"/>
  <c r="H858" i="6"/>
  <c r="I858" i="6" s="1"/>
  <c r="H1029" i="6"/>
  <c r="I1029" i="6" s="1"/>
  <c r="H1143" i="6"/>
  <c r="I1143" i="6" s="1"/>
  <c r="H46" i="6"/>
  <c r="I46" i="6" s="1"/>
  <c r="H128" i="6"/>
  <c r="I128" i="6" s="1"/>
  <c r="H207" i="6"/>
  <c r="I207" i="6" s="1"/>
  <c r="H277" i="6"/>
  <c r="I277" i="6" s="1"/>
  <c r="H327" i="6"/>
  <c r="I327" i="6" s="1"/>
  <c r="H373" i="6"/>
  <c r="I373" i="6" s="1"/>
  <c r="H422" i="6"/>
  <c r="I422" i="6" s="1"/>
  <c r="H469" i="6"/>
  <c r="I469" i="6" s="1"/>
  <c r="H510" i="6"/>
  <c r="I510" i="6" s="1"/>
  <c r="H550" i="6"/>
  <c r="I550" i="6" s="1"/>
  <c r="H585" i="6"/>
  <c r="I585" i="6" s="1"/>
  <c r="H623" i="6"/>
  <c r="I623" i="6" s="1"/>
  <c r="H662" i="6"/>
  <c r="I662" i="6" s="1"/>
  <c r="H702" i="6"/>
  <c r="I702" i="6" s="1"/>
  <c r="H742" i="6"/>
  <c r="I742" i="6" s="1"/>
  <c r="H772" i="6"/>
  <c r="I772" i="6" s="1"/>
  <c r="H807" i="6"/>
  <c r="I807" i="6" s="1"/>
  <c r="H843" i="6"/>
  <c r="I843" i="6" s="1"/>
  <c r="H878" i="6"/>
  <c r="I878" i="6" s="1"/>
  <c r="H914" i="6"/>
  <c r="I914" i="6" s="1"/>
  <c r="H946" i="6"/>
  <c r="I946" i="6" s="1"/>
  <c r="H981" i="6"/>
  <c r="I981" i="6" s="1"/>
  <c r="H1017" i="6"/>
  <c r="I1017" i="6" s="1"/>
  <c r="H1046" i="6"/>
  <c r="I1046" i="6" s="1"/>
  <c r="H1076" i="6"/>
  <c r="I1076" i="6" s="1"/>
  <c r="H1102" i="6"/>
  <c r="I1102" i="6" s="1"/>
  <c r="H1131" i="6"/>
  <c r="I1131" i="6" s="1"/>
  <c r="H1161" i="6"/>
  <c r="I1161" i="6" s="1"/>
  <c r="H1190" i="6"/>
  <c r="I1190" i="6" s="1"/>
  <c r="H1220" i="6"/>
  <c r="I1220" i="6" s="1"/>
  <c r="H1246" i="6"/>
  <c r="I1246" i="6" s="1"/>
  <c r="H146" i="6"/>
  <c r="I146" i="6" s="1"/>
  <c r="H289" i="6"/>
  <c r="I289" i="6" s="1"/>
  <c r="H392" i="6"/>
  <c r="I392" i="6" s="1"/>
  <c r="H479" i="6"/>
  <c r="I479" i="6" s="1"/>
  <c r="H598" i="6"/>
  <c r="I598" i="6" s="1"/>
  <c r="H710" i="6"/>
  <c r="I710" i="6" s="1"/>
  <c r="H784" i="6"/>
  <c r="I784" i="6" s="1"/>
  <c r="H851" i="6"/>
  <c r="I851" i="6" s="1"/>
  <c r="H922" i="6"/>
  <c r="I922" i="6" s="1"/>
  <c r="H1053" i="6"/>
  <c r="I1053" i="6" s="1"/>
  <c r="H1112" i="6"/>
  <c r="I1112" i="6" s="1"/>
  <c r="H1167" i="6"/>
  <c r="I1167" i="6" s="1"/>
  <c r="H1226" i="6"/>
  <c r="I1226" i="6" s="1"/>
  <c r="H1172" i="6"/>
  <c r="I1172" i="6" s="1"/>
  <c r="H443" i="6"/>
  <c r="I443" i="6" s="1"/>
  <c r="H788" i="6"/>
  <c r="I788" i="6" s="1"/>
  <c r="H1088" i="6"/>
  <c r="I1088" i="6" s="1"/>
  <c r="H51" i="6"/>
  <c r="I51" i="6" s="1"/>
  <c r="H134" i="6"/>
  <c r="I134" i="6" s="1"/>
  <c r="H217" i="6"/>
  <c r="I217" i="6" s="1"/>
  <c r="H278" i="6"/>
  <c r="I278" i="6" s="1"/>
  <c r="H332" i="6"/>
  <c r="I332" i="6" s="1"/>
  <c r="H382" i="6"/>
  <c r="I382" i="6" s="1"/>
  <c r="H432" i="6"/>
  <c r="I432" i="6" s="1"/>
  <c r="H470" i="6"/>
  <c r="I470" i="6" s="1"/>
  <c r="H512" i="6"/>
  <c r="I512" i="6" s="1"/>
  <c r="H551" i="6"/>
  <c r="I551" i="6" s="1"/>
  <c r="H589" i="6"/>
  <c r="I589" i="6" s="1"/>
  <c r="H630" i="6"/>
  <c r="I630" i="6" s="1"/>
  <c r="H663" i="6"/>
  <c r="I663" i="6" s="1"/>
  <c r="H704" i="6"/>
  <c r="I704" i="6" s="1"/>
  <c r="H743" i="6"/>
  <c r="I743" i="6" s="1"/>
  <c r="H778" i="6"/>
  <c r="I778" i="6" s="1"/>
  <c r="H814" i="6"/>
  <c r="I814" i="6" s="1"/>
  <c r="H844" i="6"/>
  <c r="I844" i="6" s="1"/>
  <c r="H879" i="6"/>
  <c r="I879" i="6" s="1"/>
  <c r="H915" i="6"/>
  <c r="I915" i="6" s="1"/>
  <c r="H950" i="6"/>
  <c r="I950" i="6" s="1"/>
  <c r="H986" i="6"/>
  <c r="I986" i="6" s="1"/>
  <c r="H1018" i="6"/>
  <c r="I1018" i="6" s="1"/>
  <c r="H1047" i="6"/>
  <c r="I1047" i="6" s="1"/>
  <c r="H1077" i="6"/>
  <c r="I1077" i="6" s="1"/>
  <c r="H1106" i="6"/>
  <c r="I1106" i="6" s="1"/>
  <c r="H1136" i="6"/>
  <c r="I1136" i="6" s="1"/>
  <c r="H1162" i="6"/>
  <c r="I1162" i="6" s="1"/>
  <c r="H1191" i="6"/>
  <c r="I1191" i="6" s="1"/>
  <c r="H1221" i="6"/>
  <c r="I1221" i="6" s="1"/>
  <c r="H1250" i="6"/>
  <c r="I1250" i="6" s="1"/>
  <c r="H633" i="6"/>
  <c r="I633" i="6" s="1"/>
  <c r="H1023" i="6"/>
  <c r="I1023" i="6" s="1"/>
  <c r="H239" i="6"/>
  <c r="I239" i="6" s="1"/>
  <c r="H519" i="6"/>
  <c r="I519" i="6" s="1"/>
  <c r="H637" i="6"/>
  <c r="I637" i="6" s="1"/>
  <c r="H711" i="6"/>
  <c r="I711" i="6" s="1"/>
  <c r="H856" i="6"/>
  <c r="I856" i="6" s="1"/>
  <c r="H994" i="6"/>
  <c r="I994" i="6" s="1"/>
  <c r="H1113" i="6"/>
  <c r="I1113" i="6" s="1"/>
  <c r="H167" i="6"/>
  <c r="I167" i="6" s="1"/>
  <c r="H565" i="6"/>
  <c r="I565" i="6" s="1"/>
  <c r="H928" i="6"/>
  <c r="I928" i="6" s="1"/>
  <c r="H1202" i="6"/>
  <c r="I1202" i="6" s="1"/>
  <c r="H62" i="6"/>
  <c r="I62" i="6" s="1"/>
  <c r="H145" i="6"/>
  <c r="I145" i="6" s="1"/>
  <c r="H228" i="6"/>
  <c r="I228" i="6" s="1"/>
  <c r="H288" i="6"/>
  <c r="I288" i="6" s="1"/>
  <c r="H334" i="6"/>
  <c r="I334" i="6" s="1"/>
  <c r="H383" i="6"/>
  <c r="I383" i="6" s="1"/>
  <c r="H433" i="6"/>
  <c r="I433" i="6" s="1"/>
  <c r="H478" i="6"/>
  <c r="I478" i="6" s="1"/>
  <c r="H517" i="6"/>
  <c r="I517" i="6" s="1"/>
  <c r="H552" i="6"/>
  <c r="I552" i="6" s="1"/>
  <c r="H590" i="6"/>
  <c r="I590" i="6" s="1"/>
  <c r="H632" i="6"/>
  <c r="I632" i="6" s="1"/>
  <c r="H670" i="6"/>
  <c r="I670" i="6" s="1"/>
  <c r="H709" i="6"/>
  <c r="I709" i="6" s="1"/>
  <c r="H744" i="6"/>
  <c r="I744" i="6" s="1"/>
  <c r="H779" i="6"/>
  <c r="I779" i="6" s="1"/>
  <c r="H815" i="6"/>
  <c r="I815" i="6" s="1"/>
  <c r="H850" i="6"/>
  <c r="I850" i="6" s="1"/>
  <c r="H886" i="6"/>
  <c r="I886" i="6" s="1"/>
  <c r="H916" i="6"/>
  <c r="I916" i="6" s="1"/>
  <c r="H951" i="6"/>
  <c r="I951" i="6" s="1"/>
  <c r="H987" i="6"/>
  <c r="I987" i="6" s="1"/>
  <c r="H1022" i="6"/>
  <c r="I1022" i="6" s="1"/>
  <c r="H1052" i="6"/>
  <c r="I1052" i="6" s="1"/>
  <c r="H1078" i="6"/>
  <c r="I1078" i="6" s="1"/>
  <c r="H1107" i="6"/>
  <c r="I1107" i="6" s="1"/>
  <c r="H1137" i="6"/>
  <c r="I1137" i="6" s="1"/>
  <c r="H1166" i="6"/>
  <c r="I1166" i="6" s="1"/>
  <c r="H1196" i="6"/>
  <c r="I1196" i="6" s="1"/>
  <c r="H1222" i="6"/>
  <c r="I1222" i="6" s="1"/>
  <c r="H1251" i="6"/>
  <c r="I1251" i="6" s="1"/>
  <c r="H63" i="6"/>
  <c r="I63" i="6" s="1"/>
  <c r="H229" i="6"/>
  <c r="I229" i="6" s="1"/>
  <c r="H338" i="6"/>
  <c r="I338" i="6" s="1"/>
  <c r="H434" i="6"/>
  <c r="I434" i="6" s="1"/>
  <c r="H558" i="6"/>
  <c r="I558" i="6" s="1"/>
  <c r="H671" i="6"/>
  <c r="I671" i="6" s="1"/>
  <c r="H748" i="6"/>
  <c r="I748" i="6" s="1"/>
  <c r="H816" i="6"/>
  <c r="I816" i="6" s="1"/>
  <c r="H887" i="6"/>
  <c r="I887" i="6" s="1"/>
  <c r="H988" i="6"/>
  <c r="I988" i="6" s="1"/>
  <c r="H1082" i="6"/>
  <c r="I1082" i="6" s="1"/>
  <c r="H1138" i="6"/>
  <c r="I1138" i="6" s="1"/>
  <c r="H1197" i="6"/>
  <c r="I1197" i="6" s="1"/>
  <c r="H156" i="6"/>
  <c r="I156" i="6" s="1"/>
  <c r="H394" i="6"/>
  <c r="I394" i="6" s="1"/>
  <c r="H560" i="6"/>
  <c r="I560" i="6" s="1"/>
  <c r="H678" i="6"/>
  <c r="I678" i="6" s="1"/>
  <c r="H820" i="6"/>
  <c r="I820" i="6" s="1"/>
  <c r="H1028" i="6"/>
  <c r="I1028" i="6" s="1"/>
  <c r="H1227" i="6"/>
  <c r="I1227" i="6" s="1"/>
  <c r="H84" i="6"/>
  <c r="I84" i="6" s="1"/>
  <c r="H526" i="6"/>
  <c r="I526" i="6" s="1"/>
  <c r="H892" i="6"/>
  <c r="I892" i="6" s="1"/>
  <c r="H1173" i="6"/>
  <c r="I1173" i="6" s="1"/>
  <c r="R8" i="4"/>
  <c r="R3" i="4"/>
  <c r="R9" i="4"/>
  <c r="R10" i="4"/>
  <c r="R4" i="4"/>
  <c r="R5" i="4"/>
  <c r="R11" i="4"/>
  <c r="R6" i="4"/>
  <c r="R12" i="4"/>
  <c r="R7" i="4"/>
  <c r="R13" i="4"/>
  <c r="G1250" i="6"/>
  <c r="G1256" i="6"/>
  <c r="G1258" i="6"/>
  <c r="G1251" i="6"/>
  <c r="G1257" i="6"/>
  <c r="G1252" i="6"/>
  <c r="G1253" i="6"/>
  <c r="G1259" i="6"/>
  <c r="G1254" i="6"/>
  <c r="G1249" i="6"/>
  <c r="G1255" i="6"/>
  <c r="G1247" i="6"/>
  <c r="G1248" i="6"/>
  <c r="G1246" i="6"/>
  <c r="G1243" i="6"/>
  <c r="G1244" i="6"/>
  <c r="G1245" i="6"/>
  <c r="G1241" i="6"/>
  <c r="G1242" i="6"/>
  <c r="G1239" i="6"/>
  <c r="G1240" i="6"/>
  <c r="G1235" i="6"/>
  <c r="G1236" i="6"/>
  <c r="G1237" i="6"/>
  <c r="G1238" i="6"/>
  <c r="G1234" i="6"/>
  <c r="G1231" i="6"/>
  <c r="G1232" i="6"/>
  <c r="G1233" i="6"/>
  <c r="G1230" i="6"/>
  <c r="G1229" i="6"/>
  <c r="CL3" i="1"/>
  <c r="CL15" i="1"/>
  <c r="CL27" i="1"/>
  <c r="CL39" i="1"/>
  <c r="CL40" i="1"/>
  <c r="CL5" i="1"/>
  <c r="CL17" i="1"/>
  <c r="CL29" i="1"/>
  <c r="CL41" i="1"/>
  <c r="CL18" i="1"/>
  <c r="CL30" i="1"/>
  <c r="CL42" i="1"/>
  <c r="CL19" i="1"/>
  <c r="CL31" i="1"/>
  <c r="CL43" i="1"/>
  <c r="CL8" i="1"/>
  <c r="CL20" i="1"/>
  <c r="CL32" i="1"/>
  <c r="CL44" i="1"/>
  <c r="CL9" i="1"/>
  <c r="CL21" i="1"/>
  <c r="CL33" i="1"/>
  <c r="CL10" i="1"/>
  <c r="CL34" i="1"/>
  <c r="CL46" i="1"/>
  <c r="CL23" i="1"/>
  <c r="CL35" i="1"/>
  <c r="CL12" i="1"/>
  <c r="CL48" i="1"/>
  <c r="CL6" i="1"/>
  <c r="CL45" i="1"/>
  <c r="CL22" i="1"/>
  <c r="CL11" i="1"/>
  <c r="CL47" i="1"/>
  <c r="CL24" i="1"/>
  <c r="CL36" i="1"/>
  <c r="CL13" i="1"/>
  <c r="CL25" i="1"/>
  <c r="CL37" i="1"/>
  <c r="CL49" i="1"/>
  <c r="CL14" i="1"/>
  <c r="CL26" i="1"/>
  <c r="CL38" i="1"/>
  <c r="CL50" i="1"/>
  <c r="CL51" i="1"/>
  <c r="CL4" i="1"/>
  <c r="CL16" i="1"/>
  <c r="CL28" i="1"/>
  <c r="CL7" i="1"/>
  <c r="G1228" i="6"/>
  <c r="G1227" i="6"/>
  <c r="G1226" i="6"/>
  <c r="G1225" i="6"/>
  <c r="G1219" i="6"/>
  <c r="G1220" i="6"/>
  <c r="G1223" i="6"/>
  <c r="G1224" i="6"/>
  <c r="G1221" i="6"/>
  <c r="G1222" i="6"/>
  <c r="E2" i="1"/>
  <c r="G1218" i="6"/>
  <c r="G1217" i="6"/>
  <c r="A3" i="6"/>
  <c r="G8" i="6"/>
  <c r="G20" i="6"/>
  <c r="G32" i="6"/>
  <c r="G44" i="6"/>
  <c r="G56" i="6"/>
  <c r="G68" i="6"/>
  <c r="G80" i="6"/>
  <c r="G92" i="6"/>
  <c r="G104" i="6"/>
  <c r="G14" i="6"/>
  <c r="G26" i="6"/>
  <c r="G38" i="6"/>
  <c r="G50" i="6"/>
  <c r="G62" i="6"/>
  <c r="G74" i="6"/>
  <c r="G86" i="6"/>
  <c r="G98" i="6"/>
  <c r="G110" i="6"/>
  <c r="G122" i="6"/>
  <c r="G134" i="6"/>
  <c r="G146" i="6"/>
  <c r="G158" i="6"/>
  <c r="G170" i="6"/>
  <c r="G182" i="6"/>
  <c r="G194" i="6"/>
  <c r="G206" i="6"/>
  <c r="G218" i="6"/>
  <c r="G230" i="6"/>
  <c r="G242" i="6"/>
  <c r="G254" i="6"/>
  <c r="G266" i="6"/>
  <c r="G278" i="6"/>
  <c r="G290" i="6"/>
  <c r="G302" i="6"/>
  <c r="G314" i="6"/>
  <c r="G326" i="6"/>
  <c r="G338" i="6"/>
  <c r="G350" i="6"/>
  <c r="G362" i="6"/>
  <c r="G374" i="6"/>
  <c r="G386" i="6"/>
  <c r="G398" i="6"/>
  <c r="G410" i="6"/>
  <c r="G422" i="6"/>
  <c r="G434" i="6"/>
  <c r="G446" i="6"/>
  <c r="G458" i="6"/>
  <c r="G470" i="6"/>
  <c r="G482" i="6"/>
  <c r="G494" i="6"/>
  <c r="G506" i="6"/>
  <c r="G518" i="6"/>
  <c r="G530" i="6"/>
  <c r="G542" i="6"/>
  <c r="G554" i="6"/>
  <c r="G566" i="6"/>
  <c r="G578" i="6"/>
  <c r="G590" i="6"/>
  <c r="G602" i="6"/>
  <c r="G614" i="6"/>
  <c r="G626" i="6"/>
  <c r="G638" i="6"/>
  <c r="G650" i="6"/>
  <c r="G662" i="6"/>
  <c r="G674" i="6"/>
  <c r="G686" i="6"/>
  <c r="G698" i="6"/>
  <c r="G710" i="6"/>
  <c r="G722" i="6"/>
  <c r="G734" i="6"/>
  <c r="G746" i="6"/>
  <c r="G758" i="6"/>
  <c r="G770" i="6"/>
  <c r="G782" i="6"/>
  <c r="G794" i="6"/>
  <c r="G806" i="6"/>
  <c r="G818" i="6"/>
  <c r="G830" i="6"/>
  <c r="G842" i="6"/>
  <c r="G854" i="6"/>
  <c r="G866" i="6"/>
  <c r="G878" i="6"/>
  <c r="G890" i="6"/>
  <c r="G902" i="6"/>
  <c r="G7" i="6"/>
  <c r="G22" i="6"/>
  <c r="G36" i="6"/>
  <c r="G51" i="6"/>
  <c r="G65" i="6"/>
  <c r="G79" i="6"/>
  <c r="G94" i="6"/>
  <c r="G108" i="6"/>
  <c r="G121" i="6"/>
  <c r="G135" i="6"/>
  <c r="G148" i="6"/>
  <c r="G161" i="6"/>
  <c r="G174" i="6"/>
  <c r="G187" i="6"/>
  <c r="G200" i="6"/>
  <c r="G213" i="6"/>
  <c r="G226" i="6"/>
  <c r="G239" i="6"/>
  <c r="G252" i="6"/>
  <c r="G265" i="6"/>
  <c r="G279" i="6"/>
  <c r="G12" i="6"/>
  <c r="G27" i="6"/>
  <c r="G41" i="6"/>
  <c r="G55" i="6"/>
  <c r="G70" i="6"/>
  <c r="G84" i="6"/>
  <c r="G99" i="6"/>
  <c r="G113" i="6"/>
  <c r="G126" i="6"/>
  <c r="G139" i="6"/>
  <c r="G152" i="6"/>
  <c r="G165" i="6"/>
  <c r="G178" i="6"/>
  <c r="G191" i="6"/>
  <c r="G204" i="6"/>
  <c r="G217" i="6"/>
  <c r="G231" i="6"/>
  <c r="G244" i="6"/>
  <c r="G257" i="6"/>
  <c r="G270" i="6"/>
  <c r="G283" i="6"/>
  <c r="G296" i="6"/>
  <c r="G309" i="6"/>
  <c r="G322" i="6"/>
  <c r="G335" i="6"/>
  <c r="G348" i="6"/>
  <c r="G361" i="6"/>
  <c r="G375" i="6"/>
  <c r="G388" i="6"/>
  <c r="G401" i="6"/>
  <c r="G414" i="6"/>
  <c r="G427" i="6"/>
  <c r="G440" i="6"/>
  <c r="G453" i="6"/>
  <c r="G466" i="6"/>
  <c r="G21" i="6"/>
  <c r="G15" i="6"/>
  <c r="G31" i="6"/>
  <c r="G48" i="6"/>
  <c r="G66" i="6"/>
  <c r="G83" i="6"/>
  <c r="G101" i="6"/>
  <c r="G117" i="6"/>
  <c r="G132" i="6"/>
  <c r="G149" i="6"/>
  <c r="G164" i="6"/>
  <c r="G180" i="6"/>
  <c r="G196" i="6"/>
  <c r="G211" i="6"/>
  <c r="G227" i="6"/>
  <c r="G243" i="6"/>
  <c r="G259" i="6"/>
  <c r="G274" i="6"/>
  <c r="G289" i="6"/>
  <c r="G304" i="6"/>
  <c r="G318" i="6"/>
  <c r="G332" i="6"/>
  <c r="G346" i="6"/>
  <c r="G360" i="6"/>
  <c r="G376" i="6"/>
  <c r="G390" i="6"/>
  <c r="G404" i="6"/>
  <c r="G418" i="6"/>
  <c r="G432" i="6"/>
  <c r="G447" i="6"/>
  <c r="G461" i="6"/>
  <c r="G475" i="6"/>
  <c r="G488" i="6"/>
  <c r="G501" i="6"/>
  <c r="G514" i="6"/>
  <c r="G527" i="6"/>
  <c r="G540" i="6"/>
  <c r="G553" i="6"/>
  <c r="G19" i="6"/>
  <c r="G37" i="6"/>
  <c r="G54" i="6"/>
  <c r="G72" i="6"/>
  <c r="G89" i="6"/>
  <c r="G106" i="6"/>
  <c r="G123" i="6"/>
  <c r="G138" i="6"/>
  <c r="G154" i="6"/>
  <c r="G169" i="6"/>
  <c r="G185" i="6"/>
  <c r="G201" i="6"/>
  <c r="G216" i="6"/>
  <c r="G233" i="6"/>
  <c r="G248" i="6"/>
  <c r="G263" i="6"/>
  <c r="G280" i="6"/>
  <c r="G294" i="6"/>
  <c r="G308" i="6"/>
  <c r="G323" i="6"/>
  <c r="G337" i="6"/>
  <c r="G352" i="6"/>
  <c r="G366" i="6"/>
  <c r="G380" i="6"/>
  <c r="G394" i="6"/>
  <c r="G408" i="6"/>
  <c r="G423" i="6"/>
  <c r="G437" i="6"/>
  <c r="G451" i="6"/>
  <c r="G465" i="6"/>
  <c r="G479" i="6"/>
  <c r="G492" i="6"/>
  <c r="G505" i="6"/>
  <c r="G519" i="6"/>
  <c r="G532" i="6"/>
  <c r="G545" i="6"/>
  <c r="G558" i="6"/>
  <c r="G571" i="6"/>
  <c r="G584" i="6"/>
  <c r="G597" i="6"/>
  <c r="G610" i="6"/>
  <c r="G623" i="6"/>
  <c r="G636" i="6"/>
  <c r="G649" i="6"/>
  <c r="G663" i="6"/>
  <c r="G676" i="6"/>
  <c r="G689" i="6"/>
  <c r="G702" i="6"/>
  <c r="G715" i="6"/>
  <c r="G728" i="6"/>
  <c r="G741" i="6"/>
  <c r="G754" i="6"/>
  <c r="G767" i="6"/>
  <c r="G780" i="6"/>
  <c r="G793" i="6"/>
  <c r="G807" i="6"/>
  <c r="G820" i="6"/>
  <c r="G833" i="6"/>
  <c r="G846" i="6"/>
  <c r="G859" i="6"/>
  <c r="G872" i="6"/>
  <c r="G885" i="6"/>
  <c r="G898" i="6"/>
  <c r="G911" i="6"/>
  <c r="G923" i="6"/>
  <c r="G935" i="6"/>
  <c r="G947" i="6"/>
  <c r="G959" i="6"/>
  <c r="G971" i="6"/>
  <c r="G983" i="6"/>
  <c r="G995" i="6"/>
  <c r="G1007" i="6"/>
  <c r="G1019" i="6"/>
  <c r="G1031" i="6"/>
  <c r="G1043" i="6"/>
  <c r="G1055" i="6"/>
  <c r="G1067" i="6"/>
  <c r="G1079" i="6"/>
  <c r="G1091" i="6"/>
  <c r="G1103" i="6"/>
  <c r="G1115" i="6"/>
  <c r="G1127" i="6"/>
  <c r="G1139" i="6"/>
  <c r="G1151" i="6"/>
  <c r="G1163" i="6"/>
  <c r="G1175" i="6"/>
  <c r="G1187" i="6"/>
  <c r="G1199" i="6"/>
  <c r="G1211" i="6"/>
  <c r="G39" i="6"/>
  <c r="G57" i="6"/>
  <c r="G73" i="6"/>
  <c r="G90" i="6"/>
  <c r="G107" i="6"/>
  <c r="G124" i="6"/>
  <c r="G140" i="6"/>
  <c r="G155" i="6"/>
  <c r="G171" i="6"/>
  <c r="G186" i="6"/>
  <c r="G202" i="6"/>
  <c r="G234" i="6"/>
  <c r="G249" i="6"/>
  <c r="G264" i="6"/>
  <c r="G13" i="6"/>
  <c r="G35" i="6"/>
  <c r="G60" i="6"/>
  <c r="G82" i="6"/>
  <c r="G105" i="6"/>
  <c r="G128" i="6"/>
  <c r="G147" i="6"/>
  <c r="G168" i="6"/>
  <c r="G190" i="6"/>
  <c r="G210" i="6"/>
  <c r="G229" i="6"/>
  <c r="G251" i="6"/>
  <c r="G272" i="6"/>
  <c r="G291" i="6"/>
  <c r="G307" i="6"/>
  <c r="G325" i="6"/>
  <c r="G342" i="6"/>
  <c r="G358" i="6"/>
  <c r="G377" i="6"/>
  <c r="G393" i="6"/>
  <c r="G411" i="6"/>
  <c r="G428" i="6"/>
  <c r="G444" i="6"/>
  <c r="G462" i="6"/>
  <c r="G478" i="6"/>
  <c r="G495" i="6"/>
  <c r="G510" i="6"/>
  <c r="G525" i="6"/>
  <c r="G541" i="6"/>
  <c r="G557" i="6"/>
  <c r="G572" i="6"/>
  <c r="G586" i="6"/>
  <c r="G600" i="6"/>
  <c r="G615" i="6"/>
  <c r="G629" i="6"/>
  <c r="G643" i="6"/>
  <c r="G657" i="6"/>
  <c r="G671" i="6"/>
  <c r="G685" i="6"/>
  <c r="G700" i="6"/>
  <c r="G714" i="6"/>
  <c r="G729" i="6"/>
  <c r="G743" i="6"/>
  <c r="G757" i="6"/>
  <c r="G772" i="6"/>
  <c r="G786" i="6"/>
  <c r="G800" i="6"/>
  <c r="G814" i="6"/>
  <c r="G828" i="6"/>
  <c r="G16" i="6"/>
  <c r="G40" i="6"/>
  <c r="G61" i="6"/>
  <c r="G85" i="6"/>
  <c r="G109" i="6"/>
  <c r="G129" i="6"/>
  <c r="G150" i="6"/>
  <c r="G172" i="6"/>
  <c r="G192" i="6"/>
  <c r="G212" i="6"/>
  <c r="G232" i="6"/>
  <c r="G253" i="6"/>
  <c r="G273" i="6"/>
  <c r="G292" i="6"/>
  <c r="G310" i="6"/>
  <c r="G327" i="6"/>
  <c r="G343" i="6"/>
  <c r="G359" i="6"/>
  <c r="G378" i="6"/>
  <c r="G395" i="6"/>
  <c r="G412" i="6"/>
  <c r="G429" i="6"/>
  <c r="G445" i="6"/>
  <c r="G463" i="6"/>
  <c r="G480" i="6"/>
  <c r="G496" i="6"/>
  <c r="G511" i="6"/>
  <c r="G526" i="6"/>
  <c r="G543" i="6"/>
  <c r="G559" i="6"/>
  <c r="G573" i="6"/>
  <c r="G587" i="6"/>
  <c r="G601" i="6"/>
  <c r="G616" i="6"/>
  <c r="G630" i="6"/>
  <c r="G644" i="6"/>
  <c r="G658" i="6"/>
  <c r="G672" i="6"/>
  <c r="G687" i="6"/>
  <c r="G701" i="6"/>
  <c r="G18" i="6"/>
  <c r="G43" i="6"/>
  <c r="G64" i="6"/>
  <c r="G88" i="6"/>
  <c r="G112" i="6"/>
  <c r="G131" i="6"/>
  <c r="G153" i="6"/>
  <c r="G175" i="6"/>
  <c r="G195" i="6"/>
  <c r="G215" i="6"/>
  <c r="G236" i="6"/>
  <c r="G256" i="6"/>
  <c r="G276" i="6"/>
  <c r="G295" i="6"/>
  <c r="G312" i="6"/>
  <c r="G329" i="6"/>
  <c r="G345" i="6"/>
  <c r="G364" i="6"/>
  <c r="G381" i="6"/>
  <c r="G397" i="6"/>
  <c r="G415" i="6"/>
  <c r="G431" i="6"/>
  <c r="G449" i="6"/>
  <c r="G467" i="6"/>
  <c r="G483" i="6"/>
  <c r="G498" i="6"/>
  <c r="G6" i="6"/>
  <c r="G29" i="6"/>
  <c r="G52" i="6"/>
  <c r="G76" i="6"/>
  <c r="G97" i="6"/>
  <c r="G119" i="6"/>
  <c r="G142" i="6"/>
  <c r="G162" i="6"/>
  <c r="G183" i="6"/>
  <c r="G205" i="6"/>
  <c r="G223" i="6"/>
  <c r="G245" i="6"/>
  <c r="G267" i="6"/>
  <c r="G285" i="6"/>
  <c r="G301" i="6"/>
  <c r="G319" i="6"/>
  <c r="G336" i="6"/>
  <c r="G354" i="6"/>
  <c r="G370" i="6"/>
  <c r="G387" i="6"/>
  <c r="G405" i="6"/>
  <c r="G421" i="6"/>
  <c r="G439" i="6"/>
  <c r="G456" i="6"/>
  <c r="G473" i="6"/>
  <c r="G489" i="6"/>
  <c r="G504" i="6"/>
  <c r="G521" i="6"/>
  <c r="G536" i="6"/>
  <c r="G551" i="6"/>
  <c r="G567" i="6"/>
  <c r="G581" i="6"/>
  <c r="G595" i="6"/>
  <c r="G609" i="6"/>
  <c r="G624" i="6"/>
  <c r="G639" i="6"/>
  <c r="G653" i="6"/>
  <c r="G667" i="6"/>
  <c r="G681" i="6"/>
  <c r="G695" i="6"/>
  <c r="G709" i="6"/>
  <c r="G724" i="6"/>
  <c r="G738" i="6"/>
  <c r="G752" i="6"/>
  <c r="G766" i="6"/>
  <c r="G781" i="6"/>
  <c r="G796" i="6"/>
  <c r="G810" i="6"/>
  <c r="G824" i="6"/>
  <c r="G838" i="6"/>
  <c r="G852" i="6"/>
  <c r="G23" i="6"/>
  <c r="G53" i="6"/>
  <c r="G91" i="6"/>
  <c r="G120" i="6"/>
  <c r="G156" i="6"/>
  <c r="G184" i="6"/>
  <c r="G219" i="6"/>
  <c r="G246" i="6"/>
  <c r="G277" i="6"/>
  <c r="G303" i="6"/>
  <c r="G330" i="6"/>
  <c r="G355" i="6"/>
  <c r="G382" i="6"/>
  <c r="G406" i="6"/>
  <c r="G433" i="6"/>
  <c r="G457" i="6"/>
  <c r="G484" i="6"/>
  <c r="G507" i="6"/>
  <c r="G528" i="6"/>
  <c r="G548" i="6"/>
  <c r="G568" i="6"/>
  <c r="G588" i="6"/>
  <c r="G606" i="6"/>
  <c r="G625" i="6"/>
  <c r="G645" i="6"/>
  <c r="G664" i="6"/>
  <c r="G682" i="6"/>
  <c r="G703" i="6"/>
  <c r="G719" i="6"/>
  <c r="G736" i="6"/>
  <c r="G753" i="6"/>
  <c r="G771" i="6"/>
  <c r="G788" i="6"/>
  <c r="G804" i="6"/>
  <c r="G822" i="6"/>
  <c r="G839" i="6"/>
  <c r="G855" i="6"/>
  <c r="G869" i="6"/>
  <c r="G883" i="6"/>
  <c r="G897" i="6"/>
  <c r="G912" i="6"/>
  <c r="G925" i="6"/>
  <c r="G938" i="6"/>
  <c r="G951" i="6"/>
  <c r="G964" i="6"/>
  <c r="G977" i="6"/>
  <c r="G990" i="6"/>
  <c r="G1003" i="6"/>
  <c r="G1016" i="6"/>
  <c r="G1029" i="6"/>
  <c r="G1042" i="6"/>
  <c r="G1056" i="6"/>
  <c r="G1069" i="6"/>
  <c r="G1082" i="6"/>
  <c r="G1095" i="6"/>
  <c r="G1108" i="6"/>
  <c r="G1121" i="6"/>
  <c r="G1134" i="6"/>
  <c r="G1147" i="6"/>
  <c r="G1160" i="6"/>
  <c r="G1173" i="6"/>
  <c r="G1186" i="6"/>
  <c r="G1200" i="6"/>
  <c r="G25" i="6"/>
  <c r="G59" i="6"/>
  <c r="G95" i="6"/>
  <c r="G127" i="6"/>
  <c r="G159" i="6"/>
  <c r="G189" i="6"/>
  <c r="G221" i="6"/>
  <c r="G250" i="6"/>
  <c r="G282" i="6"/>
  <c r="G306" i="6"/>
  <c r="G333" i="6"/>
  <c r="G357" i="6"/>
  <c r="G384" i="6"/>
  <c r="G409" i="6"/>
  <c r="G436" i="6"/>
  <c r="G460" i="6"/>
  <c r="G486" i="6"/>
  <c r="G509" i="6"/>
  <c r="G531" i="6"/>
  <c r="G550" i="6"/>
  <c r="G570" i="6"/>
  <c r="G591" i="6"/>
  <c r="G608" i="6"/>
  <c r="G628" i="6"/>
  <c r="G647" i="6"/>
  <c r="G666" i="6"/>
  <c r="G684" i="6"/>
  <c r="G705" i="6"/>
  <c r="G721" i="6"/>
  <c r="G739" i="6"/>
  <c r="G756" i="6"/>
  <c r="G774" i="6"/>
  <c r="G790" i="6"/>
  <c r="G808" i="6"/>
  <c r="G825" i="6"/>
  <c r="G841" i="6"/>
  <c r="G857" i="6"/>
  <c r="G871" i="6"/>
  <c r="G886" i="6"/>
  <c r="G900" i="6"/>
  <c r="G914" i="6"/>
  <c r="G927" i="6"/>
  <c r="G940" i="6"/>
  <c r="G953" i="6"/>
  <c r="G966" i="6"/>
  <c r="G979" i="6"/>
  <c r="G992" i="6"/>
  <c r="G1005" i="6"/>
  <c r="G1018" i="6"/>
  <c r="G1032" i="6"/>
  <c r="G1045" i="6"/>
  <c r="G1058" i="6"/>
  <c r="G1071" i="6"/>
  <c r="G1084" i="6"/>
  <c r="G1097" i="6"/>
  <c r="G28" i="6"/>
  <c r="G63" i="6"/>
  <c r="G96" i="6"/>
  <c r="G130" i="6"/>
  <c r="G160" i="6"/>
  <c r="G193" i="6"/>
  <c r="G222" i="6"/>
  <c r="G255" i="6"/>
  <c r="G284" i="6"/>
  <c r="G311" i="6"/>
  <c r="G334" i="6"/>
  <c r="G363" i="6"/>
  <c r="G385" i="6"/>
  <c r="G413" i="6"/>
  <c r="G438" i="6"/>
  <c r="G464" i="6"/>
  <c r="G487" i="6"/>
  <c r="G512" i="6"/>
  <c r="G533" i="6"/>
  <c r="G552" i="6"/>
  <c r="G574" i="6"/>
  <c r="G592" i="6"/>
  <c r="G611" i="6"/>
  <c r="G631" i="6"/>
  <c r="G648" i="6"/>
  <c r="G668" i="6"/>
  <c r="G688" i="6"/>
  <c r="G706" i="6"/>
  <c r="G723" i="6"/>
  <c r="G740" i="6"/>
  <c r="G759" i="6"/>
  <c r="G775" i="6"/>
  <c r="G791" i="6"/>
  <c r="G809" i="6"/>
  <c r="G826" i="6"/>
  <c r="G843" i="6"/>
  <c r="G858" i="6"/>
  <c r="G873" i="6"/>
  <c r="G887" i="6"/>
  <c r="G901" i="6"/>
  <c r="G915" i="6"/>
  <c r="G10" i="6"/>
  <c r="G46" i="6"/>
  <c r="G78" i="6"/>
  <c r="G115" i="6"/>
  <c r="G144" i="6"/>
  <c r="G177" i="6"/>
  <c r="G208" i="6"/>
  <c r="G238" i="6"/>
  <c r="G269" i="6"/>
  <c r="G298" i="6"/>
  <c r="G321" i="6"/>
  <c r="G349" i="6"/>
  <c r="G372" i="6"/>
  <c r="G400" i="6"/>
  <c r="G425" i="6"/>
  <c r="G452" i="6"/>
  <c r="G476" i="6"/>
  <c r="G500" i="6"/>
  <c r="G522" i="6"/>
  <c r="G544" i="6"/>
  <c r="G563" i="6"/>
  <c r="G582" i="6"/>
  <c r="G603" i="6"/>
  <c r="G620" i="6"/>
  <c r="G640" i="6"/>
  <c r="G659" i="6"/>
  <c r="G678" i="6"/>
  <c r="G696" i="6"/>
  <c r="G716" i="6"/>
  <c r="G732" i="6"/>
  <c r="G749" i="6"/>
  <c r="G765" i="6"/>
  <c r="G784" i="6"/>
  <c r="G801" i="6"/>
  <c r="G817" i="6"/>
  <c r="G835" i="6"/>
  <c r="G850" i="6"/>
  <c r="G865" i="6"/>
  <c r="G880" i="6"/>
  <c r="G894" i="6"/>
  <c r="G908" i="6"/>
  <c r="G921" i="6"/>
  <c r="G934" i="6"/>
  <c r="G948" i="6"/>
  <c r="G961" i="6"/>
  <c r="G974" i="6"/>
  <c r="G987" i="6"/>
  <c r="G1000" i="6"/>
  <c r="G1013" i="6"/>
  <c r="G1026" i="6"/>
  <c r="G1039" i="6"/>
  <c r="G1052" i="6"/>
  <c r="G1065" i="6"/>
  <c r="G1078" i="6"/>
  <c r="G1092" i="6"/>
  <c r="G1105" i="6"/>
  <c r="G1118" i="6"/>
  <c r="G1131" i="6"/>
  <c r="G1144" i="6"/>
  <c r="G1157" i="6"/>
  <c r="G1170" i="6"/>
  <c r="G1183" i="6"/>
  <c r="G1196" i="6"/>
  <c r="G1209" i="6"/>
  <c r="G474" i="6"/>
  <c r="G1180" i="6"/>
  <c r="G1119" i="6"/>
  <c r="G999" i="6"/>
  <c r="G1070" i="6"/>
  <c r="G1136" i="6"/>
  <c r="G829" i="6"/>
  <c r="G379" i="6"/>
  <c r="G946" i="6"/>
  <c r="G1120" i="6"/>
  <c r="G895" i="6"/>
  <c r="G493" i="6"/>
  <c r="G100" i="6"/>
  <c r="G286" i="6"/>
  <c r="G656" i="6"/>
  <c r="G1033" i="6"/>
  <c r="G965" i="6"/>
  <c r="G1087" i="6"/>
  <c r="G1214" i="6"/>
  <c r="G802" i="6"/>
  <c r="G341" i="6"/>
  <c r="G47" i="6"/>
  <c r="G102" i="6"/>
  <c r="G145" i="6"/>
  <c r="G198" i="6"/>
  <c r="G240" i="6"/>
  <c r="G287" i="6"/>
  <c r="G324" i="6"/>
  <c r="G367" i="6"/>
  <c r="G402" i="6"/>
  <c r="G442" i="6"/>
  <c r="G477" i="6"/>
  <c r="G515" i="6"/>
  <c r="G546" i="6"/>
  <c r="G576" i="6"/>
  <c r="G604" i="6"/>
  <c r="G633" i="6"/>
  <c r="G660" i="6"/>
  <c r="G691" i="6"/>
  <c r="G717" i="6"/>
  <c r="G744" i="6"/>
  <c r="G768" i="6"/>
  <c r="G795" i="6"/>
  <c r="G819" i="6"/>
  <c r="G867" i="6"/>
  <c r="G889" i="6"/>
  <c r="G909" i="6"/>
  <c r="G945" i="6"/>
  <c r="G998" i="6"/>
  <c r="G1086" i="6"/>
  <c r="G1197" i="6"/>
  <c r="G1051" i="6"/>
  <c r="G1182" i="6"/>
  <c r="G750" i="6"/>
  <c r="G300" i="6"/>
  <c r="G49" i="6"/>
  <c r="G103" i="6"/>
  <c r="G151" i="6"/>
  <c r="G199" i="6"/>
  <c r="G241" i="6"/>
  <c r="G288" i="6"/>
  <c r="G328" i="6"/>
  <c r="G368" i="6"/>
  <c r="G403" i="6"/>
  <c r="G443" i="6"/>
  <c r="G481" i="6"/>
  <c r="G516" i="6"/>
  <c r="G547" i="6"/>
  <c r="G577" i="6"/>
  <c r="G605" i="6"/>
  <c r="G634" i="6"/>
  <c r="G661" i="6"/>
  <c r="G692" i="6"/>
  <c r="G718" i="6"/>
  <c r="G745" i="6"/>
  <c r="G769" i="6"/>
  <c r="G797" i="6"/>
  <c r="G821" i="6"/>
  <c r="G847" i="6"/>
  <c r="G868" i="6"/>
  <c r="G891" i="6"/>
  <c r="G910" i="6"/>
  <c r="G982" i="6"/>
  <c r="G1035" i="6"/>
  <c r="G1167" i="6"/>
  <c r="G851" i="6"/>
  <c r="G419" i="6"/>
  <c r="G5" i="6"/>
  <c r="G58" i="6"/>
  <c r="G111" i="6"/>
  <c r="G157" i="6"/>
  <c r="G203" i="6"/>
  <c r="G247" i="6"/>
  <c r="G293" i="6"/>
  <c r="G331" i="6"/>
  <c r="G369" i="6"/>
  <c r="G407" i="6"/>
  <c r="G448" i="6"/>
  <c r="G485" i="6"/>
  <c r="G517" i="6"/>
  <c r="G549" i="6"/>
  <c r="G579" i="6"/>
  <c r="G607" i="6"/>
  <c r="G635" i="6"/>
  <c r="G665" i="6"/>
  <c r="G693" i="6"/>
  <c r="G720" i="6"/>
  <c r="G747" i="6"/>
  <c r="G773" i="6"/>
  <c r="G798" i="6"/>
  <c r="G823" i="6"/>
  <c r="G848" i="6"/>
  <c r="G870" i="6"/>
  <c r="G892" i="6"/>
  <c r="G913" i="6"/>
  <c r="G931" i="6"/>
  <c r="G949" i="6"/>
  <c r="G967" i="6"/>
  <c r="G984" i="6"/>
  <c r="G1001" i="6"/>
  <c r="G1020" i="6"/>
  <c r="G1036" i="6"/>
  <c r="G1053" i="6"/>
  <c r="G1072" i="6"/>
  <c r="G1088" i="6"/>
  <c r="G1106" i="6"/>
  <c r="G1122" i="6"/>
  <c r="G1137" i="6"/>
  <c r="G1153" i="6"/>
  <c r="G1168" i="6"/>
  <c r="G1184" i="6"/>
  <c r="G1201" i="6"/>
  <c r="G1215" i="6"/>
  <c r="G9" i="6"/>
  <c r="G67" i="6"/>
  <c r="G114" i="6"/>
  <c r="G163" i="6"/>
  <c r="G207" i="6"/>
  <c r="G258" i="6"/>
  <c r="G297" i="6"/>
  <c r="G339" i="6"/>
  <c r="G371" i="6"/>
  <c r="G416" i="6"/>
  <c r="G450" i="6"/>
  <c r="G490" i="6"/>
  <c r="G520" i="6"/>
  <c r="G555" i="6"/>
  <c r="G580" i="6"/>
  <c r="G612" i="6"/>
  <c r="G637" i="6"/>
  <c r="G669" i="6"/>
  <c r="G694" i="6"/>
  <c r="G725" i="6"/>
  <c r="G748" i="6"/>
  <c r="G776" i="6"/>
  <c r="G799" i="6"/>
  <c r="G827" i="6"/>
  <c r="G849" i="6"/>
  <c r="G874" i="6"/>
  <c r="G893" i="6"/>
  <c r="G916" i="6"/>
  <c r="G932" i="6"/>
  <c r="G950" i="6"/>
  <c r="G968" i="6"/>
  <c r="G985" i="6"/>
  <c r="G1002" i="6"/>
  <c r="G1021" i="6"/>
  <c r="G1037" i="6"/>
  <c r="G1054" i="6"/>
  <c r="G1073" i="6"/>
  <c r="G1089" i="6"/>
  <c r="G1107" i="6"/>
  <c r="G1123" i="6"/>
  <c r="G1138" i="6"/>
  <c r="G1154" i="6"/>
  <c r="G1169" i="6"/>
  <c r="G1185" i="6"/>
  <c r="G1202" i="6"/>
  <c r="G1216" i="6"/>
  <c r="G642" i="6"/>
  <c r="G727" i="6"/>
  <c r="G33" i="6"/>
  <c r="G81" i="6"/>
  <c r="G136" i="6"/>
  <c r="G179" i="6"/>
  <c r="G225" i="6"/>
  <c r="G271" i="6"/>
  <c r="G315" i="6"/>
  <c r="G351" i="6"/>
  <c r="G391" i="6"/>
  <c r="G426" i="6"/>
  <c r="G469" i="6"/>
  <c r="G502" i="6"/>
  <c r="G535" i="6"/>
  <c r="G564" i="6"/>
  <c r="G594" i="6"/>
  <c r="G621" i="6"/>
  <c r="G652" i="6"/>
  <c r="G679" i="6"/>
  <c r="G708" i="6"/>
  <c r="G733" i="6"/>
  <c r="G761" i="6"/>
  <c r="G785" i="6"/>
  <c r="G812" i="6"/>
  <c r="G836" i="6"/>
  <c r="G861" i="6"/>
  <c r="G881" i="6"/>
  <c r="G904" i="6"/>
  <c r="G922" i="6"/>
  <c r="G941" i="6"/>
  <c r="G957" i="6"/>
  <c r="G975" i="6"/>
  <c r="G993" i="6"/>
  <c r="G1010" i="6"/>
  <c r="G1027" i="6"/>
  <c r="G1046" i="6"/>
  <c r="G1062" i="6"/>
  <c r="G1080" i="6"/>
  <c r="G1098" i="6"/>
  <c r="G1113" i="6"/>
  <c r="G1129" i="6"/>
  <c r="G1145" i="6"/>
  <c r="G1161" i="6"/>
  <c r="G1177" i="6"/>
  <c r="G1192" i="6"/>
  <c r="G1207" i="6"/>
  <c r="G34" i="6"/>
  <c r="G87" i="6"/>
  <c r="G137" i="6"/>
  <c r="G181" i="6"/>
  <c r="G228" i="6"/>
  <c r="G275" i="6"/>
  <c r="G316" i="6"/>
  <c r="G353" i="6"/>
  <c r="G392" i="6"/>
  <c r="G430" i="6"/>
  <c r="G471" i="6"/>
  <c r="G503" i="6"/>
  <c r="G537" i="6"/>
  <c r="G565" i="6"/>
  <c r="G596" i="6"/>
  <c r="G622" i="6"/>
  <c r="G654" i="6"/>
  <c r="G680" i="6"/>
  <c r="G711" i="6"/>
  <c r="G735" i="6"/>
  <c r="G762" i="6"/>
  <c r="G787" i="6"/>
  <c r="G813" i="6"/>
  <c r="G837" i="6"/>
  <c r="G862" i="6"/>
  <c r="G882" i="6"/>
  <c r="G905" i="6"/>
  <c r="G924" i="6"/>
  <c r="G942" i="6"/>
  <c r="G958" i="6"/>
  <c r="G976" i="6"/>
  <c r="G994" i="6"/>
  <c r="G1011" i="6"/>
  <c r="G1028" i="6"/>
  <c r="G1047" i="6"/>
  <c r="G1063" i="6"/>
  <c r="G1081" i="6"/>
  <c r="G1099" i="6"/>
  <c r="G1114" i="6"/>
  <c r="G1130" i="6"/>
  <c r="G1146" i="6"/>
  <c r="G1162" i="6"/>
  <c r="G1178" i="6"/>
  <c r="G1193" i="6"/>
  <c r="G1208" i="6"/>
  <c r="G42" i="6"/>
  <c r="G93" i="6"/>
  <c r="G141" i="6"/>
  <c r="G188" i="6"/>
  <c r="G235" i="6"/>
  <c r="G281" i="6"/>
  <c r="G317" i="6"/>
  <c r="G356" i="6"/>
  <c r="G396" i="6"/>
  <c r="G435" i="6"/>
  <c r="G472" i="6"/>
  <c r="G508" i="6"/>
  <c r="G538" i="6"/>
  <c r="G569" i="6"/>
  <c r="G598" i="6"/>
  <c r="G627" i="6"/>
  <c r="G655" i="6"/>
  <c r="G683" i="6"/>
  <c r="G712" i="6"/>
  <c r="G737" i="6"/>
  <c r="G763" i="6"/>
  <c r="G789" i="6"/>
  <c r="G815" i="6"/>
  <c r="G840" i="6"/>
  <c r="G863" i="6"/>
  <c r="G884" i="6"/>
  <c r="G906" i="6"/>
  <c r="G926" i="6"/>
  <c r="G943" i="6"/>
  <c r="G960" i="6"/>
  <c r="G978" i="6"/>
  <c r="G996" i="6"/>
  <c r="G1012" i="6"/>
  <c r="G1030" i="6"/>
  <c r="G1048" i="6"/>
  <c r="G1064" i="6"/>
  <c r="G1083" i="6"/>
  <c r="G1100" i="6"/>
  <c r="G1116" i="6"/>
  <c r="G1132" i="6"/>
  <c r="G1148" i="6"/>
  <c r="G1164" i="6"/>
  <c r="G1179" i="6"/>
  <c r="G1194" i="6"/>
  <c r="G1210" i="6"/>
  <c r="G45" i="6"/>
  <c r="G143" i="6"/>
  <c r="G197" i="6"/>
  <c r="G237" i="6"/>
  <c r="G320" i="6"/>
  <c r="G365" i="6"/>
  <c r="G399" i="6"/>
  <c r="G441" i="6"/>
  <c r="G513" i="6"/>
  <c r="G539" i="6"/>
  <c r="G575" i="6"/>
  <c r="G599" i="6"/>
  <c r="G632" i="6"/>
  <c r="G690" i="6"/>
  <c r="G713" i="6"/>
  <c r="G742" i="6"/>
  <c r="G764" i="6"/>
  <c r="G792" i="6"/>
  <c r="G816" i="6"/>
  <c r="G844" i="6"/>
  <c r="G864" i="6"/>
  <c r="G888" i="6"/>
  <c r="G907" i="6"/>
  <c r="G928" i="6"/>
  <c r="G944" i="6"/>
  <c r="G962" i="6"/>
  <c r="G980" i="6"/>
  <c r="G997" i="6"/>
  <c r="G1014" i="6"/>
  <c r="G1049" i="6"/>
  <c r="G1066" i="6"/>
  <c r="G1085" i="6"/>
  <c r="G1101" i="6"/>
  <c r="G1117" i="6"/>
  <c r="G1133" i="6"/>
  <c r="G1149" i="6"/>
  <c r="G1165" i="6"/>
  <c r="G1195" i="6"/>
  <c r="G1212" i="6"/>
  <c r="G845" i="6"/>
  <c r="G929" i="6"/>
  <c r="G963" i="6"/>
  <c r="G981" i="6"/>
  <c r="G1015" i="6"/>
  <c r="G1034" i="6"/>
  <c r="G1050" i="6"/>
  <c r="G1068" i="6"/>
  <c r="G1102" i="6"/>
  <c r="G1135" i="6"/>
  <c r="G1150" i="6"/>
  <c r="G1166" i="6"/>
  <c r="G1181" i="6"/>
  <c r="G1213" i="6"/>
  <c r="G930" i="6"/>
  <c r="G1017" i="6"/>
  <c r="G1104" i="6"/>
  <c r="G1152" i="6"/>
  <c r="G1198" i="6"/>
  <c r="G11" i="6"/>
  <c r="G69" i="6"/>
  <c r="G116" i="6"/>
  <c r="G166" i="6"/>
  <c r="G209" i="6"/>
  <c r="G260" i="6"/>
  <c r="G299" i="6"/>
  <c r="G340" i="6"/>
  <c r="G373" i="6"/>
  <c r="G417" i="6"/>
  <c r="G454" i="6"/>
  <c r="G491" i="6"/>
  <c r="G523" i="6"/>
  <c r="G556" i="6"/>
  <c r="G583" i="6"/>
  <c r="G613" i="6"/>
  <c r="G641" i="6"/>
  <c r="G670" i="6"/>
  <c r="G697" i="6"/>
  <c r="G726" i="6"/>
  <c r="G777" i="6"/>
  <c r="G875" i="6"/>
  <c r="G917" i="6"/>
  <c r="G933" i="6"/>
  <c r="G952" i="6"/>
  <c r="G969" i="6"/>
  <c r="G986" i="6"/>
  <c r="G1004" i="6"/>
  <c r="G1022" i="6"/>
  <c r="G1038" i="6"/>
  <c r="G1057" i="6"/>
  <c r="G1074" i="6"/>
  <c r="G1090" i="6"/>
  <c r="G1109" i="6"/>
  <c r="G1124" i="6"/>
  <c r="G1140" i="6"/>
  <c r="G1155" i="6"/>
  <c r="G1171" i="6"/>
  <c r="G1188" i="6"/>
  <c r="G1203" i="6"/>
  <c r="G17" i="6"/>
  <c r="G71" i="6"/>
  <c r="G118" i="6"/>
  <c r="G167" i="6"/>
  <c r="G214" i="6"/>
  <c r="G261" i="6"/>
  <c r="G455" i="6"/>
  <c r="G524" i="6"/>
  <c r="G560" i="6"/>
  <c r="G585" i="6"/>
  <c r="G617" i="6"/>
  <c r="G673" i="6"/>
  <c r="G699" i="6"/>
  <c r="G751" i="6"/>
  <c r="G778" i="6"/>
  <c r="G803" i="6"/>
  <c r="G831" i="6"/>
  <c r="G853" i="6"/>
  <c r="G876" i="6"/>
  <c r="G896" i="6"/>
  <c r="G918" i="6"/>
  <c r="G936" i="6"/>
  <c r="G954" i="6"/>
  <c r="G970" i="6"/>
  <c r="G988" i="6"/>
  <c r="G1006" i="6"/>
  <c r="G1023" i="6"/>
  <c r="G1040" i="6"/>
  <c r="G1059" i="6"/>
  <c r="G1075" i="6"/>
  <c r="G1093" i="6"/>
  <c r="G1110" i="6"/>
  <c r="G1125" i="6"/>
  <c r="G1141" i="6"/>
  <c r="G1156" i="6"/>
  <c r="G1172" i="6"/>
  <c r="G1189" i="6"/>
  <c r="G1204" i="6"/>
  <c r="G30" i="6"/>
  <c r="G313" i="6"/>
  <c r="G534" i="6"/>
  <c r="G707" i="6"/>
  <c r="G860" i="6"/>
  <c r="G973" i="6"/>
  <c r="G1077" i="6"/>
  <c r="G1176" i="6"/>
  <c r="G77" i="6"/>
  <c r="G562" i="6"/>
  <c r="G879" i="6"/>
  <c r="G1096" i="6"/>
  <c r="G224" i="6"/>
  <c r="G1044" i="6"/>
  <c r="G1060" i="6"/>
  <c r="G75" i="6"/>
  <c r="G344" i="6"/>
  <c r="G561" i="6"/>
  <c r="G730" i="6"/>
  <c r="G877" i="6"/>
  <c r="G989" i="6"/>
  <c r="G1094" i="6"/>
  <c r="G1190" i="6"/>
  <c r="G347" i="6"/>
  <c r="G731" i="6"/>
  <c r="G991" i="6"/>
  <c r="G1191" i="6"/>
  <c r="G811" i="6"/>
  <c r="G832" i="6"/>
  <c r="G497" i="6"/>
  <c r="G125" i="6"/>
  <c r="G383" i="6"/>
  <c r="G589" i="6"/>
  <c r="G755" i="6"/>
  <c r="G899" i="6"/>
  <c r="G1008" i="6"/>
  <c r="G1111" i="6"/>
  <c r="G1205" i="6"/>
  <c r="G133" i="6"/>
  <c r="G389" i="6"/>
  <c r="G593" i="6"/>
  <c r="G760" i="6"/>
  <c r="G903" i="6"/>
  <c r="G1009" i="6"/>
  <c r="G1112" i="6"/>
  <c r="G1206" i="6"/>
  <c r="G783" i="6"/>
  <c r="G1025" i="6"/>
  <c r="G646" i="6"/>
  <c r="G1041" i="6"/>
  <c r="G468" i="6"/>
  <c r="G939" i="6"/>
  <c r="G262" i="6"/>
  <c r="G1158" i="6"/>
  <c r="G173" i="6"/>
  <c r="G420" i="6"/>
  <c r="G618" i="6"/>
  <c r="G779" i="6"/>
  <c r="G919" i="6"/>
  <c r="G1024" i="6"/>
  <c r="G1126" i="6"/>
  <c r="G176" i="6"/>
  <c r="G424" i="6"/>
  <c r="G619" i="6"/>
  <c r="G920" i="6"/>
  <c r="G1128" i="6"/>
  <c r="G220" i="6"/>
  <c r="G459" i="6"/>
  <c r="G805" i="6"/>
  <c r="G937" i="6"/>
  <c r="G1142" i="6"/>
  <c r="G651" i="6"/>
  <c r="G1143" i="6"/>
  <c r="G675" i="6"/>
  <c r="G24" i="6"/>
  <c r="G305" i="6"/>
  <c r="G529" i="6"/>
  <c r="G704" i="6"/>
  <c r="G856" i="6"/>
  <c r="G972" i="6"/>
  <c r="G1076" i="6"/>
  <c r="G1174" i="6"/>
  <c r="G955" i="6"/>
  <c r="G268" i="6"/>
  <c r="G499" i="6"/>
  <c r="G677" i="6"/>
  <c r="G834" i="6"/>
  <c r="G956" i="6"/>
  <c r="G1061" i="6"/>
  <c r="G1159" i="6"/>
  <c r="E3" i="6"/>
  <c r="BC34" i="1"/>
  <c r="BG13" i="1"/>
  <c r="BA13" i="1" s="1"/>
  <c r="BD13" i="1" s="1"/>
  <c r="BG25" i="1"/>
  <c r="BA25" i="1" s="1"/>
  <c r="BD25" i="1" s="1"/>
  <c r="BG37" i="1"/>
  <c r="BA37" i="1" s="1"/>
  <c r="BD37" i="1" s="1"/>
  <c r="BG49" i="1"/>
  <c r="BA49" i="1" s="1"/>
  <c r="BD49" i="1" s="1"/>
  <c r="BG14" i="1"/>
  <c r="BA14" i="1" s="1"/>
  <c r="BD14" i="1" s="1"/>
  <c r="BG26" i="1"/>
  <c r="BA26" i="1" s="1"/>
  <c r="BD26" i="1" s="1"/>
  <c r="BG38" i="1"/>
  <c r="BA38" i="1" s="1"/>
  <c r="BD38" i="1" s="1"/>
  <c r="BG50" i="1"/>
  <c r="BA50" i="1" s="1"/>
  <c r="BD50" i="1" s="1"/>
  <c r="BG15" i="1"/>
  <c r="BA15" i="1" s="1"/>
  <c r="BD15" i="1" s="1"/>
  <c r="BG27" i="1"/>
  <c r="BA27" i="1" s="1"/>
  <c r="BD27" i="1" s="1"/>
  <c r="BG39" i="1"/>
  <c r="BA39" i="1" s="1"/>
  <c r="BD39" i="1" s="1"/>
  <c r="BG51" i="1"/>
  <c r="BA51" i="1" s="1"/>
  <c r="BG4" i="1"/>
  <c r="BA4" i="1" s="1"/>
  <c r="BD4" i="1" s="1"/>
  <c r="BG16" i="1"/>
  <c r="BA16" i="1" s="1"/>
  <c r="BD16" i="1" s="1"/>
  <c r="BG28" i="1"/>
  <c r="BA28" i="1" s="1"/>
  <c r="BD28" i="1" s="1"/>
  <c r="BG40" i="1"/>
  <c r="BA40" i="1" s="1"/>
  <c r="BD40" i="1" s="1"/>
  <c r="BG5" i="1"/>
  <c r="BA5" i="1" s="1"/>
  <c r="BD5" i="1" s="1"/>
  <c r="BG17" i="1"/>
  <c r="BA17" i="1" s="1"/>
  <c r="BD17" i="1" s="1"/>
  <c r="BG29" i="1"/>
  <c r="BA29" i="1" s="1"/>
  <c r="BD29" i="1" s="1"/>
  <c r="BG41" i="1"/>
  <c r="BA41" i="1" s="1"/>
  <c r="BD41" i="1" s="1"/>
  <c r="BE19" i="1"/>
  <c r="BE24" i="1"/>
  <c r="BE29" i="1"/>
  <c r="BE34" i="1"/>
  <c r="BE4" i="1"/>
  <c r="BE40" i="1"/>
  <c r="BF40" i="1" s="1"/>
  <c r="BE48" i="1"/>
  <c r="BF48" i="1" s="1"/>
  <c r="BE14" i="1"/>
  <c r="BE20" i="1"/>
  <c r="BE30" i="1"/>
  <c r="BE35" i="1"/>
  <c r="BE44" i="1"/>
  <c r="BC4" i="1"/>
  <c r="BC30" i="1"/>
  <c r="BC35" i="1"/>
  <c r="BC5" i="1"/>
  <c r="BC41" i="1"/>
  <c r="BC49" i="1"/>
  <c r="BG48" i="1"/>
  <c r="BA48" i="1" s="1"/>
  <c r="BD48" i="1" s="1"/>
  <c r="BG36" i="1"/>
  <c r="BA36" i="1" s="1"/>
  <c r="BD36" i="1" s="1"/>
  <c r="BG24" i="1"/>
  <c r="BA24" i="1" s="1"/>
  <c r="BD24" i="1" s="1"/>
  <c r="BG12" i="1"/>
  <c r="BA12" i="1" s="1"/>
  <c r="BD12" i="1" s="1"/>
  <c r="BE39" i="1"/>
  <c r="BF39" i="1" s="1"/>
  <c r="BE13" i="1"/>
  <c r="BE8" i="1"/>
  <c r="BG47" i="1"/>
  <c r="BA47" i="1" s="1"/>
  <c r="BD47" i="1" s="1"/>
  <c r="BG35" i="1"/>
  <c r="BA35" i="1" s="1"/>
  <c r="BD35" i="1" s="1"/>
  <c r="BG23" i="1"/>
  <c r="BA23" i="1" s="1"/>
  <c r="BD23" i="1" s="1"/>
  <c r="BG11" i="1"/>
  <c r="BA11" i="1" s="1"/>
  <c r="BD11" i="1" s="1"/>
  <c r="BE43" i="1"/>
  <c r="BC39" i="1"/>
  <c r="BE33" i="1"/>
  <c r="BE28" i="1"/>
  <c r="BE18" i="1"/>
  <c r="BG46" i="1"/>
  <c r="BA46" i="1" s="1"/>
  <c r="BD46" i="1" s="1"/>
  <c r="BG34" i="1"/>
  <c r="BA34" i="1" s="1"/>
  <c r="BD34" i="1" s="1"/>
  <c r="BG22" i="1"/>
  <c r="BA22" i="1" s="1"/>
  <c r="BD22" i="1" s="1"/>
  <c r="BG10" i="1"/>
  <c r="BA10" i="1" s="1"/>
  <c r="BD10" i="1" s="1"/>
  <c r="BE51" i="1"/>
  <c r="BF51" i="1" s="1"/>
  <c r="BE47" i="1"/>
  <c r="BE38" i="1"/>
  <c r="BC28" i="1"/>
  <c r="BE23" i="1"/>
  <c r="BE12" i="1"/>
  <c r="BE7" i="1"/>
  <c r="BG45" i="1"/>
  <c r="BA45" i="1" s="1"/>
  <c r="BD45" i="1" s="1"/>
  <c r="BG33" i="1"/>
  <c r="BA33" i="1" s="1"/>
  <c r="BD33" i="1" s="1"/>
  <c r="BG21" i="1"/>
  <c r="BA21" i="1" s="1"/>
  <c r="BD21" i="1" s="1"/>
  <c r="BG9" i="1"/>
  <c r="BA9" i="1" s="1"/>
  <c r="BD9" i="1" s="1"/>
  <c r="BE42" i="1"/>
  <c r="BF42" i="1" s="1"/>
  <c r="BC38" i="1"/>
  <c r="BE32" i="1"/>
  <c r="BE27" i="1"/>
  <c r="BE17" i="1"/>
  <c r="BC12" i="1"/>
  <c r="BG44" i="1"/>
  <c r="BA44" i="1" s="1"/>
  <c r="BD44" i="1" s="1"/>
  <c r="BG32" i="1"/>
  <c r="BA32" i="1" s="1"/>
  <c r="BD32" i="1" s="1"/>
  <c r="BG20" i="1"/>
  <c r="BA20" i="1" s="1"/>
  <c r="BD20" i="1" s="1"/>
  <c r="BG8" i="1"/>
  <c r="BA8" i="1" s="1"/>
  <c r="BD8" i="1" s="1"/>
  <c r="BC51" i="1"/>
  <c r="BE46" i="1"/>
  <c r="BE37" i="1"/>
  <c r="BF37" i="1" s="1"/>
  <c r="BC23" i="1"/>
  <c r="BE11" i="1"/>
  <c r="BC7" i="1"/>
  <c r="BG43" i="1"/>
  <c r="BA43" i="1" s="1"/>
  <c r="BD43" i="1" s="1"/>
  <c r="BG31" i="1"/>
  <c r="BA31" i="1" s="1"/>
  <c r="BD31" i="1" s="1"/>
  <c r="BG19" i="1"/>
  <c r="BA19" i="1" s="1"/>
  <c r="BD19" i="1" s="1"/>
  <c r="BG7" i="1"/>
  <c r="BA7" i="1" s="1"/>
  <c r="BD7" i="1" s="1"/>
  <c r="BE50" i="1"/>
  <c r="BF50" i="1" s="1"/>
  <c r="BC42" i="1"/>
  <c r="BE31" i="1"/>
  <c r="BE22" i="1"/>
  <c r="BE16" i="1"/>
  <c r="BE6" i="1"/>
  <c r="BR6" i="1" s="1"/>
  <c r="BG42" i="1"/>
  <c r="BA42" i="1" s="1"/>
  <c r="BD42" i="1" s="1"/>
  <c r="BG30" i="1"/>
  <c r="BA30" i="1" s="1"/>
  <c r="BD30" i="1" s="1"/>
  <c r="BG18" i="1"/>
  <c r="BA18" i="1" s="1"/>
  <c r="BD18" i="1" s="1"/>
  <c r="BG6" i="1"/>
  <c r="BA6" i="1" s="1"/>
  <c r="BD6" i="1" s="1"/>
  <c r="BE45" i="1"/>
  <c r="BF45" i="1" s="1"/>
  <c r="BE41" i="1"/>
  <c r="BF41" i="1" s="1"/>
  <c r="BE26" i="1"/>
  <c r="BE10" i="1"/>
  <c r="BE49" i="1"/>
  <c r="BF49" i="1" s="1"/>
  <c r="BE36" i="1"/>
  <c r="BC26" i="1"/>
  <c r="BE21" i="1"/>
  <c r="BE15" i="1"/>
  <c r="BC6" i="1"/>
  <c r="BC36" i="1"/>
  <c r="BE25" i="1"/>
  <c r="BC21" i="1"/>
  <c r="BE9" i="1"/>
  <c r="BE5" i="1"/>
  <c r="BF5" i="1" s="1"/>
  <c r="AL2" i="1"/>
  <c r="AQ2" i="1"/>
  <c r="M2" i="1"/>
  <c r="U2" i="1"/>
  <c r="G4" i="6"/>
  <c r="I1279" i="6" l="1"/>
  <c r="J1279" i="6"/>
  <c r="I1278" i="6"/>
  <c r="J1278" i="6"/>
  <c r="I1277" i="6"/>
  <c r="J1277" i="6"/>
  <c r="I1276" i="6"/>
  <c r="J1276" i="6"/>
  <c r="I1281" i="6"/>
  <c r="J1281" i="6"/>
  <c r="I1280" i="6"/>
  <c r="J1280" i="6"/>
  <c r="J1274" i="6"/>
  <c r="I1275" i="6"/>
  <c r="J1275" i="6"/>
  <c r="J1269" i="6"/>
  <c r="I1271" i="6"/>
  <c r="J1271" i="6"/>
  <c r="I1273" i="6"/>
  <c r="J1273" i="6"/>
  <c r="I1272" i="6"/>
  <c r="J1272" i="6"/>
  <c r="M17" i="2"/>
  <c r="BJ10" i="1"/>
  <c r="I1270" i="6"/>
  <c r="J1270" i="6"/>
  <c r="I1267" i="6"/>
  <c r="J1267" i="6"/>
  <c r="I1268" i="6"/>
  <c r="J1268" i="6"/>
  <c r="J1262" i="6"/>
  <c r="I1265" i="6"/>
  <c r="J1265" i="6"/>
  <c r="I1264" i="6"/>
  <c r="J1264" i="6"/>
  <c r="I1263" i="6"/>
  <c r="J1263" i="6"/>
  <c r="I1266" i="6"/>
  <c r="J1266" i="6"/>
  <c r="J1214" i="6"/>
  <c r="J1260" i="6"/>
  <c r="I1261" i="6"/>
  <c r="J1261" i="6"/>
  <c r="CK48" i="1"/>
  <c r="BD51" i="1"/>
  <c r="CK51" i="1" s="1"/>
  <c r="CK50" i="1"/>
  <c r="CK49" i="1"/>
  <c r="U3" i="4"/>
  <c r="V3" i="4" s="1"/>
  <c r="U4" i="4"/>
  <c r="V4" i="4" s="1"/>
  <c r="U10" i="4"/>
  <c r="V10" i="4" s="1"/>
  <c r="U5" i="4"/>
  <c r="V5" i="4" s="1"/>
  <c r="U8" i="4"/>
  <c r="V8" i="4" s="1"/>
  <c r="U11" i="4"/>
  <c r="V11" i="4" s="1"/>
  <c r="U6" i="4"/>
  <c r="V6" i="4" s="1"/>
  <c r="U9" i="4"/>
  <c r="V9" i="4" s="1"/>
  <c r="U13" i="4"/>
  <c r="V13" i="4" s="1"/>
  <c r="U7" i="4"/>
  <c r="V7" i="4" s="1"/>
  <c r="U12" i="4"/>
  <c r="V12" i="4" s="1"/>
  <c r="Q13" i="4"/>
  <c r="Q3" i="4"/>
  <c r="Q11" i="4"/>
  <c r="Q10" i="4"/>
  <c r="Q12" i="4"/>
  <c r="CK18" i="1"/>
  <c r="CK42" i="1"/>
  <c r="CK19" i="1"/>
  <c r="CK20" i="1"/>
  <c r="CK33" i="1"/>
  <c r="CK10" i="1"/>
  <c r="CK36" i="1"/>
  <c r="CK4" i="1"/>
  <c r="CK13" i="1"/>
  <c r="CK12" i="1"/>
  <c r="CK31" i="1"/>
  <c r="CK32" i="1"/>
  <c r="CK45" i="1"/>
  <c r="CK22" i="1"/>
  <c r="CK43" i="1"/>
  <c r="CK44" i="1"/>
  <c r="CK34" i="1"/>
  <c r="CK11" i="1"/>
  <c r="CK39" i="1"/>
  <c r="CK46" i="1"/>
  <c r="CK23" i="1"/>
  <c r="CK27" i="1"/>
  <c r="CK25" i="1"/>
  <c r="CK35" i="1"/>
  <c r="CK41" i="1"/>
  <c r="CK15" i="1"/>
  <c r="CK17" i="1"/>
  <c r="CK38" i="1"/>
  <c r="CK5" i="1"/>
  <c r="CK26" i="1"/>
  <c r="CK14" i="1"/>
  <c r="CK6" i="1"/>
  <c r="CK40" i="1"/>
  <c r="CK9" i="1"/>
  <c r="CK28" i="1"/>
  <c r="CK37" i="1"/>
  <c r="CK30" i="1"/>
  <c r="CK7" i="1"/>
  <c r="CK8" i="1"/>
  <c r="CK21" i="1"/>
  <c r="CK24" i="1"/>
  <c r="CK16" i="1"/>
  <c r="CK47" i="1"/>
  <c r="CK29" i="1"/>
  <c r="BH44" i="1"/>
  <c r="J1259" i="6"/>
  <c r="J1254" i="6"/>
  <c r="J1253" i="6"/>
  <c r="J1258" i="6"/>
  <c r="J1252" i="6"/>
  <c r="J1251" i="6"/>
  <c r="J1257" i="6"/>
  <c r="J1256" i="6"/>
  <c r="J1250" i="6"/>
  <c r="J1255" i="6"/>
  <c r="J1249" i="6"/>
  <c r="J1246" i="6"/>
  <c r="BH43" i="1"/>
  <c r="J1248" i="6"/>
  <c r="J1247" i="6"/>
  <c r="J1245" i="6"/>
  <c r="J1244" i="6"/>
  <c r="J1243" i="6"/>
  <c r="J1242" i="6"/>
  <c r="J1241" i="6"/>
  <c r="J1240" i="6"/>
  <c r="J1239" i="6"/>
  <c r="J1234" i="6"/>
  <c r="J1238" i="6"/>
  <c r="J1235" i="6"/>
  <c r="J1237" i="6"/>
  <c r="J1236" i="6"/>
  <c r="J1233" i="6"/>
  <c r="J1232" i="6"/>
  <c r="J1231" i="6"/>
  <c r="J1230" i="6"/>
  <c r="J1229" i="6"/>
  <c r="J1228" i="6"/>
  <c r="M10" i="2"/>
  <c r="J1225" i="6"/>
  <c r="BH36" i="1"/>
  <c r="J1227" i="6"/>
  <c r="J1226" i="6"/>
  <c r="BF27" i="1"/>
  <c r="BR8" i="1"/>
  <c r="BS8" i="1"/>
  <c r="BT8" i="1"/>
  <c r="BU8" i="1"/>
  <c r="BV8" i="1"/>
  <c r="BQ8" i="1"/>
  <c r="BP8" i="1"/>
  <c r="BH13" i="1"/>
  <c r="BH33" i="1"/>
  <c r="BS14" i="1"/>
  <c r="BP7" i="1"/>
  <c r="BQ7" i="1"/>
  <c r="BR7" i="1"/>
  <c r="BS7" i="1"/>
  <c r="BU7" i="1"/>
  <c r="BV7" i="1"/>
  <c r="BT7" i="1"/>
  <c r="BF26" i="1"/>
  <c r="BF22" i="1"/>
  <c r="BV22" i="1"/>
  <c r="BP22" i="1"/>
  <c r="BU22" i="1"/>
  <c r="BT22" i="1"/>
  <c r="BR22" i="1"/>
  <c r="BQ22" i="1"/>
  <c r="BS22" i="1"/>
  <c r="BT9" i="1"/>
  <c r="BU9" i="1"/>
  <c r="BV9" i="1"/>
  <c r="BS9" i="1"/>
  <c r="BQ9" i="1"/>
  <c r="BP9" i="1"/>
  <c r="BR9" i="1"/>
  <c r="BF15" i="1"/>
  <c r="BF21" i="1"/>
  <c r="BR23" i="1"/>
  <c r="BQ23" i="1"/>
  <c r="BP23" i="1"/>
  <c r="BS23" i="1"/>
  <c r="BT23" i="1"/>
  <c r="BU23" i="1"/>
  <c r="BV23" i="1"/>
  <c r="BF18" i="1"/>
  <c r="BS19" i="1"/>
  <c r="BH34" i="1"/>
  <c r="J1222" i="6"/>
  <c r="J1221" i="6"/>
  <c r="J1220" i="6"/>
  <c r="J1223" i="6"/>
  <c r="J1219" i="6"/>
  <c r="J1224" i="6"/>
  <c r="BJ14" i="1"/>
  <c r="BQ14" i="1" s="1"/>
  <c r="BH40" i="1"/>
  <c r="J1217" i="6"/>
  <c r="J1218" i="6"/>
  <c r="BO14" i="1"/>
  <c r="BV14" i="1" s="1"/>
  <c r="BM14" i="1"/>
  <c r="BT14" i="1" s="1"/>
  <c r="BN14" i="1"/>
  <c r="BU14" i="1" s="1"/>
  <c r="BC19" i="1"/>
  <c r="AA7" i="4"/>
  <c r="AA8" i="4"/>
  <c r="AA9" i="4"/>
  <c r="AA12" i="4"/>
  <c r="AA13" i="4"/>
  <c r="AA10" i="4"/>
  <c r="AA11" i="4"/>
  <c r="BH48" i="1"/>
  <c r="BM24" i="1"/>
  <c r="BJ24" i="1"/>
  <c r="BL24" i="1"/>
  <c r="BP24" i="1" s="1"/>
  <c r="BI20" i="1"/>
  <c r="BC8" i="1"/>
  <c r="BH29" i="1"/>
  <c r="BO25" i="1"/>
  <c r="BK24" i="1"/>
  <c r="BN24" i="1"/>
  <c r="BO24" i="1"/>
  <c r="BU6" i="1"/>
  <c r="BF34" i="1"/>
  <c r="BL48" i="1"/>
  <c r="BJ25" i="1"/>
  <c r="BF12" i="1"/>
  <c r="BI25" i="1"/>
  <c r="BF36" i="1"/>
  <c r="BL25" i="1"/>
  <c r="BK46" i="1"/>
  <c r="BO33" i="1"/>
  <c r="BO27" i="1"/>
  <c r="BN33" i="1"/>
  <c r="BF44" i="1"/>
  <c r="BL33" i="1"/>
  <c r="BP33" i="1" s="1"/>
  <c r="BH31" i="1"/>
  <c r="BN26" i="1"/>
  <c r="BM38" i="1"/>
  <c r="BM25" i="1"/>
  <c r="BM48" i="1"/>
  <c r="BH37" i="1"/>
  <c r="BH21" i="1"/>
  <c r="BH41" i="1"/>
  <c r="BN25" i="1"/>
  <c r="BN41" i="1"/>
  <c r="BC50" i="1"/>
  <c r="BC18" i="1"/>
  <c r="BH10" i="1"/>
  <c r="BS43" i="1"/>
  <c r="BM50" i="1"/>
  <c r="BO48" i="1"/>
  <c r="BC10" i="1"/>
  <c r="BN48" i="1"/>
  <c r="BP6" i="1"/>
  <c r="BI48" i="1"/>
  <c r="BJ48" i="1"/>
  <c r="BI50" i="1"/>
  <c r="BO4" i="1"/>
  <c r="BF8" i="1"/>
  <c r="BF33" i="1"/>
  <c r="BS5" i="1"/>
  <c r="BM13" i="1"/>
  <c r="BO37" i="1"/>
  <c r="BC32" i="1"/>
  <c r="BH51" i="1"/>
  <c r="BC22" i="1"/>
  <c r="BU5" i="1"/>
  <c r="BI37" i="1"/>
  <c r="BQ5" i="1"/>
  <c r="BI13" i="1"/>
  <c r="BN37" i="1"/>
  <c r="BC11" i="1"/>
  <c r="BK21" i="1"/>
  <c r="BM37" i="1"/>
  <c r="BF17" i="1"/>
  <c r="BF43" i="1"/>
  <c r="BI46" i="1"/>
  <c r="BL13" i="1"/>
  <c r="BO13" i="1"/>
  <c r="BN13" i="1"/>
  <c r="BF7" i="1"/>
  <c r="BV5" i="1"/>
  <c r="BC15" i="1"/>
  <c r="BH26" i="1"/>
  <c r="BJ51" i="1"/>
  <c r="BJ46" i="1"/>
  <c r="BR5" i="1"/>
  <c r="BK17" i="1"/>
  <c r="BL46" i="1"/>
  <c r="BU46" i="1" s="1"/>
  <c r="BH17" i="1"/>
  <c r="BM20" i="1"/>
  <c r="BC40" i="1"/>
  <c r="BH24" i="1"/>
  <c r="BH45" i="1"/>
  <c r="BH6" i="1"/>
  <c r="BL20" i="1"/>
  <c r="BM46" i="1"/>
  <c r="BN20" i="1"/>
  <c r="BN12" i="1"/>
  <c r="BH7" i="1"/>
  <c r="BL37" i="1"/>
  <c r="BH11" i="1"/>
  <c r="BH25" i="1"/>
  <c r="BI29" i="1"/>
  <c r="BO29" i="1"/>
  <c r="BM44" i="1"/>
  <c r="BO44" i="1"/>
  <c r="BI44" i="1"/>
  <c r="BN44" i="1"/>
  <c r="BJ44" i="1"/>
  <c r="BO20" i="1"/>
  <c r="BO35" i="1"/>
  <c r="BH49" i="1"/>
  <c r="BK33" i="1"/>
  <c r="BH12" i="1"/>
  <c r="BJ17" i="1"/>
  <c r="BC47" i="1"/>
  <c r="BL27" i="1"/>
  <c r="BT27" i="1" s="1"/>
  <c r="BM33" i="1"/>
  <c r="BC29" i="1"/>
  <c r="BH19" i="1"/>
  <c r="BL17" i="1"/>
  <c r="BN28" i="1"/>
  <c r="BC43" i="1"/>
  <c r="BC33" i="1"/>
  <c r="BC44" i="1"/>
  <c r="BI27" i="1"/>
  <c r="BH8" i="1"/>
  <c r="BF24" i="1"/>
  <c r="BF19" i="1"/>
  <c r="BH9" i="1"/>
  <c r="BH39" i="1"/>
  <c r="BC16" i="1"/>
  <c r="BP5" i="1"/>
  <c r="BF29" i="1"/>
  <c r="BK27" i="1"/>
  <c r="BS6" i="1"/>
  <c r="BH23" i="1"/>
  <c r="BH16" i="1"/>
  <c r="BH14" i="1"/>
  <c r="BJ5" i="1"/>
  <c r="BH27" i="1"/>
  <c r="BJ27" i="1"/>
  <c r="BJ20" i="1"/>
  <c r="BO17" i="1"/>
  <c r="BF6" i="1"/>
  <c r="BC13" i="1"/>
  <c r="BH4" i="1"/>
  <c r="BJ33" i="1"/>
  <c r="BN36" i="1"/>
  <c r="BT5" i="1"/>
  <c r="BJ13" i="1"/>
  <c r="BO46" i="1"/>
  <c r="BK37" i="1"/>
  <c r="BN27" i="1"/>
  <c r="BC20" i="1"/>
  <c r="BK50" i="1"/>
  <c r="BJ30" i="1"/>
  <c r="BK39" i="1"/>
  <c r="BN18" i="1"/>
  <c r="BK18" i="1"/>
  <c r="BM29" i="1"/>
  <c r="BC45" i="1"/>
  <c r="BM49" i="1"/>
  <c r="BL29" i="1"/>
  <c r="BH42" i="1"/>
  <c r="BJ29" i="1"/>
  <c r="BF31" i="1"/>
  <c r="BN29" i="1"/>
  <c r="BK29" i="1"/>
  <c r="BF11" i="1"/>
  <c r="BM17" i="1"/>
  <c r="BT6" i="1"/>
  <c r="BF10" i="1"/>
  <c r="BH5" i="1"/>
  <c r="BH20" i="1"/>
  <c r="BF23" i="1"/>
  <c r="BV6" i="1"/>
  <c r="BC24" i="1"/>
  <c r="BL9" i="1"/>
  <c r="BJ9" i="1"/>
  <c r="BK9" i="1"/>
  <c r="BN9" i="1"/>
  <c r="BI9" i="1"/>
  <c r="BM9" i="1"/>
  <c r="BO9" i="1"/>
  <c r="BI32" i="1"/>
  <c r="BJ32" i="1"/>
  <c r="BO32" i="1"/>
  <c r="BL15" i="1"/>
  <c r="BO15" i="1"/>
  <c r="BM31" i="1"/>
  <c r="BL31" i="1"/>
  <c r="BJ31" i="1"/>
  <c r="BN31" i="1"/>
  <c r="BO31" i="1"/>
  <c r="BK31" i="1"/>
  <c r="BI31" i="1"/>
  <c r="BL18" i="1"/>
  <c r="BQ6" i="1"/>
  <c r="BF13" i="1"/>
  <c r="BC37" i="1"/>
  <c r="BK14" i="1"/>
  <c r="BR14" i="1" s="1"/>
  <c r="BI14" i="1"/>
  <c r="BP14" i="1" s="1"/>
  <c r="BC31" i="1"/>
  <c r="BF9" i="1"/>
  <c r="BF4" i="1"/>
  <c r="BC25" i="1"/>
  <c r="BC9" i="1"/>
  <c r="BH15" i="1"/>
  <c r="BH38" i="1"/>
  <c r="BF38" i="1"/>
  <c r="BH18" i="1"/>
  <c r="BF35" i="1"/>
  <c r="BH35" i="1"/>
  <c r="BI17" i="1"/>
  <c r="BH46" i="1"/>
  <c r="BF46" i="1"/>
  <c r="BH47" i="1"/>
  <c r="BF47" i="1"/>
  <c r="BF30" i="1"/>
  <c r="BH30" i="1"/>
  <c r="BC14" i="1"/>
  <c r="BC46" i="1"/>
  <c r="BC17" i="1"/>
  <c r="BJ50" i="1"/>
  <c r="BL50" i="1"/>
  <c r="BO50" i="1"/>
  <c r="BF16" i="1"/>
  <c r="BF28" i="1"/>
  <c r="BH28" i="1"/>
  <c r="BF20" i="1"/>
  <c r="BC48" i="1"/>
  <c r="BF14" i="1"/>
  <c r="BF25" i="1"/>
  <c r="BH50" i="1"/>
  <c r="BH22" i="1"/>
  <c r="BF32" i="1"/>
  <c r="BH32" i="1"/>
  <c r="BC27" i="1"/>
  <c r="BK44" i="1"/>
  <c r="BL44" i="1"/>
  <c r="AA6" i="4"/>
  <c r="AA5" i="4"/>
  <c r="AA3" i="4"/>
  <c r="AA4" i="4"/>
  <c r="BM18" i="1"/>
  <c r="BI15" i="1"/>
  <c r="BN32" i="1"/>
  <c r="BO18" i="1"/>
  <c r="BM32" i="1"/>
  <c r="BK32" i="1"/>
  <c r="BL22" i="1"/>
  <c r="BM22" i="1"/>
  <c r="BJ22" i="1"/>
  <c r="BJ15" i="1"/>
  <c r="J1215" i="6"/>
  <c r="J1216" i="6"/>
  <c r="BK22" i="1"/>
  <c r="BK15" i="1"/>
  <c r="BN15" i="1"/>
  <c r="BK43" i="1"/>
  <c r="BN43" i="1"/>
  <c r="BN22" i="1"/>
  <c r="BO43" i="1"/>
  <c r="BV43" i="1" s="1"/>
  <c r="BJ43" i="1"/>
  <c r="BM43" i="1"/>
  <c r="BT43" i="1" s="1"/>
  <c r="BO22" i="1"/>
  <c r="BJ18" i="1"/>
  <c r="BI18" i="1"/>
  <c r="BK19" i="1"/>
  <c r="BR19" i="1" s="1"/>
  <c r="BI19" i="1"/>
  <c r="BP19" i="1" s="1"/>
  <c r="BJ19" i="1"/>
  <c r="BQ19" i="1" s="1"/>
  <c r="BM19" i="1"/>
  <c r="BT19" i="1" s="1"/>
  <c r="BN19" i="1"/>
  <c r="BU19" i="1" s="1"/>
  <c r="BO19" i="1"/>
  <c r="BV19" i="1" s="1"/>
  <c r="BL32" i="1"/>
  <c r="BO45" i="1"/>
  <c r="BJ45" i="1"/>
  <c r="BI45" i="1"/>
  <c r="BK45" i="1"/>
  <c r="BL45" i="1"/>
  <c r="BM45" i="1"/>
  <c r="BN45" i="1"/>
  <c r="BJ11" i="1"/>
  <c r="BL11" i="1"/>
  <c r="BM11" i="1"/>
  <c r="BO11" i="1"/>
  <c r="BI11" i="1"/>
  <c r="BN11" i="1"/>
  <c r="BM15" i="1"/>
  <c r="BI43" i="1"/>
  <c r="BJ40" i="1"/>
  <c r="BK40" i="1"/>
  <c r="BL40" i="1"/>
  <c r="BM40" i="1"/>
  <c r="BI40" i="1"/>
  <c r="BN40" i="1"/>
  <c r="BO40" i="1"/>
  <c r="BM8" i="1"/>
  <c r="BL8" i="1"/>
  <c r="BJ8" i="1"/>
  <c r="BK8" i="1"/>
  <c r="BN8" i="1"/>
  <c r="BI8" i="1"/>
  <c r="BO8" i="1"/>
  <c r="BJ47" i="1"/>
  <c r="BL47" i="1"/>
  <c r="BN47" i="1"/>
  <c r="BO47" i="1"/>
  <c r="BI47" i="1"/>
  <c r="BK47" i="1"/>
  <c r="BM47" i="1"/>
  <c r="BO16" i="1"/>
  <c r="BJ16" i="1"/>
  <c r="BK16" i="1"/>
  <c r="BL16" i="1"/>
  <c r="BI16" i="1"/>
  <c r="BN16" i="1"/>
  <c r="BM16" i="1"/>
  <c r="BK10" i="1"/>
  <c r="BM10" i="1"/>
  <c r="BN10" i="1"/>
  <c r="BI10" i="1"/>
  <c r="BO10" i="1"/>
  <c r="J1213" i="6"/>
  <c r="BP25" i="1" l="1"/>
  <c r="BL10" i="1"/>
  <c r="BS10" i="1" s="1"/>
  <c r="BP29" i="1"/>
  <c r="BQ11" i="1"/>
  <c r="BS29" i="1"/>
  <c r="BT11" i="1"/>
  <c r="BU29" i="1"/>
  <c r="BS11" i="1"/>
  <c r="BT29" i="1"/>
  <c r="BU11" i="1"/>
  <c r="BV29" i="1"/>
  <c r="BP11" i="1"/>
  <c r="BR29" i="1"/>
  <c r="BR11" i="1"/>
  <c r="BV11" i="1"/>
  <c r="BQ29" i="1"/>
  <c r="BT20" i="1"/>
  <c r="BP20" i="1"/>
  <c r="BQ20" i="1"/>
  <c r="BV20" i="1"/>
  <c r="BS20" i="1"/>
  <c r="BR20" i="1"/>
  <c r="BU20" i="1"/>
  <c r="BR32" i="1"/>
  <c r="BT18" i="1"/>
  <c r="BQ32" i="1"/>
  <c r="BP32" i="1"/>
  <c r="BU32" i="1"/>
  <c r="BS18" i="1"/>
  <c r="BV18" i="1"/>
  <c r="BV32" i="1"/>
  <c r="BU18" i="1"/>
  <c r="BT32" i="1"/>
  <c r="BR18" i="1"/>
  <c r="BS32" i="1"/>
  <c r="BP18" i="1"/>
  <c r="BQ18" i="1"/>
  <c r="BT16" i="1"/>
  <c r="BU31" i="1"/>
  <c r="BQ17" i="1"/>
  <c r="BU17" i="1"/>
  <c r="BV17" i="1"/>
  <c r="BQ31" i="1"/>
  <c r="BT17" i="1"/>
  <c r="BP31" i="1"/>
  <c r="BV16" i="1"/>
  <c r="BS17" i="1"/>
  <c r="BP17" i="1"/>
  <c r="BR16" i="1"/>
  <c r="BV31" i="1"/>
  <c r="BR17" i="1"/>
  <c r="BQ16" i="1"/>
  <c r="BT31" i="1"/>
  <c r="BS16" i="1"/>
  <c r="BP16" i="1"/>
  <c r="BU16" i="1"/>
  <c r="BS31" i="1"/>
  <c r="BR31" i="1"/>
  <c r="BQ25" i="1"/>
  <c r="BS25" i="1"/>
  <c r="BV25" i="1"/>
  <c r="BT25" i="1"/>
  <c r="BR25" i="1"/>
  <c r="BU25" i="1"/>
  <c r="BP13" i="1"/>
  <c r="BT13" i="1"/>
  <c r="BS13" i="1"/>
  <c r="BV24" i="1"/>
  <c r="BU13" i="1"/>
  <c r="BU24" i="1"/>
  <c r="BR13" i="1"/>
  <c r="BV13" i="1"/>
  <c r="BQ13" i="1"/>
  <c r="BQ24" i="1"/>
  <c r="BT24" i="1"/>
  <c r="BS24" i="1"/>
  <c r="BR24" i="1"/>
  <c r="M11" i="2"/>
  <c r="CI36" i="1"/>
  <c r="BT15" i="1"/>
  <c r="BW33" i="1"/>
  <c r="CB13" i="1"/>
  <c r="CC13" i="1"/>
  <c r="CD13" i="1"/>
  <c r="CE13" i="1"/>
  <c r="BW13" i="1"/>
  <c r="CF13" i="1"/>
  <c r="CG13" i="1"/>
  <c r="CA13" i="1"/>
  <c r="CH13" i="1"/>
  <c r="CI13" i="1"/>
  <c r="CJ13" i="1"/>
  <c r="BY13" i="1"/>
  <c r="BX13" i="1"/>
  <c r="BZ13" i="1"/>
  <c r="CE30" i="1"/>
  <c r="BX30" i="1"/>
  <c r="CD14" i="1"/>
  <c r="CI14" i="1"/>
  <c r="CE14" i="1"/>
  <c r="BW14" i="1"/>
  <c r="CF14" i="1"/>
  <c r="CH14" i="1"/>
  <c r="BX14" i="1"/>
  <c r="BY14" i="1"/>
  <c r="CG14" i="1"/>
  <c r="CC14" i="1"/>
  <c r="CJ14" i="1"/>
  <c r="BZ14" i="1"/>
  <c r="CA14" i="1"/>
  <c r="CB14" i="1"/>
  <c r="CD8" i="1"/>
  <c r="CI8" i="1"/>
  <c r="CE8" i="1"/>
  <c r="BW8" i="1"/>
  <c r="CJ8" i="1"/>
  <c r="CF8" i="1"/>
  <c r="BX8" i="1"/>
  <c r="CG8" i="1"/>
  <c r="BY8" i="1"/>
  <c r="CH8" i="1"/>
  <c r="CC8" i="1"/>
  <c r="CA8" i="1"/>
  <c r="BZ8" i="1"/>
  <c r="CB8" i="1"/>
  <c r="BZ24" i="1"/>
  <c r="CA24" i="1"/>
  <c r="CE24" i="1"/>
  <c r="CB24" i="1"/>
  <c r="CC24" i="1"/>
  <c r="CD24" i="1"/>
  <c r="BY24" i="1"/>
  <c r="CF24" i="1"/>
  <c r="BW24" i="1"/>
  <c r="BX24" i="1"/>
  <c r="CG24" i="1"/>
  <c r="CH24" i="1"/>
  <c r="CI24" i="1"/>
  <c r="CJ24" i="1"/>
  <c r="CF15" i="1"/>
  <c r="CG15" i="1"/>
  <c r="CH15" i="1"/>
  <c r="BZ15" i="1"/>
  <c r="BW15" i="1"/>
  <c r="CI15" i="1"/>
  <c r="BY15" i="1"/>
  <c r="BX15" i="1"/>
  <c r="CJ15" i="1"/>
  <c r="CE15" i="1"/>
  <c r="CA15" i="1"/>
  <c r="CB15" i="1"/>
  <c r="CC15" i="1"/>
  <c r="CD15" i="1"/>
  <c r="CI26" i="1"/>
  <c r="CB26" i="1"/>
  <c r="CB12" i="1"/>
  <c r="CI12" i="1"/>
  <c r="BR27" i="1"/>
  <c r="CB25" i="1"/>
  <c r="CC25" i="1"/>
  <c r="CD25" i="1"/>
  <c r="CE25" i="1"/>
  <c r="CG25" i="1"/>
  <c r="CF25" i="1"/>
  <c r="CA25" i="1"/>
  <c r="CH25" i="1"/>
  <c r="CI25" i="1"/>
  <c r="BW25" i="1"/>
  <c r="BX25" i="1"/>
  <c r="BY25" i="1"/>
  <c r="BZ25" i="1"/>
  <c r="CJ25" i="1"/>
  <c r="BR15" i="1"/>
  <c r="BQ27" i="1"/>
  <c r="BX11" i="1"/>
  <c r="CJ11" i="1"/>
  <c r="BY11" i="1"/>
  <c r="BZ11" i="1"/>
  <c r="CD11" i="1"/>
  <c r="CE11" i="1"/>
  <c r="CA11" i="1"/>
  <c r="CC11" i="1"/>
  <c r="CB11" i="1"/>
  <c r="BW11" i="1"/>
  <c r="CI11" i="1"/>
  <c r="CF11" i="1"/>
  <c r="CG11" i="1"/>
  <c r="CH11" i="1"/>
  <c r="BP15" i="1"/>
  <c r="BP27" i="1"/>
  <c r="CH16" i="1"/>
  <c r="BW16" i="1"/>
  <c r="CI16" i="1"/>
  <c r="BX16" i="1"/>
  <c r="CJ16" i="1"/>
  <c r="CA16" i="1"/>
  <c r="CB16" i="1"/>
  <c r="CC16" i="1"/>
  <c r="BY16" i="1"/>
  <c r="BZ16" i="1"/>
  <c r="CG16" i="1"/>
  <c r="CD16" i="1"/>
  <c r="CE16" i="1"/>
  <c r="CF16" i="1"/>
  <c r="CD20" i="1"/>
  <c r="CE20" i="1"/>
  <c r="CI20" i="1"/>
  <c r="CF20" i="1"/>
  <c r="CJ20" i="1"/>
  <c r="CG20" i="1"/>
  <c r="BW20" i="1"/>
  <c r="CH20" i="1"/>
  <c r="CC20" i="1"/>
  <c r="BX20" i="1"/>
  <c r="BZ20" i="1"/>
  <c r="CB20" i="1"/>
  <c r="BY20" i="1"/>
  <c r="CA20" i="1"/>
  <c r="BX17" i="1"/>
  <c r="CJ17" i="1"/>
  <c r="BY17" i="1"/>
  <c r="BZ17" i="1"/>
  <c r="CA17" i="1"/>
  <c r="CB17" i="1"/>
  <c r="CC17" i="1"/>
  <c r="BW17" i="1"/>
  <c r="CI17" i="1"/>
  <c r="CD17" i="1"/>
  <c r="CG17" i="1"/>
  <c r="CH17" i="1"/>
  <c r="CE17" i="1"/>
  <c r="CF17" i="1"/>
  <c r="CH10" i="1"/>
  <c r="BW10" i="1"/>
  <c r="CI10" i="1"/>
  <c r="BX10" i="1"/>
  <c r="CJ10" i="1"/>
  <c r="BY10" i="1"/>
  <c r="CA10" i="1"/>
  <c r="CC10" i="1"/>
  <c r="CB10" i="1"/>
  <c r="CE10" i="1"/>
  <c r="CD10" i="1"/>
  <c r="CF10" i="1"/>
  <c r="BQ15" i="1"/>
  <c r="BS27" i="1"/>
  <c r="CI28" i="1"/>
  <c r="CB28" i="1"/>
  <c r="CF21" i="1"/>
  <c r="BY21" i="1"/>
  <c r="CB31" i="1"/>
  <c r="CC31" i="1"/>
  <c r="CD31" i="1"/>
  <c r="CE31" i="1"/>
  <c r="CF31" i="1"/>
  <c r="CG31" i="1"/>
  <c r="CH31" i="1"/>
  <c r="CA31" i="1"/>
  <c r="BW31" i="1"/>
  <c r="BX31" i="1"/>
  <c r="BZ31" i="1"/>
  <c r="CI31" i="1"/>
  <c r="BY31" i="1"/>
  <c r="CJ31" i="1"/>
  <c r="BS15" i="1"/>
  <c r="BV27" i="1"/>
  <c r="CD32" i="1"/>
  <c r="CH32" i="1"/>
  <c r="CE32" i="1"/>
  <c r="CF32" i="1"/>
  <c r="CI32" i="1"/>
  <c r="BX32" i="1"/>
  <c r="CG32" i="1"/>
  <c r="CC32" i="1"/>
  <c r="BW32" i="1"/>
  <c r="CJ32" i="1"/>
  <c r="BZ32" i="1"/>
  <c r="CA32" i="1"/>
  <c r="CB32" i="1"/>
  <c r="BY32" i="1"/>
  <c r="BZ18" i="1"/>
  <c r="CA18" i="1"/>
  <c r="CB18" i="1"/>
  <c r="CF18" i="1"/>
  <c r="CC18" i="1"/>
  <c r="CE18" i="1"/>
  <c r="CD18" i="1"/>
  <c r="BY18" i="1"/>
  <c r="CJ18" i="1"/>
  <c r="CH18" i="1"/>
  <c r="BW18" i="1"/>
  <c r="BX18" i="1"/>
  <c r="CG18" i="1"/>
  <c r="CI18" i="1"/>
  <c r="CF9" i="1"/>
  <c r="BZ9" i="1"/>
  <c r="CG9" i="1"/>
  <c r="CH9" i="1"/>
  <c r="BW9" i="1"/>
  <c r="CI9" i="1"/>
  <c r="BX9" i="1"/>
  <c r="CJ9" i="1"/>
  <c r="BY9" i="1"/>
  <c r="CA9" i="1"/>
  <c r="CE9" i="1"/>
  <c r="CB9" i="1"/>
  <c r="CC9" i="1"/>
  <c r="CD9" i="1"/>
  <c r="CB19" i="1"/>
  <c r="CC19" i="1"/>
  <c r="CD19" i="1"/>
  <c r="CG19" i="1"/>
  <c r="CH19" i="1"/>
  <c r="CE19" i="1"/>
  <c r="CF19" i="1"/>
  <c r="CA19" i="1"/>
  <c r="BY19" i="1"/>
  <c r="BZ19" i="1"/>
  <c r="CI19" i="1"/>
  <c r="CJ19" i="1"/>
  <c r="BW19" i="1"/>
  <c r="BX19" i="1"/>
  <c r="BX29" i="1"/>
  <c r="CJ29" i="1"/>
  <c r="BY29" i="1"/>
  <c r="BZ29" i="1"/>
  <c r="CB29" i="1"/>
  <c r="CC29" i="1"/>
  <c r="CA29" i="1"/>
  <c r="BW29" i="1"/>
  <c r="CI29" i="1"/>
  <c r="CD29" i="1"/>
  <c r="CE29" i="1"/>
  <c r="CF29" i="1"/>
  <c r="CG29" i="1"/>
  <c r="CH29" i="1"/>
  <c r="BV15" i="1"/>
  <c r="BU27" i="1"/>
  <c r="CH22" i="1"/>
  <c r="CA22" i="1"/>
  <c r="BW22" i="1"/>
  <c r="CI22" i="1"/>
  <c r="BX22" i="1"/>
  <c r="CJ22" i="1"/>
  <c r="BY22" i="1"/>
  <c r="BZ22" i="1"/>
  <c r="CG22" i="1"/>
  <c r="CB22" i="1"/>
  <c r="CE22" i="1"/>
  <c r="CF22" i="1"/>
  <c r="CC22" i="1"/>
  <c r="CD22" i="1"/>
  <c r="CF27" i="1"/>
  <c r="BX27" i="1"/>
  <c r="CG27" i="1"/>
  <c r="BY27" i="1"/>
  <c r="CH27" i="1"/>
  <c r="BW27" i="1"/>
  <c r="CI27" i="1"/>
  <c r="CJ27" i="1"/>
  <c r="BZ27" i="1"/>
  <c r="CE27" i="1"/>
  <c r="CC27" i="1"/>
  <c r="CD27" i="1"/>
  <c r="CA27" i="1"/>
  <c r="CB27" i="1"/>
  <c r="BU15" i="1"/>
  <c r="CD40" i="1"/>
  <c r="CI33" i="1"/>
  <c r="CI40" i="1"/>
  <c r="CA44" i="1"/>
  <c r="BL21" i="1"/>
  <c r="BX43" i="1"/>
  <c r="CH33" i="1"/>
  <c r="BX44" i="1"/>
  <c r="CC33" i="1"/>
  <c r="CG40" i="1"/>
  <c r="CD33" i="1"/>
  <c r="BW44" i="1"/>
  <c r="CG44" i="1"/>
  <c r="CA40" i="1"/>
  <c r="BZ33" i="1"/>
  <c r="CF40" i="1"/>
  <c r="BY44" i="1"/>
  <c r="CE43" i="1"/>
  <c r="CI44" i="1"/>
  <c r="CD44" i="1"/>
  <c r="BZ40" i="1"/>
  <c r="CE33" i="1"/>
  <c r="CJ44" i="1"/>
  <c r="BX40" i="1"/>
  <c r="CG33" i="1"/>
  <c r="CB36" i="1"/>
  <c r="CC40" i="1"/>
  <c r="CH44" i="1"/>
  <c r="BX33" i="1"/>
  <c r="CH38" i="1"/>
  <c r="CA38" i="1"/>
  <c r="CC43" i="1"/>
  <c r="CC46" i="1"/>
  <c r="CI46" i="1"/>
  <c r="CG46" i="1"/>
  <c r="BW46" i="1"/>
  <c r="BY46" i="1"/>
  <c r="CA46" i="1"/>
  <c r="CE46" i="1"/>
  <c r="CH46" i="1"/>
  <c r="BX46" i="1"/>
  <c r="CB46" i="1"/>
  <c r="CJ46" i="1"/>
  <c r="CD46" i="1"/>
  <c r="CF46" i="1"/>
  <c r="BZ46" i="1"/>
  <c r="CB33" i="1"/>
  <c r="CC45" i="1"/>
  <c r="BX45" i="1"/>
  <c r="CI45" i="1"/>
  <c r="CG45" i="1"/>
  <c r="BW45" i="1"/>
  <c r="BY45" i="1"/>
  <c r="CA45" i="1"/>
  <c r="CE45" i="1"/>
  <c r="CH45" i="1"/>
  <c r="CD45" i="1"/>
  <c r="CF45" i="1"/>
  <c r="CB45" i="1"/>
  <c r="BZ45" i="1"/>
  <c r="CJ45" i="1"/>
  <c r="BY43" i="1"/>
  <c r="BX5" i="1"/>
  <c r="CE5" i="1"/>
  <c r="CA43" i="1"/>
  <c r="CA47" i="1"/>
  <c r="CC47" i="1"/>
  <c r="CI47" i="1"/>
  <c r="CG47" i="1"/>
  <c r="BW47" i="1"/>
  <c r="BY47" i="1"/>
  <c r="CE47" i="1"/>
  <c r="BX47" i="1"/>
  <c r="CH47" i="1"/>
  <c r="CB47" i="1"/>
  <c r="CJ47" i="1"/>
  <c r="CF47" i="1"/>
  <c r="BZ47" i="1"/>
  <c r="CD47" i="1"/>
  <c r="CH48" i="1"/>
  <c r="CA48" i="1"/>
  <c r="BX48" i="1"/>
  <c r="BZ48" i="1"/>
  <c r="CB48" i="1"/>
  <c r="CJ48" i="1"/>
  <c r="BW48" i="1"/>
  <c r="BY48" i="1"/>
  <c r="CC48" i="1"/>
  <c r="CI48" i="1"/>
  <c r="CG48" i="1"/>
  <c r="CE48" i="1"/>
  <c r="CF48" i="1"/>
  <c r="CD48" i="1"/>
  <c r="CB43" i="1"/>
  <c r="CJ35" i="1"/>
  <c r="CC35" i="1"/>
  <c r="BW43" i="1"/>
  <c r="BX51" i="1"/>
  <c r="CE51" i="1"/>
  <c r="BZ44" i="1"/>
  <c r="BY39" i="1"/>
  <c r="CF39" i="1"/>
  <c r="CB44" i="1"/>
  <c r="CD43" i="1"/>
  <c r="BZ43" i="1"/>
  <c r="CH40" i="1"/>
  <c r="CJ33" i="1"/>
  <c r="BL38" i="1"/>
  <c r="BZ38" i="1" s="1"/>
  <c r="BR37" i="1"/>
  <c r="CH49" i="1"/>
  <c r="CA49" i="1"/>
  <c r="CE44" i="1"/>
  <c r="CH43" i="1"/>
  <c r="CI43" i="1"/>
  <c r="CJ40" i="1"/>
  <c r="CF33" i="1"/>
  <c r="BN38" i="1"/>
  <c r="CI38" i="1" s="1"/>
  <c r="CF44" i="1"/>
  <c r="CF43" i="1"/>
  <c r="CE40" i="1"/>
  <c r="BW40" i="1"/>
  <c r="CA33" i="1"/>
  <c r="BY37" i="1"/>
  <c r="CH37" i="1"/>
  <c r="BX37" i="1"/>
  <c r="BZ37" i="1"/>
  <c r="CB37" i="1"/>
  <c r="CJ37" i="1"/>
  <c r="CC37" i="1"/>
  <c r="CG37" i="1"/>
  <c r="CE37" i="1"/>
  <c r="CD37" i="1"/>
  <c r="BW37" i="1"/>
  <c r="CF37" i="1"/>
  <c r="CI37" i="1"/>
  <c r="CA37" i="1"/>
  <c r="CG43" i="1"/>
  <c r="CC4" i="1"/>
  <c r="CJ4" i="1"/>
  <c r="CC44" i="1"/>
  <c r="CJ43" i="1"/>
  <c r="BY40" i="1"/>
  <c r="CB40" i="1"/>
  <c r="BY33" i="1"/>
  <c r="CJ50" i="1"/>
  <c r="BY50" i="1"/>
  <c r="CH50" i="1"/>
  <c r="BX50" i="1"/>
  <c r="BZ50" i="1"/>
  <c r="CB50" i="1"/>
  <c r="CD50" i="1"/>
  <c r="CA50" i="1"/>
  <c r="CC50" i="1"/>
  <c r="CF50" i="1"/>
  <c r="BW50" i="1"/>
  <c r="CG50" i="1"/>
  <c r="CE50" i="1"/>
  <c r="CI50" i="1"/>
  <c r="CB41" i="1"/>
  <c r="CI41" i="1"/>
  <c r="BQ48" i="1"/>
  <c r="BU48" i="1"/>
  <c r="BO26" i="1"/>
  <c r="CJ26" i="1" s="1"/>
  <c r="BR48" i="1"/>
  <c r="BI4" i="1"/>
  <c r="BW4" i="1" s="1"/>
  <c r="BM4" i="1"/>
  <c r="CH4" i="1" s="1"/>
  <c r="BS48" i="1"/>
  <c r="BP48" i="1"/>
  <c r="BV48" i="1"/>
  <c r="BJ4" i="1"/>
  <c r="BX4" i="1" s="1"/>
  <c r="BI5" i="1"/>
  <c r="BW5" i="1" s="1"/>
  <c r="BN4" i="1"/>
  <c r="CI4" i="1" s="1"/>
  <c r="BO21" i="1"/>
  <c r="CC21" i="1" s="1"/>
  <c r="BI38" i="1"/>
  <c r="BL26" i="1"/>
  <c r="BK51" i="1"/>
  <c r="BY51" i="1" s="1"/>
  <c r="BI26" i="1"/>
  <c r="BW26" i="1" s="1"/>
  <c r="BK26" i="1"/>
  <c r="BY26" i="1" s="1"/>
  <c r="BJ26" i="1"/>
  <c r="BX26" i="1" s="1"/>
  <c r="BM39" i="1"/>
  <c r="CA39" i="1" s="1"/>
  <c r="BL51" i="1"/>
  <c r="BQ51" i="1" s="1"/>
  <c r="BV33" i="1"/>
  <c r="BM26" i="1"/>
  <c r="CA26" i="1" s="1"/>
  <c r="BL36" i="1"/>
  <c r="BK4" i="1"/>
  <c r="CF4" i="1" s="1"/>
  <c r="BI39" i="1"/>
  <c r="CD39" i="1" s="1"/>
  <c r="BN51" i="1"/>
  <c r="CI51" i="1" s="1"/>
  <c r="BN39" i="1"/>
  <c r="CB39" i="1" s="1"/>
  <c r="BK36" i="1"/>
  <c r="BL4" i="1"/>
  <c r="BM21" i="1"/>
  <c r="CA21" i="1" s="1"/>
  <c r="BN21" i="1"/>
  <c r="CI21" i="1" s="1"/>
  <c r="BI41" i="1"/>
  <c r="CD41" i="1" s="1"/>
  <c r="BL41" i="1"/>
  <c r="BZ41" i="1" s="1"/>
  <c r="BI21" i="1"/>
  <c r="CD21" i="1" s="1"/>
  <c r="BT37" i="1"/>
  <c r="BJ21" i="1"/>
  <c r="CE21" i="1" s="1"/>
  <c r="BV46" i="1"/>
  <c r="BL39" i="1"/>
  <c r="CG39" i="1" s="1"/>
  <c r="BL5" i="1"/>
  <c r="CG5" i="1" s="1"/>
  <c r="BM41" i="1"/>
  <c r="CH41" i="1" s="1"/>
  <c r="BV44" i="1"/>
  <c r="BT48" i="1"/>
  <c r="BK5" i="1"/>
  <c r="BY5" i="1" s="1"/>
  <c r="BU33" i="1"/>
  <c r="BM5" i="1"/>
  <c r="CA5" i="1" s="1"/>
  <c r="BU37" i="1"/>
  <c r="BS33" i="1"/>
  <c r="BN5" i="1"/>
  <c r="CB5" i="1" s="1"/>
  <c r="BK38" i="1"/>
  <c r="BR33" i="1"/>
  <c r="BQ37" i="1"/>
  <c r="BS37" i="1"/>
  <c r="BP37" i="1"/>
  <c r="BQ46" i="1"/>
  <c r="BQ33" i="1"/>
  <c r="BS46" i="1"/>
  <c r="BJ38" i="1"/>
  <c r="BR46" i="1"/>
  <c r="BT46" i="1"/>
  <c r="BP46" i="1"/>
  <c r="BI51" i="1"/>
  <c r="BW51" i="1" s="1"/>
  <c r="BO51" i="1"/>
  <c r="CJ51" i="1" s="1"/>
  <c r="BO38" i="1"/>
  <c r="CJ38" i="1" s="1"/>
  <c r="BM51" i="1"/>
  <c r="CH51" i="1" s="1"/>
  <c r="BJ41" i="1"/>
  <c r="CE41" i="1" s="1"/>
  <c r="BO41" i="1"/>
  <c r="CJ41" i="1" s="1"/>
  <c r="BK41" i="1"/>
  <c r="CF41" i="1" s="1"/>
  <c r="BP50" i="1"/>
  <c r="BN35" i="1"/>
  <c r="CI35" i="1" s="1"/>
  <c r="BM36" i="1"/>
  <c r="BO5" i="1"/>
  <c r="CC5" i="1" s="1"/>
  <c r="BK12" i="1"/>
  <c r="BY12" i="1" s="1"/>
  <c r="BV37" i="1"/>
  <c r="BL12" i="1"/>
  <c r="BI30" i="1"/>
  <c r="BW30" i="1" s="1"/>
  <c r="BI36" i="1"/>
  <c r="BM12" i="1"/>
  <c r="CH12" i="1" s="1"/>
  <c r="BN30" i="1"/>
  <c r="CB30" i="1" s="1"/>
  <c r="BO12" i="1"/>
  <c r="CJ12" i="1" s="1"/>
  <c r="BJ34" i="1"/>
  <c r="BM34" i="1"/>
  <c r="BO34" i="1"/>
  <c r="BL34" i="1"/>
  <c r="BN34" i="1"/>
  <c r="BK34" i="1"/>
  <c r="BI34" i="1"/>
  <c r="BJ12" i="1"/>
  <c r="CE12" i="1" s="1"/>
  <c r="BJ36" i="1"/>
  <c r="BI12" i="1"/>
  <c r="BW12" i="1" s="1"/>
  <c r="BJ28" i="1"/>
  <c r="BX28" i="1" s="1"/>
  <c r="BO28" i="1"/>
  <c r="CC28" i="1" s="1"/>
  <c r="BM28" i="1"/>
  <c r="CH28" i="1" s="1"/>
  <c r="BI35" i="1"/>
  <c r="BW35" i="1" s="1"/>
  <c r="BM35" i="1"/>
  <c r="CA35" i="1" s="1"/>
  <c r="BL35" i="1"/>
  <c r="BS35" i="1" s="1"/>
  <c r="BM30" i="1"/>
  <c r="CA30" i="1" s="1"/>
  <c r="BK30" i="1"/>
  <c r="CF30" i="1" s="1"/>
  <c r="BK28" i="1"/>
  <c r="BY28" i="1" s="1"/>
  <c r="BL28" i="1"/>
  <c r="BI28" i="1"/>
  <c r="BW28" i="1" s="1"/>
  <c r="BL30" i="1"/>
  <c r="BU44" i="1"/>
  <c r="BT33" i="1"/>
  <c r="BK35" i="1"/>
  <c r="BY35" i="1" s="1"/>
  <c r="BJ35" i="1"/>
  <c r="BX35" i="1" s="1"/>
  <c r="BO39" i="1"/>
  <c r="CC39" i="1" s="1"/>
  <c r="BJ39" i="1"/>
  <c r="CE39" i="1" s="1"/>
  <c r="BO36" i="1"/>
  <c r="BO30" i="1"/>
  <c r="CJ30" i="1" s="1"/>
  <c r="BO49" i="1"/>
  <c r="CJ49" i="1" s="1"/>
  <c r="BN49" i="1"/>
  <c r="CB49" i="1" s="1"/>
  <c r="BI49" i="1"/>
  <c r="CD49" i="1" s="1"/>
  <c r="BJ49" i="1"/>
  <c r="CE49" i="1" s="1"/>
  <c r="BK49" i="1"/>
  <c r="BY49" i="1" s="1"/>
  <c r="BL49" i="1"/>
  <c r="BT49" i="1" s="1"/>
  <c r="BM42" i="1"/>
  <c r="CH42" i="1" s="1"/>
  <c r="BL42" i="1"/>
  <c r="BZ42" i="1" s="1"/>
  <c r="BK42" i="1"/>
  <c r="CF42" i="1" s="1"/>
  <c r="BI42" i="1"/>
  <c r="BW42" i="1" s="1"/>
  <c r="BN42" i="1"/>
  <c r="CI42" i="1" s="1"/>
  <c r="BO42" i="1"/>
  <c r="CC42" i="1" s="1"/>
  <c r="BJ42" i="1"/>
  <c r="CE42" i="1" s="1"/>
  <c r="BK7" i="1"/>
  <c r="BY7" i="1" s="1"/>
  <c r="BO7" i="1"/>
  <c r="CC7" i="1" s="1"/>
  <c r="BI7" i="1"/>
  <c r="CD7" i="1" s="1"/>
  <c r="BL7" i="1"/>
  <c r="BZ7" i="1" s="1"/>
  <c r="BN7" i="1"/>
  <c r="CB7" i="1" s="1"/>
  <c r="BM7" i="1"/>
  <c r="CA7" i="1" s="1"/>
  <c r="BJ7" i="1"/>
  <c r="BX7" i="1" s="1"/>
  <c r="BQ44" i="1"/>
  <c r="BT44" i="1"/>
  <c r="BP44" i="1"/>
  <c r="BR50" i="1"/>
  <c r="BU50" i="1"/>
  <c r="BT50" i="1"/>
  <c r="BV50" i="1"/>
  <c r="BQ50" i="1"/>
  <c r="BR44" i="1"/>
  <c r="BS44" i="1"/>
  <c r="BL6" i="1"/>
  <c r="BZ6" i="1" s="1"/>
  <c r="BJ6" i="1"/>
  <c r="BX6" i="1" s="1"/>
  <c r="BN6" i="1"/>
  <c r="CB6" i="1" s="1"/>
  <c r="BM6" i="1"/>
  <c r="CH6" i="1" s="1"/>
  <c r="BO6" i="1"/>
  <c r="CC6" i="1" s="1"/>
  <c r="BK6" i="1"/>
  <c r="BY6" i="1" s="1"/>
  <c r="BI6" i="1"/>
  <c r="BW6" i="1" s="1"/>
  <c r="BS50" i="1"/>
  <c r="BI23" i="1"/>
  <c r="BW23" i="1" s="1"/>
  <c r="BM23" i="1"/>
  <c r="CA23" i="1" s="1"/>
  <c r="BL23" i="1"/>
  <c r="CG23" i="1" s="1"/>
  <c r="BN23" i="1"/>
  <c r="CI23" i="1" s="1"/>
  <c r="BO23" i="1"/>
  <c r="CC23" i="1" s="1"/>
  <c r="BJ23" i="1"/>
  <c r="CE23" i="1" s="1"/>
  <c r="BK23" i="1"/>
  <c r="CF23" i="1" s="1"/>
  <c r="BQ43" i="1"/>
  <c r="BR43" i="1"/>
  <c r="BU43" i="1"/>
  <c r="BT45" i="1"/>
  <c r="BU45" i="1"/>
  <c r="BS45" i="1"/>
  <c r="BR45" i="1"/>
  <c r="BP45" i="1"/>
  <c r="BV45" i="1"/>
  <c r="BQ45" i="1"/>
  <c r="BP43" i="1"/>
  <c r="BP47" i="1"/>
  <c r="BS47" i="1"/>
  <c r="BU47" i="1"/>
  <c r="BT47" i="1"/>
  <c r="BV47" i="1"/>
  <c r="BR47" i="1"/>
  <c r="BQ47" i="1"/>
  <c r="BQ40" i="1"/>
  <c r="BS40" i="1"/>
  <c r="BT40" i="1"/>
  <c r="BR40" i="1"/>
  <c r="BU40" i="1"/>
  <c r="BV40" i="1"/>
  <c r="BP40" i="1"/>
  <c r="R14" i="4"/>
  <c r="B22" i="12"/>
  <c r="B23" i="12"/>
  <c r="B24" i="12"/>
  <c r="B25" i="12"/>
  <c r="B26" i="12"/>
  <c r="B27" i="12"/>
  <c r="B28" i="12"/>
  <c r="B29" i="12"/>
  <c r="B30" i="12"/>
  <c r="B31" i="12"/>
  <c r="B32" i="12"/>
  <c r="B33" i="12"/>
  <c r="B34" i="12"/>
  <c r="B35" i="12"/>
  <c r="B36" i="12"/>
  <c r="B37" i="12"/>
  <c r="B38" i="12"/>
  <c r="B39" i="12"/>
  <c r="B40" i="12"/>
  <c r="B41" i="12"/>
  <c r="B42" i="12"/>
  <c r="B43" i="12"/>
  <c r="B44" i="12"/>
  <c r="B45" i="12"/>
  <c r="B46" i="12"/>
  <c r="B47" i="12"/>
  <c r="B48" i="12"/>
  <c r="B49" i="12"/>
  <c r="B50" i="12"/>
  <c r="B51" i="12"/>
  <c r="B52" i="12"/>
  <c r="B53" i="12"/>
  <c r="B54" i="12"/>
  <c r="B55" i="12"/>
  <c r="B56" i="12"/>
  <c r="B57" i="12"/>
  <c r="B58" i="12"/>
  <c r="B59" i="12"/>
  <c r="B60" i="12"/>
  <c r="B61" i="12"/>
  <c r="B62" i="12"/>
  <c r="B63" i="12"/>
  <c r="B64" i="12"/>
  <c r="B65" i="12"/>
  <c r="B66" i="12"/>
  <c r="B67" i="12"/>
  <c r="B68" i="12"/>
  <c r="B69" i="12"/>
  <c r="B70" i="12"/>
  <c r="B71" i="12"/>
  <c r="B72" i="12"/>
  <c r="B73" i="12"/>
  <c r="B74" i="12"/>
  <c r="B75" i="12"/>
  <c r="B76" i="12"/>
  <c r="B77" i="12"/>
  <c r="B78" i="12"/>
  <c r="B79" i="12"/>
  <c r="B80" i="12"/>
  <c r="B81" i="12"/>
  <c r="B82" i="12"/>
  <c r="B83" i="12"/>
  <c r="B84" i="12"/>
  <c r="B85" i="12"/>
  <c r="B86" i="12"/>
  <c r="B87" i="12"/>
  <c r="B88" i="12"/>
  <c r="B89" i="12"/>
  <c r="B90" i="12"/>
  <c r="B91" i="12"/>
  <c r="B92" i="12"/>
  <c r="B93" i="12"/>
  <c r="B94" i="12"/>
  <c r="B95" i="12"/>
  <c r="B96" i="12"/>
  <c r="B97" i="12"/>
  <c r="B98" i="12"/>
  <c r="B99" i="12"/>
  <c r="B100" i="12"/>
  <c r="B101" i="12"/>
  <c r="B102" i="12"/>
  <c r="B103" i="12"/>
  <c r="B104" i="12"/>
  <c r="B105" i="12"/>
  <c r="B106" i="12"/>
  <c r="B107" i="12"/>
  <c r="B108" i="12"/>
  <c r="B109" i="12"/>
  <c r="B110" i="12"/>
  <c r="B111" i="12"/>
  <c r="B112" i="12"/>
  <c r="B113" i="12"/>
  <c r="B114" i="12"/>
  <c r="B115" i="12"/>
  <c r="B116" i="12"/>
  <c r="B117" i="12"/>
  <c r="B118" i="12"/>
  <c r="B119" i="12"/>
  <c r="B120" i="12"/>
  <c r="B121" i="12"/>
  <c r="B122" i="12"/>
  <c r="B123" i="12"/>
  <c r="B124" i="12"/>
  <c r="B125" i="12"/>
  <c r="B126" i="12"/>
  <c r="B127" i="12"/>
  <c r="B128" i="12"/>
  <c r="B129" i="12"/>
  <c r="B130" i="12"/>
  <c r="B131" i="12"/>
  <c r="B132" i="12"/>
  <c r="B133" i="12"/>
  <c r="B134" i="12"/>
  <c r="B135" i="12"/>
  <c r="B136" i="12"/>
  <c r="B137" i="12"/>
  <c r="B138" i="12"/>
  <c r="B139" i="12"/>
  <c r="B140" i="12"/>
  <c r="B141" i="12"/>
  <c r="B142" i="12"/>
  <c r="B143" i="12"/>
  <c r="B144" i="12"/>
  <c r="B145" i="12"/>
  <c r="B146" i="12"/>
  <c r="B147" i="12"/>
  <c r="B148" i="12"/>
  <c r="B149" i="12"/>
  <c r="B150" i="12"/>
  <c r="B151" i="12"/>
  <c r="B152" i="12"/>
  <c r="B153" i="12"/>
  <c r="B154" i="12"/>
  <c r="B155" i="12"/>
  <c r="B156" i="12"/>
  <c r="B157" i="12"/>
  <c r="B158" i="12"/>
  <c r="B159" i="12"/>
  <c r="B160" i="12"/>
  <c r="B161" i="12"/>
  <c r="B162" i="12"/>
  <c r="B163" i="12"/>
  <c r="B164" i="12"/>
  <c r="B165" i="12"/>
  <c r="B166" i="12"/>
  <c r="B167" i="12"/>
  <c r="B168" i="12"/>
  <c r="B169" i="12"/>
  <c r="B170" i="12"/>
  <c r="B171" i="12"/>
  <c r="B172" i="12"/>
  <c r="B173" i="12"/>
  <c r="B174" i="12"/>
  <c r="B175" i="12"/>
  <c r="B176" i="12"/>
  <c r="B177" i="12"/>
  <c r="B178" i="12"/>
  <c r="B179" i="12"/>
  <c r="B180" i="12"/>
  <c r="B181" i="12"/>
  <c r="B182" i="12"/>
  <c r="B183" i="12"/>
  <c r="B184" i="12"/>
  <c r="B185" i="12"/>
  <c r="B186" i="12"/>
  <c r="B187" i="12"/>
  <c r="B188" i="12"/>
  <c r="B189" i="12"/>
  <c r="B190" i="12"/>
  <c r="B191" i="12"/>
  <c r="B192" i="12"/>
  <c r="B193" i="12"/>
  <c r="B194" i="12"/>
  <c r="B195" i="12"/>
  <c r="B196" i="12"/>
  <c r="B197" i="12"/>
  <c r="B198" i="12"/>
  <c r="B199" i="12"/>
  <c r="B200" i="12"/>
  <c r="B201" i="12"/>
  <c r="B202" i="12"/>
  <c r="B203" i="12"/>
  <c r="B204" i="12"/>
  <c r="B205" i="12"/>
  <c r="B206" i="12"/>
  <c r="B207" i="12"/>
  <c r="B208" i="12"/>
  <c r="B209" i="12"/>
  <c r="B210" i="12"/>
  <c r="B211" i="12"/>
  <c r="B212" i="12"/>
  <c r="B213" i="12"/>
  <c r="B214" i="12"/>
  <c r="B215" i="12"/>
  <c r="B216" i="12"/>
  <c r="B217" i="12"/>
  <c r="B218" i="12"/>
  <c r="B219" i="12"/>
  <c r="B220" i="12"/>
  <c r="B221" i="12"/>
  <c r="B222" i="12"/>
  <c r="B223" i="12"/>
  <c r="B224" i="12"/>
  <c r="B225" i="12"/>
  <c r="B226" i="12"/>
  <c r="B227" i="12"/>
  <c r="B228" i="12"/>
  <c r="B229" i="12"/>
  <c r="B230" i="12"/>
  <c r="B231" i="12"/>
  <c r="B232" i="12"/>
  <c r="B233" i="12"/>
  <c r="B234" i="12"/>
  <c r="B235" i="12"/>
  <c r="B236" i="12"/>
  <c r="B237" i="12"/>
  <c r="B238" i="12"/>
  <c r="B239" i="12"/>
  <c r="B240" i="12"/>
  <c r="B241" i="12"/>
  <c r="B242" i="12"/>
  <c r="B243" i="12"/>
  <c r="B244" i="12"/>
  <c r="B245" i="12"/>
  <c r="B246" i="12"/>
  <c r="B247" i="12"/>
  <c r="B248" i="12"/>
  <c r="B249" i="12"/>
  <c r="B250" i="12"/>
  <c r="B251" i="12"/>
  <c r="B252" i="12"/>
  <c r="B253" i="12"/>
  <c r="B254" i="12"/>
  <c r="B255" i="12"/>
  <c r="B256" i="12"/>
  <c r="B257" i="12"/>
  <c r="B258" i="12"/>
  <c r="B259" i="12"/>
  <c r="B260" i="12"/>
  <c r="B261" i="12"/>
  <c r="B262" i="12"/>
  <c r="B263" i="12"/>
  <c r="B264" i="12"/>
  <c r="B265" i="12"/>
  <c r="B266" i="12"/>
  <c r="B267" i="12"/>
  <c r="B268" i="12"/>
  <c r="B269" i="12"/>
  <c r="B270" i="12"/>
  <c r="B271" i="12"/>
  <c r="B272" i="12"/>
  <c r="B273" i="12"/>
  <c r="B274" i="12"/>
  <c r="B275" i="12"/>
  <c r="B276" i="12"/>
  <c r="B277" i="12"/>
  <c r="B278" i="12"/>
  <c r="B279" i="12"/>
  <c r="B280" i="12"/>
  <c r="B281" i="12"/>
  <c r="B282" i="12"/>
  <c r="B283" i="12"/>
  <c r="B284" i="12"/>
  <c r="B285" i="12"/>
  <c r="B286" i="12"/>
  <c r="B287" i="12"/>
  <c r="B288" i="12"/>
  <c r="B289" i="12"/>
  <c r="B290" i="12"/>
  <c r="B291" i="12"/>
  <c r="B292" i="12"/>
  <c r="B293" i="12"/>
  <c r="B294" i="12"/>
  <c r="B295" i="12"/>
  <c r="B296" i="12"/>
  <c r="B297" i="12"/>
  <c r="B298" i="12"/>
  <c r="B299" i="12"/>
  <c r="B300" i="12"/>
  <c r="B301" i="12"/>
  <c r="B302" i="12"/>
  <c r="B303" i="12"/>
  <c r="B304" i="12"/>
  <c r="B305" i="12"/>
  <c r="B306" i="12"/>
  <c r="B307" i="12"/>
  <c r="B308" i="12"/>
  <c r="B309" i="12"/>
  <c r="B310" i="12"/>
  <c r="B311" i="12"/>
  <c r="B312" i="12"/>
  <c r="B313" i="12"/>
  <c r="B314" i="12"/>
  <c r="B315" i="12"/>
  <c r="B316" i="12"/>
  <c r="B317" i="12"/>
  <c r="B318" i="12"/>
  <c r="B319" i="12"/>
  <c r="B320" i="12"/>
  <c r="B321" i="12"/>
  <c r="B322" i="12"/>
  <c r="B323" i="12"/>
  <c r="B324" i="12"/>
  <c r="B325" i="12"/>
  <c r="B326" i="12"/>
  <c r="B327" i="12"/>
  <c r="B328" i="12"/>
  <c r="B329" i="12"/>
  <c r="B330" i="12"/>
  <c r="B331" i="12"/>
  <c r="B332" i="12"/>
  <c r="B333" i="12"/>
  <c r="B334" i="12"/>
  <c r="B335" i="12"/>
  <c r="B336" i="12"/>
  <c r="B337" i="12"/>
  <c r="B338" i="12"/>
  <c r="B339" i="12"/>
  <c r="B340" i="12"/>
  <c r="B341" i="12"/>
  <c r="B342" i="12"/>
  <c r="B343" i="12"/>
  <c r="B344" i="12"/>
  <c r="B345" i="12"/>
  <c r="B346" i="12"/>
  <c r="B347" i="12"/>
  <c r="B348" i="12"/>
  <c r="B349" i="12"/>
  <c r="B350" i="12"/>
  <c r="B351" i="12"/>
  <c r="B352" i="12"/>
  <c r="B353" i="12"/>
  <c r="B354" i="12"/>
  <c r="B355" i="12"/>
  <c r="B356" i="12"/>
  <c r="B357" i="12"/>
  <c r="B358" i="12"/>
  <c r="B359" i="12"/>
  <c r="B360" i="12"/>
  <c r="B361" i="12"/>
  <c r="B362" i="12"/>
  <c r="B363" i="12"/>
  <c r="B364" i="12"/>
  <c r="B365" i="12"/>
  <c r="B366" i="12"/>
  <c r="B367" i="12"/>
  <c r="B368" i="12"/>
  <c r="B369" i="12"/>
  <c r="B370" i="12"/>
  <c r="B371" i="12"/>
  <c r="B372" i="12"/>
  <c r="B373" i="12"/>
  <c r="B374" i="12"/>
  <c r="B375" i="12"/>
  <c r="B376" i="12"/>
  <c r="B377" i="12"/>
  <c r="B378" i="12"/>
  <c r="B379" i="12"/>
  <c r="B380" i="12"/>
  <c r="B381" i="12"/>
  <c r="B382" i="12"/>
  <c r="B383" i="12"/>
  <c r="B384" i="12"/>
  <c r="B385" i="12"/>
  <c r="B386" i="12"/>
  <c r="B387" i="12"/>
  <c r="B388" i="12"/>
  <c r="B389" i="12"/>
  <c r="B390" i="12"/>
  <c r="B391" i="12"/>
  <c r="B392" i="12"/>
  <c r="B393" i="12"/>
  <c r="B394" i="12"/>
  <c r="B395" i="12"/>
  <c r="B396" i="12"/>
  <c r="B397" i="12"/>
  <c r="B398" i="12"/>
  <c r="B399" i="12"/>
  <c r="B400" i="12"/>
  <c r="B401" i="12"/>
  <c r="B402" i="12"/>
  <c r="B403" i="12"/>
  <c r="B404" i="12"/>
  <c r="B405" i="12"/>
  <c r="B406" i="12"/>
  <c r="B407" i="12"/>
  <c r="B408" i="12"/>
  <c r="B409" i="12"/>
  <c r="B410" i="12"/>
  <c r="B411" i="12"/>
  <c r="B412" i="12"/>
  <c r="B413" i="12"/>
  <c r="B414" i="12"/>
  <c r="B415" i="12"/>
  <c r="B416" i="12"/>
  <c r="B417" i="12"/>
  <c r="B418" i="12"/>
  <c r="B419" i="12"/>
  <c r="B420" i="12"/>
  <c r="B421" i="12"/>
  <c r="B422" i="12"/>
  <c r="B423" i="12"/>
  <c r="B424" i="12"/>
  <c r="B425" i="12"/>
  <c r="B426" i="12"/>
  <c r="B427" i="12"/>
  <c r="B428" i="12"/>
  <c r="B429" i="12"/>
  <c r="B430" i="12"/>
  <c r="B431" i="12"/>
  <c r="B432" i="12"/>
  <c r="B433" i="12"/>
  <c r="B434" i="12"/>
  <c r="B435" i="12"/>
  <c r="B436" i="12"/>
  <c r="B437" i="12"/>
  <c r="B438" i="12"/>
  <c r="B439" i="12"/>
  <c r="B440" i="12"/>
  <c r="B441" i="12"/>
  <c r="B442" i="12"/>
  <c r="B443" i="12"/>
  <c r="B444" i="12"/>
  <c r="B445" i="12"/>
  <c r="B446" i="12"/>
  <c r="B447" i="12"/>
  <c r="B448" i="12"/>
  <c r="B449" i="12"/>
  <c r="B450" i="12"/>
  <c r="B451" i="12"/>
  <c r="B452" i="12"/>
  <c r="B453" i="12"/>
  <c r="B454" i="12"/>
  <c r="B455" i="12"/>
  <c r="B456" i="12"/>
  <c r="B457" i="12"/>
  <c r="B458" i="12"/>
  <c r="B459" i="12"/>
  <c r="B460" i="12"/>
  <c r="B461" i="12"/>
  <c r="B462" i="12"/>
  <c r="B463" i="12"/>
  <c r="B464" i="12"/>
  <c r="B465" i="12"/>
  <c r="B466" i="12"/>
  <c r="B467" i="12"/>
  <c r="B468" i="12"/>
  <c r="B469" i="12"/>
  <c r="B470" i="12"/>
  <c r="B471" i="12"/>
  <c r="B472" i="12"/>
  <c r="B473" i="12"/>
  <c r="B474" i="12"/>
  <c r="B475" i="12"/>
  <c r="B476" i="12"/>
  <c r="B477" i="12"/>
  <c r="B478" i="12"/>
  <c r="B479" i="12"/>
  <c r="B480" i="12"/>
  <c r="B481" i="12"/>
  <c r="B482" i="12"/>
  <c r="B483" i="12"/>
  <c r="B484" i="12"/>
  <c r="B485" i="12"/>
  <c r="B486" i="12"/>
  <c r="B487" i="12"/>
  <c r="B488" i="12"/>
  <c r="B489" i="12"/>
  <c r="B490" i="12"/>
  <c r="B491" i="12"/>
  <c r="B492" i="12"/>
  <c r="B493" i="12"/>
  <c r="B494" i="12"/>
  <c r="B495" i="12"/>
  <c r="B496" i="12"/>
  <c r="B497" i="12"/>
  <c r="B498" i="12"/>
  <c r="B499" i="12"/>
  <c r="B500" i="12"/>
  <c r="B501" i="12"/>
  <c r="B502" i="12"/>
  <c r="B503" i="12"/>
  <c r="B504" i="12"/>
  <c r="B505" i="12"/>
  <c r="B506" i="12"/>
  <c r="B507" i="12"/>
  <c r="B508" i="12"/>
  <c r="B509" i="12"/>
  <c r="B510" i="12"/>
  <c r="B511" i="12"/>
  <c r="B512" i="12"/>
  <c r="B513" i="12"/>
  <c r="B514" i="12"/>
  <c r="B515" i="12"/>
  <c r="B516" i="12"/>
  <c r="B517" i="12"/>
  <c r="B518" i="12"/>
  <c r="B519" i="12"/>
  <c r="B520" i="12"/>
  <c r="B521" i="12"/>
  <c r="B522" i="12"/>
  <c r="B523" i="12"/>
  <c r="B524" i="12"/>
  <c r="B525" i="12"/>
  <c r="B526" i="12"/>
  <c r="B527" i="12"/>
  <c r="B528" i="12"/>
  <c r="B529" i="12"/>
  <c r="B530" i="12"/>
  <c r="B531" i="12"/>
  <c r="B532" i="12"/>
  <c r="B533" i="12"/>
  <c r="B534" i="12"/>
  <c r="B535" i="12"/>
  <c r="B536" i="12"/>
  <c r="B537" i="12"/>
  <c r="B538" i="12"/>
  <c r="B539" i="12"/>
  <c r="B540" i="12"/>
  <c r="B541" i="12"/>
  <c r="B542" i="12"/>
  <c r="B543" i="12"/>
  <c r="B544" i="12"/>
  <c r="B545" i="12"/>
  <c r="B546" i="12"/>
  <c r="B547" i="12"/>
  <c r="B548" i="12"/>
  <c r="B549" i="12"/>
  <c r="B550" i="12"/>
  <c r="B551" i="12"/>
  <c r="B552" i="12"/>
  <c r="B553" i="12"/>
  <c r="B554" i="12"/>
  <c r="B555" i="12"/>
  <c r="B556" i="12"/>
  <c r="B557" i="12"/>
  <c r="B558" i="12"/>
  <c r="B559" i="12"/>
  <c r="B560" i="12"/>
  <c r="B561" i="12"/>
  <c r="B562" i="12"/>
  <c r="B563" i="12"/>
  <c r="B564" i="12"/>
  <c r="B565" i="12"/>
  <c r="B566" i="12"/>
  <c r="B567" i="12"/>
  <c r="B568" i="12"/>
  <c r="B569" i="12"/>
  <c r="B570" i="12"/>
  <c r="B571" i="12"/>
  <c r="B572" i="12"/>
  <c r="B573" i="12"/>
  <c r="B574" i="12"/>
  <c r="B575" i="12"/>
  <c r="B576" i="12"/>
  <c r="B577" i="12"/>
  <c r="B578" i="12"/>
  <c r="B579" i="12"/>
  <c r="B580" i="12"/>
  <c r="B581" i="12"/>
  <c r="B582" i="12"/>
  <c r="B583" i="12"/>
  <c r="B584" i="12"/>
  <c r="B585" i="12"/>
  <c r="B586" i="12"/>
  <c r="B587" i="12"/>
  <c r="B588" i="12"/>
  <c r="B589" i="12"/>
  <c r="B590" i="12"/>
  <c r="B591" i="12"/>
  <c r="B592" i="12"/>
  <c r="B593" i="12"/>
  <c r="B594" i="12"/>
  <c r="B595" i="12"/>
  <c r="B596" i="12"/>
  <c r="B597" i="12"/>
  <c r="B598" i="12"/>
  <c r="B599" i="12"/>
  <c r="B600" i="12"/>
  <c r="B601" i="12"/>
  <c r="B602" i="12"/>
  <c r="B603" i="12"/>
  <c r="B604" i="12"/>
  <c r="B605" i="12"/>
  <c r="B606" i="12"/>
  <c r="B607" i="12"/>
  <c r="B608" i="12"/>
  <c r="B609" i="12"/>
  <c r="B610" i="12"/>
  <c r="B611" i="12"/>
  <c r="B612" i="12"/>
  <c r="B613" i="12"/>
  <c r="B614" i="12"/>
  <c r="B615" i="12"/>
  <c r="B616" i="12"/>
  <c r="B617" i="12"/>
  <c r="B618" i="12"/>
  <c r="B619" i="12"/>
  <c r="B620" i="12"/>
  <c r="B621" i="12"/>
  <c r="B622" i="12"/>
  <c r="B623" i="12"/>
  <c r="B624" i="12"/>
  <c r="B625" i="12"/>
  <c r="B626" i="12"/>
  <c r="B627" i="12"/>
  <c r="B628" i="12"/>
  <c r="B629" i="12"/>
  <c r="B630" i="12"/>
  <c r="B631" i="12"/>
  <c r="B632" i="12"/>
  <c r="B633" i="12"/>
  <c r="B634" i="12"/>
  <c r="B635" i="12"/>
  <c r="B636" i="12"/>
  <c r="B637" i="12"/>
  <c r="B638" i="12"/>
  <c r="B639" i="12"/>
  <c r="B640" i="12"/>
  <c r="B641" i="12"/>
  <c r="B642" i="12"/>
  <c r="B643" i="12"/>
  <c r="B644" i="12"/>
  <c r="B645" i="12"/>
  <c r="B646" i="12"/>
  <c r="B647" i="12"/>
  <c r="B648" i="12"/>
  <c r="B649" i="12"/>
  <c r="B650" i="12"/>
  <c r="B651" i="12"/>
  <c r="B652" i="12"/>
  <c r="B653" i="12"/>
  <c r="B654" i="12"/>
  <c r="B655" i="12"/>
  <c r="B656" i="12"/>
  <c r="B657" i="12"/>
  <c r="B658" i="12"/>
  <c r="B659" i="12"/>
  <c r="B660" i="12"/>
  <c r="B661" i="12"/>
  <c r="B662" i="12"/>
  <c r="B663" i="12"/>
  <c r="B664" i="12"/>
  <c r="B665" i="12"/>
  <c r="B666" i="12"/>
  <c r="B667" i="12"/>
  <c r="B668" i="12"/>
  <c r="B669" i="12"/>
  <c r="B670" i="12"/>
  <c r="B671" i="12"/>
  <c r="B672" i="12"/>
  <c r="B673" i="12"/>
  <c r="B674" i="12"/>
  <c r="B675" i="12"/>
  <c r="B676" i="12"/>
  <c r="B677" i="12"/>
  <c r="B678" i="12"/>
  <c r="B679" i="12"/>
  <c r="B680" i="12"/>
  <c r="B681" i="12"/>
  <c r="B682" i="12"/>
  <c r="B683" i="12"/>
  <c r="B684" i="12"/>
  <c r="B685" i="12"/>
  <c r="B686" i="12"/>
  <c r="B687" i="12"/>
  <c r="B688" i="12"/>
  <c r="B689" i="12"/>
  <c r="B690" i="12"/>
  <c r="B691" i="12"/>
  <c r="B692" i="12"/>
  <c r="B693" i="12"/>
  <c r="B694" i="12"/>
  <c r="B695" i="12"/>
  <c r="B696" i="12"/>
  <c r="B697" i="12"/>
  <c r="B698" i="12"/>
  <c r="B699" i="12"/>
  <c r="B700" i="12"/>
  <c r="B701" i="12"/>
  <c r="B702" i="12"/>
  <c r="B703" i="12"/>
  <c r="B704" i="12"/>
  <c r="B705" i="12"/>
  <c r="B706" i="12"/>
  <c r="B707" i="12"/>
  <c r="B708" i="12"/>
  <c r="B709" i="12"/>
  <c r="B710" i="12"/>
  <c r="B711" i="12"/>
  <c r="B712" i="12"/>
  <c r="B713" i="12"/>
  <c r="B714" i="12"/>
  <c r="B715" i="12"/>
  <c r="B716" i="12"/>
  <c r="B717" i="12"/>
  <c r="B718" i="12"/>
  <c r="B719" i="12"/>
  <c r="B720" i="12"/>
  <c r="B721" i="12"/>
  <c r="B722" i="12"/>
  <c r="B723" i="12"/>
  <c r="B724" i="12"/>
  <c r="B725" i="12"/>
  <c r="B726" i="12"/>
  <c r="B727" i="12"/>
  <c r="B728" i="12"/>
  <c r="B729" i="12"/>
  <c r="B730" i="12"/>
  <c r="B731" i="12"/>
  <c r="B732" i="12"/>
  <c r="B733" i="12"/>
  <c r="B734" i="12"/>
  <c r="B735" i="12"/>
  <c r="B736" i="12"/>
  <c r="B737" i="12"/>
  <c r="B738" i="12"/>
  <c r="B739" i="12"/>
  <c r="B740" i="12"/>
  <c r="B741" i="12"/>
  <c r="B742" i="12"/>
  <c r="B743" i="12"/>
  <c r="B744" i="12"/>
  <c r="B745" i="12"/>
  <c r="B746" i="12"/>
  <c r="B747" i="12"/>
  <c r="B748" i="12"/>
  <c r="B749" i="12"/>
  <c r="B750" i="12"/>
  <c r="B751" i="12"/>
  <c r="B752" i="12"/>
  <c r="B753" i="12"/>
  <c r="B754" i="12"/>
  <c r="B755" i="12"/>
  <c r="B756" i="12"/>
  <c r="B757" i="12"/>
  <c r="B758" i="12"/>
  <c r="B759" i="12"/>
  <c r="B760" i="12"/>
  <c r="B761" i="12"/>
  <c r="B762" i="12"/>
  <c r="B763" i="12"/>
  <c r="B764" i="12"/>
  <c r="B765" i="12"/>
  <c r="B766" i="12"/>
  <c r="B767" i="12"/>
  <c r="B768" i="12"/>
  <c r="B769" i="12"/>
  <c r="B770" i="12"/>
  <c r="B771" i="12"/>
  <c r="B772" i="12"/>
  <c r="B773" i="12"/>
  <c r="B774" i="12"/>
  <c r="B775" i="12"/>
  <c r="B776" i="12"/>
  <c r="B777" i="12"/>
  <c r="B778" i="12"/>
  <c r="B779" i="12"/>
  <c r="B780" i="12"/>
  <c r="B781" i="12"/>
  <c r="B782" i="12"/>
  <c r="B783" i="12"/>
  <c r="B784" i="12"/>
  <c r="B785" i="12"/>
  <c r="B786" i="12"/>
  <c r="B787" i="12"/>
  <c r="B788" i="12"/>
  <c r="B789" i="12"/>
  <c r="B790" i="12"/>
  <c r="B791" i="12"/>
  <c r="B792" i="12"/>
  <c r="B793" i="12"/>
  <c r="B794" i="12"/>
  <c r="B795" i="12"/>
  <c r="B796" i="12"/>
  <c r="B797" i="12"/>
  <c r="B798" i="12"/>
  <c r="B799" i="12"/>
  <c r="B800" i="12"/>
  <c r="B801" i="12"/>
  <c r="B802" i="12"/>
  <c r="B803" i="12"/>
  <c r="B804" i="12"/>
  <c r="B805" i="12"/>
  <c r="B806" i="12"/>
  <c r="B807" i="12"/>
  <c r="B808" i="12"/>
  <c r="B809" i="12"/>
  <c r="B810" i="12"/>
  <c r="B811" i="12"/>
  <c r="B812" i="12"/>
  <c r="B813" i="12"/>
  <c r="B814" i="12"/>
  <c r="B815" i="12"/>
  <c r="B816" i="12"/>
  <c r="B817" i="12"/>
  <c r="B818" i="12"/>
  <c r="B819" i="12"/>
  <c r="B820" i="12"/>
  <c r="B821" i="12"/>
  <c r="B822" i="12"/>
  <c r="B823" i="12"/>
  <c r="B824" i="12"/>
  <c r="B825" i="12"/>
  <c r="B826" i="12"/>
  <c r="B827" i="12"/>
  <c r="B828" i="12"/>
  <c r="B829" i="12"/>
  <c r="B830" i="12"/>
  <c r="B831" i="12"/>
  <c r="B832" i="12"/>
  <c r="B833" i="12"/>
  <c r="B834" i="12"/>
  <c r="B835" i="12"/>
  <c r="B836" i="12"/>
  <c r="B837" i="12"/>
  <c r="B838" i="12"/>
  <c r="B839" i="12"/>
  <c r="B840" i="12"/>
  <c r="B841" i="12"/>
  <c r="B842" i="12"/>
  <c r="B843" i="12"/>
  <c r="B844" i="12"/>
  <c r="B845" i="12"/>
  <c r="B846" i="12"/>
  <c r="B847" i="12"/>
  <c r="B848" i="12"/>
  <c r="B849" i="12"/>
  <c r="B850" i="12"/>
  <c r="B851" i="12"/>
  <c r="B852" i="12"/>
  <c r="B853" i="12"/>
  <c r="B854" i="12"/>
  <c r="B855" i="12"/>
  <c r="B856" i="12"/>
  <c r="B857" i="12"/>
  <c r="B858" i="12"/>
  <c r="B859" i="12"/>
  <c r="B860" i="12"/>
  <c r="B861" i="12"/>
  <c r="B862" i="12"/>
  <c r="B863" i="12"/>
  <c r="B864" i="12"/>
  <c r="B865" i="12"/>
  <c r="B866" i="12"/>
  <c r="B867" i="12"/>
  <c r="B868" i="12"/>
  <c r="B869" i="12"/>
  <c r="B870" i="12"/>
  <c r="B871" i="12"/>
  <c r="B872" i="12"/>
  <c r="B873" i="12"/>
  <c r="B874" i="12"/>
  <c r="B875" i="12"/>
  <c r="B876" i="12"/>
  <c r="B877" i="12"/>
  <c r="B878" i="12"/>
  <c r="B879" i="12"/>
  <c r="B880" i="12"/>
  <c r="B881" i="12"/>
  <c r="B882" i="12"/>
  <c r="B883" i="12"/>
  <c r="B884" i="12"/>
  <c r="B885" i="12"/>
  <c r="B886" i="12"/>
  <c r="B887" i="12"/>
  <c r="B888" i="12"/>
  <c r="B889" i="12"/>
  <c r="B890" i="12"/>
  <c r="B891" i="12"/>
  <c r="B892" i="12"/>
  <c r="B893" i="12"/>
  <c r="B894" i="12"/>
  <c r="B895" i="12"/>
  <c r="B896" i="12"/>
  <c r="B897" i="12"/>
  <c r="B898" i="12"/>
  <c r="B899" i="12"/>
  <c r="B900" i="12"/>
  <c r="B901" i="12"/>
  <c r="B902" i="12"/>
  <c r="B903" i="12"/>
  <c r="B904" i="12"/>
  <c r="B905" i="12"/>
  <c r="B906" i="12"/>
  <c r="B907" i="12"/>
  <c r="B908" i="12"/>
  <c r="B909" i="12"/>
  <c r="B910" i="12"/>
  <c r="B911" i="12"/>
  <c r="B912" i="12"/>
  <c r="B913" i="12"/>
  <c r="B914" i="12"/>
  <c r="B915" i="12"/>
  <c r="B916" i="12"/>
  <c r="B917" i="12"/>
  <c r="B918" i="12"/>
  <c r="B919" i="12"/>
  <c r="B920" i="12"/>
  <c r="B921" i="12"/>
  <c r="B922" i="12"/>
  <c r="B923" i="12"/>
  <c r="B924" i="12"/>
  <c r="B925" i="12"/>
  <c r="B926" i="12"/>
  <c r="B927" i="12"/>
  <c r="B928" i="12"/>
  <c r="B929" i="12"/>
  <c r="B930" i="12"/>
  <c r="B931" i="12"/>
  <c r="B932" i="12"/>
  <c r="B933" i="12"/>
  <c r="B934" i="12"/>
  <c r="B935" i="12"/>
  <c r="B936" i="12"/>
  <c r="B937" i="12"/>
  <c r="B938" i="12"/>
  <c r="B939" i="12"/>
  <c r="B940" i="12"/>
  <c r="B941" i="12"/>
  <c r="B942" i="12"/>
  <c r="B943" i="12"/>
  <c r="B944" i="12"/>
  <c r="B945" i="12"/>
  <c r="B946" i="12"/>
  <c r="B947" i="12"/>
  <c r="B948" i="12"/>
  <c r="B949" i="12"/>
  <c r="B950" i="12"/>
  <c r="B951" i="12"/>
  <c r="B952" i="12"/>
  <c r="B953" i="12"/>
  <c r="B954" i="12"/>
  <c r="B955" i="12"/>
  <c r="B956" i="12"/>
  <c r="B957" i="12"/>
  <c r="B958" i="12"/>
  <c r="B959" i="12"/>
  <c r="B960" i="12"/>
  <c r="B961" i="12"/>
  <c r="B962" i="12"/>
  <c r="B963" i="12"/>
  <c r="B964" i="12"/>
  <c r="B965" i="12"/>
  <c r="B966" i="12"/>
  <c r="B967" i="12"/>
  <c r="B968" i="12"/>
  <c r="B969" i="12"/>
  <c r="B970" i="12"/>
  <c r="B971" i="12"/>
  <c r="B972" i="12"/>
  <c r="B973" i="12"/>
  <c r="B974" i="12"/>
  <c r="B975" i="12"/>
  <c r="B976" i="12"/>
  <c r="B977" i="12"/>
  <c r="B978" i="12"/>
  <c r="B979" i="12"/>
  <c r="B980" i="12"/>
  <c r="B981" i="12"/>
  <c r="B982" i="12"/>
  <c r="B983" i="12"/>
  <c r="B984" i="12"/>
  <c r="B985" i="12"/>
  <c r="B986" i="12"/>
  <c r="B987" i="12"/>
  <c r="B988" i="12"/>
  <c r="B989" i="12"/>
  <c r="B990" i="12"/>
  <c r="B991" i="12"/>
  <c r="B992" i="12"/>
  <c r="B993" i="12"/>
  <c r="B994" i="12"/>
  <c r="B995" i="12"/>
  <c r="B996" i="12"/>
  <c r="B997" i="12"/>
  <c r="B998" i="12"/>
  <c r="B999" i="12"/>
  <c r="B1000" i="12"/>
  <c r="B1001" i="12"/>
  <c r="B1002" i="12"/>
  <c r="B1003" i="12"/>
  <c r="B1004" i="12"/>
  <c r="B1005" i="12"/>
  <c r="B1006" i="12"/>
  <c r="B1007" i="12"/>
  <c r="B1008" i="12"/>
  <c r="B1009" i="12"/>
  <c r="B1010" i="12"/>
  <c r="B1011" i="12"/>
  <c r="B1012" i="12"/>
  <c r="B1013" i="12"/>
  <c r="B1014" i="12"/>
  <c r="B1015" i="12"/>
  <c r="B1016" i="12"/>
  <c r="B1017" i="12"/>
  <c r="B1018" i="12"/>
  <c r="B1019" i="12"/>
  <c r="B1020" i="12"/>
  <c r="B1021" i="12"/>
  <c r="B1022" i="12"/>
  <c r="B1023" i="12"/>
  <c r="B1024" i="12"/>
  <c r="B1025" i="12"/>
  <c r="B1026" i="12"/>
  <c r="B1027" i="12"/>
  <c r="B1028" i="12"/>
  <c r="B1029" i="12"/>
  <c r="B1030" i="12"/>
  <c r="B1031" i="12"/>
  <c r="B1032" i="12"/>
  <c r="B1033" i="12"/>
  <c r="B1034" i="12"/>
  <c r="B1035" i="12"/>
  <c r="B1036" i="12"/>
  <c r="B1037" i="12"/>
  <c r="B1038" i="12"/>
  <c r="B1039" i="12"/>
  <c r="B1040" i="12"/>
  <c r="B1041" i="12"/>
  <c r="B1042" i="12"/>
  <c r="B1043" i="12"/>
  <c r="B1044" i="12"/>
  <c r="B1045" i="12"/>
  <c r="B1046" i="12"/>
  <c r="B1047" i="12"/>
  <c r="B1048" i="12"/>
  <c r="B1049" i="12"/>
  <c r="B1050" i="12"/>
  <c r="B1051" i="12"/>
  <c r="B1052" i="12"/>
  <c r="B1053" i="12"/>
  <c r="B1054" i="12"/>
  <c r="B1055" i="12"/>
  <c r="B1056" i="12"/>
  <c r="B1057" i="12"/>
  <c r="B1058" i="12"/>
  <c r="B1059" i="12"/>
  <c r="B1060" i="12"/>
  <c r="B1061" i="12"/>
  <c r="B1062" i="12"/>
  <c r="B1063" i="12"/>
  <c r="B1064" i="12"/>
  <c r="B1065" i="12"/>
  <c r="B1066" i="12"/>
  <c r="B1067" i="12"/>
  <c r="B1068" i="12"/>
  <c r="B1069" i="12"/>
  <c r="B1070" i="12"/>
  <c r="B1071" i="12"/>
  <c r="B1072" i="12"/>
  <c r="B1073" i="12"/>
  <c r="B1074" i="12"/>
  <c r="B1075" i="12"/>
  <c r="B1076" i="12"/>
  <c r="B1077" i="12"/>
  <c r="B1078" i="12"/>
  <c r="B1079" i="12"/>
  <c r="B1080" i="12"/>
  <c r="B1081" i="12"/>
  <c r="B1082" i="12"/>
  <c r="B1083" i="12"/>
  <c r="B1084" i="12"/>
  <c r="B14" i="12"/>
  <c r="B15" i="12"/>
  <c r="B16" i="12"/>
  <c r="B17" i="12"/>
  <c r="B18" i="12"/>
  <c r="B19" i="12"/>
  <c r="B20" i="12"/>
  <c r="B21" i="12"/>
  <c r="B5" i="12"/>
  <c r="B6" i="12"/>
  <c r="B7" i="12"/>
  <c r="B8" i="12"/>
  <c r="B10" i="12"/>
  <c r="B11" i="12"/>
  <c r="B12" i="12"/>
  <c r="B13" i="12"/>
  <c r="B4" i="12"/>
  <c r="J1211" i="6"/>
  <c r="J1210" i="6"/>
  <c r="J1208" i="6"/>
  <c r="J1207" i="6"/>
  <c r="J1205" i="6"/>
  <c r="J1202" i="6"/>
  <c r="J1201" i="6"/>
  <c r="J1197" i="6"/>
  <c r="J1196" i="6"/>
  <c r="J1193" i="6"/>
  <c r="J1192" i="6"/>
  <c r="J1188" i="6"/>
  <c r="J1187" i="6"/>
  <c r="J1184" i="6"/>
  <c r="J1181" i="6"/>
  <c r="J1178" i="6"/>
  <c r="J1175" i="6"/>
  <c r="J1172" i="6"/>
  <c r="J1171" i="6"/>
  <c r="J1170" i="6"/>
  <c r="J1169" i="6"/>
  <c r="J1167" i="6"/>
  <c r="J1166" i="6"/>
  <c r="J1165" i="6"/>
  <c r="J1163" i="6"/>
  <c r="J1157" i="6"/>
  <c r="J1151" i="6"/>
  <c r="J1145" i="6"/>
  <c r="J1143" i="6"/>
  <c r="J1142" i="6"/>
  <c r="J1141" i="6"/>
  <c r="J1139" i="6"/>
  <c r="J1136" i="6"/>
  <c r="J1135" i="6"/>
  <c r="J1130" i="6"/>
  <c r="J1122" i="6"/>
  <c r="J1121" i="6"/>
  <c r="J1118" i="6"/>
  <c r="J1112" i="6"/>
  <c r="Q8" i="4"/>
  <c r="J1109" i="6"/>
  <c r="J1103" i="6"/>
  <c r="J1100" i="6"/>
  <c r="J1097" i="6"/>
  <c r="J1095" i="6"/>
  <c r="J1094" i="6"/>
  <c r="J1088" i="6"/>
  <c r="J1085" i="6"/>
  <c r="J1082" i="6"/>
  <c r="J1079" i="6"/>
  <c r="J1067" i="6"/>
  <c r="J1066" i="6"/>
  <c r="J1064" i="6"/>
  <c r="J1063" i="6"/>
  <c r="J1058" i="6"/>
  <c r="J1055" i="6"/>
  <c r="J1054" i="6"/>
  <c r="J1052" i="6"/>
  <c r="J1049" i="6"/>
  <c r="J1046" i="6"/>
  <c r="J1042" i="6"/>
  <c r="J1040" i="6"/>
  <c r="J1037" i="6"/>
  <c r="J1033" i="6"/>
  <c r="J1031" i="6"/>
  <c r="J1028" i="6"/>
  <c r="J1027" i="6"/>
  <c r="J1026" i="6"/>
  <c r="J1025" i="6"/>
  <c r="J1022" i="6"/>
  <c r="J1015" i="6"/>
  <c r="J1010" i="6"/>
  <c r="J1008" i="6"/>
  <c r="J1005" i="6"/>
  <c r="J1002" i="6"/>
  <c r="J999" i="6"/>
  <c r="J996" i="6"/>
  <c r="J992" i="6"/>
  <c r="J990" i="6"/>
  <c r="J988" i="6"/>
  <c r="J982" i="6"/>
  <c r="J981" i="6"/>
  <c r="J980" i="6"/>
  <c r="J978" i="6"/>
  <c r="J976" i="6"/>
  <c r="J975" i="6"/>
  <c r="J973" i="6"/>
  <c r="J969" i="6"/>
  <c r="J968" i="6"/>
  <c r="J965" i="6"/>
  <c r="J964" i="6"/>
  <c r="J961" i="6"/>
  <c r="J960" i="6"/>
  <c r="J957" i="6"/>
  <c r="J954" i="6"/>
  <c r="J953" i="6"/>
  <c r="J951" i="6"/>
  <c r="J950" i="6"/>
  <c r="J949" i="6"/>
  <c r="J945" i="6"/>
  <c r="J942" i="6"/>
  <c r="J936" i="6"/>
  <c r="J933" i="6"/>
  <c r="J932" i="6"/>
  <c r="J931" i="6"/>
  <c r="J924" i="6"/>
  <c r="J921" i="6"/>
  <c r="J920" i="6"/>
  <c r="J918" i="6"/>
  <c r="J916" i="6"/>
  <c r="J914" i="6"/>
  <c r="J913" i="6"/>
  <c r="J910" i="6"/>
  <c r="J906" i="6"/>
  <c r="J904" i="6"/>
  <c r="J903" i="6"/>
  <c r="J902" i="6"/>
  <c r="J900" i="6"/>
  <c r="J894" i="6"/>
  <c r="J892" i="6"/>
  <c r="J891" i="6"/>
  <c r="J889" i="6"/>
  <c r="J888" i="6"/>
  <c r="J885" i="6"/>
  <c r="J884" i="6"/>
  <c r="J882" i="6"/>
  <c r="J879" i="6"/>
  <c r="J873" i="6"/>
  <c r="J872" i="6"/>
  <c r="J870" i="6"/>
  <c r="J869" i="6"/>
  <c r="J867" i="6"/>
  <c r="J866" i="6"/>
  <c r="J862" i="6"/>
  <c r="J858" i="6"/>
  <c r="J853" i="6"/>
  <c r="J852" i="6"/>
  <c r="J851" i="6"/>
  <c r="J847" i="6"/>
  <c r="J846" i="6"/>
  <c r="J843" i="6"/>
  <c r="J837" i="6"/>
  <c r="J834" i="6"/>
  <c r="J828" i="6"/>
  <c r="J825" i="6"/>
  <c r="J819" i="6"/>
  <c r="J818" i="6"/>
  <c r="J817" i="6"/>
  <c r="J816" i="6"/>
  <c r="J813" i="6"/>
  <c r="J811" i="6"/>
  <c r="J810" i="6"/>
  <c r="J807" i="6"/>
  <c r="J805" i="6"/>
  <c r="J801" i="6"/>
  <c r="J798" i="6"/>
  <c r="J796" i="6"/>
  <c r="J792" i="6"/>
  <c r="J787" i="6"/>
  <c r="J786" i="6"/>
  <c r="J783" i="6"/>
  <c r="Q9" i="4"/>
  <c r="J781" i="6"/>
  <c r="J780" i="6"/>
  <c r="J777" i="6"/>
  <c r="J775" i="6"/>
  <c r="J774" i="6"/>
  <c r="J765" i="6"/>
  <c r="J764" i="6"/>
  <c r="J763" i="6"/>
  <c r="J759" i="6"/>
  <c r="J758" i="6"/>
  <c r="J757" i="6"/>
  <c r="J753" i="6"/>
  <c r="J750" i="6"/>
  <c r="J747" i="6"/>
  <c r="J746" i="6"/>
  <c r="J744" i="6"/>
  <c r="J743" i="6"/>
  <c r="J741" i="6"/>
  <c r="J740" i="6"/>
  <c r="J730" i="6"/>
  <c r="J729" i="6"/>
  <c r="J723" i="6"/>
  <c r="J718" i="6"/>
  <c r="J717" i="6"/>
  <c r="J715" i="6"/>
  <c r="J713" i="6"/>
  <c r="J709" i="6"/>
  <c r="J708" i="6"/>
  <c r="J705" i="6"/>
  <c r="J702" i="6"/>
  <c r="J699" i="6"/>
  <c r="J693" i="6"/>
  <c r="J692" i="6"/>
  <c r="J690" i="6"/>
  <c r="J689" i="6"/>
  <c r="J687" i="6"/>
  <c r="J685" i="6"/>
  <c r="J684" i="6"/>
  <c r="Q4" i="4"/>
  <c r="J681" i="6"/>
  <c r="J679" i="6"/>
  <c r="J678" i="6"/>
  <c r="J673" i="6"/>
  <c r="J672" i="6"/>
  <c r="J669" i="6"/>
  <c r="J666" i="6"/>
  <c r="J663" i="6"/>
  <c r="J662" i="6"/>
  <c r="J657" i="6"/>
  <c r="J656" i="6"/>
  <c r="J654" i="6"/>
  <c r="J652" i="6"/>
  <c r="J651" i="6"/>
  <c r="J644" i="6"/>
  <c r="J642" i="6"/>
  <c r="J640" i="6"/>
  <c r="J639" i="6"/>
  <c r="J637" i="6"/>
  <c r="J633" i="6"/>
  <c r="J630" i="6"/>
  <c r="J628" i="6"/>
  <c r="J627" i="6"/>
  <c r="J621" i="6"/>
  <c r="J612" i="6"/>
  <c r="J609" i="6"/>
  <c r="J608" i="6"/>
  <c r="J604" i="6"/>
  <c r="J591" i="6"/>
  <c r="J590" i="6"/>
  <c r="J584" i="6"/>
  <c r="J581" i="6"/>
  <c r="J575" i="6"/>
  <c r="J573" i="6"/>
  <c r="J572" i="6"/>
  <c r="J570" i="6"/>
  <c r="J567" i="6"/>
  <c r="J563" i="6"/>
  <c r="J561" i="6"/>
  <c r="J555" i="6"/>
  <c r="J549" i="6"/>
  <c r="J548" i="6"/>
  <c r="J542" i="6"/>
  <c r="J536" i="6"/>
  <c r="J534" i="6"/>
  <c r="J521" i="6"/>
  <c r="J516" i="6"/>
  <c r="J513" i="6"/>
  <c r="J512" i="6"/>
  <c r="J506" i="6"/>
  <c r="J489" i="6"/>
  <c r="J482" i="6"/>
  <c r="J480" i="6"/>
  <c r="J477" i="6"/>
  <c r="J455" i="6"/>
  <c r="J446" i="6"/>
  <c r="J441" i="6"/>
  <c r="J432" i="6"/>
  <c r="J427" i="6"/>
  <c r="J423" i="6"/>
  <c r="J417" i="6"/>
  <c r="J408" i="6"/>
  <c r="J404" i="6"/>
  <c r="J400" i="6"/>
  <c r="J393" i="6"/>
  <c r="J387" i="6"/>
  <c r="J385" i="6"/>
  <c r="J382" i="6"/>
  <c r="J373" i="6"/>
  <c r="J369" i="6"/>
  <c r="J357" i="6"/>
  <c r="J352" i="6"/>
  <c r="J351" i="6"/>
  <c r="J342" i="6"/>
  <c r="J340" i="6"/>
  <c r="J339" i="6"/>
  <c r="J316" i="6"/>
  <c r="J315" i="6"/>
  <c r="J314" i="6"/>
  <c r="J299" i="6"/>
  <c r="J298" i="6"/>
  <c r="J295" i="6"/>
  <c r="J266" i="6"/>
  <c r="J256" i="6"/>
  <c r="J252" i="6"/>
  <c r="J251" i="6"/>
  <c r="J248" i="6"/>
  <c r="J246" i="6"/>
  <c r="J239" i="6"/>
  <c r="J237" i="6"/>
  <c r="J225" i="6"/>
  <c r="J213" i="6"/>
  <c r="J210" i="6"/>
  <c r="J207" i="6"/>
  <c r="J195" i="6"/>
  <c r="J192" i="6"/>
  <c r="J191" i="6"/>
  <c r="J186" i="6"/>
  <c r="J156" i="6"/>
  <c r="J147" i="6"/>
  <c r="J142" i="6"/>
  <c r="J111" i="6"/>
  <c r="J94" i="6"/>
  <c r="J85" i="6"/>
  <c r="J81" i="6"/>
  <c r="J75" i="6"/>
  <c r="J64" i="6"/>
  <c r="J46" i="6"/>
  <c r="J21" i="6"/>
  <c r="J19" i="6"/>
  <c r="J16" i="6"/>
  <c r="CG10" i="1" l="1"/>
  <c r="BZ10" i="1"/>
  <c r="BU10" i="1"/>
  <c r="BV10" i="1"/>
  <c r="BQ10" i="1"/>
  <c r="BT10" i="1"/>
  <c r="BP10" i="1"/>
  <c r="BR10" i="1"/>
  <c r="BZ4" i="1"/>
  <c r="BT4" i="1"/>
  <c r="BQ4" i="1"/>
  <c r="BS4" i="1"/>
  <c r="BP4" i="1"/>
  <c r="BR4" i="1"/>
  <c r="BV4" i="1"/>
  <c r="BU4" i="1"/>
  <c r="BZ28" i="1"/>
  <c r="BR28" i="1"/>
  <c r="BT28" i="1"/>
  <c r="BS28" i="1"/>
  <c r="BV28" i="1"/>
  <c r="BU28" i="1"/>
  <c r="BQ28" i="1"/>
  <c r="BP28" i="1"/>
  <c r="BZ12" i="1"/>
  <c r="BR12" i="1"/>
  <c r="BT12" i="1"/>
  <c r="BU12" i="1"/>
  <c r="BV12" i="1"/>
  <c r="BS12" i="1"/>
  <c r="BP12" i="1"/>
  <c r="BQ12" i="1"/>
  <c r="CG21" i="1"/>
  <c r="BT21" i="1"/>
  <c r="BU21" i="1"/>
  <c r="BV21" i="1"/>
  <c r="BS21" i="1"/>
  <c r="BQ21" i="1"/>
  <c r="BR21" i="1"/>
  <c r="BP21" i="1"/>
  <c r="CG30" i="1"/>
  <c r="BT30" i="1"/>
  <c r="BU30" i="1"/>
  <c r="BV30" i="1"/>
  <c r="BP30" i="1"/>
  <c r="BS30" i="1"/>
  <c r="BQ30" i="1"/>
  <c r="BR30" i="1"/>
  <c r="BZ26" i="1"/>
  <c r="BS26" i="1"/>
  <c r="BT26" i="1"/>
  <c r="BU26" i="1"/>
  <c r="BQ26" i="1"/>
  <c r="BR26" i="1"/>
  <c r="BV26" i="1"/>
  <c r="BP26" i="1"/>
  <c r="BZ23" i="1"/>
  <c r="BX12" i="1"/>
  <c r="CE28" i="1"/>
  <c r="CB23" i="1"/>
  <c r="CF28" i="1"/>
  <c r="CD12" i="1"/>
  <c r="CC26" i="1"/>
  <c r="BW7" i="1"/>
  <c r="CD26" i="1"/>
  <c r="CI30" i="1"/>
  <c r="CB21" i="1"/>
  <c r="BX21" i="1"/>
  <c r="BZ30" i="1"/>
  <c r="BZ21" i="1"/>
  <c r="CF7" i="1"/>
  <c r="CE7" i="1"/>
  <c r="CG12" i="1"/>
  <c r="BY23" i="1"/>
  <c r="CH30" i="1"/>
  <c r="CI7" i="1"/>
  <c r="CG28" i="1"/>
  <c r="CG26" i="1"/>
  <c r="CH23" i="1"/>
  <c r="CJ23" i="1"/>
  <c r="BY30" i="1"/>
  <c r="CG7" i="1"/>
  <c r="BW21" i="1"/>
  <c r="CC12" i="1"/>
  <c r="BX23" i="1"/>
  <c r="CC30" i="1"/>
  <c r="CA28" i="1"/>
  <c r="CF12" i="1"/>
  <c r="CJ7" i="1"/>
  <c r="CJ21" i="1"/>
  <c r="CH26" i="1"/>
  <c r="CH21" i="1"/>
  <c r="CJ28" i="1"/>
  <c r="CA12" i="1"/>
  <c r="CF26" i="1"/>
  <c r="CD23" i="1"/>
  <c r="CE26" i="1"/>
  <c r="CD30" i="1"/>
  <c r="CH7" i="1"/>
  <c r="CD28" i="1"/>
  <c r="BZ5" i="1"/>
  <c r="BQ38" i="1"/>
  <c r="BT38" i="1"/>
  <c r="CE6" i="1"/>
  <c r="BP38" i="1"/>
  <c r="CI6" i="1"/>
  <c r="CJ5" i="1"/>
  <c r="CF51" i="1"/>
  <c r="CC41" i="1"/>
  <c r="CE35" i="1"/>
  <c r="BR38" i="1"/>
  <c r="CA41" i="1"/>
  <c r="CA4" i="1"/>
  <c r="CD42" i="1"/>
  <c r="CG35" i="1"/>
  <c r="BS38" i="1"/>
  <c r="CB4" i="1"/>
  <c r="CA42" i="1"/>
  <c r="CH5" i="1"/>
  <c r="CA51" i="1"/>
  <c r="BY42" i="1"/>
  <c r="BX39" i="1"/>
  <c r="CH39" i="1"/>
  <c r="CJ6" i="1"/>
  <c r="BW38" i="1"/>
  <c r="CG42" i="1"/>
  <c r="CJ39" i="1"/>
  <c r="CH35" i="1"/>
  <c r="CE38" i="1"/>
  <c r="CF49" i="1"/>
  <c r="CG6" i="1"/>
  <c r="CG38" i="1"/>
  <c r="CC38" i="1"/>
  <c r="BZ49" i="1"/>
  <c r="CD4" i="1"/>
  <c r="CF6" i="1"/>
  <c r="BX41" i="1"/>
  <c r="CG4" i="1"/>
  <c r="CC51" i="1"/>
  <c r="CB34" i="1"/>
  <c r="CI34" i="1"/>
  <c r="CD36" i="1"/>
  <c r="BW36" i="1"/>
  <c r="BW41" i="1"/>
  <c r="BX42" i="1"/>
  <c r="BW49" i="1"/>
  <c r="BW39" i="1"/>
  <c r="CB51" i="1"/>
  <c r="CD6" i="1"/>
  <c r="CF5" i="1"/>
  <c r="CD38" i="1"/>
  <c r="CH36" i="1"/>
  <c r="CA36" i="1"/>
  <c r="BY41" i="1"/>
  <c r="CD5" i="1"/>
  <c r="BU38" i="1"/>
  <c r="CJ36" i="1"/>
  <c r="CC36" i="1"/>
  <c r="BZ34" i="1"/>
  <c r="CG34" i="1"/>
  <c r="CC49" i="1"/>
  <c r="CI39" i="1"/>
  <c r="BZ51" i="1"/>
  <c r="CB35" i="1"/>
  <c r="CA6" i="1"/>
  <c r="CB38" i="1"/>
  <c r="CC34" i="1"/>
  <c r="CJ34" i="1"/>
  <c r="CG41" i="1"/>
  <c r="CG49" i="1"/>
  <c r="BZ35" i="1"/>
  <c r="CI5" i="1"/>
  <c r="CF34" i="1"/>
  <c r="BY34" i="1"/>
  <c r="CA34" i="1"/>
  <c r="CH34" i="1"/>
  <c r="BY4" i="1"/>
  <c r="CJ42" i="1"/>
  <c r="CI49" i="1"/>
  <c r="BX38" i="1"/>
  <c r="BZ39" i="1"/>
  <c r="CE4" i="1"/>
  <c r="CD51" i="1"/>
  <c r="BX34" i="1"/>
  <c r="CE34" i="1"/>
  <c r="BY36" i="1"/>
  <c r="CF36" i="1"/>
  <c r="CG36" i="1"/>
  <c r="BZ36" i="1"/>
  <c r="CB42" i="1"/>
  <c r="CD35" i="1"/>
  <c r="CF35" i="1"/>
  <c r="BX49" i="1"/>
  <c r="BY38" i="1"/>
  <c r="CE36" i="1"/>
  <c r="BX36" i="1"/>
  <c r="BW34" i="1"/>
  <c r="CD34" i="1"/>
  <c r="CG51" i="1"/>
  <c r="CF38" i="1"/>
  <c r="BT39" i="1"/>
  <c r="BU36" i="1"/>
  <c r="BP36" i="1"/>
  <c r="BQ39" i="1"/>
  <c r="BP51" i="1"/>
  <c r="BV51" i="1"/>
  <c r="BR39" i="1"/>
  <c r="BS36" i="1"/>
  <c r="BS51" i="1"/>
  <c r="BP41" i="1"/>
  <c r="BU51" i="1"/>
  <c r="BQ36" i="1"/>
  <c r="BU39" i="1"/>
  <c r="BR36" i="1"/>
  <c r="BT36" i="1"/>
  <c r="BV35" i="1"/>
  <c r="BV38" i="1"/>
  <c r="BS39" i="1"/>
  <c r="BR51" i="1"/>
  <c r="BP39" i="1"/>
  <c r="BS41" i="1"/>
  <c r="BT51" i="1"/>
  <c r="BU41" i="1"/>
  <c r="BT41" i="1"/>
  <c r="BQ41" i="1"/>
  <c r="BR41" i="1"/>
  <c r="BU35" i="1"/>
  <c r="BV41" i="1"/>
  <c r="BR34" i="1"/>
  <c r="BS34" i="1"/>
  <c r="BP34" i="1"/>
  <c r="BT34" i="1"/>
  <c r="BQ34" i="1"/>
  <c r="BV34" i="1"/>
  <c r="BU34" i="1"/>
  <c r="BV36" i="1"/>
  <c r="BV39" i="1"/>
  <c r="BT35" i="1"/>
  <c r="BQ35" i="1"/>
  <c r="BR35" i="1"/>
  <c r="BP35" i="1"/>
  <c r="BP49" i="1"/>
  <c r="BU49" i="1"/>
  <c r="BR49" i="1"/>
  <c r="BS49" i="1"/>
  <c r="BV49" i="1"/>
  <c r="BQ49" i="1"/>
  <c r="BS42" i="1"/>
  <c r="BR42" i="1"/>
  <c r="BT42" i="1"/>
  <c r="BP42" i="1"/>
  <c r="BU42" i="1"/>
  <c r="BV42" i="1"/>
  <c r="BQ42" i="1"/>
  <c r="J797" i="6"/>
  <c r="J726" i="6"/>
  <c r="J714" i="6"/>
  <c r="J930" i="6"/>
  <c r="J1098" i="6"/>
  <c r="J641" i="6"/>
  <c r="J857" i="6"/>
  <c r="J1018" i="6"/>
  <c r="J366" i="6"/>
  <c r="J896" i="6"/>
  <c r="J1076" i="6"/>
  <c r="J934" i="6"/>
  <c r="J1150" i="6"/>
  <c r="J322" i="6"/>
  <c r="J560" i="6"/>
  <c r="J1017" i="6"/>
  <c r="J214" i="6"/>
  <c r="J394" i="6"/>
  <c r="J190" i="6"/>
  <c r="J9" i="6"/>
  <c r="J646" i="6"/>
  <c r="J788" i="6"/>
  <c r="J766" i="6"/>
  <c r="J814" i="6"/>
  <c r="J826" i="6"/>
  <c r="J680" i="6"/>
  <c r="J1138" i="6"/>
  <c r="J994" i="6"/>
  <c r="J1041" i="6"/>
  <c r="J860" i="6"/>
  <c r="J1124" i="6"/>
  <c r="J178" i="6"/>
  <c r="J647" i="6"/>
  <c r="J83" i="6"/>
  <c r="J1091" i="6"/>
  <c r="J971" i="6"/>
  <c r="J35" i="6"/>
  <c r="J263" i="6"/>
  <c r="J323" i="6"/>
  <c r="J671" i="6"/>
  <c r="J767" i="6"/>
  <c r="J923" i="6"/>
  <c r="J1007" i="6"/>
  <c r="J1199" i="6"/>
  <c r="J995" i="6"/>
  <c r="J875" i="6"/>
  <c r="J119" i="6"/>
  <c r="J335" i="6"/>
  <c r="J467" i="6"/>
  <c r="J491" i="6"/>
  <c r="J515" i="6"/>
  <c r="J551" i="6"/>
  <c r="J719" i="6"/>
  <c r="J815" i="6"/>
  <c r="J947" i="6"/>
  <c r="J1043" i="6"/>
  <c r="J1164" i="6"/>
  <c r="J540" i="6"/>
  <c r="J51" i="6"/>
  <c r="J564" i="6"/>
  <c r="J600" i="6"/>
  <c r="J492" i="6"/>
  <c r="J1068" i="6"/>
  <c r="J868" i="6"/>
  <c r="J436" i="6"/>
  <c r="J372" i="6"/>
  <c r="J312" i="6"/>
  <c r="J1182" i="6"/>
  <c r="J220" i="6"/>
  <c r="J620" i="6"/>
  <c r="J22" i="6"/>
  <c r="J501" i="6"/>
  <c r="J334" i="6"/>
  <c r="J307" i="6"/>
  <c r="J859" i="6"/>
  <c r="J367" i="6"/>
  <c r="J260" i="6"/>
  <c r="J478" i="6"/>
  <c r="J430" i="6"/>
  <c r="J346" i="6"/>
  <c r="J286" i="6"/>
  <c r="J405" i="6"/>
  <c r="J166" i="6"/>
  <c r="J1030" i="6"/>
  <c r="J970" i="6"/>
  <c r="J956" i="6"/>
  <c r="J895" i="6"/>
  <c r="J668" i="6"/>
  <c r="J310" i="6"/>
  <c r="J23" i="6"/>
  <c r="J655" i="6"/>
  <c r="J1099" i="6"/>
  <c r="J526" i="6"/>
  <c r="J274" i="6"/>
  <c r="J155" i="6"/>
  <c r="J59" i="6"/>
  <c r="J201" i="6"/>
  <c r="J33" i="6"/>
  <c r="J165" i="6"/>
  <c r="J129" i="6"/>
  <c r="J93" i="6"/>
  <c r="J56" i="6"/>
  <c r="J153" i="6"/>
  <c r="J117" i="6"/>
  <c r="J152" i="6"/>
  <c r="J31" i="6"/>
  <c r="J128" i="6"/>
  <c r="J68" i="6"/>
  <c r="J140" i="6"/>
  <c r="J919" i="6"/>
  <c r="J283" i="6"/>
  <c r="J1147" i="6"/>
  <c r="J631" i="6"/>
  <c r="J355" i="6"/>
  <c r="J1183" i="6"/>
  <c r="J1087" i="6"/>
  <c r="J583" i="6"/>
  <c r="J271" i="6"/>
  <c r="J1195" i="6"/>
  <c r="J1123" i="6"/>
  <c r="J667" i="6"/>
  <c r="J319" i="6"/>
  <c r="Q6" i="4"/>
  <c r="J67" i="6"/>
  <c r="J174" i="6"/>
  <c r="J71" i="6"/>
  <c r="J370" i="6"/>
  <c r="J494" i="6"/>
  <c r="J182" i="6"/>
  <c r="J1048" i="6"/>
  <c r="J196" i="6"/>
  <c r="J1072" i="6"/>
  <c r="J925" i="6"/>
  <c r="J841" i="6"/>
  <c r="J809" i="6"/>
  <c r="J471" i="6"/>
  <c r="J435" i="6"/>
  <c r="J377" i="6"/>
  <c r="J279" i="6"/>
  <c r="J112" i="6"/>
  <c r="J160" i="6"/>
  <c r="J1203" i="6"/>
  <c r="J1084" i="6"/>
  <c r="J725" i="6"/>
  <c r="J697" i="6"/>
  <c r="J638" i="6"/>
  <c r="J543" i="6"/>
  <c r="J350" i="6"/>
  <c r="J231" i="6"/>
  <c r="J88" i="6"/>
  <c r="J41" i="6"/>
  <c r="J49" i="6"/>
  <c r="J421" i="6"/>
  <c r="J589" i="6"/>
  <c r="J793" i="6"/>
  <c r="J865" i="6"/>
  <c r="J1081" i="6"/>
  <c r="J613" i="6"/>
  <c r="J470" i="6"/>
  <c r="J650" i="6"/>
  <c r="J722" i="6"/>
  <c r="J794" i="6"/>
  <c r="J1190" i="6"/>
  <c r="J27" i="6"/>
  <c r="J507" i="6"/>
  <c r="J531" i="6"/>
  <c r="J855" i="6"/>
  <c r="J927" i="6"/>
  <c r="J1059" i="6"/>
  <c r="J1011" i="6"/>
  <c r="J219" i="6"/>
  <c r="J76" i="6"/>
  <c r="J376" i="6"/>
  <c r="J748" i="6"/>
  <c r="J1154" i="6"/>
  <c r="J437" i="6"/>
  <c r="J473" i="6"/>
  <c r="J833" i="6"/>
  <c r="J1013" i="6"/>
  <c r="J664" i="6"/>
  <c r="J363" i="6"/>
  <c r="J292" i="6"/>
  <c r="J278" i="6"/>
  <c r="J124" i="6"/>
  <c r="J890" i="6"/>
  <c r="J389" i="6"/>
  <c r="J171" i="6"/>
  <c r="J74" i="6"/>
  <c r="J13" i="6"/>
  <c r="J397" i="6"/>
  <c r="J433" i="6"/>
  <c r="J553" i="6"/>
  <c r="J601" i="6"/>
  <c r="J50" i="6"/>
  <c r="J86" i="6"/>
  <c r="J122" i="6"/>
  <c r="J530" i="6"/>
  <c r="J698" i="6"/>
  <c r="J39" i="6"/>
  <c r="J183" i="6"/>
  <c r="J255" i="6"/>
  <c r="J675" i="6"/>
  <c r="Q5" i="4"/>
  <c r="J735" i="6"/>
  <c r="J963" i="6"/>
  <c r="J172" i="6"/>
  <c r="J388" i="6"/>
  <c r="J712" i="6"/>
  <c r="J856" i="6"/>
  <c r="J1060" i="6"/>
  <c r="J17" i="6"/>
  <c r="J53" i="6"/>
  <c r="J617" i="6"/>
  <c r="J62" i="6"/>
  <c r="J1120" i="6"/>
  <c r="J831" i="6"/>
  <c r="J773" i="6"/>
  <c r="J603" i="6"/>
  <c r="J303" i="6"/>
  <c r="J230" i="6"/>
  <c r="J97" i="6"/>
  <c r="J229" i="6"/>
  <c r="J409" i="6"/>
  <c r="J445" i="6"/>
  <c r="J661" i="6"/>
  <c r="J997" i="6"/>
  <c r="J1009" i="6"/>
  <c r="J1045" i="6"/>
  <c r="J1069" i="6"/>
  <c r="J38" i="6"/>
  <c r="J974" i="6"/>
  <c r="J998" i="6"/>
  <c r="J1034" i="6"/>
  <c r="J1070" i="6"/>
  <c r="J519" i="6"/>
  <c r="J987" i="6"/>
  <c r="J1117" i="6"/>
  <c r="J28" i="6"/>
  <c r="J136" i="6"/>
  <c r="J280" i="6"/>
  <c r="J616" i="6"/>
  <c r="J688" i="6"/>
  <c r="J760" i="6"/>
  <c r="J772" i="6"/>
  <c r="J1108" i="6"/>
  <c r="J242" i="6"/>
  <c r="J221" i="6"/>
  <c r="J365" i="6"/>
  <c r="J449" i="6"/>
  <c r="J593" i="6"/>
  <c r="J629" i="6"/>
  <c r="J665" i="6"/>
  <c r="J821" i="6"/>
  <c r="J845" i="6"/>
  <c r="J1133" i="6"/>
  <c r="J1106" i="6"/>
  <c r="J917" i="6"/>
  <c r="J1050" i="6"/>
  <c r="J1014" i="6"/>
  <c r="J354" i="6"/>
  <c r="J222" i="6"/>
  <c r="J127" i="6"/>
  <c r="J486" i="6"/>
  <c r="J276" i="6"/>
  <c r="J264" i="6"/>
  <c r="J259" i="6"/>
  <c r="J535" i="6"/>
  <c r="J463" i="6"/>
  <c r="J228" i="6"/>
  <c r="J414" i="6"/>
  <c r="J91" i="6"/>
  <c r="J1186" i="6"/>
  <c r="J731" i="6"/>
  <c r="J701" i="6"/>
  <c r="J522" i="6"/>
  <c r="J25" i="6"/>
  <c r="J871" i="6"/>
  <c r="J721" i="6"/>
  <c r="J456" i="6"/>
  <c r="J8" i="6"/>
  <c r="J1104" i="6"/>
  <c r="J1089" i="6"/>
  <c r="J806" i="6"/>
  <c r="J739" i="6"/>
  <c r="J538" i="6"/>
  <c r="J444" i="6"/>
  <c r="J396" i="6"/>
  <c r="J391" i="6"/>
  <c r="J331" i="6"/>
  <c r="J253" i="6"/>
  <c r="J243" i="6"/>
  <c r="J135" i="6"/>
  <c r="J381" i="6"/>
  <c r="J130" i="6"/>
  <c r="J116" i="6"/>
  <c r="J101" i="6"/>
  <c r="J15" i="6"/>
  <c r="J566" i="6"/>
  <c r="J524" i="6"/>
  <c r="J504" i="6"/>
  <c r="J358" i="6"/>
  <c r="J238" i="6"/>
  <c r="J209" i="6"/>
  <c r="J199" i="6"/>
  <c r="J105" i="6"/>
  <c r="J14" i="6"/>
  <c r="J991" i="6"/>
  <c r="J848" i="6"/>
  <c r="J527" i="6"/>
  <c r="J343" i="6"/>
  <c r="J1191" i="6"/>
  <c r="J1146" i="6"/>
  <c r="J922" i="6"/>
  <c r="J883" i="6"/>
  <c r="J844" i="6"/>
  <c r="J707" i="6"/>
  <c r="J442" i="6"/>
  <c r="J304" i="6"/>
  <c r="J208" i="6"/>
  <c r="J133" i="6"/>
  <c r="J109" i="6"/>
  <c r="J104" i="6"/>
  <c r="J80" i="6"/>
  <c r="J5" i="6"/>
  <c r="J1160" i="6"/>
  <c r="J1073" i="6"/>
  <c r="J803" i="6"/>
  <c r="J476" i="6"/>
  <c r="J289" i="6"/>
  <c r="J1204" i="6"/>
  <c r="J1200" i="6"/>
  <c r="J1180" i="6"/>
  <c r="J1168" i="6"/>
  <c r="J1155" i="6"/>
  <c r="J1134" i="6"/>
  <c r="J1125" i="6"/>
  <c r="J1051" i="6"/>
  <c r="J1004" i="6"/>
  <c r="J1000" i="6"/>
  <c r="J716" i="6"/>
  <c r="J598" i="6"/>
  <c r="J398" i="6"/>
  <c r="J371" i="6"/>
  <c r="J232" i="6"/>
  <c r="J223" i="6"/>
  <c r="J175" i="6"/>
  <c r="J98" i="6"/>
  <c r="J89" i="6"/>
  <c r="J57" i="6"/>
  <c r="J52" i="6"/>
  <c r="J20" i="6"/>
  <c r="J11" i="6"/>
  <c r="J7" i="6"/>
  <c r="J1159" i="6"/>
  <c r="J1116" i="6"/>
  <c r="J1090" i="6"/>
  <c r="J1086" i="6"/>
  <c r="J1077" i="6"/>
  <c r="J1012" i="6"/>
  <c r="J983" i="6"/>
  <c r="J967" i="6"/>
  <c r="J940" i="6"/>
  <c r="J944" i="6"/>
  <c r="J909" i="6"/>
  <c r="J886" i="6"/>
  <c r="J682" i="6"/>
  <c r="J602" i="6"/>
  <c r="J568" i="6"/>
  <c r="J532" i="6"/>
  <c r="J485" i="6"/>
  <c r="J402" i="6"/>
  <c r="J324" i="6"/>
  <c r="J184" i="6"/>
  <c r="J1179" i="6"/>
  <c r="J898" i="6"/>
  <c r="J545" i="6"/>
  <c r="J356" i="6"/>
  <c r="J189" i="6"/>
  <c r="J61" i="6"/>
  <c r="J32" i="6"/>
  <c r="J1174" i="6"/>
  <c r="J1158" i="6"/>
  <c r="J1115" i="6"/>
  <c r="J1102" i="6"/>
  <c r="J1019" i="6"/>
  <c r="J1003" i="6"/>
  <c r="J952" i="6"/>
  <c r="J943" i="6"/>
  <c r="J908" i="6"/>
  <c r="J576" i="6"/>
  <c r="J459" i="6"/>
  <c r="J328" i="6"/>
  <c r="J268" i="6"/>
  <c r="J154" i="6"/>
  <c r="J106" i="6"/>
  <c r="J1156" i="6"/>
  <c r="J1001" i="6"/>
  <c r="J1206" i="6"/>
  <c r="J1080" i="6"/>
  <c r="J1071" i="6"/>
  <c r="J986" i="6"/>
  <c r="J893" i="6"/>
  <c r="J861" i="6"/>
  <c r="J823" i="6"/>
  <c r="J782" i="6"/>
  <c r="J493" i="6"/>
  <c r="J464" i="6"/>
  <c r="J333" i="6"/>
  <c r="J296" i="6"/>
  <c r="J273" i="6"/>
  <c r="J244" i="6"/>
  <c r="J240" i="6"/>
  <c r="J65" i="6"/>
  <c r="J1127" i="6"/>
  <c r="J1114" i="6"/>
  <c r="J1062" i="6"/>
  <c r="J1036" i="6"/>
  <c r="J1032" i="6"/>
  <c r="J1023" i="6"/>
  <c r="J929" i="6"/>
  <c r="J648" i="6"/>
  <c r="J586" i="6"/>
  <c r="J498" i="6"/>
  <c r="J458" i="6"/>
  <c r="J424" i="6"/>
  <c r="J419" i="6"/>
  <c r="J300" i="6"/>
  <c r="J158" i="6"/>
  <c r="J115" i="6"/>
  <c r="J110" i="6"/>
  <c r="J69" i="6"/>
  <c r="J1209" i="6"/>
  <c r="J1194" i="6"/>
  <c r="J1161" i="6"/>
  <c r="J1105" i="6"/>
  <c r="J955" i="6"/>
  <c r="J946" i="6"/>
  <c r="J653" i="6"/>
  <c r="J386" i="6"/>
  <c r="J277" i="6"/>
  <c r="J40" i="6"/>
  <c r="J1177" i="6"/>
  <c r="J1173" i="6"/>
  <c r="J1148" i="6"/>
  <c r="J1144" i="6"/>
  <c r="J1140" i="6"/>
  <c r="J1131" i="6"/>
  <c r="J1126" i="6"/>
  <c r="J1044" i="6"/>
  <c r="J1035" i="6"/>
  <c r="J959" i="6"/>
  <c r="J911" i="6"/>
  <c r="J901" i="6"/>
  <c r="J790" i="6"/>
  <c r="J736" i="6"/>
  <c r="J429" i="6"/>
  <c r="J309" i="6"/>
  <c r="J77" i="6"/>
  <c r="J73" i="6"/>
  <c r="J1152" i="6"/>
  <c r="J1113" i="6"/>
  <c r="J1096" i="6"/>
  <c r="J1061" i="6"/>
  <c r="J832" i="6"/>
  <c r="J756" i="6"/>
  <c r="J622" i="6"/>
  <c r="J594" i="6"/>
  <c r="J557" i="6"/>
  <c r="J123" i="6"/>
  <c r="J118" i="6"/>
  <c r="J44" i="6"/>
  <c r="J47" i="6"/>
  <c r="J43" i="6"/>
  <c r="J10" i="6"/>
  <c r="J579" i="6"/>
  <c r="J547" i="6"/>
  <c r="J518" i="6"/>
  <c r="J466" i="6"/>
  <c r="J453" i="6"/>
  <c r="J413" i="6"/>
  <c r="J362" i="6"/>
  <c r="J291" i="6"/>
  <c r="J218" i="6"/>
  <c r="J170" i="6"/>
  <c r="J134" i="6"/>
  <c r="J121" i="6"/>
  <c r="J100" i="6"/>
  <c r="J92" i="6"/>
  <c r="J63" i="6"/>
  <c r="J55" i="6"/>
  <c r="J34" i="6"/>
  <c r="J26" i="6"/>
  <c r="J262" i="6"/>
  <c r="J233" i="6"/>
  <c r="J177" i="6"/>
  <c r="J173" i="6"/>
  <c r="J137" i="6"/>
  <c r="J87" i="6"/>
  <c r="J79" i="6"/>
  <c r="J58" i="6"/>
  <c r="J29" i="6"/>
  <c r="J1132" i="6"/>
  <c r="J1107" i="6"/>
  <c r="J1078" i="6"/>
  <c r="J1053" i="6"/>
  <c r="J1024" i="6"/>
  <c r="J935" i="6"/>
  <c r="J878" i="6"/>
  <c r="J874" i="6"/>
  <c r="J824" i="6"/>
  <c r="J779" i="6"/>
  <c r="J752" i="6"/>
  <c r="J587" i="6"/>
  <c r="J517" i="6"/>
  <c r="J465" i="6"/>
  <c r="J452" i="6"/>
  <c r="J425" i="6"/>
  <c r="J383" i="6"/>
  <c r="J361" i="6"/>
  <c r="J325" i="6"/>
  <c r="J317" i="6"/>
  <c r="J294" i="6"/>
  <c r="J258" i="6"/>
  <c r="J254" i="6"/>
  <c r="J194" i="6"/>
  <c r="J99" i="6"/>
  <c r="J854" i="6"/>
  <c r="J850" i="6"/>
  <c r="J808" i="6"/>
  <c r="J799" i="6"/>
  <c r="J703" i="6"/>
  <c r="J695" i="6"/>
  <c r="J691" i="6"/>
  <c r="J674" i="6"/>
  <c r="J632" i="6"/>
  <c r="J623" i="6"/>
  <c r="J615" i="6"/>
  <c r="J611" i="6"/>
  <c r="J607" i="6"/>
  <c r="J599" i="6"/>
  <c r="J562" i="6"/>
  <c r="J554" i="6"/>
  <c r="J525" i="6"/>
  <c r="J508" i="6"/>
  <c r="J481" i="6"/>
  <c r="J468" i="6"/>
  <c r="J447" i="6"/>
  <c r="J379" i="6"/>
  <c r="J364" i="6"/>
  <c r="J349" i="6"/>
  <c r="J345" i="6"/>
  <c r="J341" i="6"/>
  <c r="J337" i="6"/>
  <c r="J313" i="6"/>
  <c r="J301" i="6"/>
  <c r="J281" i="6"/>
  <c r="J265" i="6"/>
  <c r="J202" i="6"/>
  <c r="J181" i="6"/>
  <c r="J164" i="6"/>
  <c r="J159" i="6"/>
  <c r="J146" i="6"/>
  <c r="J141" i="6"/>
  <c r="J107" i="6"/>
  <c r="J103" i="6"/>
  <c r="J82" i="6"/>
  <c r="J70" i="6"/>
  <c r="J45" i="6"/>
  <c r="J37" i="6"/>
  <c r="J4" i="6"/>
  <c r="J820" i="6"/>
  <c r="J791" i="6"/>
  <c r="J577" i="6"/>
  <c r="J565" i="6"/>
  <c r="J558" i="6"/>
  <c r="J541" i="6"/>
  <c r="J490" i="6"/>
  <c r="J472" i="6"/>
  <c r="J411" i="6"/>
  <c r="J407" i="6"/>
  <c r="J403" i="6"/>
  <c r="J375" i="6"/>
  <c r="J285" i="6"/>
  <c r="J241" i="6"/>
  <c r="J267" i="6"/>
  <c r="J227" i="6"/>
  <c r="J200" i="6"/>
  <c r="J187" i="6"/>
  <c r="J126" i="6"/>
  <c r="J84" i="6"/>
  <c r="J72" i="6"/>
  <c r="J1137" i="6"/>
  <c r="J1119" i="6"/>
  <c r="J1101" i="6"/>
  <c r="J1083" i="6"/>
  <c r="J1065" i="6"/>
  <c r="J1047" i="6"/>
  <c r="J1029" i="6"/>
  <c r="J938" i="6"/>
  <c r="J905" i="6"/>
  <c r="J897" i="6"/>
  <c r="J771" i="6"/>
  <c r="J624" i="6"/>
  <c r="J569" i="6"/>
  <c r="J502" i="6"/>
  <c r="J415" i="6"/>
  <c r="J326" i="6"/>
  <c r="J318" i="6"/>
  <c r="J993" i="6"/>
  <c r="J989" i="6"/>
  <c r="J912" i="6"/>
  <c r="J840" i="6"/>
  <c r="J755" i="6"/>
  <c r="J711" i="6"/>
  <c r="J585" i="6"/>
  <c r="J514" i="6"/>
  <c r="J330" i="6"/>
  <c r="J830" i="6"/>
  <c r="J761" i="6"/>
  <c r="J495" i="6"/>
  <c r="J206" i="6"/>
  <c r="J979" i="6"/>
  <c r="J728" i="6"/>
  <c r="J499" i="6"/>
  <c r="J272" i="6"/>
  <c r="J188" i="6"/>
  <c r="J625" i="6"/>
  <c r="J727" i="6"/>
  <c r="J597" i="6"/>
  <c r="J311" i="6"/>
  <c r="J1212" i="6"/>
  <c r="J1189" i="6"/>
  <c r="J1176" i="6"/>
  <c r="J1153" i="6"/>
  <c r="J1129" i="6"/>
  <c r="J1111" i="6"/>
  <c r="J1093" i="6"/>
  <c r="J1075" i="6"/>
  <c r="J1057" i="6"/>
  <c r="J1039" i="6"/>
  <c r="J1021" i="6"/>
  <c r="J985" i="6"/>
  <c r="J977" i="6"/>
  <c r="J948" i="6"/>
  <c r="J941" i="6"/>
  <c r="J937" i="6"/>
  <c r="J926" i="6"/>
  <c r="J835" i="6"/>
  <c r="J827" i="6"/>
  <c r="J800" i="6"/>
  <c r="J789" i="6"/>
  <c r="J770" i="6"/>
  <c r="J706" i="6"/>
  <c r="J636" i="6"/>
  <c r="J588" i="6"/>
  <c r="J529" i="6"/>
  <c r="J509" i="6"/>
  <c r="J460" i="6"/>
  <c r="J418" i="6"/>
  <c r="J1016" i="6"/>
  <c r="J849" i="6"/>
  <c r="J822" i="6"/>
  <c r="J745" i="6"/>
  <c r="J180" i="6"/>
  <c r="J102" i="6"/>
  <c r="J864" i="6"/>
  <c r="J48" i="6"/>
  <c r="J928" i="6"/>
  <c r="J829" i="6"/>
  <c r="J732" i="6"/>
  <c r="J696" i="6"/>
  <c r="J605" i="6"/>
  <c r="J559" i="6"/>
  <c r="J450" i="6"/>
  <c r="J380" i="6"/>
  <c r="J288" i="6"/>
  <c r="J179" i="6"/>
  <c r="J574" i="6"/>
  <c r="J503" i="6"/>
  <c r="J457" i="6"/>
  <c r="J966" i="6"/>
  <c r="J962" i="6"/>
  <c r="J958" i="6"/>
  <c r="J881" i="6"/>
  <c r="J839" i="6"/>
  <c r="J804" i="6"/>
  <c r="J754" i="6"/>
  <c r="J742" i="6"/>
  <c r="J710" i="6"/>
  <c r="J694" i="6"/>
  <c r="J595" i="6"/>
  <c r="J580" i="6"/>
  <c r="J505" i="6"/>
  <c r="J426" i="6"/>
  <c r="J422" i="6"/>
  <c r="J348" i="6"/>
  <c r="J329" i="6"/>
  <c r="J915" i="6"/>
  <c r="J738" i="6"/>
  <c r="J635" i="6"/>
  <c r="J619" i="6"/>
  <c r="J528" i="6"/>
  <c r="J488" i="6"/>
  <c r="J359" i="6"/>
  <c r="J336" i="6"/>
  <c r="J321" i="6"/>
  <c r="J972" i="6"/>
  <c r="J392" i="6"/>
  <c r="J163" i="6"/>
  <c r="J145" i="6"/>
  <c r="J36" i="6"/>
  <c r="J795" i="6"/>
  <c r="J720" i="6"/>
  <c r="J704" i="6"/>
  <c r="J626" i="6"/>
  <c r="J284" i="6"/>
  <c r="J677" i="6"/>
  <c r="J539" i="6"/>
  <c r="J162" i="6"/>
  <c r="J144" i="6"/>
  <c r="J939" i="6"/>
  <c r="J676" i="6"/>
  <c r="J645" i="6"/>
  <c r="J1198" i="6"/>
  <c r="J1185" i="6"/>
  <c r="J1162" i="6"/>
  <c r="J1149" i="6"/>
  <c r="J1006" i="6"/>
  <c r="J907" i="6"/>
  <c r="J876" i="6"/>
  <c r="J842" i="6"/>
  <c r="J838" i="6"/>
  <c r="J784" i="6"/>
  <c r="J776" i="6"/>
  <c r="J762" i="6"/>
  <c r="J749" i="6"/>
  <c r="J733" i="6"/>
  <c r="J686" i="6"/>
  <c r="J670" i="6"/>
  <c r="J658" i="6"/>
  <c r="J643" i="6"/>
  <c r="J610" i="6"/>
  <c r="J606" i="6"/>
  <c r="J544" i="6"/>
  <c r="J483" i="6"/>
  <c r="J1128" i="6"/>
  <c r="J1110" i="6"/>
  <c r="J1092" i="6"/>
  <c r="J1074" i="6"/>
  <c r="J1056" i="6"/>
  <c r="J1038" i="6"/>
  <c r="J1020" i="6"/>
  <c r="J984" i="6"/>
  <c r="J899" i="6"/>
  <c r="J880" i="6"/>
  <c r="J769" i="6"/>
  <c r="J737" i="6"/>
  <c r="J634" i="6"/>
  <c r="J552" i="6"/>
  <c r="J487" i="6"/>
  <c r="J479" i="6"/>
  <c r="J475" i="6"/>
  <c r="J443" i="6"/>
  <c r="J438" i="6"/>
  <c r="J434" i="6"/>
  <c r="J347" i="6"/>
  <c r="J332" i="6"/>
  <c r="J204" i="6"/>
  <c r="J138" i="6"/>
  <c r="J30" i="6"/>
  <c r="J18" i="6"/>
  <c r="J523" i="6"/>
  <c r="J497" i="6"/>
  <c r="J474" i="6"/>
  <c r="J406" i="6"/>
  <c r="J282" i="6"/>
  <c r="J226" i="6"/>
  <c r="J660" i="6"/>
  <c r="J428" i="6"/>
  <c r="J420" i="6"/>
  <c r="J390" i="6"/>
  <c r="J297" i="6"/>
  <c r="J293" i="6"/>
  <c r="J270" i="6"/>
  <c r="J496" i="6"/>
  <c r="J440" i="6"/>
  <c r="J416" i="6"/>
  <c r="J353" i="6"/>
  <c r="J169" i="6"/>
  <c r="J120" i="6"/>
  <c r="J54" i="6"/>
  <c r="J887" i="6"/>
  <c r="J877" i="6"/>
  <c r="J836" i="6"/>
  <c r="J812" i="6"/>
  <c r="J802" i="6"/>
  <c r="J785" i="6"/>
  <c r="J751" i="6"/>
  <c r="J734" i="6"/>
  <c r="J724" i="6"/>
  <c r="J700" i="6"/>
  <c r="J683" i="6"/>
  <c r="Q7" i="4"/>
  <c r="J659" i="6"/>
  <c r="J649" i="6"/>
  <c r="J614" i="6"/>
  <c r="J582" i="6"/>
  <c r="J578" i="6"/>
  <c r="J571" i="6"/>
  <c r="J537" i="6"/>
  <c r="J500" i="6"/>
  <c r="J462" i="6"/>
  <c r="J451" i="6"/>
  <c r="J412" i="6"/>
  <c r="J360" i="6"/>
  <c r="J327" i="6"/>
  <c r="J250" i="6"/>
  <c r="J245" i="6"/>
  <c r="J212" i="6"/>
  <c r="J198" i="6"/>
  <c r="J185" i="6"/>
  <c r="J863" i="6"/>
  <c r="J778" i="6"/>
  <c r="J768" i="6"/>
  <c r="J618" i="6"/>
  <c r="J596" i="6"/>
  <c r="J469" i="6"/>
  <c r="J439" i="6"/>
  <c r="J401" i="6"/>
  <c r="J378" i="6"/>
  <c r="J374" i="6"/>
  <c r="J308" i="6"/>
  <c r="J269" i="6"/>
  <c r="J216" i="6"/>
  <c r="J533" i="6"/>
  <c r="J510" i="6"/>
  <c r="J257" i="6"/>
  <c r="J249" i="6"/>
  <c r="J261" i="6"/>
  <c r="J217" i="6"/>
  <c r="J203" i="6"/>
  <c r="J108" i="6"/>
  <c r="J550" i="6"/>
  <c r="J511" i="6"/>
  <c r="J454" i="6"/>
  <c r="J399" i="6"/>
  <c r="J395" i="6"/>
  <c r="J384" i="6"/>
  <c r="J338" i="6"/>
  <c r="J320" i="6"/>
  <c r="J305" i="6"/>
  <c r="J290" i="6"/>
  <c r="J275" i="6"/>
  <c r="J224" i="6"/>
  <c r="J211" i="6"/>
  <c r="J546" i="6"/>
  <c r="J461" i="6"/>
  <c r="J215" i="6"/>
  <c r="J592" i="6"/>
  <c r="J556" i="6"/>
  <c r="J520" i="6"/>
  <c r="J484" i="6"/>
  <c r="J448" i="6"/>
  <c r="J431" i="6"/>
  <c r="J410" i="6"/>
  <c r="J368" i="6"/>
  <c r="J344" i="6"/>
  <c r="J306" i="6"/>
  <c r="J302" i="6"/>
  <c r="J234" i="6"/>
  <c r="J197" i="6"/>
  <c r="J193" i="6"/>
  <c r="J287" i="6"/>
  <c r="J176" i="6"/>
  <c r="J247" i="6"/>
  <c r="J236" i="6"/>
  <c r="J205" i="6"/>
  <c r="J168" i="6"/>
  <c r="J151" i="6"/>
  <c r="J66" i="6"/>
  <c r="J12" i="6"/>
  <c r="J235" i="6"/>
  <c r="J167" i="6"/>
  <c r="J90" i="6"/>
  <c r="J161" i="6"/>
  <c r="J150" i="6"/>
  <c r="J143" i="6"/>
  <c r="J132" i="6"/>
  <c r="J125" i="6"/>
  <c r="J114" i="6"/>
  <c r="J96" i="6"/>
  <c r="J78" i="6"/>
  <c r="J60" i="6"/>
  <c r="J42" i="6"/>
  <c r="J24" i="6"/>
  <c r="J6" i="6"/>
  <c r="J157" i="6"/>
  <c r="J139" i="6"/>
  <c r="J149" i="6"/>
  <c r="J131" i="6"/>
  <c r="J113" i="6"/>
  <c r="J95" i="6"/>
  <c r="J148" i="6"/>
  <c r="H4" i="12"/>
  <c r="I4" i="12" s="1"/>
  <c r="BE3" i="1"/>
  <c r="BG3" i="1"/>
  <c r="J3" i="7"/>
  <c r="E5" i="7"/>
  <c r="E4" i="7"/>
  <c r="E3" i="7"/>
  <c r="BP3" i="1" l="1"/>
  <c r="J4" i="12"/>
  <c r="BA3" i="1"/>
  <c r="BD3" i="1" s="1"/>
  <c r="BC3" i="1"/>
  <c r="CK3" i="1" l="1"/>
  <c r="BF3" i="1" l="1"/>
  <c r="BJ3" i="1"/>
  <c r="BK3" i="1"/>
  <c r="BL3" i="1"/>
  <c r="BM3" i="1"/>
  <c r="BN3" i="1"/>
  <c r="BO3" i="1"/>
  <c r="BI3" i="1"/>
  <c r="N4" i="4" l="1"/>
  <c r="M4" i="4"/>
  <c r="F4" i="4"/>
  <c r="P12" i="4"/>
  <c r="C10" i="4"/>
  <c r="J10" i="4"/>
  <c r="C13" i="4"/>
  <c r="F10" i="4"/>
  <c r="I9" i="4"/>
  <c r="P9" i="4"/>
  <c r="I13" i="4"/>
  <c r="H13" i="4"/>
  <c r="P10" i="4"/>
  <c r="M12" i="4"/>
  <c r="G13" i="4"/>
  <c r="N13" i="4"/>
  <c r="E10" i="4"/>
  <c r="P11" i="4"/>
  <c r="E11" i="4"/>
  <c r="L11" i="4"/>
  <c r="N9" i="4"/>
  <c r="J12" i="4"/>
  <c r="C9" i="4"/>
  <c r="J9" i="4"/>
  <c r="C12" i="4"/>
  <c r="M10" i="4"/>
  <c r="K9" i="4"/>
  <c r="G9" i="4"/>
  <c r="M11" i="4"/>
  <c r="H9" i="4"/>
  <c r="O9" i="4"/>
  <c r="G12" i="4"/>
  <c r="N12" i="4"/>
  <c r="F12" i="4"/>
  <c r="D9" i="4"/>
  <c r="I11" i="4"/>
  <c r="G10" i="4"/>
  <c r="E9" i="4"/>
  <c r="F11" i="4"/>
  <c r="J11" i="4"/>
  <c r="L10" i="4"/>
  <c r="E13" i="4"/>
  <c r="L13" i="4"/>
  <c r="O10" i="4"/>
  <c r="O12" i="4"/>
  <c r="K11" i="4"/>
  <c r="L9" i="4"/>
  <c r="D13" i="4"/>
  <c r="D12" i="4"/>
  <c r="C11" i="4"/>
  <c r="J13" i="4"/>
  <c r="K10" i="4"/>
  <c r="N10" i="4"/>
  <c r="F13" i="4"/>
  <c r="L12" i="4"/>
  <c r="M13" i="4"/>
  <c r="M9" i="4"/>
  <c r="I10" i="4"/>
  <c r="G11" i="4"/>
  <c r="P13" i="4"/>
  <c r="H11" i="4"/>
  <c r="I12" i="4"/>
  <c r="K12" i="4"/>
  <c r="D11" i="4"/>
  <c r="H12" i="4"/>
  <c r="H10" i="4"/>
  <c r="O11" i="4"/>
  <c r="N11" i="4"/>
  <c r="F9" i="4"/>
  <c r="D10" i="4"/>
  <c r="K13" i="4"/>
  <c r="E12" i="4"/>
  <c r="O13" i="4"/>
  <c r="C5" i="4"/>
  <c r="D5" i="4"/>
  <c r="E5" i="4"/>
  <c r="BQ3" i="1"/>
  <c r="BS3" i="1"/>
  <c r="BT3" i="1"/>
  <c r="BU3" i="1"/>
  <c r="BV3" i="1"/>
  <c r="BR3" i="1"/>
  <c r="BH3" i="1"/>
  <c r="Y9" i="4" l="1"/>
  <c r="Z9" i="4" s="1"/>
  <c r="Y13" i="4"/>
  <c r="Z13" i="4" s="1"/>
  <c r="Y12" i="4"/>
  <c r="Z12" i="4" s="1"/>
  <c r="Y11" i="4"/>
  <c r="Z11" i="4" s="1"/>
  <c r="Y10" i="4"/>
  <c r="Z10" i="4" s="1"/>
  <c r="W9" i="4"/>
  <c r="X9" i="4" s="1"/>
  <c r="W11" i="4"/>
  <c r="X11" i="4" s="1"/>
  <c r="W12" i="4"/>
  <c r="X12" i="4" s="1"/>
  <c r="W13" i="4"/>
  <c r="X13" i="4" s="1"/>
  <c r="W10" i="4"/>
  <c r="X10" i="4" s="1"/>
  <c r="BW3" i="1"/>
  <c r="J8" i="4" s="1"/>
  <c r="CJ3" i="1"/>
  <c r="BY3" i="1"/>
  <c r="CA3" i="1"/>
  <c r="CC3" i="1"/>
  <c r="CI3" i="1"/>
  <c r="CG3" i="1"/>
  <c r="CD3" i="1"/>
  <c r="BX3" i="1"/>
  <c r="CB3" i="1"/>
  <c r="BZ3" i="1"/>
  <c r="CH3" i="1"/>
  <c r="CE3" i="1"/>
  <c r="CF3" i="1"/>
  <c r="O5" i="4"/>
  <c r="O3" i="4"/>
  <c r="I5" i="4"/>
  <c r="J5" i="4"/>
  <c r="N5" i="4"/>
  <c r="G5" i="4"/>
  <c r="F5" i="4"/>
  <c r="L5" i="4"/>
  <c r="M5" i="4"/>
  <c r="H5" i="4"/>
  <c r="K5" i="4"/>
  <c r="P5" i="4"/>
  <c r="J4" i="4"/>
  <c r="G3" i="4"/>
  <c r="H3" i="4"/>
  <c r="I3" i="4"/>
  <c r="F3" i="4"/>
  <c r="J3" i="4"/>
  <c r="P3" i="4"/>
  <c r="K3" i="4"/>
  <c r="L3" i="4"/>
  <c r="N3" i="4"/>
  <c r="M3" i="4"/>
  <c r="Y5" i="4" l="1"/>
  <c r="Z5" i="4" s="1"/>
  <c r="Y3" i="4"/>
  <c r="Z3" i="4" s="1"/>
  <c r="W5" i="4"/>
  <c r="X5" i="4" s="1"/>
  <c r="D4" i="4"/>
  <c r="D8" i="4"/>
  <c r="L4" i="4"/>
  <c r="L8" i="4"/>
  <c r="E4" i="4"/>
  <c r="E8" i="4"/>
  <c r="I4" i="4"/>
  <c r="I8" i="4"/>
  <c r="G4" i="4"/>
  <c r="G8" i="4"/>
  <c r="M8" i="4"/>
  <c r="N8" i="4"/>
  <c r="O4" i="4"/>
  <c r="O8" i="4"/>
  <c r="P4" i="4"/>
  <c r="P8" i="4"/>
  <c r="K4" i="4"/>
  <c r="K8" i="4"/>
  <c r="C4" i="4"/>
  <c r="C8" i="4"/>
  <c r="H4" i="4"/>
  <c r="H8" i="4"/>
  <c r="F8" i="4"/>
  <c r="F7" i="4"/>
  <c r="F6" i="4"/>
  <c r="O7" i="4"/>
  <c r="O6" i="4"/>
  <c r="H7" i="4"/>
  <c r="H6" i="4"/>
  <c r="P7" i="4"/>
  <c r="P6" i="4"/>
  <c r="M7" i="4"/>
  <c r="M6" i="4"/>
  <c r="C7" i="4"/>
  <c r="C6" i="4"/>
  <c r="N7" i="4"/>
  <c r="N6" i="4"/>
  <c r="G7" i="4"/>
  <c r="G6" i="4"/>
  <c r="K7" i="4"/>
  <c r="K6" i="4"/>
  <c r="L7" i="4"/>
  <c r="L6" i="4"/>
  <c r="E7" i="4"/>
  <c r="E6" i="4"/>
  <c r="I7" i="4"/>
  <c r="I6" i="4"/>
  <c r="D7" i="4"/>
  <c r="D6" i="4"/>
  <c r="J7" i="4"/>
  <c r="J6" i="4"/>
  <c r="D3" i="4"/>
  <c r="C3" i="4"/>
  <c r="E3" i="4"/>
  <c r="W3" i="4" s="1"/>
  <c r="X3" i="4" s="1"/>
  <c r="Y7" i="4" l="1"/>
  <c r="Z7" i="4" s="1"/>
  <c r="Y8" i="4"/>
  <c r="Z8" i="4" s="1"/>
  <c r="Y4" i="4"/>
  <c r="Z4" i="4" s="1"/>
  <c r="Y6" i="4"/>
  <c r="Z6" i="4" s="1"/>
  <c r="W4" i="4"/>
  <c r="X4" i="4" s="1"/>
  <c r="W6" i="4"/>
  <c r="X6" i="4" s="1"/>
  <c r="W8" i="4"/>
  <c r="X8" i="4" s="1"/>
  <c r="W7" i="4"/>
  <c r="X7" i="4" s="1"/>
  <c r="C14" i="4"/>
  <c r="C7" i="2"/>
  <c r="D7" i="2" s="1"/>
  <c r="E7" i="2" s="1"/>
  <c r="F7" i="2" s="1"/>
  <c r="G7" i="2" s="1"/>
  <c r="H7" i="2" s="1"/>
  <c r="I7" i="2" s="1"/>
  <c r="C12" i="2"/>
  <c r="E8" i="2" l="1"/>
  <c r="I8" i="2"/>
  <c r="I9" i="2" s="1"/>
  <c r="D8" i="2"/>
  <c r="F8" i="2"/>
  <c r="G8" i="2"/>
  <c r="H8" i="2"/>
  <c r="C8" i="2"/>
  <c r="C11" i="2"/>
  <c r="I12" i="2"/>
  <c r="G12" i="2"/>
  <c r="D12" i="2"/>
  <c r="F12" i="2"/>
  <c r="E12" i="2"/>
  <c r="H12" i="2"/>
  <c r="F11" i="2"/>
  <c r="I11" i="2"/>
  <c r="H11" i="2"/>
  <c r="G11" i="2"/>
  <c r="D11" i="2"/>
  <c r="E11" i="2"/>
  <c r="F17" i="2" l="1"/>
  <c r="F21" i="2"/>
  <c r="C18" i="2"/>
  <c r="C19" i="2"/>
  <c r="D18" i="2"/>
  <c r="D19" i="2"/>
  <c r="E19" i="2"/>
  <c r="E18" i="2"/>
  <c r="G15" i="2"/>
  <c r="G14" i="2"/>
  <c r="G18" i="2"/>
  <c r="G19" i="2"/>
  <c r="H15" i="2"/>
  <c r="H14" i="2"/>
  <c r="H18" i="2"/>
  <c r="H19" i="2"/>
  <c r="I15" i="2"/>
  <c r="I18" i="2"/>
  <c r="I14" i="2"/>
  <c r="I19" i="2"/>
  <c r="I13" i="2"/>
  <c r="E15" i="2"/>
  <c r="E14" i="2"/>
  <c r="D15" i="2"/>
  <c r="D14" i="2"/>
  <c r="C15" i="2"/>
  <c r="C14" i="2"/>
  <c r="K14" i="4"/>
  <c r="F14" i="4"/>
  <c r="G14" i="4"/>
  <c r="E13" i="2"/>
  <c r="C13" i="2"/>
  <c r="P14" i="4"/>
  <c r="N14" i="4"/>
  <c r="H14" i="4"/>
  <c r="H13" i="2"/>
  <c r="I14" i="4"/>
  <c r="O14" i="4"/>
  <c r="M14" i="4"/>
  <c r="E14" i="4"/>
  <c r="D14" i="4"/>
  <c r="D9" i="2" s="1"/>
  <c r="D5" i="2" s="1"/>
  <c r="J14" i="4"/>
  <c r="L14" i="4"/>
  <c r="F13" i="2"/>
  <c r="G13" i="2"/>
  <c r="D13" i="2"/>
  <c r="E22" i="2" l="1"/>
  <c r="C21" i="2"/>
  <c r="D22" i="2"/>
  <c r="E17" i="2"/>
  <c r="E20" i="2" s="1"/>
  <c r="E21" i="2"/>
  <c r="I21" i="2"/>
  <c r="C22" i="2"/>
  <c r="D21" i="2"/>
  <c r="H22" i="2"/>
  <c r="H21" i="2"/>
  <c r="F20" i="2"/>
  <c r="G21" i="2"/>
  <c r="G22" i="2"/>
  <c r="I22" i="2"/>
  <c r="M9" i="2"/>
  <c r="D17" i="2"/>
  <c r="D20" i="2" s="1"/>
  <c r="G17" i="2"/>
  <c r="G20" i="2" s="1"/>
  <c r="I17" i="2"/>
  <c r="I20" i="2" s="1"/>
  <c r="H17" i="2"/>
  <c r="H20" i="2" s="1"/>
  <c r="C17" i="2"/>
  <c r="C20" i="2" s="1"/>
  <c r="M12" i="2"/>
  <c r="C9" i="2"/>
  <c r="E9" i="2"/>
  <c r="E5" i="2" s="1"/>
  <c r="H9" i="2"/>
  <c r="H5" i="2" s="1"/>
  <c r="D16" i="2"/>
  <c r="G9" i="2"/>
  <c r="F9" i="2"/>
  <c r="H16" i="2" l="1"/>
  <c r="C16" i="2"/>
  <c r="E16" i="2"/>
  <c r="F5" i="2"/>
  <c r="C2" i="2" s="1"/>
  <c r="F16" i="2"/>
  <c r="G5" i="2"/>
  <c r="G16" i="2"/>
  <c r="I5" i="2"/>
  <c r="I16" i="2"/>
  <c r="C3" i="2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2606A62-AFBE-4C72-82F3-77523B4991A1}" keepAlive="1" name="Consulta - Archivo de ejemplo" description="Conexión a la consulta 'Archivo de ejemplo' en el libro." type="5" refreshedVersion="0" background="1">
    <dbPr connection="Provider=Microsoft.Mashup.OleDb.1;Data Source=$Workbook$;Location=&quot;Archivo de ejemplo&quot;;Extended Properties=&quot;&quot;" command="SELECT * FROM [Archivo de ejemplo]"/>
  </connection>
  <connection id="2" xr16:uid="{F0448733-3035-4F80-BAA5-23BACEEF8767}" keepAlive="1" name="Consulta - Archivo de ejemplo (2)" description="Conexión a la consulta 'Archivo de ejemplo (2)' en el libro." type="5" refreshedVersion="0" background="1">
    <dbPr connection="Provider=Microsoft.Mashup.OleDb.1;Data Source=$Workbook$;Location=&quot;Archivo de ejemplo (2)&quot;;Extended Properties=&quot;&quot;" command="SELECT * FROM [Archivo de ejemplo (2)]"/>
  </connection>
  <connection id="3" xr16:uid="{433A30AC-978E-45E1-9235-822915ED9EB1}" keepAlive="1" name="Consulta - Colocaciones" description="Conexión a la consulta 'Colocaciones' en el libro." type="5" refreshedVersion="8" background="1" saveData="1">
    <dbPr connection="Provider=Microsoft.Mashup.OleDb.1;Data Source=$Workbook$;Location=Colocaciones;Extended Properties=&quot;&quot;" command="SELECT * FROM [Colocaciones]"/>
  </connection>
  <connection id="4" xr16:uid="{EA7FC32A-06D7-4CCB-97A1-CC641CE9030F}" keepAlive="1" name="Consulta - Dim_AUM_FyoCapital" description="Conexión a la consulta 'Dim_AUM_FyoCapital' en el libro." type="5" refreshedVersion="0" background="1">
    <dbPr connection="Provider=Microsoft.Mashup.OleDb.1;Data Source=$Workbook$;Location=Dim_AUM_FyoCapital;Extended Properties=&quot;&quot;" command="SELECT * FROM [Dim_AUM_FyoCapital]"/>
  </connection>
  <connection id="5" xr16:uid="{F330B3D2-8364-4DF1-9129-F3F2FF8A81F0}" keepAlive="1" name="Consulta - Dim_Calendario" description="Conexión a la consulta 'Dim_Calendario' en el libro." type="5" refreshedVersion="0" background="1">
    <dbPr connection="Provider=Microsoft.Mashup.OleDb.1;Data Source=$Workbook$;Location=Dim_Calendario;Extended Properties=&quot;&quot;" command="SELECT * FROM [Dim_Calendario]"/>
  </connection>
  <connection id="6" xr16:uid="{EC5A768E-EBC3-43AD-9856-A4265215BC50}" keepAlive="1" name="Consulta - Dim_Empresas" description="Conexión a la consulta 'Dim_Empresas' en el libro." type="5" refreshedVersion="0" background="1">
    <dbPr connection="Provider=Microsoft.Mashup.OleDb.1;Data Source=$Workbook$;Location=Dim_Empresas;Extended Properties=&quot;&quot;" command="SELECT * FROM [Dim_Empresas]"/>
  </connection>
  <connection id="7" xr16:uid="{6714D18F-66E8-468D-8660-B6AA520076A0}" keepAlive="1" name="Consulta - Fact_AUM_FyoCapital" description="Conexión a la consulta 'Fact_AUM_FyoCapital' en el libro." type="5" refreshedVersion="8" background="1" saveData="1">
    <dbPr connection="Provider=Microsoft.Mashup.OleDb.1;Data Source=$Workbook$;Location=Fact_AUM_FyoCapital;Extended Properties=&quot;&quot;" command="SELECT * FROM [Fact_AUM_FyoCapital]"/>
  </connection>
  <connection id="8" xr16:uid="{2305CC3F-7BA1-46B8-BF32-68DB60488DB4}" keepAlive="1" name="Consulta - Fact_SaldosMonetarios_FyoCapital" description="Conexión a la consulta 'Fact_SaldosMonetarios_FyoCapital' en el libro." type="5" refreshedVersion="8" background="1" saveData="1">
    <dbPr connection="Provider=Microsoft.Mashup.OleDb.1;Data Source=$Workbook$;Location=Fact_SaldosMonetarios_FyoCapital;Extended Properties=&quot;&quot;" command="SELECT * FROM [Fact_SaldosMonetarios_FyoCapital]"/>
  </connection>
  <connection id="9" xr16:uid="{3BE55EEE-9FF4-4655-8F47-65C67468494D}" keepAlive="1" name="Consulta - nmny" description="Conexión a la consulta 'nmny' en el libro." type="5" refreshedVersion="8" background="1" saveData="1">
    <dbPr connection="Provider=Microsoft.Mashup.OleDb.1;Data Source=$Workbook$;Location=nmny;Extended Properties=&quot;&quot;" command="SELECT * FROM [nmny]"/>
  </connection>
  <connection id="10" xr16:uid="{BB0C83A7-5BF3-4942-93B0-E4BBE85100C3}" keepAlive="1" name="Consulta - Parámetro1" description="Conexión a la consulta 'Parámetro1' en el libro." type="5" refreshedVersion="0" background="1">
    <dbPr connection="Provider=Microsoft.Mashup.OleDb.1;Data Source=$Workbook$;Location=Parámetro1;Extended Properties=&quot;&quot;" command="SELECT * FROM [Parámetro1]"/>
  </connection>
  <connection id="11" xr16:uid="{319EED18-2406-43B8-B3AA-56B46C50FFB5}" keepAlive="1" name="Consulta - Parámetro2" description="Conexión a la consulta 'Parámetro2' en el libro." type="5" refreshedVersion="0" background="1">
    <dbPr connection="Provider=Microsoft.Mashup.OleDb.1;Data Source=$Workbook$;Location=Parámetro2;Extended Properties=&quot;&quot;" command="SELECT * FROM [Parámetro2]"/>
  </connection>
  <connection id="12" xr16:uid="{8F25F0D6-5222-4E9C-AB41-A22851D499D9}" keepAlive="1" name="Consulta - Saldo CC" description="Conexión a la consulta 'Saldo CC' en el libro." type="5" refreshedVersion="8" background="1" saveData="1">
    <dbPr connection="Provider=Microsoft.Mashup.OleDb.1;Data Source=$Workbook$;Location=&quot;Saldo CC&quot;;Extended Properties=&quot;&quot;" command="SELECT * FROM [Saldo CC]"/>
  </connection>
  <connection id="13" xr16:uid="{17E1FDBC-49E9-4FA9-B741-1090C7F6899F}" keepAlive="1" name="Consulta - Transformar archivo" description="Conexión a la consulta 'Transformar archivo' en el libro." type="5" refreshedVersion="0" background="1">
    <dbPr connection="Provider=Microsoft.Mashup.OleDb.1;Data Source=$Workbook$;Location=&quot;Transformar archivo&quot;;Extended Properties=&quot;&quot;" command="SELECT * FROM [Transformar archivo]"/>
  </connection>
  <connection id="14" xr16:uid="{94D8AD46-8765-4FBA-B8AC-C7744515D53B}" keepAlive="1" name="Consulta - Transformar archivo (2)" description="Conexión a la consulta 'Transformar archivo (2)' en el libro." type="5" refreshedVersion="0" background="1">
    <dbPr connection="Provider=Microsoft.Mashup.OleDb.1;Data Source=$Workbook$;Location=&quot;Transformar archivo (2)&quot;;Extended Properties=&quot;&quot;" command="SELECT * FROM [Transformar archivo (2)]"/>
  </connection>
  <connection id="15" xr16:uid="{03FB8335-7D3A-4C2E-8D18-FA9FF2492AB6}" keepAlive="1" name="Consulta - Transformar archivo de ejemplo" description="Conexión a la consulta 'Transformar archivo de ejemplo' en el libro." type="5" refreshedVersion="0" background="1">
    <dbPr connection="Provider=Microsoft.Mashup.OleDb.1;Data Source=$Workbook$;Location=&quot;Transformar archivo de ejemplo&quot;;Extended Properties=&quot;&quot;" command="SELECT * FROM [Transformar archivo de ejemplo]"/>
  </connection>
  <connection id="16" xr16:uid="{14BE3988-F16A-43D4-A632-B7F6AD0C9A71}" keepAlive="1" name="Consulta - Transformar archivo de ejemplo (2)" description="Conexión a la consulta 'Transformar archivo de ejemplo (2)' en el libro." type="5" refreshedVersion="0" background="1">
    <dbPr connection="Provider=Microsoft.Mashup.OleDb.1;Data Source=$Workbook$;Location=&quot;Transformar archivo de ejemplo (2)&quot;;Extended Properties=&quot;&quot;" command="SELECT * FROM [Transformar archivo de ejemplo (2)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<sst xmlns="http://schemas.openxmlformats.org/spreadsheetml/2006/main" count="22296" uniqueCount="1641">
  <si>
    <t>Record Code</t>
  </si>
  <si>
    <t>Firm Code</t>
  </si>
  <si>
    <t>Office Code</t>
  </si>
  <si>
    <t>Sales Code</t>
  </si>
  <si>
    <t>Account Number</t>
  </si>
  <si>
    <t>Account Class Code</t>
  </si>
  <si>
    <t>Account Subclass Code</t>
  </si>
  <si>
    <t>Account Type Code</t>
  </si>
  <si>
    <t>Cusip Code</t>
  </si>
  <si>
    <t>Card Number</t>
  </si>
  <si>
    <t>Buy Sell Code</t>
  </si>
  <si>
    <t>Quantity</t>
  </si>
  <si>
    <t>Security Desc Line 1</t>
  </si>
  <si>
    <t>Formatted Trade Price</t>
  </si>
  <si>
    <t>Trade Date</t>
  </si>
  <si>
    <t>Open Close Code</t>
  </si>
  <si>
    <t>Contract Month</t>
  </si>
  <si>
    <t>Contract Day</t>
  </si>
  <si>
    <t>Security Type Code</t>
  </si>
  <si>
    <t>Security Subtype Code</t>
  </si>
  <si>
    <t>Option Strike Price</t>
  </si>
  <si>
    <t>Option Expire Date</t>
  </si>
  <si>
    <t>Spread Code</t>
  </si>
  <si>
    <t>Account Name</t>
  </si>
  <si>
    <t>Source Account Number</t>
  </si>
  <si>
    <t>Settlement Date</t>
  </si>
  <si>
    <t>Exchange Code</t>
  </si>
  <si>
    <t>Trade Exchange Code</t>
  </si>
  <si>
    <t>Contract Code</t>
  </si>
  <si>
    <t>Contract Symbol</t>
  </si>
  <si>
    <t>Product Type Code</t>
  </si>
  <si>
    <t>Trade Price</t>
  </si>
  <si>
    <t>Trade Calc Control Code</t>
  </si>
  <si>
    <t>Comment Code 1</t>
  </si>
  <si>
    <t>Comment Code 2</t>
  </si>
  <si>
    <t>Give Up Code</t>
  </si>
  <si>
    <t>Give Up Firm Code</t>
  </si>
  <si>
    <t>Buy Side Quantity</t>
  </si>
  <si>
    <t>Sell Side Quantity</t>
  </si>
  <si>
    <t>Account Type Currency Symbol</t>
  </si>
  <si>
    <t>Market Value</t>
  </si>
  <si>
    <t>Close Price</t>
  </si>
  <si>
    <t>Underlying Close Price</t>
  </si>
  <si>
    <t>Multiplication Factor</t>
  </si>
  <si>
    <t>Tracer Number</t>
  </si>
  <si>
    <t>Order Number</t>
  </si>
  <si>
    <t>Delta Factor</t>
  </si>
  <si>
    <t>Bloomberg Root</t>
  </si>
  <si>
    <t>Bloomberg Exch Code</t>
  </si>
  <si>
    <t>Bloomberg Market Sector</t>
  </si>
  <si>
    <t>P</t>
  </si>
  <si>
    <t>R</t>
  </si>
  <si>
    <t>C</t>
  </si>
  <si>
    <t>O</t>
  </si>
  <si>
    <t>F1</t>
  </si>
  <si>
    <t>F</t>
  </si>
  <si>
    <t>FUTUROS Y OPCIONES.C</t>
  </si>
  <si>
    <t>1A</t>
  </si>
  <si>
    <t>S-</t>
  </si>
  <si>
    <t>USD</t>
  </si>
  <si>
    <t>S</t>
  </si>
  <si>
    <t>CBT</t>
  </si>
  <si>
    <t>Comdty</t>
  </si>
  <si>
    <t>FUTUR</t>
  </si>
  <si>
    <t>Precio</t>
  </si>
  <si>
    <t>Tipo</t>
  </si>
  <si>
    <t>Lado</t>
  </si>
  <si>
    <t>PRECIOS</t>
  </si>
  <si>
    <t>-30%</t>
  </si>
  <si>
    <t>-20%</t>
  </si>
  <si>
    <t>-10%</t>
  </si>
  <si>
    <t>0%</t>
  </si>
  <si>
    <t>10%</t>
  </si>
  <si>
    <t>20%</t>
  </si>
  <si>
    <t>30%</t>
  </si>
  <si>
    <t>Dif FUTUROS</t>
  </si>
  <si>
    <t>DIFERENCIAS Opciones</t>
  </si>
  <si>
    <t>DF -30%</t>
  </si>
  <si>
    <t>DF -20%</t>
  </si>
  <si>
    <t>DF -10%</t>
  </si>
  <si>
    <t>DF 0%</t>
  </si>
  <si>
    <t>DF 10%</t>
  </si>
  <si>
    <t>DF 20%</t>
  </si>
  <si>
    <t>DF 30%</t>
  </si>
  <si>
    <t>-30%2</t>
  </si>
  <si>
    <t>-20%3</t>
  </si>
  <si>
    <t>-10%4</t>
  </si>
  <si>
    <t>0%5</t>
  </si>
  <si>
    <t>10%6</t>
  </si>
  <si>
    <t>20%7</t>
  </si>
  <si>
    <t>30%8</t>
  </si>
  <si>
    <t>Tns</t>
  </si>
  <si>
    <t>Cat opcion</t>
  </si>
  <si>
    <t>Strike</t>
  </si>
  <si>
    <t>Agro</t>
  </si>
  <si>
    <t>Delta neto*</t>
  </si>
  <si>
    <t>Delta neto Potencial*</t>
  </si>
  <si>
    <t>*Suma de posiciones netas vendidas de cada producto (SV-SC)+(MV-MC)+(TV-TC)</t>
  </si>
  <si>
    <t>Delta total</t>
  </si>
  <si>
    <t>Delta Futuros</t>
  </si>
  <si>
    <t>Delta Opciones</t>
  </si>
  <si>
    <t>Delta Tot</t>
  </si>
  <si>
    <t>Var precios MatRfx</t>
  </si>
  <si>
    <t>Diferencias a integrar Opciones</t>
  </si>
  <si>
    <t>Diferencias a integrar Futuros</t>
  </si>
  <si>
    <t>Usd a integrar</t>
  </si>
  <si>
    <t>Usd por tn a integrar</t>
  </si>
  <si>
    <t>Opcion??</t>
  </si>
  <si>
    <t>Delta opciones</t>
  </si>
  <si>
    <t>-30%22</t>
  </si>
  <si>
    <t>-20%33</t>
  </si>
  <si>
    <t>-10%44</t>
  </si>
  <si>
    <t>0%55</t>
  </si>
  <si>
    <t>10%66</t>
  </si>
  <si>
    <t>20%77</t>
  </si>
  <si>
    <t>30%88</t>
  </si>
  <si>
    <t>Comitente (Descripción)</t>
  </si>
  <si>
    <t>Comitente (Número)</t>
  </si>
  <si>
    <t>Mercado (Denominación)</t>
  </si>
  <si>
    <t>Número Asignado al Mercado</t>
  </si>
  <si>
    <t>PRONOR SA</t>
  </si>
  <si>
    <t>CBOT</t>
  </si>
  <si>
    <t>Terrapampa S.A.</t>
  </si>
  <si>
    <t>LOS BAGUALITOS SRL</t>
  </si>
  <si>
    <t>AGROPECUARIA CATRILO SA</t>
  </si>
  <si>
    <t>NUIC GUILLERMO Y CRISTIAN SA</t>
  </si>
  <si>
    <t>GEOBIOS SRL</t>
  </si>
  <si>
    <t>MASSOUD JORGE ELIAS</t>
  </si>
  <si>
    <t>SANTANGELO CLAUDIO ROBERTO</t>
  </si>
  <si>
    <t>Delta agro</t>
  </si>
  <si>
    <t>Diferencia agro</t>
  </si>
  <si>
    <t>Exposicion máxima ante var 10%</t>
  </si>
  <si>
    <t>Exposición sin margen</t>
  </si>
  <si>
    <t>Exposición neta</t>
  </si>
  <si>
    <t>Margin call</t>
  </si>
  <si>
    <t>llevarlo siempre  + Y -</t>
  </si>
  <si>
    <t>Name Address Line 1</t>
  </si>
  <si>
    <t>Last Activity Date</t>
  </si>
  <si>
    <t>Related Office Code 1</t>
  </si>
  <si>
    <t>Related Account Number 1</t>
  </si>
  <si>
    <t>Account Balance</t>
  </si>
  <si>
    <t>Security Long Market Value</t>
  </si>
  <si>
    <t>Security Short Market Value</t>
  </si>
  <si>
    <t>Option Long Market Value</t>
  </si>
  <si>
    <t>Option Short Market Value</t>
  </si>
  <si>
    <t>Total Outstanding Margin Calls</t>
  </si>
  <si>
    <t>Account All Records</t>
  </si>
  <si>
    <t>Oldest Account Call Age</t>
  </si>
  <si>
    <t>Withdrawable Funds</t>
  </si>
  <si>
    <t>Future Margin Req Initial</t>
  </si>
  <si>
    <t>Future Margin Req Maint</t>
  </si>
  <si>
    <t>Margin Excess Deficit</t>
  </si>
  <si>
    <t>Future Open Trade Equity</t>
  </si>
  <si>
    <t>Mtd Commission</t>
  </si>
  <si>
    <t>Equities Margin Req Initial</t>
  </si>
  <si>
    <t>Equities Margin Req Maint</t>
  </si>
  <si>
    <t>Firm Base Currency Conv Rate</t>
  </si>
  <si>
    <t>Liquidating Value</t>
  </si>
  <si>
    <t>Margin Collat Value</t>
  </si>
  <si>
    <t>Option Premium Value</t>
  </si>
  <si>
    <t>Unsettled Unrealized Profit Loss</t>
  </si>
  <si>
    <t>Total Account Requirement</t>
  </si>
  <si>
    <t>Total Equity</t>
  </si>
  <si>
    <t>Total Current Calls</t>
  </si>
  <si>
    <t>Previous Account Balance</t>
  </si>
  <si>
    <t>Previous Open Trade Equity</t>
  </si>
  <si>
    <t>Previous Total Equity</t>
  </si>
  <si>
    <t>Previous Liquidating Value</t>
  </si>
  <si>
    <t>G</t>
  </si>
  <si>
    <t>FUTUROS Y OPCIONES.COM SA</t>
  </si>
  <si>
    <t>9Z</t>
  </si>
  <si>
    <t>M</t>
  </si>
  <si>
    <t>FYO ACOPIO SA</t>
  </si>
  <si>
    <t>R0176</t>
  </si>
  <si>
    <t>bna</t>
  </si>
  <si>
    <t>ccl</t>
  </si>
  <si>
    <t>Comitente (Denominación)</t>
  </si>
  <si>
    <t>Saldo Disponible</t>
  </si>
  <si>
    <t>Saldo No Disponible</t>
  </si>
  <si>
    <t>Moneda (Descripción)</t>
  </si>
  <si>
    <t>Moneda (Símbolo)</t>
  </si>
  <si>
    <t>Cuenta mercado</t>
  </si>
  <si>
    <t>Moneda</t>
  </si>
  <si>
    <t>Saldo dispo en usd linked</t>
  </si>
  <si>
    <t>Saldo no  dispo en usd linked</t>
  </si>
  <si>
    <t>Pesos</t>
  </si>
  <si>
    <t>Etiquetas de fila</t>
  </si>
  <si>
    <t>Suma de Saldo Disponible</t>
  </si>
  <si>
    <t>Dólar Cable</t>
  </si>
  <si>
    <t>A &amp; T Y ASOCIADOS SA</t>
  </si>
  <si>
    <t>ACOPIO AREQUITO SA</t>
  </si>
  <si>
    <t>FYO ACOPIO S.A.</t>
  </si>
  <si>
    <t>ACOPIO BALCARCE SA</t>
  </si>
  <si>
    <t>ADCAP SECURITIES ARGENTINA SA</t>
  </si>
  <si>
    <t>ADECO AGROPECUARIA SA</t>
  </si>
  <si>
    <t>AGERAUSTRAL SA</t>
  </si>
  <si>
    <t>LOGRANDO AMIGOS SRL</t>
  </si>
  <si>
    <t>AGL SA</t>
  </si>
  <si>
    <t>AGRICOM DEPETRIS S.A.</t>
  </si>
  <si>
    <t>AGRICULTORES GANADEROS VILLA CANAS SRL</t>
  </si>
  <si>
    <t>AYERZA ALEJANDRO</t>
  </si>
  <si>
    <t>AGRIJO SOCIEDAD ANONIMA</t>
  </si>
  <si>
    <t>AGRO COLIBRI SRL</t>
  </si>
  <si>
    <t>AGRO COTTON SA</t>
  </si>
  <si>
    <t>BALDUCCHI JUAN JOSE</t>
  </si>
  <si>
    <t>Agro Ganadera Vicen SRL</t>
  </si>
  <si>
    <t>AGRO IN SRL</t>
  </si>
  <si>
    <t>Balducchi MIguel Angel</t>
  </si>
  <si>
    <t>AGRO LEBEN SRL</t>
  </si>
  <si>
    <t>AGRO PRECISA SA</t>
  </si>
  <si>
    <t>AGRO URANGA SA</t>
  </si>
  <si>
    <t>AGROFY GLOBAL SOCIEDAD LIMITADA POR ACCIONES</t>
  </si>
  <si>
    <t>BUNGE ARGENTINA SA</t>
  </si>
  <si>
    <t>AGROFY PAY S. A. U.</t>
  </si>
  <si>
    <t>Agrofy SAU</t>
  </si>
  <si>
    <t>CANTON SUIZO SA</t>
  </si>
  <si>
    <t>AGROIDEAS S A</t>
  </si>
  <si>
    <t>AGROINVERSIONES ALS S.A.S.</t>
  </si>
  <si>
    <t>AGROLAM SA</t>
  </si>
  <si>
    <t>CERROS SERVICIOS AGRICOLAS S.A.</t>
  </si>
  <si>
    <t>AGROMIX SA</t>
  </si>
  <si>
    <t>AGRONASAJA SRL</t>
  </si>
  <si>
    <t>Agronoble SA</t>
  </si>
  <si>
    <t>CONO SA</t>
  </si>
  <si>
    <t>AGROPECUARIA CARPEDIEM S.A</t>
  </si>
  <si>
    <t>AGROPECUARIA CARPEDIEM SA (CERA)</t>
  </si>
  <si>
    <t>COSECHAS ARGENTINAS SA</t>
  </si>
  <si>
    <t>AGROPECUARIA EL CALI SOCIEDAD ANONIMA</t>
  </si>
  <si>
    <t>CRESUD S A COMERCIAL INMOBILIARIA FINANCIERA Y AGROPECUARIA</t>
  </si>
  <si>
    <t>AGROPECUARIA EL SALADO SA</t>
  </si>
  <si>
    <t>AGROPECUARIA GUATAN SA</t>
  </si>
  <si>
    <t>AGROPECUARIA LA CELINA SA</t>
  </si>
  <si>
    <t>AGROPECUARIA LA COSECHA SA</t>
  </si>
  <si>
    <t>CUSILLOS SRL</t>
  </si>
  <si>
    <t>AGROPECUARIA LAS COLORADAS SA</t>
  </si>
  <si>
    <t>AGROPECUARIA LOS TRES VASCOS SA</t>
  </si>
  <si>
    <t>AGROPECUARIA RIO DEL VALLE SA</t>
  </si>
  <si>
    <t>Dieciocho de Agosto Sociedad Anonima</t>
  </si>
  <si>
    <t>AGROPECUARIA SUR SA</t>
  </si>
  <si>
    <t>AGROPEMAR SRL</t>
  </si>
  <si>
    <t>AGROSERVICIOS HUMBOLDT SA</t>
  </si>
  <si>
    <t>DIVISION AGROPECUARIA S.A.</t>
  </si>
  <si>
    <t>AGROSUDESTE SA</t>
  </si>
  <si>
    <t>AGROTECNOLOGIA Y SERVICIOS SA</t>
  </si>
  <si>
    <t>AGROTORRESI SA</t>
  </si>
  <si>
    <t>DOMINGUEZ JORGE MARCELO</t>
  </si>
  <si>
    <t>AGUIRRE JOSE MARIA FRANCISCO (CERA)</t>
  </si>
  <si>
    <t>AGUIRRE LUIS FELIPE BERNARDO (CERA)</t>
  </si>
  <si>
    <t>AGUSTI LEANDRO MARCELO</t>
  </si>
  <si>
    <t>AHC SA</t>
  </si>
  <si>
    <t>DON OSVALDO SA</t>
  </si>
  <si>
    <t>ALBRECHT AGROPECUARIA S.R.L.</t>
  </si>
  <si>
    <t>ALEA Y CIA SOCIEDAD ANONIMA</t>
  </si>
  <si>
    <t>ALLARIA LEDESMA &amp; CÍA S.A.</t>
  </si>
  <si>
    <t>AMAUTA AGRO S.A.</t>
  </si>
  <si>
    <t>DON PONCIANO SA</t>
  </si>
  <si>
    <t>AMBROGIO MARTIN</t>
  </si>
  <si>
    <t>ANIBAL MOSCHEN HERMANOS SA</t>
  </si>
  <si>
    <t>El Barrial SA</t>
  </si>
  <si>
    <t>AR PARTNERS S.A.</t>
  </si>
  <si>
    <t>ARECO SEMILLAS SA</t>
  </si>
  <si>
    <t>El Mirador de Lincoln SA</t>
  </si>
  <si>
    <t>ARG DE GRAAF SA</t>
  </si>
  <si>
    <t>ARGEO SRL</t>
  </si>
  <si>
    <t>ATANOR SOCIEDAD EN COMANDITA POR ACCIONES</t>
  </si>
  <si>
    <t>ATS AGRO S.A.</t>
  </si>
  <si>
    <t>EL PRETEXTO SA</t>
  </si>
  <si>
    <t>AVANZAR  S. A.</t>
  </si>
  <si>
    <t>BACS BANCO DE CRÉDITO Y SECURITIZACIÓN S.A.</t>
  </si>
  <si>
    <t>BACS SA SG TORONTO TRUST RENTA FIJA FCI</t>
  </si>
  <si>
    <t>ESTANCIA LA MADRUGADA SA</t>
  </si>
  <si>
    <t>BACS SA SG TT ABIERTO PYMES</t>
  </si>
  <si>
    <t>BACS SA SG TT GLOBAL CAPITAL</t>
  </si>
  <si>
    <t>BACS SA SG TT RENTA FIJA PLUS</t>
  </si>
  <si>
    <t>ESTANCIAS SAN AGUSTIN SCA</t>
  </si>
  <si>
    <t>BACS SA SG TT TORONTO TRUST</t>
  </si>
  <si>
    <t>BALANZ CAPITAL VALORES S.A.U.</t>
  </si>
  <si>
    <t>FIORE HERNAN</t>
  </si>
  <si>
    <t>BANCO COMAFI SA</t>
  </si>
  <si>
    <t>BANCO INDUSTRIAL SA IAM RENTA BALANCEADA</t>
  </si>
  <si>
    <t>BASF ARGENTINA SA</t>
  </si>
  <si>
    <t>BC SA SD ZOFINGEN DOLLAR LINKED</t>
  </si>
  <si>
    <t>FUMISEM SA</t>
  </si>
  <si>
    <t>BC SA SD ZOFINGEN FACTORING ABIERTO PYME</t>
  </si>
  <si>
    <t>BCSA SD GALILEO ABIERTO PYMES</t>
  </si>
  <si>
    <t>BCSA SD GALILEO ARGENTINA</t>
  </si>
  <si>
    <t>BCSA SD GALILEO EVENT DRIVEN</t>
  </si>
  <si>
    <t>GAGLIARDO AGRICOLA GANADERA S.A.</t>
  </si>
  <si>
    <t>BCSA SD GALILEO FCI MULTIMERCADO II</t>
  </si>
  <si>
    <t>BCSA SD MAX COBERTURA FCI</t>
  </si>
  <si>
    <t>GARMAT SA</t>
  </si>
  <si>
    <t>BCSA SD MAX DINAMICO I FCI</t>
  </si>
  <si>
    <t>BEARZOTTI DELFINA</t>
  </si>
  <si>
    <t>GIACUZZI MARTIN GABRIEL</t>
  </si>
  <si>
    <t>BEARZOTTI GABRIEL CRISTIAN</t>
  </si>
  <si>
    <t>BEARZOTTI LELIO ALFREDO</t>
  </si>
  <si>
    <t>BELAUSTEGUI RICARDO CRISTIAN</t>
  </si>
  <si>
    <t>BELOTTINI GUILLERMO LUIS</t>
  </si>
  <si>
    <t>GRANOS Y SEMILLAS SA</t>
  </si>
  <si>
    <t>BERNARD BLANCA BEATRIZ</t>
  </si>
  <si>
    <t>BERNARD RAUL PABLO</t>
  </si>
  <si>
    <t>GRIVEO SA</t>
  </si>
  <si>
    <t>BERNARD RAUL PABLO y BERNARD PABLO APARICIO</t>
  </si>
  <si>
    <t>BERTOSSI DIEGO RUBEN</t>
  </si>
  <si>
    <t>BETA SCA</t>
  </si>
  <si>
    <t>H &amp; H OUTFITTERS SA</t>
  </si>
  <si>
    <t>BINDU SRL</t>
  </si>
  <si>
    <t>BIOCERES SA</t>
  </si>
  <si>
    <t>BIOLATO CEREALES SC</t>
  </si>
  <si>
    <t>HECTOR A. BERTONE S.A</t>
  </si>
  <si>
    <t>BIOLATO LEANDRO MARTIN</t>
  </si>
  <si>
    <t>BIOLATO LUCIANA EDITH</t>
  </si>
  <si>
    <t>BOIX JUAN ESTEBAN</t>
  </si>
  <si>
    <t>BORLA ULDERICO CARLOS</t>
  </si>
  <si>
    <t>INDUSTRIAS RURALES SRL</t>
  </si>
  <si>
    <t>BUFI JORGE DOMINGO</t>
  </si>
  <si>
    <t>BULL MARKET BROKERS SA</t>
  </si>
  <si>
    <t>BVSA SD SMSV RENTA EN PESOS FCI</t>
  </si>
  <si>
    <t>INNOVACION ONCATIVO S.A.</t>
  </si>
  <si>
    <t>BVSA SD ST PYMES FCI ABIERTO PYME</t>
  </si>
  <si>
    <t>CABAÑA LA PASTORAL S A</t>
  </si>
  <si>
    <t>CAIO BIBILONI Y CIA S.R.L.</t>
  </si>
  <si>
    <t>CALABRIA ANDRES AGUSTIN</t>
  </si>
  <si>
    <t>LINEUP GRAIN SA</t>
  </si>
  <si>
    <t>CAMPO FERTIL SRL</t>
  </si>
  <si>
    <t>CAMUYRANO ALICIA</t>
  </si>
  <si>
    <t>Capital Markets Argentina SA</t>
  </si>
  <si>
    <t>GRANERO SRL</t>
  </si>
  <si>
    <t>CARLOS BOERO ROMANO SAIC</t>
  </si>
  <si>
    <t>CARMAN JUAN CRUZ</t>
  </si>
  <si>
    <t>MAIOCCO CEREALES SA</t>
  </si>
  <si>
    <t>CARRETTONI JULIO ALBERTO</t>
  </si>
  <si>
    <t>CASANOVA RICARDO</t>
  </si>
  <si>
    <t>CAVAGLIA MAURICIO GUSTAVO</t>
  </si>
  <si>
    <t>MATILDE Y ALICIA CAMUYRANO SA</t>
  </si>
  <si>
    <t>CAYOL MARCOS</t>
  </si>
  <si>
    <t>CDM AGROPECUARIA SA</t>
  </si>
  <si>
    <t>Centro Agropecuario Modelo S.A.</t>
  </si>
  <si>
    <t>CENTRO INTEGRAL DE TRANSFORMACION AGROPECUARIA SRL</t>
  </si>
  <si>
    <t>Menzio S.R.L.</t>
  </si>
  <si>
    <t>CEREALES 25 DE MAYO SA</t>
  </si>
  <si>
    <t>CEREALES DEC SA</t>
  </si>
  <si>
    <t>CEREALISTA MOLDES SA</t>
  </si>
  <si>
    <t>PAGO VIEJO SOCIEDAD ANONIMA</t>
  </si>
  <si>
    <t>CERVIGNI CLAUDIA ELIZABETH</t>
  </si>
  <si>
    <t>CERVIGNI HNOS SA</t>
  </si>
  <si>
    <t>CERVIGNI MARCELO RAUL</t>
  </si>
  <si>
    <t>PETROAGRO SOCIEDAD ANONIMA</t>
  </si>
  <si>
    <t>CERVIGNI NATALIA ANDREA</t>
  </si>
  <si>
    <t>CGM AGRO SAS</t>
  </si>
  <si>
    <t>CHIAMBRETTO DANIEL ARGENTINO Y SCHNEIDER GERARDO LUIS SH</t>
  </si>
  <si>
    <t>CHIARAVIGLIO HNOS SRL</t>
  </si>
  <si>
    <t>CIGORRAGA ANDRES</t>
  </si>
  <si>
    <t>Puerto Arroyo Seco SA</t>
  </si>
  <si>
    <t>CIGORRAGA NICOLAS</t>
  </si>
  <si>
    <t>CINCO DE JUNIO SA</t>
  </si>
  <si>
    <t>CINGOLANI FERNANDO LUIS</t>
  </si>
  <si>
    <t>Riboldi S.A.</t>
  </si>
  <si>
    <t>CLAUDIO PEREZ CEREALES SA</t>
  </si>
  <si>
    <t>COCOS CAPITAL SA</t>
  </si>
  <si>
    <t>COFCO INTERNATIONAL ARGENTINA SA</t>
  </si>
  <si>
    <t>COHEN SA</t>
  </si>
  <si>
    <t>RUAS AGROPECUARIA S A</t>
  </si>
  <si>
    <t>COLOMBATTO BERNARDO VALENTIN</t>
  </si>
  <si>
    <t>COMAFI BURSATIL SA</t>
  </si>
  <si>
    <t>Conci SRL</t>
  </si>
  <si>
    <t>SALORT FERNANDO GABRIEL</t>
  </si>
  <si>
    <t>CONO SUR INVERSIONES SA</t>
  </si>
  <si>
    <t>CORONEL ROBERTO EDUARDO</t>
  </si>
  <si>
    <t>CORTONDO SERGIO DANIEL</t>
  </si>
  <si>
    <t>SAN PEDRO AGROPECUARIA SA</t>
  </si>
  <si>
    <t>COTELLA JUAN CARLOS</t>
  </si>
  <si>
    <t>Satus Ager SA</t>
  </si>
  <si>
    <t>CRITERIA AN SA</t>
  </si>
  <si>
    <t>VILLA MARIA CEREALES SRL</t>
  </si>
  <si>
    <t>CUCCHIARA Y CIA. S.A.</t>
  </si>
  <si>
    <t>CULTIVOS SERI SA</t>
  </si>
  <si>
    <t>TAGUAY SA</t>
  </si>
  <si>
    <t>DA VALORES S.A.</t>
  </si>
  <si>
    <t>DEL FABRO HNOS Y CIA SA</t>
  </si>
  <si>
    <t>DESARROLLOS AGRICOLAS DEL SUR SRL</t>
  </si>
  <si>
    <t>DESVIO FUNKE SRL</t>
  </si>
  <si>
    <t>DIAZ OMAR FABIAN</t>
  </si>
  <si>
    <t>DIORSEM SA</t>
  </si>
  <si>
    <t>YABITO SA</t>
  </si>
  <si>
    <t>DOLCINI SUSANA LIDIA</t>
  </si>
  <si>
    <t>DOMINGO BLAS ALEJANDRO</t>
  </si>
  <si>
    <t>DOMINGO R Y NESTOR SCIOLI SA</t>
  </si>
  <si>
    <t>ZANOY AGRO &amp; SERVICIOS SA</t>
  </si>
  <si>
    <t>DON ENRIQUE SRL</t>
  </si>
  <si>
    <t>DON ISIDRO SA</t>
  </si>
  <si>
    <t>DON ITALO S.A.</t>
  </si>
  <si>
    <t>Ninci Aguero S.A.</t>
  </si>
  <si>
    <t>DON OSVALDO Y ASOCIADOS SRL</t>
  </si>
  <si>
    <t>DUTTO OSCAR HECTOR LUIS</t>
  </si>
  <si>
    <t>EZCURRA MIGUEL MARTIN</t>
  </si>
  <si>
    <t>EDUARDO BERAZA SA</t>
  </si>
  <si>
    <t>EL AZAR SA</t>
  </si>
  <si>
    <t>EL BAGRE SRL</t>
  </si>
  <si>
    <t>LA TAJADA SAACEI</t>
  </si>
  <si>
    <t>EL CHELFORO SRL</t>
  </si>
  <si>
    <t>EL ESTERO SA</t>
  </si>
  <si>
    <t>Semillero Catriel SA</t>
  </si>
  <si>
    <t>EL NORTE CORDOBES SRL</t>
  </si>
  <si>
    <t>EL PICAFLOR SRL</t>
  </si>
  <si>
    <t>EL TATA S.R.L</t>
  </si>
  <si>
    <t>EL TEGUA SAS</t>
  </si>
  <si>
    <t>ELORZA AGRO SRL</t>
  </si>
  <si>
    <t>ENRIQUE R. ZENI Y CIA SACIAFEI</t>
  </si>
  <si>
    <t>ESKEL SA</t>
  </si>
  <si>
    <t>ESPARTINA SA</t>
  </si>
  <si>
    <t>ESPINDOLA RAUL RAMON</t>
  </si>
  <si>
    <t>ESTABLECIMIENTO AGRICOLA GANADERO SAN IGNACIO SRL</t>
  </si>
  <si>
    <t>LA RURAL S.R.L.</t>
  </si>
  <si>
    <t>ESTABLECIMIENTO DON AVELINO SRL</t>
  </si>
  <si>
    <t>ESTABLECIMIENTOS LA NEGRA SA</t>
  </si>
  <si>
    <t>ESTACION 226 AGRO SRL</t>
  </si>
  <si>
    <t>ESTANCIA LA CARRETA SA</t>
  </si>
  <si>
    <t>LA CHAMPA SA</t>
  </si>
  <si>
    <t>ESTANCIA TRES BONETES SAU</t>
  </si>
  <si>
    <t>ESTANCIAS DEL TOTORAL SA</t>
  </si>
  <si>
    <t>ESTELA DELLAROSSA SA</t>
  </si>
  <si>
    <t>Fideicomiso Bonterra I</t>
  </si>
  <si>
    <t>FAIN HECTOR E Y GUSTAVO RICARDO Y SERGIO DANIEL SA</t>
  </si>
  <si>
    <t>FALABELLA JUAN GUILLERMO</t>
  </si>
  <si>
    <t>MONTE OVEJERO SCA</t>
  </si>
  <si>
    <t>FCI GALILEO AHORRO</t>
  </si>
  <si>
    <t>FCI GALILEO AHORRO PLUS</t>
  </si>
  <si>
    <t>PRIGIONI AGRO SRL</t>
  </si>
  <si>
    <t>FELIPE CROSETTI SA</t>
  </si>
  <si>
    <t>FERIAS DEL NORTE SACIA</t>
  </si>
  <si>
    <t>TOMAS HNOS Y CIA SA</t>
  </si>
  <si>
    <t>FERRERO ALDO ROBERTO</t>
  </si>
  <si>
    <t>FIDECAL SRL</t>
  </si>
  <si>
    <t>FIDEICOMISO AGROPECUARIO PEYRANO</t>
  </si>
  <si>
    <t>FIDEICOMISO BENEVENTO</t>
  </si>
  <si>
    <t>FIDEICOMISO CHACRAS DE LA VANGUARDIA</t>
  </si>
  <si>
    <t>FIORDANI CAROLA</t>
  </si>
  <si>
    <t>TRES ESTRELLAS SA</t>
  </si>
  <si>
    <t>FIORDANI DOUGLAS</t>
  </si>
  <si>
    <t>FIORDANI RENZI CEREALES S.A.</t>
  </si>
  <si>
    <t>FIRST CAPITAL MARKET SA</t>
  </si>
  <si>
    <t>FLOOD ANDRES</t>
  </si>
  <si>
    <t>FLOR DEL CARDO SRL</t>
  </si>
  <si>
    <t>FOGANTE GERMAN ARIEL</t>
  </si>
  <si>
    <t>FONTANELLAS WALTER ARIEL</t>
  </si>
  <si>
    <t>FRIGORIFICO DE AVES SOYCHU SAICFIA</t>
  </si>
  <si>
    <t>LOS TACURUCES SA</t>
  </si>
  <si>
    <t>FULL AGRO SA</t>
  </si>
  <si>
    <t>LARTIRIGOYEN Y CIA. SA</t>
  </si>
  <si>
    <t>FYOFOODS SAU</t>
  </si>
  <si>
    <t>GALARCE GASTON</t>
  </si>
  <si>
    <t>GALEAZZI SA</t>
  </si>
  <si>
    <t>GALICIA SECURITIES SAU</t>
  </si>
  <si>
    <t>GALLEANO GUSTAVO EDUARDO</t>
  </si>
  <si>
    <t>GARAGRO SOCIEDAD ANONIMA</t>
  </si>
  <si>
    <t>PONCE MICINO RENE ARNALDO LEONEL</t>
  </si>
  <si>
    <t>GARCIA JOSE LUIS</t>
  </si>
  <si>
    <t>GARINO CEREALES SRL</t>
  </si>
  <si>
    <t>GARINO FABIAN JORGE</t>
  </si>
  <si>
    <t>Los Bayos SA</t>
  </si>
  <si>
    <t>GAVIGLIO COMERCIAL SA</t>
  </si>
  <si>
    <t>GEAR SAAICFEI</t>
  </si>
  <si>
    <t>SILAJES SAS</t>
  </si>
  <si>
    <t>GERMINAGRO S.A</t>
  </si>
  <si>
    <t>GESAGRO SA</t>
  </si>
  <si>
    <t>PLANISFERIO SAU</t>
  </si>
  <si>
    <t>GIMBATTI FERNANDO DIEGO</t>
  </si>
  <si>
    <t>GL SEMILLAS SA</t>
  </si>
  <si>
    <t>GLYCINEMAX SA</t>
  </si>
  <si>
    <t>GMA CAPITAL SA</t>
  </si>
  <si>
    <t>GMC VALORES SA</t>
  </si>
  <si>
    <t>GOMEZ EZEQUIEL MATIAS</t>
  </si>
  <si>
    <t>LA MINGA SRL</t>
  </si>
  <si>
    <t>GP AGRO SA</t>
  </si>
  <si>
    <t>GRACAGRO SA</t>
  </si>
  <si>
    <t>GRANOS DEL PLATA SRL</t>
  </si>
  <si>
    <t>GRASSINO JUAN CARLOS</t>
  </si>
  <si>
    <t>GRUPO CONSTRUCTOR BUENOS AIRES ROSARIO SA</t>
  </si>
  <si>
    <t>GRUPO DEL SUR SRL</t>
  </si>
  <si>
    <t>GUAYACAN DE ANTA SA</t>
  </si>
  <si>
    <t>GUAZZARONI GRECO SA</t>
  </si>
  <si>
    <t>VILUCO SA</t>
  </si>
  <si>
    <t>HARAS LA QUEBRADA SA</t>
  </si>
  <si>
    <t>HAYKE SA</t>
  </si>
  <si>
    <t>MANASSERO HNOS SRL</t>
  </si>
  <si>
    <t>HECTOR VIDAL Y ASOC S R L</t>
  </si>
  <si>
    <t>HERMIDA ZAPIOLA SANTIAGO</t>
  </si>
  <si>
    <t>LA ZULEMA SA</t>
  </si>
  <si>
    <t>IMOLA ABEL ELILIO ANTONIO</t>
  </si>
  <si>
    <t>INDUSTRIAL VALORES SA</t>
  </si>
  <si>
    <t>SPEEDAGRO SRL</t>
  </si>
  <si>
    <t>INMAGAR SA</t>
  </si>
  <si>
    <t>TRA SAS</t>
  </si>
  <si>
    <t>INSUMOS DEL CENTRO SA</t>
  </si>
  <si>
    <t>INVERSIONES FINANCIERAS DEL SUR S.A.</t>
  </si>
  <si>
    <t>INVERTIR EN BOLSA SA</t>
  </si>
  <si>
    <t>INVIU SAU</t>
  </si>
  <si>
    <t>IRSA INVERSIONES Y REPRESENTACIONES SA</t>
  </si>
  <si>
    <t>MURATURE ONCATIVO SA</t>
  </si>
  <si>
    <t>IZCO SAS</t>
  </si>
  <si>
    <t>JALA LA JUANITA SA</t>
  </si>
  <si>
    <t>ROUSPIL S.A.</t>
  </si>
  <si>
    <t>JERILDERIE SA</t>
  </si>
  <si>
    <t>JJST SAS</t>
  </si>
  <si>
    <t>JUAMARITA SA</t>
  </si>
  <si>
    <t>KELYMAR SA</t>
  </si>
  <si>
    <t>LA LUCILA SA</t>
  </si>
  <si>
    <t>TISCORNIA NOEL VICTORIA</t>
  </si>
  <si>
    <t>LA UNION DEL SUR S A</t>
  </si>
  <si>
    <t>M.H. CEREALES S.R.L.</t>
  </si>
  <si>
    <t>LABAQUE AGROPECUARIA SA</t>
  </si>
  <si>
    <t>LACAU Y CIA SA</t>
  </si>
  <si>
    <t>MARCHESI JUAN CARLOS</t>
  </si>
  <si>
    <t>LALLI MIGUEL ANGEL</t>
  </si>
  <si>
    <t>LARTIRIGOYEN &amp; OROMI SA</t>
  </si>
  <si>
    <t>LATTUGA GISELLE JAQUELINA</t>
  </si>
  <si>
    <t>TOSQUITA CEREALES S.A</t>
  </si>
  <si>
    <t>LBO S.A.</t>
  </si>
  <si>
    <t>LEDESMA SAAI</t>
  </si>
  <si>
    <t>LEON RABEY E HIJOS SRL</t>
  </si>
  <si>
    <t>LIAG ARGENTINA SAU</t>
  </si>
  <si>
    <t>LIPSA SRL</t>
  </si>
  <si>
    <t>LOS MEDANOS SCA</t>
  </si>
  <si>
    <t>LUNALAND S.R.L.</t>
  </si>
  <si>
    <t>MACCAGNO AGUSTIN DANIEL</t>
  </si>
  <si>
    <t>MACCAGNO NICOLAS</t>
  </si>
  <si>
    <t>OILCO SA</t>
  </si>
  <si>
    <t>MAGNANO PABLO FABIAN</t>
  </si>
  <si>
    <t>MAIOCCO ALEJANDRO EZEQUIEL</t>
  </si>
  <si>
    <t>MIRU AGROPECUARIA SRL</t>
  </si>
  <si>
    <t>MAN AGRO SA</t>
  </si>
  <si>
    <t>MANEXA S.A</t>
  </si>
  <si>
    <t>MANIAGRO SA</t>
  </si>
  <si>
    <t>MANTRA SA</t>
  </si>
  <si>
    <t>SARTORI ALBERTO FRANCISCO</t>
  </si>
  <si>
    <t>MARCHI LUIS MIGUEL</t>
  </si>
  <si>
    <t>MARIO A BERISSO SOC EN COM POR ACCIONES</t>
  </si>
  <si>
    <t>MARTIN LUCAS HORACIO</t>
  </si>
  <si>
    <t>Martin Rafael Raimundo</t>
  </si>
  <si>
    <t>MAS AGRO CENTRO SAS</t>
  </si>
  <si>
    <t>MATIAS AYERZA SAS</t>
  </si>
  <si>
    <t>MAX CAPITAL SA</t>
  </si>
  <si>
    <t>MEINERO ALFREDO</t>
  </si>
  <si>
    <t>MELCHIORI HNOS SA</t>
  </si>
  <si>
    <t>MENTUCCI RAFAEL DARIO</t>
  </si>
  <si>
    <t>MERLO Y MANAVELLA SA</t>
  </si>
  <si>
    <t>METALFOR SA</t>
  </si>
  <si>
    <t>MIL SOLES SRL</t>
  </si>
  <si>
    <t>MIOTTI LORENA ALEJANDRA</t>
  </si>
  <si>
    <t>MOLINO CHABAS SA</t>
  </si>
  <si>
    <t>MONTANARI ROMAN</t>
  </si>
  <si>
    <t>MONTE DEL GATO SA</t>
  </si>
  <si>
    <t>MORIXE HERMANOS SACI</t>
  </si>
  <si>
    <t>MSU SA</t>
  </si>
  <si>
    <t>MSU SERVICIOS SA</t>
  </si>
  <si>
    <t>MURATURE DIEGO, SYLVESTRE BEGNIS CRISTINA</t>
  </si>
  <si>
    <t>MURATURE YARI</t>
  </si>
  <si>
    <t>MYMSA AGRONEGOCIOS SA</t>
  </si>
  <si>
    <t>NUÑEZ GIORGETTI MARIANO ENRIQUE</t>
  </si>
  <si>
    <t>OBRING SA</t>
  </si>
  <si>
    <t>OPIMUS AGRO S.A.</t>
  </si>
  <si>
    <t>OPTION SECURITIES SA</t>
  </si>
  <si>
    <t>OVALLE MARIA BEATRIZ</t>
  </si>
  <si>
    <t>PAMPA BIO SA</t>
  </si>
  <si>
    <t>PARAKEET CAPITAL SA</t>
  </si>
  <si>
    <t>PAREDES CEREALES SOCIEDAD ANONIMA</t>
  </si>
  <si>
    <t>PELAYO AGRONOMIA SA</t>
  </si>
  <si>
    <t>PEREZ BRUGIAFREDDO ALEXIS</t>
  </si>
  <si>
    <t>PETRINI VALORES S.A.</t>
  </si>
  <si>
    <t>PM ORIGEN SA</t>
  </si>
  <si>
    <t>PONZIO GUILLERMO DANIEL</t>
  </si>
  <si>
    <t>POTENCIAR SGR</t>
  </si>
  <si>
    <t>PRIOTTI NANCY MARIA</t>
  </si>
  <si>
    <t>PRO DE MAN SA</t>
  </si>
  <si>
    <t>PROLIP SRL</t>
  </si>
  <si>
    <t>PUENTE HNOS SA</t>
  </si>
  <si>
    <t>R J GAGLIARDO S A</t>
  </si>
  <si>
    <t>RCM SA</t>
  </si>
  <si>
    <t>REALICO AGROSOLUCIONES SRL</t>
  </si>
  <si>
    <t>RODRIGUEZ LUIS MARIA</t>
  </si>
  <si>
    <t>ROMERO OSCAR GUSTAVO</t>
  </si>
  <si>
    <t>ROSARIO VALORES SA</t>
  </si>
  <si>
    <t>ROSENTAL SA</t>
  </si>
  <si>
    <t>ROTAMAR AGRICOLA GANADERA SA</t>
  </si>
  <si>
    <t>TINAREN SA</t>
  </si>
  <si>
    <t>RUBEN ANTONIO GHERGO SRL</t>
  </si>
  <si>
    <t>RUBIO AGUIRRE MANUEL JULIÁN</t>
  </si>
  <si>
    <t>RUBIO MANUEL EDUARDO</t>
  </si>
  <si>
    <t>VITERRA ARGENTINA SA</t>
  </si>
  <si>
    <t>RURAL CERES SA</t>
  </si>
  <si>
    <t>RURALCO SOLUCIONES SA</t>
  </si>
  <si>
    <t>S.L.AGRO NECOCHEA SRL</t>
  </si>
  <si>
    <t>SALSA SA</t>
  </si>
  <si>
    <t>SAN LORENZO SA</t>
  </si>
  <si>
    <t>SANTA MORENA SA</t>
  </si>
  <si>
    <t>SANTIAGO HUMBERTO HUGO</t>
  </si>
  <si>
    <t>SCORZIELLO Y GALELLA S.A.</t>
  </si>
  <si>
    <t>SEDMAK PABLO MIGUEL</t>
  </si>
  <si>
    <t>SEMENTERAS &amp; CEREALES SA</t>
  </si>
  <si>
    <t>SIECON SA</t>
  </si>
  <si>
    <t>SIGMA AGRO SA</t>
  </si>
  <si>
    <t>SIMIENTE S.A.</t>
  </si>
  <si>
    <t>SOBRERO JUAN MIGUEL</t>
  </si>
  <si>
    <t>SOCIEDAD ANONIMA DE CUATRO</t>
  </si>
  <si>
    <t>SOJAS ARGENTINAS SRL</t>
  </si>
  <si>
    <t>SOLFANELLI Y CRAGNOLINI PABLO GUILLERMO</t>
  </si>
  <si>
    <t>SOUTHERN SEEDS PRODUCTION S.A.</t>
  </si>
  <si>
    <t>SOUTHERN SEEDS PRODUCTION SA (CERA)</t>
  </si>
  <si>
    <t>SPECIAL GRAINS S A</t>
  </si>
  <si>
    <t>STONEX SECURITIES SA</t>
  </si>
  <si>
    <t>SURI YACO S.R.L.</t>
  </si>
  <si>
    <t>SURSUNCORSA SAS</t>
  </si>
  <si>
    <t>SYNGENTA AGRO SA</t>
  </si>
  <si>
    <t>TACUAREMBO SA</t>
  </si>
  <si>
    <t>TATAT Agroservicios SA</t>
  </si>
  <si>
    <t>TAY MARIA TERESA</t>
  </si>
  <si>
    <t>TAZZIOLI PATRICIA MONICA</t>
  </si>
  <si>
    <t>TECNO AIRE SRL</t>
  </si>
  <si>
    <t>TERRA VERDE AGRO INSUMOS S.A.</t>
  </si>
  <si>
    <t>THE COMPUTER SRL</t>
  </si>
  <si>
    <t>TILO PAMPA SA</t>
  </si>
  <si>
    <t>TRANSAGRO SA</t>
  </si>
  <si>
    <t>TRANSATLANTICA SA BURSATIL</t>
  </si>
  <si>
    <t>TRUCAGRO SRL</t>
  </si>
  <si>
    <t>UDS AGRO SRL</t>
  </si>
  <si>
    <t>VIDAL CARLOS ALFREDO</t>
  </si>
  <si>
    <t>WIN SECURITIES SA</t>
  </si>
  <si>
    <t>ZAMPIERI RAUL</t>
  </si>
  <si>
    <t>ZORZON</t>
  </si>
  <si>
    <t>ZOFINGEN INFRAESTRUCTURA FCI ABIERTO</t>
  </si>
  <si>
    <t>ZONA RURAL SRL</t>
  </si>
  <si>
    <t>ZORZON MARCELO</t>
  </si>
  <si>
    <t>Total general</t>
  </si>
  <si>
    <t>Margenes a integrar</t>
  </si>
  <si>
    <t>Conversión</t>
  </si>
  <si>
    <t>Ctvo/Bus</t>
  </si>
  <si>
    <t>Usd*tn</t>
  </si>
  <si>
    <t>Soja</t>
  </si>
  <si>
    <t>Maíz</t>
  </si>
  <si>
    <t>Trigo</t>
  </si>
  <si>
    <t>bus</t>
  </si>
  <si>
    <t>tns</t>
  </si>
  <si>
    <t>Producto</t>
  </si>
  <si>
    <t>Coversor precio</t>
  </si>
  <si>
    <t>Conversor tns</t>
  </si>
  <si>
    <t>AGROVERAZ S.A.</t>
  </si>
  <si>
    <t>INTEGRAL ACOPIO SRL</t>
  </si>
  <si>
    <t>SOLUCIONES ALDEBARAN AGRO SRL</t>
  </si>
  <si>
    <t>S.V.T. EMPRENDIMIENTOS S.A.</t>
  </si>
  <si>
    <t>MUCHIUT VIVIANA MILENA, MUCHIUT CECILIA MARIA</t>
  </si>
  <si>
    <t xml:space="preserve"> </t>
  </si>
  <si>
    <t>.00</t>
  </si>
  <si>
    <t>.11 1/8</t>
  </si>
  <si>
    <t>C-</t>
  </si>
  <si>
    <t>.11125000</t>
  </si>
  <si>
    <t>.0000</t>
  </si>
  <si>
    <t>.AS-0000026E</t>
  </si>
  <si>
    <t>MAY 26 SOYBEANS</t>
  </si>
  <si>
    <t>W-</t>
  </si>
  <si>
    <t>W</t>
  </si>
  <si>
    <t>Source.Name</t>
  </si>
  <si>
    <t>13006</t>
  </si>
  <si>
    <t/>
  </si>
  <si>
    <t>10.0000</t>
  </si>
  <si>
    <t>13007</t>
  </si>
  <si>
    <t>13009</t>
  </si>
  <si>
    <t>5.0000</t>
  </si>
  <si>
    <t>20176</t>
  </si>
  <si>
    <t>1.0000</t>
  </si>
  <si>
    <t>6.0000</t>
  </si>
  <si>
    <t>91</t>
  </si>
  <si>
    <t xml:space="preserve"> $</t>
  </si>
  <si>
    <t>VALO SECURITIES SAU</t>
  </si>
  <si>
    <t>CONFIDAS CAPITAL S.A.</t>
  </si>
  <si>
    <t>BLUELAKE CAPITAL S.A.</t>
  </si>
  <si>
    <t xml:space="preserve"> U$S</t>
  </si>
  <si>
    <t>NASINI SA</t>
  </si>
  <si>
    <t xml:space="preserve"> U$S TT</t>
  </si>
  <si>
    <t xml:space="preserve"> U$S MR</t>
  </si>
  <si>
    <t>AGUIRRE JOSE MARIA</t>
  </si>
  <si>
    <t>Aguirre Luis Felipe Bernardo</t>
  </si>
  <si>
    <t>COMERCIAL Y GANADERA DEL NIRIHUAU SA</t>
  </si>
  <si>
    <t>SARTORI MILAGROS</t>
  </si>
  <si>
    <t>YERUTI SA</t>
  </si>
  <si>
    <t>DOMAGRO SA</t>
  </si>
  <si>
    <t>UNION AGRICOLA DE AVELLANEDA COOP LTDA</t>
  </si>
  <si>
    <t>ALFREDO S. MONDINO CEREALES SRL</t>
  </si>
  <si>
    <t>LARTIRIGOYEN IGNACIO</t>
  </si>
  <si>
    <t>PLUMA DE PATO S.A.</t>
  </si>
  <si>
    <t>ADMINISTRACION AGRICOLA S. A.</t>
  </si>
  <si>
    <t>CN AGRO SA</t>
  </si>
  <si>
    <t>BERNARD RAUL PABLO (SCOUT)</t>
  </si>
  <si>
    <t>BELLAMAR ESTANCIAS SA</t>
  </si>
  <si>
    <t>SANTANGELO FRANCISCO VICTOR</t>
  </si>
  <si>
    <t>GDEA SA</t>
  </si>
  <si>
    <t>PONZIO JOSE ADRIAN</t>
  </si>
  <si>
    <t>PORTFOLIO INVESTMENT SA</t>
  </si>
  <si>
    <t>BANCO DE VALORES SA</t>
  </si>
  <si>
    <t>S&amp;C INVERSIONES SA</t>
  </si>
  <si>
    <t>COOPERATIVA DE TAMBEROS LA TORDILLA LTDA</t>
  </si>
  <si>
    <t>PERONI JUAN CARLOS</t>
  </si>
  <si>
    <t>COOPERATIVA AGRICOLA GANADERA Y DE SERVICIOS PUBLICOS ARANGUREN LTDA. (COOPAR)</t>
  </si>
  <si>
    <t>SEMILLERA FUERTES S A</t>
  </si>
  <si>
    <t>LAS LAGUNAS Y ASOCIADOS SA</t>
  </si>
  <si>
    <t>MARTINEZ MARCELO DANIEL</t>
  </si>
  <si>
    <t>RATTO OSCAR EDUARDO, LOSINNO BEATRIZ NORMA</t>
  </si>
  <si>
    <t>VG SA</t>
  </si>
  <si>
    <t>FRIGORIFICO ENTRERRIANO DE PRODUCTORES AVICOLAS SA</t>
  </si>
  <si>
    <t>LARROQUE CEREALES SRL</t>
  </si>
  <si>
    <t>BRIACCHI MARTINA BETIANA</t>
  </si>
  <si>
    <t>BRUERA Y SUSMAN S.R.L.</t>
  </si>
  <si>
    <t>RIBOLDI NORBERTO y RIBOLDI JAVIER OMAR</t>
  </si>
  <si>
    <t>SERVICIOS Y COMBUSTIBLES S.R.L.</t>
  </si>
  <si>
    <t>RAUL JOSE BATET S.R.L.</t>
  </si>
  <si>
    <t>ALLEGRO S.A.</t>
  </si>
  <si>
    <t>MARANI CHIARA MARIA</t>
  </si>
  <si>
    <t>CEREALERA RIO II S.A.</t>
  </si>
  <si>
    <t>AMAGGI ARGENTINA S.A.</t>
  </si>
  <si>
    <t>SUCESION DE MARANI ANTONIO JUAN</t>
  </si>
  <si>
    <t>ALESSO AGRO SA</t>
  </si>
  <si>
    <t>NICOLA AGRO S.A.</t>
  </si>
  <si>
    <t>TURAGLIO CEREALES S.R.L.</t>
  </si>
  <si>
    <t>Perez Claudio Daniel</t>
  </si>
  <si>
    <t>LA DELFINA S.R.L.</t>
  </si>
  <si>
    <t>FOGLIA NESTOR EDUARDO</t>
  </si>
  <si>
    <t>Irastorza Ignacio</t>
  </si>
  <si>
    <t>Zanetti Santino Mirko, Zanetti Mirko Pablo Leonel</t>
  </si>
  <si>
    <t>De Sogos Francisco</t>
  </si>
  <si>
    <t>KERUBE S.A.</t>
  </si>
  <si>
    <t>ARGENETICS SEMILLAS S. A.</t>
  </si>
  <si>
    <t>PROSPERAR S.A.</t>
  </si>
  <si>
    <t>AHUMADA FACUNDO (CERA)</t>
  </si>
  <si>
    <t>NOYA PATRICIA DEL VALLE (CERA)</t>
  </si>
  <si>
    <t>ACIAGRO SA</t>
  </si>
  <si>
    <t>MATBA</t>
  </si>
  <si>
    <t>MATBA ROFEX</t>
  </si>
  <si>
    <t>GDM ARGENTINA SA</t>
  </si>
  <si>
    <t>BRUNO TESAN SA</t>
  </si>
  <si>
    <t>Cereales Centenario Sa.</t>
  </si>
  <si>
    <t>COFINA AGRO CEREALES S A</t>
  </si>
  <si>
    <t>EL CALLEJON SA</t>
  </si>
  <si>
    <t>ESTANCIAS UNIDAS DEL SUD SA</t>
  </si>
  <si>
    <t>FERRERO NORA DEL VALLE</t>
  </si>
  <si>
    <t>FIDEICOMISO SEGASTRE</t>
  </si>
  <si>
    <t>GILARDI LAURO HORACIO</t>
  </si>
  <si>
    <t>Haras R.C.B.Sociedad Anonima</t>
  </si>
  <si>
    <t>LA COMARCA SRL</t>
  </si>
  <si>
    <t>MORETTA JUAN MARCELO</t>
  </si>
  <si>
    <t>ROSSA CARLOS CESAR</t>
  </si>
  <si>
    <t>Vireyes Agropecuaria S.A.</t>
  </si>
  <si>
    <t>VISER SA</t>
  </si>
  <si>
    <t>GROBOCOPATEL HERMANOS SA</t>
  </si>
  <si>
    <t>BYMA</t>
  </si>
  <si>
    <t>MAV</t>
  </si>
  <si>
    <t>Banca Privada</t>
  </si>
  <si>
    <t>MONDINO ALFREDO</t>
  </si>
  <si>
    <t>FRANCISCO FORENZA SA</t>
  </si>
  <si>
    <t>AGROPECUARIA SAN ANTONIO SA</t>
  </si>
  <si>
    <t>VITERRA ACOPIO SA</t>
  </si>
  <si>
    <t>BANCO INDUSTRIAL SD IAM ABIERTO PYMES</t>
  </si>
  <si>
    <t>IRSA PROPIEDADES COMERCIALES S.A</t>
  </si>
  <si>
    <t>PECO SA</t>
  </si>
  <si>
    <t>BATTILANA EUGENIO JUAN</t>
  </si>
  <si>
    <t>KIÑEWEN SA</t>
  </si>
  <si>
    <t>SANTA ANGELINA SA</t>
  </si>
  <si>
    <t>TRUMIL SA</t>
  </si>
  <si>
    <t>RIVARA SA</t>
  </si>
  <si>
    <t>JOSE COSTANTINI SA</t>
  </si>
  <si>
    <t>GANAGRO SA</t>
  </si>
  <si>
    <t>MAE</t>
  </si>
  <si>
    <t>GUAJIRO SA</t>
  </si>
  <si>
    <t>DOS MATES SA</t>
  </si>
  <si>
    <t>LA QUIMERA SA</t>
  </si>
  <si>
    <t>MONTE BUEY AGROPECUARIA SRL</t>
  </si>
  <si>
    <t>GOYAIKE SAACIF</t>
  </si>
  <si>
    <t>BNA SD Pellegrini Empresas Argentinas PyMES</t>
  </si>
  <si>
    <t>CABURE AGROPECUARIA S.A.</t>
  </si>
  <si>
    <t>T&amp;T SAS</t>
  </si>
  <si>
    <t>PETROSURCO SA</t>
  </si>
  <si>
    <t>FIDEICOMISO LA TECA</t>
  </si>
  <si>
    <t>ROBERLA SA</t>
  </si>
  <si>
    <t>CUATRO VIENTOS AGRO SOC RESP LTDA</t>
  </si>
  <si>
    <t>LUMAIKE SA</t>
  </si>
  <si>
    <t>SANTIAGO FRANCISCO IENO</t>
  </si>
  <si>
    <t>CHIMA LETICIA BELEN</t>
  </si>
  <si>
    <t>BVSA SD ST GLOBAL FCI</t>
  </si>
  <si>
    <t>BVSA SD ST GESTION V FCI</t>
  </si>
  <si>
    <t>EL QUINTAL SA</t>
  </si>
  <si>
    <t>LA CUSTODIA SRL</t>
  </si>
  <si>
    <t>YACO S.A.</t>
  </si>
  <si>
    <t>NYBOT</t>
  </si>
  <si>
    <t>BCSA SD ZOFINGEN Pesos24</t>
  </si>
  <si>
    <t>BVSA SD SMSV RENTA EN PesosFCI</t>
  </si>
  <si>
    <t>0,0000</t>
  </si>
  <si>
    <t xml:space="preserve">delta teorico </t>
  </si>
  <si>
    <t>CC vb</t>
  </si>
  <si>
    <t>CC statement</t>
  </si>
  <si>
    <t>Saldo Total</t>
  </si>
  <si>
    <t xml:space="preserve">Dólar </t>
  </si>
  <si>
    <t>BCSA SD ZOFINGEN PESOS 24</t>
  </si>
  <si>
    <t>Dólar Matba Rofex</t>
  </si>
  <si>
    <t>Account Balance - Margin Excess Deficit</t>
  </si>
  <si>
    <t>SUSMAN ADA</t>
  </si>
  <si>
    <t>EL GUAYACAN SRL</t>
  </si>
  <si>
    <t>13.0000</t>
  </si>
  <si>
    <t>Estirar tabla</t>
  </si>
  <si>
    <t>ESTIRAR FORMULAS</t>
  </si>
  <si>
    <t>(en blanco)</t>
  </si>
  <si>
    <t>Usd salida Agro</t>
  </si>
  <si>
    <t>Usd entrada Agro</t>
  </si>
  <si>
    <t>Suma de DF -30%</t>
  </si>
  <si>
    <t>Suma de DF -20%</t>
  </si>
  <si>
    <t>Suma de DF -10%</t>
  </si>
  <si>
    <t>Suma de DF 0%</t>
  </si>
  <si>
    <t>Suma de DF 10%</t>
  </si>
  <si>
    <t>Suma de DF 20%</t>
  </si>
  <si>
    <t>Suma de DF 30%</t>
  </si>
  <si>
    <t>ENTRADA</t>
  </si>
  <si>
    <t>SALIDA</t>
  </si>
  <si>
    <t>Cierre de posición</t>
  </si>
  <si>
    <t>3.0000</t>
  </si>
  <si>
    <t>TOLVAS SA</t>
  </si>
  <si>
    <t>ETCHEVERRY MARTIN ENRIQUE</t>
  </si>
  <si>
    <t>Pharos Capital S.A.</t>
  </si>
  <si>
    <t>.AC-0000026G</t>
  </si>
  <si>
    <t>JUL 26 CORN</t>
  </si>
  <si>
    <t>DON CAPITAL SA</t>
  </si>
  <si>
    <t>Columna1</t>
  </si>
  <si>
    <t>.AC-0000026E</t>
  </si>
  <si>
    <t>MAY 26 CORN</t>
  </si>
  <si>
    <t>.AW-0000026C</t>
  </si>
  <si>
    <t>MAR 26 WHEAT</t>
  </si>
  <si>
    <t>Tablero de CONTROL</t>
  </si>
  <si>
    <t>VISUAL BOLSA</t>
  </si>
  <si>
    <t>Estirar fórmulas de cartera clientes</t>
  </si>
  <si>
    <t>VER CLIENTES CARTERA</t>
  </si>
  <si>
    <t>VER CLIENTES MONITOR</t>
  </si>
  <si>
    <t>Actualizar tablas dinamicas</t>
  </si>
  <si>
    <t>Colocaciones</t>
  </si>
  <si>
    <t>TRIEL S.A.</t>
  </si>
  <si>
    <t>4.48 1/2</t>
  </si>
  <si>
    <t>4.48500000</t>
  </si>
  <si>
    <t>5I11 EMM0</t>
  </si>
  <si>
    <t>SANTO DOMINGO S.R.L.</t>
  </si>
  <si>
    <t>NICOLA FEDERICO GASPAR</t>
  </si>
  <si>
    <t>GARCIA NICOLAS</t>
  </si>
  <si>
    <t>ESTABLECIMIENTO DO#A JULIA SOCIEDAD ANONIMA</t>
  </si>
  <si>
    <t>LA TROJA AGRO SOCIEDAD ANONIMA</t>
  </si>
  <si>
    <t>13005</t>
  </si>
  <si>
    <t>.AS-0117026E</t>
  </si>
  <si>
    <t>CALL MAY 26 SOYBEANS   1170</t>
  </si>
  <si>
    <t>.15 3/8</t>
  </si>
  <si>
    <t>.15375000</t>
  </si>
  <si>
    <t>5I25 zLB0</t>
  </si>
  <si>
    <t>EL MALINCHE S.A.S</t>
  </si>
  <si>
    <t>FIWIND CAPITAL SA</t>
  </si>
  <si>
    <t>GALVEZ CEREALES S. A.</t>
  </si>
  <si>
    <t>MARCOS ALEJANDRO NOYA</t>
  </si>
  <si>
    <t>.AS-0118026E</t>
  </si>
  <si>
    <t>CALL MAY 26 SOYBEANS   1180</t>
  </si>
  <si>
    <t>.13 3/4</t>
  </si>
  <si>
    <t>.13750000</t>
  </si>
  <si>
    <t>5J09 LRx0</t>
  </si>
  <si>
    <t>.AS-0120026E</t>
  </si>
  <si>
    <t>CALL MAY 26 SOYBEANS   1200</t>
  </si>
  <si>
    <t>5J09 L0h0</t>
  </si>
  <si>
    <t>.13 1/2</t>
  </si>
  <si>
    <t>.13500000</t>
  </si>
  <si>
    <t>5J09 MKX0</t>
  </si>
  <si>
    <t>5J09 L0k0</t>
  </si>
  <si>
    <t>5J09 MKZ0</t>
  </si>
  <si>
    <t>5J09 Mb60</t>
  </si>
  <si>
    <t>37.0000</t>
  </si>
  <si>
    <t>ALBERTO CROSSETTI SA</t>
  </si>
  <si>
    <t>NICOLA IGNACIO MARTIN</t>
  </si>
  <si>
    <t>.16 3/4</t>
  </si>
  <si>
    <t>.16750000</t>
  </si>
  <si>
    <t>5J23 YPc0</t>
  </si>
  <si>
    <t>5J23 YVn0</t>
  </si>
  <si>
    <t>5J23 YP20</t>
  </si>
  <si>
    <t>5J23 YWb0</t>
  </si>
  <si>
    <t>5J23 YQL0</t>
  </si>
  <si>
    <t>5J23 YX10</t>
  </si>
  <si>
    <t>13010</t>
  </si>
  <si>
    <t>15.0000</t>
  </si>
  <si>
    <t>10.85 3/4</t>
  </si>
  <si>
    <t>10.85750000</t>
  </si>
  <si>
    <t>5J23 ZMz0</t>
  </si>
  <si>
    <t>10.87</t>
  </si>
  <si>
    <t>10.87000000</t>
  </si>
  <si>
    <t>45.0000</t>
  </si>
  <si>
    <t>5J23 0qs0</t>
  </si>
  <si>
    <t>10.86 1/2</t>
  </si>
  <si>
    <t>10.86500000</t>
  </si>
  <si>
    <t>12.0000</t>
  </si>
  <si>
    <t>5J24 JnG0</t>
  </si>
  <si>
    <t>4.0000</t>
  </si>
  <si>
    <t>5J24 Es50</t>
  </si>
  <si>
    <t>ARMENDARIZ GUSTAVO GABRIEL JESU</t>
  </si>
  <si>
    <t>LANOLEC INVERSIONES SA</t>
  </si>
  <si>
    <t>.AS-0119026C</t>
  </si>
  <si>
    <t>CALL MAR 26 SOYBEANS   1190</t>
  </si>
  <si>
    <t>.14 7/8</t>
  </si>
  <si>
    <t>.14875000</t>
  </si>
  <si>
    <t>5J28 QUD0</t>
  </si>
  <si>
    <t>11.09</t>
  </si>
  <si>
    <t>11.09000000</t>
  </si>
  <si>
    <t>18.0000</t>
  </si>
  <si>
    <t>5J27 Q8g0</t>
  </si>
  <si>
    <t>11.14</t>
  </si>
  <si>
    <t>11.14000000</t>
  </si>
  <si>
    <t>2.0000</t>
  </si>
  <si>
    <t>5J28 RNo0</t>
  </si>
  <si>
    <t>11.18</t>
  </si>
  <si>
    <t>11.18000000</t>
  </si>
  <si>
    <t>5J28 PNj0</t>
  </si>
  <si>
    <t>11.18 1/4</t>
  </si>
  <si>
    <t>11.18250000</t>
  </si>
  <si>
    <t>5J28 P7C0</t>
  </si>
  <si>
    <t>11.20 3/4</t>
  </si>
  <si>
    <t>11.20750000</t>
  </si>
  <si>
    <t>5J28 z9S0</t>
  </si>
  <si>
    <t>Statement</t>
  </si>
  <si>
    <t>ID_Transaccion</t>
  </si>
  <si>
    <t>ID_Calendario</t>
  </si>
  <si>
    <t>ID_Cliente</t>
  </si>
  <si>
    <t>AUM_USD</t>
  </si>
  <si>
    <t>Dim_AUM_FyoCapital.Tipo</t>
  </si>
  <si>
    <t>Dim_AUM_FyoCapital.Subtipo_1</t>
  </si>
  <si>
    <t>Dim_AUM_FyoCapital.Subtipo_2</t>
  </si>
  <si>
    <t>Dim_Calendario.Fecha</t>
  </si>
  <si>
    <t>Dim_Empresas.Codigo_Empresa</t>
  </si>
  <si>
    <t>Dim_Empresas.Descripcion_Clientes</t>
  </si>
  <si>
    <t>Dim_Empresas.CUIT</t>
  </si>
  <si>
    <t>30607597193</t>
  </si>
  <si>
    <t>23137620189</t>
  </si>
  <si>
    <t>20298862272</t>
  </si>
  <si>
    <t>30656087648</t>
  </si>
  <si>
    <t>BALDUCCHI MIGUEL ANGEL</t>
  </si>
  <si>
    <t>20060748978</t>
  </si>
  <si>
    <t>RIBOLDI SA</t>
  </si>
  <si>
    <t>30557902682</t>
  </si>
  <si>
    <t>Cresud SA Comercial Inmobiliaria Financiera Y Agropecuaria</t>
  </si>
  <si>
    <t>30509300700</t>
  </si>
  <si>
    <t>FUTUROS Y OPCIONES COM SA</t>
  </si>
  <si>
    <t>30703605105</t>
  </si>
  <si>
    <t>30710588712</t>
  </si>
  <si>
    <t>30711428069</t>
  </si>
  <si>
    <t>30604731018</t>
  </si>
  <si>
    <t>Dólar</t>
  </si>
  <si>
    <t>30717118509</t>
  </si>
  <si>
    <t>30707907092</t>
  </si>
  <si>
    <t>30711560153</t>
  </si>
  <si>
    <t>30708129840</t>
  </si>
  <si>
    <t>30716085755</t>
  </si>
  <si>
    <t>AGUIRRE LUIS FELIPE BERNARDO</t>
  </si>
  <si>
    <t>20086072751</t>
  </si>
  <si>
    <t>30716843374</t>
  </si>
  <si>
    <t>30509739982</t>
  </si>
  <si>
    <t>30709243752</t>
  </si>
  <si>
    <t>30506176278</t>
  </si>
  <si>
    <t>SANTO DOMINGO SRL</t>
  </si>
  <si>
    <t>30708647027</t>
  </si>
  <si>
    <t>30710971966</t>
  </si>
  <si>
    <t>30505000869</t>
  </si>
  <si>
    <t>20121604621</t>
  </si>
  <si>
    <t>DOMINGO R Y NESTOR SCIOLI S A A G C E I</t>
  </si>
  <si>
    <t>30509821700</t>
  </si>
  <si>
    <t>23227664924</t>
  </si>
  <si>
    <t>30710145128</t>
  </si>
  <si>
    <t>30709993239</t>
  </si>
  <si>
    <t>30713370602</t>
  </si>
  <si>
    <t>33606710629</t>
  </si>
  <si>
    <t>30709476676</t>
  </si>
  <si>
    <t>Bertossi Diego Ruben</t>
  </si>
  <si>
    <t>20230718106</t>
  </si>
  <si>
    <t>30624730174</t>
  </si>
  <si>
    <t>33709086729</t>
  </si>
  <si>
    <t>30656148485</t>
  </si>
  <si>
    <t>30714896063</t>
  </si>
  <si>
    <t>30672043286</t>
  </si>
  <si>
    <t>30698486070</t>
  </si>
  <si>
    <t>30668346908</t>
  </si>
  <si>
    <t>ZORZON MARCELO GABRIEL</t>
  </si>
  <si>
    <t>20217219591</t>
  </si>
  <si>
    <t>20062808153</t>
  </si>
  <si>
    <t>MANASSERO HNOS. SRL</t>
  </si>
  <si>
    <t>30711165378</t>
  </si>
  <si>
    <t>MENZIO SRL</t>
  </si>
  <si>
    <t>30516681744</t>
  </si>
  <si>
    <t>23178856219</t>
  </si>
  <si>
    <t>30657040807</t>
  </si>
  <si>
    <t>30716286378</t>
  </si>
  <si>
    <t>EL TATA SRL</t>
  </si>
  <si>
    <t>30708457678</t>
  </si>
  <si>
    <t>20254544249</t>
  </si>
  <si>
    <t>30711295646</t>
  </si>
  <si>
    <t>30585965118</t>
  </si>
  <si>
    <t>30716267101</t>
  </si>
  <si>
    <t>30716847477</t>
  </si>
  <si>
    <t>30553636007</t>
  </si>
  <si>
    <t>FRIGORIFICO ENTRERRIANO DE PRODUCTORES AVICOLAS S A</t>
  </si>
  <si>
    <t>30516621385</t>
  </si>
  <si>
    <t>SCORZIELLO Y GALELLA SA</t>
  </si>
  <si>
    <t>33561059409</t>
  </si>
  <si>
    <t>30717861600</t>
  </si>
  <si>
    <t>20250721022</t>
  </si>
  <si>
    <t>Adm. Bergmann</t>
  </si>
  <si>
    <t>20083595869</t>
  </si>
  <si>
    <t>FIDEICOMISO BONTERRA I</t>
  </si>
  <si>
    <t>30711877734</t>
  </si>
  <si>
    <t>30714327573</t>
  </si>
  <si>
    <t>30535121032</t>
  </si>
  <si>
    <t>30709747610</t>
  </si>
  <si>
    <t>20389549313</t>
  </si>
  <si>
    <t>30707129316</t>
  </si>
  <si>
    <t>30711832382</t>
  </si>
  <si>
    <t>30712368876</t>
  </si>
  <si>
    <t>30714142174</t>
  </si>
  <si>
    <t>30710948212</t>
  </si>
  <si>
    <t>20147099550</t>
  </si>
  <si>
    <t>20078227940</t>
  </si>
  <si>
    <t>30526412792</t>
  </si>
  <si>
    <t xml:space="preserve">MIL SOLES SRL </t>
  </si>
  <si>
    <t>30714143960</t>
  </si>
  <si>
    <t>23043831739</t>
  </si>
  <si>
    <t>33669088499</t>
  </si>
  <si>
    <t>30693568362</t>
  </si>
  <si>
    <t>20175734253</t>
  </si>
  <si>
    <t>30642478989</t>
  </si>
  <si>
    <t>30628574592</t>
  </si>
  <si>
    <t>MURATURE DIEGO</t>
  </si>
  <si>
    <t>20228864316</t>
  </si>
  <si>
    <t>23263033949</t>
  </si>
  <si>
    <t>SANTA MORENA S.A</t>
  </si>
  <si>
    <t>30708060158</t>
  </si>
  <si>
    <t>20116193028</t>
  </si>
  <si>
    <t>Maiocco Alejandro Ezequiel</t>
  </si>
  <si>
    <t>20302050695</t>
  </si>
  <si>
    <t>Southern Trust</t>
  </si>
  <si>
    <t>33710608909</t>
  </si>
  <si>
    <t>20133140426</t>
  </si>
  <si>
    <t>30646328450</t>
  </si>
  <si>
    <t>SL AGRO NECOCHEA SRL</t>
  </si>
  <si>
    <t>30666363406</t>
  </si>
  <si>
    <t>TRIEL SA</t>
  </si>
  <si>
    <t>30718552164</t>
  </si>
  <si>
    <t>OPIMUS AGRO SA</t>
  </si>
  <si>
    <t>30715062190</t>
  </si>
  <si>
    <t>30711343551</t>
  </si>
  <si>
    <t>30715852892</t>
  </si>
  <si>
    <t>30710338783</t>
  </si>
  <si>
    <t>27102478229</t>
  </si>
  <si>
    <t>30718169247</t>
  </si>
  <si>
    <t>Calabria Andres Agustin</t>
  </si>
  <si>
    <t>20281426274</t>
  </si>
  <si>
    <t>30526076482</t>
  </si>
  <si>
    <t>Kerube Sociedad Anonim</t>
  </si>
  <si>
    <t>30616657344</t>
  </si>
  <si>
    <t>RATTO OSCAR EDUARDO</t>
  </si>
  <si>
    <t>20148095451</t>
  </si>
  <si>
    <t>30711126704</t>
  </si>
  <si>
    <t>30708486058</t>
  </si>
  <si>
    <t>20217573255</t>
  </si>
  <si>
    <t>CAIO BIBILONI Y CIA SRL</t>
  </si>
  <si>
    <t>30708184884</t>
  </si>
  <si>
    <t>20171857342</t>
  </si>
  <si>
    <t>30715442872</t>
  </si>
  <si>
    <t>ALFREDO S MONDINO CEREALES SRL</t>
  </si>
  <si>
    <t>30715948318</t>
  </si>
  <si>
    <t>GALVEZ CEREALES SA</t>
  </si>
  <si>
    <t>30543627522</t>
  </si>
  <si>
    <t>20072082843</t>
  </si>
  <si>
    <t>AGRONOBLE SA</t>
  </si>
  <si>
    <t>30707010564</t>
  </si>
  <si>
    <t>30710703503</t>
  </si>
  <si>
    <t>30708925167</t>
  </si>
  <si>
    <t>20109028240</t>
  </si>
  <si>
    <t>33506737449</t>
  </si>
  <si>
    <t>33708964749</t>
  </si>
  <si>
    <t>30579999396</t>
  </si>
  <si>
    <t>CERROS SERVICIOS AGRICOLAS SA</t>
  </si>
  <si>
    <t>30709960217</t>
  </si>
  <si>
    <t>RIBOLDI NORBERTO JOSE</t>
  </si>
  <si>
    <t>20078762749</t>
  </si>
  <si>
    <t>20221220758</t>
  </si>
  <si>
    <t>RAUL JOSE BATET SRL</t>
  </si>
  <si>
    <t>30708078383</t>
  </si>
  <si>
    <t>LA TROJA AGRO SA</t>
  </si>
  <si>
    <t>30709363502</t>
  </si>
  <si>
    <t>PETROAGRO SA</t>
  </si>
  <si>
    <t>30630720911</t>
  </si>
  <si>
    <t>20288607789</t>
  </si>
  <si>
    <t>Francisco De Sogos</t>
  </si>
  <si>
    <t>20424612082</t>
  </si>
  <si>
    <t xml:space="preserve">AGROMIX SA </t>
  </si>
  <si>
    <t>30710211384</t>
  </si>
  <si>
    <t>33594606049</t>
  </si>
  <si>
    <t>23208253069</t>
  </si>
  <si>
    <t>20162720075</t>
  </si>
  <si>
    <t>PROSPERAR SA</t>
  </si>
  <si>
    <t>30708882816</t>
  </si>
  <si>
    <t>30710669704</t>
  </si>
  <si>
    <t>30716606127</t>
  </si>
  <si>
    <t>20923053590</t>
  </si>
  <si>
    <t>20163949203</t>
  </si>
  <si>
    <t>30634259569</t>
  </si>
  <si>
    <t>30647097967</t>
  </si>
  <si>
    <t>33668853779</t>
  </si>
  <si>
    <t>30676817839</t>
  </si>
  <si>
    <t>27421242459</t>
  </si>
  <si>
    <t>30708587415</t>
  </si>
  <si>
    <t>MUCHIUT VIVIANA MILENA</t>
  </si>
  <si>
    <t>27247019400</t>
  </si>
  <si>
    <t>30680988672</t>
  </si>
  <si>
    <t>33711018129</t>
  </si>
  <si>
    <t>30511848276</t>
  </si>
  <si>
    <t>20230961655</t>
  </si>
  <si>
    <t>20317411031</t>
  </si>
  <si>
    <t>30547090523</t>
  </si>
  <si>
    <t>33666792209</t>
  </si>
  <si>
    <t>ATS AGRO SA</t>
  </si>
  <si>
    <t>30717755037</t>
  </si>
  <si>
    <t>20234715926</t>
  </si>
  <si>
    <t>30684367648</t>
  </si>
  <si>
    <t>30708580771</t>
  </si>
  <si>
    <t>30687194272</t>
  </si>
  <si>
    <t>30717426033</t>
  </si>
  <si>
    <t>30645675947</t>
  </si>
  <si>
    <t>MANEXA SA</t>
  </si>
  <si>
    <t>30711252173</t>
  </si>
  <si>
    <t>30709908371</t>
  </si>
  <si>
    <t>30709228265</t>
  </si>
  <si>
    <t>30629984778</t>
  </si>
  <si>
    <t>30508630510</t>
  </si>
  <si>
    <t>AGROFY PAY SAU</t>
  </si>
  <si>
    <t>30717866408</t>
  </si>
  <si>
    <t>20220444210</t>
  </si>
  <si>
    <t>Dieciocho de Agosto SA</t>
  </si>
  <si>
    <t>33639353899</t>
  </si>
  <si>
    <t>AGRO GANADERA VICEN SRL</t>
  </si>
  <si>
    <t>30674397646</t>
  </si>
  <si>
    <t>30707062076</t>
  </si>
  <si>
    <t>30716180413</t>
  </si>
  <si>
    <t>20134679612</t>
  </si>
  <si>
    <t>30708658819</t>
  </si>
  <si>
    <t>Mentucci Rafael Dario</t>
  </si>
  <si>
    <t>20206876329</t>
  </si>
  <si>
    <t>30584511881</t>
  </si>
  <si>
    <t>30552945006</t>
  </si>
  <si>
    <t>PLUMA DE PATO SA</t>
  </si>
  <si>
    <t>30709888915</t>
  </si>
  <si>
    <t>RURAL CERES S.A.</t>
  </si>
  <si>
    <t>30567668661</t>
  </si>
  <si>
    <t>30513210171</t>
  </si>
  <si>
    <t xml:space="preserve">ADMINISTRACION AGRICOLA SA </t>
  </si>
  <si>
    <t>30708281766</t>
  </si>
  <si>
    <t>30674736920</t>
  </si>
  <si>
    <t>30594884716</t>
  </si>
  <si>
    <t>30685688693</t>
  </si>
  <si>
    <t>SILAJES S.A.S.</t>
  </si>
  <si>
    <t>30716333783</t>
  </si>
  <si>
    <t>TOSQUITA CEREALES SA</t>
  </si>
  <si>
    <t>30585211377</t>
  </si>
  <si>
    <t>30604956281</t>
  </si>
  <si>
    <t>20289493248</t>
  </si>
  <si>
    <t>30616031526</t>
  </si>
  <si>
    <t>Metalfor S.A.</t>
  </si>
  <si>
    <t>30646167775</t>
  </si>
  <si>
    <t>20214027071</t>
  </si>
  <si>
    <t xml:space="preserve">LIPSA SRL </t>
  </si>
  <si>
    <t>30711566771</t>
  </si>
  <si>
    <t>20107482688</t>
  </si>
  <si>
    <t>20174130419</t>
  </si>
  <si>
    <t>27419325894</t>
  </si>
  <si>
    <t>30710880723</t>
  </si>
  <si>
    <t>TERRAPAMPA SA</t>
  </si>
  <si>
    <t>30707787194</t>
  </si>
  <si>
    <t>SVT EMPRENDIMIENTOS SA</t>
  </si>
  <si>
    <t>30710693214</t>
  </si>
  <si>
    <t>PLANISFERIO SOCIEDAD ANONIMA UNIPERSONAL (SAU)</t>
  </si>
  <si>
    <t>33508434559</t>
  </si>
  <si>
    <t>PAGO VIEJO SA</t>
  </si>
  <si>
    <t>30596930685</t>
  </si>
  <si>
    <t>33709002339</t>
  </si>
  <si>
    <t>30716859580</t>
  </si>
  <si>
    <t>30615923040</t>
  </si>
  <si>
    <t>30678678372</t>
  </si>
  <si>
    <t>20236840442</t>
  </si>
  <si>
    <t>30711943524</t>
  </si>
  <si>
    <t>30552686531</t>
  </si>
  <si>
    <t>30537721274</t>
  </si>
  <si>
    <t>30718256832</t>
  </si>
  <si>
    <t>TURAGLIO CEREALES SRL</t>
  </si>
  <si>
    <t>30715484737</t>
  </si>
  <si>
    <t>30717380084</t>
  </si>
  <si>
    <t>30712540970</t>
  </si>
  <si>
    <t>Claudio Daniel Perez</t>
  </si>
  <si>
    <t>20166339880</t>
  </si>
  <si>
    <t>30710623941</t>
  </si>
  <si>
    <t>20169447625</t>
  </si>
  <si>
    <t>27104274582</t>
  </si>
  <si>
    <t>20168935715</t>
  </si>
  <si>
    <t>30715768689</t>
  </si>
  <si>
    <t>20135123928</t>
  </si>
  <si>
    <t>30594732088</t>
  </si>
  <si>
    <t>33693032909</t>
  </si>
  <si>
    <t>20355843468</t>
  </si>
  <si>
    <t>Los Medanos SCA</t>
  </si>
  <si>
    <t>30518690589</t>
  </si>
  <si>
    <t>30509529937</t>
  </si>
  <si>
    <t>AHUMADA FACUNDO</t>
  </si>
  <si>
    <t>23276558579</t>
  </si>
  <si>
    <t>SERVICIOS Y COMBUSTIBLES SRL</t>
  </si>
  <si>
    <t>30708480386</t>
  </si>
  <si>
    <t>30709172499</t>
  </si>
  <si>
    <t>30601456083</t>
  </si>
  <si>
    <t>NINCI - AGUERO SA</t>
  </si>
  <si>
    <t>30708773294</t>
  </si>
  <si>
    <t>20238831327</t>
  </si>
  <si>
    <t>33707173179</t>
  </si>
  <si>
    <t>20206820641</t>
  </si>
  <si>
    <t>30711855641</t>
  </si>
  <si>
    <t>30613318441</t>
  </si>
  <si>
    <t>30645103072</t>
  </si>
  <si>
    <t>30517110767</t>
  </si>
  <si>
    <t>30591413909</t>
  </si>
  <si>
    <t>30708489618</t>
  </si>
  <si>
    <t>30710150520</t>
  </si>
  <si>
    <t>30558314539</t>
  </si>
  <si>
    <t>30525322749</t>
  </si>
  <si>
    <t>27372955541</t>
  </si>
  <si>
    <t>30716296950</t>
  </si>
  <si>
    <t>LA DELFINA SRL</t>
  </si>
  <si>
    <t>30563802754</t>
  </si>
  <si>
    <t>20148976164</t>
  </si>
  <si>
    <t>27202866307</t>
  </si>
  <si>
    <t>30700869918</t>
  </si>
  <si>
    <t>30711661138</t>
  </si>
  <si>
    <t>30710639392</t>
  </si>
  <si>
    <t>Lartirigoyen Y Cia. SA</t>
  </si>
  <si>
    <t>30613985995</t>
  </si>
  <si>
    <t>PAREDES CEREALES SA</t>
  </si>
  <si>
    <t>30700236516</t>
  </si>
  <si>
    <t>30712310592</t>
  </si>
  <si>
    <t>30606733107</t>
  </si>
  <si>
    <t>COOPERATIVA AGRICOLA GANADERA Y DE SERVICIOS PUBL ARANGUREN LTDA.</t>
  </si>
  <si>
    <t>30534003761</t>
  </si>
  <si>
    <t xml:space="preserve">LA RURAL SRL </t>
  </si>
  <si>
    <t>30616196568</t>
  </si>
  <si>
    <t>30619266591</t>
  </si>
  <si>
    <t>30707633197</t>
  </si>
  <si>
    <t>20061267248</t>
  </si>
  <si>
    <t>30643991868</t>
  </si>
  <si>
    <t>RUBIO AGUIRRE MANUEL JULIAN</t>
  </si>
  <si>
    <t>20045839614</t>
  </si>
  <si>
    <t>30686966107</t>
  </si>
  <si>
    <t>ADCAP SECURITIES ARGENTINA S.A</t>
  </si>
  <si>
    <t>30711610126</t>
  </si>
  <si>
    <t>30716510502</t>
  </si>
  <si>
    <t>RURALCO SOLUCIONES S.A.</t>
  </si>
  <si>
    <t>30711873682</t>
  </si>
  <si>
    <t>20209232937</t>
  </si>
  <si>
    <t>EL MALINCHE SAS</t>
  </si>
  <si>
    <t>30708508094</t>
  </si>
  <si>
    <t>20329010067</t>
  </si>
  <si>
    <t>27058535422</t>
  </si>
  <si>
    <t>30508227333</t>
  </si>
  <si>
    <t>20236949746</t>
  </si>
  <si>
    <t>30685853813</t>
  </si>
  <si>
    <t>30627329055</t>
  </si>
  <si>
    <t>SOUTHERN SEEDS PRODUCTION SA</t>
  </si>
  <si>
    <t>30708026669</t>
  </si>
  <si>
    <t>27334894326</t>
  </si>
  <si>
    <t>20146838821</t>
  </si>
  <si>
    <t>30698538631</t>
  </si>
  <si>
    <t>27265746980</t>
  </si>
  <si>
    <t>30707297162</t>
  </si>
  <si>
    <t>30711886326</t>
  </si>
  <si>
    <t>23044378639</t>
  </si>
  <si>
    <t>27381618434</t>
  </si>
  <si>
    <t>30714936901</t>
  </si>
  <si>
    <t>30714143006</t>
  </si>
  <si>
    <t>30709089923</t>
  </si>
  <si>
    <t>30708546476</t>
  </si>
  <si>
    <t>30696755082</t>
  </si>
  <si>
    <t>30644861216</t>
  </si>
  <si>
    <t>33693298569</t>
  </si>
  <si>
    <t>30566855786</t>
  </si>
  <si>
    <t>20112660675</t>
  </si>
  <si>
    <t>30707355375</t>
  </si>
  <si>
    <t>30600615889</t>
  </si>
  <si>
    <t>30708777419</t>
  </si>
  <si>
    <t>20260156595</t>
  </si>
  <si>
    <t>30621083739</t>
  </si>
  <si>
    <t>20319734261</t>
  </si>
  <si>
    <t>30710946333</t>
  </si>
  <si>
    <t>33550247149</t>
  </si>
  <si>
    <t>20245615133</t>
  </si>
  <si>
    <t>Semillera Fuertes SA</t>
  </si>
  <si>
    <t>30606563554</t>
  </si>
  <si>
    <t>30543487348</t>
  </si>
  <si>
    <t>27128309174</t>
  </si>
  <si>
    <t>30709143987</t>
  </si>
  <si>
    <t>30708417943</t>
  </si>
  <si>
    <t>AGROPECUARIA EL CALI SA</t>
  </si>
  <si>
    <t>30712167021</t>
  </si>
  <si>
    <t>30571131591</t>
  </si>
  <si>
    <t>SEMILLERO CATRIEL SA</t>
  </si>
  <si>
    <t>30711756716</t>
  </si>
  <si>
    <t>30715060074</t>
  </si>
  <si>
    <t>30717005380</t>
  </si>
  <si>
    <t>FIORDANI RENZI CEREALES SA</t>
  </si>
  <si>
    <t>30618188244</t>
  </si>
  <si>
    <t>30705468008</t>
  </si>
  <si>
    <t>30714688894</t>
  </si>
  <si>
    <t>30659191101</t>
  </si>
  <si>
    <t>30710863136</t>
  </si>
  <si>
    <t>27278962755</t>
  </si>
  <si>
    <t>30708324546</t>
  </si>
  <si>
    <t>30636130830</t>
  </si>
  <si>
    <t>20226853635</t>
  </si>
  <si>
    <t>JALA LA JUANITA S.A.</t>
  </si>
  <si>
    <t>30711511365</t>
  </si>
  <si>
    <t>30711305528</t>
  </si>
  <si>
    <t>HARAS LA QUEBRADA S A</t>
  </si>
  <si>
    <t>30655396647</t>
  </si>
  <si>
    <t>33682523579</t>
  </si>
  <si>
    <t>30716273179</t>
  </si>
  <si>
    <t>20046876602</t>
  </si>
  <si>
    <t>AGROFY S.A.</t>
  </si>
  <si>
    <t>30714980404</t>
  </si>
  <si>
    <t>30708067322</t>
  </si>
  <si>
    <t>33711610559</t>
  </si>
  <si>
    <t>30703362326</t>
  </si>
  <si>
    <t>30551329832</t>
  </si>
  <si>
    <t>Morixe Hermanos SACIA</t>
  </si>
  <si>
    <t>30525346389</t>
  </si>
  <si>
    <t>30595526511</t>
  </si>
  <si>
    <t>GERMINAGRO SA</t>
  </si>
  <si>
    <t>30716883120</t>
  </si>
  <si>
    <t>NOYA PATRICIA DEL VALLE</t>
  </si>
  <si>
    <t>23255618954</t>
  </si>
  <si>
    <t>30641684216</t>
  </si>
  <si>
    <t>GARAGRO SA</t>
  </si>
  <si>
    <t>30715394894</t>
  </si>
  <si>
    <t>30618705672</t>
  </si>
  <si>
    <t>30601851837</t>
  </si>
  <si>
    <t>Ignacio Irastorza</t>
  </si>
  <si>
    <t>20396327105</t>
  </si>
  <si>
    <t>TATAT AGROSERVICIOS SA</t>
  </si>
  <si>
    <t>30716102773</t>
  </si>
  <si>
    <t>30708616830</t>
  </si>
  <si>
    <t>30618498995</t>
  </si>
  <si>
    <t>23180533559</t>
  </si>
  <si>
    <t>TACUAREMBO S A</t>
  </si>
  <si>
    <t>30643721526</t>
  </si>
  <si>
    <t>30554216079</t>
  </si>
  <si>
    <t>30540962827</t>
  </si>
  <si>
    <t>AVANZAR SA</t>
  </si>
  <si>
    <t>30674846343</t>
  </si>
  <si>
    <t>30711428921</t>
  </si>
  <si>
    <t>30711546967</t>
  </si>
  <si>
    <t>BACS BANCO DE CREDITO Y SECURITIZACION SA</t>
  </si>
  <si>
    <t>30707227415</t>
  </si>
  <si>
    <t>30712086463</t>
  </si>
  <si>
    <t>23130782779</t>
  </si>
  <si>
    <t>Martin Enrique Etcheverry</t>
  </si>
  <si>
    <t>20180684221</t>
  </si>
  <si>
    <t>BRUERA Y SUSMAN SRL</t>
  </si>
  <si>
    <t>30708411961</t>
  </si>
  <si>
    <t>20274814633</t>
  </si>
  <si>
    <t>AGRICOM DEPETRIS SA</t>
  </si>
  <si>
    <t>30715026860</t>
  </si>
  <si>
    <t>GUAZZARONI GRECO SOCIEDAD ANONIMA</t>
  </si>
  <si>
    <t>30542648747</t>
  </si>
  <si>
    <t>20138336337</t>
  </si>
  <si>
    <t>30501912405</t>
  </si>
  <si>
    <t>30708472588</t>
  </si>
  <si>
    <t>30711447543</t>
  </si>
  <si>
    <t>30710630670</t>
  </si>
  <si>
    <t>24180516359</t>
  </si>
  <si>
    <t>20162146867</t>
  </si>
  <si>
    <t>MARTIN RAFAEL RAIMUNDO</t>
  </si>
  <si>
    <t>20252098098</t>
  </si>
  <si>
    <t>ALLEGRO SA</t>
  </si>
  <si>
    <t>30711356742</t>
  </si>
  <si>
    <t>30715266705</t>
  </si>
  <si>
    <t>ALBRECHT AGROPECUARIA SRL</t>
  </si>
  <si>
    <t>30709520640</t>
  </si>
  <si>
    <t>27347813554</t>
  </si>
  <si>
    <t>ARGENETICS SEMILLAS SA</t>
  </si>
  <si>
    <t>30716196832</t>
  </si>
  <si>
    <t>30597264565</t>
  </si>
  <si>
    <t>27222577328</t>
  </si>
  <si>
    <t>ALEA Y CIA SA</t>
  </si>
  <si>
    <t>30663322245</t>
  </si>
  <si>
    <t>30508975372</t>
  </si>
  <si>
    <t>33707648509</t>
  </si>
  <si>
    <t>30596282950</t>
  </si>
  <si>
    <t>30517486678</t>
  </si>
  <si>
    <t>CEREALERA RIO II SA SA</t>
  </si>
  <si>
    <t>30710030088</t>
  </si>
  <si>
    <t>PUERTO ARROYO SECO SA</t>
  </si>
  <si>
    <t>30644215403</t>
  </si>
  <si>
    <t>30557702357</t>
  </si>
  <si>
    <t>30717626695</t>
  </si>
  <si>
    <t>30629430020</t>
  </si>
  <si>
    <t>20210725955</t>
  </si>
  <si>
    <t>30701767515</t>
  </si>
  <si>
    <t>20185610994</t>
  </si>
  <si>
    <t>20061394258</t>
  </si>
  <si>
    <t>30602177765</t>
  </si>
  <si>
    <t>AGROPECUARIA LA COSECHA S A</t>
  </si>
  <si>
    <t>30708024577</t>
  </si>
  <si>
    <t>30710712758</t>
  </si>
  <si>
    <t xml:space="preserve">ESTANCIAS DEL TOTORAL SA </t>
  </si>
  <si>
    <t>30591304336</t>
  </si>
  <si>
    <t>20204541338</t>
  </si>
  <si>
    <t>20142628202</t>
  </si>
  <si>
    <t>30666499820</t>
  </si>
  <si>
    <t>30695647987</t>
  </si>
  <si>
    <t>ATANOR SCA</t>
  </si>
  <si>
    <t>30500658912</t>
  </si>
  <si>
    <t>Fiore Hernan</t>
  </si>
  <si>
    <t>20262705006</t>
  </si>
  <si>
    <t>33502232229</t>
  </si>
  <si>
    <t>30525984385</t>
  </si>
  <si>
    <t>30715422197</t>
  </si>
  <si>
    <t>30709290688</t>
  </si>
  <si>
    <t xml:space="preserve">LABAQUE AGROPECUARIA SA </t>
  </si>
  <si>
    <t>30694320755</t>
  </si>
  <si>
    <t>30547453200</t>
  </si>
  <si>
    <t>20283474047</t>
  </si>
  <si>
    <t>20111653853</t>
  </si>
  <si>
    <t>30708577398</t>
  </si>
  <si>
    <t>LOS BAYOS SA</t>
  </si>
  <si>
    <t>30712158049</t>
  </si>
  <si>
    <t>20104910697</t>
  </si>
  <si>
    <t>30716971917</t>
  </si>
  <si>
    <t>CLIENTE</t>
  </si>
  <si>
    <t>NRO COMITENTE EN SQL</t>
  </si>
  <si>
    <t>CUIT</t>
  </si>
  <si>
    <t>NRO ASIGANDO AL MERCADO</t>
  </si>
  <si>
    <t>CC SQL</t>
  </si>
  <si>
    <t>Nro asignado al mercado</t>
  </si>
  <si>
    <t>Margenes VB</t>
  </si>
  <si>
    <t>Margenes requeridos st</t>
  </si>
  <si>
    <t>Fact_AUM_FyoCapital</t>
  </si>
  <si>
    <t>MonedaOriginal</t>
  </si>
  <si>
    <t>Saldo_USD_Compra</t>
  </si>
  <si>
    <t>Saldo_MonedaOriginal</t>
  </si>
  <si>
    <t>Saldo_USD_Venta</t>
  </si>
  <si>
    <t>Signo_Moneda</t>
  </si>
  <si>
    <t>Dias_SaldoNegativo</t>
  </si>
  <si>
    <t>Dias_SaldoPositivo</t>
  </si>
  <si>
    <t>.13</t>
  </si>
  <si>
    <t>.13000000</t>
  </si>
  <si>
    <t>5J30 Doh0</t>
  </si>
  <si>
    <t>.AC-0000026C</t>
  </si>
  <si>
    <t>MAR 26 CORN</t>
  </si>
  <si>
    <t>4.45 1/2</t>
  </si>
  <si>
    <t>4.45500000</t>
  </si>
  <si>
    <t>5J30 PNI0</t>
  </si>
  <si>
    <t>.AS-0000026A</t>
  </si>
  <si>
    <t>JAN 26 SOYBEANS</t>
  </si>
  <si>
    <t>11.08</t>
  </si>
  <si>
    <t>11.08000000</t>
  </si>
  <si>
    <t>5J30 Pva0</t>
  </si>
  <si>
    <t>5J30 Apn0</t>
  </si>
  <si>
    <t>33716901179</t>
  </si>
  <si>
    <t>11.30 3/4</t>
  </si>
  <si>
    <t>11.30750000</t>
  </si>
  <si>
    <t>5J31 I5E0</t>
  </si>
  <si>
    <t>FUERTES RAQUEL P DE Y OTROS SOC.CAPI SECC IV</t>
  </si>
  <si>
    <t>11.35 3/4</t>
  </si>
  <si>
    <t>11.35750000</t>
  </si>
  <si>
    <t>5K03 BS90</t>
  </si>
  <si>
    <t>11.38 1/2</t>
  </si>
  <si>
    <t>11.38500000</t>
  </si>
  <si>
    <t>74.0000</t>
  </si>
  <si>
    <t>5K03 CYE0</t>
  </si>
  <si>
    <t>11.49</t>
  </si>
  <si>
    <t>11.49000000</t>
  </si>
  <si>
    <t>5K03 MrD0</t>
  </si>
  <si>
    <t>.AS-0120026C</t>
  </si>
  <si>
    <t>CALL MAR 26 SOYBEANS   1200</t>
  </si>
  <si>
    <t>5K04 EJP0</t>
  </si>
  <si>
    <t>11.33</t>
  </si>
  <si>
    <t>11.33000000</t>
  </si>
  <si>
    <t>5K04 J560</t>
  </si>
  <si>
    <t>FUERTES RAQUEL P DE Y OTROS DE RAQUEL P DE FUERTES DANIEL CEFERINO FUERTES MARIA</t>
  </si>
  <si>
    <t>30636396180</t>
  </si>
  <si>
    <t>30657197897</t>
  </si>
  <si>
    <t>AMAGGI ARGENTINA SA</t>
  </si>
  <si>
    <t>30711615519</t>
  </si>
  <si>
    <t>30707129103</t>
  </si>
  <si>
    <t>COOPERATIVA AGRICOLA GANADERA LEON SOLA LTDA</t>
  </si>
  <si>
    <t>.AS-0000026G</t>
  </si>
  <si>
    <t>JUL 26 SOYBEANS</t>
  </si>
  <si>
    <t>11.38</t>
  </si>
  <si>
    <t>11.38000000</t>
  </si>
  <si>
    <t>22.0000</t>
  </si>
  <si>
    <t>5K06 L5D0</t>
  </si>
  <si>
    <t>Gustavo Gabriel Jesus Armendariz</t>
  </si>
  <si>
    <t>20203541040</t>
  </si>
  <si>
    <t>IGNACIO MARTIN NICOLA</t>
  </si>
  <si>
    <t>20274294605</t>
  </si>
  <si>
    <t>30707053468</t>
  </si>
  <si>
    <t>TAZZIOLI PATRICIA, BIOLATO LUCIANA</t>
  </si>
  <si>
    <t>MURATURE SOFIA</t>
  </si>
  <si>
    <t>REMIS NICOLAS</t>
  </si>
  <si>
    <t>475000.00</t>
  </si>
  <si>
    <t>30698529454</t>
  </si>
  <si>
    <t>27113182917</t>
  </si>
  <si>
    <t>20217442258</t>
  </si>
  <si>
    <t>30501250305</t>
  </si>
  <si>
    <t xml:space="preserve">COOPERATIVA AGRICOLA GANADERA LEON SOLA LTDA </t>
  </si>
  <si>
    <t>30534395678</t>
  </si>
  <si>
    <t>LUIS DODERO AGRO SA</t>
  </si>
  <si>
    <t>912797SR9</t>
  </si>
  <si>
    <t>US TREASURY BILL 02/17/2026</t>
  </si>
  <si>
    <t>912797RK5</t>
  </si>
  <si>
    <t>US TREASURY BILL 01/29/2026</t>
  </si>
  <si>
    <t>B</t>
  </si>
  <si>
    <t>L</t>
  </si>
  <si>
    <t>.99080904</t>
  </si>
  <si>
    <t>5J30 MY30</t>
  </si>
  <si>
    <t>.99036988</t>
  </si>
  <si>
    <t>5K13 FWD0</t>
  </si>
  <si>
    <t>TROPFEN S. A.</t>
  </si>
  <si>
    <t>CUSILLOS SA</t>
  </si>
  <si>
    <t>VER ESTE FILTRO!!!!!!!</t>
  </si>
  <si>
    <t>Ver</t>
  </si>
  <si>
    <t>Harina de Soja</t>
  </si>
  <si>
    <t>ver</t>
  </si>
  <si>
    <t>T-BILL</t>
  </si>
  <si>
    <t>Ver  Precios</t>
  </si>
  <si>
    <t>Ver Productos Colocaciones</t>
  </si>
  <si>
    <t>Hay posicion con Harina de soja?</t>
  </si>
  <si>
    <t>.AS-0122026E</t>
  </si>
  <si>
    <t>CALL MAY 26 SOYBEANS   1220</t>
  </si>
  <si>
    <t>.30 1/2</t>
  </si>
  <si>
    <t>.30500000</t>
  </si>
  <si>
    <t>5K18 WeL0</t>
  </si>
  <si>
    <t>.31</t>
  </si>
  <si>
    <t>.31000000</t>
  </si>
  <si>
    <t>5K18 JH90</t>
  </si>
  <si>
    <t>5K18 Wel0</t>
  </si>
  <si>
    <t>5K18 JH80</t>
  </si>
  <si>
    <t>4.49 3/4</t>
  </si>
  <si>
    <t>4.49750000</t>
  </si>
  <si>
    <t>5K17 GcE0</t>
  </si>
  <si>
    <t>11.55</t>
  </si>
  <si>
    <t>11.55000000</t>
  </si>
  <si>
    <t>5K17 FNb0</t>
  </si>
  <si>
    <t>11.71</t>
  </si>
  <si>
    <t>11.71000000</t>
  </si>
  <si>
    <t>5K17 FFT0</t>
  </si>
  <si>
    <t>11.68</t>
  </si>
  <si>
    <t>11.68000000</t>
  </si>
  <si>
    <t>5K18 P410</t>
  </si>
  <si>
    <t>Saldos Monetarios</t>
  </si>
  <si>
    <t>Cauciones</t>
  </si>
  <si>
    <t>Colocadora</t>
  </si>
  <si>
    <t>Títulos</t>
  </si>
  <si>
    <t>Títulos Públicos Internacionales</t>
  </si>
  <si>
    <t>FCI</t>
  </si>
  <si>
    <t>Riesgo Alto - Perfil Agresivo</t>
  </si>
  <si>
    <t>Industrial Asset Management S.G.F.C.I.S.A.</t>
  </si>
  <si>
    <t>Títulos Públicos</t>
  </si>
  <si>
    <t>Riesgo Bajo - Perfil Conservador</t>
  </si>
  <si>
    <t>Acciones</t>
  </si>
  <si>
    <t>Mega QM S.A</t>
  </si>
  <si>
    <t>Riesgo Medio - Perfil Moderado</t>
  </si>
  <si>
    <t>Galileo Argentina S.G.F.C.I.S.A.</t>
  </si>
  <si>
    <t>INVESTIS ASSET MANAGEMENT S.A.S.G.F.C.I.</t>
  </si>
  <si>
    <t>Pagaré</t>
  </si>
  <si>
    <t>Obligaciones Negociables</t>
  </si>
  <si>
    <t>CEDEAR</t>
  </si>
  <si>
    <t>Tomadora</t>
  </si>
  <si>
    <t>Letras</t>
  </si>
  <si>
    <t>Parakeet S.G.F.C.I.S.A.</t>
  </si>
  <si>
    <t>Bacs Administradora de Activos S.G.F.C.I.S.A.</t>
  </si>
  <si>
    <t>Acciones Extranjeras</t>
  </si>
  <si>
    <t>E-Cheq</t>
  </si>
  <si>
    <t>Southern Trust S.G.F.C.I.S.A.</t>
  </si>
  <si>
    <t>TROPFEN SA</t>
  </si>
  <si>
    <t>30715426168</t>
  </si>
  <si>
    <t>Obligaciones Negociables Internacionales</t>
  </si>
  <si>
    <t>Usd a integrar sin FASA</t>
  </si>
  <si>
    <t>Usd salida Agro sin FASA</t>
  </si>
  <si>
    <t>Usd entrada Agro sin FASA</t>
  </si>
  <si>
    <t>con FASA</t>
  </si>
  <si>
    <t>sin FASA</t>
  </si>
  <si>
    <t>Usd a integrar FASA</t>
  </si>
  <si>
    <t>Usd salida Agro FASA</t>
  </si>
  <si>
    <t>Usd entrada Agro FASA</t>
  </si>
  <si>
    <t>4.57</t>
  </si>
  <si>
    <t>4.57000000</t>
  </si>
  <si>
    <t>5K19 AP00</t>
  </si>
  <si>
    <t>GRUPO EL JAQUE S.A.</t>
  </si>
  <si>
    <t>CAMPO ALEGRE SA</t>
  </si>
  <si>
    <t>30658313645</t>
  </si>
  <si>
    <t>GRUPO EL JAQUE SA</t>
  </si>
  <si>
    <t>30716141078</t>
  </si>
  <si>
    <t>5.40 1/4</t>
  </si>
  <si>
    <t>5.40250000</t>
  </si>
  <si>
    <t>5K26 OWv0</t>
  </si>
  <si>
    <t>5.41</t>
  </si>
  <si>
    <t>5.41000000</t>
  </si>
  <si>
    <t>5K26 OHh0</t>
  </si>
  <si>
    <t>5.42</t>
  </si>
  <si>
    <t>5.42000000</t>
  </si>
  <si>
    <t>17.0000</t>
  </si>
  <si>
    <t>5K26 NUM0</t>
  </si>
  <si>
    <t>BVSA SD PARAKEET RENTA PESOS FCI</t>
  </si>
  <si>
    <t>30713037806</t>
  </si>
  <si>
    <t>9/12/2025</t>
  </si>
  <si>
    <t>ROCIO VICENTIN</t>
  </si>
  <si>
    <t>GAVIÑA GOMEZ VALENTIN</t>
  </si>
  <si>
    <t>csvnmny_nmny_20251208.csv</t>
  </si>
  <si>
    <t>17887.50</t>
  </si>
  <si>
    <t>3400.00</t>
  </si>
  <si>
    <t>21287.50</t>
  </si>
  <si>
    <t>csvnpos_npos_20251208.csv</t>
  </si>
  <si>
    <t>0,3160</t>
  </si>
  <si>
    <t>.AS-0115026C</t>
  </si>
  <si>
    <t>CALL MAR 26 SOYBEANS   1150</t>
  </si>
  <si>
    <t>.17 1/8</t>
  </si>
  <si>
    <t>.17125000</t>
  </si>
  <si>
    <t>5L05 G9l0</t>
  </si>
  <si>
    <t>0,2870</t>
  </si>
  <si>
    <t>0,2860</t>
  </si>
  <si>
    <t>0,2310</t>
  </si>
  <si>
    <t>0,1860</t>
  </si>
  <si>
    <t>5L05 G9k0</t>
  </si>
  <si>
    <t>0,1540</t>
  </si>
  <si>
    <t>0,1320</t>
  </si>
  <si>
    <t>20.0000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</si>
</sst>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1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-* #,##0_-;\-* #,##0_-;_-* &quot;-&quot;??_-;_-@_-"/>
    <numFmt numFmtId="165" formatCode="#,##0.00,,"/>
    <numFmt numFmtId="166" formatCode="[$USD]\ #,##0"/>
    <numFmt numFmtId="167" formatCode="0.000"/>
    <numFmt numFmtId="168" formatCode="_ &quot;$&quot;\ * #,##0.00_ ;_ &quot;$&quot;\ * \-#,##0.00_ ;_ &quot;$&quot;\ * &quot;-&quot;??_ ;_ @_ "/>
    <numFmt numFmtId="169" formatCode="_ * #,##0.00_ ;_ * \-#,##0.00_ ;_ * &quot;-&quot;??_ ;_ @_ "/>
    <numFmt numFmtId="170" formatCode="_-&quot;£&quot;* #,##0.00_-;\-&quot;£&quot;* #,##0.00_-;_-&quot;£&quot;* &quot;-&quot;??_-;_-@_-"/>
    <numFmt numFmtId="171" formatCode="_-&quot;$&quot;* #,##0.00_-;\-&quot;$&quot;* #,##0.00_-;_-&quot;$&quot;* &quot;-&quot;??_-;_-@_-"/>
    <numFmt numFmtId="172" formatCode="_(&quot;£&quot;* #,##0.00_);_(&quot;£&quot;* \(#,##0.00\);_(&quot;£&quot;* &quot;-&quot;??_);_(@_)"/>
  </numFmts>
  <fonts count="3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9"/>
      <color rgb="FFFFFFFF"/>
      <name val="Times New Roman"/>
      <family val="2"/>
    </font>
    <font>
      <b/>
      <sz val="11"/>
      <color rgb="FFFF0000"/>
      <name val="Aptos Narrow"/>
      <family val="2"/>
      <scheme val="minor"/>
    </font>
    <font>
      <i/>
      <sz val="9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rgb="FF000000"/>
      <name val="Calibri"/>
      <family val="2"/>
    </font>
    <font>
      <sz val="10"/>
      <name val="Arial"/>
      <family val="2"/>
    </font>
    <font>
      <sz val="10"/>
      <color rgb="FF000000"/>
      <name val="Arial"/>
      <family val="2"/>
    </font>
    <font>
      <sz val="11"/>
      <color indexed="8"/>
      <name val="Calibri"/>
      <family val="2"/>
    </font>
    <font>
      <sz val="11"/>
      <color rgb="FF9C6500"/>
      <name val="Aptos Narrow"/>
      <family val="2"/>
      <scheme val="minor"/>
    </font>
    <font>
      <b/>
      <sz val="18"/>
      <color theme="3"/>
      <name val="Aptos Display"/>
      <family val="2"/>
      <scheme val="major"/>
    </font>
    <font>
      <sz val="8"/>
      <name val="Aptos Narrow"/>
      <family val="2"/>
      <scheme val="minor"/>
    </font>
  </fonts>
  <fills count="52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lightUp"/>
    </fill>
    <fill>
      <patternFill patternType="solid">
        <fgColor rgb="FFFFFF00"/>
        <bgColor indexed="64"/>
      </patternFill>
    </fill>
    <fill>
      <patternFill patternType="solid">
        <fgColor rgb="FF0099FF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2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A9A9A9"/>
      </left>
      <right/>
      <top/>
      <bottom/>
      <diagonal/>
    </border>
    <border>
      <left/>
      <right style="thin">
        <color rgb="FFA9A9A9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799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26" fillId="0" borderId="0"/>
    <xf numFmtId="0" fontId="26" fillId="0" borderId="0"/>
    <xf numFmtId="0" fontId="25" fillId="0" borderId="0"/>
    <xf numFmtId="0" fontId="1" fillId="0" borderId="0"/>
    <xf numFmtId="0" fontId="1" fillId="0" borderId="0"/>
    <xf numFmtId="0" fontId="25" fillId="0" borderId="0"/>
    <xf numFmtId="0" fontId="1" fillId="8" borderId="8" applyNumberFormat="0" applyFont="0" applyAlignment="0" applyProtection="0"/>
    <xf numFmtId="9" fontId="26" fillId="0" borderId="0" quotePrefix="1" applyFont="0" applyFill="0" applyBorder="0" applyAlignment="0">
      <protection locked="0"/>
    </xf>
    <xf numFmtId="0" fontId="26" fillId="0" borderId="0"/>
    <xf numFmtId="9" fontId="26" fillId="0" borderId="0" quotePrefix="1" applyFont="0" applyFill="0" applyBorder="0" applyAlignment="0">
      <protection locked="0"/>
    </xf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0" fontId="27" fillId="0" borderId="0"/>
    <xf numFmtId="9" fontId="27" fillId="0" borderId="0" applyFont="0" applyFill="0" applyBorder="0" applyAlignment="0" applyProtection="0"/>
    <xf numFmtId="168" fontId="27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27" fillId="0" borderId="0" applyFont="0" applyFill="0" applyBorder="0" applyAlignment="0" applyProtection="0"/>
    <xf numFmtId="0" fontId="1" fillId="0" borderId="0"/>
    <xf numFmtId="169" fontId="1" fillId="0" borderId="0" applyFont="0" applyFill="0" applyBorder="0" applyAlignment="0" applyProtection="0"/>
    <xf numFmtId="0" fontId="1" fillId="0" borderId="0"/>
    <xf numFmtId="0" fontId="26" fillId="0" borderId="0"/>
    <xf numFmtId="169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168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168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0" fontId="27" fillId="0" borderId="0"/>
    <xf numFmtId="0" fontId="27" fillId="0" borderId="0"/>
    <xf numFmtId="0" fontId="27" fillId="0" borderId="0"/>
    <xf numFmtId="0" fontId="27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27" fillId="0" borderId="0"/>
    <xf numFmtId="170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26" fillId="0" borderId="0"/>
    <xf numFmtId="0" fontId="27" fillId="0" borderId="0"/>
    <xf numFmtId="170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7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0" fontId="27" fillId="0" borderId="0"/>
    <xf numFmtId="9" fontId="27" fillId="0" borderId="0" applyFont="0" applyFill="0" applyBorder="0" applyAlignment="0" applyProtection="0"/>
    <xf numFmtId="168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0" fontId="27" fillId="0" borderId="0"/>
    <xf numFmtId="168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0" fontId="27" fillId="0" borderId="0"/>
    <xf numFmtId="0" fontId="27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27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26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7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7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7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7" fillId="0" borderId="0"/>
    <xf numFmtId="43" fontId="1" fillId="0" borderId="0" applyFont="0" applyFill="0" applyBorder="0" applyAlignment="0" applyProtection="0"/>
    <xf numFmtId="0" fontId="27" fillId="0" borderId="0"/>
    <xf numFmtId="43" fontId="1" fillId="0" borderId="0" applyFont="0" applyFill="0" applyBorder="0" applyAlignment="0" applyProtection="0"/>
    <xf numFmtId="0" fontId="27" fillId="0" borderId="0"/>
    <xf numFmtId="0" fontId="27" fillId="0" borderId="0"/>
    <xf numFmtId="169" fontId="28" fillId="0" borderId="0" applyFont="0" applyFill="0" applyBorder="0" applyAlignment="0" applyProtection="0"/>
    <xf numFmtId="0" fontId="26" fillId="0" borderId="0"/>
    <xf numFmtId="0" fontId="25" fillId="0" borderId="0"/>
    <xf numFmtId="9" fontId="28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7" fillId="0" borderId="0"/>
    <xf numFmtId="0" fontId="27" fillId="0" borderId="0"/>
    <xf numFmtId="43" fontId="1" fillId="0" borderId="0" applyFont="0" applyFill="0" applyBorder="0" applyAlignment="0" applyProtection="0"/>
    <xf numFmtId="0" fontId="27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9" fillId="4" borderId="0" applyNumberFormat="0" applyBorder="0" applyAlignment="0" applyProtection="0"/>
    <xf numFmtId="0" fontId="17" fillId="12" borderId="0" applyNumberFormat="0" applyBorder="0" applyAlignment="0" applyProtection="0"/>
    <xf numFmtId="0" fontId="17" fillId="16" borderId="0" applyNumberFormat="0" applyBorder="0" applyAlignment="0" applyProtection="0"/>
    <xf numFmtId="0" fontId="17" fillId="20" borderId="0" applyNumberFormat="0" applyBorder="0" applyAlignment="0" applyProtection="0"/>
    <xf numFmtId="0" fontId="17" fillId="24" borderId="0" applyNumberFormat="0" applyBorder="0" applyAlignment="0" applyProtection="0"/>
    <xf numFmtId="0" fontId="17" fillId="28" borderId="0" applyNumberFormat="0" applyBorder="0" applyAlignment="0" applyProtection="0"/>
    <xf numFmtId="0" fontId="17" fillId="32" borderId="0" applyNumberFormat="0" applyBorder="0" applyAlignment="0" applyProtection="0"/>
    <xf numFmtId="0" fontId="30" fillId="0" borderId="0" applyNumberFormat="0" applyFill="0" applyBorder="0" applyAlignment="0" applyProtection="0"/>
    <xf numFmtId="0" fontId="27" fillId="0" borderId="0"/>
    <xf numFmtId="168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26" fillId="0" borderId="0" quotePrefix="1" applyFont="0" applyFill="0" applyBorder="0" applyAlignment="0">
      <protection locked="0"/>
    </xf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quotePrefix="1" applyFont="0" applyFill="0" applyBorder="0" applyAlignment="0">
      <protection locked="0"/>
    </xf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68" fontId="27" fillId="0" borderId="0" applyFont="0" applyFill="0" applyBorder="0" applyAlignment="0" applyProtection="0"/>
    <xf numFmtId="0" fontId="27" fillId="8" borderId="8" applyNumberFormat="0" applyFont="0" applyAlignment="0" applyProtection="0"/>
    <xf numFmtId="0" fontId="17" fillId="12" borderId="0" applyNumberFormat="0" applyBorder="0" applyAlignment="0" applyProtection="0"/>
    <xf numFmtId="0" fontId="17" fillId="16" borderId="0" applyNumberFormat="0" applyBorder="0" applyAlignment="0" applyProtection="0"/>
    <xf numFmtId="0" fontId="17" fillId="32" borderId="0" applyNumberFormat="0" applyBorder="0" applyAlignment="0" applyProtection="0"/>
    <xf numFmtId="168" fontId="27" fillId="0" borderId="0" applyFont="0" applyFill="0" applyBorder="0" applyAlignment="0" applyProtection="0"/>
    <xf numFmtId="0" fontId="27" fillId="8" borderId="8" applyNumberFormat="0" applyFont="0" applyAlignment="0" applyProtection="0"/>
    <xf numFmtId="43" fontId="27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8" fontId="27" fillId="0" borderId="0" applyFont="0" applyFill="0" applyBorder="0" applyAlignment="0" applyProtection="0"/>
    <xf numFmtId="0" fontId="27" fillId="8" borderId="8" applyNumberFormat="0" applyFont="0" applyAlignment="0" applyProtection="0"/>
    <xf numFmtId="168" fontId="27" fillId="0" borderId="0" applyFont="0" applyFill="0" applyBorder="0" applyAlignment="0" applyProtection="0"/>
    <xf numFmtId="0" fontId="27" fillId="8" borderId="8" applyNumberFormat="0" applyFont="0" applyAlignment="0" applyProtection="0"/>
    <xf numFmtId="9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7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quotePrefix="1" applyFont="0" applyFill="0" applyBorder="0" applyAlignment="0">
      <protection locked="0"/>
    </xf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24">
    <xf numFmtId="0" fontId="0" fillId="0" borderId="0" xfId="0"/>
    <xf numFmtId="3" fontId="0" fillId="0" borderId="0" xfId="0" applyNumberFormat="1"/>
    <xf numFmtId="0" fontId="16" fillId="33" borderId="0" xfId="0" applyFont="1" applyFill="1"/>
    <xf numFmtId="9" fontId="18" fillId="35" borderId="10" xfId="0" applyNumberFormat="1" applyFont="1" applyFill="1" applyBorder="1" applyAlignment="1">
      <alignment horizontal="center" vertical="center" wrapText="1" readingOrder="1"/>
    </xf>
    <xf numFmtId="9" fontId="18" fillId="35" borderId="0" xfId="0" applyNumberFormat="1" applyFont="1" applyFill="1" applyAlignment="1">
      <alignment horizontal="center" vertical="center" wrapText="1" readingOrder="1"/>
    </xf>
    <xf numFmtId="9" fontId="18" fillId="35" borderId="11" xfId="0" applyNumberFormat="1" applyFont="1" applyFill="1" applyBorder="1" applyAlignment="1">
      <alignment horizontal="center" vertical="center" wrapText="1" readingOrder="1"/>
    </xf>
    <xf numFmtId="43" fontId="0" fillId="0" borderId="0" xfId="1" applyFont="1"/>
    <xf numFmtId="164" fontId="0" fillId="0" borderId="0" xfId="1" applyNumberFormat="1" applyFont="1"/>
    <xf numFmtId="0" fontId="19" fillId="39" borderId="0" xfId="0" applyFont="1" applyFill="1"/>
    <xf numFmtId="0" fontId="0" fillId="41" borderId="15" xfId="0" applyFill="1" applyBorder="1"/>
    <xf numFmtId="3" fontId="0" fillId="41" borderId="16" xfId="0" applyNumberFormat="1" applyFill="1" applyBorder="1" applyAlignment="1">
      <alignment horizontal="center" vertical="center"/>
    </xf>
    <xf numFmtId="44" fontId="0" fillId="41" borderId="0" xfId="2" applyFont="1" applyFill="1" applyBorder="1"/>
    <xf numFmtId="0" fontId="0" fillId="41" borderId="0" xfId="0" applyFill="1"/>
    <xf numFmtId="3" fontId="0" fillId="41" borderId="17" xfId="0" applyNumberFormat="1" applyFill="1" applyBorder="1"/>
    <xf numFmtId="3" fontId="0" fillId="42" borderId="16" xfId="0" applyNumberFormat="1" applyFill="1" applyBorder="1" applyAlignment="1">
      <alignment horizontal="center" vertical="center"/>
    </xf>
    <xf numFmtId="3" fontId="0" fillId="41" borderId="0" xfId="0" applyNumberFormat="1" applyFill="1" applyAlignment="1">
      <alignment horizontal="center" vertical="center"/>
    </xf>
    <xf numFmtId="0" fontId="20" fillId="41" borderId="18" xfId="0" applyFont="1" applyFill="1" applyBorder="1"/>
    <xf numFmtId="0" fontId="0" fillId="41" borderId="17" xfId="0" applyFill="1" applyBorder="1"/>
    <xf numFmtId="164" fontId="0" fillId="41" borderId="0" xfId="1" applyNumberFormat="1" applyFont="1" applyFill="1" applyBorder="1" applyAlignment="1">
      <alignment horizontal="center" vertical="center"/>
    </xf>
    <xf numFmtId="164" fontId="0" fillId="41" borderId="17" xfId="1" applyNumberFormat="1" applyFont="1" applyFill="1" applyBorder="1" applyAlignment="1">
      <alignment horizontal="center" vertical="center"/>
    </xf>
    <xf numFmtId="0" fontId="21" fillId="41" borderId="12" xfId="0" applyFont="1" applyFill="1" applyBorder="1"/>
    <xf numFmtId="0" fontId="21" fillId="41" borderId="18" xfId="0" applyFont="1" applyFill="1" applyBorder="1"/>
    <xf numFmtId="164" fontId="21" fillId="41" borderId="0" xfId="1" applyNumberFormat="1" applyFont="1" applyFill="1" applyBorder="1"/>
    <xf numFmtId="0" fontId="22" fillId="43" borderId="18" xfId="0" applyFont="1" applyFill="1" applyBorder="1"/>
    <xf numFmtId="164" fontId="22" fillId="43" borderId="0" xfId="1" applyNumberFormat="1" applyFont="1" applyFill="1" applyBorder="1"/>
    <xf numFmtId="164" fontId="22" fillId="43" borderId="17" xfId="1" applyNumberFormat="1" applyFont="1" applyFill="1" applyBorder="1"/>
    <xf numFmtId="0" fontId="0" fillId="41" borderId="18" xfId="0" applyFill="1" applyBorder="1"/>
    <xf numFmtId="9" fontId="16" fillId="44" borderId="17" xfId="0" applyNumberFormat="1" applyFont="1" applyFill="1" applyBorder="1"/>
    <xf numFmtId="165" fontId="0" fillId="41" borderId="17" xfId="0" applyNumberFormat="1" applyFill="1" applyBorder="1"/>
    <xf numFmtId="0" fontId="16" fillId="37" borderId="18" xfId="0" applyFont="1" applyFill="1" applyBorder="1"/>
    <xf numFmtId="165" fontId="16" fillId="37" borderId="17" xfId="0" applyNumberFormat="1" applyFont="1" applyFill="1" applyBorder="1"/>
    <xf numFmtId="0" fontId="0" fillId="36" borderId="19" xfId="0" applyFill="1" applyBorder="1"/>
    <xf numFmtId="166" fontId="0" fillId="36" borderId="20" xfId="0" applyNumberFormat="1" applyFill="1" applyBorder="1"/>
    <xf numFmtId="166" fontId="0" fillId="36" borderId="21" xfId="0" applyNumberFormat="1" applyFill="1" applyBorder="1"/>
    <xf numFmtId="9" fontId="16" fillId="44" borderId="0" xfId="0" applyNumberFormat="1" applyFont="1" applyFill="1"/>
    <xf numFmtId="165" fontId="0" fillId="41" borderId="0" xfId="0" applyNumberFormat="1" applyFill="1"/>
    <xf numFmtId="165" fontId="16" fillId="37" borderId="0" xfId="0" applyNumberFormat="1" applyFont="1" applyFill="1"/>
    <xf numFmtId="0" fontId="0" fillId="0" borderId="0" xfId="0" applyAlignment="1">
      <alignment vertical="center"/>
    </xf>
    <xf numFmtId="0" fontId="16" fillId="0" borderId="0" xfId="0" applyFont="1"/>
    <xf numFmtId="0" fontId="16" fillId="38" borderId="0" xfId="0" applyFont="1" applyFill="1"/>
    <xf numFmtId="166" fontId="16" fillId="38" borderId="0" xfId="1" applyNumberFormat="1" applyFont="1" applyFill="1"/>
    <xf numFmtId="164" fontId="0" fillId="0" borderId="0" xfId="1" applyNumberFormat="1" applyFont="1" applyBorder="1"/>
    <xf numFmtId="164" fontId="0" fillId="0" borderId="0" xfId="0" applyNumberFormat="1"/>
    <xf numFmtId="164" fontId="0" fillId="0" borderId="18" xfId="1" applyNumberFormat="1" applyFont="1" applyBorder="1"/>
    <xf numFmtId="164" fontId="0" fillId="0" borderId="17" xfId="1" applyNumberFormat="1" applyFont="1" applyBorder="1"/>
    <xf numFmtId="43" fontId="16" fillId="0" borderId="19" xfId="1" applyFont="1" applyBorder="1"/>
    <xf numFmtId="43" fontId="16" fillId="0" borderId="20" xfId="1" applyFont="1" applyBorder="1"/>
    <xf numFmtId="43" fontId="16" fillId="0" borderId="21" xfId="1" applyFont="1" applyBorder="1"/>
    <xf numFmtId="0" fontId="16" fillId="34" borderId="0" xfId="0" applyFont="1" applyFill="1"/>
    <xf numFmtId="0" fontId="23" fillId="47" borderId="0" xfId="0" applyFont="1" applyFill="1"/>
    <xf numFmtId="0" fontId="22" fillId="33" borderId="0" xfId="0" applyFont="1" applyFill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7" xfId="0" applyBorder="1"/>
    <xf numFmtId="0" fontId="0" fillId="0" borderId="20" xfId="0" applyBorder="1"/>
    <xf numFmtId="0" fontId="0" fillId="0" borderId="21" xfId="0" applyBorder="1"/>
    <xf numFmtId="0" fontId="14" fillId="48" borderId="0" xfId="0" applyFont="1" applyFill="1"/>
    <xf numFmtId="167" fontId="14" fillId="39" borderId="0" xfId="0" applyNumberFormat="1" applyFont="1" applyFill="1"/>
    <xf numFmtId="0" fontId="0" fillId="48" borderId="0" xfId="0" applyFill="1"/>
    <xf numFmtId="0" fontId="0" fillId="48" borderId="0" xfId="0" applyFill="1" applyAlignment="1">
      <alignment vertical="center"/>
    </xf>
    <xf numFmtId="0" fontId="24" fillId="0" borderId="0" xfId="0" applyFont="1"/>
    <xf numFmtId="164" fontId="16" fillId="0" borderId="0" xfId="1" applyNumberFormat="1" applyFont="1"/>
    <xf numFmtId="0" fontId="0" fillId="0" borderId="0" xfId="0" pivotButton="1"/>
    <xf numFmtId="0" fontId="0" fillId="0" borderId="0" xfId="0" applyAlignment="1">
      <alignment horizontal="left"/>
    </xf>
    <xf numFmtId="0" fontId="0" fillId="41" borderId="21" xfId="0" applyFill="1" applyBorder="1"/>
    <xf numFmtId="43" fontId="18" fillId="35" borderId="0" xfId="1" applyFont="1" applyFill="1" applyBorder="1" applyAlignment="1">
      <alignment horizontal="center" vertical="center" wrapText="1" readingOrder="1"/>
    </xf>
    <xf numFmtId="164" fontId="0" fillId="41" borderId="17" xfId="1" applyNumberFormat="1" applyFont="1" applyFill="1" applyBorder="1"/>
    <xf numFmtId="164" fontId="21" fillId="41" borderId="13" xfId="1" applyNumberFormat="1" applyFont="1" applyFill="1" applyBorder="1"/>
    <xf numFmtId="43" fontId="16" fillId="0" borderId="0" xfId="1" applyFont="1"/>
    <xf numFmtId="0" fontId="16" fillId="41" borderId="0" xfId="0" applyFont="1" applyFill="1"/>
    <xf numFmtId="0" fontId="0" fillId="49" borderId="0" xfId="0" applyFill="1"/>
    <xf numFmtId="0" fontId="16" fillId="49" borderId="0" xfId="0" applyFont="1" applyFill="1"/>
    <xf numFmtId="0" fontId="0" fillId="37" borderId="18" xfId="0" applyFill="1" applyBorder="1"/>
    <xf numFmtId="165" fontId="0" fillId="37" borderId="0" xfId="0" applyNumberFormat="1" applyFill="1"/>
    <xf numFmtId="165" fontId="0" fillId="37" borderId="17" xfId="0" applyNumberFormat="1" applyFill="1" applyBorder="1"/>
    <xf numFmtId="0" fontId="0" fillId="0" borderId="18" xfId="0" applyBorder="1"/>
    <xf numFmtId="9" fontId="16" fillId="44" borderId="13" xfId="0" applyNumberFormat="1" applyFont="1" applyFill="1" applyBorder="1" applyAlignment="1">
      <alignment horizontal="center"/>
    </xf>
    <xf numFmtId="9" fontId="16" fillId="44" borderId="12" xfId="0" applyNumberFormat="1" applyFont="1" applyFill="1" applyBorder="1" applyAlignment="1">
      <alignment horizontal="center"/>
    </xf>
    <xf numFmtId="9" fontId="16" fillId="44" borderId="14" xfId="0" applyNumberFormat="1" applyFont="1" applyFill="1" applyBorder="1" applyAlignment="1">
      <alignment horizontal="center"/>
    </xf>
    <xf numFmtId="0" fontId="16" fillId="46" borderId="0" xfId="0" applyFont="1" applyFill="1" applyAlignment="1">
      <alignment horizontal="left"/>
    </xf>
    <xf numFmtId="0" fontId="16" fillId="40" borderId="0" xfId="0" applyFont="1" applyFill="1" applyAlignment="1">
      <alignment horizontal="left"/>
    </xf>
    <xf numFmtId="0" fontId="16" fillId="0" borderId="15" xfId="0" applyFont="1" applyBorder="1"/>
    <xf numFmtId="0" fontId="16" fillId="0" borderId="23" xfId="0" applyFont="1" applyBorder="1"/>
    <xf numFmtId="0" fontId="16" fillId="0" borderId="16" xfId="0" applyFont="1" applyBorder="1"/>
    <xf numFmtId="0" fontId="0" fillId="0" borderId="22" xfId="0" applyBorder="1"/>
    <xf numFmtId="0" fontId="0" fillId="0" borderId="15" xfId="0" applyBorder="1"/>
    <xf numFmtId="0" fontId="0" fillId="36" borderId="18" xfId="0" applyFill="1" applyBorder="1"/>
    <xf numFmtId="0" fontId="0" fillId="36" borderId="17" xfId="0" applyFill="1" applyBorder="1" applyAlignment="1">
      <alignment horizontal="center"/>
    </xf>
    <xf numFmtId="43" fontId="0" fillId="0" borderId="0" xfId="0" applyNumberFormat="1"/>
    <xf numFmtId="14" fontId="0" fillId="36" borderId="17" xfId="0" applyNumberFormat="1" applyFill="1" applyBorder="1" applyAlignment="1">
      <alignment horizontal="center"/>
    </xf>
    <xf numFmtId="0" fontId="0" fillId="36" borderId="0" xfId="0" applyFill="1"/>
    <xf numFmtId="0" fontId="0" fillId="51" borderId="24" xfId="0" applyFill="1" applyBorder="1"/>
    <xf numFmtId="0" fontId="0" fillId="0" borderId="24" xfId="0" applyBorder="1"/>
    <xf numFmtId="43" fontId="16" fillId="34" borderId="0" xfId="1" applyFont="1" applyFill="1"/>
    <xf numFmtId="14" fontId="0" fillId="0" borderId="0" xfId="0" applyNumberFormat="1"/>
    <xf numFmtId="0" fontId="0" fillId="51" borderId="25" xfId="0" applyFill="1" applyBorder="1"/>
    <xf numFmtId="0" fontId="0" fillId="0" borderId="25" xfId="0" applyBorder="1"/>
    <xf numFmtId="164" fontId="0" fillId="41" borderId="0" xfId="1" applyNumberFormat="1" applyFont="1" applyFill="1"/>
    <xf numFmtId="164" fontId="16" fillId="41" borderId="0" xfId="1" applyNumberFormat="1" applyFont="1" applyFill="1"/>
    <xf numFmtId="2" fontId="0" fillId="0" borderId="0" xfId="0" applyNumberFormat="1" applyAlignment="1">
      <alignment horizontal="left"/>
    </xf>
    <xf numFmtId="0" fontId="0" fillId="37" borderId="19" xfId="0" applyFill="1" applyBorder="1"/>
    <xf numFmtId="165" fontId="0" fillId="37" borderId="20" xfId="0" applyNumberFormat="1" applyFill="1" applyBorder="1"/>
    <xf numFmtId="165" fontId="0" fillId="37" borderId="21" xfId="0" applyNumberFormat="1" applyFill="1" applyBorder="1"/>
    <xf numFmtId="0" fontId="16" fillId="40" borderId="12" xfId="0" applyFont="1" applyFill="1" applyBorder="1" applyAlignment="1">
      <alignment horizontal="center"/>
    </xf>
    <xf numFmtId="0" fontId="16" fillId="40" borderId="13" xfId="0" applyFont="1" applyFill="1" applyBorder="1" applyAlignment="1">
      <alignment horizontal="center"/>
    </xf>
    <xf numFmtId="0" fontId="16" fillId="40" borderId="14" xfId="0" applyFont="1" applyFill="1" applyBorder="1" applyAlignment="1">
      <alignment horizontal="center"/>
    </xf>
    <xf numFmtId="0" fontId="13" fillId="50" borderId="15" xfId="0" applyFont="1" applyFill="1" applyBorder="1" applyAlignment="1">
      <alignment horizontal="center"/>
    </xf>
    <xf numFmtId="0" fontId="13" fillId="50" borderId="23" xfId="0" applyFont="1" applyFill="1" applyBorder="1" applyAlignment="1">
      <alignment horizontal="center"/>
    </xf>
    <xf numFmtId="0" fontId="13" fillId="50" borderId="16" xfId="0" applyFont="1" applyFill="1" applyBorder="1" applyAlignment="1">
      <alignment horizontal="center"/>
    </xf>
    <xf numFmtId="0" fontId="16" fillId="36" borderId="0" xfId="0" applyFont="1" applyFill="1" applyAlignment="1">
      <alignment horizontal="center"/>
    </xf>
    <xf numFmtId="0" fontId="16" fillId="37" borderId="0" xfId="0" applyFont="1" applyFill="1" applyAlignment="1">
      <alignment horizontal="center"/>
    </xf>
    <xf numFmtId="0" fontId="16" fillId="38" borderId="0" xfId="0" applyFont="1" applyFill="1" applyAlignment="1">
      <alignment horizontal="center"/>
    </xf>
    <xf numFmtId="0" fontId="16" fillId="45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16" fillId="43" borderId="12" xfId="0" applyFont="1" applyFill="1" applyBorder="1" applyAlignment="1">
      <alignment horizontal="center"/>
    </xf>
    <xf numFmtId="0" fontId="16" fillId="43" borderId="13" xfId="0" applyFont="1" applyFill="1" applyBorder="1" applyAlignment="1">
      <alignment horizontal="center"/>
    </xf>
    <xf numFmtId="0" fontId="16" fillId="43" borderId="14" xfId="0" applyFont="1" applyFill="1" applyBorder="1" applyAlignment="1">
      <alignment horizontal="center"/>
    </xf>
    <xf numFmtId="0" fontId="16" fillId="34" borderId="12" xfId="0" applyFont="1" applyFill="1" applyBorder="1" applyAlignment="1">
      <alignment horizontal="center"/>
    </xf>
    <xf numFmtId="0" fontId="16" fillId="34" borderId="13" xfId="0" applyFont="1" applyFill="1" applyBorder="1" applyAlignment="1">
      <alignment horizontal="center"/>
    </xf>
    <xf numFmtId="0" fontId="16" fillId="34" borderId="14" xfId="0" applyFont="1" applyFill="1" applyBorder="1" applyAlignment="1">
      <alignment horizontal="center"/>
    </xf>
    <xf numFmtId="9" fontId="16" fillId="0" borderId="15" xfId="0" applyNumberFormat="1" applyFont="1" applyBorder="1" applyAlignment="1">
      <alignment horizontal="center"/>
    </xf>
    <xf numFmtId="9" fontId="16" fillId="0" borderId="16" xfId="0" applyNumberFormat="1" applyFont="1" applyBorder="1" applyAlignment="1">
      <alignment horizontal="center"/>
    </xf>
    <xf numFmtId="0" fontId="0" fillId="0" borderId="0" xfId="0" applyNumberFormat="1"/>
  </cellXfs>
  <cellStyles count="7993">
    <cellStyle name="20% - Énfasis1" xfId="21" builtinId="30" customBuiltin="1"/>
    <cellStyle name="20% - Énfasis2" xfId="25" builtinId="34" customBuiltin="1"/>
    <cellStyle name="20% - Énfasis3" xfId="29" builtinId="38" customBuiltin="1"/>
    <cellStyle name="20% - Énfasis4" xfId="33" builtinId="42" customBuiltin="1"/>
    <cellStyle name="20% - Énfasis5" xfId="37" builtinId="46" customBuiltin="1"/>
    <cellStyle name="20% - Énfasis6" xfId="41" builtinId="50" customBuiltin="1"/>
    <cellStyle name="40% - Énfasis1" xfId="22" builtinId="31" customBuiltin="1"/>
    <cellStyle name="40% - Énfasis2" xfId="26" builtinId="35" customBuiltin="1"/>
    <cellStyle name="40% - Énfasis3" xfId="30" builtinId="39" customBuiltin="1"/>
    <cellStyle name="40% - Énfasis4" xfId="34" builtinId="43" customBuiltin="1"/>
    <cellStyle name="40% - Énfasis5" xfId="38" builtinId="47" customBuiltin="1"/>
    <cellStyle name="40% - Énfasis6" xfId="42" builtinId="51" customBuiltin="1"/>
    <cellStyle name="60% - Énfasis1" xfId="23" builtinId="32" customBuiltin="1"/>
    <cellStyle name="60% - Énfasis1 2" xfId="7862" xr:uid="{C52AA4B5-A592-4883-8AF6-91EBBB95EB04}"/>
    <cellStyle name="60% - Énfasis1 3" xfId="7831" xr:uid="{DEE53F99-B111-4684-9A60-F02CC659D88C}"/>
    <cellStyle name="60% - Énfasis2" xfId="27" builtinId="36" customBuiltin="1"/>
    <cellStyle name="60% - Énfasis2 2" xfId="7863" xr:uid="{7925DF94-BB8B-4F52-96D7-DBB03829D3E1}"/>
    <cellStyle name="60% - Énfasis2 3" xfId="7832" xr:uid="{8AF4E913-3F21-4142-9D18-A8CA9217C9B1}"/>
    <cellStyle name="60% - Énfasis3" xfId="31" builtinId="40" customBuiltin="1"/>
    <cellStyle name="60% - Énfasis3 2" xfId="7833" xr:uid="{76D804BB-E4BE-405D-93E0-D7B0E837C266}"/>
    <cellStyle name="60% - Énfasis4" xfId="35" builtinId="44" customBuiltin="1"/>
    <cellStyle name="60% - Énfasis4 2" xfId="7834" xr:uid="{40C4A245-9906-4D81-B2D9-DE2DA33239F9}"/>
    <cellStyle name="60% - Énfasis5" xfId="39" builtinId="48" customBuiltin="1"/>
    <cellStyle name="60% - Énfasis5 2" xfId="7835" xr:uid="{6CAFB3EE-D067-4D5B-B9EC-90A285ED6D65}"/>
    <cellStyle name="60% - Énfasis6" xfId="43" builtinId="52" customBuiltin="1"/>
    <cellStyle name="60% - Énfasis6 2" xfId="7864" xr:uid="{E1F5DDA4-9CEC-4A8C-9329-E902E91F2DC2}"/>
    <cellStyle name="60% - Énfasis6 3" xfId="7836" xr:uid="{386D0067-A4DE-4DDA-A8D5-182BF7C6F06B}"/>
    <cellStyle name="Bueno" xfId="8" builtinId="26" customBuiltin="1"/>
    <cellStyle name="Cálculo" xfId="13" builtinId="22" customBuiltin="1"/>
    <cellStyle name="Celda de comprobación" xfId="15" builtinId="23" customBuiltin="1"/>
    <cellStyle name="Celda vinculada" xfId="14" builtinId="24" customBuiltin="1"/>
    <cellStyle name="Currency 2" xfId="7857" xr:uid="{20AE0F9C-380F-430E-8B74-C10221718F8A}"/>
    <cellStyle name="Currency 2 2" xfId="7944" xr:uid="{350D000B-DEC2-4BC9-8CE8-7B93330D73F7}"/>
    <cellStyle name="Encabezado 1" xfId="4" builtinId="16" customBuiltin="1"/>
    <cellStyle name="Encabezado 4" xfId="7" builtinId="19" customBuiltin="1"/>
    <cellStyle name="Énfasis1" xfId="20" builtinId="29" customBuiltin="1"/>
    <cellStyle name="Énfasis2" xfId="24" builtinId="33" customBuiltin="1"/>
    <cellStyle name="Énfasis3" xfId="28" builtinId="37" customBuiltin="1"/>
    <cellStyle name="Énfasis4" xfId="32" builtinId="41" customBuiltin="1"/>
    <cellStyle name="Énfasis5" xfId="36" builtinId="45" customBuiltin="1"/>
    <cellStyle name="Énfasis6" xfId="40" builtinId="49" customBuiltin="1"/>
    <cellStyle name="Entrada" xfId="11" builtinId="20" customBuiltin="1"/>
    <cellStyle name="Incorrecto" xfId="9" builtinId="27" customBuiltin="1"/>
    <cellStyle name="Millares" xfId="1" builtinId="3"/>
    <cellStyle name="Millares 10" xfId="367" xr:uid="{2E308294-2538-4E44-ADE7-333CFFB6D99F}"/>
    <cellStyle name="Millares 10 2" xfId="610" xr:uid="{48CA1300-86E8-47C8-AD8C-2C1E3F660A10}"/>
    <cellStyle name="Millares 10 2 2" xfId="1091" xr:uid="{7C37DDC9-E539-4609-8964-359B3CFCFF2E}"/>
    <cellStyle name="Millares 10 2 2 2" xfId="2053" xr:uid="{D5B8AE45-5AF4-4521-AB4D-511AAB77653A}"/>
    <cellStyle name="Millares 10 2 2 2 2" xfId="3977" xr:uid="{5739146B-3FFC-4A3F-988F-4FA164122CC6}"/>
    <cellStyle name="Millares 10 2 2 2 2 2" xfId="7825" xr:uid="{C87FEB07-FFAD-49DE-813C-44F68D45A327}"/>
    <cellStyle name="Millares 10 2 2 2 3" xfId="5901" xr:uid="{B2F79ED6-A29F-4A62-8609-A4B6E8DA5338}"/>
    <cellStyle name="Millares 10 2 2 3" xfId="3015" xr:uid="{320F254A-2496-4F09-97F8-26D66A7B075A}"/>
    <cellStyle name="Millares 10 2 2 3 2" xfId="6863" xr:uid="{D4163852-09C1-4162-AF22-0FA6E5A97B31}"/>
    <cellStyle name="Millares 10 2 2 4" xfId="4939" xr:uid="{95E6A80D-CE95-414C-BB37-EC98DD784A3C}"/>
    <cellStyle name="Millares 10 2 2 5" xfId="7978" xr:uid="{97C8A60C-D4B4-43BA-B443-BD4396B880E0}"/>
    <cellStyle name="Millares 10 2 3" xfId="1572" xr:uid="{B94D8550-B98C-4BD3-93DE-7A1754E0B0E3}"/>
    <cellStyle name="Millares 10 2 3 2" xfId="3496" xr:uid="{88DC24AC-5FDB-47ED-9987-0972A7E9FCCD}"/>
    <cellStyle name="Millares 10 2 3 2 2" xfId="7344" xr:uid="{567BA4F2-A01E-46FF-BE55-E3FD5CB575CE}"/>
    <cellStyle name="Millares 10 2 3 3" xfId="5420" xr:uid="{0589292D-B6AE-45B8-B904-AC5198EC3743}"/>
    <cellStyle name="Millares 10 2 4" xfId="2534" xr:uid="{E9691634-3885-49B3-A750-0DCCF13FA304}"/>
    <cellStyle name="Millares 10 2 4 2" xfId="6382" xr:uid="{DA92E9DA-21A8-42EA-B8B8-585F964A47B1}"/>
    <cellStyle name="Millares 10 2 5" xfId="4458" xr:uid="{E329AF5D-16B8-440E-B366-B924CB710E7A}"/>
    <cellStyle name="Millares 10 2 6" xfId="7921" xr:uid="{6F16C3D0-4C0C-4547-823A-F989416D3886}"/>
    <cellStyle name="Millares 10 3" xfId="851" xr:uid="{5499F898-8FD1-4B43-BA70-8BBAFFD70B19}"/>
    <cellStyle name="Millares 10 3 2" xfId="1813" xr:uid="{5058A45F-BCF9-44CB-9912-3F8F85D95146}"/>
    <cellStyle name="Millares 10 3 2 2" xfId="3737" xr:uid="{EA8E77AD-70BB-41B2-B7A0-DEADB7A13488}"/>
    <cellStyle name="Millares 10 3 2 2 2" xfId="7585" xr:uid="{5C60F62C-4213-49A0-9D2B-E5F17CF3C6B9}"/>
    <cellStyle name="Millares 10 3 2 3" xfId="5661" xr:uid="{914C335D-8424-47D5-9962-AF99C58AA5E3}"/>
    <cellStyle name="Millares 10 3 3" xfId="2775" xr:uid="{04CFBD3E-F7F5-40FE-9BCA-1821EF0F7320}"/>
    <cellStyle name="Millares 10 3 3 2" xfId="6623" xr:uid="{35EA93B2-0D49-4ED9-A885-D93A8E5426C7}"/>
    <cellStyle name="Millares 10 3 4" xfId="4699" xr:uid="{D149A17B-DBDC-461D-A61D-124387E0FB30}"/>
    <cellStyle name="Millares 10 3 5" xfId="7956" xr:uid="{5425047F-310B-4D19-9E9D-84342D4A6C47}"/>
    <cellStyle name="Millares 10 4" xfId="1332" xr:uid="{BE6F2161-F407-4B46-BE01-7E2BF9ED0A1B}"/>
    <cellStyle name="Millares 10 4 2" xfId="3256" xr:uid="{BD9FE954-F563-4448-933C-B6666ADB69C9}"/>
    <cellStyle name="Millares 10 4 2 2" xfId="7104" xr:uid="{B142549D-CEA1-4638-9329-38F96FB2D8AA}"/>
    <cellStyle name="Millares 10 4 3" xfId="5180" xr:uid="{15AAA357-176D-4F08-B9A4-AEB3615B7422}"/>
    <cellStyle name="Millares 10 5" xfId="2294" xr:uid="{EA3350D3-9FB3-4FAF-BDE1-A5A0751CD259}"/>
    <cellStyle name="Millares 10 5 2" xfId="6142" xr:uid="{282A11A2-FE0F-45B8-8DF2-82F6701BCA1A}"/>
    <cellStyle name="Millares 10 6" xfId="4218" xr:uid="{3E2C18A1-55FF-4635-9975-6DD0FF77E64F}"/>
    <cellStyle name="Millares 10 7" xfId="7882" xr:uid="{C907568D-F13F-48F9-BC26-F1102F4C795D}"/>
    <cellStyle name="Millares 11" xfId="370" xr:uid="{FBCD2812-152E-4F43-9376-70DDF398C1B7}"/>
    <cellStyle name="Millares 11 2" xfId="611" xr:uid="{CBA8B91D-0370-498C-80C6-7CCEDE3D0540}"/>
    <cellStyle name="Millares 11 2 2" xfId="1092" xr:uid="{83F33271-BFAA-4B03-A2CF-F5C3A0D14B63}"/>
    <cellStyle name="Millares 11 2 2 2" xfId="2054" xr:uid="{D7B59AC3-325F-4D15-A2AB-10A895078109}"/>
    <cellStyle name="Millares 11 2 2 2 2" xfId="3978" xr:uid="{D2791EC3-A4FE-437A-B043-4A4B3820E359}"/>
    <cellStyle name="Millares 11 2 2 2 2 2" xfId="7826" xr:uid="{7521AB03-42A1-4699-A360-86DF26D3D9B2}"/>
    <cellStyle name="Millares 11 2 2 2 3" xfId="5902" xr:uid="{C43370F3-61FC-4FC7-A243-4D5C190871CD}"/>
    <cellStyle name="Millares 11 2 2 3" xfId="3016" xr:uid="{8A24083C-7D58-4AE2-A5E1-C457E12DDED5}"/>
    <cellStyle name="Millares 11 2 2 3 2" xfId="6864" xr:uid="{85FE0179-1737-402E-B9F6-46A01280BC8A}"/>
    <cellStyle name="Millares 11 2 2 4" xfId="4940" xr:uid="{ABA3146E-93E7-4DA8-A086-F09B27674C2A}"/>
    <cellStyle name="Millares 11 2 2 5" xfId="7979" xr:uid="{1EDAD8A1-94E6-45AC-8E8B-DD0F0AEBB2C0}"/>
    <cellStyle name="Millares 11 2 3" xfId="1573" xr:uid="{1C980428-8C3C-4EBF-A16F-2A807C6C67B2}"/>
    <cellStyle name="Millares 11 2 3 2" xfId="3497" xr:uid="{199861CD-8D1A-4012-A597-00BA793AEC53}"/>
    <cellStyle name="Millares 11 2 3 2 2" xfId="7345" xr:uid="{4C7053B1-27E5-4F3F-A571-FD2AB7054224}"/>
    <cellStyle name="Millares 11 2 3 3" xfId="5421" xr:uid="{349C60E9-690B-4EAC-825B-6DA4BCE40719}"/>
    <cellStyle name="Millares 11 2 4" xfId="2535" xr:uid="{091271DB-E3B1-4148-8349-1CD1F757E759}"/>
    <cellStyle name="Millares 11 2 4 2" xfId="6383" xr:uid="{0C78307A-5D53-432A-A90C-6B59CAFF1461}"/>
    <cellStyle name="Millares 11 2 5" xfId="4459" xr:uid="{5E70FF1C-0707-489E-BEC2-EBD0A82D3E22}"/>
    <cellStyle name="Millares 11 2 6" xfId="7922" xr:uid="{6B3C140B-D115-42F5-A3DA-7CC753D51046}"/>
    <cellStyle name="Millares 11 3" xfId="852" xr:uid="{71ED3E38-6F9C-4EB7-94B6-29C580292A04}"/>
    <cellStyle name="Millares 11 3 2" xfId="1814" xr:uid="{EB1555B2-EB4B-45A8-BF6E-D0433458378E}"/>
    <cellStyle name="Millares 11 3 2 2" xfId="3738" xr:uid="{26C1F1BB-8C17-427D-8816-BAD52BD37A6B}"/>
    <cellStyle name="Millares 11 3 2 2 2" xfId="7586" xr:uid="{4529D2D6-6F9F-4422-AA28-8FED9E9BFA32}"/>
    <cellStyle name="Millares 11 3 2 3" xfId="5662" xr:uid="{C1E591C7-5981-4CE1-9347-01794D6FD9CB}"/>
    <cellStyle name="Millares 11 3 3" xfId="2776" xr:uid="{89238647-B7B9-4347-9DBA-555FEE8419F3}"/>
    <cellStyle name="Millares 11 3 3 2" xfId="6624" xr:uid="{BDCBCDC1-B35D-4381-A390-763106923F52}"/>
    <cellStyle name="Millares 11 3 4" xfId="4700" xr:uid="{C6622F0C-191B-4ABE-9741-CF760A73EAC2}"/>
    <cellStyle name="Millares 11 3 5" xfId="7957" xr:uid="{1D8F0B7B-20BE-4C61-88F6-017288823FED}"/>
    <cellStyle name="Millares 11 4" xfId="1333" xr:uid="{F217DD76-6B97-4F16-B3D0-53FFA104E5D0}"/>
    <cellStyle name="Millares 11 4 2" xfId="3257" xr:uid="{5119FDA6-8377-4393-AC98-A0E8C5F66E91}"/>
    <cellStyle name="Millares 11 4 2 2" xfId="7105" xr:uid="{5C10BFA5-AC47-40BF-BFF1-98DED761FFDD}"/>
    <cellStyle name="Millares 11 4 3" xfId="5181" xr:uid="{3F68D72F-1129-4ED5-8703-AD81C0B1E219}"/>
    <cellStyle name="Millares 11 5" xfId="2295" xr:uid="{CC0B19F2-D0B9-45AE-8066-89A1955784F4}"/>
    <cellStyle name="Millares 11 5 2" xfId="6143" xr:uid="{46C6DB0E-62E7-497E-8852-8CB96B768AFB}"/>
    <cellStyle name="Millares 11 6" xfId="4219" xr:uid="{81ADD347-E1D7-4D2E-AF61-7AA49ADDC72B}"/>
    <cellStyle name="Millares 11 7" xfId="7884" xr:uid="{742E2F6D-B47B-49C0-816C-A7D375838311}"/>
    <cellStyle name="Millares 12" xfId="372" xr:uid="{A4288D7E-13C6-47C7-A7D4-CAA371B87790}"/>
    <cellStyle name="Millares 12 2" xfId="612" xr:uid="{A5E0CF1A-9845-4109-A291-FE310DBF0E45}"/>
    <cellStyle name="Millares 12 2 2" xfId="1093" xr:uid="{E54D1AE5-B2CA-44A4-A057-22D21576B525}"/>
    <cellStyle name="Millares 12 2 2 2" xfId="2055" xr:uid="{F06D2F7B-29CB-4CBC-ACFF-C1A4C2D0E204}"/>
    <cellStyle name="Millares 12 2 2 2 2" xfId="3979" xr:uid="{6DB81588-93D5-400F-B86A-9D0DD66A6CD5}"/>
    <cellStyle name="Millares 12 2 2 2 2 2" xfId="7827" xr:uid="{C29D2A1D-C4DD-4A44-B9C8-F7C0B9D252B4}"/>
    <cellStyle name="Millares 12 2 2 2 3" xfId="5903" xr:uid="{A88A5C62-CBCF-4732-9214-2CC857055F06}"/>
    <cellStyle name="Millares 12 2 2 2 4" xfId="7980" xr:uid="{2ECFB43A-81D5-422C-96C0-FA60854F6C50}"/>
    <cellStyle name="Millares 12 2 2 3" xfId="3017" xr:uid="{D56E396F-BF0B-4BAD-B1C6-3FBC48F5756E}"/>
    <cellStyle name="Millares 12 2 2 3 2" xfId="6865" xr:uid="{3F09E9CE-916C-4892-B051-A911896F569B}"/>
    <cellStyle name="Millares 12 2 2 4" xfId="4941" xr:uid="{97F6C0A7-4A72-496F-840A-ABAC92B4BA5A}"/>
    <cellStyle name="Millares 12 2 2 5" xfId="7923" xr:uid="{34BB6033-60D3-4BD4-98AC-B93F203716F3}"/>
    <cellStyle name="Millares 12 2 3" xfId="1574" xr:uid="{22F47EC5-5C3B-4366-A138-20589005C586}"/>
    <cellStyle name="Millares 12 2 3 2" xfId="3498" xr:uid="{193783DF-08FC-4796-B676-4C5ABB873E60}"/>
    <cellStyle name="Millares 12 2 3 2 2" xfId="7346" xr:uid="{A722C168-A8BF-4ABA-B922-BF66923D6F4F}"/>
    <cellStyle name="Millares 12 2 3 3" xfId="5422" xr:uid="{2B415708-E528-4860-BDFB-FA15B439021C}"/>
    <cellStyle name="Millares 12 2 3 4" xfId="7941" xr:uid="{CACEE785-8EE1-4779-A4F8-8737150FF8E2}"/>
    <cellStyle name="Millares 12 2 4" xfId="2536" xr:uid="{6784D5DD-FCE7-4861-A53E-2BF1EC1A2274}"/>
    <cellStyle name="Millares 12 2 4 2" xfId="6384" xr:uid="{85146CAF-4BA9-49FC-AAC7-9230402253BC}"/>
    <cellStyle name="Millares 12 2 5" xfId="4460" xr:uid="{5768807D-3E10-4824-AE0A-FAF03028E45C}"/>
    <cellStyle name="Millares 12 2 6" xfId="7854" xr:uid="{27D667F4-0A41-4D5A-98F0-C32DAAD9D4AC}"/>
    <cellStyle name="Millares 12 3" xfId="853" xr:uid="{11F73796-1552-4C2A-A0C1-3DC63B8A5C95}"/>
    <cellStyle name="Millares 12 3 2" xfId="1815" xr:uid="{DCC00DC3-0A13-4F15-AE67-52A473D33040}"/>
    <cellStyle name="Millares 12 3 2 2" xfId="3739" xr:uid="{F8A2CA1F-D823-4EBF-9085-B147792431E4}"/>
    <cellStyle name="Millares 12 3 2 2 2" xfId="7587" xr:uid="{EA8A3F20-7AB6-451F-848F-EBEB3CEB37CB}"/>
    <cellStyle name="Millares 12 3 2 3" xfId="5663" xr:uid="{A80254BD-F1F0-490A-ACB0-3A41B23D4CA9}"/>
    <cellStyle name="Millares 12 3 2 4" xfId="7958" xr:uid="{4B5536AB-C928-4185-BC56-399F9EDD9A20}"/>
    <cellStyle name="Millares 12 3 3" xfId="2777" xr:uid="{7FD8BA67-6CB6-443D-9BBF-5CA3B3404735}"/>
    <cellStyle name="Millares 12 3 3 2" xfId="6625" xr:uid="{81A57E94-1B96-408F-B3F0-619C7C9C1DBD}"/>
    <cellStyle name="Millares 12 3 4" xfId="4701" xr:uid="{2297C62F-575D-4C88-B2DB-06F98F18C4FD}"/>
    <cellStyle name="Millares 12 3 5" xfId="7886" xr:uid="{7D2C3846-7005-402E-BC8F-26E95DF1DA4A}"/>
    <cellStyle name="Millares 12 4" xfId="1334" xr:uid="{606E642B-CE87-4237-9A38-ACAF900A5A90}"/>
    <cellStyle name="Millares 12 4 2" xfId="3258" xr:uid="{9A66D086-4DAC-4DF4-93D0-CC459A9E8BE4}"/>
    <cellStyle name="Millares 12 4 2 2" xfId="7106" xr:uid="{0B62E62B-1BF9-4E39-B809-8BF443CBA685}"/>
    <cellStyle name="Millares 12 4 3" xfId="5182" xr:uid="{96623A10-3970-4950-832B-41DA7D016AA2}"/>
    <cellStyle name="Millares 12 5" xfId="2296" xr:uid="{B4CF2456-B118-46B0-9975-37D977F6D67B}"/>
    <cellStyle name="Millares 12 5 2" xfId="6144" xr:uid="{81C8C1E9-D2F5-4046-A027-43709154D8FF}"/>
    <cellStyle name="Millares 12 6" xfId="4220" xr:uid="{B918E726-1642-40AB-A343-B8B2469AE67A}"/>
    <cellStyle name="Millares 12 7" xfId="7848" xr:uid="{A3D4B1B1-9E33-4F4F-A2FA-F0D7C17EC276}"/>
    <cellStyle name="Millares 13" xfId="62" xr:uid="{E1651624-AE7B-488E-8927-730A22C06852}"/>
    <cellStyle name="Millares 13 2" xfId="373" xr:uid="{D746C933-0964-46EE-9972-2361EC347AF5}"/>
    <cellStyle name="Millares 13 2 2" xfId="854" xr:uid="{7930ABC0-BFFD-4807-81EE-33943727E40A}"/>
    <cellStyle name="Millares 13 2 2 2" xfId="1816" xr:uid="{F3627F90-8343-4190-B5BD-D66D007FD00D}"/>
    <cellStyle name="Millares 13 2 2 2 2" xfId="3740" xr:uid="{D4A30474-26FB-4743-BDE1-B17D4EE5F3A6}"/>
    <cellStyle name="Millares 13 2 2 2 2 2" xfId="7588" xr:uid="{A4BE78EC-2CCD-40D5-B198-ED3002D9BCE4}"/>
    <cellStyle name="Millares 13 2 2 2 3" xfId="5664" xr:uid="{BAF613DB-174E-486F-A809-C3A363C61F96}"/>
    <cellStyle name="Millares 13 2 2 3" xfId="2778" xr:uid="{624F5640-2633-4F10-8EE8-5FA381EE1FF9}"/>
    <cellStyle name="Millares 13 2 2 3 2" xfId="6626" xr:uid="{5E14EECC-2D09-4215-8713-F85584AD4A8F}"/>
    <cellStyle name="Millares 13 2 2 4" xfId="4702" xr:uid="{B7739E85-AFC8-4B21-9A50-C9AE48FDB9C8}"/>
    <cellStyle name="Millares 13 2 2 5" xfId="7981" xr:uid="{386D948E-A7C1-4AE7-826D-867B007CB1F1}"/>
    <cellStyle name="Millares 13 2 3" xfId="1335" xr:uid="{455BCF2C-B773-4B12-A9AA-81944E98E054}"/>
    <cellStyle name="Millares 13 2 3 2" xfId="3259" xr:uid="{07519EDB-E502-4108-89F5-44034566B35D}"/>
    <cellStyle name="Millares 13 2 3 2 2" xfId="7107" xr:uid="{A0E78575-9134-4D66-BC9D-2D55DBB712A8}"/>
    <cellStyle name="Millares 13 2 3 3" xfId="5183" xr:uid="{7934F8D8-64A8-4EB0-8E3D-A9123EE17D64}"/>
    <cellStyle name="Millares 13 2 4" xfId="2297" xr:uid="{A2FE0448-B913-41EF-AF3C-1446D0DB329A}"/>
    <cellStyle name="Millares 13 2 4 2" xfId="6145" xr:uid="{517C391E-992B-45A9-8490-983F4F773CB2}"/>
    <cellStyle name="Millares 13 2 5" xfId="4221" xr:uid="{FEB7C9E8-F2EA-48ED-8E9F-0B9FAA5EBBAB}"/>
    <cellStyle name="Millares 13 2 6" xfId="7924" xr:uid="{9043ACBA-3575-4732-ADEC-0A388525D4D5}"/>
    <cellStyle name="Millares 13 3" xfId="614" xr:uid="{FE1F62A2-0B09-4327-8948-2803398FE49D}"/>
    <cellStyle name="Millares 13 3 2" xfId="1576" xr:uid="{EDC2FFF7-8E96-45C4-BF89-8B6B0EC682F3}"/>
    <cellStyle name="Millares 13 3 2 2" xfId="3500" xr:uid="{3907A5CB-D3F6-466F-BA9F-A11780140022}"/>
    <cellStyle name="Millares 13 3 2 2 2" xfId="7348" xr:uid="{AD95DD62-1F44-4B92-A4F1-4ACE0C462B40}"/>
    <cellStyle name="Millares 13 3 2 3" xfId="5424" xr:uid="{604E0DA1-5984-482A-B77A-CB8D26DC06E3}"/>
    <cellStyle name="Millares 13 3 3" xfId="2538" xr:uid="{BF88E865-ACEA-42FA-9D30-EB4E13CCF148}"/>
    <cellStyle name="Millares 13 3 3 2" xfId="6386" xr:uid="{EDCF0471-1862-4235-A266-6E35D30A12E6}"/>
    <cellStyle name="Millares 13 3 4" xfId="4462" xr:uid="{34F41293-5A52-4A59-AF31-E0D0B33D7966}"/>
    <cellStyle name="Millares 13 3 5" xfId="7959" xr:uid="{D8DF86ED-1E98-46F6-B4A3-9E1C1B059E47}"/>
    <cellStyle name="Millares 13 4" xfId="1095" xr:uid="{CE16F7D5-900C-471C-AFF6-CA29E249E5F3}"/>
    <cellStyle name="Millares 13 4 2" xfId="3019" xr:uid="{F3962038-4B8E-451B-BEEE-0D4208DBCD19}"/>
    <cellStyle name="Millares 13 4 2 2" xfId="6867" xr:uid="{F131033D-47E0-4863-A0DF-9EF6B0E4E72B}"/>
    <cellStyle name="Millares 13 4 3" xfId="4943" xr:uid="{70C006BD-49B7-4B88-A8C3-6D3C525C2595}"/>
    <cellStyle name="Millares 13 5" xfId="2057" xr:uid="{10C0038A-6720-4EF4-AA92-3089F2AECACF}"/>
    <cellStyle name="Millares 13 5 2" xfId="5905" xr:uid="{74D36771-793E-415C-9388-62EA20927B3B}"/>
    <cellStyle name="Millares 13 6" xfId="3981" xr:uid="{7032FC9E-F078-48CC-9693-4EC032F390F1}"/>
    <cellStyle name="Millares 13 7" xfId="7888" xr:uid="{A089B644-2700-4BE5-934B-F6E582F9DBCF}"/>
    <cellStyle name="Millares 14" xfId="613" xr:uid="{164182B5-B7FE-40A3-A895-89E7B3AE810A}"/>
    <cellStyle name="Millares 14 2" xfId="1094" xr:uid="{179422AE-691D-4CFB-96FC-9CC94ED88681}"/>
    <cellStyle name="Millares 14 2 2" xfId="2056" xr:uid="{9267C62B-FAEA-4F28-9077-FA7A67A43C49}"/>
    <cellStyle name="Millares 14 2 2 2" xfId="3980" xr:uid="{8C575BED-A79A-4EF7-BD7D-504B49F8DB4E}"/>
    <cellStyle name="Millares 14 2 2 2 2" xfId="7828" xr:uid="{A409E63D-50A3-4DDB-9A10-876ABA7D320F}"/>
    <cellStyle name="Millares 14 2 2 3" xfId="5904" xr:uid="{1D278A1F-FAEB-4E05-8F19-632AE855D15F}"/>
    <cellStyle name="Millares 14 2 2 4" xfId="7982" xr:uid="{5B037D52-4D32-4541-A36A-B5C75BCE277F}"/>
    <cellStyle name="Millares 14 2 3" xfId="3018" xr:uid="{630FF815-26E4-41D8-A9CA-14D05900D003}"/>
    <cellStyle name="Millares 14 2 3 2" xfId="6866" xr:uid="{8576C692-00C5-48BF-AC09-EC6866964617}"/>
    <cellStyle name="Millares 14 2 4" xfId="4942" xr:uid="{3E9BCF5D-B999-4026-B56C-0E5FB06335A8}"/>
    <cellStyle name="Millares 14 2 5" xfId="7925" xr:uid="{D2C5B69F-ABBB-4602-A94A-358C149CD1EE}"/>
    <cellStyle name="Millares 14 3" xfId="1575" xr:uid="{8C880B74-5211-416F-8EF7-895470D908CE}"/>
    <cellStyle name="Millares 14 3 2" xfId="3499" xr:uid="{E837482A-566A-4BA8-9E25-F62835FCA6A0}"/>
    <cellStyle name="Millares 14 3 2 2" xfId="7347" xr:uid="{897AEDA3-4DCC-42BD-947D-7BC18F2FEDCE}"/>
    <cellStyle name="Millares 14 3 3" xfId="5423" xr:uid="{0E249E7B-9A11-49B9-96D2-C5618AE73FD9}"/>
    <cellStyle name="Millares 14 3 4" xfId="7960" xr:uid="{A6C88885-EC22-413A-B1B0-FF2E4139E542}"/>
    <cellStyle name="Millares 14 4" xfId="2537" xr:uid="{6C0D832B-02B0-4C24-A790-E2F480BEDE93}"/>
    <cellStyle name="Millares 14 4 2" xfId="6385" xr:uid="{32ADADDB-B27A-4BB0-AC1B-ECF06817ECED}"/>
    <cellStyle name="Millares 14 5" xfId="4461" xr:uid="{DBA6A69D-702D-437A-9D85-F11CEB424F7B}"/>
    <cellStyle name="Millares 14 6" xfId="7890" xr:uid="{DF935656-7AB8-4F25-BFD1-6C05C0322FE3}"/>
    <cellStyle name="Millares 15" xfId="7829" xr:uid="{B5096933-9496-4A37-A80D-93519D19C817}"/>
    <cellStyle name="Millares 15 2" xfId="7926" xr:uid="{2F492F55-77CA-4517-A504-5B6CA14BDCB2}"/>
    <cellStyle name="Millares 15 2 2" xfId="7983" xr:uid="{6095A92F-B1B1-45D9-96E7-8927160CFC59}"/>
    <cellStyle name="Millares 15 3" xfId="7961" xr:uid="{A041865F-6242-4D18-8A04-18C57A31E419}"/>
    <cellStyle name="Millares 15 4" xfId="7892" xr:uid="{AB4B11F4-6A2D-4975-81E8-F22062C90A0B}"/>
    <cellStyle name="Millares 16" xfId="7894" xr:uid="{00C0A757-6A5D-4A4F-8B79-E6D280516311}"/>
    <cellStyle name="Millares 16 2" xfId="7927" xr:uid="{3058C916-4780-4125-B3B0-AFDE2D65CEE4}"/>
    <cellStyle name="Millares 16 2 2" xfId="7984" xr:uid="{E3380531-0795-4B59-80D2-036245F79F3B}"/>
    <cellStyle name="Millares 16 3" xfId="7962" xr:uid="{EB0DBC58-C468-4E9B-B4A1-06CB822F7D41}"/>
    <cellStyle name="Millares 17" xfId="7896" xr:uid="{90DDCB34-FEBC-4C66-8237-3863A1B46794}"/>
    <cellStyle name="Millares 17 2" xfId="7928" xr:uid="{3C8FDAD3-33B7-4A5A-A3D0-034F7F243E44}"/>
    <cellStyle name="Millares 17 2 2" xfId="7985" xr:uid="{60CB53A1-173A-4AB8-A005-0E89791F7969}"/>
    <cellStyle name="Millares 17 3" xfId="7963" xr:uid="{6109AFE1-9BD1-4A21-A890-C6BE3FD2A49C}"/>
    <cellStyle name="Millares 18" xfId="7898" xr:uid="{51938DC8-86CA-4DBE-92B8-440AC986AA0D}"/>
    <cellStyle name="Millares 18 2" xfId="7929" xr:uid="{1178A0E2-B8AD-4D21-8254-E491F23209A3}"/>
    <cellStyle name="Millares 18 2 2" xfId="7986" xr:uid="{2BA2A52B-2988-400A-8063-BDA90FC8C145}"/>
    <cellStyle name="Millares 18 3" xfId="7964" xr:uid="{CED85FDC-B343-4B3C-B505-2FE3FA92FDD3}"/>
    <cellStyle name="Millares 19" xfId="7900" xr:uid="{4DC66D82-0F9C-4F39-975E-4EE6FD89F47D}"/>
    <cellStyle name="Millares 19 2" xfId="7930" xr:uid="{6A530FE2-98CE-4DDE-A258-0ECEA1AD056F}"/>
    <cellStyle name="Millares 19 2 2" xfId="7987" xr:uid="{F3BDA151-2440-4602-B7FA-F2EA91216F7F}"/>
    <cellStyle name="Millares 19 3" xfId="7965" xr:uid="{1381D902-72BB-4F04-8900-58F3420C8F5E}"/>
    <cellStyle name="Millares 2" xfId="46" xr:uid="{2AEB1841-64D2-4585-9EE8-8BDF5C6255C4}"/>
    <cellStyle name="Millares 2 2" xfId="70" xr:uid="{A740EA01-6FD4-497C-9EA4-172B19B82838}"/>
    <cellStyle name="Millares 2 2 2" xfId="7840" xr:uid="{AA69474E-8273-4A76-AEA0-44CE3BC5B89F}"/>
    <cellStyle name="Millares 2 2 3" xfId="7846" xr:uid="{F25F5F8E-577F-4C62-8EA9-C8F62C3B59C0}"/>
    <cellStyle name="Millares 2 2 3 2" xfId="7853" xr:uid="{FE6F83A2-4575-4B7B-B120-07D6A2EAC508}"/>
    <cellStyle name="Millares 2 2 3 2 2" xfId="7940" xr:uid="{431E28C3-66F8-4602-915F-7B1C1BC560FC}"/>
    <cellStyle name="Millares 2 2 4" xfId="7869" xr:uid="{1C436914-1088-4D10-9CE3-292F3FF1B1D2}"/>
    <cellStyle name="Millares 2 2 4 2" xfId="7948" xr:uid="{EA3F7714-6B6F-464C-B275-DA40223FE362}"/>
    <cellStyle name="Millares 2 3" xfId="73" xr:uid="{C1ECADF7-B4A5-42C4-9AB9-1B007BA10FDF}"/>
    <cellStyle name="Millares 2 3 2" xfId="7913" xr:uid="{C89F5EC6-DF1D-4159-9867-4707DBF38BF8}"/>
    <cellStyle name="Millares 2 3 2 2" xfId="7970" xr:uid="{7669A84C-3CCB-4DE5-886E-74E31EF36E7C}"/>
    <cellStyle name="Millares 2 4" xfId="362" xr:uid="{20577EF5-A3DF-4B01-871A-078B9D52DD0B}"/>
    <cellStyle name="Millares 2 4 2" xfId="7852" xr:uid="{72258EFC-385F-4A35-ACFA-7161A65D68E1}"/>
    <cellStyle name="Millares 2 4 2 2" xfId="7939" xr:uid="{73FC088C-8C84-4380-B17E-28A51CA396D0}"/>
    <cellStyle name="Millares 2 4 3" xfId="7845" xr:uid="{2B631275-B4E6-4F68-9B1A-976EC5EAB65A}"/>
    <cellStyle name="Millares 2 5" xfId="58" xr:uid="{3D965A32-5177-46CF-A883-1E03688A1B09}"/>
    <cellStyle name="Millares 20" xfId="7902" xr:uid="{2CE7D653-199A-4AC8-940D-1DE76984595D}"/>
    <cellStyle name="Millares 20 2" xfId="7931" xr:uid="{C31B3EF0-9345-4650-92E5-093CB1A74650}"/>
    <cellStyle name="Millares 20 2 2" xfId="7988" xr:uid="{22A69854-3352-42E4-BA0A-3895C4D49EC7}"/>
    <cellStyle name="Millares 20 3" xfId="7966" xr:uid="{47A7C177-DDB2-4E6D-9CC7-7706C33D157E}"/>
    <cellStyle name="Millares 21" xfId="7904" xr:uid="{0395D3C4-5EA0-42F5-B728-E0F8ED182398}"/>
    <cellStyle name="Millares 21 2" xfId="7932" xr:uid="{FADFC463-593C-42A0-9335-24F93C63C8B9}"/>
    <cellStyle name="Millares 21 2 2" xfId="7989" xr:uid="{3081FA2A-41F5-4705-833F-53BA9CA8F723}"/>
    <cellStyle name="Millares 21 3" xfId="7967" xr:uid="{EB900A15-E9BD-45D5-B54A-96361B0812C5}"/>
    <cellStyle name="Millares 22" xfId="7906" xr:uid="{43F48BA0-A679-4C41-83D8-3E1464C2C40C}"/>
    <cellStyle name="Millares 22 2" xfId="7933" xr:uid="{EBF73DA9-BD07-40F1-9F3D-A5E67EC183E2}"/>
    <cellStyle name="Millares 22 2 2" xfId="7990" xr:uid="{7D6F618E-0888-48E3-8CC5-A9C1301C6BCF}"/>
    <cellStyle name="Millares 22 3" xfId="7968" xr:uid="{DD48F9C1-20F1-457D-875A-E594186017B1}"/>
    <cellStyle name="Millares 23" xfId="7867" xr:uid="{D74C77FE-8087-4C15-AE62-6A3932AD2287}"/>
    <cellStyle name="Millares 23 2" xfId="7947" xr:uid="{5FA18222-7D37-4468-9832-C12A61A21E47}"/>
    <cellStyle name="Millares 24" xfId="7912" xr:uid="{A5783DF4-0A03-409A-941D-074155796782}"/>
    <cellStyle name="Millares 24 2" xfId="7969" xr:uid="{9950C4D9-A1D0-4E46-AF67-0699860434FA}"/>
    <cellStyle name="Millares 25" xfId="7858" xr:uid="{D9434911-E250-4229-8653-51E54D9EAFA1}"/>
    <cellStyle name="Millares 25 2" xfId="7945" xr:uid="{9ED349C5-69A2-4C02-9A6D-B1C1FAFA4144}"/>
    <cellStyle name="Millares 26" xfId="7991" xr:uid="{96026C72-50E0-4E99-868D-33A97D10D92C}"/>
    <cellStyle name="Millares 27" xfId="44" xr:uid="{A17EFA53-B4C8-4E9A-A169-6BFBDF2E6280}"/>
    <cellStyle name="Millares 3" xfId="59" xr:uid="{30ECD7D6-A231-4BEC-9577-7B17D506F16F}"/>
    <cellStyle name="Millares 3 2" xfId="119" xr:uid="{068F43E9-72CB-489B-A43F-A9D994A3ECF9}"/>
    <cellStyle name="Millares 3 2 10" xfId="2071" xr:uid="{4E5B0050-9A43-4D1D-BA2E-969F31171093}"/>
    <cellStyle name="Millares 3 2 10 2" xfId="5919" xr:uid="{8347E4C7-8DDB-472D-8147-6C09C2D0218D}"/>
    <cellStyle name="Millares 3 2 11" xfId="3995" xr:uid="{B9B3E5C4-17D5-4EED-9354-0D4F1DC7089C}"/>
    <cellStyle name="Millares 3 2 12" xfId="7851" xr:uid="{D7B5D68A-2A43-4B08-989F-BC0BFEE8B503}"/>
    <cellStyle name="Millares 3 2 2" xfId="123" xr:uid="{A012D35E-94F4-45DA-B00C-C7713CFFDCA4}"/>
    <cellStyle name="Millares 3 2 2 10" xfId="2075" xr:uid="{35088F93-AB3E-4C25-B6D0-CF7EFC9BCD1D}"/>
    <cellStyle name="Millares 3 2 2 10 2" xfId="5923" xr:uid="{E04609F4-B11D-498E-8369-E0C6CD11134E}"/>
    <cellStyle name="Millares 3 2 2 11" xfId="3999" xr:uid="{BBEB0726-EAFA-4733-85C7-100D71DEE549}"/>
    <cellStyle name="Millares 3 2 2 12" xfId="7914" xr:uid="{0EF9049A-414F-4E52-8192-1BF4A6E8F069}"/>
    <cellStyle name="Millares 3 2 2 2" xfId="183" xr:uid="{D1597825-6474-45F1-AAAB-69FD8AD8D508}"/>
    <cellStyle name="Millares 3 2 2 2 10" xfId="7971" xr:uid="{72411B61-51DD-4016-81CC-2338148074F4}"/>
    <cellStyle name="Millares 3 2 2 2 2" xfId="217" xr:uid="{5E11759A-8153-4833-B743-422FDAA47370}"/>
    <cellStyle name="Millares 3 2 2 2 2 2" xfId="351" xr:uid="{4031C0AF-9F4E-4920-BC59-FCB37A7862E6}"/>
    <cellStyle name="Millares 3 2 2 2 2 2 2" xfId="602" xr:uid="{76CDCC5B-6374-4026-A6B1-8598221D4FDE}"/>
    <cellStyle name="Millares 3 2 2 2 2 2 2 2" xfId="1083" xr:uid="{6FDC7072-FF8B-48D4-812A-DDEBF79E2B5B}"/>
    <cellStyle name="Millares 3 2 2 2 2 2 2 2 2" xfId="2045" xr:uid="{4620DFDF-BE72-4EEA-A7C8-ABBB0B3D751B}"/>
    <cellStyle name="Millares 3 2 2 2 2 2 2 2 2 2" xfId="3969" xr:uid="{7EB3F92E-EC89-4A57-B366-002410C38D3A}"/>
    <cellStyle name="Millares 3 2 2 2 2 2 2 2 2 2 2" xfId="7817" xr:uid="{4AE2299C-E678-4E14-9F6A-7BE1C598A30B}"/>
    <cellStyle name="Millares 3 2 2 2 2 2 2 2 2 3" xfId="5893" xr:uid="{861B6E52-4EF7-49D9-952A-94074F510413}"/>
    <cellStyle name="Millares 3 2 2 2 2 2 2 2 3" xfId="3007" xr:uid="{496BB8AE-3C79-4DE5-ABC3-F9DDD08768D6}"/>
    <cellStyle name="Millares 3 2 2 2 2 2 2 2 3 2" xfId="6855" xr:uid="{4C4C237B-CC14-4CC5-9B0D-DD1B237A14B0}"/>
    <cellStyle name="Millares 3 2 2 2 2 2 2 2 4" xfId="4931" xr:uid="{3414521D-6183-47B6-8991-1DCB12F986A2}"/>
    <cellStyle name="Millares 3 2 2 2 2 2 2 3" xfId="1564" xr:uid="{19F089CA-C9CB-4B46-BEE3-B9DDE635932B}"/>
    <cellStyle name="Millares 3 2 2 2 2 2 2 3 2" xfId="3488" xr:uid="{53D75DED-D893-4DE0-9465-130A79BD59AE}"/>
    <cellStyle name="Millares 3 2 2 2 2 2 2 3 2 2" xfId="7336" xr:uid="{A2983D47-1910-4C0D-8EB5-840068DE778F}"/>
    <cellStyle name="Millares 3 2 2 2 2 2 2 3 3" xfId="5412" xr:uid="{5748904F-1429-49D2-B0F9-65200F088D04}"/>
    <cellStyle name="Millares 3 2 2 2 2 2 2 4" xfId="2526" xr:uid="{7E6259EF-E728-4C55-8B3A-FBD2732A41D5}"/>
    <cellStyle name="Millares 3 2 2 2 2 2 2 4 2" xfId="6374" xr:uid="{258B41BE-0A67-4CB5-9D9F-0736764E02E5}"/>
    <cellStyle name="Millares 3 2 2 2 2 2 2 5" xfId="4450" xr:uid="{CF7B200A-0308-442F-A270-2A31F3E5826E}"/>
    <cellStyle name="Millares 3 2 2 2 2 2 3" xfId="843" xr:uid="{A1F672C8-1587-43FD-A970-27C873C40D1D}"/>
    <cellStyle name="Millares 3 2 2 2 2 2 3 2" xfId="1805" xr:uid="{147D824B-8D78-4B35-BF75-EDB923F9B534}"/>
    <cellStyle name="Millares 3 2 2 2 2 2 3 2 2" xfId="3729" xr:uid="{7D0B600C-0C70-459F-A88B-5BC4821CA7D6}"/>
    <cellStyle name="Millares 3 2 2 2 2 2 3 2 2 2" xfId="7577" xr:uid="{22926179-7B6A-4377-B1AC-3096B1483180}"/>
    <cellStyle name="Millares 3 2 2 2 2 2 3 2 3" xfId="5653" xr:uid="{1503EEFB-0999-434C-8A09-1930A802FDFF}"/>
    <cellStyle name="Millares 3 2 2 2 2 2 3 3" xfId="2767" xr:uid="{687CF01D-3E9E-4C38-A5C9-CA33DE483EF9}"/>
    <cellStyle name="Millares 3 2 2 2 2 2 3 3 2" xfId="6615" xr:uid="{492BE829-A9E2-40CE-8276-BCFAE58C3916}"/>
    <cellStyle name="Millares 3 2 2 2 2 2 3 4" xfId="4691" xr:uid="{FBB4F6C3-0DD6-4D52-9DE0-AE879A90EB07}"/>
    <cellStyle name="Millares 3 2 2 2 2 2 4" xfId="1324" xr:uid="{4149076B-0590-4A33-95D6-FB7FA1E604DE}"/>
    <cellStyle name="Millares 3 2 2 2 2 2 4 2" xfId="3248" xr:uid="{1B684D36-30A8-4E62-9611-6C74ABF0ED8F}"/>
    <cellStyle name="Millares 3 2 2 2 2 2 4 2 2" xfId="7096" xr:uid="{88B05FDC-DE87-4326-8D75-EDCAF92A284F}"/>
    <cellStyle name="Millares 3 2 2 2 2 2 4 3" xfId="5172" xr:uid="{F7E04389-7782-4454-9A1A-174A3C1C3DD6}"/>
    <cellStyle name="Millares 3 2 2 2 2 2 5" xfId="2286" xr:uid="{D9B73970-FE95-40DA-84AB-867E4D447C21}"/>
    <cellStyle name="Millares 3 2 2 2 2 2 5 2" xfId="6134" xr:uid="{C8B5287E-F2FF-4F95-88DB-83C1521B3E89}"/>
    <cellStyle name="Millares 3 2 2 2 2 2 6" xfId="4210" xr:uid="{05F6D80D-C5CD-418A-B3D2-E94FF2554D56}"/>
    <cellStyle name="Millares 3 2 2 2 2 3" xfId="470" xr:uid="{C09722E0-FF00-426D-B07D-6B936C2BC8B4}"/>
    <cellStyle name="Millares 3 2 2 2 2 3 2" xfId="951" xr:uid="{D37CF886-786A-41A4-BB46-D4C19BC28CF8}"/>
    <cellStyle name="Millares 3 2 2 2 2 3 2 2" xfId="1913" xr:uid="{E817D2E1-3B3D-4994-A4F6-F5DE0E975E7F}"/>
    <cellStyle name="Millares 3 2 2 2 2 3 2 2 2" xfId="3837" xr:uid="{B2FD53B2-5F4C-4AB3-A98F-A1F09C9FE17A}"/>
    <cellStyle name="Millares 3 2 2 2 2 3 2 2 2 2" xfId="7685" xr:uid="{5B4F291B-025D-4449-8B7A-EA5495965D77}"/>
    <cellStyle name="Millares 3 2 2 2 2 3 2 2 3" xfId="5761" xr:uid="{0B576F08-A015-422A-A22A-FFB6E8827B92}"/>
    <cellStyle name="Millares 3 2 2 2 2 3 2 3" xfId="2875" xr:uid="{6E06E83F-E39F-44D2-8018-6AFA4F319190}"/>
    <cellStyle name="Millares 3 2 2 2 2 3 2 3 2" xfId="6723" xr:uid="{489201BE-73CD-46C4-B1FE-CBA8D9300653}"/>
    <cellStyle name="Millares 3 2 2 2 2 3 2 4" xfId="4799" xr:uid="{5DB92C92-3B52-4C58-99B0-B6D49F003B45}"/>
    <cellStyle name="Millares 3 2 2 2 2 3 3" xfId="1432" xr:uid="{D487A89B-CA0C-4DA5-97B2-24B6523753F2}"/>
    <cellStyle name="Millares 3 2 2 2 2 3 3 2" xfId="3356" xr:uid="{65026ECE-B82D-454F-955D-BF4BD3A5BF0F}"/>
    <cellStyle name="Millares 3 2 2 2 2 3 3 2 2" xfId="7204" xr:uid="{9450155A-CD84-4919-B31E-8E9159A21E34}"/>
    <cellStyle name="Millares 3 2 2 2 2 3 3 3" xfId="5280" xr:uid="{4E341D4A-49C3-4866-87C6-5A2CA07E8597}"/>
    <cellStyle name="Millares 3 2 2 2 2 3 4" xfId="2394" xr:uid="{62B81143-2BDC-419C-B22C-CC405AAC3385}"/>
    <cellStyle name="Millares 3 2 2 2 2 3 4 2" xfId="6242" xr:uid="{4FCE1B41-9A9C-4E0A-A4DE-5BB88F79A190}"/>
    <cellStyle name="Millares 3 2 2 2 2 3 5" xfId="4318" xr:uid="{2F59C678-B447-4462-BF97-CE3F57F5C8F6}"/>
    <cellStyle name="Millares 3 2 2 2 2 4" xfId="711" xr:uid="{FE120153-68CA-4F13-87D3-994AA47D9094}"/>
    <cellStyle name="Millares 3 2 2 2 2 4 2" xfId="1673" xr:uid="{78F2BEFF-3EC0-4DE9-9362-F8E6C3988088}"/>
    <cellStyle name="Millares 3 2 2 2 2 4 2 2" xfId="3597" xr:uid="{F88BFB26-0092-4B24-837D-C94E27E93DBF}"/>
    <cellStyle name="Millares 3 2 2 2 2 4 2 2 2" xfId="7445" xr:uid="{47989A20-AE01-46DC-9D0E-EE89EFA6048E}"/>
    <cellStyle name="Millares 3 2 2 2 2 4 2 3" xfId="5521" xr:uid="{F5220D23-9E4E-4206-9043-F0F6C9F52385}"/>
    <cellStyle name="Millares 3 2 2 2 2 4 3" xfId="2635" xr:uid="{66F218AD-8E7E-4914-860B-13CD764AB767}"/>
    <cellStyle name="Millares 3 2 2 2 2 4 3 2" xfId="6483" xr:uid="{06FFCB53-18A9-4B4E-B618-D193D43C7F72}"/>
    <cellStyle name="Millares 3 2 2 2 2 4 4" xfId="4559" xr:uid="{70B2ACE7-7ACB-4BAE-8126-BF74557B4D97}"/>
    <cellStyle name="Millares 3 2 2 2 2 5" xfId="1192" xr:uid="{0BD64D35-7A30-4215-8FD0-96DE81A5F984}"/>
    <cellStyle name="Millares 3 2 2 2 2 5 2" xfId="3116" xr:uid="{DA33540A-3B67-406C-B2D0-C162CBB618EE}"/>
    <cellStyle name="Millares 3 2 2 2 2 5 2 2" xfId="6964" xr:uid="{7CC7FACF-B221-4591-A613-50856EF14D5C}"/>
    <cellStyle name="Millares 3 2 2 2 2 5 3" xfId="5040" xr:uid="{13BFDABE-4E8F-4CC4-8563-DECE4E186747}"/>
    <cellStyle name="Millares 3 2 2 2 2 6" xfId="2154" xr:uid="{66445C73-A111-45AF-A7B7-D9BC83BE0F0E}"/>
    <cellStyle name="Millares 3 2 2 2 2 6 2" xfId="6002" xr:uid="{4D10C65E-8164-4838-BFB2-EE8020F10161}"/>
    <cellStyle name="Millares 3 2 2 2 2 7" xfId="4078" xr:uid="{38447FC3-D07D-4808-A0D6-922E0284E6F8}"/>
    <cellStyle name="Millares 3 2 2 2 3" xfId="318" xr:uid="{6CF546A6-53C6-4B3A-A185-B74D66472264}"/>
    <cellStyle name="Millares 3 2 2 2 3 2" xfId="569" xr:uid="{7A2EF4CF-6318-4165-82DD-3E3C8B0B1971}"/>
    <cellStyle name="Millares 3 2 2 2 3 2 2" xfId="1050" xr:uid="{519D6802-E80F-417D-B7FE-E9CE8453E6AB}"/>
    <cellStyle name="Millares 3 2 2 2 3 2 2 2" xfId="2012" xr:uid="{7D2689D6-FAB3-41F5-963E-90010A699E57}"/>
    <cellStyle name="Millares 3 2 2 2 3 2 2 2 2" xfId="3936" xr:uid="{57A4DD3C-6629-4359-AEBC-CEF9C8277CE2}"/>
    <cellStyle name="Millares 3 2 2 2 3 2 2 2 2 2" xfId="7784" xr:uid="{1A30E4BB-D9C5-401A-9B67-480E54403AB1}"/>
    <cellStyle name="Millares 3 2 2 2 3 2 2 2 3" xfId="5860" xr:uid="{E9756227-C022-4E1D-B770-CE18B7DEFF9C}"/>
    <cellStyle name="Millares 3 2 2 2 3 2 2 3" xfId="2974" xr:uid="{ECA1C97F-243B-4C38-A00E-4962E44975A3}"/>
    <cellStyle name="Millares 3 2 2 2 3 2 2 3 2" xfId="6822" xr:uid="{A9719F4E-D40D-4503-B317-62E597270E0E}"/>
    <cellStyle name="Millares 3 2 2 2 3 2 2 4" xfId="4898" xr:uid="{8830D106-CC66-4C54-9BA4-6F7FBF1DDAD1}"/>
    <cellStyle name="Millares 3 2 2 2 3 2 3" xfId="1531" xr:uid="{9430411F-42BF-4671-9A43-D93D4378137A}"/>
    <cellStyle name="Millares 3 2 2 2 3 2 3 2" xfId="3455" xr:uid="{F54EE915-4222-4283-A7E8-A1A1924AECDE}"/>
    <cellStyle name="Millares 3 2 2 2 3 2 3 2 2" xfId="7303" xr:uid="{10A104DE-F9F2-47B3-8A92-EC0E08C49AF6}"/>
    <cellStyle name="Millares 3 2 2 2 3 2 3 3" xfId="5379" xr:uid="{6A1A0010-C4C7-4919-9C64-0B6B91B89C34}"/>
    <cellStyle name="Millares 3 2 2 2 3 2 4" xfId="2493" xr:uid="{4F31179B-AFCA-4ACA-A387-3DA7FBB7EC11}"/>
    <cellStyle name="Millares 3 2 2 2 3 2 4 2" xfId="6341" xr:uid="{89B749F6-CBC0-4A9A-B06F-E2181BD77068}"/>
    <cellStyle name="Millares 3 2 2 2 3 2 5" xfId="4417" xr:uid="{76C7C5A7-589C-4BFC-AA4A-D5D3B6BAD92D}"/>
    <cellStyle name="Millares 3 2 2 2 3 3" xfId="810" xr:uid="{E2238661-3C71-4014-B212-C7705CBC2268}"/>
    <cellStyle name="Millares 3 2 2 2 3 3 2" xfId="1772" xr:uid="{F775AC72-ACB6-44FE-9E85-82C65DB3B12B}"/>
    <cellStyle name="Millares 3 2 2 2 3 3 2 2" xfId="3696" xr:uid="{0DAAE807-46EE-4F96-A9D8-70778223DDDC}"/>
    <cellStyle name="Millares 3 2 2 2 3 3 2 2 2" xfId="7544" xr:uid="{077F6E62-180A-4BA0-981F-CAD801B0482C}"/>
    <cellStyle name="Millares 3 2 2 2 3 3 2 3" xfId="5620" xr:uid="{C06A9D53-2DD1-4E30-A5EE-A5102FF06DCE}"/>
    <cellStyle name="Millares 3 2 2 2 3 3 3" xfId="2734" xr:uid="{ABD6C4F7-764B-4751-8334-D90E177DA380}"/>
    <cellStyle name="Millares 3 2 2 2 3 3 3 2" xfId="6582" xr:uid="{462BAA02-D07E-44AD-A354-612754F9A25E}"/>
    <cellStyle name="Millares 3 2 2 2 3 3 4" xfId="4658" xr:uid="{3005D519-1E95-4A4E-B421-55D2109DDD68}"/>
    <cellStyle name="Millares 3 2 2 2 3 4" xfId="1291" xr:uid="{17ECB021-205D-4D6F-AD6F-579870A32F94}"/>
    <cellStyle name="Millares 3 2 2 2 3 4 2" xfId="3215" xr:uid="{1DB2C1DB-71DE-4C93-9E9D-B09694C4F4BF}"/>
    <cellStyle name="Millares 3 2 2 2 3 4 2 2" xfId="7063" xr:uid="{4DBB62D0-23BC-41B6-B0B9-AE5DE69C72BD}"/>
    <cellStyle name="Millares 3 2 2 2 3 4 3" xfId="5139" xr:uid="{232430F2-11E6-4714-8B3B-C98EB3D62089}"/>
    <cellStyle name="Millares 3 2 2 2 3 5" xfId="2253" xr:uid="{DB2964C3-A04A-4D16-AE35-F7C90DAF05EA}"/>
    <cellStyle name="Millares 3 2 2 2 3 5 2" xfId="6101" xr:uid="{C6F9CA30-707B-4842-A7E1-CBA78167BAC0}"/>
    <cellStyle name="Millares 3 2 2 2 3 6" xfId="4177" xr:uid="{3472D459-AF8F-4F67-A092-20EDC8EEB320}"/>
    <cellStyle name="Millares 3 2 2 2 4" xfId="251" xr:uid="{030011B5-F3EB-48F0-A908-716F81CA03FD}"/>
    <cellStyle name="Millares 3 2 2 2 4 2" xfId="503" xr:uid="{4769B991-7812-4901-9EA6-45BD6E2DC749}"/>
    <cellStyle name="Millares 3 2 2 2 4 2 2" xfId="984" xr:uid="{ADC59703-C924-441B-8711-9AD565A1455B}"/>
    <cellStyle name="Millares 3 2 2 2 4 2 2 2" xfId="1946" xr:uid="{ACC59AA8-6A0B-4170-8069-93C99281DDB3}"/>
    <cellStyle name="Millares 3 2 2 2 4 2 2 2 2" xfId="3870" xr:uid="{E82FF296-CF2F-4A4B-8D08-EBCD16379F2F}"/>
    <cellStyle name="Millares 3 2 2 2 4 2 2 2 2 2" xfId="7718" xr:uid="{4C51537B-3A75-46FF-BEA4-732C5E9BA02D}"/>
    <cellStyle name="Millares 3 2 2 2 4 2 2 2 3" xfId="5794" xr:uid="{26555F60-A873-4125-AAE2-3B85AEB49189}"/>
    <cellStyle name="Millares 3 2 2 2 4 2 2 3" xfId="2908" xr:uid="{DEB0340F-AACE-4881-80A9-1446AD615930}"/>
    <cellStyle name="Millares 3 2 2 2 4 2 2 3 2" xfId="6756" xr:uid="{45D819CD-371A-46C3-B8E7-0C91342FF437}"/>
    <cellStyle name="Millares 3 2 2 2 4 2 2 4" xfId="4832" xr:uid="{8B70E8AC-1B9A-48BB-ABEB-3A835148FCA4}"/>
    <cellStyle name="Millares 3 2 2 2 4 2 3" xfId="1465" xr:uid="{BF909897-BC95-41AE-88EB-9AAB6D589BEB}"/>
    <cellStyle name="Millares 3 2 2 2 4 2 3 2" xfId="3389" xr:uid="{47FBA2A9-AB52-4F6E-9822-6CD9969DF337}"/>
    <cellStyle name="Millares 3 2 2 2 4 2 3 2 2" xfId="7237" xr:uid="{E1696DEE-77B6-4B6F-96BC-C87C90DF9B44}"/>
    <cellStyle name="Millares 3 2 2 2 4 2 3 3" xfId="5313" xr:uid="{4777FE83-EB47-4636-984D-72BC584EE27E}"/>
    <cellStyle name="Millares 3 2 2 2 4 2 4" xfId="2427" xr:uid="{9B5A853D-70E3-4890-8B39-6D74F562D9AD}"/>
    <cellStyle name="Millares 3 2 2 2 4 2 4 2" xfId="6275" xr:uid="{BDB5F425-77BF-408B-A6D2-371ED03B6A13}"/>
    <cellStyle name="Millares 3 2 2 2 4 2 5" xfId="4351" xr:uid="{4241C63A-AA13-4D81-A53F-BA4765FAFB6D}"/>
    <cellStyle name="Millares 3 2 2 2 4 3" xfId="744" xr:uid="{C53A14CE-4CA6-4B22-88EC-8F4FB3843215}"/>
    <cellStyle name="Millares 3 2 2 2 4 3 2" xfId="1706" xr:uid="{72CA75F4-4432-45E2-8917-9DE8A32081E2}"/>
    <cellStyle name="Millares 3 2 2 2 4 3 2 2" xfId="3630" xr:uid="{B089A14A-4F6D-4C1D-88F9-047CAF9D69A0}"/>
    <cellStyle name="Millares 3 2 2 2 4 3 2 2 2" xfId="7478" xr:uid="{D5FC67F9-8C84-47C6-967D-7CE1696398F9}"/>
    <cellStyle name="Millares 3 2 2 2 4 3 2 3" xfId="5554" xr:uid="{2BCF116C-48B4-48C5-9FC3-E7054A4BDEC9}"/>
    <cellStyle name="Millares 3 2 2 2 4 3 3" xfId="2668" xr:uid="{8AFB1740-3D08-42A4-8CCA-2EA8EB89F55C}"/>
    <cellStyle name="Millares 3 2 2 2 4 3 3 2" xfId="6516" xr:uid="{51E14BBE-A7C3-4A8B-9CFD-B9451123AD42}"/>
    <cellStyle name="Millares 3 2 2 2 4 3 4" xfId="4592" xr:uid="{0F500958-C8FD-4AE3-9F77-F14D0C3443F2}"/>
    <cellStyle name="Millares 3 2 2 2 4 4" xfId="1225" xr:uid="{B52862BD-81A3-4FB9-8100-51D21BE0F552}"/>
    <cellStyle name="Millares 3 2 2 2 4 4 2" xfId="3149" xr:uid="{8FE0B4BC-D882-48DC-8B20-654E6D22C69B}"/>
    <cellStyle name="Millares 3 2 2 2 4 4 2 2" xfId="6997" xr:uid="{4DED4907-A298-44C9-A7A7-5FBC5FAD9DFC}"/>
    <cellStyle name="Millares 3 2 2 2 4 4 3" xfId="5073" xr:uid="{1A1131EA-FCBC-41B2-9CCA-EB5AFBA2AC37}"/>
    <cellStyle name="Millares 3 2 2 2 4 5" xfId="2187" xr:uid="{367C7C39-F033-438C-93C2-C8556D34DD46}"/>
    <cellStyle name="Millares 3 2 2 2 4 5 2" xfId="6035" xr:uid="{7B36B6DF-3D69-47CF-9D42-B014058D0D39}"/>
    <cellStyle name="Millares 3 2 2 2 4 6" xfId="4111" xr:uid="{810B1812-8575-4552-84D5-550510098E20}"/>
    <cellStyle name="Millares 3 2 2 2 5" xfId="437" xr:uid="{F645F033-635F-42B6-9AB7-0628CB35495A}"/>
    <cellStyle name="Millares 3 2 2 2 5 2" xfId="918" xr:uid="{ECA3539F-3793-4A1A-A01A-C677C4608E97}"/>
    <cellStyle name="Millares 3 2 2 2 5 2 2" xfId="1880" xr:uid="{0EB0DC22-D2D7-4CEA-AAAE-5291633B77E5}"/>
    <cellStyle name="Millares 3 2 2 2 5 2 2 2" xfId="3804" xr:uid="{5A444E0C-2E31-486B-98EA-09F677A419DF}"/>
    <cellStyle name="Millares 3 2 2 2 5 2 2 2 2" xfId="7652" xr:uid="{130E3956-6F61-4ED2-B013-5809B1195096}"/>
    <cellStyle name="Millares 3 2 2 2 5 2 2 3" xfId="5728" xr:uid="{4DD1C2D7-6746-46C6-84C7-6F057740FF4E}"/>
    <cellStyle name="Millares 3 2 2 2 5 2 3" xfId="2842" xr:uid="{94A59A29-39F4-4445-9AEE-B6255E6B5618}"/>
    <cellStyle name="Millares 3 2 2 2 5 2 3 2" xfId="6690" xr:uid="{3CD34270-F818-4445-A121-1D51AFE0056B}"/>
    <cellStyle name="Millares 3 2 2 2 5 2 4" xfId="4766" xr:uid="{32B98ECF-1FF8-4B4D-86DB-ADB467ABD5E2}"/>
    <cellStyle name="Millares 3 2 2 2 5 3" xfId="1399" xr:uid="{F8B23E6C-8E78-48D2-9F8E-5BC4E0A69CB7}"/>
    <cellStyle name="Millares 3 2 2 2 5 3 2" xfId="3323" xr:uid="{2C27E2BF-CF5E-4313-8F41-342C2A74AAB7}"/>
    <cellStyle name="Millares 3 2 2 2 5 3 2 2" xfId="7171" xr:uid="{14CB1E22-C2B1-4BCD-8BC7-0D8B4B2FAD4A}"/>
    <cellStyle name="Millares 3 2 2 2 5 3 3" xfId="5247" xr:uid="{3E5FBC86-7DDF-43BE-B228-EE0C102451A5}"/>
    <cellStyle name="Millares 3 2 2 2 5 4" xfId="2361" xr:uid="{35D14558-4C31-457B-A4BB-4A557D4B2777}"/>
    <cellStyle name="Millares 3 2 2 2 5 4 2" xfId="6209" xr:uid="{F1410C36-6280-4D80-BD60-95E50B4DD447}"/>
    <cellStyle name="Millares 3 2 2 2 5 5" xfId="4285" xr:uid="{6052384E-1252-4F5A-BA0C-37BECDBFF3C0}"/>
    <cellStyle name="Millares 3 2 2 2 6" xfId="678" xr:uid="{F8CE5413-380D-4ADA-92EE-C49791595AB7}"/>
    <cellStyle name="Millares 3 2 2 2 6 2" xfId="1640" xr:uid="{6486AD4F-BE81-4F0D-BF9B-52670B3FB4C2}"/>
    <cellStyle name="Millares 3 2 2 2 6 2 2" xfId="3564" xr:uid="{1F895FC1-578C-4F3D-B13D-2DC94AA5BB60}"/>
    <cellStyle name="Millares 3 2 2 2 6 2 2 2" xfId="7412" xr:uid="{E15CB85F-8D17-45C9-86F5-21A79AEC2D54}"/>
    <cellStyle name="Millares 3 2 2 2 6 2 3" xfId="5488" xr:uid="{4C479A3F-C708-4B24-81B8-8F825F8BCE63}"/>
    <cellStyle name="Millares 3 2 2 2 6 3" xfId="2602" xr:uid="{3F26DB9C-35DC-48C0-9ABA-50ABF4F393E5}"/>
    <cellStyle name="Millares 3 2 2 2 6 3 2" xfId="6450" xr:uid="{DD5C1123-DC02-4476-8BB1-60A13EFC1BD9}"/>
    <cellStyle name="Millares 3 2 2 2 6 4" xfId="4526" xr:uid="{B7389728-D72E-4B44-B086-D7468CCC6052}"/>
    <cellStyle name="Millares 3 2 2 2 7" xfId="1159" xr:uid="{D353D544-CD4B-43E4-A2AC-D95D53808B66}"/>
    <cellStyle name="Millares 3 2 2 2 7 2" xfId="3083" xr:uid="{82586FCF-4988-400A-AAB3-CEB9B4AF836C}"/>
    <cellStyle name="Millares 3 2 2 2 7 2 2" xfId="6931" xr:uid="{5CFFCFC2-AE74-4173-8C45-FB5AF7F0378A}"/>
    <cellStyle name="Millares 3 2 2 2 7 3" xfId="5007" xr:uid="{B821ADCC-3FCD-4891-86E9-A087D17E3E00}"/>
    <cellStyle name="Millares 3 2 2 2 8" xfId="2121" xr:uid="{BF50E428-727C-4C88-9961-E623DD98932D}"/>
    <cellStyle name="Millares 3 2 2 2 8 2" xfId="5969" xr:uid="{AF28E0E0-BEFB-46D2-8404-A54AA8538FB9}"/>
    <cellStyle name="Millares 3 2 2 2 9" xfId="4045" xr:uid="{CCC5E08C-E668-415F-BC8E-C5DF6E6BD82B}"/>
    <cellStyle name="Millares 3 2 2 3" xfId="160" xr:uid="{31B7DB49-CE54-4D00-AA0E-370643D74D6A}"/>
    <cellStyle name="Millares 3 2 2 3 2" xfId="298" xr:uid="{2322E0AC-C3C3-4ECA-B50C-D068295C6B0F}"/>
    <cellStyle name="Millares 3 2 2 3 2 2" xfId="549" xr:uid="{2FA06BC3-6958-4BE4-9C20-1813AF3184A0}"/>
    <cellStyle name="Millares 3 2 2 3 2 2 2" xfId="1030" xr:uid="{EB69A0E0-533F-48DB-AA3F-B048B6B479F0}"/>
    <cellStyle name="Millares 3 2 2 3 2 2 2 2" xfId="1992" xr:uid="{EA0223B1-B8D8-4C11-9034-D3224FAD08D1}"/>
    <cellStyle name="Millares 3 2 2 3 2 2 2 2 2" xfId="3916" xr:uid="{2299DD0C-6FBB-492B-B129-58239D86C1AA}"/>
    <cellStyle name="Millares 3 2 2 3 2 2 2 2 2 2" xfId="7764" xr:uid="{14FB5296-F7F8-4971-B3A4-0785E91EA474}"/>
    <cellStyle name="Millares 3 2 2 3 2 2 2 2 3" xfId="5840" xr:uid="{A5B6E289-EA39-49B1-A48B-5CFF587E00B5}"/>
    <cellStyle name="Millares 3 2 2 3 2 2 2 3" xfId="2954" xr:uid="{4802C963-7228-4CE3-9E1C-8A77A6EE82DD}"/>
    <cellStyle name="Millares 3 2 2 3 2 2 2 3 2" xfId="6802" xr:uid="{36DAE591-6377-49D6-87A9-69E5346B8A4E}"/>
    <cellStyle name="Millares 3 2 2 3 2 2 2 4" xfId="4878" xr:uid="{5E6E4E1F-12B2-448F-A3C2-C427426E276F}"/>
    <cellStyle name="Millares 3 2 2 3 2 2 3" xfId="1511" xr:uid="{DADD6313-194B-499A-8E1F-BAB5EF66CA5A}"/>
    <cellStyle name="Millares 3 2 2 3 2 2 3 2" xfId="3435" xr:uid="{32543CC0-6AF4-4C91-946E-0681F3C56110}"/>
    <cellStyle name="Millares 3 2 2 3 2 2 3 2 2" xfId="7283" xr:uid="{4CD8BB14-4DA1-4115-B3C6-FC91834CD720}"/>
    <cellStyle name="Millares 3 2 2 3 2 2 3 3" xfId="5359" xr:uid="{AD99DC38-42D7-4D3C-B658-017A2CA71493}"/>
    <cellStyle name="Millares 3 2 2 3 2 2 4" xfId="2473" xr:uid="{44F80C83-FF36-45C5-A3A3-013058E9E6FF}"/>
    <cellStyle name="Millares 3 2 2 3 2 2 4 2" xfId="6321" xr:uid="{1EF69DEB-953F-4007-9E8A-52ED865C91A8}"/>
    <cellStyle name="Millares 3 2 2 3 2 2 5" xfId="4397" xr:uid="{3E155968-6343-44AA-B592-86E4406CA7A0}"/>
    <cellStyle name="Millares 3 2 2 3 2 3" xfId="790" xr:uid="{837D92DE-67C2-48BA-B709-E31195A12120}"/>
    <cellStyle name="Millares 3 2 2 3 2 3 2" xfId="1752" xr:uid="{4CBCDF7F-7DE2-4004-B2C1-A280658EE59C}"/>
    <cellStyle name="Millares 3 2 2 3 2 3 2 2" xfId="3676" xr:uid="{7D2C3898-8801-494E-BE96-156EB1D35A5F}"/>
    <cellStyle name="Millares 3 2 2 3 2 3 2 2 2" xfId="7524" xr:uid="{A1D7A262-C089-4FB7-BBAF-3A1CAEA0FC2A}"/>
    <cellStyle name="Millares 3 2 2 3 2 3 2 3" xfId="5600" xr:uid="{B761AB59-B86F-40BA-9CDF-3DE14C788F60}"/>
    <cellStyle name="Millares 3 2 2 3 2 3 3" xfId="2714" xr:uid="{921998C7-67E0-4B7B-A1CB-E0AD2E0DB749}"/>
    <cellStyle name="Millares 3 2 2 3 2 3 3 2" xfId="6562" xr:uid="{FC6C626C-4A6D-40D8-BCC3-A30BEA892B45}"/>
    <cellStyle name="Millares 3 2 2 3 2 3 4" xfId="4638" xr:uid="{2DB8C916-B3D6-46F2-810A-52DDFAC42870}"/>
    <cellStyle name="Millares 3 2 2 3 2 4" xfId="1271" xr:uid="{436B3FD5-3B9B-4AD2-9DD8-5D72A23E4576}"/>
    <cellStyle name="Millares 3 2 2 3 2 4 2" xfId="3195" xr:uid="{398676E5-FE23-478D-A024-58618D8A5997}"/>
    <cellStyle name="Millares 3 2 2 3 2 4 2 2" xfId="7043" xr:uid="{F3783884-62D7-4EEE-830C-CA19FFE7D895}"/>
    <cellStyle name="Millares 3 2 2 3 2 4 3" xfId="5119" xr:uid="{066846A5-8568-4756-8C05-1530683BB1A4}"/>
    <cellStyle name="Millares 3 2 2 3 2 5" xfId="2233" xr:uid="{316889B9-34F5-45FB-9DDE-E1D4ADD2A15B}"/>
    <cellStyle name="Millares 3 2 2 3 2 5 2" xfId="6081" xr:uid="{31ADF164-C65C-49D0-A271-41B767CFE0E8}"/>
    <cellStyle name="Millares 3 2 2 3 2 6" xfId="4157" xr:uid="{47EAE468-A9BA-49BB-B8AF-B45F936542DD}"/>
    <cellStyle name="Millares 3 2 2 3 3" xfId="417" xr:uid="{1A7A6EC1-DDDC-4C09-9FDF-228558B54758}"/>
    <cellStyle name="Millares 3 2 2 3 3 2" xfId="898" xr:uid="{0EC0ABAE-E9C9-4DB8-8B77-CA3717ED8832}"/>
    <cellStyle name="Millares 3 2 2 3 3 2 2" xfId="1860" xr:uid="{89914F2F-435F-4F06-AEFF-FDE968C1958E}"/>
    <cellStyle name="Millares 3 2 2 3 3 2 2 2" xfId="3784" xr:uid="{DD24A395-6DA7-4DF4-9939-31EAD1B08D2F}"/>
    <cellStyle name="Millares 3 2 2 3 3 2 2 2 2" xfId="7632" xr:uid="{5C783AA5-A525-480A-A310-7CE44FF93CFE}"/>
    <cellStyle name="Millares 3 2 2 3 3 2 2 3" xfId="5708" xr:uid="{05409CF0-EA6D-4471-8920-343780378C19}"/>
    <cellStyle name="Millares 3 2 2 3 3 2 3" xfId="2822" xr:uid="{9328DF11-9E25-4342-AB52-92D5E9B0DED1}"/>
    <cellStyle name="Millares 3 2 2 3 3 2 3 2" xfId="6670" xr:uid="{ADA65DE4-0353-4F50-AB4A-4DEDBCCA2C90}"/>
    <cellStyle name="Millares 3 2 2 3 3 2 4" xfId="4746" xr:uid="{3CC782E3-8D02-4A9C-BFCE-5045E46B93F2}"/>
    <cellStyle name="Millares 3 2 2 3 3 3" xfId="1379" xr:uid="{AECD4C80-977C-4712-A9D9-EFD6892FEC67}"/>
    <cellStyle name="Millares 3 2 2 3 3 3 2" xfId="3303" xr:uid="{48348AC0-E1C8-4E63-AB36-2995F22BEE57}"/>
    <cellStyle name="Millares 3 2 2 3 3 3 2 2" xfId="7151" xr:uid="{401289F3-2E5A-4409-8762-608450A4BE1E}"/>
    <cellStyle name="Millares 3 2 2 3 3 3 3" xfId="5227" xr:uid="{C82549EB-8286-474F-ADB0-2FD4022DAE38}"/>
    <cellStyle name="Millares 3 2 2 3 3 4" xfId="2341" xr:uid="{5AA958EC-8387-4A10-ADF9-6F78C9CC7739}"/>
    <cellStyle name="Millares 3 2 2 3 3 4 2" xfId="6189" xr:uid="{C0F8BFED-F96B-4F8A-A382-3F44C4017FE6}"/>
    <cellStyle name="Millares 3 2 2 3 3 5" xfId="4265" xr:uid="{039C34BB-426A-4199-8F9F-9B3222BDB8BD}"/>
    <cellStyle name="Millares 3 2 2 3 4" xfId="658" xr:uid="{F86B66B0-6CA3-4384-AA6D-BAB3B357A529}"/>
    <cellStyle name="Millares 3 2 2 3 4 2" xfId="1620" xr:uid="{2D898274-3447-4FD8-BDE2-760EDB0DC204}"/>
    <cellStyle name="Millares 3 2 2 3 4 2 2" xfId="3544" xr:uid="{A2B245CD-7CF4-4392-860B-E6BC8B154B10}"/>
    <cellStyle name="Millares 3 2 2 3 4 2 2 2" xfId="7392" xr:uid="{1C103240-E353-4764-89B0-FF7AEDC049BD}"/>
    <cellStyle name="Millares 3 2 2 3 4 2 3" xfId="5468" xr:uid="{2C78861C-DE14-414E-B3EB-DA81A638C194}"/>
    <cellStyle name="Millares 3 2 2 3 4 3" xfId="2582" xr:uid="{C31988C3-3CAD-49A3-AD9D-317F19F12671}"/>
    <cellStyle name="Millares 3 2 2 3 4 3 2" xfId="6430" xr:uid="{6213AE81-8FB0-4095-A6C9-CD969460ABC6}"/>
    <cellStyle name="Millares 3 2 2 3 4 4" xfId="4506" xr:uid="{348E56CD-9490-4866-B3F6-5195E62213D4}"/>
    <cellStyle name="Millares 3 2 2 3 5" xfId="1139" xr:uid="{F72AEBAB-82BC-40CC-9C0E-8A64BF88478C}"/>
    <cellStyle name="Millares 3 2 2 3 5 2" xfId="3063" xr:uid="{4AD5D05D-2177-4DF3-82EA-5B127510E8AE}"/>
    <cellStyle name="Millares 3 2 2 3 5 2 2" xfId="6911" xr:uid="{2A7E3216-C959-4576-A6CB-1119D8C07AB3}"/>
    <cellStyle name="Millares 3 2 2 3 5 3" xfId="4987" xr:uid="{E47556CE-325B-44A4-9CF7-EAA8F2270F66}"/>
    <cellStyle name="Millares 3 2 2 3 6" xfId="2101" xr:uid="{19A2CBB6-252B-41CB-A063-2C79D7BEF0CD}"/>
    <cellStyle name="Millares 3 2 2 3 6 2" xfId="5949" xr:uid="{F02E55CE-B485-410D-BBEC-A2077FB194B2}"/>
    <cellStyle name="Millares 3 2 2 3 7" xfId="4025" xr:uid="{B5062CC1-7DE5-4AC7-A5AC-CB1C4840FE4F}"/>
    <cellStyle name="Millares 3 2 2 4" xfId="197" xr:uid="{AA5C91C6-3DC5-4BE9-AF35-7AA4A66736C2}"/>
    <cellStyle name="Millares 3 2 2 4 2" xfId="331" xr:uid="{663BB0A6-AB4E-487F-B341-D8FAA74633B7}"/>
    <cellStyle name="Millares 3 2 2 4 2 2" xfId="582" xr:uid="{1C7EC838-62BB-409A-9974-105FBA6ECAA7}"/>
    <cellStyle name="Millares 3 2 2 4 2 2 2" xfId="1063" xr:uid="{F88FD156-BE2F-4F90-BB80-D013EB9E945E}"/>
    <cellStyle name="Millares 3 2 2 4 2 2 2 2" xfId="2025" xr:uid="{214BA20D-25A5-4E37-81FD-115A87E391CC}"/>
    <cellStyle name="Millares 3 2 2 4 2 2 2 2 2" xfId="3949" xr:uid="{A5BFAF98-6CD3-4F4F-9746-C67431812443}"/>
    <cellStyle name="Millares 3 2 2 4 2 2 2 2 2 2" xfId="7797" xr:uid="{60521B63-DC2B-42BB-9E91-F8E4FC21017A}"/>
    <cellStyle name="Millares 3 2 2 4 2 2 2 2 3" xfId="5873" xr:uid="{EBF87158-12E9-4A58-BCE6-9761AB9BFAE8}"/>
    <cellStyle name="Millares 3 2 2 4 2 2 2 3" xfId="2987" xr:uid="{EF4FC675-6FD6-454F-8C74-699F09ACC365}"/>
    <cellStyle name="Millares 3 2 2 4 2 2 2 3 2" xfId="6835" xr:uid="{912A80C8-205D-4FB2-B439-5F70F9E19A41}"/>
    <cellStyle name="Millares 3 2 2 4 2 2 2 4" xfId="4911" xr:uid="{41CF43C5-DFA3-436B-A02B-A14B1CB3CAD1}"/>
    <cellStyle name="Millares 3 2 2 4 2 2 3" xfId="1544" xr:uid="{C7E37CB5-A4F4-492C-BE63-114C4B4AE2ED}"/>
    <cellStyle name="Millares 3 2 2 4 2 2 3 2" xfId="3468" xr:uid="{F63B9904-AF2F-4CC2-90DD-E0FF4ADC7B7F}"/>
    <cellStyle name="Millares 3 2 2 4 2 2 3 2 2" xfId="7316" xr:uid="{B384D370-84AD-4AAD-BC45-B03E5D94D10B}"/>
    <cellStyle name="Millares 3 2 2 4 2 2 3 3" xfId="5392" xr:uid="{AFBD19AB-95EE-4F40-95C9-2A5CA697E1B0}"/>
    <cellStyle name="Millares 3 2 2 4 2 2 4" xfId="2506" xr:uid="{18F633B3-DE00-4A1D-A6C0-CF6305A0AD97}"/>
    <cellStyle name="Millares 3 2 2 4 2 2 4 2" xfId="6354" xr:uid="{2E4131E2-DF93-4249-B80F-EC6BEC069375}"/>
    <cellStyle name="Millares 3 2 2 4 2 2 5" xfId="4430" xr:uid="{75B79E34-16F0-4CCF-B7B6-E9DB62F4CC87}"/>
    <cellStyle name="Millares 3 2 2 4 2 3" xfId="823" xr:uid="{02C0A7B9-FF3E-4C7E-9D93-EB4420999008}"/>
    <cellStyle name="Millares 3 2 2 4 2 3 2" xfId="1785" xr:uid="{A6446BB8-7933-4F80-BC79-137196C772D8}"/>
    <cellStyle name="Millares 3 2 2 4 2 3 2 2" xfId="3709" xr:uid="{E8DDD972-1994-42F3-8E37-EA2D0CEA7459}"/>
    <cellStyle name="Millares 3 2 2 4 2 3 2 2 2" xfId="7557" xr:uid="{90AD4CB0-3E99-4D8C-824C-635C390551A3}"/>
    <cellStyle name="Millares 3 2 2 4 2 3 2 3" xfId="5633" xr:uid="{17687A4D-7660-46D8-BFFD-099936073E63}"/>
    <cellStyle name="Millares 3 2 2 4 2 3 3" xfId="2747" xr:uid="{B613A3CF-A8A2-4B7B-BAFD-932A6401D36A}"/>
    <cellStyle name="Millares 3 2 2 4 2 3 3 2" xfId="6595" xr:uid="{E39EF833-A533-4772-B68A-63AE84227AF5}"/>
    <cellStyle name="Millares 3 2 2 4 2 3 4" xfId="4671" xr:uid="{96472935-3FA2-485E-8E64-80190B7AB5F4}"/>
    <cellStyle name="Millares 3 2 2 4 2 4" xfId="1304" xr:uid="{1D0DB72B-35DA-4FE0-91DC-15453FFBC564}"/>
    <cellStyle name="Millares 3 2 2 4 2 4 2" xfId="3228" xr:uid="{3B52FC66-3BAE-4A0D-9035-8877BA234458}"/>
    <cellStyle name="Millares 3 2 2 4 2 4 2 2" xfId="7076" xr:uid="{B8E2B180-CD8C-45A9-9EF5-0830E6DC8691}"/>
    <cellStyle name="Millares 3 2 2 4 2 4 3" xfId="5152" xr:uid="{7EF27A7C-FB6C-4092-A893-D11EC240B116}"/>
    <cellStyle name="Millares 3 2 2 4 2 5" xfId="2266" xr:uid="{F44997A8-9567-45AB-9426-296D7CD534F2}"/>
    <cellStyle name="Millares 3 2 2 4 2 5 2" xfId="6114" xr:uid="{32C830A9-CF21-4293-AA41-BCF27C8496D7}"/>
    <cellStyle name="Millares 3 2 2 4 2 6" xfId="4190" xr:uid="{6B0A661A-D330-456D-A2A4-35806AC8307F}"/>
    <cellStyle name="Millares 3 2 2 4 3" xfId="450" xr:uid="{F6E249E3-2A7A-44E1-9668-F954FE22DA15}"/>
    <cellStyle name="Millares 3 2 2 4 3 2" xfId="931" xr:uid="{4046568A-76BE-4AF0-804F-5079F3BEC618}"/>
    <cellStyle name="Millares 3 2 2 4 3 2 2" xfId="1893" xr:uid="{8242C520-792F-4E4A-8F67-3E086C8372A6}"/>
    <cellStyle name="Millares 3 2 2 4 3 2 2 2" xfId="3817" xr:uid="{71DDDDBD-2940-44D5-9634-2DCDA35994DE}"/>
    <cellStyle name="Millares 3 2 2 4 3 2 2 2 2" xfId="7665" xr:uid="{FF248621-AA4E-45F1-9F65-D75ED1463392}"/>
    <cellStyle name="Millares 3 2 2 4 3 2 2 3" xfId="5741" xr:uid="{DB4A4BA8-0750-40E8-9D51-6645D616932D}"/>
    <cellStyle name="Millares 3 2 2 4 3 2 3" xfId="2855" xr:uid="{5D855F42-BB27-48E3-8479-D10FAFCD096F}"/>
    <cellStyle name="Millares 3 2 2 4 3 2 3 2" xfId="6703" xr:uid="{B8C39AE5-11BA-4927-8A15-64E9142795BF}"/>
    <cellStyle name="Millares 3 2 2 4 3 2 4" xfId="4779" xr:uid="{0A120EF0-C907-46FB-8ACD-54C4F9567880}"/>
    <cellStyle name="Millares 3 2 2 4 3 3" xfId="1412" xr:uid="{D996B738-8DF1-4609-93F5-DCA3A79785DC}"/>
    <cellStyle name="Millares 3 2 2 4 3 3 2" xfId="3336" xr:uid="{210F5123-1C13-49AD-97CA-5FFC8B66CFA8}"/>
    <cellStyle name="Millares 3 2 2 4 3 3 2 2" xfId="7184" xr:uid="{52AA39F4-A802-4D72-86EA-5D234222EACD}"/>
    <cellStyle name="Millares 3 2 2 4 3 3 3" xfId="5260" xr:uid="{F9610BFB-1DA4-467C-894D-63D53A1D7CBC}"/>
    <cellStyle name="Millares 3 2 2 4 3 4" xfId="2374" xr:uid="{4DB3FF78-912A-4323-9140-24B3EEAAC3D2}"/>
    <cellStyle name="Millares 3 2 2 4 3 4 2" xfId="6222" xr:uid="{1A364CB4-B31D-4B4C-BCCA-0869A1A0DA25}"/>
    <cellStyle name="Millares 3 2 2 4 3 5" xfId="4298" xr:uid="{681FC858-BFE3-4BD8-AB74-F4024E0BE54B}"/>
    <cellStyle name="Millares 3 2 2 4 4" xfId="691" xr:uid="{98721472-87EB-47FC-9404-6AE33FAC0E7E}"/>
    <cellStyle name="Millares 3 2 2 4 4 2" xfId="1653" xr:uid="{730A331C-818F-4A65-B208-87169B1E22B4}"/>
    <cellStyle name="Millares 3 2 2 4 4 2 2" xfId="3577" xr:uid="{FE75C50C-A60A-4C81-B3BA-E33DD18AE7DF}"/>
    <cellStyle name="Millares 3 2 2 4 4 2 2 2" xfId="7425" xr:uid="{DF723EB4-E79C-4347-B4EC-9DCBA95150E7}"/>
    <cellStyle name="Millares 3 2 2 4 4 2 3" xfId="5501" xr:uid="{1D131241-6C00-4B19-A568-1CBC7F8555DB}"/>
    <cellStyle name="Millares 3 2 2 4 4 3" xfId="2615" xr:uid="{3C98A7A0-462C-4729-8192-4DEC561A200A}"/>
    <cellStyle name="Millares 3 2 2 4 4 3 2" xfId="6463" xr:uid="{C51DF7C7-12FE-4AB1-9DF8-93D50860A444}"/>
    <cellStyle name="Millares 3 2 2 4 4 4" xfId="4539" xr:uid="{9A66C86E-9029-4D11-92E6-9BC3D01D4280}"/>
    <cellStyle name="Millares 3 2 2 4 5" xfId="1172" xr:uid="{DBA167DE-A666-4649-B4F1-266EC6F5DFCD}"/>
    <cellStyle name="Millares 3 2 2 4 5 2" xfId="3096" xr:uid="{F3302B7A-8E51-4C7D-AB60-3ADB39818862}"/>
    <cellStyle name="Millares 3 2 2 4 5 2 2" xfId="6944" xr:uid="{F76A7391-A02F-42D3-A8DB-A159090D5C17}"/>
    <cellStyle name="Millares 3 2 2 4 5 3" xfId="5020" xr:uid="{19D3D720-8F85-4C9B-8CC5-B940D6EE26FE}"/>
    <cellStyle name="Millares 3 2 2 4 6" xfId="2134" xr:uid="{EE9515E3-8E89-43B1-989C-3E7208F43112}"/>
    <cellStyle name="Millares 3 2 2 4 6 2" xfId="5982" xr:uid="{341E9A72-17B2-49BA-ADC6-0B45597E26AB}"/>
    <cellStyle name="Millares 3 2 2 4 7" xfId="4058" xr:uid="{F85AE1B6-0431-4A23-89E6-4860F49C3956}"/>
    <cellStyle name="Millares 3 2 2 5" xfId="271" xr:uid="{7909EEB1-281D-459C-AAE2-23B13F0902AE}"/>
    <cellStyle name="Millares 3 2 2 5 2" xfId="523" xr:uid="{DA1C896F-F663-48CE-8E22-03DA024AE480}"/>
    <cellStyle name="Millares 3 2 2 5 2 2" xfId="1004" xr:uid="{FACE0927-21F2-4F90-B30D-D75EB2F8ECC0}"/>
    <cellStyle name="Millares 3 2 2 5 2 2 2" xfId="1966" xr:uid="{DAA3E789-B392-41CD-A6E5-9CE280F7222B}"/>
    <cellStyle name="Millares 3 2 2 5 2 2 2 2" xfId="3890" xr:uid="{35556EE6-684E-4DD6-AA98-91A004455CCB}"/>
    <cellStyle name="Millares 3 2 2 5 2 2 2 2 2" xfId="7738" xr:uid="{7D55826A-0626-46C9-8642-C377C182EB62}"/>
    <cellStyle name="Millares 3 2 2 5 2 2 2 3" xfId="5814" xr:uid="{0808456A-7EE1-4DD4-AA8C-314ECE4D9B0B}"/>
    <cellStyle name="Millares 3 2 2 5 2 2 3" xfId="2928" xr:uid="{45F76C41-9536-4BED-A06E-8895299ECC70}"/>
    <cellStyle name="Millares 3 2 2 5 2 2 3 2" xfId="6776" xr:uid="{1186630A-6012-4B84-904B-EDC172FC6A77}"/>
    <cellStyle name="Millares 3 2 2 5 2 2 4" xfId="4852" xr:uid="{407A3A5C-4BB7-448F-92E5-2BC6965EF7E2}"/>
    <cellStyle name="Millares 3 2 2 5 2 3" xfId="1485" xr:uid="{A51EF5DF-7968-4183-A271-66E85DB8D3F2}"/>
    <cellStyle name="Millares 3 2 2 5 2 3 2" xfId="3409" xr:uid="{D14E0B3D-030B-48E6-BD11-2610597A1FA6}"/>
    <cellStyle name="Millares 3 2 2 5 2 3 2 2" xfId="7257" xr:uid="{2F5C2732-EF0C-42F1-A4BD-737D531F800B}"/>
    <cellStyle name="Millares 3 2 2 5 2 3 3" xfId="5333" xr:uid="{DF5A9438-37F9-4E71-8745-235595436DC9}"/>
    <cellStyle name="Millares 3 2 2 5 2 4" xfId="2447" xr:uid="{AB910775-A74E-43C2-9B56-21BB82C67F7C}"/>
    <cellStyle name="Millares 3 2 2 5 2 4 2" xfId="6295" xr:uid="{5C174E6D-3FA7-4060-B084-C2F7DE41D7CA}"/>
    <cellStyle name="Millares 3 2 2 5 2 5" xfId="4371" xr:uid="{263AF89D-2373-4E52-A7B2-2D9D9E4EDDC3}"/>
    <cellStyle name="Millares 3 2 2 5 3" xfId="764" xr:uid="{8BF2D194-20F6-4725-B5B3-7AA0933687ED}"/>
    <cellStyle name="Millares 3 2 2 5 3 2" xfId="1726" xr:uid="{8B6257DE-6584-4FD9-ACEF-E6CAE2870812}"/>
    <cellStyle name="Millares 3 2 2 5 3 2 2" xfId="3650" xr:uid="{8C3EE8AF-C054-4247-9407-C76F562F1D2E}"/>
    <cellStyle name="Millares 3 2 2 5 3 2 2 2" xfId="7498" xr:uid="{28749CD5-C5F8-41E0-9A4F-24E6F40435E1}"/>
    <cellStyle name="Millares 3 2 2 5 3 2 3" xfId="5574" xr:uid="{A215661B-37C7-487C-A435-1C9D79A825E2}"/>
    <cellStyle name="Millares 3 2 2 5 3 3" xfId="2688" xr:uid="{5580AED2-D888-4C4E-BB76-AB7CB4D7EE63}"/>
    <cellStyle name="Millares 3 2 2 5 3 3 2" xfId="6536" xr:uid="{3DEF729F-C353-4855-8025-7318E9CA7BBA}"/>
    <cellStyle name="Millares 3 2 2 5 3 4" xfId="4612" xr:uid="{8D5500AE-1621-49F5-AEBA-6E22F4BC637C}"/>
    <cellStyle name="Millares 3 2 2 5 4" xfId="1245" xr:uid="{ADBB0008-90FB-4781-BB58-191FE7ACAF87}"/>
    <cellStyle name="Millares 3 2 2 5 4 2" xfId="3169" xr:uid="{0F390C88-567D-4CAD-9FEB-CAF41C355A8F}"/>
    <cellStyle name="Millares 3 2 2 5 4 2 2" xfId="7017" xr:uid="{F002E6BA-372D-4846-8BFD-883283DDAABD}"/>
    <cellStyle name="Millares 3 2 2 5 4 3" xfId="5093" xr:uid="{AE3291CA-C73F-42D9-83AE-AF4F8B60AA9F}"/>
    <cellStyle name="Millares 3 2 2 5 5" xfId="2207" xr:uid="{57E500DF-C243-4670-BEA0-6331C2E93949}"/>
    <cellStyle name="Millares 3 2 2 5 5 2" xfId="6055" xr:uid="{D2EF0D8E-9AFC-4317-9531-6784102AC3A8}"/>
    <cellStyle name="Millares 3 2 2 5 6" xfId="4131" xr:uid="{C740702D-42FF-476F-97F5-74AE059F1D4F}"/>
    <cellStyle name="Millares 3 2 2 6" xfId="231" xr:uid="{1DE3F992-121E-46CA-A18E-1FFBD774A28E}"/>
    <cellStyle name="Millares 3 2 2 6 2" xfId="483" xr:uid="{4CDD68FC-5805-4CFA-8681-3355588F3A8F}"/>
    <cellStyle name="Millares 3 2 2 6 2 2" xfId="964" xr:uid="{D226D4B1-596E-4D48-BC64-05291AC87331}"/>
    <cellStyle name="Millares 3 2 2 6 2 2 2" xfId="1926" xr:uid="{88F90078-B67B-47C7-B89B-72ED2E9E3191}"/>
    <cellStyle name="Millares 3 2 2 6 2 2 2 2" xfId="3850" xr:uid="{8C121CBE-B896-4E4C-92B9-41AC41CF2006}"/>
    <cellStyle name="Millares 3 2 2 6 2 2 2 2 2" xfId="7698" xr:uid="{7370232E-1732-43CD-95B1-63D91E2717F7}"/>
    <cellStyle name="Millares 3 2 2 6 2 2 2 3" xfId="5774" xr:uid="{92DEBF99-3E60-462B-912D-C54203E8EF02}"/>
    <cellStyle name="Millares 3 2 2 6 2 2 3" xfId="2888" xr:uid="{276A6F31-26BF-455D-BE36-5E850066B1EE}"/>
    <cellStyle name="Millares 3 2 2 6 2 2 3 2" xfId="6736" xr:uid="{8B44FF15-688A-4F56-B685-963909569949}"/>
    <cellStyle name="Millares 3 2 2 6 2 2 4" xfId="4812" xr:uid="{EB9AB727-046B-429A-A1F7-397D0339A3D2}"/>
    <cellStyle name="Millares 3 2 2 6 2 3" xfId="1445" xr:uid="{E4E16E59-FC56-4E55-9D5C-065D58BC88C3}"/>
    <cellStyle name="Millares 3 2 2 6 2 3 2" xfId="3369" xr:uid="{29667096-AB79-4C4A-B819-ECA2D4B43DBB}"/>
    <cellStyle name="Millares 3 2 2 6 2 3 2 2" xfId="7217" xr:uid="{697D0AA8-A67E-49C8-A8C4-A948232E99C8}"/>
    <cellStyle name="Millares 3 2 2 6 2 3 3" xfId="5293" xr:uid="{075285EC-68FA-416F-828F-3EDE12BF8EA2}"/>
    <cellStyle name="Millares 3 2 2 6 2 4" xfId="2407" xr:uid="{8498A125-3A27-4C15-A0DD-EB343107E880}"/>
    <cellStyle name="Millares 3 2 2 6 2 4 2" xfId="6255" xr:uid="{C4D6E6DC-A960-4CE2-8DF3-2E052B9EBC8D}"/>
    <cellStyle name="Millares 3 2 2 6 2 5" xfId="4331" xr:uid="{C5B6C557-B99A-4570-8EBF-386AD620E598}"/>
    <cellStyle name="Millares 3 2 2 6 3" xfId="724" xr:uid="{6D93DDBC-8AE2-4534-832A-0101C45A92FD}"/>
    <cellStyle name="Millares 3 2 2 6 3 2" xfId="1686" xr:uid="{9E6A0645-55C1-440A-A5EC-A1F32B07D98A}"/>
    <cellStyle name="Millares 3 2 2 6 3 2 2" xfId="3610" xr:uid="{29AA8D87-A841-4107-A47C-35416E2CE868}"/>
    <cellStyle name="Millares 3 2 2 6 3 2 2 2" xfId="7458" xr:uid="{9467ECB1-8A86-4518-80EE-441C2E2AA105}"/>
    <cellStyle name="Millares 3 2 2 6 3 2 3" xfId="5534" xr:uid="{243E157E-205E-4EEE-B673-6A3242463893}"/>
    <cellStyle name="Millares 3 2 2 6 3 3" xfId="2648" xr:uid="{E274D541-0261-42A6-BC62-4093278D5026}"/>
    <cellStyle name="Millares 3 2 2 6 3 3 2" xfId="6496" xr:uid="{C3069CC5-5B0F-4DFC-8662-216755FA47B1}"/>
    <cellStyle name="Millares 3 2 2 6 3 4" xfId="4572" xr:uid="{541FE619-D673-4B2F-9F02-2C00A1D60DCE}"/>
    <cellStyle name="Millares 3 2 2 6 4" xfId="1205" xr:uid="{6BAC9770-C50A-4FAE-9CDD-32056FA17316}"/>
    <cellStyle name="Millares 3 2 2 6 4 2" xfId="3129" xr:uid="{902BE833-1910-4E54-BFC9-EB2C2F0B7322}"/>
    <cellStyle name="Millares 3 2 2 6 4 2 2" xfId="6977" xr:uid="{67FA856E-259A-41D9-AB7E-A1AC884BC97D}"/>
    <cellStyle name="Millares 3 2 2 6 4 3" xfId="5053" xr:uid="{3EE1BC59-7A13-49AC-8B24-D1673087401B}"/>
    <cellStyle name="Millares 3 2 2 6 5" xfId="2167" xr:uid="{9A893EAF-4C54-4D2B-BF02-32C20BF8629A}"/>
    <cellStyle name="Millares 3 2 2 6 5 2" xfId="6015" xr:uid="{E887E43E-CE2F-4471-BA35-6E61E1301277}"/>
    <cellStyle name="Millares 3 2 2 6 6" xfId="4091" xr:uid="{B4A2A242-68D0-4E12-B16A-44D5D1581D80}"/>
    <cellStyle name="Millares 3 2 2 7" xfId="391" xr:uid="{EBB75D99-B90E-4F43-B579-25D1EA6FCD43}"/>
    <cellStyle name="Millares 3 2 2 7 2" xfId="872" xr:uid="{C0328117-A0E4-4BDA-8EFA-336769331E39}"/>
    <cellStyle name="Millares 3 2 2 7 2 2" xfId="1834" xr:uid="{2E8A7024-48D1-44E8-AE3A-0F3FA457C823}"/>
    <cellStyle name="Millares 3 2 2 7 2 2 2" xfId="3758" xr:uid="{EA1C278B-5510-4F9A-9C41-4346B36B1B73}"/>
    <cellStyle name="Millares 3 2 2 7 2 2 2 2" xfId="7606" xr:uid="{7A56E67F-E90F-477C-BB0F-0D8B8D4D9582}"/>
    <cellStyle name="Millares 3 2 2 7 2 2 3" xfId="5682" xr:uid="{B1DFE9EC-F993-4332-82F4-58971E229EAE}"/>
    <cellStyle name="Millares 3 2 2 7 2 3" xfId="2796" xr:uid="{82190424-B9CE-4A78-A142-CF40E9E5D693}"/>
    <cellStyle name="Millares 3 2 2 7 2 3 2" xfId="6644" xr:uid="{65F18DFD-F6BC-4CD4-BEBE-E6DE1027903D}"/>
    <cellStyle name="Millares 3 2 2 7 2 4" xfId="4720" xr:uid="{4F86C75B-3089-4126-9B0D-0536EFCF37C0}"/>
    <cellStyle name="Millares 3 2 2 7 3" xfId="1353" xr:uid="{ECD901E6-FD22-4F2A-A667-73B76060E867}"/>
    <cellStyle name="Millares 3 2 2 7 3 2" xfId="3277" xr:uid="{8F1D3ABF-2521-4F21-8105-C24A521138D4}"/>
    <cellStyle name="Millares 3 2 2 7 3 2 2" xfId="7125" xr:uid="{A4170913-EABE-4FE4-95A0-41AABE70B5D5}"/>
    <cellStyle name="Millares 3 2 2 7 3 3" xfId="5201" xr:uid="{C664F0C0-4958-4B98-B796-9B32F4D036A5}"/>
    <cellStyle name="Millares 3 2 2 7 4" xfId="2315" xr:uid="{32C8D27D-AAF0-4B3B-815F-220F58F541F7}"/>
    <cellStyle name="Millares 3 2 2 7 4 2" xfId="6163" xr:uid="{04423816-E930-43A9-97B1-6EE7C785EFCE}"/>
    <cellStyle name="Millares 3 2 2 7 5" xfId="4239" xr:uid="{643443B0-7AA2-44D9-81D3-F380CA1DF148}"/>
    <cellStyle name="Millares 3 2 2 8" xfId="632" xr:uid="{69ED00A8-BE12-445F-886E-ECE362A97283}"/>
    <cellStyle name="Millares 3 2 2 8 2" xfId="1594" xr:uid="{79EE524A-1DB6-4FB4-ACF2-0DF6CC92BAB6}"/>
    <cellStyle name="Millares 3 2 2 8 2 2" xfId="3518" xr:uid="{4AE1F2AD-DC37-4796-B7A4-E8D6B6E20D5B}"/>
    <cellStyle name="Millares 3 2 2 8 2 2 2" xfId="7366" xr:uid="{B68D580B-76E8-467B-A9F4-2F5742FE2F66}"/>
    <cellStyle name="Millares 3 2 2 8 2 3" xfId="5442" xr:uid="{6D22D697-A784-4386-978E-36C0D66CBE7C}"/>
    <cellStyle name="Millares 3 2 2 8 3" xfId="2556" xr:uid="{1F4C803F-B4E2-4174-8E27-1EEE9BD89063}"/>
    <cellStyle name="Millares 3 2 2 8 3 2" xfId="6404" xr:uid="{B80F3E3C-2152-41F7-A1B3-792A6EA0A909}"/>
    <cellStyle name="Millares 3 2 2 8 4" xfId="4480" xr:uid="{957F224F-4A40-4840-BD5D-0E919C75D30F}"/>
    <cellStyle name="Millares 3 2 2 9" xfId="1113" xr:uid="{FCCFD37C-1AD2-42B0-9896-6C055D5407FE}"/>
    <cellStyle name="Millares 3 2 2 9 2" xfId="3037" xr:uid="{40DCBAF7-F91E-4ED7-88AE-6FB20DAD1CB5}"/>
    <cellStyle name="Millares 3 2 2 9 2 2" xfId="6885" xr:uid="{FAA73900-8E3C-4FAE-9399-F40DB9AC2ED0}"/>
    <cellStyle name="Millares 3 2 2 9 3" xfId="4961" xr:uid="{33F5E208-8541-45EB-A9DB-3B16AD022B47}"/>
    <cellStyle name="Millares 3 2 3" xfId="127" xr:uid="{EF283A56-351C-4710-A194-81E03339F3F4}"/>
    <cellStyle name="Millares 3 2 3 10" xfId="4003" xr:uid="{648B51B9-A0B7-48CC-BA1E-668BA4ABD1A8}"/>
    <cellStyle name="Millares 3 2 3 11" xfId="7938" xr:uid="{900BC37B-5903-4FDB-BAA8-A6DC9B26A291}"/>
    <cellStyle name="Millares 3 2 3 2" xfId="187" xr:uid="{3D544EBD-6B1C-4ECA-8A38-888A29B1B562}"/>
    <cellStyle name="Millares 3 2 3 2 2" xfId="322" xr:uid="{E2DDE5F5-AECD-4232-A717-5238A4C05F4D}"/>
    <cellStyle name="Millares 3 2 3 2 2 2" xfId="573" xr:uid="{B5FE2A8C-A0FD-463B-BFCC-806614908F49}"/>
    <cellStyle name="Millares 3 2 3 2 2 2 2" xfId="1054" xr:uid="{D24FFB0D-0B2F-4F2C-A202-DD5C5440E5DF}"/>
    <cellStyle name="Millares 3 2 3 2 2 2 2 2" xfId="2016" xr:uid="{50F82A1E-FD3D-455E-B03C-D56BDF4D01B4}"/>
    <cellStyle name="Millares 3 2 3 2 2 2 2 2 2" xfId="3940" xr:uid="{AA720A4E-9C82-4957-90C6-5425618ADEE8}"/>
    <cellStyle name="Millares 3 2 3 2 2 2 2 2 2 2" xfId="7788" xr:uid="{6CD16070-33B4-4521-820D-0E5F744A618D}"/>
    <cellStyle name="Millares 3 2 3 2 2 2 2 2 3" xfId="5864" xr:uid="{306C1091-017E-4C8E-9ACA-5CA4A9DC4AD4}"/>
    <cellStyle name="Millares 3 2 3 2 2 2 2 3" xfId="2978" xr:uid="{F4E7D7D1-9D5D-405B-96FF-D412C99B3E45}"/>
    <cellStyle name="Millares 3 2 3 2 2 2 2 3 2" xfId="6826" xr:uid="{9BB9C042-8CDE-4FF2-8C8B-DA6FB162D0DF}"/>
    <cellStyle name="Millares 3 2 3 2 2 2 2 4" xfId="4902" xr:uid="{11941583-A7FA-4F28-AB12-FF37992D3873}"/>
    <cellStyle name="Millares 3 2 3 2 2 2 3" xfId="1535" xr:uid="{5DF76FFC-3518-43B2-B74F-0E75C6FF769F}"/>
    <cellStyle name="Millares 3 2 3 2 2 2 3 2" xfId="3459" xr:uid="{19012741-3A2A-422C-84B6-DBEF2F0ADEAE}"/>
    <cellStyle name="Millares 3 2 3 2 2 2 3 2 2" xfId="7307" xr:uid="{E63A617D-10C1-4BFB-82A3-6F4F352C72C0}"/>
    <cellStyle name="Millares 3 2 3 2 2 2 3 3" xfId="5383" xr:uid="{377DED17-F27F-472D-85D2-E70B9AE80492}"/>
    <cellStyle name="Millares 3 2 3 2 2 2 4" xfId="2497" xr:uid="{F934F25A-E5FD-4E64-8FA0-9855BE1F8E71}"/>
    <cellStyle name="Millares 3 2 3 2 2 2 4 2" xfId="6345" xr:uid="{01AE881B-6B54-42A1-B2B3-F03FF95B2174}"/>
    <cellStyle name="Millares 3 2 3 2 2 2 5" xfId="4421" xr:uid="{E347A89D-B43A-432F-8814-8C03E86F78BD}"/>
    <cellStyle name="Millares 3 2 3 2 2 3" xfId="814" xr:uid="{7BF20FD7-22C6-495E-93CD-331F0210CD00}"/>
    <cellStyle name="Millares 3 2 3 2 2 3 2" xfId="1776" xr:uid="{694BFA54-4319-4731-8707-31CD4954F47A}"/>
    <cellStyle name="Millares 3 2 3 2 2 3 2 2" xfId="3700" xr:uid="{5B45D692-B10B-40EC-ADF4-617CF49E92C3}"/>
    <cellStyle name="Millares 3 2 3 2 2 3 2 2 2" xfId="7548" xr:uid="{32999B13-FB12-4021-BD55-26E68CDAEA39}"/>
    <cellStyle name="Millares 3 2 3 2 2 3 2 3" xfId="5624" xr:uid="{B0BB3E69-48F6-4285-AB63-840350276628}"/>
    <cellStyle name="Millares 3 2 3 2 2 3 3" xfId="2738" xr:uid="{CBFE922D-9BD6-494A-9D7E-CC8F298038A3}"/>
    <cellStyle name="Millares 3 2 3 2 2 3 3 2" xfId="6586" xr:uid="{5A866614-2CA7-4D74-8509-22858723F3F7}"/>
    <cellStyle name="Millares 3 2 3 2 2 3 4" xfId="4662" xr:uid="{AC3C9FE0-6FF6-4E01-B93B-93C49EFEACFE}"/>
    <cellStyle name="Millares 3 2 3 2 2 4" xfId="1295" xr:uid="{D61A4185-D083-49C2-8985-661ECDC733EF}"/>
    <cellStyle name="Millares 3 2 3 2 2 4 2" xfId="3219" xr:uid="{0E22A37B-9B9C-4920-A1A6-CC6EB923A113}"/>
    <cellStyle name="Millares 3 2 3 2 2 4 2 2" xfId="7067" xr:uid="{9D0A5AAA-8A1F-4F6F-B0F8-4D6A117765B0}"/>
    <cellStyle name="Millares 3 2 3 2 2 4 3" xfId="5143" xr:uid="{21BC8506-BB0C-44B5-A1F1-511E42071F10}"/>
    <cellStyle name="Millares 3 2 3 2 2 5" xfId="2257" xr:uid="{FDF5F5EC-7D67-4B41-BB8A-42089AAEE294}"/>
    <cellStyle name="Millares 3 2 3 2 2 5 2" xfId="6105" xr:uid="{1432C52C-6BD6-45EC-82D3-26A79FA7E63E}"/>
    <cellStyle name="Millares 3 2 3 2 2 6" xfId="4181" xr:uid="{D1144EAD-DE65-4D8C-A015-125197A9BEA2}"/>
    <cellStyle name="Millares 3 2 3 2 3" xfId="441" xr:uid="{3B4CC60F-EE53-47E3-AEF9-F4ACF8D96E55}"/>
    <cellStyle name="Millares 3 2 3 2 3 2" xfId="922" xr:uid="{6864EC31-66F1-4655-A63D-4E1E5519DC78}"/>
    <cellStyle name="Millares 3 2 3 2 3 2 2" xfId="1884" xr:uid="{7FCD0016-AA45-474B-AE0B-7FDC83F9AB3A}"/>
    <cellStyle name="Millares 3 2 3 2 3 2 2 2" xfId="3808" xr:uid="{2F98E524-2FDA-4A5D-986E-6E10E044EFB5}"/>
    <cellStyle name="Millares 3 2 3 2 3 2 2 2 2" xfId="7656" xr:uid="{7B071F21-539B-47C6-8B0B-847DC5D35C46}"/>
    <cellStyle name="Millares 3 2 3 2 3 2 2 3" xfId="5732" xr:uid="{10D84B99-8142-47A7-963D-CC4F1A6EAA5E}"/>
    <cellStyle name="Millares 3 2 3 2 3 2 3" xfId="2846" xr:uid="{1DD7EC01-7324-47C8-AD09-A1B0A9245E68}"/>
    <cellStyle name="Millares 3 2 3 2 3 2 3 2" xfId="6694" xr:uid="{DD40C692-4A9D-4DD3-A135-ED69133589FB}"/>
    <cellStyle name="Millares 3 2 3 2 3 2 4" xfId="4770" xr:uid="{6AC0A70F-EA32-4FB7-907F-7DAB7329A852}"/>
    <cellStyle name="Millares 3 2 3 2 3 3" xfId="1403" xr:uid="{20410927-3828-4800-86C7-75A5C7D4BF1E}"/>
    <cellStyle name="Millares 3 2 3 2 3 3 2" xfId="3327" xr:uid="{91E1FB82-06FB-4F00-94D5-BF3FE6EEFAC8}"/>
    <cellStyle name="Millares 3 2 3 2 3 3 2 2" xfId="7175" xr:uid="{E0FBFD11-6464-48BD-9B31-173EE789FF33}"/>
    <cellStyle name="Millares 3 2 3 2 3 3 3" xfId="5251" xr:uid="{BADB69ED-4B77-4DFC-B0E7-1305815AFD7A}"/>
    <cellStyle name="Millares 3 2 3 2 3 4" xfId="2365" xr:uid="{43BF775E-99EB-41AD-8358-47F0E7652DAF}"/>
    <cellStyle name="Millares 3 2 3 2 3 4 2" xfId="6213" xr:uid="{B36B1CBA-17DF-419C-89D3-AA68AA8DB2E7}"/>
    <cellStyle name="Millares 3 2 3 2 3 5" xfId="4289" xr:uid="{7D4047F7-5509-4296-BCBB-8F07CAAAE440}"/>
    <cellStyle name="Millares 3 2 3 2 4" xfId="682" xr:uid="{2597762F-B2B2-477A-833B-9A390C1C8E6D}"/>
    <cellStyle name="Millares 3 2 3 2 4 2" xfId="1644" xr:uid="{633EB9DA-5EB6-4510-A164-2E115B075006}"/>
    <cellStyle name="Millares 3 2 3 2 4 2 2" xfId="3568" xr:uid="{F16A83AF-EEB9-45FD-B044-3F643C9B9862}"/>
    <cellStyle name="Millares 3 2 3 2 4 2 2 2" xfId="7416" xr:uid="{2F47A934-BAC3-4480-86B1-1E82F7FA2724}"/>
    <cellStyle name="Millares 3 2 3 2 4 2 3" xfId="5492" xr:uid="{5C39E443-FF59-4D3B-A7EC-9CCBD25783DE}"/>
    <cellStyle name="Millares 3 2 3 2 4 3" xfId="2606" xr:uid="{42E364ED-70A1-4EBC-AE2F-68DF59B93714}"/>
    <cellStyle name="Millares 3 2 3 2 4 3 2" xfId="6454" xr:uid="{A9F634B4-A0EA-429C-8049-98E026E744A3}"/>
    <cellStyle name="Millares 3 2 3 2 4 4" xfId="4530" xr:uid="{CFFE565C-8895-40B7-9AC6-5AE8E0481F71}"/>
    <cellStyle name="Millares 3 2 3 2 5" xfId="1163" xr:uid="{60F4D673-8D01-4334-A8DC-466E36F49CA0}"/>
    <cellStyle name="Millares 3 2 3 2 5 2" xfId="3087" xr:uid="{1753B25E-BD8C-46BB-9C1A-D9F41531FBA5}"/>
    <cellStyle name="Millares 3 2 3 2 5 2 2" xfId="6935" xr:uid="{2A829F5B-C676-4F27-A8E6-EF38B4A2E120}"/>
    <cellStyle name="Millares 3 2 3 2 5 3" xfId="5011" xr:uid="{55651A65-6369-4B52-9332-B5E7343CE89D}"/>
    <cellStyle name="Millares 3 2 3 2 6" xfId="2125" xr:uid="{65D387D8-A66E-4ECB-B663-107A5775281C}"/>
    <cellStyle name="Millares 3 2 3 2 6 2" xfId="5973" xr:uid="{4F17FD33-B081-4211-8E82-F64E47103C71}"/>
    <cellStyle name="Millares 3 2 3 2 7" xfId="4049" xr:uid="{5DD4CBA2-8059-448B-AA88-041B50910227}"/>
    <cellStyle name="Millares 3 2 3 3" xfId="221" xr:uid="{A5506D01-06C4-4DE1-AA0B-CB20CD72D79D}"/>
    <cellStyle name="Millares 3 2 3 3 2" xfId="355" xr:uid="{66C3F19E-EAD9-4399-9557-0F3960373077}"/>
    <cellStyle name="Millares 3 2 3 3 2 2" xfId="606" xr:uid="{7012E35E-8B5B-4B63-8488-8E032CE58E99}"/>
    <cellStyle name="Millares 3 2 3 3 2 2 2" xfId="1087" xr:uid="{C6D513DC-69CD-4989-84FD-27A3BC39C6E3}"/>
    <cellStyle name="Millares 3 2 3 3 2 2 2 2" xfId="2049" xr:uid="{BD7928D6-884B-44A5-860D-644FDDF7A9BC}"/>
    <cellStyle name="Millares 3 2 3 3 2 2 2 2 2" xfId="3973" xr:uid="{0B230D35-8223-4EE7-91F3-2C211620C261}"/>
    <cellStyle name="Millares 3 2 3 3 2 2 2 2 2 2" xfId="7821" xr:uid="{0A0B6521-7EBB-4A42-B68B-46BA8B79AA12}"/>
    <cellStyle name="Millares 3 2 3 3 2 2 2 2 3" xfId="5897" xr:uid="{ADC3B952-A5EB-4138-886E-822EE2D59324}"/>
    <cellStyle name="Millares 3 2 3 3 2 2 2 3" xfId="3011" xr:uid="{620AED15-056C-448A-8452-FA9AB74192B6}"/>
    <cellStyle name="Millares 3 2 3 3 2 2 2 3 2" xfId="6859" xr:uid="{B641B7AD-FE0E-4816-8F6A-4EB9DDCD8729}"/>
    <cellStyle name="Millares 3 2 3 3 2 2 2 4" xfId="4935" xr:uid="{44A40CC7-1C96-498E-8EE9-29F5A25AB1A6}"/>
    <cellStyle name="Millares 3 2 3 3 2 2 3" xfId="1568" xr:uid="{64A669E0-6F37-409D-A848-9C63FFC3474E}"/>
    <cellStyle name="Millares 3 2 3 3 2 2 3 2" xfId="3492" xr:uid="{70D7217A-A4D1-45C8-8EF4-D31DE8AB439F}"/>
    <cellStyle name="Millares 3 2 3 3 2 2 3 2 2" xfId="7340" xr:uid="{078BA01A-E09C-4C10-A791-4B415BA8C5E3}"/>
    <cellStyle name="Millares 3 2 3 3 2 2 3 3" xfId="5416" xr:uid="{46898C9F-B602-45EC-A3D7-4810416E5230}"/>
    <cellStyle name="Millares 3 2 3 3 2 2 4" xfId="2530" xr:uid="{F7E9FCBB-713E-438E-9C68-F6D36F1A3E4C}"/>
    <cellStyle name="Millares 3 2 3 3 2 2 4 2" xfId="6378" xr:uid="{1B578839-E096-42ED-B873-7F066697A7C4}"/>
    <cellStyle name="Millares 3 2 3 3 2 2 5" xfId="4454" xr:uid="{A22754C4-0930-4DD1-8143-7CD3F2783A75}"/>
    <cellStyle name="Millares 3 2 3 3 2 3" xfId="847" xr:uid="{4F54E178-2BF1-4CD4-901D-6802457422BC}"/>
    <cellStyle name="Millares 3 2 3 3 2 3 2" xfId="1809" xr:uid="{4EE2A931-2862-4EAC-89F0-A0DEADA744B2}"/>
    <cellStyle name="Millares 3 2 3 3 2 3 2 2" xfId="3733" xr:uid="{86B176E3-F179-4E03-981E-1788274CA1BA}"/>
    <cellStyle name="Millares 3 2 3 3 2 3 2 2 2" xfId="7581" xr:uid="{67DCE452-CD47-4E95-A84B-78D37204AF5B}"/>
    <cellStyle name="Millares 3 2 3 3 2 3 2 3" xfId="5657" xr:uid="{0BE6A588-78BA-4033-BBAC-BE1042F22A67}"/>
    <cellStyle name="Millares 3 2 3 3 2 3 3" xfId="2771" xr:uid="{168F6E28-E02D-4422-ADB2-3DD8A3F83AFB}"/>
    <cellStyle name="Millares 3 2 3 3 2 3 3 2" xfId="6619" xr:uid="{748C9C15-C7E8-4884-BB42-4F4BA74B9AD9}"/>
    <cellStyle name="Millares 3 2 3 3 2 3 4" xfId="4695" xr:uid="{3AB823BF-4B19-4C20-9E13-68BB2ACC9121}"/>
    <cellStyle name="Millares 3 2 3 3 2 4" xfId="1328" xr:uid="{B8EA0544-F9B9-4326-8028-F4B43F3A80D8}"/>
    <cellStyle name="Millares 3 2 3 3 2 4 2" xfId="3252" xr:uid="{91160BAB-9A25-4FA1-8AD2-DE3B95D4E889}"/>
    <cellStyle name="Millares 3 2 3 3 2 4 2 2" xfId="7100" xr:uid="{33B0866F-6559-4C48-A8F0-C2F6A028B00B}"/>
    <cellStyle name="Millares 3 2 3 3 2 4 3" xfId="5176" xr:uid="{1A268B28-A149-4486-84BB-215921D9F290}"/>
    <cellStyle name="Millares 3 2 3 3 2 5" xfId="2290" xr:uid="{D554067E-A302-4E2F-BC4F-B8D5AC63CCA5}"/>
    <cellStyle name="Millares 3 2 3 3 2 5 2" xfId="6138" xr:uid="{190DCCA6-DF90-4A88-AE51-CA8B5312550F}"/>
    <cellStyle name="Millares 3 2 3 3 2 6" xfId="4214" xr:uid="{672F25AC-FCFA-408D-AE14-EB0F876B74F0}"/>
    <cellStyle name="Millares 3 2 3 3 3" xfId="474" xr:uid="{3E921E43-C4EC-4412-B1BC-025F8A19F0E9}"/>
    <cellStyle name="Millares 3 2 3 3 3 2" xfId="955" xr:uid="{011E3DA7-9CA1-42F2-9357-E0ABADE084D2}"/>
    <cellStyle name="Millares 3 2 3 3 3 2 2" xfId="1917" xr:uid="{2C0A768A-E161-4E52-A771-EEBCEB697A3A}"/>
    <cellStyle name="Millares 3 2 3 3 3 2 2 2" xfId="3841" xr:uid="{F1E61149-70CF-4EBD-BC73-AF3DFD888848}"/>
    <cellStyle name="Millares 3 2 3 3 3 2 2 2 2" xfId="7689" xr:uid="{C6B5908D-21F6-4E0D-A396-4954EB63F932}"/>
    <cellStyle name="Millares 3 2 3 3 3 2 2 3" xfId="5765" xr:uid="{7BDC187E-9F88-460F-B9A6-CA9649DE074E}"/>
    <cellStyle name="Millares 3 2 3 3 3 2 3" xfId="2879" xr:uid="{4BA1715B-04A4-4764-BF21-9FF58DBC6B1B}"/>
    <cellStyle name="Millares 3 2 3 3 3 2 3 2" xfId="6727" xr:uid="{9B7B25DD-C408-47B1-A940-40C5B195FD50}"/>
    <cellStyle name="Millares 3 2 3 3 3 2 4" xfId="4803" xr:uid="{CD84ACF5-87C6-4589-9374-6D8DFB36DC0D}"/>
    <cellStyle name="Millares 3 2 3 3 3 3" xfId="1436" xr:uid="{54AAC6AA-94C4-4AF3-967D-942AF2C2DD86}"/>
    <cellStyle name="Millares 3 2 3 3 3 3 2" xfId="3360" xr:uid="{F4E75C25-F75B-4F32-A8B6-C32EBA4C9564}"/>
    <cellStyle name="Millares 3 2 3 3 3 3 2 2" xfId="7208" xr:uid="{9224BD7C-062B-423C-BF3B-CE3A654DE3D1}"/>
    <cellStyle name="Millares 3 2 3 3 3 3 3" xfId="5284" xr:uid="{C0D8F19E-5224-42F0-BD98-55061D92650E}"/>
    <cellStyle name="Millares 3 2 3 3 3 4" xfId="2398" xr:uid="{A3D673DB-F339-4BAF-B514-E7AC7EE5FA66}"/>
    <cellStyle name="Millares 3 2 3 3 3 4 2" xfId="6246" xr:uid="{96366477-B082-488C-BAD2-C82929779064}"/>
    <cellStyle name="Millares 3 2 3 3 3 5" xfId="4322" xr:uid="{00E0791F-129D-45B0-8C10-CD3ED81C6DA3}"/>
    <cellStyle name="Millares 3 2 3 3 4" xfId="715" xr:uid="{D3B70456-C06F-4B31-8FE2-21B26C643442}"/>
    <cellStyle name="Millares 3 2 3 3 4 2" xfId="1677" xr:uid="{6AC7F554-7347-44C4-899F-A4AEF2074457}"/>
    <cellStyle name="Millares 3 2 3 3 4 2 2" xfId="3601" xr:uid="{F0CC5687-97F9-47D7-A49C-110185C29B23}"/>
    <cellStyle name="Millares 3 2 3 3 4 2 2 2" xfId="7449" xr:uid="{FFE928A6-87FB-44F7-A18E-3C81A3BF90CC}"/>
    <cellStyle name="Millares 3 2 3 3 4 2 3" xfId="5525" xr:uid="{EACDC835-F8DB-4B5B-A8C0-C878430F7D51}"/>
    <cellStyle name="Millares 3 2 3 3 4 3" xfId="2639" xr:uid="{44A24494-B83E-4ABE-BC08-76B5A31207B9}"/>
    <cellStyle name="Millares 3 2 3 3 4 3 2" xfId="6487" xr:uid="{B3CE9F5A-45CF-44B9-95D7-83400E62D85E}"/>
    <cellStyle name="Millares 3 2 3 3 4 4" xfId="4563" xr:uid="{AE9FB250-B7D4-4626-B396-E3E9A382A723}"/>
    <cellStyle name="Millares 3 2 3 3 5" xfId="1196" xr:uid="{61D29841-056E-459D-8BAF-FD4A9ED95162}"/>
    <cellStyle name="Millares 3 2 3 3 5 2" xfId="3120" xr:uid="{9957BA7B-A63D-43F6-A3BE-78FA669F6782}"/>
    <cellStyle name="Millares 3 2 3 3 5 2 2" xfId="6968" xr:uid="{23E31572-5A86-469C-B635-39A4D1F29478}"/>
    <cellStyle name="Millares 3 2 3 3 5 3" xfId="5044" xr:uid="{0321E57A-FEFE-4A9C-BF99-F4F69CECDD34}"/>
    <cellStyle name="Millares 3 2 3 3 6" xfId="2158" xr:uid="{8D6B41A9-A953-4789-99F3-A7E79A2FC59C}"/>
    <cellStyle name="Millares 3 2 3 3 6 2" xfId="6006" xr:uid="{341F91AC-A123-41B7-A3A2-F1E434F19CBE}"/>
    <cellStyle name="Millares 3 2 3 3 7" xfId="4082" xr:uid="{5ECF4721-F40E-4486-856E-292EF3213DFA}"/>
    <cellStyle name="Millares 3 2 3 4" xfId="275" xr:uid="{1CA0B4A3-3E2E-452B-A57C-C79617E49B22}"/>
    <cellStyle name="Millares 3 2 3 4 2" xfId="527" xr:uid="{6F229DB5-6AEE-4E6D-A235-2E90EECF667F}"/>
    <cellStyle name="Millares 3 2 3 4 2 2" xfId="1008" xr:uid="{FD0CC58C-F044-415B-A520-69B3B93EFE7D}"/>
    <cellStyle name="Millares 3 2 3 4 2 2 2" xfId="1970" xr:uid="{948AAAF1-EBFA-4E97-B01D-0E06F9AAF72A}"/>
    <cellStyle name="Millares 3 2 3 4 2 2 2 2" xfId="3894" xr:uid="{4E5FCFDB-84A2-49E7-80C3-462F1296A3EA}"/>
    <cellStyle name="Millares 3 2 3 4 2 2 2 2 2" xfId="7742" xr:uid="{9BE5AC11-6E11-454E-86C6-50C1FE29F69F}"/>
    <cellStyle name="Millares 3 2 3 4 2 2 2 3" xfId="5818" xr:uid="{2BF6D3CB-CE7D-46FF-9C63-E356C98F495D}"/>
    <cellStyle name="Millares 3 2 3 4 2 2 3" xfId="2932" xr:uid="{76BF4043-9958-4976-877B-2240808051E8}"/>
    <cellStyle name="Millares 3 2 3 4 2 2 3 2" xfId="6780" xr:uid="{4F3D59BB-3C5D-498E-A38F-28912EEFA4F1}"/>
    <cellStyle name="Millares 3 2 3 4 2 2 4" xfId="4856" xr:uid="{8FD5945A-D172-4D63-B275-64C7D86F4895}"/>
    <cellStyle name="Millares 3 2 3 4 2 3" xfId="1489" xr:uid="{BF9AA25D-CDD6-42FC-AF8E-5CE82386A759}"/>
    <cellStyle name="Millares 3 2 3 4 2 3 2" xfId="3413" xr:uid="{6FB53840-EE28-4D64-9D30-9E4E86FCB4A0}"/>
    <cellStyle name="Millares 3 2 3 4 2 3 2 2" xfId="7261" xr:uid="{490C3520-71B2-4197-8EA7-36B14E56834A}"/>
    <cellStyle name="Millares 3 2 3 4 2 3 3" xfId="5337" xr:uid="{B0645DDF-C1CF-495B-87B0-F55BD5F7DB00}"/>
    <cellStyle name="Millares 3 2 3 4 2 4" xfId="2451" xr:uid="{CA840AC1-020A-4D11-BEFC-EF922E084F55}"/>
    <cellStyle name="Millares 3 2 3 4 2 4 2" xfId="6299" xr:uid="{5FBAD600-1A89-45D5-A73C-143A8646DE46}"/>
    <cellStyle name="Millares 3 2 3 4 2 5" xfId="4375" xr:uid="{4ED1AA86-088C-4EC9-BCAF-BBBD49DE001D}"/>
    <cellStyle name="Millares 3 2 3 4 3" xfId="768" xr:uid="{76DC6447-D6BD-48E6-8456-E8A06134E40E}"/>
    <cellStyle name="Millares 3 2 3 4 3 2" xfId="1730" xr:uid="{420C70AD-CF11-4688-996C-843049986E9F}"/>
    <cellStyle name="Millares 3 2 3 4 3 2 2" xfId="3654" xr:uid="{6EE5478D-95B5-4C37-BB69-CB56A51D9E8F}"/>
    <cellStyle name="Millares 3 2 3 4 3 2 2 2" xfId="7502" xr:uid="{97E20638-0FA9-4AE1-BD27-DF965A7AEC14}"/>
    <cellStyle name="Millares 3 2 3 4 3 2 3" xfId="5578" xr:uid="{0ECE6C2C-073E-4DC3-B5EB-D8EAB923573F}"/>
    <cellStyle name="Millares 3 2 3 4 3 3" xfId="2692" xr:uid="{36B1469E-95D2-4558-820F-6BFDBE498D05}"/>
    <cellStyle name="Millares 3 2 3 4 3 3 2" xfId="6540" xr:uid="{B1C0CB48-302B-44F9-8812-60CE7E7B6F6E}"/>
    <cellStyle name="Millares 3 2 3 4 3 4" xfId="4616" xr:uid="{357BA348-05B1-4BB8-9659-48C952016746}"/>
    <cellStyle name="Millares 3 2 3 4 4" xfId="1249" xr:uid="{9C5DD5A7-9F15-43FF-8A1A-9999FF416F3D}"/>
    <cellStyle name="Millares 3 2 3 4 4 2" xfId="3173" xr:uid="{1D259AC8-D77E-4F27-AF01-6C490A74CF60}"/>
    <cellStyle name="Millares 3 2 3 4 4 2 2" xfId="7021" xr:uid="{BCA8DE42-EF43-4F45-9D26-D811449132B3}"/>
    <cellStyle name="Millares 3 2 3 4 4 3" xfId="5097" xr:uid="{65E6B6F4-C0EF-4013-9F56-29A4CD0717B9}"/>
    <cellStyle name="Millares 3 2 3 4 5" xfId="2211" xr:uid="{1D502125-91C5-42A2-A3C3-A4271A938FC4}"/>
    <cellStyle name="Millares 3 2 3 4 5 2" xfId="6059" xr:uid="{786FAC59-8BB5-499C-BA8F-753BEDCD9A2A}"/>
    <cellStyle name="Millares 3 2 3 4 6" xfId="4135" xr:uid="{EAB53FBD-A028-4A1B-B389-C650827E418F}"/>
    <cellStyle name="Millares 3 2 3 5" xfId="255" xr:uid="{6762C212-C325-4B98-B8E1-8435EA90E2A7}"/>
    <cellStyle name="Millares 3 2 3 5 2" xfId="507" xr:uid="{333BD954-8393-42A7-A214-640368B2BBA2}"/>
    <cellStyle name="Millares 3 2 3 5 2 2" xfId="988" xr:uid="{22FB474B-236B-4C2B-87DD-A7C8F2C8C925}"/>
    <cellStyle name="Millares 3 2 3 5 2 2 2" xfId="1950" xr:uid="{D8CF7446-F87A-4E24-8657-358A26AA9F19}"/>
    <cellStyle name="Millares 3 2 3 5 2 2 2 2" xfId="3874" xr:uid="{0299930C-E46A-42D0-ADA0-8A87C2CBB230}"/>
    <cellStyle name="Millares 3 2 3 5 2 2 2 2 2" xfId="7722" xr:uid="{712CA0A0-90D4-444D-8928-3747C824A70C}"/>
    <cellStyle name="Millares 3 2 3 5 2 2 2 3" xfId="5798" xr:uid="{4DBA5E85-5450-44C7-9BBF-619DFFB75D89}"/>
    <cellStyle name="Millares 3 2 3 5 2 2 3" xfId="2912" xr:uid="{53176E6D-8F22-4C2D-A464-F6384D8670B8}"/>
    <cellStyle name="Millares 3 2 3 5 2 2 3 2" xfId="6760" xr:uid="{A1E0971E-3897-454C-9FF9-C1A4BBA9DD74}"/>
    <cellStyle name="Millares 3 2 3 5 2 2 4" xfId="4836" xr:uid="{CF9A7AA4-D036-435F-888F-98B007DEF3CE}"/>
    <cellStyle name="Millares 3 2 3 5 2 3" xfId="1469" xr:uid="{944FD9F2-C99D-43EF-A866-9C23B2816C99}"/>
    <cellStyle name="Millares 3 2 3 5 2 3 2" xfId="3393" xr:uid="{E6A41B09-6D8E-478D-9499-850610164FCE}"/>
    <cellStyle name="Millares 3 2 3 5 2 3 2 2" xfId="7241" xr:uid="{64684178-42E5-47B5-81C7-E4B825C9420F}"/>
    <cellStyle name="Millares 3 2 3 5 2 3 3" xfId="5317" xr:uid="{9770EBB8-7B7F-4681-9873-C3E7D542F066}"/>
    <cellStyle name="Millares 3 2 3 5 2 4" xfId="2431" xr:uid="{83F76A6A-5DE9-475D-91F1-AAABAD1F0029}"/>
    <cellStyle name="Millares 3 2 3 5 2 4 2" xfId="6279" xr:uid="{4E26D2A3-78E7-4E5E-95EE-546EAB802ECB}"/>
    <cellStyle name="Millares 3 2 3 5 2 5" xfId="4355" xr:uid="{072172D3-C4E7-4FDD-9F81-67515CD0117C}"/>
    <cellStyle name="Millares 3 2 3 5 3" xfId="748" xr:uid="{46A5BAF2-D21E-4CE4-B7ED-B11536B36B21}"/>
    <cellStyle name="Millares 3 2 3 5 3 2" xfId="1710" xr:uid="{F4C35181-23E0-4A87-9863-AD63B677F3B7}"/>
    <cellStyle name="Millares 3 2 3 5 3 2 2" xfId="3634" xr:uid="{1BDF3AD3-DCF8-4A83-BF50-99E86A496965}"/>
    <cellStyle name="Millares 3 2 3 5 3 2 2 2" xfId="7482" xr:uid="{738B363B-B6AA-47D3-B707-C9DDA9128AC3}"/>
    <cellStyle name="Millares 3 2 3 5 3 2 3" xfId="5558" xr:uid="{01D6BCF5-0288-458D-901A-6EE35E3AD39F}"/>
    <cellStyle name="Millares 3 2 3 5 3 3" xfId="2672" xr:uid="{D61BF071-53A2-4C84-B6B0-269CB5CE4159}"/>
    <cellStyle name="Millares 3 2 3 5 3 3 2" xfId="6520" xr:uid="{F9A79F10-B55E-4029-A35A-2972A9362203}"/>
    <cellStyle name="Millares 3 2 3 5 3 4" xfId="4596" xr:uid="{3E2CA444-5507-4443-996E-1187CFEC36E9}"/>
    <cellStyle name="Millares 3 2 3 5 4" xfId="1229" xr:uid="{FCEB3E95-A986-48E0-898E-68552AFBD3EC}"/>
    <cellStyle name="Millares 3 2 3 5 4 2" xfId="3153" xr:uid="{C706751E-C9B9-4B43-8FDD-D0094E7CEE1D}"/>
    <cellStyle name="Millares 3 2 3 5 4 2 2" xfId="7001" xr:uid="{12630453-8048-4555-81DE-418C308B6C2C}"/>
    <cellStyle name="Millares 3 2 3 5 4 3" xfId="5077" xr:uid="{C43A58C9-92E0-4963-9A7B-5052517080E1}"/>
    <cellStyle name="Millares 3 2 3 5 5" xfId="2191" xr:uid="{89FC14D2-E46C-43CA-A2FE-FB16C076756F}"/>
    <cellStyle name="Millares 3 2 3 5 5 2" xfId="6039" xr:uid="{219A8257-949A-4057-82ED-8157CD239F96}"/>
    <cellStyle name="Millares 3 2 3 5 6" xfId="4115" xr:uid="{49DE4DFB-78D7-4B7E-BC31-9DB85D9EFB14}"/>
    <cellStyle name="Millares 3 2 3 6" xfId="395" xr:uid="{B4FCCDA2-1C3B-4CFB-9D1B-FBFBD434556A}"/>
    <cellStyle name="Millares 3 2 3 6 2" xfId="876" xr:uid="{3FB3A89C-A62E-4640-885B-44F33677ADC9}"/>
    <cellStyle name="Millares 3 2 3 6 2 2" xfId="1838" xr:uid="{0105003B-EB77-4DE3-BD3D-9C86279E0F9A}"/>
    <cellStyle name="Millares 3 2 3 6 2 2 2" xfId="3762" xr:uid="{162DB53F-24A5-47EC-BD28-842EF3BEA3CD}"/>
    <cellStyle name="Millares 3 2 3 6 2 2 2 2" xfId="7610" xr:uid="{8EF76574-F2CB-4372-BFB3-6ABD0234E036}"/>
    <cellStyle name="Millares 3 2 3 6 2 2 3" xfId="5686" xr:uid="{D26AF405-8570-4ACF-8679-E28BE063E709}"/>
    <cellStyle name="Millares 3 2 3 6 2 3" xfId="2800" xr:uid="{7AF465E2-4DE7-42F6-8311-CBB60C6B638C}"/>
    <cellStyle name="Millares 3 2 3 6 2 3 2" xfId="6648" xr:uid="{508B42CB-540C-482C-8ABC-59C3CC264A27}"/>
    <cellStyle name="Millares 3 2 3 6 2 4" xfId="4724" xr:uid="{CB1A3025-AE54-440A-BED4-5869B3EF6EBB}"/>
    <cellStyle name="Millares 3 2 3 6 3" xfId="1357" xr:uid="{2DC47E68-330A-4BDB-B8FD-3330C395307D}"/>
    <cellStyle name="Millares 3 2 3 6 3 2" xfId="3281" xr:uid="{EC52CF58-E7AC-4AC7-A127-3FBA42DD9442}"/>
    <cellStyle name="Millares 3 2 3 6 3 2 2" xfId="7129" xr:uid="{A9BCFEAD-A473-4502-8493-0B062FEE9F30}"/>
    <cellStyle name="Millares 3 2 3 6 3 3" xfId="5205" xr:uid="{AFAAC800-D8B3-4381-9834-344ED4CA7C2F}"/>
    <cellStyle name="Millares 3 2 3 6 4" xfId="2319" xr:uid="{833C38E4-9CF5-4770-AB78-ACB921C603A6}"/>
    <cellStyle name="Millares 3 2 3 6 4 2" xfId="6167" xr:uid="{A0F5F9C6-89DB-4416-BE8B-0DEC5B8ACE37}"/>
    <cellStyle name="Millares 3 2 3 6 5" xfId="4243" xr:uid="{E992D164-A9EA-4C58-897C-F29AA8E3EE7C}"/>
    <cellStyle name="Millares 3 2 3 7" xfId="636" xr:uid="{212D2A2D-861B-4A28-891F-BB29BF4DBE31}"/>
    <cellStyle name="Millares 3 2 3 7 2" xfId="1598" xr:uid="{492DAD12-F91A-4DBA-9AD9-B794F71778CC}"/>
    <cellStyle name="Millares 3 2 3 7 2 2" xfId="3522" xr:uid="{79586E86-AC19-4A0A-BAEA-427C59A93751}"/>
    <cellStyle name="Millares 3 2 3 7 2 2 2" xfId="7370" xr:uid="{632D585F-5471-47E2-AD26-73C72472B071}"/>
    <cellStyle name="Millares 3 2 3 7 2 3" xfId="5446" xr:uid="{BF882A8D-BA33-4AC2-807E-BA7CB47D987E}"/>
    <cellStyle name="Millares 3 2 3 7 3" xfId="2560" xr:uid="{B341AD86-09C9-4087-8961-5007412505C2}"/>
    <cellStyle name="Millares 3 2 3 7 3 2" xfId="6408" xr:uid="{BF99C9DC-9DFB-4C67-B6ED-77AFA4912AC6}"/>
    <cellStyle name="Millares 3 2 3 7 4" xfId="4484" xr:uid="{4F7AEB39-0960-474F-8245-B31DC55C7DEE}"/>
    <cellStyle name="Millares 3 2 3 8" xfId="1117" xr:uid="{86D096E9-1374-4A8C-9162-AC47CBBE3E03}"/>
    <cellStyle name="Millares 3 2 3 8 2" xfId="3041" xr:uid="{DBC691FD-67B4-4E77-A4FF-D2754E86CE41}"/>
    <cellStyle name="Millares 3 2 3 8 2 2" xfId="6889" xr:uid="{73EAD3C2-E21B-4CA8-B0CB-4195426235B2}"/>
    <cellStyle name="Millares 3 2 3 8 3" xfId="4965" xr:uid="{7796ED0C-91EC-474B-8EBA-E3604FAAD181}"/>
    <cellStyle name="Millares 3 2 3 9" xfId="2079" xr:uid="{4D02F254-81CF-470D-8DA8-5AE59C405F3F}"/>
    <cellStyle name="Millares 3 2 3 9 2" xfId="5927" xr:uid="{00295147-EF62-42D3-B361-2FBD322948CB}"/>
    <cellStyle name="Millares 3 2 4" xfId="179" xr:uid="{AF12EA77-15D8-473C-B60F-D95C737C068D}"/>
    <cellStyle name="Millares 3 2 4 2" xfId="213" xr:uid="{18FE93FB-8E1A-4F86-8EFF-FAA3BC02356A}"/>
    <cellStyle name="Millares 3 2 4 2 2" xfId="347" xr:uid="{694DF4A9-AC90-4861-B973-AE50635E6C36}"/>
    <cellStyle name="Millares 3 2 4 2 2 2" xfId="598" xr:uid="{B1FD3117-4AED-4D67-8875-13B14373B2B9}"/>
    <cellStyle name="Millares 3 2 4 2 2 2 2" xfId="1079" xr:uid="{C26487DF-6CFD-4B49-B173-AC41E86460B6}"/>
    <cellStyle name="Millares 3 2 4 2 2 2 2 2" xfId="2041" xr:uid="{1941F02F-DC7F-496C-A084-5DD2C0610327}"/>
    <cellStyle name="Millares 3 2 4 2 2 2 2 2 2" xfId="3965" xr:uid="{154775A7-563A-48B6-84C9-231EECF458FC}"/>
    <cellStyle name="Millares 3 2 4 2 2 2 2 2 2 2" xfId="7813" xr:uid="{57BF6A2D-B616-4F84-9E77-9DB7A9E899B0}"/>
    <cellStyle name="Millares 3 2 4 2 2 2 2 2 3" xfId="5889" xr:uid="{FEE53FE2-EBAE-487C-A469-0152D34CAF3C}"/>
    <cellStyle name="Millares 3 2 4 2 2 2 2 3" xfId="3003" xr:uid="{F004D7C8-CB0D-455F-93D3-33F819039C18}"/>
    <cellStyle name="Millares 3 2 4 2 2 2 2 3 2" xfId="6851" xr:uid="{8E836793-DD53-47E1-95C8-CB598FC0153D}"/>
    <cellStyle name="Millares 3 2 4 2 2 2 2 4" xfId="4927" xr:uid="{EA23653F-FE62-44E1-86F2-70AC154B3746}"/>
    <cellStyle name="Millares 3 2 4 2 2 2 3" xfId="1560" xr:uid="{A3B0C4D8-AEE6-4021-9229-220D84A78B92}"/>
    <cellStyle name="Millares 3 2 4 2 2 2 3 2" xfId="3484" xr:uid="{2AB61B56-5836-4240-A885-DE0D6D5F6604}"/>
    <cellStyle name="Millares 3 2 4 2 2 2 3 2 2" xfId="7332" xr:uid="{6DC58568-5EEB-4D7F-9719-57E446CA3929}"/>
    <cellStyle name="Millares 3 2 4 2 2 2 3 3" xfId="5408" xr:uid="{2E05FF23-3A68-46B1-B795-DEDE2843F477}"/>
    <cellStyle name="Millares 3 2 4 2 2 2 4" xfId="2522" xr:uid="{B6A5BECA-3BBC-4CBA-8F3B-6F089230E223}"/>
    <cellStyle name="Millares 3 2 4 2 2 2 4 2" xfId="6370" xr:uid="{651A30B6-AE17-42C4-942F-253E73292A99}"/>
    <cellStyle name="Millares 3 2 4 2 2 2 5" xfId="4446" xr:uid="{EE91FFCA-D917-42A3-8FA2-6789A388E7D1}"/>
    <cellStyle name="Millares 3 2 4 2 2 3" xfId="839" xr:uid="{86F7B2A6-2E15-466A-95CC-C733C8C276B8}"/>
    <cellStyle name="Millares 3 2 4 2 2 3 2" xfId="1801" xr:uid="{4E9CF2CC-0187-49D1-87E6-8750D3A6A897}"/>
    <cellStyle name="Millares 3 2 4 2 2 3 2 2" xfId="3725" xr:uid="{3A5FC525-B496-41D9-9D5A-10E208FA2B31}"/>
    <cellStyle name="Millares 3 2 4 2 2 3 2 2 2" xfId="7573" xr:uid="{80F38B2C-78E8-476C-9940-93CC14A3D95F}"/>
    <cellStyle name="Millares 3 2 4 2 2 3 2 3" xfId="5649" xr:uid="{CF14B5CD-0F03-4440-950C-ED92F92BFB75}"/>
    <cellStyle name="Millares 3 2 4 2 2 3 3" xfId="2763" xr:uid="{4D937A5E-E825-4DF3-B3F0-B144EF8AD253}"/>
    <cellStyle name="Millares 3 2 4 2 2 3 3 2" xfId="6611" xr:uid="{C77D6540-4173-4052-88D6-7A8A74A006FD}"/>
    <cellStyle name="Millares 3 2 4 2 2 3 4" xfId="4687" xr:uid="{15E4315F-2EC8-4636-BF96-552F3465C8CE}"/>
    <cellStyle name="Millares 3 2 4 2 2 4" xfId="1320" xr:uid="{BF6E31BA-3881-492A-9857-E0F38FFFF8BC}"/>
    <cellStyle name="Millares 3 2 4 2 2 4 2" xfId="3244" xr:uid="{32EBFF67-99B8-491B-92B9-6F7527794850}"/>
    <cellStyle name="Millares 3 2 4 2 2 4 2 2" xfId="7092" xr:uid="{13EE033D-D8C7-4D37-AD3B-9AD4FC883F96}"/>
    <cellStyle name="Millares 3 2 4 2 2 4 3" xfId="5168" xr:uid="{225910AD-88D2-4A54-A1E5-7878781A8976}"/>
    <cellStyle name="Millares 3 2 4 2 2 5" xfId="2282" xr:uid="{64DBD87A-EFBE-4FB5-870E-423DE623203A}"/>
    <cellStyle name="Millares 3 2 4 2 2 5 2" xfId="6130" xr:uid="{89CD9D88-3C0D-4A8F-AB20-8561EEEE8FED}"/>
    <cellStyle name="Millares 3 2 4 2 2 6" xfId="4206" xr:uid="{74F904C3-FDAA-4694-B936-D9A668B66343}"/>
    <cellStyle name="Millares 3 2 4 2 3" xfId="466" xr:uid="{225A4724-6CF0-441C-8F4D-3DD8D57BD876}"/>
    <cellStyle name="Millares 3 2 4 2 3 2" xfId="947" xr:uid="{D3EC0584-E2C7-45FF-9308-965B53F85284}"/>
    <cellStyle name="Millares 3 2 4 2 3 2 2" xfId="1909" xr:uid="{E80278C2-1C61-4631-800A-B2A380F19C41}"/>
    <cellStyle name="Millares 3 2 4 2 3 2 2 2" xfId="3833" xr:uid="{B9C8954C-EE26-4B4B-AFFD-8AF4FDF8C242}"/>
    <cellStyle name="Millares 3 2 4 2 3 2 2 2 2" xfId="7681" xr:uid="{E03385D6-D177-4A33-B2BC-D9290D82BEFC}"/>
    <cellStyle name="Millares 3 2 4 2 3 2 2 3" xfId="5757" xr:uid="{89A32505-54A0-4DB9-91FE-C097D1250645}"/>
    <cellStyle name="Millares 3 2 4 2 3 2 3" xfId="2871" xr:uid="{BE7EA481-D12F-452B-8C21-4EEA17C1C0ED}"/>
    <cellStyle name="Millares 3 2 4 2 3 2 3 2" xfId="6719" xr:uid="{BFECB728-775D-4CE4-B5A0-E9B0B142FBC7}"/>
    <cellStyle name="Millares 3 2 4 2 3 2 4" xfId="4795" xr:uid="{F0ADFC8C-AA9A-431D-83E8-7AB09EE1C2EC}"/>
    <cellStyle name="Millares 3 2 4 2 3 3" xfId="1428" xr:uid="{317E8E6F-8E9F-4A70-AF52-D88B9E3DE5A9}"/>
    <cellStyle name="Millares 3 2 4 2 3 3 2" xfId="3352" xr:uid="{39971DA3-7833-4347-AAE4-6ACC6352E566}"/>
    <cellStyle name="Millares 3 2 4 2 3 3 2 2" xfId="7200" xr:uid="{B3F65E40-EC7E-4F7F-9C00-2BB09F763375}"/>
    <cellStyle name="Millares 3 2 4 2 3 3 3" xfId="5276" xr:uid="{5F3EC4DB-88E3-4DB0-895E-6C2D820B0645}"/>
    <cellStyle name="Millares 3 2 4 2 3 4" xfId="2390" xr:uid="{447E6783-6212-4B05-BEDB-EEBB04235AB3}"/>
    <cellStyle name="Millares 3 2 4 2 3 4 2" xfId="6238" xr:uid="{276FB1EA-2E0C-4D7A-BA79-6DD7ABBC3160}"/>
    <cellStyle name="Millares 3 2 4 2 3 5" xfId="4314" xr:uid="{57DB1841-B9FF-4542-B3F9-D00F9F47B5C1}"/>
    <cellStyle name="Millares 3 2 4 2 4" xfId="707" xr:uid="{84B969AD-C48E-4833-A38F-5723FCB3EC2F}"/>
    <cellStyle name="Millares 3 2 4 2 4 2" xfId="1669" xr:uid="{95ABC576-A432-4CF0-BCC6-236E0A96B8B9}"/>
    <cellStyle name="Millares 3 2 4 2 4 2 2" xfId="3593" xr:uid="{72B7FE56-406F-4B83-B757-70D948E6BE91}"/>
    <cellStyle name="Millares 3 2 4 2 4 2 2 2" xfId="7441" xr:uid="{BF662CD5-5DF2-4806-ADEF-86E4FF364AF8}"/>
    <cellStyle name="Millares 3 2 4 2 4 2 3" xfId="5517" xr:uid="{B680ABAF-94DF-41FC-87D6-3D731C41556D}"/>
    <cellStyle name="Millares 3 2 4 2 4 3" xfId="2631" xr:uid="{CDC0A012-8FD5-464D-9A59-6C5DF3F3467D}"/>
    <cellStyle name="Millares 3 2 4 2 4 3 2" xfId="6479" xr:uid="{0F2A9AFA-E5DA-463E-A64A-D05D691981BC}"/>
    <cellStyle name="Millares 3 2 4 2 4 4" xfId="4555" xr:uid="{EADFD086-24C6-4FBB-8018-D73DFE99DA38}"/>
    <cellStyle name="Millares 3 2 4 2 5" xfId="1188" xr:uid="{C6D6AC79-A56B-40B9-AA9F-8A320F4B3528}"/>
    <cellStyle name="Millares 3 2 4 2 5 2" xfId="3112" xr:uid="{653C6C22-AB99-41CC-B923-3CCA44812338}"/>
    <cellStyle name="Millares 3 2 4 2 5 2 2" xfId="6960" xr:uid="{57576A43-DD49-40D0-A0B6-AED0D33CD914}"/>
    <cellStyle name="Millares 3 2 4 2 5 3" xfId="5036" xr:uid="{91B2612F-DF55-44BE-9F25-D82365421C00}"/>
    <cellStyle name="Millares 3 2 4 2 6" xfId="2150" xr:uid="{39E8832D-221A-4395-96D1-8B5630FD45B9}"/>
    <cellStyle name="Millares 3 2 4 2 6 2" xfId="5998" xr:uid="{DBBE8CBC-D3CD-48B3-B7DB-6651ABEFFD0D}"/>
    <cellStyle name="Millares 3 2 4 2 7" xfId="4074" xr:uid="{516D5D55-F71B-41F1-BAB4-3B6231C57E52}"/>
    <cellStyle name="Millares 3 2 4 3" xfId="314" xr:uid="{D8050C05-0299-46AE-9529-210DDFF58AC6}"/>
    <cellStyle name="Millares 3 2 4 3 2" xfId="565" xr:uid="{80DDBE94-F1AC-42FD-8691-009E11B8976D}"/>
    <cellStyle name="Millares 3 2 4 3 2 2" xfId="1046" xr:uid="{AF2A04CC-BB44-43A2-B328-5BCB68354101}"/>
    <cellStyle name="Millares 3 2 4 3 2 2 2" xfId="2008" xr:uid="{0BC660CD-F431-49DB-954C-BD06EA433EFC}"/>
    <cellStyle name="Millares 3 2 4 3 2 2 2 2" xfId="3932" xr:uid="{C7B64158-0139-4FAD-8EBB-8A8D170A678B}"/>
    <cellStyle name="Millares 3 2 4 3 2 2 2 2 2" xfId="7780" xr:uid="{AE28A1F2-A63A-4D02-99D9-E914CABB02CA}"/>
    <cellStyle name="Millares 3 2 4 3 2 2 2 3" xfId="5856" xr:uid="{718E337A-C49B-4056-85AB-24A6F13519DA}"/>
    <cellStyle name="Millares 3 2 4 3 2 2 3" xfId="2970" xr:uid="{365C5D8F-2227-4D7E-8172-8B9948EC7C34}"/>
    <cellStyle name="Millares 3 2 4 3 2 2 3 2" xfId="6818" xr:uid="{F8619451-AD4C-4512-B8E9-AB8936CFEE10}"/>
    <cellStyle name="Millares 3 2 4 3 2 2 4" xfId="4894" xr:uid="{A3F01D6D-26B0-445A-920B-AC6D41C86AD3}"/>
    <cellStyle name="Millares 3 2 4 3 2 3" xfId="1527" xr:uid="{E3E282D5-57C2-48E3-BBA7-DCFB6CF4DD22}"/>
    <cellStyle name="Millares 3 2 4 3 2 3 2" xfId="3451" xr:uid="{4601901C-0FA7-4B29-AF87-D52D97ED7860}"/>
    <cellStyle name="Millares 3 2 4 3 2 3 2 2" xfId="7299" xr:uid="{17AF691E-C591-4DD2-9CE0-C609940DD79F}"/>
    <cellStyle name="Millares 3 2 4 3 2 3 3" xfId="5375" xr:uid="{441AA799-853F-46C7-B3D7-91C194A92CD5}"/>
    <cellStyle name="Millares 3 2 4 3 2 4" xfId="2489" xr:uid="{6A8A9442-95ED-4E0C-9AED-0008C82A6366}"/>
    <cellStyle name="Millares 3 2 4 3 2 4 2" xfId="6337" xr:uid="{EEDEB85B-D168-437A-941E-EFC34E97FD93}"/>
    <cellStyle name="Millares 3 2 4 3 2 5" xfId="4413" xr:uid="{AD8CC3E2-A8C9-4D00-82EB-2E8348A1B7CD}"/>
    <cellStyle name="Millares 3 2 4 3 3" xfId="806" xr:uid="{0FD0FBE7-0C90-407C-BEED-DAD540A6D718}"/>
    <cellStyle name="Millares 3 2 4 3 3 2" xfId="1768" xr:uid="{59C94F90-48B4-4FD4-A285-5FB7CE8AE361}"/>
    <cellStyle name="Millares 3 2 4 3 3 2 2" xfId="3692" xr:uid="{C37A7848-7BE5-4C73-B482-6CE2FE0A5748}"/>
    <cellStyle name="Millares 3 2 4 3 3 2 2 2" xfId="7540" xr:uid="{BE171434-D509-417D-9E20-6EB5ADDD25E1}"/>
    <cellStyle name="Millares 3 2 4 3 3 2 3" xfId="5616" xr:uid="{1E15927B-6C74-45E9-806B-ADFA950EC9F0}"/>
    <cellStyle name="Millares 3 2 4 3 3 3" xfId="2730" xr:uid="{85FA2185-0057-42DC-9989-7ACCC435DE20}"/>
    <cellStyle name="Millares 3 2 4 3 3 3 2" xfId="6578" xr:uid="{6D741809-9497-40C6-B9AB-1DF069516C1A}"/>
    <cellStyle name="Millares 3 2 4 3 3 4" xfId="4654" xr:uid="{FE2240B6-6ED1-4FB7-84F0-F8684A95BFA5}"/>
    <cellStyle name="Millares 3 2 4 3 4" xfId="1287" xr:uid="{2CC0DB25-9DCA-47C3-8EF3-6ABF2E5552E9}"/>
    <cellStyle name="Millares 3 2 4 3 4 2" xfId="3211" xr:uid="{0E61F8C0-62EA-456E-ACFF-B97095DE112D}"/>
    <cellStyle name="Millares 3 2 4 3 4 2 2" xfId="7059" xr:uid="{2FCA9CAA-98CE-49E0-84ED-ACC48A813C89}"/>
    <cellStyle name="Millares 3 2 4 3 4 3" xfId="5135" xr:uid="{EA893EA8-35DC-4D8D-9F9C-BA0AA40D89CD}"/>
    <cellStyle name="Millares 3 2 4 3 5" xfId="2249" xr:uid="{44CACAB6-13CB-43ED-ADEB-5F981816F372}"/>
    <cellStyle name="Millares 3 2 4 3 5 2" xfId="6097" xr:uid="{1F34E446-B115-4DF4-852E-8CCF7A6E0F7F}"/>
    <cellStyle name="Millares 3 2 4 3 6" xfId="4173" xr:uid="{D03FF9D6-D3F5-40B7-A3B0-161A3C7583DC}"/>
    <cellStyle name="Millares 3 2 4 4" xfId="247" xr:uid="{F8FA2359-F227-4F75-8399-A2A583E6F946}"/>
    <cellStyle name="Millares 3 2 4 4 2" xfId="499" xr:uid="{5C8D58BF-C7D7-4630-B507-5B0889D1D27C}"/>
    <cellStyle name="Millares 3 2 4 4 2 2" xfId="980" xr:uid="{DD125AA3-C64C-41BD-9BC4-CE1CA81D1E7D}"/>
    <cellStyle name="Millares 3 2 4 4 2 2 2" xfId="1942" xr:uid="{6A61CB8F-CFE5-455D-8310-FD6B10D498DA}"/>
    <cellStyle name="Millares 3 2 4 4 2 2 2 2" xfId="3866" xr:uid="{C4D4856B-78A8-4AF0-9E94-B37BE8F398B8}"/>
    <cellStyle name="Millares 3 2 4 4 2 2 2 2 2" xfId="7714" xr:uid="{A26E34B5-2594-4E71-9B9D-0FB67504AE3C}"/>
    <cellStyle name="Millares 3 2 4 4 2 2 2 3" xfId="5790" xr:uid="{2F4FDC68-5CC1-4A41-B556-ADCF503E89AE}"/>
    <cellStyle name="Millares 3 2 4 4 2 2 3" xfId="2904" xr:uid="{9A7C9AA7-E515-4B89-A03C-788634DD75D5}"/>
    <cellStyle name="Millares 3 2 4 4 2 2 3 2" xfId="6752" xr:uid="{738C58C7-C311-4DF3-A4B1-BFA742812207}"/>
    <cellStyle name="Millares 3 2 4 4 2 2 4" xfId="4828" xr:uid="{3E0F123E-ABF3-4EFB-AB58-76D8D929C575}"/>
    <cellStyle name="Millares 3 2 4 4 2 3" xfId="1461" xr:uid="{DA10D34B-A1CB-4CA1-AC7A-995B9C540437}"/>
    <cellStyle name="Millares 3 2 4 4 2 3 2" xfId="3385" xr:uid="{E0865763-C4A2-4F16-AA5A-9BDE706DD266}"/>
    <cellStyle name="Millares 3 2 4 4 2 3 2 2" xfId="7233" xr:uid="{DFEF1F1A-B530-431C-81BD-C9F604E61A32}"/>
    <cellStyle name="Millares 3 2 4 4 2 3 3" xfId="5309" xr:uid="{C506ED99-3424-45C9-AE25-F789430450AA}"/>
    <cellStyle name="Millares 3 2 4 4 2 4" xfId="2423" xr:uid="{785DF3ED-A526-497E-A178-96D4EDCB9A60}"/>
    <cellStyle name="Millares 3 2 4 4 2 4 2" xfId="6271" xr:uid="{21468268-34CE-4E8F-82B2-7D70976A92AF}"/>
    <cellStyle name="Millares 3 2 4 4 2 5" xfId="4347" xr:uid="{FFCFDFED-CEFE-40E4-92C7-8ADCB4099123}"/>
    <cellStyle name="Millares 3 2 4 4 3" xfId="740" xr:uid="{B972BD30-BE3A-46C1-B820-B86ACC244A4A}"/>
    <cellStyle name="Millares 3 2 4 4 3 2" xfId="1702" xr:uid="{7B28C50C-E90E-4C32-81EA-A48C5C782833}"/>
    <cellStyle name="Millares 3 2 4 4 3 2 2" xfId="3626" xr:uid="{13313570-9FD5-4A03-8C29-D682FAB43F2B}"/>
    <cellStyle name="Millares 3 2 4 4 3 2 2 2" xfId="7474" xr:uid="{F6AEA259-C9A7-4CE6-AA44-BCAD6A111000}"/>
    <cellStyle name="Millares 3 2 4 4 3 2 3" xfId="5550" xr:uid="{A89BB5AC-19AD-443A-9C68-BBBB7A87CE62}"/>
    <cellStyle name="Millares 3 2 4 4 3 3" xfId="2664" xr:uid="{05751D4D-C0D3-41D3-A343-E8A3C9146F7D}"/>
    <cellStyle name="Millares 3 2 4 4 3 3 2" xfId="6512" xr:uid="{D7232D3A-00C2-4B5D-B6E3-97FCF18F9315}"/>
    <cellStyle name="Millares 3 2 4 4 3 4" xfId="4588" xr:uid="{2DF99A60-6547-4ACD-8D88-83162A3AA729}"/>
    <cellStyle name="Millares 3 2 4 4 4" xfId="1221" xr:uid="{27F98108-9DB0-4EDA-984C-526408D94A9B}"/>
    <cellStyle name="Millares 3 2 4 4 4 2" xfId="3145" xr:uid="{19774C43-2E99-44DB-B2FA-32B00F304C34}"/>
    <cellStyle name="Millares 3 2 4 4 4 2 2" xfId="6993" xr:uid="{4CD43C28-462B-4D46-8F9A-B9031D8CB34D}"/>
    <cellStyle name="Millares 3 2 4 4 4 3" xfId="5069" xr:uid="{69BD4EB9-17FC-44B8-8A9A-D1A48C30E5A3}"/>
    <cellStyle name="Millares 3 2 4 4 5" xfId="2183" xr:uid="{319E58CE-996B-4FE7-82F6-E3E255B2F0D2}"/>
    <cellStyle name="Millares 3 2 4 4 5 2" xfId="6031" xr:uid="{FCACFFDA-9548-4309-8536-DEF0413B7F42}"/>
    <cellStyle name="Millares 3 2 4 4 6" xfId="4107" xr:uid="{18BE2B9B-E773-485E-829D-EC1B40A82E48}"/>
    <cellStyle name="Millares 3 2 4 5" xfId="433" xr:uid="{DEBADA17-DEBA-4AD2-B03D-D5A45DF01D0F}"/>
    <cellStyle name="Millares 3 2 4 5 2" xfId="914" xr:uid="{0AB7B0BF-C27F-4567-9A4A-1B4714013DAB}"/>
    <cellStyle name="Millares 3 2 4 5 2 2" xfId="1876" xr:uid="{010FC357-766E-4380-AC1C-ECE144616F61}"/>
    <cellStyle name="Millares 3 2 4 5 2 2 2" xfId="3800" xr:uid="{75A31489-2F88-4CF2-AAAD-DFFD84CA2546}"/>
    <cellStyle name="Millares 3 2 4 5 2 2 2 2" xfId="7648" xr:uid="{8370CA98-3DC3-43CC-B82B-7AFDBD921ED6}"/>
    <cellStyle name="Millares 3 2 4 5 2 2 3" xfId="5724" xr:uid="{CB018226-C306-4ED2-8F39-83080FA842FB}"/>
    <cellStyle name="Millares 3 2 4 5 2 3" xfId="2838" xr:uid="{51CAB9CD-17B9-494F-8777-2456042CDF55}"/>
    <cellStyle name="Millares 3 2 4 5 2 3 2" xfId="6686" xr:uid="{D2867722-F3A2-4ACA-AD59-B126A90762C4}"/>
    <cellStyle name="Millares 3 2 4 5 2 4" xfId="4762" xr:uid="{381B2617-9B60-4053-BADA-89443E93A326}"/>
    <cellStyle name="Millares 3 2 4 5 3" xfId="1395" xr:uid="{FE764856-5833-4362-9094-1BE833B01E29}"/>
    <cellStyle name="Millares 3 2 4 5 3 2" xfId="3319" xr:uid="{D655BB2C-0BFB-47A4-953A-438C78E0F310}"/>
    <cellStyle name="Millares 3 2 4 5 3 2 2" xfId="7167" xr:uid="{132087AF-8061-4541-9C32-D223D9659B71}"/>
    <cellStyle name="Millares 3 2 4 5 3 3" xfId="5243" xr:uid="{F503E7A8-AEA5-4506-9BBC-EF187BADC376}"/>
    <cellStyle name="Millares 3 2 4 5 4" xfId="2357" xr:uid="{770D1EA3-87CB-4FD0-9112-6A87582DB5FE}"/>
    <cellStyle name="Millares 3 2 4 5 4 2" xfId="6205" xr:uid="{B953E1F7-AEBF-43A3-B4A5-F3F875E8164A}"/>
    <cellStyle name="Millares 3 2 4 5 5" xfId="4281" xr:uid="{8BFBD228-81B2-4556-ACD9-85B461BA64D8}"/>
    <cellStyle name="Millares 3 2 4 6" xfId="674" xr:uid="{11D8AD4C-065F-46B1-965B-8441F6FF6FDC}"/>
    <cellStyle name="Millares 3 2 4 6 2" xfId="1636" xr:uid="{0CF8E3BC-5D13-4359-8E39-EF1C37961559}"/>
    <cellStyle name="Millares 3 2 4 6 2 2" xfId="3560" xr:uid="{A26B4E96-3074-4090-BA8B-34F2366995A0}"/>
    <cellStyle name="Millares 3 2 4 6 2 2 2" xfId="7408" xr:uid="{69C3844C-DAB8-4616-A0BE-0D6A3C987D7E}"/>
    <cellStyle name="Millares 3 2 4 6 2 3" xfId="5484" xr:uid="{D663B89F-C8EB-41CD-ACB8-2917274DC8CE}"/>
    <cellStyle name="Millares 3 2 4 6 3" xfId="2598" xr:uid="{5CA4803B-1E67-4A4F-B418-DAC4B789983C}"/>
    <cellStyle name="Millares 3 2 4 6 3 2" xfId="6446" xr:uid="{ED145253-3FDF-49F0-A2A1-EF655862411B}"/>
    <cellStyle name="Millares 3 2 4 6 4" xfId="4522" xr:uid="{90889DC0-7E78-45F6-8E9A-90EB41B9EC28}"/>
    <cellStyle name="Millares 3 2 4 7" xfId="1155" xr:uid="{E6D13B9D-837E-437A-BC4C-055BD9C2CDCC}"/>
    <cellStyle name="Millares 3 2 4 7 2" xfId="3079" xr:uid="{0BED9F52-7FF6-4FE0-9C9B-4C763AE0A8AD}"/>
    <cellStyle name="Millares 3 2 4 7 2 2" xfId="6927" xr:uid="{5884FCE6-8FEF-451B-800D-A94FB7A8C81F}"/>
    <cellStyle name="Millares 3 2 4 7 3" xfId="5003" xr:uid="{5741A7B9-EC8A-4D11-9AE0-7BA674FDA408}"/>
    <cellStyle name="Millares 3 2 4 8" xfId="2117" xr:uid="{C405B351-C77B-4398-B790-31BBE5FCDE59}"/>
    <cellStyle name="Millares 3 2 4 8 2" xfId="5965" xr:uid="{C901DF88-ABC1-4A12-8617-BEE9EF58E15A}"/>
    <cellStyle name="Millares 3 2 4 9" xfId="4041" xr:uid="{E09866B7-B474-451B-AAA4-6EB2EBC8B654}"/>
    <cellStyle name="Millares 3 2 5" xfId="138" xr:uid="{2C0A3129-0FE8-43CC-BF99-D08C45BB5D43}"/>
    <cellStyle name="Millares 3 2 5 2" xfId="286" xr:uid="{F816574C-0151-4C99-8D6E-F9E68A637C03}"/>
    <cellStyle name="Millares 3 2 5 2 2" xfId="537" xr:uid="{98AE141A-78D8-4B9E-89DF-5F0F613BD723}"/>
    <cellStyle name="Millares 3 2 5 2 2 2" xfId="1018" xr:uid="{FF1EEC9C-A43E-48FB-BF28-8921BE840BDE}"/>
    <cellStyle name="Millares 3 2 5 2 2 2 2" xfId="1980" xr:uid="{0D2E5EE6-A167-4E36-9C58-5783E2CF33A6}"/>
    <cellStyle name="Millares 3 2 5 2 2 2 2 2" xfId="3904" xr:uid="{7C4F840D-505F-499F-90AA-0EC137931F6D}"/>
    <cellStyle name="Millares 3 2 5 2 2 2 2 2 2" xfId="7752" xr:uid="{F5888F41-73C8-4C68-BCB9-88D5B4D65BA8}"/>
    <cellStyle name="Millares 3 2 5 2 2 2 2 3" xfId="5828" xr:uid="{9D3A9C57-B882-4525-AB9C-78676F14EC64}"/>
    <cellStyle name="Millares 3 2 5 2 2 2 3" xfId="2942" xr:uid="{D80832D7-2665-40C4-B112-759AF0C7EA07}"/>
    <cellStyle name="Millares 3 2 5 2 2 2 3 2" xfId="6790" xr:uid="{635B18B7-AFBD-453A-8D02-D64E8D06E9A8}"/>
    <cellStyle name="Millares 3 2 5 2 2 2 4" xfId="4866" xr:uid="{0F196B80-5143-4E07-ADEF-E822A8EDADF0}"/>
    <cellStyle name="Millares 3 2 5 2 2 3" xfId="1499" xr:uid="{428BEC07-DF3D-447C-9BB3-F19C17124414}"/>
    <cellStyle name="Millares 3 2 5 2 2 3 2" xfId="3423" xr:uid="{0835A36A-9579-49B8-AED5-D3C7F9EFF2EC}"/>
    <cellStyle name="Millares 3 2 5 2 2 3 2 2" xfId="7271" xr:uid="{6082797E-BFBD-4649-90C0-C9AC2F28E89A}"/>
    <cellStyle name="Millares 3 2 5 2 2 3 3" xfId="5347" xr:uid="{A77C0B3F-F74F-4ECA-B747-042034776CC9}"/>
    <cellStyle name="Millares 3 2 5 2 2 4" xfId="2461" xr:uid="{94F9DCA6-8597-4FCF-9102-A942272B8026}"/>
    <cellStyle name="Millares 3 2 5 2 2 4 2" xfId="6309" xr:uid="{37C27CED-6FE2-4251-A2AD-3ED9234D64BF}"/>
    <cellStyle name="Millares 3 2 5 2 2 5" xfId="4385" xr:uid="{69112DF2-DDF3-4759-A354-0EFEB7F44E43}"/>
    <cellStyle name="Millares 3 2 5 2 3" xfId="778" xr:uid="{F587F16E-6162-453D-B673-5AEDADA1AAD5}"/>
    <cellStyle name="Millares 3 2 5 2 3 2" xfId="1740" xr:uid="{88008DC5-E2E8-422E-9389-FA8788550035}"/>
    <cellStyle name="Millares 3 2 5 2 3 2 2" xfId="3664" xr:uid="{5C6AA6C8-BCEE-4D85-A897-6D241FC3BD84}"/>
    <cellStyle name="Millares 3 2 5 2 3 2 2 2" xfId="7512" xr:uid="{3246DA4F-3D4C-4AF1-8677-F549061DD490}"/>
    <cellStyle name="Millares 3 2 5 2 3 2 3" xfId="5588" xr:uid="{3624984A-303B-4254-9193-AEE18E77BCB5}"/>
    <cellStyle name="Millares 3 2 5 2 3 3" xfId="2702" xr:uid="{1A787AF3-A7DD-46B4-95E9-8395A0F371C5}"/>
    <cellStyle name="Millares 3 2 5 2 3 3 2" xfId="6550" xr:uid="{B11BA83E-6A3E-4EB6-BF61-2E07492C9F59}"/>
    <cellStyle name="Millares 3 2 5 2 3 4" xfId="4626" xr:uid="{DDAB64E7-3DAC-48D7-936F-73B9464122E3}"/>
    <cellStyle name="Millares 3 2 5 2 4" xfId="1259" xr:uid="{4C4774F3-45E3-464F-AA18-5783DE156471}"/>
    <cellStyle name="Millares 3 2 5 2 4 2" xfId="3183" xr:uid="{B5AF4AC8-E7F1-45A7-B0B4-EFB3203E3E34}"/>
    <cellStyle name="Millares 3 2 5 2 4 2 2" xfId="7031" xr:uid="{3CD6E9EC-5F13-43C4-8251-2C1EE7B413BA}"/>
    <cellStyle name="Millares 3 2 5 2 4 3" xfId="5107" xr:uid="{C64DC08C-1FE0-4299-9A47-794FAF85D2F9}"/>
    <cellStyle name="Millares 3 2 5 2 5" xfId="2221" xr:uid="{74DDBAA4-00BC-4985-882F-E3CD729911ED}"/>
    <cellStyle name="Millares 3 2 5 2 5 2" xfId="6069" xr:uid="{92B76102-4A9F-4701-B14C-346A0542E3C0}"/>
    <cellStyle name="Millares 3 2 5 2 6" xfId="4145" xr:uid="{A5D8FFB3-E7DD-428C-A321-EAB996266D63}"/>
    <cellStyle name="Millares 3 2 5 3" xfId="405" xr:uid="{4BEAF989-5C00-4193-BD13-D78755E59151}"/>
    <cellStyle name="Millares 3 2 5 3 2" xfId="886" xr:uid="{5AD53AFF-BE23-496F-AD5F-1CC9D2256BB2}"/>
    <cellStyle name="Millares 3 2 5 3 2 2" xfId="1848" xr:uid="{664E4ECE-CEE3-4609-9E47-D85A5FF94B3E}"/>
    <cellStyle name="Millares 3 2 5 3 2 2 2" xfId="3772" xr:uid="{1E67489F-677F-49A8-B850-434AEA70A0BD}"/>
    <cellStyle name="Millares 3 2 5 3 2 2 2 2" xfId="7620" xr:uid="{7F5FA205-9DC4-448C-82C0-DCD87473E9DC}"/>
    <cellStyle name="Millares 3 2 5 3 2 2 3" xfId="5696" xr:uid="{20F37719-256A-4C50-8F2C-0CC5FAA7A841}"/>
    <cellStyle name="Millares 3 2 5 3 2 3" xfId="2810" xr:uid="{683F91FC-BC1D-4EC6-90C8-D604C89BC3A7}"/>
    <cellStyle name="Millares 3 2 5 3 2 3 2" xfId="6658" xr:uid="{E1DA4419-6615-4FB2-A1FD-39E4C637639A}"/>
    <cellStyle name="Millares 3 2 5 3 2 4" xfId="4734" xr:uid="{3640D81D-BAF4-475D-8AA6-C7E35E0BBBA4}"/>
    <cellStyle name="Millares 3 2 5 3 3" xfId="1367" xr:uid="{975DBCC1-41AE-4E7C-A16A-1D043A79958F}"/>
    <cellStyle name="Millares 3 2 5 3 3 2" xfId="3291" xr:uid="{BFD95FBD-71F6-46A0-9C95-B03D77288A23}"/>
    <cellStyle name="Millares 3 2 5 3 3 2 2" xfId="7139" xr:uid="{FB211C04-0282-4D91-A5A8-AEF4856F17DA}"/>
    <cellStyle name="Millares 3 2 5 3 3 3" xfId="5215" xr:uid="{DB324390-2ECF-489E-BB86-4D360260B64D}"/>
    <cellStyle name="Millares 3 2 5 3 4" xfId="2329" xr:uid="{03CE9706-7A24-4D22-96C0-419B57E67AF9}"/>
    <cellStyle name="Millares 3 2 5 3 4 2" xfId="6177" xr:uid="{7352BF80-1E53-44E7-A6D6-2CC1C600172F}"/>
    <cellStyle name="Millares 3 2 5 3 5" xfId="4253" xr:uid="{E0CB86B8-5794-4B17-BC2C-A9C975E74996}"/>
    <cellStyle name="Millares 3 2 5 4" xfId="646" xr:uid="{7B67752A-A8B2-40FD-A0E6-6761D3981F5C}"/>
    <cellStyle name="Millares 3 2 5 4 2" xfId="1608" xr:uid="{68934202-D9FE-4C1F-AB17-A81A031F7C4D}"/>
    <cellStyle name="Millares 3 2 5 4 2 2" xfId="3532" xr:uid="{A619B987-3410-4FFD-A473-79094A03FC27}"/>
    <cellStyle name="Millares 3 2 5 4 2 2 2" xfId="7380" xr:uid="{F72DB33B-A54E-49C6-B912-AD36488497DE}"/>
    <cellStyle name="Millares 3 2 5 4 2 3" xfId="5456" xr:uid="{B32DBB8C-43E6-4E0F-ADB7-94DD62E401FD}"/>
    <cellStyle name="Millares 3 2 5 4 3" xfId="2570" xr:uid="{4C5948A3-2646-48B4-BE0E-9FFC3EDDD6F2}"/>
    <cellStyle name="Millares 3 2 5 4 3 2" xfId="6418" xr:uid="{6D0B7126-D616-4DC8-B181-1222E5A94AD8}"/>
    <cellStyle name="Millares 3 2 5 4 4" xfId="4494" xr:uid="{95ACBC2E-0A56-48DF-AD48-29A0995F7B8A}"/>
    <cellStyle name="Millares 3 2 5 5" xfId="1127" xr:uid="{BA91D24B-FB96-469F-AD9F-88AA5B35F9C3}"/>
    <cellStyle name="Millares 3 2 5 5 2" xfId="3051" xr:uid="{17F73FAE-D0C9-42FD-AFF4-53F28ED22E08}"/>
    <cellStyle name="Millares 3 2 5 5 2 2" xfId="6899" xr:uid="{1B5986C6-92F5-4DC4-A5F9-11C33E68D77E}"/>
    <cellStyle name="Millares 3 2 5 5 3" xfId="4975" xr:uid="{4CC5091B-47D3-4C66-823F-DE72A9FB0EAD}"/>
    <cellStyle name="Millares 3 2 5 6" xfId="2089" xr:uid="{80F8623B-718A-4B15-893A-8589C524091E}"/>
    <cellStyle name="Millares 3 2 5 6 2" xfId="5937" xr:uid="{80A19DB5-09DD-4C30-A717-06957B813B4F}"/>
    <cellStyle name="Millares 3 2 5 7" xfId="4013" xr:uid="{E58CC3DA-DBF2-4EE9-ADFB-ADECA947CC23}"/>
    <cellStyle name="Millares 3 2 6" xfId="267" xr:uid="{68ADA306-82A2-4F11-9D3B-93B948B07BD5}"/>
    <cellStyle name="Millares 3 2 6 2" xfId="519" xr:uid="{05526751-93E3-4D03-90EA-8CFC8E6EAE95}"/>
    <cellStyle name="Millares 3 2 6 2 2" xfId="1000" xr:uid="{0A14E76B-022A-41C5-B33D-2603F79E22DA}"/>
    <cellStyle name="Millares 3 2 6 2 2 2" xfId="1962" xr:uid="{5CE0A46D-1CA8-4430-9394-23784E1CE72C}"/>
    <cellStyle name="Millares 3 2 6 2 2 2 2" xfId="3886" xr:uid="{03F29425-E87B-4C44-B0DC-6B6F9CA0ED12}"/>
    <cellStyle name="Millares 3 2 6 2 2 2 2 2" xfId="7734" xr:uid="{3CC87CC0-D424-408C-8421-6636BA99C1E6}"/>
    <cellStyle name="Millares 3 2 6 2 2 2 3" xfId="5810" xr:uid="{B65B4D99-7740-4B05-826D-427E3C923F1A}"/>
    <cellStyle name="Millares 3 2 6 2 2 3" xfId="2924" xr:uid="{CC8C88E3-1D6C-4C80-804B-F788B02F9F93}"/>
    <cellStyle name="Millares 3 2 6 2 2 3 2" xfId="6772" xr:uid="{CBCD643A-2D1E-47FC-B3E6-1B9CC95EB893}"/>
    <cellStyle name="Millares 3 2 6 2 2 4" xfId="4848" xr:uid="{2724E6B2-0DE2-4201-B7D6-133253CBA062}"/>
    <cellStyle name="Millares 3 2 6 2 3" xfId="1481" xr:uid="{91DA6FBD-FB03-49BB-ABC8-DD806D527E17}"/>
    <cellStyle name="Millares 3 2 6 2 3 2" xfId="3405" xr:uid="{4FCBA1A6-E03C-4ABC-9E40-AE9DDD5021A7}"/>
    <cellStyle name="Millares 3 2 6 2 3 2 2" xfId="7253" xr:uid="{724E6DC4-EAED-42F2-8673-46C3F2FEA6E4}"/>
    <cellStyle name="Millares 3 2 6 2 3 3" xfId="5329" xr:uid="{3D0CB2E7-DD51-4EF1-8D58-329932163251}"/>
    <cellStyle name="Millares 3 2 6 2 4" xfId="2443" xr:uid="{7FC23B67-CC9A-40FE-B314-54FE17EF6EEC}"/>
    <cellStyle name="Millares 3 2 6 2 4 2" xfId="6291" xr:uid="{F6CB13EF-949B-4C90-8089-643104F74F00}"/>
    <cellStyle name="Millares 3 2 6 2 5" xfId="4367" xr:uid="{9A859939-BF11-4AE0-8FC1-C71A0DEA6479}"/>
    <cellStyle name="Millares 3 2 6 3" xfId="760" xr:uid="{D0741823-A24C-4164-B2AB-F7334C55E9D1}"/>
    <cellStyle name="Millares 3 2 6 3 2" xfId="1722" xr:uid="{E41DC753-CBCB-4F4D-B5A9-B218012773E9}"/>
    <cellStyle name="Millares 3 2 6 3 2 2" xfId="3646" xr:uid="{CB06DE40-5661-4A3B-8A01-7FFE3F15F20C}"/>
    <cellStyle name="Millares 3 2 6 3 2 2 2" xfId="7494" xr:uid="{9FA50394-4373-43D9-9861-AC4AE978D011}"/>
    <cellStyle name="Millares 3 2 6 3 2 3" xfId="5570" xr:uid="{4B577554-4EBB-4C2F-9994-C4FAABE49A15}"/>
    <cellStyle name="Millares 3 2 6 3 3" xfId="2684" xr:uid="{3576234F-D3EA-47CD-8ECB-3BA1E1D972B5}"/>
    <cellStyle name="Millares 3 2 6 3 3 2" xfId="6532" xr:uid="{4C59A8DD-1C0A-4CD1-8FFD-CA142174D78A}"/>
    <cellStyle name="Millares 3 2 6 3 4" xfId="4608" xr:uid="{6079FBC5-2B47-49FF-A168-ECB9283F8A1C}"/>
    <cellStyle name="Millares 3 2 6 4" xfId="1241" xr:uid="{0957A822-82D3-4F8F-8E33-4202FD482529}"/>
    <cellStyle name="Millares 3 2 6 4 2" xfId="3165" xr:uid="{28780475-7673-489E-98CF-3F07B2BA5773}"/>
    <cellStyle name="Millares 3 2 6 4 2 2" xfId="7013" xr:uid="{E13F4372-43C4-4F4F-92D1-5B58B172BD1C}"/>
    <cellStyle name="Millares 3 2 6 4 3" xfId="5089" xr:uid="{8FDE32EA-54E4-4736-A54B-21ECEA9DF738}"/>
    <cellStyle name="Millares 3 2 6 5" xfId="2203" xr:uid="{DEEF86AC-DDB2-4CDD-8B6B-9FE518D0BE3C}"/>
    <cellStyle name="Millares 3 2 6 5 2" xfId="6051" xr:uid="{C51AEF1B-CEF6-4692-91A6-AF75DAF8B9F7}"/>
    <cellStyle name="Millares 3 2 6 6" xfId="4127" xr:uid="{5B612524-DDD2-4C43-83A8-AF13C84C4A0A}"/>
    <cellStyle name="Millares 3 2 7" xfId="387" xr:uid="{98BB7B43-1FC3-4352-887B-037953FC183E}"/>
    <cellStyle name="Millares 3 2 7 2" xfId="868" xr:uid="{62734C12-A45C-424F-BAA6-59C984608050}"/>
    <cellStyle name="Millares 3 2 7 2 2" xfId="1830" xr:uid="{94BD8C93-8BA8-4408-9816-4AD173D37BCE}"/>
    <cellStyle name="Millares 3 2 7 2 2 2" xfId="3754" xr:uid="{790D004C-D592-4F09-9C80-EC2EA9E3EE00}"/>
    <cellStyle name="Millares 3 2 7 2 2 2 2" xfId="7602" xr:uid="{9AD64D71-87FC-415C-BFB6-57AAB685CA67}"/>
    <cellStyle name="Millares 3 2 7 2 2 3" xfId="5678" xr:uid="{98A23973-0419-4508-BF58-A9248F75CCB9}"/>
    <cellStyle name="Millares 3 2 7 2 3" xfId="2792" xr:uid="{77A82B50-8A79-4642-A93E-094D57DC5B49}"/>
    <cellStyle name="Millares 3 2 7 2 3 2" xfId="6640" xr:uid="{DEC8BAF3-051D-42E4-B26A-ADE2405F4396}"/>
    <cellStyle name="Millares 3 2 7 2 4" xfId="4716" xr:uid="{C41A8158-C58B-47C4-AB4E-7AF1D6A1CF65}"/>
    <cellStyle name="Millares 3 2 7 3" xfId="1349" xr:uid="{13D2E55D-52E0-480F-9B67-CC32533CD89F}"/>
    <cellStyle name="Millares 3 2 7 3 2" xfId="3273" xr:uid="{90F93D5B-A565-46F8-AEF1-F8E7E89DAFC0}"/>
    <cellStyle name="Millares 3 2 7 3 2 2" xfId="7121" xr:uid="{36A6D535-27C8-4D63-99BE-4F472620B7B4}"/>
    <cellStyle name="Millares 3 2 7 3 3" xfId="5197" xr:uid="{CE7F0122-BF4E-42E7-99EA-4065199CF519}"/>
    <cellStyle name="Millares 3 2 7 4" xfId="2311" xr:uid="{30B2545A-C792-4204-AEEA-3B3BBC243490}"/>
    <cellStyle name="Millares 3 2 7 4 2" xfId="6159" xr:uid="{24EE9690-A453-4C3B-A9E6-760D57BA283F}"/>
    <cellStyle name="Millares 3 2 7 5" xfId="4235" xr:uid="{209339FB-4120-46D6-BDF1-74CA620D4588}"/>
    <cellStyle name="Millares 3 2 8" xfId="628" xr:uid="{F97895D2-F4ED-417E-8414-748EDA71B563}"/>
    <cellStyle name="Millares 3 2 8 2" xfId="1590" xr:uid="{7DBA271E-B933-4ECC-8845-18FFD4967CA7}"/>
    <cellStyle name="Millares 3 2 8 2 2" xfId="3514" xr:uid="{4FFFF3E5-205E-43BB-86B7-8227743E8CE8}"/>
    <cellStyle name="Millares 3 2 8 2 2 2" xfId="7362" xr:uid="{A9FB35DA-035D-4F6E-BD7E-B916759C230B}"/>
    <cellStyle name="Millares 3 2 8 2 3" xfId="5438" xr:uid="{E7A9A1DF-EC70-484A-857C-920FAC0A08E0}"/>
    <cellStyle name="Millares 3 2 8 3" xfId="2552" xr:uid="{EB45671C-54CF-4825-8329-5FB69D2566ED}"/>
    <cellStyle name="Millares 3 2 8 3 2" xfId="6400" xr:uid="{5B243FEE-BBF0-40B2-AA27-D8057F82BBEC}"/>
    <cellStyle name="Millares 3 2 8 4" xfId="4476" xr:uid="{EA5D2336-B055-404A-975C-7C967B06C466}"/>
    <cellStyle name="Millares 3 2 9" xfId="1109" xr:uid="{B873DF73-D410-4A3B-A4DA-88F184A89A3E}"/>
    <cellStyle name="Millares 3 2 9 2" xfId="3033" xr:uid="{76396251-C505-4ED5-B7DB-367C98BE25D1}"/>
    <cellStyle name="Millares 3 2 9 2 2" xfId="6881" xr:uid="{78B206F2-2BE3-4FBC-B9E4-DBD00BD86FEF}"/>
    <cellStyle name="Millares 3 2 9 3" xfId="4957" xr:uid="{BDF0AFDD-6D6D-407C-8D6C-1B8313B9FDB2}"/>
    <cellStyle name="Millares 3 3" xfId="121" xr:uid="{923B6B37-DCE2-4207-8933-47FDF30E62CD}"/>
    <cellStyle name="Millares 3 3 10" xfId="3997" xr:uid="{0E17BEB7-4E0D-48D0-9C91-7355205FB7DA}"/>
    <cellStyle name="Millares 3 3 11" xfId="7871" xr:uid="{F9B5B516-B0D6-4107-8402-22B619B6C71B}"/>
    <cellStyle name="Millares 3 3 2" xfId="107" xr:uid="{B3E641CC-DA7F-4DB4-BA83-150E3E62D0AA}"/>
    <cellStyle name="Millares 3 3 2 10" xfId="2067" xr:uid="{8D7A85A4-9A2D-4BA0-A6C5-AC86454B2AAE}"/>
    <cellStyle name="Millares 3 3 2 10 2" xfId="5915" xr:uid="{6435D1E3-4AC6-451B-970C-A41FEE758C9A}"/>
    <cellStyle name="Millares 3 3 2 11" xfId="3991" xr:uid="{4BED47CD-9351-4C3B-8A5F-6FADD44DBEE5}"/>
    <cellStyle name="Millares 3 3 2 12" xfId="7949" xr:uid="{6D48DA2B-4171-4E73-874C-AD5528FF343C}"/>
    <cellStyle name="Millares 3 3 2 2" xfId="175" xr:uid="{534DED5B-275F-4B26-A179-626F2CAC5687}"/>
    <cellStyle name="Millares 3 3 2 2 2" xfId="209" xr:uid="{82BF3029-D314-4145-AEC2-D66056F13F7D}"/>
    <cellStyle name="Millares 3 3 2 2 2 2" xfId="343" xr:uid="{28201FDF-D080-4928-B67B-E5E8773B48CE}"/>
    <cellStyle name="Millares 3 3 2 2 2 2 2" xfId="594" xr:uid="{E83223F4-FE50-43BB-886F-DC4C201BA9AF}"/>
    <cellStyle name="Millares 3 3 2 2 2 2 2 2" xfId="1075" xr:uid="{4D01814F-12AE-4C8C-A78E-CAF8F23C5C81}"/>
    <cellStyle name="Millares 3 3 2 2 2 2 2 2 2" xfId="2037" xr:uid="{66E03A62-0265-4ACA-A77B-387BA3584804}"/>
    <cellStyle name="Millares 3 3 2 2 2 2 2 2 2 2" xfId="3961" xr:uid="{8D53AFC6-E3E0-4C6D-AE8F-3EC5469214E0}"/>
    <cellStyle name="Millares 3 3 2 2 2 2 2 2 2 2 2" xfId="7809" xr:uid="{96E957AC-FB10-4A58-BC5D-B96A30FA2D30}"/>
    <cellStyle name="Millares 3 3 2 2 2 2 2 2 2 3" xfId="5885" xr:uid="{45AA4D4B-5554-45BD-A7E6-E7F2C3D5505D}"/>
    <cellStyle name="Millares 3 3 2 2 2 2 2 2 3" xfId="2999" xr:uid="{0F2E31CD-DB75-41E5-AB77-79E3CC953C30}"/>
    <cellStyle name="Millares 3 3 2 2 2 2 2 2 3 2" xfId="6847" xr:uid="{2095B880-3396-4DC9-8A96-BCF21F8C3534}"/>
    <cellStyle name="Millares 3 3 2 2 2 2 2 2 4" xfId="4923" xr:uid="{F992233D-9F09-44F1-A369-111BE6A96B44}"/>
    <cellStyle name="Millares 3 3 2 2 2 2 2 3" xfId="1556" xr:uid="{31A2AB2D-8BCF-46FF-B23C-F12FB0CD8B82}"/>
    <cellStyle name="Millares 3 3 2 2 2 2 2 3 2" xfId="3480" xr:uid="{52E7D7C7-6062-4D6B-8865-404977D83F36}"/>
    <cellStyle name="Millares 3 3 2 2 2 2 2 3 2 2" xfId="7328" xr:uid="{3A628EFF-D70B-401D-9BCC-C498D839849F}"/>
    <cellStyle name="Millares 3 3 2 2 2 2 2 3 3" xfId="5404" xr:uid="{C69247D0-9DF4-4C0F-B908-453BE3FFEBEB}"/>
    <cellStyle name="Millares 3 3 2 2 2 2 2 4" xfId="2518" xr:uid="{640BC8BA-F08E-419F-80D2-47D8300F465C}"/>
    <cellStyle name="Millares 3 3 2 2 2 2 2 4 2" xfId="6366" xr:uid="{626A2B64-A3DD-4DBC-938D-5AD7CF657BBD}"/>
    <cellStyle name="Millares 3 3 2 2 2 2 2 5" xfId="4442" xr:uid="{779220A3-77BA-4445-9055-BB675131A435}"/>
    <cellStyle name="Millares 3 3 2 2 2 2 3" xfId="835" xr:uid="{69067967-F7C2-40A5-8C8C-981E8976655D}"/>
    <cellStyle name="Millares 3 3 2 2 2 2 3 2" xfId="1797" xr:uid="{E76D254B-0F05-4194-8A22-C10A46F24760}"/>
    <cellStyle name="Millares 3 3 2 2 2 2 3 2 2" xfId="3721" xr:uid="{695CEA66-074C-48F2-A55D-6AD63C6FE335}"/>
    <cellStyle name="Millares 3 3 2 2 2 2 3 2 2 2" xfId="7569" xr:uid="{5BBAD928-4E3C-4784-ADBD-5164FE8173CE}"/>
    <cellStyle name="Millares 3 3 2 2 2 2 3 2 3" xfId="5645" xr:uid="{23F322CA-DC7B-4E59-80D8-48EB42CCABA1}"/>
    <cellStyle name="Millares 3 3 2 2 2 2 3 3" xfId="2759" xr:uid="{7E42D8F7-4896-4A6F-BCB0-FDF4A9B1008F}"/>
    <cellStyle name="Millares 3 3 2 2 2 2 3 3 2" xfId="6607" xr:uid="{A5C6F70E-6CA4-4F45-ABFE-1ABD2AC5A333}"/>
    <cellStyle name="Millares 3 3 2 2 2 2 3 4" xfId="4683" xr:uid="{D2BD7C88-3882-4CE2-BCC5-A3ADF50EFE35}"/>
    <cellStyle name="Millares 3 3 2 2 2 2 4" xfId="1316" xr:uid="{703408A6-0281-4D35-9DC4-FDC4657B0A17}"/>
    <cellStyle name="Millares 3 3 2 2 2 2 4 2" xfId="3240" xr:uid="{24B93A5E-B6FE-4534-A3DF-0F850F834D1D}"/>
    <cellStyle name="Millares 3 3 2 2 2 2 4 2 2" xfId="7088" xr:uid="{50B9CA15-A96B-4B32-A99D-1352D94EF4E1}"/>
    <cellStyle name="Millares 3 3 2 2 2 2 4 3" xfId="5164" xr:uid="{40635B77-906F-4FB4-83FF-7A12E45842E0}"/>
    <cellStyle name="Millares 3 3 2 2 2 2 5" xfId="2278" xr:uid="{61D3B25E-198C-4257-B672-16E17010A0C3}"/>
    <cellStyle name="Millares 3 3 2 2 2 2 5 2" xfId="6126" xr:uid="{7B7CD9AC-DDFA-4C64-A7D9-02C00FCDD0E8}"/>
    <cellStyle name="Millares 3 3 2 2 2 2 6" xfId="4202" xr:uid="{D29CBBC0-DC4F-44F7-A435-208A6C5E2E2D}"/>
    <cellStyle name="Millares 3 3 2 2 2 3" xfId="462" xr:uid="{A1BA5276-A821-4C87-AA4C-7163DF56992D}"/>
    <cellStyle name="Millares 3 3 2 2 2 3 2" xfId="943" xr:uid="{E7C09FD2-2DBF-4D05-8C13-C03565BDD835}"/>
    <cellStyle name="Millares 3 3 2 2 2 3 2 2" xfId="1905" xr:uid="{588B7789-836C-4027-BBA4-7CBA52707CFA}"/>
    <cellStyle name="Millares 3 3 2 2 2 3 2 2 2" xfId="3829" xr:uid="{985FA0F9-7684-4387-94ED-328A7C9B9081}"/>
    <cellStyle name="Millares 3 3 2 2 2 3 2 2 2 2" xfId="7677" xr:uid="{AE564E8E-C04C-4727-953D-3FC5B07D4A1D}"/>
    <cellStyle name="Millares 3 3 2 2 2 3 2 2 3" xfId="5753" xr:uid="{C916FC8C-9CAB-49F6-9A9B-6984525DFB4B}"/>
    <cellStyle name="Millares 3 3 2 2 2 3 2 3" xfId="2867" xr:uid="{802C2AFA-621B-4429-B390-F3B13CB7B533}"/>
    <cellStyle name="Millares 3 3 2 2 2 3 2 3 2" xfId="6715" xr:uid="{EA822231-ADA6-4DE0-A50E-07906E4045E5}"/>
    <cellStyle name="Millares 3 3 2 2 2 3 2 4" xfId="4791" xr:uid="{694AE4F7-BA2D-4F58-A055-5CB373853739}"/>
    <cellStyle name="Millares 3 3 2 2 2 3 3" xfId="1424" xr:uid="{7FAA9160-49D3-414C-883D-81005567DA46}"/>
    <cellStyle name="Millares 3 3 2 2 2 3 3 2" xfId="3348" xr:uid="{4A9BE137-7025-4599-8F9F-1484BF5C993C}"/>
    <cellStyle name="Millares 3 3 2 2 2 3 3 2 2" xfId="7196" xr:uid="{0D745A12-60A9-4544-863F-9AFBF683991E}"/>
    <cellStyle name="Millares 3 3 2 2 2 3 3 3" xfId="5272" xr:uid="{CB46C2AC-4999-41EB-BF1C-58094D917AC8}"/>
    <cellStyle name="Millares 3 3 2 2 2 3 4" xfId="2386" xr:uid="{8E526480-982F-4774-BD65-0BE3D0B4C48B}"/>
    <cellStyle name="Millares 3 3 2 2 2 3 4 2" xfId="6234" xr:uid="{129B54F7-F495-42AC-8EA8-736833CD0FF4}"/>
    <cellStyle name="Millares 3 3 2 2 2 3 5" xfId="4310" xr:uid="{02811BB4-7792-4AD4-B4F6-820A05FB62FB}"/>
    <cellStyle name="Millares 3 3 2 2 2 4" xfId="703" xr:uid="{5BDF5B71-D8D2-4387-B521-E5BE3332D48E}"/>
    <cellStyle name="Millares 3 3 2 2 2 4 2" xfId="1665" xr:uid="{E8765C7F-3820-4FD2-AB2B-2FF29566B938}"/>
    <cellStyle name="Millares 3 3 2 2 2 4 2 2" xfId="3589" xr:uid="{CE1626BD-63EF-4BEB-A95E-7F91E66EF99A}"/>
    <cellStyle name="Millares 3 3 2 2 2 4 2 2 2" xfId="7437" xr:uid="{25563903-B0F9-4C9D-B045-6F01D7011BA5}"/>
    <cellStyle name="Millares 3 3 2 2 2 4 2 3" xfId="5513" xr:uid="{D4A592E5-B8D9-4B93-90C8-8F3F3714C02A}"/>
    <cellStyle name="Millares 3 3 2 2 2 4 3" xfId="2627" xr:uid="{49D5602E-74D8-4A21-A0D2-AEB7D690C0C0}"/>
    <cellStyle name="Millares 3 3 2 2 2 4 3 2" xfId="6475" xr:uid="{035A88EF-61FE-4CCC-8695-60BF830FBF3A}"/>
    <cellStyle name="Millares 3 3 2 2 2 4 4" xfId="4551" xr:uid="{1863B47D-3E42-45E6-BA18-A72EAAFCB7C7}"/>
    <cellStyle name="Millares 3 3 2 2 2 5" xfId="1184" xr:uid="{CB7E4B30-0F2F-4AE2-AFEB-D55EC84644DC}"/>
    <cellStyle name="Millares 3 3 2 2 2 5 2" xfId="3108" xr:uid="{3CE5B2F3-9886-41DB-8EB2-76CCC189BD7D}"/>
    <cellStyle name="Millares 3 3 2 2 2 5 2 2" xfId="6956" xr:uid="{D7F445FF-ED72-48A2-A98A-0221A8508D59}"/>
    <cellStyle name="Millares 3 3 2 2 2 5 3" xfId="5032" xr:uid="{7CC33251-1CE2-4056-B1CE-4C1D4876AED7}"/>
    <cellStyle name="Millares 3 3 2 2 2 6" xfId="2146" xr:uid="{3A53F3F7-C650-4137-93D3-4588A49987FE}"/>
    <cellStyle name="Millares 3 3 2 2 2 6 2" xfId="5994" xr:uid="{8419B505-8D5A-4D17-86FF-1C8F19BBC7FE}"/>
    <cellStyle name="Millares 3 3 2 2 2 7" xfId="4070" xr:uid="{6FEE6EA4-D7F0-470F-8643-C47F331E152F}"/>
    <cellStyle name="Millares 3 3 2 2 3" xfId="310" xr:uid="{F24CC334-7F8C-43FB-A8CB-7E0BDDAF621A}"/>
    <cellStyle name="Millares 3 3 2 2 3 2" xfId="561" xr:uid="{54F6D6C5-FF59-4915-8C70-CF6D6254419C}"/>
    <cellStyle name="Millares 3 3 2 2 3 2 2" xfId="1042" xr:uid="{6FF9B63E-2AF6-4062-9915-86EBD5FF18BB}"/>
    <cellStyle name="Millares 3 3 2 2 3 2 2 2" xfId="2004" xr:uid="{44B73EBA-79D1-4701-A6E1-6D203D3BF659}"/>
    <cellStyle name="Millares 3 3 2 2 3 2 2 2 2" xfId="3928" xr:uid="{DEFDD445-AE8D-4372-8E7F-AEDB973DA14F}"/>
    <cellStyle name="Millares 3 3 2 2 3 2 2 2 2 2" xfId="7776" xr:uid="{2D1763EF-2C0B-4153-9FEE-87EACA1C9CF9}"/>
    <cellStyle name="Millares 3 3 2 2 3 2 2 2 3" xfId="5852" xr:uid="{1CF3E30C-311D-44EF-8668-49A34C6EF5EE}"/>
    <cellStyle name="Millares 3 3 2 2 3 2 2 3" xfId="2966" xr:uid="{867D04CE-5924-4311-A975-649517177173}"/>
    <cellStyle name="Millares 3 3 2 2 3 2 2 3 2" xfId="6814" xr:uid="{9D4AAB91-F995-499A-BA44-007D14347CE5}"/>
    <cellStyle name="Millares 3 3 2 2 3 2 2 4" xfId="4890" xr:uid="{E432F8FD-697F-4821-A6D3-8816AAFA8228}"/>
    <cellStyle name="Millares 3 3 2 2 3 2 3" xfId="1523" xr:uid="{AEB141BE-8E44-463C-A312-86639E929D78}"/>
    <cellStyle name="Millares 3 3 2 2 3 2 3 2" xfId="3447" xr:uid="{D0682ACC-9779-4EE6-B51E-0E6016AF921C}"/>
    <cellStyle name="Millares 3 3 2 2 3 2 3 2 2" xfId="7295" xr:uid="{93F55B2B-E8BA-4ACB-AFA7-5EA206BC66A0}"/>
    <cellStyle name="Millares 3 3 2 2 3 2 3 3" xfId="5371" xr:uid="{17990769-D988-4208-8455-8B6544A14335}"/>
    <cellStyle name="Millares 3 3 2 2 3 2 4" xfId="2485" xr:uid="{0D01BBD2-E52A-4010-B300-2612B13800F9}"/>
    <cellStyle name="Millares 3 3 2 2 3 2 4 2" xfId="6333" xr:uid="{E0233ED2-1406-4B48-BD80-9A27E16EF200}"/>
    <cellStyle name="Millares 3 3 2 2 3 2 5" xfId="4409" xr:uid="{AA358662-412D-4218-96C2-590FEA76117B}"/>
    <cellStyle name="Millares 3 3 2 2 3 3" xfId="802" xr:uid="{9A4F747F-F4B9-444D-B9F8-BECAF11ECE0E}"/>
    <cellStyle name="Millares 3 3 2 2 3 3 2" xfId="1764" xr:uid="{1070FF81-D26C-415D-8DF6-37F05319E6F4}"/>
    <cellStyle name="Millares 3 3 2 2 3 3 2 2" xfId="3688" xr:uid="{C3E9675A-3E67-4B18-8C6F-23254C0DF477}"/>
    <cellStyle name="Millares 3 3 2 2 3 3 2 2 2" xfId="7536" xr:uid="{6AC9D7FB-5B98-4CC5-9B8D-CBE2A3357224}"/>
    <cellStyle name="Millares 3 3 2 2 3 3 2 3" xfId="5612" xr:uid="{4BCF5AC0-5185-4D6A-A7AC-6C4AF82E771D}"/>
    <cellStyle name="Millares 3 3 2 2 3 3 3" xfId="2726" xr:uid="{FCB48336-1742-4C09-9946-E13EB38BC38F}"/>
    <cellStyle name="Millares 3 3 2 2 3 3 3 2" xfId="6574" xr:uid="{087F398B-A304-4884-9D69-DF455369EF1E}"/>
    <cellStyle name="Millares 3 3 2 2 3 3 4" xfId="4650" xr:uid="{33FFB805-E137-4A15-A130-BBDA089ACBE7}"/>
    <cellStyle name="Millares 3 3 2 2 3 4" xfId="1283" xr:uid="{ACFB7B78-AC98-473B-8564-30ECBEF1AA2D}"/>
    <cellStyle name="Millares 3 3 2 2 3 4 2" xfId="3207" xr:uid="{5001D39C-5384-4156-A903-3951A851DA91}"/>
    <cellStyle name="Millares 3 3 2 2 3 4 2 2" xfId="7055" xr:uid="{7A970443-E3A8-44F6-B4DA-0AD1BD1F28DF}"/>
    <cellStyle name="Millares 3 3 2 2 3 4 3" xfId="5131" xr:uid="{D28110A3-618C-45D3-A61C-9B34A49C7B49}"/>
    <cellStyle name="Millares 3 3 2 2 3 5" xfId="2245" xr:uid="{3BA6EF7F-54DE-45FA-BB31-5228FE2DF8E3}"/>
    <cellStyle name="Millares 3 3 2 2 3 5 2" xfId="6093" xr:uid="{9F0C3DAE-263D-42E2-BF4E-FF737A0931DA}"/>
    <cellStyle name="Millares 3 3 2 2 3 6" xfId="4169" xr:uid="{CADA1741-8811-4916-A306-57CC67A21FBF}"/>
    <cellStyle name="Millares 3 3 2 2 4" xfId="243" xr:uid="{4336640E-F23B-47FD-A653-2112044185A5}"/>
    <cellStyle name="Millares 3 3 2 2 4 2" xfId="495" xr:uid="{38C16C72-D28B-4AB9-9283-13E40B1E0B40}"/>
    <cellStyle name="Millares 3 3 2 2 4 2 2" xfId="976" xr:uid="{CB36C99E-5BEB-4AC5-9C64-37857799358B}"/>
    <cellStyle name="Millares 3 3 2 2 4 2 2 2" xfId="1938" xr:uid="{1133185D-8C78-4FBE-9449-A756F45BFE1B}"/>
    <cellStyle name="Millares 3 3 2 2 4 2 2 2 2" xfId="3862" xr:uid="{138DC74A-7F1E-4C5C-9EB8-45DA65E4A420}"/>
    <cellStyle name="Millares 3 3 2 2 4 2 2 2 2 2" xfId="7710" xr:uid="{80643767-34B0-4DAF-B471-2B97B11D915A}"/>
    <cellStyle name="Millares 3 3 2 2 4 2 2 2 3" xfId="5786" xr:uid="{293ABFBC-9406-4433-A25C-FF1816E3163D}"/>
    <cellStyle name="Millares 3 3 2 2 4 2 2 3" xfId="2900" xr:uid="{33D4ADFC-39FA-4E3B-9E99-675264BBD57C}"/>
    <cellStyle name="Millares 3 3 2 2 4 2 2 3 2" xfId="6748" xr:uid="{B2BD3E9E-A0C8-42E4-B76C-39D78A227B48}"/>
    <cellStyle name="Millares 3 3 2 2 4 2 2 4" xfId="4824" xr:uid="{D6DC5F9F-6180-48AB-A96A-284EE733C75B}"/>
    <cellStyle name="Millares 3 3 2 2 4 2 3" xfId="1457" xr:uid="{FE4FA0C7-F5FE-4B77-BE38-401D42EB346D}"/>
    <cellStyle name="Millares 3 3 2 2 4 2 3 2" xfId="3381" xr:uid="{F5780530-DBD0-4B60-A46B-BBF2577F0265}"/>
    <cellStyle name="Millares 3 3 2 2 4 2 3 2 2" xfId="7229" xr:uid="{376EB2AD-3F10-42D9-9FEC-E4FF45704859}"/>
    <cellStyle name="Millares 3 3 2 2 4 2 3 3" xfId="5305" xr:uid="{6675808E-B0FD-4E7C-A99C-52C9C8AB2745}"/>
    <cellStyle name="Millares 3 3 2 2 4 2 4" xfId="2419" xr:uid="{90197583-4B9A-4DEE-97C8-CC4C3190F7F0}"/>
    <cellStyle name="Millares 3 3 2 2 4 2 4 2" xfId="6267" xr:uid="{2A15E8C4-C55C-4871-A867-ACB45BB454CB}"/>
    <cellStyle name="Millares 3 3 2 2 4 2 5" xfId="4343" xr:uid="{CDFD40AF-4F11-491C-B349-67CB99007550}"/>
    <cellStyle name="Millares 3 3 2 2 4 3" xfId="736" xr:uid="{E88781DF-0540-417A-9779-45ED65136128}"/>
    <cellStyle name="Millares 3 3 2 2 4 3 2" xfId="1698" xr:uid="{D7BF1C81-4E97-4622-B358-6228A3DC67CE}"/>
    <cellStyle name="Millares 3 3 2 2 4 3 2 2" xfId="3622" xr:uid="{F4CFD701-1C01-4AE2-AE4A-ABC20713A354}"/>
    <cellStyle name="Millares 3 3 2 2 4 3 2 2 2" xfId="7470" xr:uid="{96EFC399-9AF7-4AA6-91D0-61DD7816F71E}"/>
    <cellStyle name="Millares 3 3 2 2 4 3 2 3" xfId="5546" xr:uid="{BD916680-BF69-49B0-9624-468A3F05BBC0}"/>
    <cellStyle name="Millares 3 3 2 2 4 3 3" xfId="2660" xr:uid="{EF7D5508-8E9A-4448-B8FA-8C1EAFC2FE47}"/>
    <cellStyle name="Millares 3 3 2 2 4 3 3 2" xfId="6508" xr:uid="{8F77742D-BD29-4DC2-8964-3FDE6D8AD6AF}"/>
    <cellStyle name="Millares 3 3 2 2 4 3 4" xfId="4584" xr:uid="{D1B4CFDB-1D70-4D8D-B2CD-4773E666C656}"/>
    <cellStyle name="Millares 3 3 2 2 4 4" xfId="1217" xr:uid="{F4A41A16-C533-4A2E-A326-3DE97E6F3C49}"/>
    <cellStyle name="Millares 3 3 2 2 4 4 2" xfId="3141" xr:uid="{DFF1FCF7-04EC-4BF6-9A26-770D53FD4D8A}"/>
    <cellStyle name="Millares 3 3 2 2 4 4 2 2" xfId="6989" xr:uid="{5CDF6C81-DF1D-4D3A-8486-EF381835EDE3}"/>
    <cellStyle name="Millares 3 3 2 2 4 4 3" xfId="5065" xr:uid="{7FB36E53-7E14-4074-A59B-CEE429E97650}"/>
    <cellStyle name="Millares 3 3 2 2 4 5" xfId="2179" xr:uid="{D0BCB3A4-C9E4-411D-91A3-66BEE32B40A9}"/>
    <cellStyle name="Millares 3 3 2 2 4 5 2" xfId="6027" xr:uid="{F30C97A9-B9F5-4B7F-A080-495FE47894C1}"/>
    <cellStyle name="Millares 3 3 2 2 4 6" xfId="4103" xr:uid="{000A5697-81EE-4A2C-A9BA-42BCEDABA04E}"/>
    <cellStyle name="Millares 3 3 2 2 5" xfId="429" xr:uid="{E455CAE1-B25C-4F16-804B-1DCF9703E25C}"/>
    <cellStyle name="Millares 3 3 2 2 5 2" xfId="910" xr:uid="{9E3B2BE6-6ABB-4365-8B08-C7E4084E0C94}"/>
    <cellStyle name="Millares 3 3 2 2 5 2 2" xfId="1872" xr:uid="{3017FB50-D672-479F-904F-CFBCFC400D2E}"/>
    <cellStyle name="Millares 3 3 2 2 5 2 2 2" xfId="3796" xr:uid="{E81D6E27-42D5-4B15-9F52-2E9490F46824}"/>
    <cellStyle name="Millares 3 3 2 2 5 2 2 2 2" xfId="7644" xr:uid="{FCB3C182-4662-4FAC-B902-15A5A6F7FDFE}"/>
    <cellStyle name="Millares 3 3 2 2 5 2 2 3" xfId="5720" xr:uid="{447596E0-AF72-4E18-8AB4-A91DD575FC94}"/>
    <cellStyle name="Millares 3 3 2 2 5 2 3" xfId="2834" xr:uid="{E7345BE4-F05D-485F-9E6A-90CA774C0168}"/>
    <cellStyle name="Millares 3 3 2 2 5 2 3 2" xfId="6682" xr:uid="{EFE386DD-2D02-4E5D-ADEB-F848C4AACCF0}"/>
    <cellStyle name="Millares 3 3 2 2 5 2 4" xfId="4758" xr:uid="{5218CC1D-EF2E-4CAD-A416-93B1F52D9C06}"/>
    <cellStyle name="Millares 3 3 2 2 5 3" xfId="1391" xr:uid="{37C70D83-766D-435B-9252-81174FB12DA3}"/>
    <cellStyle name="Millares 3 3 2 2 5 3 2" xfId="3315" xr:uid="{118E0E98-1BDD-4F39-811C-4B4778419658}"/>
    <cellStyle name="Millares 3 3 2 2 5 3 2 2" xfId="7163" xr:uid="{9DCDD350-B733-4983-A863-45A0DD072F44}"/>
    <cellStyle name="Millares 3 3 2 2 5 3 3" xfId="5239" xr:uid="{B6110D91-34CB-4E42-A042-163E2E85956E}"/>
    <cellStyle name="Millares 3 3 2 2 5 4" xfId="2353" xr:uid="{C3A7C51E-7215-4BB7-9EF2-632C5AEFE64C}"/>
    <cellStyle name="Millares 3 3 2 2 5 4 2" xfId="6201" xr:uid="{0FB399F2-3845-445E-9F87-FBC6B51AE610}"/>
    <cellStyle name="Millares 3 3 2 2 5 5" xfId="4277" xr:uid="{BB626227-CFAA-4103-B0CE-FB38CCE72101}"/>
    <cellStyle name="Millares 3 3 2 2 6" xfId="670" xr:uid="{3ED0EDAC-E96A-444B-9AAE-1D078D0BA7B1}"/>
    <cellStyle name="Millares 3 3 2 2 6 2" xfId="1632" xr:uid="{B742B0E9-CC58-4401-8CA5-18DEC60B0943}"/>
    <cellStyle name="Millares 3 3 2 2 6 2 2" xfId="3556" xr:uid="{703DF111-4D60-47B5-BACA-206E8818EF1F}"/>
    <cellStyle name="Millares 3 3 2 2 6 2 2 2" xfId="7404" xr:uid="{B2EF9A60-7A16-49CC-8C54-820AEB163621}"/>
    <cellStyle name="Millares 3 3 2 2 6 2 3" xfId="5480" xr:uid="{18A20D8B-A0EA-40B8-B2CA-21A5315B8228}"/>
    <cellStyle name="Millares 3 3 2 2 6 3" xfId="2594" xr:uid="{E036B169-7B0A-4B28-BA91-D78EA796A215}"/>
    <cellStyle name="Millares 3 3 2 2 6 3 2" xfId="6442" xr:uid="{A358057E-EB30-4975-899D-07A018A03C2C}"/>
    <cellStyle name="Millares 3 3 2 2 6 4" xfId="4518" xr:uid="{C21CDB7E-8D8E-4300-AAB6-D2E41D53EE4B}"/>
    <cellStyle name="Millares 3 3 2 2 7" xfId="1151" xr:uid="{6DEC55C7-CB6A-4301-9450-F53D77A607E7}"/>
    <cellStyle name="Millares 3 3 2 2 7 2" xfId="3075" xr:uid="{998E37E9-A58E-4018-B1B5-46FCDB85230D}"/>
    <cellStyle name="Millares 3 3 2 2 7 2 2" xfId="6923" xr:uid="{DF569D9B-CB4E-4BB8-9FB4-23CDCC35BC72}"/>
    <cellStyle name="Millares 3 3 2 2 7 3" xfId="4999" xr:uid="{970B7A2C-B5EF-44BC-97F9-2FEFFDFD85B1}"/>
    <cellStyle name="Millares 3 3 2 2 8" xfId="2113" xr:uid="{79D14044-B778-4068-B20B-20AE684787E4}"/>
    <cellStyle name="Millares 3 3 2 2 8 2" xfId="5961" xr:uid="{415A1580-9073-4C05-AC12-BF3C1998EFCC}"/>
    <cellStyle name="Millares 3 3 2 2 9" xfId="4037" xr:uid="{E7F846E8-D446-4E40-B14F-E49A127DFB90}"/>
    <cellStyle name="Millares 3 3 2 3" xfId="155" xr:uid="{485EB321-5EA7-4431-86FB-230C4094B050}"/>
    <cellStyle name="Millares 3 3 2 3 2" xfId="293" xr:uid="{3E39A863-9C9E-4F38-B812-B0750B388211}"/>
    <cellStyle name="Millares 3 3 2 3 2 2" xfId="544" xr:uid="{9E37E7D3-2126-4D9E-A6A2-235B33B35E35}"/>
    <cellStyle name="Millares 3 3 2 3 2 2 2" xfId="1025" xr:uid="{283AB1C4-DD63-46F2-80C5-5A1D20B7E47B}"/>
    <cellStyle name="Millares 3 3 2 3 2 2 2 2" xfId="1987" xr:uid="{17317AED-2CCA-4115-A9BB-7E27434501B0}"/>
    <cellStyle name="Millares 3 3 2 3 2 2 2 2 2" xfId="3911" xr:uid="{AE6E17BE-3BBB-468E-9BB7-CD5D4B140506}"/>
    <cellStyle name="Millares 3 3 2 3 2 2 2 2 2 2" xfId="7759" xr:uid="{8AD7C5FE-8E5A-4048-BB65-5B8EF3377CAA}"/>
    <cellStyle name="Millares 3 3 2 3 2 2 2 2 3" xfId="5835" xr:uid="{71857DEA-9FC0-4F14-B537-EA56D3350448}"/>
    <cellStyle name="Millares 3 3 2 3 2 2 2 3" xfId="2949" xr:uid="{7335A584-629B-4F5A-B7AF-A40F6285BC58}"/>
    <cellStyle name="Millares 3 3 2 3 2 2 2 3 2" xfId="6797" xr:uid="{F3096524-BAF2-4669-B180-2C9EFBCCF9E3}"/>
    <cellStyle name="Millares 3 3 2 3 2 2 2 4" xfId="4873" xr:uid="{70421DF9-451E-43B2-A651-521CB3410C39}"/>
    <cellStyle name="Millares 3 3 2 3 2 2 3" xfId="1506" xr:uid="{9EDAE799-601E-4E77-8D28-42866859BC88}"/>
    <cellStyle name="Millares 3 3 2 3 2 2 3 2" xfId="3430" xr:uid="{D90A9822-B1D9-4E7D-9C26-BA8FC9A72903}"/>
    <cellStyle name="Millares 3 3 2 3 2 2 3 2 2" xfId="7278" xr:uid="{603D52B8-518C-4511-B1E6-79D8589CFD71}"/>
    <cellStyle name="Millares 3 3 2 3 2 2 3 3" xfId="5354" xr:uid="{7C5EF978-B080-41E0-B138-DA80D9ECA974}"/>
    <cellStyle name="Millares 3 3 2 3 2 2 4" xfId="2468" xr:uid="{CB97A4D8-750E-45B3-B337-92CE7B17E0B9}"/>
    <cellStyle name="Millares 3 3 2 3 2 2 4 2" xfId="6316" xr:uid="{306ABB24-AFC3-48F6-B26E-35ADA8790FAD}"/>
    <cellStyle name="Millares 3 3 2 3 2 2 5" xfId="4392" xr:uid="{AF3AF589-517C-4FD0-9A09-9A15CEE6CC4E}"/>
    <cellStyle name="Millares 3 3 2 3 2 3" xfId="785" xr:uid="{0CED4C0C-8017-405C-9A08-2F39A588B057}"/>
    <cellStyle name="Millares 3 3 2 3 2 3 2" xfId="1747" xr:uid="{9A995077-2C20-4DDC-974D-37AD40A5AE63}"/>
    <cellStyle name="Millares 3 3 2 3 2 3 2 2" xfId="3671" xr:uid="{623519D2-2551-4D02-BADE-D118A22ADFF4}"/>
    <cellStyle name="Millares 3 3 2 3 2 3 2 2 2" xfId="7519" xr:uid="{72C4D175-CE84-4E1C-BC04-4C726CA6D5D4}"/>
    <cellStyle name="Millares 3 3 2 3 2 3 2 3" xfId="5595" xr:uid="{B6EF1E09-EA92-43D2-96A1-037DB21ED1A2}"/>
    <cellStyle name="Millares 3 3 2 3 2 3 3" xfId="2709" xr:uid="{F486F56F-F633-45A9-B9D5-8B4B5A5BAA6F}"/>
    <cellStyle name="Millares 3 3 2 3 2 3 3 2" xfId="6557" xr:uid="{8A5F943E-D5D7-4A6B-85F2-A293AAC6EE7D}"/>
    <cellStyle name="Millares 3 3 2 3 2 3 4" xfId="4633" xr:uid="{14EBD6C7-9F65-47E1-A061-F7252ACC0C8F}"/>
    <cellStyle name="Millares 3 3 2 3 2 4" xfId="1266" xr:uid="{4197D22C-10DF-4EC0-A98E-33D43BAC9647}"/>
    <cellStyle name="Millares 3 3 2 3 2 4 2" xfId="3190" xr:uid="{EDCD5E25-A4D6-472A-A27A-EBF7F60FC0CB}"/>
    <cellStyle name="Millares 3 3 2 3 2 4 2 2" xfId="7038" xr:uid="{D50E7804-F630-44E9-8ED9-E09AFEEF0E27}"/>
    <cellStyle name="Millares 3 3 2 3 2 4 3" xfId="5114" xr:uid="{EB9A0953-F3DC-43B9-8BC0-EFA9182CACF2}"/>
    <cellStyle name="Millares 3 3 2 3 2 5" xfId="2228" xr:uid="{FE47A17A-0815-4159-9266-A972B1125A72}"/>
    <cellStyle name="Millares 3 3 2 3 2 5 2" xfId="6076" xr:uid="{3696D502-E59F-4E2B-812C-A2039F5A4749}"/>
    <cellStyle name="Millares 3 3 2 3 2 6" xfId="4152" xr:uid="{5D60F34D-BBF5-4B16-B84B-250AD7B35E92}"/>
    <cellStyle name="Millares 3 3 2 3 3" xfId="412" xr:uid="{B9145174-340C-42D3-B898-1DE90A95A9C2}"/>
    <cellStyle name="Millares 3 3 2 3 3 2" xfId="893" xr:uid="{35E5D614-9B2C-4066-A59C-2A89838C1F55}"/>
    <cellStyle name="Millares 3 3 2 3 3 2 2" xfId="1855" xr:uid="{3AF670A3-8AF4-430F-9AA9-3DF5699C3381}"/>
    <cellStyle name="Millares 3 3 2 3 3 2 2 2" xfId="3779" xr:uid="{D832E299-2EA6-4437-902B-E034D3F00497}"/>
    <cellStyle name="Millares 3 3 2 3 3 2 2 2 2" xfId="7627" xr:uid="{1D274067-027A-43CC-AF18-81ABB3C1361B}"/>
    <cellStyle name="Millares 3 3 2 3 3 2 2 3" xfId="5703" xr:uid="{D8839C7B-80B9-4596-8CBF-99F12295BD3F}"/>
    <cellStyle name="Millares 3 3 2 3 3 2 3" xfId="2817" xr:uid="{4700CD88-FB46-4267-9C1A-00200CADC5F1}"/>
    <cellStyle name="Millares 3 3 2 3 3 2 3 2" xfId="6665" xr:uid="{4D69C6AD-F72C-4B5B-9A77-93E8D00DFB50}"/>
    <cellStyle name="Millares 3 3 2 3 3 2 4" xfId="4741" xr:uid="{B37CACB2-3BB8-43E3-B269-E1B7EA176A80}"/>
    <cellStyle name="Millares 3 3 2 3 3 3" xfId="1374" xr:uid="{2B2F31D1-B4CD-49EB-91E5-3547781159CB}"/>
    <cellStyle name="Millares 3 3 2 3 3 3 2" xfId="3298" xr:uid="{7954C91E-93D2-4478-BCB5-1F702DA8D52D}"/>
    <cellStyle name="Millares 3 3 2 3 3 3 2 2" xfId="7146" xr:uid="{21B18CD0-AB7E-4098-B351-D93CB6B898E6}"/>
    <cellStyle name="Millares 3 3 2 3 3 3 3" xfId="5222" xr:uid="{447EA971-7610-4921-9C97-879B4A0EF2EE}"/>
    <cellStyle name="Millares 3 3 2 3 3 4" xfId="2336" xr:uid="{C576E948-5F8B-44C3-A6CC-0255EE3495FB}"/>
    <cellStyle name="Millares 3 3 2 3 3 4 2" xfId="6184" xr:uid="{B2EDFACB-9EE0-44FE-8A8F-1D763DCA1210}"/>
    <cellStyle name="Millares 3 3 2 3 3 5" xfId="4260" xr:uid="{503EFDC8-FEDA-4A9C-9932-4869E4E1EC21}"/>
    <cellStyle name="Millares 3 3 2 3 4" xfId="653" xr:uid="{E834FED1-03A4-4634-98B6-48F074E7145F}"/>
    <cellStyle name="Millares 3 3 2 3 4 2" xfId="1615" xr:uid="{1DF97EAD-FA32-4136-8734-48EF17E28400}"/>
    <cellStyle name="Millares 3 3 2 3 4 2 2" xfId="3539" xr:uid="{D0CEEC86-1AEA-46CA-89E5-4CFAE01ECC56}"/>
    <cellStyle name="Millares 3 3 2 3 4 2 2 2" xfId="7387" xr:uid="{3C09E328-0300-440B-9801-90F21DF52F0A}"/>
    <cellStyle name="Millares 3 3 2 3 4 2 3" xfId="5463" xr:uid="{A8255172-AE89-4137-B3B9-CE4CD578545E}"/>
    <cellStyle name="Millares 3 3 2 3 4 3" xfId="2577" xr:uid="{5DC5FA37-6D0B-4318-AF88-D65F01F245C6}"/>
    <cellStyle name="Millares 3 3 2 3 4 3 2" xfId="6425" xr:uid="{87EE2729-02A2-4408-955E-2787BDFD7A90}"/>
    <cellStyle name="Millares 3 3 2 3 4 4" xfId="4501" xr:uid="{496E36E3-0057-4AC4-B5AD-25F08BCFBBE6}"/>
    <cellStyle name="Millares 3 3 2 3 5" xfId="1134" xr:uid="{C3E78BF6-8566-48C7-9838-605F017A83D9}"/>
    <cellStyle name="Millares 3 3 2 3 5 2" xfId="3058" xr:uid="{69934AAE-52CD-4459-8C95-5D20653A0663}"/>
    <cellStyle name="Millares 3 3 2 3 5 2 2" xfId="6906" xr:uid="{61D5451E-E255-4189-8EA3-646BDC371240}"/>
    <cellStyle name="Millares 3 3 2 3 5 3" xfId="4982" xr:uid="{79BCB637-5D3A-4490-BBD4-35DB674EAA49}"/>
    <cellStyle name="Millares 3 3 2 3 6" xfId="2096" xr:uid="{FAF2EC6C-201B-4771-8A49-416C2F8A548A}"/>
    <cellStyle name="Millares 3 3 2 3 6 2" xfId="5944" xr:uid="{FB099A73-5E66-4BB4-82B5-174FF4F1BD57}"/>
    <cellStyle name="Millares 3 3 2 3 7" xfId="4020" xr:uid="{C5A726CE-9E39-4329-9E04-3A4AE17FDCDA}"/>
    <cellStyle name="Millares 3 3 2 4" xfId="192" xr:uid="{A6FB7806-C1DA-469C-9468-7DD8390CC5C2}"/>
    <cellStyle name="Millares 3 3 2 4 2" xfId="326" xr:uid="{DF9F9106-FF21-41E4-858C-06D62D475980}"/>
    <cellStyle name="Millares 3 3 2 4 2 2" xfId="577" xr:uid="{B4A65733-7BCD-4106-8CDD-293A20C295EE}"/>
    <cellStyle name="Millares 3 3 2 4 2 2 2" xfId="1058" xr:uid="{454A165E-2C5B-4893-A439-4F458942D4DE}"/>
    <cellStyle name="Millares 3 3 2 4 2 2 2 2" xfId="2020" xr:uid="{DDB8E656-8570-43C0-B71A-2D365203879D}"/>
    <cellStyle name="Millares 3 3 2 4 2 2 2 2 2" xfId="3944" xr:uid="{D29F9498-8932-4217-B743-041C653C4E92}"/>
    <cellStyle name="Millares 3 3 2 4 2 2 2 2 2 2" xfId="7792" xr:uid="{3E444256-B82E-438B-835F-793B5B73692B}"/>
    <cellStyle name="Millares 3 3 2 4 2 2 2 2 3" xfId="5868" xr:uid="{AA3788F9-A098-4C91-8957-04CDDF8FF82A}"/>
    <cellStyle name="Millares 3 3 2 4 2 2 2 3" xfId="2982" xr:uid="{B49A1ED6-6B6D-4289-A892-F9DFB3B687BF}"/>
    <cellStyle name="Millares 3 3 2 4 2 2 2 3 2" xfId="6830" xr:uid="{44F6CE3A-47B1-4C72-93C5-4C32E57C5491}"/>
    <cellStyle name="Millares 3 3 2 4 2 2 2 4" xfId="4906" xr:uid="{04AC1CAF-1196-411F-AE55-45FA5A0DB996}"/>
    <cellStyle name="Millares 3 3 2 4 2 2 3" xfId="1539" xr:uid="{8ED2DB4A-6C53-46BA-AD24-5A7D84E9BC5B}"/>
    <cellStyle name="Millares 3 3 2 4 2 2 3 2" xfId="3463" xr:uid="{5BA95B8A-7E03-4976-9C81-09D8F70AEC76}"/>
    <cellStyle name="Millares 3 3 2 4 2 2 3 2 2" xfId="7311" xr:uid="{4EFB79F8-6C19-438C-AE34-9862F82C656B}"/>
    <cellStyle name="Millares 3 3 2 4 2 2 3 3" xfId="5387" xr:uid="{02533462-A04D-42BC-8EB1-362B5E090DAA}"/>
    <cellStyle name="Millares 3 3 2 4 2 2 4" xfId="2501" xr:uid="{4B32A240-3762-4C75-981D-722C40754C76}"/>
    <cellStyle name="Millares 3 3 2 4 2 2 4 2" xfId="6349" xr:uid="{87D6662C-03A4-4F50-9CAC-CEC22730B4FA}"/>
    <cellStyle name="Millares 3 3 2 4 2 2 5" xfId="4425" xr:uid="{5E0BC534-E53C-4057-ADB8-3E929C3A3667}"/>
    <cellStyle name="Millares 3 3 2 4 2 3" xfId="818" xr:uid="{FE245434-2E7E-4A7D-86D1-EF51D46BEB7C}"/>
    <cellStyle name="Millares 3 3 2 4 2 3 2" xfId="1780" xr:uid="{9061F07A-EA74-4A69-BC58-BAF7797B2284}"/>
    <cellStyle name="Millares 3 3 2 4 2 3 2 2" xfId="3704" xr:uid="{A040CA29-60A1-48F7-8CA4-BBF733B0FFD5}"/>
    <cellStyle name="Millares 3 3 2 4 2 3 2 2 2" xfId="7552" xr:uid="{20E4E4C9-6436-4076-A44D-4D223AAA8431}"/>
    <cellStyle name="Millares 3 3 2 4 2 3 2 3" xfId="5628" xr:uid="{6E450FE7-3924-48BF-890B-5E71A74B6C32}"/>
    <cellStyle name="Millares 3 3 2 4 2 3 3" xfId="2742" xr:uid="{6600CB14-17FF-4A58-935A-3D248C98FA36}"/>
    <cellStyle name="Millares 3 3 2 4 2 3 3 2" xfId="6590" xr:uid="{BC239E5B-9C82-4297-A213-544076B230B7}"/>
    <cellStyle name="Millares 3 3 2 4 2 3 4" xfId="4666" xr:uid="{73EF9055-4A1C-4EEA-BB27-64FAB6B969BB}"/>
    <cellStyle name="Millares 3 3 2 4 2 4" xfId="1299" xr:uid="{2414E5C5-391A-47DC-85E0-09A6A91E60EC}"/>
    <cellStyle name="Millares 3 3 2 4 2 4 2" xfId="3223" xr:uid="{E26D2164-6670-46C4-B24D-E2293D9AB429}"/>
    <cellStyle name="Millares 3 3 2 4 2 4 2 2" xfId="7071" xr:uid="{7ADB0D0E-3947-417B-AF5A-BDC04AA483CC}"/>
    <cellStyle name="Millares 3 3 2 4 2 4 3" xfId="5147" xr:uid="{D23732C3-78B7-4A0B-8981-4849CA9EC4BB}"/>
    <cellStyle name="Millares 3 3 2 4 2 5" xfId="2261" xr:uid="{69CF7623-66AB-479A-A19E-2B8B72732DBD}"/>
    <cellStyle name="Millares 3 3 2 4 2 5 2" xfId="6109" xr:uid="{EDE608E7-FCE0-4CED-944C-FBABEC2E733F}"/>
    <cellStyle name="Millares 3 3 2 4 2 6" xfId="4185" xr:uid="{B658A4CB-F369-46C1-8C79-07B73F372E37}"/>
    <cellStyle name="Millares 3 3 2 4 3" xfId="445" xr:uid="{CD2C9F48-4983-46B7-BC9B-8E07B4E2393B}"/>
    <cellStyle name="Millares 3 3 2 4 3 2" xfId="926" xr:uid="{FC06AED5-685D-4710-AC1B-83E351F800FC}"/>
    <cellStyle name="Millares 3 3 2 4 3 2 2" xfId="1888" xr:uid="{68B4D837-71E5-4030-8898-0DCA63796188}"/>
    <cellStyle name="Millares 3 3 2 4 3 2 2 2" xfId="3812" xr:uid="{016EA570-1F83-466F-B380-B920CDFB4833}"/>
    <cellStyle name="Millares 3 3 2 4 3 2 2 2 2" xfId="7660" xr:uid="{4A722A0F-B2E4-4AF6-AA3A-721F8DB1AAB6}"/>
    <cellStyle name="Millares 3 3 2 4 3 2 2 3" xfId="5736" xr:uid="{39CF3608-B2D8-4990-804C-A4C3A3328181}"/>
    <cellStyle name="Millares 3 3 2 4 3 2 3" xfId="2850" xr:uid="{65A81BAE-7DE0-47C2-A7D4-200C2FC0DA78}"/>
    <cellStyle name="Millares 3 3 2 4 3 2 3 2" xfId="6698" xr:uid="{E2B8E746-BA56-4396-9459-1EE4D54AB9F5}"/>
    <cellStyle name="Millares 3 3 2 4 3 2 4" xfId="4774" xr:uid="{26C29EC4-A9A0-4A80-B80E-573F7FD3AD4A}"/>
    <cellStyle name="Millares 3 3 2 4 3 3" xfId="1407" xr:uid="{8CE0205C-FA42-407C-83DC-1224C0DFD530}"/>
    <cellStyle name="Millares 3 3 2 4 3 3 2" xfId="3331" xr:uid="{9D8CCFCD-89F4-4BB2-B2B8-4183E7DBE4CC}"/>
    <cellStyle name="Millares 3 3 2 4 3 3 2 2" xfId="7179" xr:uid="{A26E420D-9B24-4AE8-A595-FE1928C6FFCC}"/>
    <cellStyle name="Millares 3 3 2 4 3 3 3" xfId="5255" xr:uid="{E028C247-23B2-49BB-9FB3-0543D27F79C9}"/>
    <cellStyle name="Millares 3 3 2 4 3 4" xfId="2369" xr:uid="{CABF28B6-8423-49D3-BE64-403C2D9CF058}"/>
    <cellStyle name="Millares 3 3 2 4 3 4 2" xfId="6217" xr:uid="{83C5A254-3FAC-4515-9323-98DEA0A2247D}"/>
    <cellStyle name="Millares 3 3 2 4 3 5" xfId="4293" xr:uid="{A57ADEC1-3DE6-4AE2-803B-362CA7639285}"/>
    <cellStyle name="Millares 3 3 2 4 4" xfId="686" xr:uid="{51F80BF8-44E2-482F-89C8-85CD0F37D758}"/>
    <cellStyle name="Millares 3 3 2 4 4 2" xfId="1648" xr:uid="{B8966227-7D81-4165-8498-8A3E91F50230}"/>
    <cellStyle name="Millares 3 3 2 4 4 2 2" xfId="3572" xr:uid="{75E10B36-CB42-4709-A3E3-5C77C5370434}"/>
    <cellStyle name="Millares 3 3 2 4 4 2 2 2" xfId="7420" xr:uid="{0B241500-40C7-407C-AF84-72608C870F45}"/>
    <cellStyle name="Millares 3 3 2 4 4 2 3" xfId="5496" xr:uid="{402A0889-29C9-45B2-A119-5972EDF66ADF}"/>
    <cellStyle name="Millares 3 3 2 4 4 3" xfId="2610" xr:uid="{ECF1B8A9-4B29-42A9-B34B-1D593416B31F}"/>
    <cellStyle name="Millares 3 3 2 4 4 3 2" xfId="6458" xr:uid="{A0A7181A-E606-44A4-9D89-D72B4890427F}"/>
    <cellStyle name="Millares 3 3 2 4 4 4" xfId="4534" xr:uid="{18EA0979-7E1B-4BB5-903F-142DFA35A076}"/>
    <cellStyle name="Millares 3 3 2 4 5" xfId="1167" xr:uid="{57C9DB7C-73F7-49A6-A047-00F3D8EC6359}"/>
    <cellStyle name="Millares 3 3 2 4 5 2" xfId="3091" xr:uid="{67D46E77-A90A-4048-B9B2-343F216612C5}"/>
    <cellStyle name="Millares 3 3 2 4 5 2 2" xfId="6939" xr:uid="{3F92B896-9DF1-43EA-995B-BF9F947BD975}"/>
    <cellStyle name="Millares 3 3 2 4 5 3" xfId="5015" xr:uid="{EAE5D0D8-D7A9-4AA7-95FE-9A9D904EFA93}"/>
    <cellStyle name="Millares 3 3 2 4 6" xfId="2129" xr:uid="{2305EF5D-96F8-4E04-BDB8-589B53417DAF}"/>
    <cellStyle name="Millares 3 3 2 4 6 2" xfId="5977" xr:uid="{A929F14B-005E-4C34-BB49-293BF783B0A3}"/>
    <cellStyle name="Millares 3 3 2 4 7" xfId="4053" xr:uid="{6FA2DE3B-3E8E-4880-BC2C-7B1E258F1FAD}"/>
    <cellStyle name="Millares 3 3 2 5" xfId="263" xr:uid="{4A709504-A9C4-4A68-B1D1-5870315E3955}"/>
    <cellStyle name="Millares 3 3 2 5 2" xfId="515" xr:uid="{62A9300A-7347-42E3-9530-7C9E5A1A59FE}"/>
    <cellStyle name="Millares 3 3 2 5 2 2" xfId="996" xr:uid="{A745A47E-5542-470D-8784-FFE6466A95D1}"/>
    <cellStyle name="Millares 3 3 2 5 2 2 2" xfId="1958" xr:uid="{EE732482-8D40-45FC-A03C-6E1D8FDCC5B3}"/>
    <cellStyle name="Millares 3 3 2 5 2 2 2 2" xfId="3882" xr:uid="{DAEBE386-210B-41BF-B565-07FAAA7809D3}"/>
    <cellStyle name="Millares 3 3 2 5 2 2 2 2 2" xfId="7730" xr:uid="{EA38C542-4E8F-4591-AB10-8C89DD1C6083}"/>
    <cellStyle name="Millares 3 3 2 5 2 2 2 3" xfId="5806" xr:uid="{F6D2EEE8-9D49-4C30-AC85-66DD0D9E5145}"/>
    <cellStyle name="Millares 3 3 2 5 2 2 3" xfId="2920" xr:uid="{2928F8E1-9056-4483-978C-A173094173B2}"/>
    <cellStyle name="Millares 3 3 2 5 2 2 3 2" xfId="6768" xr:uid="{F98D8F93-EDBD-468C-BB56-006256E273FF}"/>
    <cellStyle name="Millares 3 3 2 5 2 2 4" xfId="4844" xr:uid="{F2EFEDAC-CBB1-4DB7-94FC-6906C50AA39A}"/>
    <cellStyle name="Millares 3 3 2 5 2 3" xfId="1477" xr:uid="{BB6DCD8F-0BDE-4137-933E-6562928ADC0A}"/>
    <cellStyle name="Millares 3 3 2 5 2 3 2" xfId="3401" xr:uid="{4FA4E222-70FA-4DDF-B71C-E0550A0A5A77}"/>
    <cellStyle name="Millares 3 3 2 5 2 3 2 2" xfId="7249" xr:uid="{CE1A6A12-6DFA-49C5-BFC9-EDE5C5B5F241}"/>
    <cellStyle name="Millares 3 3 2 5 2 3 3" xfId="5325" xr:uid="{1DF679E6-9E48-4958-87C2-7EB3A375FCBF}"/>
    <cellStyle name="Millares 3 3 2 5 2 4" xfId="2439" xr:uid="{C9659215-5640-42D9-84A5-110C3050012F}"/>
    <cellStyle name="Millares 3 3 2 5 2 4 2" xfId="6287" xr:uid="{54E78943-62EE-4BA5-8317-838853B1C2A5}"/>
    <cellStyle name="Millares 3 3 2 5 2 5" xfId="4363" xr:uid="{B4882849-4E47-4B75-8608-A663EAE7E601}"/>
    <cellStyle name="Millares 3 3 2 5 3" xfId="756" xr:uid="{AED302EC-26D2-42D0-9577-A136F08FD77C}"/>
    <cellStyle name="Millares 3 3 2 5 3 2" xfId="1718" xr:uid="{358784EC-5B9E-4EB2-BA22-602BF0E12083}"/>
    <cellStyle name="Millares 3 3 2 5 3 2 2" xfId="3642" xr:uid="{129D48B2-47FD-4E43-AB82-136F2D7AEA22}"/>
    <cellStyle name="Millares 3 3 2 5 3 2 2 2" xfId="7490" xr:uid="{3B1A671C-D867-4472-82DE-BBDF0B75B9B9}"/>
    <cellStyle name="Millares 3 3 2 5 3 2 3" xfId="5566" xr:uid="{4BB9883D-0295-41ED-B227-46B0719CEF1D}"/>
    <cellStyle name="Millares 3 3 2 5 3 3" xfId="2680" xr:uid="{060D4767-4201-4E6C-B7FE-1534BE8A5A24}"/>
    <cellStyle name="Millares 3 3 2 5 3 3 2" xfId="6528" xr:uid="{580161F3-E337-4E3D-BDED-8D1C4D97D476}"/>
    <cellStyle name="Millares 3 3 2 5 3 4" xfId="4604" xr:uid="{1C3AF4ED-1841-4F5F-8577-2CF1E33DF994}"/>
    <cellStyle name="Millares 3 3 2 5 4" xfId="1237" xr:uid="{F7E73DD1-BA64-4DE5-BD5F-FBF3F2F225E1}"/>
    <cellStyle name="Millares 3 3 2 5 4 2" xfId="3161" xr:uid="{F6A0B992-75BB-4305-AE0C-582AF714F363}"/>
    <cellStyle name="Millares 3 3 2 5 4 2 2" xfId="7009" xr:uid="{6D1AE2AD-5442-486F-8C61-F016FA5B5BAB}"/>
    <cellStyle name="Millares 3 3 2 5 4 3" xfId="5085" xr:uid="{E5D07813-2F88-402B-AEE5-55C1E4DA7861}"/>
    <cellStyle name="Millares 3 3 2 5 5" xfId="2199" xr:uid="{B9200D49-A75A-4358-8D58-5EA902CDDDA6}"/>
    <cellStyle name="Millares 3 3 2 5 5 2" xfId="6047" xr:uid="{A0C1B8F0-F26A-466A-A196-43DC8D885DE8}"/>
    <cellStyle name="Millares 3 3 2 5 6" xfId="4123" xr:uid="{8C6CDA77-F776-487B-ACFD-0C44F6BE2F03}"/>
    <cellStyle name="Millares 3 3 2 6" xfId="226" xr:uid="{52402AE6-A675-4596-9009-82C752EF4428}"/>
    <cellStyle name="Millares 3 3 2 6 2" xfId="478" xr:uid="{58C0DB7A-D07D-4B54-AF63-446B9648F564}"/>
    <cellStyle name="Millares 3 3 2 6 2 2" xfId="959" xr:uid="{AAD4A16D-07F5-49FD-8C6C-BEAC8FB6E2D3}"/>
    <cellStyle name="Millares 3 3 2 6 2 2 2" xfId="1921" xr:uid="{166858C7-6FB1-4010-BCFB-95C2D3797D3F}"/>
    <cellStyle name="Millares 3 3 2 6 2 2 2 2" xfId="3845" xr:uid="{546054FC-6AAA-4DFF-B03C-2A6FD87AB623}"/>
    <cellStyle name="Millares 3 3 2 6 2 2 2 2 2" xfId="7693" xr:uid="{B9BF143E-2E00-45F4-A210-801BB7025BC5}"/>
    <cellStyle name="Millares 3 3 2 6 2 2 2 3" xfId="5769" xr:uid="{B1425B3A-7FE8-42FC-86DC-B43EDDF3F0A8}"/>
    <cellStyle name="Millares 3 3 2 6 2 2 3" xfId="2883" xr:uid="{9E4DE599-D9F7-4870-9F2C-9746743F5DF2}"/>
    <cellStyle name="Millares 3 3 2 6 2 2 3 2" xfId="6731" xr:uid="{48B1B3D8-9B15-44E6-B82E-6F75C27D675F}"/>
    <cellStyle name="Millares 3 3 2 6 2 2 4" xfId="4807" xr:uid="{5F21F18C-ABAA-4CE5-93BE-F8893BEFB418}"/>
    <cellStyle name="Millares 3 3 2 6 2 3" xfId="1440" xr:uid="{C43A437C-346C-4850-B2E2-57C2E5878CE2}"/>
    <cellStyle name="Millares 3 3 2 6 2 3 2" xfId="3364" xr:uid="{327B2CEE-729A-4043-AEDF-E65533AE37FB}"/>
    <cellStyle name="Millares 3 3 2 6 2 3 2 2" xfId="7212" xr:uid="{5CDB022D-AEA6-43DD-B2A7-D995B1803F5C}"/>
    <cellStyle name="Millares 3 3 2 6 2 3 3" xfId="5288" xr:uid="{FE08FD6B-28F1-48D5-BD0D-DD2B639DE23C}"/>
    <cellStyle name="Millares 3 3 2 6 2 4" xfId="2402" xr:uid="{8D176A11-B537-459F-BCDF-A634E458835D}"/>
    <cellStyle name="Millares 3 3 2 6 2 4 2" xfId="6250" xr:uid="{FD6FB5B0-476E-45EA-B368-0D7DB36D8D88}"/>
    <cellStyle name="Millares 3 3 2 6 2 5" xfId="4326" xr:uid="{8C22F71B-E162-4498-8A21-3D20CEA9F2DC}"/>
    <cellStyle name="Millares 3 3 2 6 3" xfId="719" xr:uid="{258AA470-450C-45FA-A317-E04A8CB9DDD3}"/>
    <cellStyle name="Millares 3 3 2 6 3 2" xfId="1681" xr:uid="{B23E0C9E-DE23-4485-B6A4-4C10AEFC5DD5}"/>
    <cellStyle name="Millares 3 3 2 6 3 2 2" xfId="3605" xr:uid="{0492B156-94AC-41B8-8E96-CBFF55C73A6F}"/>
    <cellStyle name="Millares 3 3 2 6 3 2 2 2" xfId="7453" xr:uid="{B6E7BCE3-1647-4789-8257-F3AF17DADBA5}"/>
    <cellStyle name="Millares 3 3 2 6 3 2 3" xfId="5529" xr:uid="{1048B548-4B50-4381-901E-3034F714895E}"/>
    <cellStyle name="Millares 3 3 2 6 3 3" xfId="2643" xr:uid="{635A0215-6A4F-4EAC-B119-E29E19862B4A}"/>
    <cellStyle name="Millares 3 3 2 6 3 3 2" xfId="6491" xr:uid="{691D57A7-C1F1-43FE-9DD0-0D806B9795E6}"/>
    <cellStyle name="Millares 3 3 2 6 3 4" xfId="4567" xr:uid="{3C30BF92-7A51-4ADD-B7DA-E9E675E1A060}"/>
    <cellStyle name="Millares 3 3 2 6 4" xfId="1200" xr:uid="{E391E446-D9BD-418C-A397-F02D8EF152B7}"/>
    <cellStyle name="Millares 3 3 2 6 4 2" xfId="3124" xr:uid="{2E99F567-A99C-4C79-BA92-2E9DDA6188A1}"/>
    <cellStyle name="Millares 3 3 2 6 4 2 2" xfId="6972" xr:uid="{7AAEEA13-7C8F-45F3-82C5-5C83BA9B9D28}"/>
    <cellStyle name="Millares 3 3 2 6 4 3" xfId="5048" xr:uid="{E84BDF39-C936-46D9-B5F9-2AC837D6975B}"/>
    <cellStyle name="Millares 3 3 2 6 5" xfId="2162" xr:uid="{CEAFB96D-68F4-4549-AD42-E91740370121}"/>
    <cellStyle name="Millares 3 3 2 6 5 2" xfId="6010" xr:uid="{DDD903FC-2CB3-47F1-9BCE-07E069B37682}"/>
    <cellStyle name="Millares 3 3 2 6 6" xfId="4086" xr:uid="{90E44C58-6B59-4D61-9FAE-974655A71BA5}"/>
    <cellStyle name="Millares 3 3 2 7" xfId="383" xr:uid="{2436261E-D4D6-492D-B7B4-4E3773A62A11}"/>
    <cellStyle name="Millares 3 3 2 7 2" xfId="864" xr:uid="{E1ECE7FB-C775-4292-9C24-CD1C4E51BC51}"/>
    <cellStyle name="Millares 3 3 2 7 2 2" xfId="1826" xr:uid="{3319DFFD-3226-405F-9675-3D4CC4B8DDA7}"/>
    <cellStyle name="Millares 3 3 2 7 2 2 2" xfId="3750" xr:uid="{45DC3A2A-D765-48B5-A99C-95018504C0D2}"/>
    <cellStyle name="Millares 3 3 2 7 2 2 2 2" xfId="7598" xr:uid="{90A31B67-9D79-4927-87DB-D53A42328737}"/>
    <cellStyle name="Millares 3 3 2 7 2 2 3" xfId="5674" xr:uid="{A19B77D0-A7F2-4594-8338-68261AFA69CD}"/>
    <cellStyle name="Millares 3 3 2 7 2 3" xfId="2788" xr:uid="{16E86B97-3570-47AE-99D7-AE4530ADFBCD}"/>
    <cellStyle name="Millares 3 3 2 7 2 3 2" xfId="6636" xr:uid="{20D79F07-1320-404A-B893-6D1FF127A8B9}"/>
    <cellStyle name="Millares 3 3 2 7 2 4" xfId="4712" xr:uid="{5F4B787B-E4B3-4E0D-9AF1-1531747C1165}"/>
    <cellStyle name="Millares 3 3 2 7 3" xfId="1345" xr:uid="{6E3D0222-9552-413B-9905-D55A33085ED2}"/>
    <cellStyle name="Millares 3 3 2 7 3 2" xfId="3269" xr:uid="{27325BE2-FF42-441A-9B01-C754D1805340}"/>
    <cellStyle name="Millares 3 3 2 7 3 2 2" xfId="7117" xr:uid="{7EAEB1DC-80E9-4D99-9DE4-AEACEFA2A533}"/>
    <cellStyle name="Millares 3 3 2 7 3 3" xfId="5193" xr:uid="{702E12C9-F1CB-4A4D-ACE2-D263E6524844}"/>
    <cellStyle name="Millares 3 3 2 7 4" xfId="2307" xr:uid="{BBD70A15-4E46-41B2-BE38-D79A778AAC48}"/>
    <cellStyle name="Millares 3 3 2 7 4 2" xfId="6155" xr:uid="{270FE4FF-A79E-4B10-81E8-A7584F6C3009}"/>
    <cellStyle name="Millares 3 3 2 7 5" xfId="4231" xr:uid="{056B874E-69CE-4B9F-8FB8-294A978818A9}"/>
    <cellStyle name="Millares 3 3 2 8" xfId="624" xr:uid="{1176088B-0305-4FDD-A6A5-80BA7CBB5E7D}"/>
    <cellStyle name="Millares 3 3 2 8 2" xfId="1586" xr:uid="{F1EA6FFF-848A-4C1C-B5F8-B1CA2E22E8B7}"/>
    <cellStyle name="Millares 3 3 2 8 2 2" xfId="3510" xr:uid="{2FB8FE42-18C2-4345-9741-CA78DE25A91C}"/>
    <cellStyle name="Millares 3 3 2 8 2 2 2" xfId="7358" xr:uid="{278F8088-88E7-4462-AD70-7571D245711C}"/>
    <cellStyle name="Millares 3 3 2 8 2 3" xfId="5434" xr:uid="{E440E263-9274-4ACD-BDA2-DD6108925C1D}"/>
    <cellStyle name="Millares 3 3 2 8 3" xfId="2548" xr:uid="{CF67CC00-E35B-4248-8F1F-919FD38490AD}"/>
    <cellStyle name="Millares 3 3 2 8 3 2" xfId="6396" xr:uid="{75726149-3304-4463-9E71-4FB5E584205B}"/>
    <cellStyle name="Millares 3 3 2 8 4" xfId="4472" xr:uid="{F10A9832-E9E3-41B9-AE3B-53F4BC004831}"/>
    <cellStyle name="Millares 3 3 2 9" xfId="1105" xr:uid="{8C34D620-59FC-4A4D-B368-D48D07D358BB}"/>
    <cellStyle name="Millares 3 3 2 9 2" xfId="3029" xr:uid="{788E407F-C908-423F-9FAF-33A60295E7C3}"/>
    <cellStyle name="Millares 3 3 2 9 2 2" xfId="6877" xr:uid="{90579728-2DE3-4E08-8289-55DD72BEB9E9}"/>
    <cellStyle name="Millares 3 3 2 9 3" xfId="4953" xr:uid="{644369E2-B9C6-449E-8F7F-962B216921BC}"/>
    <cellStyle name="Millares 3 3 3" xfId="181" xr:uid="{1DB94D9D-9B5E-4723-90D4-1816059683F4}"/>
    <cellStyle name="Millares 3 3 3 2" xfId="215" xr:uid="{6C9989CD-588A-4984-84FF-F081EF239B66}"/>
    <cellStyle name="Millares 3 3 3 2 2" xfId="349" xr:uid="{E5D43876-EE53-4299-9E5F-0FA87EC18429}"/>
    <cellStyle name="Millares 3 3 3 2 2 2" xfId="600" xr:uid="{925128FC-3237-4DD1-ACE0-DC6F5EE8DD8D}"/>
    <cellStyle name="Millares 3 3 3 2 2 2 2" xfId="1081" xr:uid="{E3DE7243-F541-4069-A4B1-785D1E251A9A}"/>
    <cellStyle name="Millares 3 3 3 2 2 2 2 2" xfId="2043" xr:uid="{5FBA08E0-9DAB-4FCF-A912-FC2379FFDB7C}"/>
    <cellStyle name="Millares 3 3 3 2 2 2 2 2 2" xfId="3967" xr:uid="{2B2086FB-96B0-409A-89EF-0CE136052245}"/>
    <cellStyle name="Millares 3 3 3 2 2 2 2 2 2 2" xfId="7815" xr:uid="{62AEB6C3-B84C-4D88-9823-0080F7FC305D}"/>
    <cellStyle name="Millares 3 3 3 2 2 2 2 2 3" xfId="5891" xr:uid="{8A3307BA-5E22-4D37-93AC-D5F696DEE25C}"/>
    <cellStyle name="Millares 3 3 3 2 2 2 2 3" xfId="3005" xr:uid="{EB2A5C5F-BF9F-494D-BC13-AD096201D9E5}"/>
    <cellStyle name="Millares 3 3 3 2 2 2 2 3 2" xfId="6853" xr:uid="{913407DB-DF2E-443C-B02E-C94C19270506}"/>
    <cellStyle name="Millares 3 3 3 2 2 2 2 4" xfId="4929" xr:uid="{178C2C78-E791-4F88-AEAF-FFE27BB74EC3}"/>
    <cellStyle name="Millares 3 3 3 2 2 2 3" xfId="1562" xr:uid="{FF36F546-6746-4AA6-8F9E-B10253E7D574}"/>
    <cellStyle name="Millares 3 3 3 2 2 2 3 2" xfId="3486" xr:uid="{32AC3DA7-0DDA-4F9F-8C2D-2EDA29CA86F7}"/>
    <cellStyle name="Millares 3 3 3 2 2 2 3 2 2" xfId="7334" xr:uid="{36116340-6592-4611-ACD7-54FE49E5297D}"/>
    <cellStyle name="Millares 3 3 3 2 2 2 3 3" xfId="5410" xr:uid="{B110AFE6-3937-4D0B-A5F4-CD03AE599B41}"/>
    <cellStyle name="Millares 3 3 3 2 2 2 4" xfId="2524" xr:uid="{7E32813A-7D79-46BD-B547-FAE94CAF855A}"/>
    <cellStyle name="Millares 3 3 3 2 2 2 4 2" xfId="6372" xr:uid="{CA89BAC8-322E-49FF-9A6A-BE628822727B}"/>
    <cellStyle name="Millares 3 3 3 2 2 2 5" xfId="4448" xr:uid="{0430EFF1-EB5C-44CB-9B84-A78A8766C670}"/>
    <cellStyle name="Millares 3 3 3 2 2 3" xfId="841" xr:uid="{BA2603FF-DCF3-4F15-BF53-D53FFB853085}"/>
    <cellStyle name="Millares 3 3 3 2 2 3 2" xfId="1803" xr:uid="{B1633360-BDCD-4A20-A534-537C7FD8EBEF}"/>
    <cellStyle name="Millares 3 3 3 2 2 3 2 2" xfId="3727" xr:uid="{64F66A56-CD1D-47E5-923B-FC09DA644221}"/>
    <cellStyle name="Millares 3 3 3 2 2 3 2 2 2" xfId="7575" xr:uid="{D709217F-9798-4FFE-ACB5-2973FF90187B}"/>
    <cellStyle name="Millares 3 3 3 2 2 3 2 3" xfId="5651" xr:uid="{3A23F39A-6C23-4D10-8DAF-6578B47666C0}"/>
    <cellStyle name="Millares 3 3 3 2 2 3 3" xfId="2765" xr:uid="{D19321E5-FB55-4BD6-96B4-839F8B25870E}"/>
    <cellStyle name="Millares 3 3 3 2 2 3 3 2" xfId="6613" xr:uid="{B2B4C4A5-D6DA-45D1-82FC-3446E0B9A938}"/>
    <cellStyle name="Millares 3 3 3 2 2 3 4" xfId="4689" xr:uid="{934BE09C-E32F-4C78-9C54-4203420D14FE}"/>
    <cellStyle name="Millares 3 3 3 2 2 4" xfId="1322" xr:uid="{E1B00978-00C7-4D21-A235-CE2B78EE3D4A}"/>
    <cellStyle name="Millares 3 3 3 2 2 4 2" xfId="3246" xr:uid="{22DE8E8C-8521-4428-97CB-24BB3C24C661}"/>
    <cellStyle name="Millares 3 3 3 2 2 4 2 2" xfId="7094" xr:uid="{69D3269A-7FC7-4E5C-9704-984BA1E295FC}"/>
    <cellStyle name="Millares 3 3 3 2 2 4 3" xfId="5170" xr:uid="{C6C80FA0-0782-4B10-90BC-C2B38B25EEB3}"/>
    <cellStyle name="Millares 3 3 3 2 2 5" xfId="2284" xr:uid="{4B722B20-D8AA-4E0D-8524-82A5BB3CF606}"/>
    <cellStyle name="Millares 3 3 3 2 2 5 2" xfId="6132" xr:uid="{BAC51112-BA0A-40C3-A49D-49B57D0C26F2}"/>
    <cellStyle name="Millares 3 3 3 2 2 6" xfId="4208" xr:uid="{F5BDC9B8-C420-41EE-AF2B-3C2CD4AE6F91}"/>
    <cellStyle name="Millares 3 3 3 2 3" xfId="468" xr:uid="{6687F32C-261F-4443-94BE-F29CB2B5BE8F}"/>
    <cellStyle name="Millares 3 3 3 2 3 2" xfId="949" xr:uid="{5382C6B8-7F54-4387-84A8-848FD5E2BA30}"/>
    <cellStyle name="Millares 3 3 3 2 3 2 2" xfId="1911" xr:uid="{E5948CAD-7C5C-42FE-9D99-5F4A1981F19D}"/>
    <cellStyle name="Millares 3 3 3 2 3 2 2 2" xfId="3835" xr:uid="{D48C166F-E5FF-4589-BB41-6E1A9B110884}"/>
    <cellStyle name="Millares 3 3 3 2 3 2 2 2 2" xfId="7683" xr:uid="{9395EA9F-CDC3-4145-942C-DE6E93188194}"/>
    <cellStyle name="Millares 3 3 3 2 3 2 2 3" xfId="5759" xr:uid="{1520F482-769D-41E8-ADB4-2FFF518B76D4}"/>
    <cellStyle name="Millares 3 3 3 2 3 2 3" xfId="2873" xr:uid="{F5814C31-84BD-4B78-A054-D77F8BA171BF}"/>
    <cellStyle name="Millares 3 3 3 2 3 2 3 2" xfId="6721" xr:uid="{1D3847C5-A4D8-4C08-A0C9-ECCD9FE5DB39}"/>
    <cellStyle name="Millares 3 3 3 2 3 2 4" xfId="4797" xr:uid="{3AE986F1-DCB4-4B0D-9D03-99F187912BB9}"/>
    <cellStyle name="Millares 3 3 3 2 3 3" xfId="1430" xr:uid="{68E5EBA5-88DB-491C-B39B-32FC400E0FF8}"/>
    <cellStyle name="Millares 3 3 3 2 3 3 2" xfId="3354" xr:uid="{9B054052-B344-4632-A5EB-AF51F9CDC8CC}"/>
    <cellStyle name="Millares 3 3 3 2 3 3 2 2" xfId="7202" xr:uid="{7116314C-3C0A-40D8-9BB1-38D8E0C3CAD8}"/>
    <cellStyle name="Millares 3 3 3 2 3 3 3" xfId="5278" xr:uid="{7596629D-5EF4-4627-8A86-C622871CF61C}"/>
    <cellStyle name="Millares 3 3 3 2 3 4" xfId="2392" xr:uid="{D23F2637-1988-4122-BC73-FE102E8E3F83}"/>
    <cellStyle name="Millares 3 3 3 2 3 4 2" xfId="6240" xr:uid="{DAB1BF78-9822-4AB0-95A9-F5B748249214}"/>
    <cellStyle name="Millares 3 3 3 2 3 5" xfId="4316" xr:uid="{377E8F27-59B6-47D0-99D1-03DC1BFFCEFD}"/>
    <cellStyle name="Millares 3 3 3 2 4" xfId="709" xr:uid="{FCD6670F-BA99-480A-971B-7FBF6A3AACCD}"/>
    <cellStyle name="Millares 3 3 3 2 4 2" xfId="1671" xr:uid="{F96E96BC-A945-427D-B7F1-CC94E45964B6}"/>
    <cellStyle name="Millares 3 3 3 2 4 2 2" xfId="3595" xr:uid="{8CEC5803-4B3B-4473-B1CE-F35BE29FAB5E}"/>
    <cellStyle name="Millares 3 3 3 2 4 2 2 2" xfId="7443" xr:uid="{E470DDB5-9B2D-42D4-995C-FBB517978569}"/>
    <cellStyle name="Millares 3 3 3 2 4 2 3" xfId="5519" xr:uid="{628A9F4C-E1F0-4D42-9015-43A66BA04112}"/>
    <cellStyle name="Millares 3 3 3 2 4 3" xfId="2633" xr:uid="{EB725996-D5A3-4C41-BB4D-6D62DD5AF242}"/>
    <cellStyle name="Millares 3 3 3 2 4 3 2" xfId="6481" xr:uid="{887B5788-8F30-49C5-B96F-A6FF5C9B62AC}"/>
    <cellStyle name="Millares 3 3 3 2 4 4" xfId="4557" xr:uid="{4B7C7A78-8D8E-4269-AADD-761096F1525C}"/>
    <cellStyle name="Millares 3 3 3 2 5" xfId="1190" xr:uid="{45300D44-8BA3-4042-83CF-2459B447F7D0}"/>
    <cellStyle name="Millares 3 3 3 2 5 2" xfId="3114" xr:uid="{54A5475A-C1B8-494B-B07E-9F280B6910BE}"/>
    <cellStyle name="Millares 3 3 3 2 5 2 2" xfId="6962" xr:uid="{BADDFDE9-F383-48BC-A824-953B1347D26B}"/>
    <cellStyle name="Millares 3 3 3 2 5 3" xfId="5038" xr:uid="{65E99F84-EEEB-4FE5-8B9D-7EA049275315}"/>
    <cellStyle name="Millares 3 3 3 2 6" xfId="2152" xr:uid="{A7F1C5BE-FE28-4156-830A-232040D68C0D}"/>
    <cellStyle name="Millares 3 3 3 2 6 2" xfId="6000" xr:uid="{A17083C4-4EB5-409E-B127-B31790DD037B}"/>
    <cellStyle name="Millares 3 3 3 2 7" xfId="4076" xr:uid="{B1D11805-A0B0-4B50-B3EF-C139EB112A19}"/>
    <cellStyle name="Millares 3 3 3 3" xfId="316" xr:uid="{82ADD6E2-0585-4DDC-A4F7-CCE6742B746E}"/>
    <cellStyle name="Millares 3 3 3 3 2" xfId="567" xr:uid="{0CD1DEA3-532D-4174-A5CA-4F715DE43DD8}"/>
    <cellStyle name="Millares 3 3 3 3 2 2" xfId="1048" xr:uid="{60ED3202-DE7B-4610-9B16-A9A3C0806B16}"/>
    <cellStyle name="Millares 3 3 3 3 2 2 2" xfId="2010" xr:uid="{00E95ACD-DD20-4C21-9DE3-974B36AF8DD4}"/>
    <cellStyle name="Millares 3 3 3 3 2 2 2 2" xfId="3934" xr:uid="{91D5D391-6BC3-447B-969B-4BA5050C0F00}"/>
    <cellStyle name="Millares 3 3 3 3 2 2 2 2 2" xfId="7782" xr:uid="{55240C06-AA87-462B-8E2C-B9E992B7FD27}"/>
    <cellStyle name="Millares 3 3 3 3 2 2 2 3" xfId="5858" xr:uid="{A1E27ABD-A05F-41E0-8DED-FD2B53C445F9}"/>
    <cellStyle name="Millares 3 3 3 3 2 2 3" xfId="2972" xr:uid="{B2C84992-99E1-4487-B587-BBF5197FD308}"/>
    <cellStyle name="Millares 3 3 3 3 2 2 3 2" xfId="6820" xr:uid="{54A34372-08EB-4018-BC80-5B65232A822D}"/>
    <cellStyle name="Millares 3 3 3 3 2 2 4" xfId="4896" xr:uid="{D50A54B5-346B-4BFD-90A6-9225D8112AF9}"/>
    <cellStyle name="Millares 3 3 3 3 2 3" xfId="1529" xr:uid="{F2B6C624-B83C-479D-8A58-28E57FF737F6}"/>
    <cellStyle name="Millares 3 3 3 3 2 3 2" xfId="3453" xr:uid="{BBFC2126-EAE5-4AD9-9939-69C3177BFC48}"/>
    <cellStyle name="Millares 3 3 3 3 2 3 2 2" xfId="7301" xr:uid="{37DE37B1-4306-46E0-805C-716C8B584088}"/>
    <cellStyle name="Millares 3 3 3 3 2 3 3" xfId="5377" xr:uid="{5CB64543-DB6A-4B32-A5E9-1ABEF2ECA754}"/>
    <cellStyle name="Millares 3 3 3 3 2 4" xfId="2491" xr:uid="{FC310262-BF4A-4943-81E9-5A7D8B2DD22B}"/>
    <cellStyle name="Millares 3 3 3 3 2 4 2" xfId="6339" xr:uid="{277821E0-3904-47C0-965E-CE3A3BF74C78}"/>
    <cellStyle name="Millares 3 3 3 3 2 5" xfId="4415" xr:uid="{BF7E67D1-76BE-42BD-8451-A92B8772F8D8}"/>
    <cellStyle name="Millares 3 3 3 3 3" xfId="808" xr:uid="{DA601445-0A37-4F6F-8B13-92014661A30D}"/>
    <cellStyle name="Millares 3 3 3 3 3 2" xfId="1770" xr:uid="{CDF60A80-E50E-42D8-8049-C7D19366FA89}"/>
    <cellStyle name="Millares 3 3 3 3 3 2 2" xfId="3694" xr:uid="{44496E57-2813-4899-ABF1-FA31B1C241B8}"/>
    <cellStyle name="Millares 3 3 3 3 3 2 2 2" xfId="7542" xr:uid="{F8F5ADD9-083D-43DF-ACDA-83A757657532}"/>
    <cellStyle name="Millares 3 3 3 3 3 2 3" xfId="5618" xr:uid="{75A19CF7-4F5A-4EB3-806A-C02A11AE69F6}"/>
    <cellStyle name="Millares 3 3 3 3 3 3" xfId="2732" xr:uid="{BAA49BDB-48B2-4CC0-9633-D3A091A5A1CE}"/>
    <cellStyle name="Millares 3 3 3 3 3 3 2" xfId="6580" xr:uid="{7D982454-DBE0-49EE-872C-06CD7F2DACDE}"/>
    <cellStyle name="Millares 3 3 3 3 3 4" xfId="4656" xr:uid="{B2AC2520-05DD-4BC6-8ABB-6C2386310650}"/>
    <cellStyle name="Millares 3 3 3 3 4" xfId="1289" xr:uid="{3C2A6B90-E6D3-491A-BEFA-CB840A53EA80}"/>
    <cellStyle name="Millares 3 3 3 3 4 2" xfId="3213" xr:uid="{2514E8CE-F227-4213-AFEB-469F60DBADB1}"/>
    <cellStyle name="Millares 3 3 3 3 4 2 2" xfId="7061" xr:uid="{E4834FDD-F8F8-4A02-B84F-C45625EC87C3}"/>
    <cellStyle name="Millares 3 3 3 3 4 3" xfId="5137" xr:uid="{4E4D47FF-A592-4794-B779-84876EC45332}"/>
    <cellStyle name="Millares 3 3 3 3 5" xfId="2251" xr:uid="{35167738-60C7-446D-82A1-5002274D26C4}"/>
    <cellStyle name="Millares 3 3 3 3 5 2" xfId="6099" xr:uid="{F61A63F9-1658-409C-AA10-AC8EF8D6BD03}"/>
    <cellStyle name="Millares 3 3 3 3 6" xfId="4175" xr:uid="{8F9FC2C7-19E3-40D9-99B2-CE904412D47B}"/>
    <cellStyle name="Millares 3 3 3 4" xfId="249" xr:uid="{F9B3E5A7-ED8B-4A21-B458-28A4553BD60B}"/>
    <cellStyle name="Millares 3 3 3 4 2" xfId="501" xr:uid="{FE26663C-4745-438C-B683-5F086FFF75D9}"/>
    <cellStyle name="Millares 3 3 3 4 2 2" xfId="982" xr:uid="{23292E8A-1247-4290-A1A9-B39636A42F75}"/>
    <cellStyle name="Millares 3 3 3 4 2 2 2" xfId="1944" xr:uid="{B721E41C-3D11-448A-A024-2012017AA05B}"/>
    <cellStyle name="Millares 3 3 3 4 2 2 2 2" xfId="3868" xr:uid="{D1F9595E-DB06-477D-8000-0EA26A265A77}"/>
    <cellStyle name="Millares 3 3 3 4 2 2 2 2 2" xfId="7716" xr:uid="{085C66D1-411D-4FAB-B557-B95074AB961E}"/>
    <cellStyle name="Millares 3 3 3 4 2 2 2 3" xfId="5792" xr:uid="{D0EE2ABD-D7A3-4C75-9285-76D26C0D10EF}"/>
    <cellStyle name="Millares 3 3 3 4 2 2 3" xfId="2906" xr:uid="{1572F8DF-4A82-4C8C-8BD1-E74465447B84}"/>
    <cellStyle name="Millares 3 3 3 4 2 2 3 2" xfId="6754" xr:uid="{C115CE71-2819-4CB2-B388-27859C873063}"/>
    <cellStyle name="Millares 3 3 3 4 2 2 4" xfId="4830" xr:uid="{0CF39554-AED3-463D-A15C-037926E671CF}"/>
    <cellStyle name="Millares 3 3 3 4 2 3" xfId="1463" xr:uid="{26EC045B-87B2-46A1-BD48-ECD19F1A22C7}"/>
    <cellStyle name="Millares 3 3 3 4 2 3 2" xfId="3387" xr:uid="{FA175E6E-DC32-4E8B-8D90-34A2B2D0E212}"/>
    <cellStyle name="Millares 3 3 3 4 2 3 2 2" xfId="7235" xr:uid="{2EC87D2B-C5F1-4789-BFE4-33875A2D9FB4}"/>
    <cellStyle name="Millares 3 3 3 4 2 3 3" xfId="5311" xr:uid="{551A26A5-D548-4443-A87C-888CFAD5AB21}"/>
    <cellStyle name="Millares 3 3 3 4 2 4" xfId="2425" xr:uid="{49EDC438-3CB6-458B-AE69-76CBCB41D5AD}"/>
    <cellStyle name="Millares 3 3 3 4 2 4 2" xfId="6273" xr:uid="{B4DA62A9-A198-4093-8977-103D6C7ED0B2}"/>
    <cellStyle name="Millares 3 3 3 4 2 5" xfId="4349" xr:uid="{3820057B-70C9-465D-B765-A21FD7354AAA}"/>
    <cellStyle name="Millares 3 3 3 4 3" xfId="742" xr:uid="{D4F4926D-6E4E-4E01-9620-4261D916CBA3}"/>
    <cellStyle name="Millares 3 3 3 4 3 2" xfId="1704" xr:uid="{46F1BC0F-8114-4DEB-BC65-75670DBDCF86}"/>
    <cellStyle name="Millares 3 3 3 4 3 2 2" xfId="3628" xr:uid="{F72CD1CB-318B-4449-B7C8-6494449F45FF}"/>
    <cellStyle name="Millares 3 3 3 4 3 2 2 2" xfId="7476" xr:uid="{2E92E75F-2CA2-413D-B4C8-365445C41FD2}"/>
    <cellStyle name="Millares 3 3 3 4 3 2 3" xfId="5552" xr:uid="{4C814D21-72A1-4353-8D0B-0227AA6F674C}"/>
    <cellStyle name="Millares 3 3 3 4 3 3" xfId="2666" xr:uid="{D3B196BA-27F6-412F-A451-C418AE1D29F4}"/>
    <cellStyle name="Millares 3 3 3 4 3 3 2" xfId="6514" xr:uid="{29A1FA05-70BB-45CD-A94D-0DCCFFB07218}"/>
    <cellStyle name="Millares 3 3 3 4 3 4" xfId="4590" xr:uid="{2A451BF6-281A-49F8-8A87-E0A8524FD7A6}"/>
    <cellStyle name="Millares 3 3 3 4 4" xfId="1223" xr:uid="{D4D428BC-220D-4E78-BCA4-F397A53A44AF}"/>
    <cellStyle name="Millares 3 3 3 4 4 2" xfId="3147" xr:uid="{D867A566-6FC5-4D58-8C2C-BEA4E5FC8DDC}"/>
    <cellStyle name="Millares 3 3 3 4 4 2 2" xfId="6995" xr:uid="{F66A9CA4-A3B9-40F1-970B-DF04CD2BD0FB}"/>
    <cellStyle name="Millares 3 3 3 4 4 3" xfId="5071" xr:uid="{E27D370F-A406-409F-AD51-8A4C2747D298}"/>
    <cellStyle name="Millares 3 3 3 4 5" xfId="2185" xr:uid="{574E51FB-6734-43E2-A0E1-051664B38F9A}"/>
    <cellStyle name="Millares 3 3 3 4 5 2" xfId="6033" xr:uid="{B06FEB66-CCE8-46A3-BEA9-F846476B1802}"/>
    <cellStyle name="Millares 3 3 3 4 6" xfId="4109" xr:uid="{029F99DE-3A7C-4CD6-8D00-150D6912DB36}"/>
    <cellStyle name="Millares 3 3 3 5" xfId="435" xr:uid="{BFEE62A0-78F9-474A-91EB-A4543B01CFCA}"/>
    <cellStyle name="Millares 3 3 3 5 2" xfId="916" xr:uid="{FA7E5235-D0FA-41E4-A3CD-5F173E0A10C1}"/>
    <cellStyle name="Millares 3 3 3 5 2 2" xfId="1878" xr:uid="{44256E69-1CAB-4DEC-945D-E78A2E886636}"/>
    <cellStyle name="Millares 3 3 3 5 2 2 2" xfId="3802" xr:uid="{44C1F471-C048-49A0-9173-BD99F9EEA170}"/>
    <cellStyle name="Millares 3 3 3 5 2 2 2 2" xfId="7650" xr:uid="{0156A1AB-391B-46E1-860C-FD73651E333C}"/>
    <cellStyle name="Millares 3 3 3 5 2 2 3" xfId="5726" xr:uid="{073B9366-525D-4FF6-8EAE-5A02A9C9E19F}"/>
    <cellStyle name="Millares 3 3 3 5 2 3" xfId="2840" xr:uid="{753C961A-6B48-4A08-8191-46B40C5F9616}"/>
    <cellStyle name="Millares 3 3 3 5 2 3 2" xfId="6688" xr:uid="{4713055C-9D52-42D0-A80C-2D70CA23ACBA}"/>
    <cellStyle name="Millares 3 3 3 5 2 4" xfId="4764" xr:uid="{C128D772-CE33-42E3-8D89-57D839C6F79A}"/>
    <cellStyle name="Millares 3 3 3 5 3" xfId="1397" xr:uid="{B6A9A3DF-89C8-4CFB-8389-EF718880F773}"/>
    <cellStyle name="Millares 3 3 3 5 3 2" xfId="3321" xr:uid="{1099A8AB-8D95-40C7-BB85-D370A29DFE4E}"/>
    <cellStyle name="Millares 3 3 3 5 3 2 2" xfId="7169" xr:uid="{DA4DD031-38E2-41BF-BD32-1A771AB7D6A2}"/>
    <cellStyle name="Millares 3 3 3 5 3 3" xfId="5245" xr:uid="{E53564D4-4997-4951-A077-407F66A0C54F}"/>
    <cellStyle name="Millares 3 3 3 5 4" xfId="2359" xr:uid="{78C058C1-3547-4C0B-BE56-E58B19C90044}"/>
    <cellStyle name="Millares 3 3 3 5 4 2" xfId="6207" xr:uid="{742015FA-94CA-4715-925A-AB490F42A45F}"/>
    <cellStyle name="Millares 3 3 3 5 5" xfId="4283" xr:uid="{56BFCFC7-3F10-4E7D-96EE-3120B7470D28}"/>
    <cellStyle name="Millares 3 3 3 6" xfId="676" xr:uid="{DB877427-BA6B-4C03-BF83-BA1B1E7B968C}"/>
    <cellStyle name="Millares 3 3 3 6 2" xfId="1638" xr:uid="{07AC512B-CBC2-4C7A-BC8E-2D2AB1FDE603}"/>
    <cellStyle name="Millares 3 3 3 6 2 2" xfId="3562" xr:uid="{6A347835-FAEB-4BD7-849B-D55F3D06828F}"/>
    <cellStyle name="Millares 3 3 3 6 2 2 2" xfId="7410" xr:uid="{7D73C3BD-3250-42F9-B3FA-8E31D1821269}"/>
    <cellStyle name="Millares 3 3 3 6 2 3" xfId="5486" xr:uid="{A91E184E-FB5F-45EF-991B-C36624E48DA2}"/>
    <cellStyle name="Millares 3 3 3 6 3" xfId="2600" xr:uid="{6EAE667F-0AEB-40EA-AC21-2977837F33AA}"/>
    <cellStyle name="Millares 3 3 3 6 3 2" xfId="6448" xr:uid="{0283581C-EB4C-403C-82DB-528F7AD49F3D}"/>
    <cellStyle name="Millares 3 3 3 6 4" xfId="4524" xr:uid="{4A9E3A05-5769-4C4D-9C0F-0F81AB3F8502}"/>
    <cellStyle name="Millares 3 3 3 7" xfId="1157" xr:uid="{26E86FD1-BD84-4FFC-8F31-87F805E6D84F}"/>
    <cellStyle name="Millares 3 3 3 7 2" xfId="3081" xr:uid="{6F7D14B5-F5CB-43D0-984D-F55E28CC2B29}"/>
    <cellStyle name="Millares 3 3 3 7 2 2" xfId="6929" xr:uid="{26E265A7-3A98-4169-84F7-0E3228962BD3}"/>
    <cellStyle name="Millares 3 3 3 7 3" xfId="5005" xr:uid="{57A346AF-C0AD-40E6-9036-792CAF6497DB}"/>
    <cellStyle name="Millares 3 3 3 8" xfId="2119" xr:uid="{0B49507E-EE21-492E-9F5A-A494EDCD0F18}"/>
    <cellStyle name="Millares 3 3 3 8 2" xfId="5967" xr:uid="{2278FEB6-3CD8-4652-B8CD-FA49D345BC7B}"/>
    <cellStyle name="Millares 3 3 3 9" xfId="4043" xr:uid="{96FD66BB-300D-42AB-A5C7-19A2AE785036}"/>
    <cellStyle name="Millares 3 3 4" xfId="133" xr:uid="{360C2CD6-D2C0-4845-9482-3F6B9F369483}"/>
    <cellStyle name="Millares 3 3 4 2" xfId="281" xr:uid="{CB3381F3-ADFA-46F3-B398-5E7993291D7C}"/>
    <cellStyle name="Millares 3 3 4 2 2" xfId="532" xr:uid="{0C7FA897-A82C-45D1-85E5-8A2FB7372868}"/>
    <cellStyle name="Millares 3 3 4 2 2 2" xfId="1013" xr:uid="{449D6B5F-42D4-42D3-983A-A31C186995BD}"/>
    <cellStyle name="Millares 3 3 4 2 2 2 2" xfId="1975" xr:uid="{4EC9C6ED-EDBC-4D09-80EA-D57C40AD8167}"/>
    <cellStyle name="Millares 3 3 4 2 2 2 2 2" xfId="3899" xr:uid="{EF3C392A-0DB9-4753-A33D-524EB4536999}"/>
    <cellStyle name="Millares 3 3 4 2 2 2 2 2 2" xfId="7747" xr:uid="{C28D6D15-249E-42ED-B62D-7FA397E0D626}"/>
    <cellStyle name="Millares 3 3 4 2 2 2 2 3" xfId="5823" xr:uid="{E4FF4A60-1DC3-4BD2-9447-13E2BD3F6975}"/>
    <cellStyle name="Millares 3 3 4 2 2 2 3" xfId="2937" xr:uid="{9E7032FB-BE06-4431-A0E8-CD94F2EB6633}"/>
    <cellStyle name="Millares 3 3 4 2 2 2 3 2" xfId="6785" xr:uid="{EF7617C7-EFB1-49CF-84A7-699A67A56404}"/>
    <cellStyle name="Millares 3 3 4 2 2 2 4" xfId="4861" xr:uid="{73B83DD9-F06C-4BE6-BA1F-FED4ED430E1F}"/>
    <cellStyle name="Millares 3 3 4 2 2 3" xfId="1494" xr:uid="{57B2C6E3-92B7-4A3A-82BE-EFA861A36C6B}"/>
    <cellStyle name="Millares 3 3 4 2 2 3 2" xfId="3418" xr:uid="{69A3569A-FDFE-4BFB-907C-40F5EA973304}"/>
    <cellStyle name="Millares 3 3 4 2 2 3 2 2" xfId="7266" xr:uid="{FC196BC5-B03A-4283-8CCF-EDBE5419345C}"/>
    <cellStyle name="Millares 3 3 4 2 2 3 3" xfId="5342" xr:uid="{A74FAAF0-6C6B-4E93-84A9-4C789A0DBBCE}"/>
    <cellStyle name="Millares 3 3 4 2 2 4" xfId="2456" xr:uid="{4698560F-6704-4A97-9AF0-0B82D73FBABF}"/>
    <cellStyle name="Millares 3 3 4 2 2 4 2" xfId="6304" xr:uid="{D1E73994-19FD-4FDD-893A-262C74986A0A}"/>
    <cellStyle name="Millares 3 3 4 2 2 5" xfId="4380" xr:uid="{5CCEDBF5-9EEB-4F7C-90F2-C644B40B30DF}"/>
    <cellStyle name="Millares 3 3 4 2 3" xfId="773" xr:uid="{BEF3A070-A652-4E79-A482-9785A4D46310}"/>
    <cellStyle name="Millares 3 3 4 2 3 2" xfId="1735" xr:uid="{AC087825-4632-4F8B-80E3-AB10D09FE55E}"/>
    <cellStyle name="Millares 3 3 4 2 3 2 2" xfId="3659" xr:uid="{C6517912-F4F0-48F2-B6D8-41CA181C0DBD}"/>
    <cellStyle name="Millares 3 3 4 2 3 2 2 2" xfId="7507" xr:uid="{4A8EE0A5-B636-4DC1-B44F-7D38DD402DA2}"/>
    <cellStyle name="Millares 3 3 4 2 3 2 3" xfId="5583" xr:uid="{430901BF-C796-4B75-AC20-D07BBADB40DE}"/>
    <cellStyle name="Millares 3 3 4 2 3 3" xfId="2697" xr:uid="{310D4B8A-18F5-4B85-8BDB-DB72DBEA6867}"/>
    <cellStyle name="Millares 3 3 4 2 3 3 2" xfId="6545" xr:uid="{2AA377CF-8256-4855-8C20-E1B54E7ECC65}"/>
    <cellStyle name="Millares 3 3 4 2 3 4" xfId="4621" xr:uid="{A48B17A9-CDED-4FAF-8557-B09B54BD239C}"/>
    <cellStyle name="Millares 3 3 4 2 4" xfId="1254" xr:uid="{49B3B9BE-1686-49D0-B684-160D7811AFE1}"/>
    <cellStyle name="Millares 3 3 4 2 4 2" xfId="3178" xr:uid="{1340E831-0B20-4E47-A866-B84D81DD0577}"/>
    <cellStyle name="Millares 3 3 4 2 4 2 2" xfId="7026" xr:uid="{1C9D97B7-BE52-467A-BC77-82F8E5F7E2BE}"/>
    <cellStyle name="Millares 3 3 4 2 4 3" xfId="5102" xr:uid="{EE73396D-B666-460C-A7A2-CFEAC7D312AC}"/>
    <cellStyle name="Millares 3 3 4 2 5" xfId="2216" xr:uid="{8428D6A3-B9C6-4860-AB0A-0E6332424AF5}"/>
    <cellStyle name="Millares 3 3 4 2 5 2" xfId="6064" xr:uid="{71BEA8E2-212D-4063-86AD-7FC2C61DF8E2}"/>
    <cellStyle name="Millares 3 3 4 2 6" xfId="4140" xr:uid="{8FD50B0F-236D-4EB6-A764-B936BCF644F7}"/>
    <cellStyle name="Millares 3 3 4 3" xfId="400" xr:uid="{3A72A664-E692-4682-B8CE-538F05BA8CBF}"/>
    <cellStyle name="Millares 3 3 4 3 2" xfId="881" xr:uid="{DB5A8C20-0F7E-49D5-8423-F6B21265B5FE}"/>
    <cellStyle name="Millares 3 3 4 3 2 2" xfId="1843" xr:uid="{FBF9D4C5-BEF4-4C39-8778-F83E582869AC}"/>
    <cellStyle name="Millares 3 3 4 3 2 2 2" xfId="3767" xr:uid="{07847D20-A52F-4931-B538-D34997EA4118}"/>
    <cellStyle name="Millares 3 3 4 3 2 2 2 2" xfId="7615" xr:uid="{9E4E66BE-86CE-445B-8434-5CAB3625791E}"/>
    <cellStyle name="Millares 3 3 4 3 2 2 3" xfId="5691" xr:uid="{BCDD56E0-6D57-4E37-8F6E-756E745E9CCC}"/>
    <cellStyle name="Millares 3 3 4 3 2 3" xfId="2805" xr:uid="{40F58597-CDBC-4ED0-AD83-348B93626C33}"/>
    <cellStyle name="Millares 3 3 4 3 2 3 2" xfId="6653" xr:uid="{F0726D58-3359-4ED0-AF49-E1B2B4B0B01B}"/>
    <cellStyle name="Millares 3 3 4 3 2 4" xfId="4729" xr:uid="{BA916D30-1B3F-4828-929F-F2E4C02C96CA}"/>
    <cellStyle name="Millares 3 3 4 3 3" xfId="1362" xr:uid="{4632FD86-4B30-44B4-921E-957FA9CAA4CD}"/>
    <cellStyle name="Millares 3 3 4 3 3 2" xfId="3286" xr:uid="{D81D7C3E-5981-40A9-B34E-E895FD4A1F47}"/>
    <cellStyle name="Millares 3 3 4 3 3 2 2" xfId="7134" xr:uid="{239B0AFF-A938-4016-B540-75E32C2DA563}"/>
    <cellStyle name="Millares 3 3 4 3 3 3" xfId="5210" xr:uid="{97784ECD-4863-49C4-8310-FCE72D4FD2E5}"/>
    <cellStyle name="Millares 3 3 4 3 4" xfId="2324" xr:uid="{00AD3881-A308-4C10-95CF-D3090ABF2831}"/>
    <cellStyle name="Millares 3 3 4 3 4 2" xfId="6172" xr:uid="{0C95757F-1474-45D4-AB4B-C68B7E10A16F}"/>
    <cellStyle name="Millares 3 3 4 3 5" xfId="4248" xr:uid="{3F91E578-7785-4289-883A-E979A31AF509}"/>
    <cellStyle name="Millares 3 3 4 4" xfId="641" xr:uid="{F0A28798-C9F5-4076-BE81-4ACE4E8C53C6}"/>
    <cellStyle name="Millares 3 3 4 4 2" xfId="1603" xr:uid="{88861A2F-B465-46AD-9D5A-3819E354023B}"/>
    <cellStyle name="Millares 3 3 4 4 2 2" xfId="3527" xr:uid="{EBB64044-AE20-46F8-952C-93DAAD662B40}"/>
    <cellStyle name="Millares 3 3 4 4 2 2 2" xfId="7375" xr:uid="{EE5E72B0-7961-4089-B17F-23C5017EF7CA}"/>
    <cellStyle name="Millares 3 3 4 4 2 3" xfId="5451" xr:uid="{7F3D075D-0D4A-4A8B-BF69-EC196B2319F6}"/>
    <cellStyle name="Millares 3 3 4 4 3" xfId="2565" xr:uid="{05A8DA33-CF83-4A83-A7AC-8D9F33788811}"/>
    <cellStyle name="Millares 3 3 4 4 3 2" xfId="6413" xr:uid="{09F69E83-223A-4D77-BD36-B8F7A1AC35E8}"/>
    <cellStyle name="Millares 3 3 4 4 4" xfId="4489" xr:uid="{4B479DE8-9EA6-4173-B52B-A476C2BABEA9}"/>
    <cellStyle name="Millares 3 3 4 5" xfId="1122" xr:uid="{69E72F2D-1C36-4AA3-94D5-96C44154D44E}"/>
    <cellStyle name="Millares 3 3 4 5 2" xfId="3046" xr:uid="{10B6D056-039C-49E4-A669-14B2661443D9}"/>
    <cellStyle name="Millares 3 3 4 5 2 2" xfId="6894" xr:uid="{74D82739-35B4-45D2-9FFC-50FC3CA524F2}"/>
    <cellStyle name="Millares 3 3 4 5 3" xfId="4970" xr:uid="{AA9373B8-3CB9-4AE7-9F51-E99F4F9CE039}"/>
    <cellStyle name="Millares 3 3 4 6" xfId="2084" xr:uid="{91F62248-C1F3-4E87-9822-3C182DB011A4}"/>
    <cellStyle name="Millares 3 3 4 6 2" xfId="5932" xr:uid="{E5347FAC-6870-49CA-902C-7E5B6D80E2DD}"/>
    <cellStyle name="Millares 3 3 4 7" xfId="4008" xr:uid="{E6F91153-A995-45E7-A424-E63496246A62}"/>
    <cellStyle name="Millares 3 3 5" xfId="269" xr:uid="{25E9D426-5F77-491F-859B-9B5D834B1BA4}"/>
    <cellStyle name="Millares 3 3 5 2" xfId="521" xr:uid="{96880167-062A-4517-862A-F5E9C226BD9C}"/>
    <cellStyle name="Millares 3 3 5 2 2" xfId="1002" xr:uid="{743AF889-2970-4560-9483-AC53BDA96342}"/>
    <cellStyle name="Millares 3 3 5 2 2 2" xfId="1964" xr:uid="{6C4650B3-BD7F-40AE-8E9E-99F35A5C4818}"/>
    <cellStyle name="Millares 3 3 5 2 2 2 2" xfId="3888" xr:uid="{8E18C23A-276C-4FD6-8F1E-97B17647F026}"/>
    <cellStyle name="Millares 3 3 5 2 2 2 2 2" xfId="7736" xr:uid="{93E456C4-EB54-45C7-8E53-98C60E2CD7BB}"/>
    <cellStyle name="Millares 3 3 5 2 2 2 3" xfId="5812" xr:uid="{73D5B86D-D607-4FBA-8EC7-CB41FA020E3A}"/>
    <cellStyle name="Millares 3 3 5 2 2 3" xfId="2926" xr:uid="{D575B0F7-EAD3-4468-A12E-0F6F6E79D7AD}"/>
    <cellStyle name="Millares 3 3 5 2 2 3 2" xfId="6774" xr:uid="{D3EF4E26-5EC6-4340-A357-45F661E52022}"/>
    <cellStyle name="Millares 3 3 5 2 2 4" xfId="4850" xr:uid="{2BA27079-5E12-4AF3-A8C4-A3A5F56B192D}"/>
    <cellStyle name="Millares 3 3 5 2 3" xfId="1483" xr:uid="{1CAC4B54-83D9-4808-A3DA-DA2129B68AE1}"/>
    <cellStyle name="Millares 3 3 5 2 3 2" xfId="3407" xr:uid="{0F5EC3CD-BB1C-4E3B-98F1-4D6A7D2583E0}"/>
    <cellStyle name="Millares 3 3 5 2 3 2 2" xfId="7255" xr:uid="{7A3CD28A-76D3-4C6F-87A8-3A6CF7320BD0}"/>
    <cellStyle name="Millares 3 3 5 2 3 3" xfId="5331" xr:uid="{FDAA163E-8126-4737-A5C3-242E4AD0C671}"/>
    <cellStyle name="Millares 3 3 5 2 4" xfId="2445" xr:uid="{A3EC1668-B5E4-4C6A-8EDC-1C9367DDAB25}"/>
    <cellStyle name="Millares 3 3 5 2 4 2" xfId="6293" xr:uid="{4F848001-CE83-41B3-AE04-FB31AB03F1AB}"/>
    <cellStyle name="Millares 3 3 5 2 5" xfId="4369" xr:uid="{37C12190-167B-4F13-BF46-E75861B3938C}"/>
    <cellStyle name="Millares 3 3 5 3" xfId="762" xr:uid="{2A269A91-E899-4EAA-96E8-F0CDE69DC39B}"/>
    <cellStyle name="Millares 3 3 5 3 2" xfId="1724" xr:uid="{2F373B3A-FB7D-476D-8E99-E70DB9589AD9}"/>
    <cellStyle name="Millares 3 3 5 3 2 2" xfId="3648" xr:uid="{39459566-6A32-47E8-95F7-861E4D4ADE0B}"/>
    <cellStyle name="Millares 3 3 5 3 2 2 2" xfId="7496" xr:uid="{5AF06FD0-A0F3-4EF5-8871-7AF8839D0D4B}"/>
    <cellStyle name="Millares 3 3 5 3 2 3" xfId="5572" xr:uid="{9413E2A2-D731-4312-A0D3-A43B37786A64}"/>
    <cellStyle name="Millares 3 3 5 3 3" xfId="2686" xr:uid="{C47973FC-8CE8-49A9-9B1A-C728B8633362}"/>
    <cellStyle name="Millares 3 3 5 3 3 2" xfId="6534" xr:uid="{E7E766CF-4CBA-4EA2-90F6-41F671E5E53F}"/>
    <cellStyle name="Millares 3 3 5 3 4" xfId="4610" xr:uid="{8CC232D8-BF0F-4D52-9E9F-87C4A18B5917}"/>
    <cellStyle name="Millares 3 3 5 4" xfId="1243" xr:uid="{1BCBAA52-8F0F-4106-B285-0AB109E8E144}"/>
    <cellStyle name="Millares 3 3 5 4 2" xfId="3167" xr:uid="{6A1E32F7-4EC4-4064-AB95-35B9C1F087C5}"/>
    <cellStyle name="Millares 3 3 5 4 2 2" xfId="7015" xr:uid="{75CA206E-31EC-4E92-9231-A6A70F89FC48}"/>
    <cellStyle name="Millares 3 3 5 4 3" xfId="5091" xr:uid="{FCD671D5-20F7-483D-90AB-82FCFCD3F4A2}"/>
    <cellStyle name="Millares 3 3 5 5" xfId="2205" xr:uid="{B71AA347-349C-41B0-B3FB-C899F525D058}"/>
    <cellStyle name="Millares 3 3 5 5 2" xfId="6053" xr:uid="{009908FA-CD0B-4C1F-B180-DDB775CAF69E}"/>
    <cellStyle name="Millares 3 3 5 6" xfId="4129" xr:uid="{A75BB1DF-A252-4D89-9A40-77CB185540F4}"/>
    <cellStyle name="Millares 3 3 6" xfId="389" xr:uid="{5B6F2DC5-04BF-41D3-8281-F11AD451860B}"/>
    <cellStyle name="Millares 3 3 6 2" xfId="870" xr:uid="{1177675D-16B1-4174-8D45-3EAD0EF3BC8B}"/>
    <cellStyle name="Millares 3 3 6 2 2" xfId="1832" xr:uid="{15F4FB3C-64E0-45C1-9AC9-DC5268928F45}"/>
    <cellStyle name="Millares 3 3 6 2 2 2" xfId="3756" xr:uid="{7AD093C8-C0D5-4F03-AF1A-88828A0906B7}"/>
    <cellStyle name="Millares 3 3 6 2 2 2 2" xfId="7604" xr:uid="{1D34FAFA-68BD-4ED4-BC34-3ECF38C2A85C}"/>
    <cellStyle name="Millares 3 3 6 2 2 3" xfId="5680" xr:uid="{2660EE2A-30F7-4E2F-B7BB-851FAAB2BF39}"/>
    <cellStyle name="Millares 3 3 6 2 3" xfId="2794" xr:uid="{0849AF60-97C5-45F3-97E9-234B63B08E20}"/>
    <cellStyle name="Millares 3 3 6 2 3 2" xfId="6642" xr:uid="{F4D76FD1-53EE-4790-B19E-C66012C2566E}"/>
    <cellStyle name="Millares 3 3 6 2 4" xfId="4718" xr:uid="{CD34A13E-7889-49E9-A2D3-CC8B440D9B76}"/>
    <cellStyle name="Millares 3 3 6 3" xfId="1351" xr:uid="{F22793EB-317B-4B3F-8E52-618A0CB67BD4}"/>
    <cellStyle name="Millares 3 3 6 3 2" xfId="3275" xr:uid="{CE39402B-9554-404C-A37C-74213D8E0B98}"/>
    <cellStyle name="Millares 3 3 6 3 2 2" xfId="7123" xr:uid="{19A5085C-66F9-4E7E-9BFA-09C474F072B6}"/>
    <cellStyle name="Millares 3 3 6 3 3" xfId="5199" xr:uid="{E6891764-2F7E-470E-9A3F-181FC64C91A7}"/>
    <cellStyle name="Millares 3 3 6 4" xfId="2313" xr:uid="{EB455E59-2F19-424E-AA91-3792932C9993}"/>
    <cellStyle name="Millares 3 3 6 4 2" xfId="6161" xr:uid="{7FBEA0D3-59F0-4BFA-9765-D24E845EB34D}"/>
    <cellStyle name="Millares 3 3 6 5" xfId="4237" xr:uid="{88B46C75-F0A1-4232-BBDC-71EC166BDC22}"/>
    <cellStyle name="Millares 3 3 7" xfId="630" xr:uid="{CD10BBB3-2D79-46D0-B10E-AABC378759AB}"/>
    <cellStyle name="Millares 3 3 7 2" xfId="1592" xr:uid="{757FBB67-519A-4261-A42C-36132EC6F294}"/>
    <cellStyle name="Millares 3 3 7 2 2" xfId="3516" xr:uid="{BE16E59B-016C-4A45-9AE4-83F02E4B7541}"/>
    <cellStyle name="Millares 3 3 7 2 2 2" xfId="7364" xr:uid="{6B6AB184-F58C-491A-8D38-B2740CD8999E}"/>
    <cellStyle name="Millares 3 3 7 2 3" xfId="5440" xr:uid="{BE956FF4-294B-4B29-B4EB-D2C06A056E0E}"/>
    <cellStyle name="Millares 3 3 7 3" xfId="2554" xr:uid="{377E2078-127E-4F0A-AE52-4F1C119A484C}"/>
    <cellStyle name="Millares 3 3 7 3 2" xfId="6402" xr:uid="{6FE2747F-8DDB-4981-B76D-959AA57F1F12}"/>
    <cellStyle name="Millares 3 3 7 4" xfId="4478" xr:uid="{417964EE-ECB9-4455-8259-A8B44A0FBEA6}"/>
    <cellStyle name="Millares 3 3 8" xfId="1111" xr:uid="{718FB0FB-A524-4D9A-BE8A-ABA25AB94D1F}"/>
    <cellStyle name="Millares 3 3 8 2" xfId="3035" xr:uid="{1092FC0A-E091-41CA-BF79-8D06C59BD4DE}"/>
    <cellStyle name="Millares 3 3 8 2 2" xfId="6883" xr:uid="{3F764DA7-8825-4869-90CE-CACA94CB1958}"/>
    <cellStyle name="Millares 3 3 8 3" xfId="4959" xr:uid="{0E30901A-DC52-4AEE-AEB0-31FD27183AEB}"/>
    <cellStyle name="Millares 3 3 9" xfId="2073" xr:uid="{38AF2D6E-7A20-4447-A372-3D5C06AECD51}"/>
    <cellStyle name="Millares 3 3 9 2" xfId="5921" xr:uid="{1B428F65-712A-4ACB-8F6B-7B36B9CB83E4}"/>
    <cellStyle name="Millares 3 4" xfId="125" xr:uid="{22140C9A-AFF9-4106-8BCC-B4D17BD56034}"/>
    <cellStyle name="Millares 3 4 10" xfId="2077" xr:uid="{E8945DA6-8254-4841-969C-54A1054BAFC5}"/>
    <cellStyle name="Millares 3 4 10 2" xfId="5925" xr:uid="{D2DD86CC-EFAA-41D0-AD29-FF8EDB3F94AB}"/>
    <cellStyle name="Millares 3 4 11" xfId="4001" xr:uid="{206FD8D4-9DD9-4051-91BB-892AF5B95B7F}"/>
    <cellStyle name="Millares 3 4 12" xfId="7935" xr:uid="{CD547ACD-1FCB-43DD-98F7-DD19E50A42AD}"/>
    <cellStyle name="Millares 3 4 2" xfId="185" xr:uid="{ED8246AC-E267-4EAF-B878-DF7EF1C878CB}"/>
    <cellStyle name="Millares 3 4 2 2" xfId="219" xr:uid="{3ED5F159-5857-49AC-9683-1E32421F22F4}"/>
    <cellStyle name="Millares 3 4 2 2 2" xfId="353" xr:uid="{6B19C5D8-1D64-48CE-AFA8-7ACB24A81B3C}"/>
    <cellStyle name="Millares 3 4 2 2 2 2" xfId="604" xr:uid="{C3B9AF03-F527-4264-83D1-B4C4EE6C5956}"/>
    <cellStyle name="Millares 3 4 2 2 2 2 2" xfId="1085" xr:uid="{C906A6AF-95F5-4C85-B671-8163FC91601C}"/>
    <cellStyle name="Millares 3 4 2 2 2 2 2 2" xfId="2047" xr:uid="{A3D3549C-44AB-4B53-A6D6-0FB95DD0C3F6}"/>
    <cellStyle name="Millares 3 4 2 2 2 2 2 2 2" xfId="3971" xr:uid="{9038E5C6-90C7-4B37-A21F-312B4AB49E01}"/>
    <cellStyle name="Millares 3 4 2 2 2 2 2 2 2 2" xfId="7819" xr:uid="{011873B5-ECCA-4061-B265-C5D7FC8A2D56}"/>
    <cellStyle name="Millares 3 4 2 2 2 2 2 2 3" xfId="5895" xr:uid="{B802EFB9-CC50-4B05-ABA6-43C3611DEE60}"/>
    <cellStyle name="Millares 3 4 2 2 2 2 2 3" xfId="3009" xr:uid="{C49D2DB4-7D4E-409C-B10A-64AA6D4502B4}"/>
    <cellStyle name="Millares 3 4 2 2 2 2 2 3 2" xfId="6857" xr:uid="{43D1F7FE-A912-4F54-93A2-E96EB75F8C4B}"/>
    <cellStyle name="Millares 3 4 2 2 2 2 2 4" xfId="4933" xr:uid="{DB24D3CF-1256-445E-B1C1-3F5E50B50085}"/>
    <cellStyle name="Millares 3 4 2 2 2 2 3" xfId="1566" xr:uid="{BDEE8CE1-3522-40D6-96E8-E9C077A5F69F}"/>
    <cellStyle name="Millares 3 4 2 2 2 2 3 2" xfId="3490" xr:uid="{AD909BFF-263B-4178-822E-6A5722CD9F39}"/>
    <cellStyle name="Millares 3 4 2 2 2 2 3 2 2" xfId="7338" xr:uid="{33BB8BD4-C907-4D97-9D84-4F0AE5184503}"/>
    <cellStyle name="Millares 3 4 2 2 2 2 3 3" xfId="5414" xr:uid="{CF421175-8EBC-4A1F-B946-9417D6C7FA93}"/>
    <cellStyle name="Millares 3 4 2 2 2 2 4" xfId="2528" xr:uid="{59414339-94A4-4114-8953-E59CCED5A524}"/>
    <cellStyle name="Millares 3 4 2 2 2 2 4 2" xfId="6376" xr:uid="{7F6D16A2-0713-4152-AF3C-81FDEA022145}"/>
    <cellStyle name="Millares 3 4 2 2 2 2 5" xfId="4452" xr:uid="{ACEBBA4B-DF8F-4652-859F-D06D80697A4C}"/>
    <cellStyle name="Millares 3 4 2 2 2 3" xfId="845" xr:uid="{7C1B8FC4-8103-43AC-AB5D-3CC33865F2E1}"/>
    <cellStyle name="Millares 3 4 2 2 2 3 2" xfId="1807" xr:uid="{CDA97BA7-B5BB-462D-B838-BB01CF1DE937}"/>
    <cellStyle name="Millares 3 4 2 2 2 3 2 2" xfId="3731" xr:uid="{F3DCE449-D6FC-47E3-988E-D7002E435DE4}"/>
    <cellStyle name="Millares 3 4 2 2 2 3 2 2 2" xfId="7579" xr:uid="{57A0F89F-EC39-4495-8B4A-7B6003DA7ADF}"/>
    <cellStyle name="Millares 3 4 2 2 2 3 2 3" xfId="5655" xr:uid="{1D6A66ED-B179-46E9-9E72-17DDD46A7FD2}"/>
    <cellStyle name="Millares 3 4 2 2 2 3 3" xfId="2769" xr:uid="{142BF980-6029-40DD-8038-16C917D27650}"/>
    <cellStyle name="Millares 3 4 2 2 2 3 3 2" xfId="6617" xr:uid="{2B1F473B-4150-472D-BEE2-94691124276B}"/>
    <cellStyle name="Millares 3 4 2 2 2 3 4" xfId="4693" xr:uid="{02044C06-1BF8-4990-A123-1B40BFA9CC5A}"/>
    <cellStyle name="Millares 3 4 2 2 2 4" xfId="1326" xr:uid="{D02244DE-E518-49D7-B32B-F17D1FB4EA11}"/>
    <cellStyle name="Millares 3 4 2 2 2 4 2" xfId="3250" xr:uid="{7A919E35-B646-4A71-B93C-C503E7312CAE}"/>
    <cellStyle name="Millares 3 4 2 2 2 4 2 2" xfId="7098" xr:uid="{C4E9913E-8A3E-4701-A3FB-524D5548B6A2}"/>
    <cellStyle name="Millares 3 4 2 2 2 4 3" xfId="5174" xr:uid="{9A3AE238-B782-4637-B72B-38BED7064D49}"/>
    <cellStyle name="Millares 3 4 2 2 2 5" xfId="2288" xr:uid="{AB230B55-3AF5-42C4-AF73-6E2BE7050B84}"/>
    <cellStyle name="Millares 3 4 2 2 2 5 2" xfId="6136" xr:uid="{D927EEB2-CB9A-40B8-A0E4-E8288C6B5141}"/>
    <cellStyle name="Millares 3 4 2 2 2 6" xfId="4212" xr:uid="{E21E9B6E-BD83-4581-8CC8-544CB5501DAF}"/>
    <cellStyle name="Millares 3 4 2 2 3" xfId="472" xr:uid="{13250C19-A471-4748-9C74-585A0CD2A2E6}"/>
    <cellStyle name="Millares 3 4 2 2 3 2" xfId="953" xr:uid="{C77C6A97-7E64-473D-B362-24BF11BE88D2}"/>
    <cellStyle name="Millares 3 4 2 2 3 2 2" xfId="1915" xr:uid="{3654BD48-5F52-4A0E-9099-A5A44F9FDB92}"/>
    <cellStyle name="Millares 3 4 2 2 3 2 2 2" xfId="3839" xr:uid="{4DA42815-D9EA-4803-8623-4A7B64BCDAFB}"/>
    <cellStyle name="Millares 3 4 2 2 3 2 2 2 2" xfId="7687" xr:uid="{2BC1F87C-7942-4746-8EE3-118C9E75081C}"/>
    <cellStyle name="Millares 3 4 2 2 3 2 2 3" xfId="5763" xr:uid="{86A16580-D9FB-4603-A28B-92959973EEF1}"/>
    <cellStyle name="Millares 3 4 2 2 3 2 3" xfId="2877" xr:uid="{43611F79-4A6D-4B15-8D6A-E459A35F01B8}"/>
    <cellStyle name="Millares 3 4 2 2 3 2 3 2" xfId="6725" xr:uid="{EA8B6972-485D-4DE5-89B9-BF38F45856DE}"/>
    <cellStyle name="Millares 3 4 2 2 3 2 4" xfId="4801" xr:uid="{B9745FD0-8BB0-49EB-B9E1-83A7D7F51307}"/>
    <cellStyle name="Millares 3 4 2 2 3 3" xfId="1434" xr:uid="{5516CF25-F6E8-42E6-B9F1-E1BAAE7D0949}"/>
    <cellStyle name="Millares 3 4 2 2 3 3 2" xfId="3358" xr:uid="{5B9FA3F3-EB5D-437F-B4ED-13A832734839}"/>
    <cellStyle name="Millares 3 4 2 2 3 3 2 2" xfId="7206" xr:uid="{EE6E47D4-82A6-46BF-BE45-7DADE971EC73}"/>
    <cellStyle name="Millares 3 4 2 2 3 3 3" xfId="5282" xr:uid="{3D7FCDC8-63A4-4670-A225-DB865BF41413}"/>
    <cellStyle name="Millares 3 4 2 2 3 4" xfId="2396" xr:uid="{497367EB-CF0E-409A-89B6-9C3A6605A626}"/>
    <cellStyle name="Millares 3 4 2 2 3 4 2" xfId="6244" xr:uid="{23AC3A37-7527-4850-AE1E-E1B331495ABD}"/>
    <cellStyle name="Millares 3 4 2 2 3 5" xfId="4320" xr:uid="{51A99C5B-C380-403A-88AC-7F8B8EA883D1}"/>
    <cellStyle name="Millares 3 4 2 2 4" xfId="713" xr:uid="{0EBD0F54-50D5-4E36-BF05-1039DE4885D2}"/>
    <cellStyle name="Millares 3 4 2 2 4 2" xfId="1675" xr:uid="{E43602BD-DCB2-4D6C-A7B2-F2258B6636BF}"/>
    <cellStyle name="Millares 3 4 2 2 4 2 2" xfId="3599" xr:uid="{4EC8C493-B8DF-479C-8329-E5831EB0918D}"/>
    <cellStyle name="Millares 3 4 2 2 4 2 2 2" xfId="7447" xr:uid="{E22D9077-835F-4E99-90B4-CDC342576D8A}"/>
    <cellStyle name="Millares 3 4 2 2 4 2 3" xfId="5523" xr:uid="{3589C08F-7FFB-424A-BF9E-9D7DDB438E22}"/>
    <cellStyle name="Millares 3 4 2 2 4 3" xfId="2637" xr:uid="{58BA8A78-FA51-4627-B2C4-D6E44253D2D5}"/>
    <cellStyle name="Millares 3 4 2 2 4 3 2" xfId="6485" xr:uid="{B9E1B705-F8BF-471E-818A-7A44860D8F34}"/>
    <cellStyle name="Millares 3 4 2 2 4 4" xfId="4561" xr:uid="{4761BE29-89E2-402B-860A-65414F22B591}"/>
    <cellStyle name="Millares 3 4 2 2 5" xfId="1194" xr:uid="{778DCFD5-A583-4171-B04F-8A2D1404A2B7}"/>
    <cellStyle name="Millares 3 4 2 2 5 2" xfId="3118" xr:uid="{18EE477E-C4AD-4C78-964D-BC46F2889B6B}"/>
    <cellStyle name="Millares 3 4 2 2 5 2 2" xfId="6966" xr:uid="{903958D8-4DE3-4016-BF5B-DD219FDB9D84}"/>
    <cellStyle name="Millares 3 4 2 2 5 3" xfId="5042" xr:uid="{7DEE208B-8F8B-418C-9B07-6C48DB2B1A7A}"/>
    <cellStyle name="Millares 3 4 2 2 6" xfId="2156" xr:uid="{BA87EB14-AEA5-483F-8EC0-52D16CBCB716}"/>
    <cellStyle name="Millares 3 4 2 2 6 2" xfId="6004" xr:uid="{F0E91782-7252-4EED-9695-49CF45F8EA18}"/>
    <cellStyle name="Millares 3 4 2 2 7" xfId="4080" xr:uid="{E8EF54A3-3D33-415E-952E-49949AE45608}"/>
    <cellStyle name="Millares 3 4 2 3" xfId="320" xr:uid="{C3132E13-03AE-4F8F-A0F1-3B88F9F9EE74}"/>
    <cellStyle name="Millares 3 4 2 3 2" xfId="571" xr:uid="{36F756F7-3A19-4295-AC66-48B92C1B8E42}"/>
    <cellStyle name="Millares 3 4 2 3 2 2" xfId="1052" xr:uid="{90693F04-37A8-4331-A9C2-A32A472D13F6}"/>
    <cellStyle name="Millares 3 4 2 3 2 2 2" xfId="2014" xr:uid="{22C9CA7B-D5F1-4309-B16C-7F54E45300AD}"/>
    <cellStyle name="Millares 3 4 2 3 2 2 2 2" xfId="3938" xr:uid="{EC67FBFE-8900-4563-80D7-299B5B2D4BAA}"/>
    <cellStyle name="Millares 3 4 2 3 2 2 2 2 2" xfId="7786" xr:uid="{CF5125F7-1038-4633-8DAD-029C591B4975}"/>
    <cellStyle name="Millares 3 4 2 3 2 2 2 3" xfId="5862" xr:uid="{F0A27E8B-A785-4735-AC76-39475BF020B9}"/>
    <cellStyle name="Millares 3 4 2 3 2 2 3" xfId="2976" xr:uid="{1DB47091-B357-473E-8DDE-D1F640BF754B}"/>
    <cellStyle name="Millares 3 4 2 3 2 2 3 2" xfId="6824" xr:uid="{363F6541-AB1B-4F51-A803-3425C526AE7E}"/>
    <cellStyle name="Millares 3 4 2 3 2 2 4" xfId="4900" xr:uid="{6F5BC0DC-F3F2-434B-958E-CCF3D5B9E8B5}"/>
    <cellStyle name="Millares 3 4 2 3 2 3" xfId="1533" xr:uid="{5D2D307F-2633-4C1C-AB29-0AFCC69A5C07}"/>
    <cellStyle name="Millares 3 4 2 3 2 3 2" xfId="3457" xr:uid="{1D8F8C2A-6634-4DD5-80E2-94286691E3DC}"/>
    <cellStyle name="Millares 3 4 2 3 2 3 2 2" xfId="7305" xr:uid="{13F6A3A0-9F53-4234-A5B4-C616339B5B01}"/>
    <cellStyle name="Millares 3 4 2 3 2 3 3" xfId="5381" xr:uid="{6715A1AA-FFA1-4231-8674-253F65F7A615}"/>
    <cellStyle name="Millares 3 4 2 3 2 4" xfId="2495" xr:uid="{192CF67B-316A-446E-938E-37EFD3A24D78}"/>
    <cellStyle name="Millares 3 4 2 3 2 4 2" xfId="6343" xr:uid="{4476F9A4-0651-4E65-827D-B5783BD3D32C}"/>
    <cellStyle name="Millares 3 4 2 3 2 5" xfId="4419" xr:uid="{33C3731E-EB78-4302-A006-A3CC268AAEDD}"/>
    <cellStyle name="Millares 3 4 2 3 3" xfId="812" xr:uid="{04B16245-D61A-4106-8DCE-6A307BAF9186}"/>
    <cellStyle name="Millares 3 4 2 3 3 2" xfId="1774" xr:uid="{57DDA5BB-54AE-476F-B770-6D71A5D1B454}"/>
    <cellStyle name="Millares 3 4 2 3 3 2 2" xfId="3698" xr:uid="{A4AFD570-09BF-4C39-91F8-0A6EDB3465C7}"/>
    <cellStyle name="Millares 3 4 2 3 3 2 2 2" xfId="7546" xr:uid="{E946A8B2-C40C-4D7D-9FB0-053E6B37FFC2}"/>
    <cellStyle name="Millares 3 4 2 3 3 2 3" xfId="5622" xr:uid="{B697D48B-7C3E-4B3E-A790-46F332F98226}"/>
    <cellStyle name="Millares 3 4 2 3 3 3" xfId="2736" xr:uid="{B776325B-3929-42EA-8C4B-482DCA74146B}"/>
    <cellStyle name="Millares 3 4 2 3 3 3 2" xfId="6584" xr:uid="{37D1995D-C0A8-4A1A-8BB8-C0505465FA4E}"/>
    <cellStyle name="Millares 3 4 2 3 3 4" xfId="4660" xr:uid="{11D0361E-83E8-4B03-BC1B-2270E8B22422}"/>
    <cellStyle name="Millares 3 4 2 3 4" xfId="1293" xr:uid="{59F9204A-833D-43F2-96B2-6DA5CD1F5F64}"/>
    <cellStyle name="Millares 3 4 2 3 4 2" xfId="3217" xr:uid="{2F58B0FC-1B04-4361-9BD2-064511A2ADF9}"/>
    <cellStyle name="Millares 3 4 2 3 4 2 2" xfId="7065" xr:uid="{C1FB7D91-E2B9-456A-9493-EF703000BB72}"/>
    <cellStyle name="Millares 3 4 2 3 4 3" xfId="5141" xr:uid="{6E7E07DC-8C08-430E-B5F0-95D260FB2D4C}"/>
    <cellStyle name="Millares 3 4 2 3 5" xfId="2255" xr:uid="{126BAE51-1E7F-49F5-84C3-4F31A8F64BC5}"/>
    <cellStyle name="Millares 3 4 2 3 5 2" xfId="6103" xr:uid="{0907A61B-F983-40B2-850E-06D73494C6B7}"/>
    <cellStyle name="Millares 3 4 2 3 6" xfId="4179" xr:uid="{44F547B5-DF83-4F22-A8B1-24C9FAB4C9C1}"/>
    <cellStyle name="Millares 3 4 2 4" xfId="253" xr:uid="{C9741F63-D008-4F4A-903B-339323452869}"/>
    <cellStyle name="Millares 3 4 2 4 2" xfId="505" xr:uid="{C1D0E149-3F57-4F47-B94B-845BA287EA0B}"/>
    <cellStyle name="Millares 3 4 2 4 2 2" xfId="986" xr:uid="{BD182FFD-4CB9-4420-B2E3-60B9A709D893}"/>
    <cellStyle name="Millares 3 4 2 4 2 2 2" xfId="1948" xr:uid="{1503B283-5662-4DF7-BCE4-AFA5E73ECE55}"/>
    <cellStyle name="Millares 3 4 2 4 2 2 2 2" xfId="3872" xr:uid="{463ED24F-48FC-4109-A4FD-3B86F4BC863F}"/>
    <cellStyle name="Millares 3 4 2 4 2 2 2 2 2" xfId="7720" xr:uid="{C59A8C63-EFD5-4EE7-91C3-53998CC89D61}"/>
    <cellStyle name="Millares 3 4 2 4 2 2 2 3" xfId="5796" xr:uid="{17A92B34-7BCA-48A1-AAF8-6041C2CD1BBE}"/>
    <cellStyle name="Millares 3 4 2 4 2 2 3" xfId="2910" xr:uid="{F92FAA13-75F4-412C-A4F8-BAC3275FC3FD}"/>
    <cellStyle name="Millares 3 4 2 4 2 2 3 2" xfId="6758" xr:uid="{12D33EDA-6B51-4617-9799-B81D07EFE747}"/>
    <cellStyle name="Millares 3 4 2 4 2 2 4" xfId="4834" xr:uid="{84CB3A33-15E0-4A9D-868D-E02839ABAA83}"/>
    <cellStyle name="Millares 3 4 2 4 2 3" xfId="1467" xr:uid="{E8950F71-0DCD-4ED4-982C-6C54D1BB1189}"/>
    <cellStyle name="Millares 3 4 2 4 2 3 2" xfId="3391" xr:uid="{C4761C25-8712-4D2D-A4B8-F3393D1330B2}"/>
    <cellStyle name="Millares 3 4 2 4 2 3 2 2" xfId="7239" xr:uid="{47ED62D0-014E-4A77-8817-06A79157B2BF}"/>
    <cellStyle name="Millares 3 4 2 4 2 3 3" xfId="5315" xr:uid="{2E9067AD-F22E-422E-BC05-A5552796CD21}"/>
    <cellStyle name="Millares 3 4 2 4 2 4" xfId="2429" xr:uid="{693F0493-EA53-443B-92E9-AB6CA5CA79BC}"/>
    <cellStyle name="Millares 3 4 2 4 2 4 2" xfId="6277" xr:uid="{F3913E12-641D-49F1-8102-061F5652A06C}"/>
    <cellStyle name="Millares 3 4 2 4 2 5" xfId="4353" xr:uid="{5E157968-6A38-4E5B-8338-1408D2ADF291}"/>
    <cellStyle name="Millares 3 4 2 4 3" xfId="746" xr:uid="{ED46D454-E60D-4269-A4DF-5CBC6D2D5C6E}"/>
    <cellStyle name="Millares 3 4 2 4 3 2" xfId="1708" xr:uid="{564F70AF-AB51-41FC-8863-F9FA780B7370}"/>
    <cellStyle name="Millares 3 4 2 4 3 2 2" xfId="3632" xr:uid="{92199757-1752-4E52-A3ED-134F52DEE87E}"/>
    <cellStyle name="Millares 3 4 2 4 3 2 2 2" xfId="7480" xr:uid="{E50199E4-3F29-4BF6-991B-F7496066E07A}"/>
    <cellStyle name="Millares 3 4 2 4 3 2 3" xfId="5556" xr:uid="{E6CBC9BC-4904-42BF-890A-5A5A5D0CF425}"/>
    <cellStyle name="Millares 3 4 2 4 3 3" xfId="2670" xr:uid="{7F983BD1-997B-4738-B7BC-8866788105F8}"/>
    <cellStyle name="Millares 3 4 2 4 3 3 2" xfId="6518" xr:uid="{FE460F2C-2A5B-4B9C-89A2-2E241A7E5902}"/>
    <cellStyle name="Millares 3 4 2 4 3 4" xfId="4594" xr:uid="{CCBB09DD-CD94-434F-9D53-29050A833EEF}"/>
    <cellStyle name="Millares 3 4 2 4 4" xfId="1227" xr:uid="{1E940BA2-67A8-44FF-B913-90BF2791C358}"/>
    <cellStyle name="Millares 3 4 2 4 4 2" xfId="3151" xr:uid="{0B07F5AF-7577-4F2F-9B2F-612143A59043}"/>
    <cellStyle name="Millares 3 4 2 4 4 2 2" xfId="6999" xr:uid="{0415A803-859F-4A10-A611-C9355D9FAA36}"/>
    <cellStyle name="Millares 3 4 2 4 4 3" xfId="5075" xr:uid="{E7AD72E9-587B-417F-AC6B-42D432DEB226}"/>
    <cellStyle name="Millares 3 4 2 4 5" xfId="2189" xr:uid="{EE61398E-8C60-41CD-AA2D-1819420E6D96}"/>
    <cellStyle name="Millares 3 4 2 4 5 2" xfId="6037" xr:uid="{F41B83A6-6ED2-44AE-AB82-3B5A1A63BC61}"/>
    <cellStyle name="Millares 3 4 2 4 6" xfId="4113" xr:uid="{BA5D36E8-EABE-4A12-A03E-FCB15247B40B}"/>
    <cellStyle name="Millares 3 4 2 5" xfId="439" xr:uid="{F7F8FE6D-4707-4B9D-9CDF-FBCF2EF82C0F}"/>
    <cellStyle name="Millares 3 4 2 5 2" xfId="920" xr:uid="{984D732F-08A2-4542-B0F3-2B062C4044D8}"/>
    <cellStyle name="Millares 3 4 2 5 2 2" xfId="1882" xr:uid="{7ECD7AB2-EFCB-4737-899A-D35BEA73F098}"/>
    <cellStyle name="Millares 3 4 2 5 2 2 2" xfId="3806" xr:uid="{A505F139-F3B3-4470-AD35-2650993DF982}"/>
    <cellStyle name="Millares 3 4 2 5 2 2 2 2" xfId="7654" xr:uid="{22A07A90-055C-48A7-A73F-25AF8246216C}"/>
    <cellStyle name="Millares 3 4 2 5 2 2 3" xfId="5730" xr:uid="{6794DC21-BB65-46C7-9C6F-84A6EADEE30B}"/>
    <cellStyle name="Millares 3 4 2 5 2 3" xfId="2844" xr:uid="{8FDCC71C-973B-4115-82B4-128F49017576}"/>
    <cellStyle name="Millares 3 4 2 5 2 3 2" xfId="6692" xr:uid="{3C9FB003-4D18-4001-AD2A-F690A661E3E0}"/>
    <cellStyle name="Millares 3 4 2 5 2 4" xfId="4768" xr:uid="{15B65158-125F-4937-A1B3-D10D4163CA41}"/>
    <cellStyle name="Millares 3 4 2 5 3" xfId="1401" xr:uid="{02684CF9-D5C0-4FD9-912C-C540A4F3F8C8}"/>
    <cellStyle name="Millares 3 4 2 5 3 2" xfId="3325" xr:uid="{70907B1A-305C-4BBD-82DF-B907B4ECE5BF}"/>
    <cellStyle name="Millares 3 4 2 5 3 2 2" xfId="7173" xr:uid="{F8E63234-6095-4E7F-BB91-5EC1EEC01A1C}"/>
    <cellStyle name="Millares 3 4 2 5 3 3" xfId="5249" xr:uid="{099C0649-7872-483A-BC00-C1413083EFFA}"/>
    <cellStyle name="Millares 3 4 2 5 4" xfId="2363" xr:uid="{2596B200-340B-48DE-8C7E-637147C3452E}"/>
    <cellStyle name="Millares 3 4 2 5 4 2" xfId="6211" xr:uid="{33C1BB38-ECB7-4EE7-AA2F-36E38C5BF9E1}"/>
    <cellStyle name="Millares 3 4 2 5 5" xfId="4287" xr:uid="{32A29C20-FC3F-40C7-B63B-0CD3AE5B1D7D}"/>
    <cellStyle name="Millares 3 4 2 6" xfId="680" xr:uid="{8276AF07-DAB9-4CAF-B693-56F92C5A01F9}"/>
    <cellStyle name="Millares 3 4 2 6 2" xfId="1642" xr:uid="{24958F85-EEE2-4D73-9A80-0860E3E9714C}"/>
    <cellStyle name="Millares 3 4 2 6 2 2" xfId="3566" xr:uid="{CCAA073F-8929-445A-8D1C-C03EDE82A416}"/>
    <cellStyle name="Millares 3 4 2 6 2 2 2" xfId="7414" xr:uid="{92FC460D-D80F-49EB-BD58-7D3DA77F94B1}"/>
    <cellStyle name="Millares 3 4 2 6 2 3" xfId="5490" xr:uid="{3B025D15-44B6-410D-BE9B-7E54AF6DA742}"/>
    <cellStyle name="Millares 3 4 2 6 3" xfId="2604" xr:uid="{8642553A-6781-48A1-83AE-E1009B2B6C3A}"/>
    <cellStyle name="Millares 3 4 2 6 3 2" xfId="6452" xr:uid="{4231F4C3-215D-418B-AD87-065729F93769}"/>
    <cellStyle name="Millares 3 4 2 6 4" xfId="4528" xr:uid="{D04EACE4-AB7C-4904-B51A-51FC074B8422}"/>
    <cellStyle name="Millares 3 4 2 7" xfId="1161" xr:uid="{A874ECAA-30CE-42C5-A6B1-D7DF421317E7}"/>
    <cellStyle name="Millares 3 4 2 7 2" xfId="3085" xr:uid="{FFBF7B28-06D1-422F-BC78-688DFF768E99}"/>
    <cellStyle name="Millares 3 4 2 7 2 2" xfId="6933" xr:uid="{CD5AAC5F-A1B9-4CE1-B36A-C1657589FC7C}"/>
    <cellStyle name="Millares 3 4 2 7 3" xfId="5009" xr:uid="{FDF3C868-2447-4A92-BC93-A500C6C620B0}"/>
    <cellStyle name="Millares 3 4 2 8" xfId="2123" xr:uid="{45D1FE48-CF6E-4643-A17D-DDBB416AD6A1}"/>
    <cellStyle name="Millares 3 4 2 8 2" xfId="5971" xr:uid="{D7FEC6B3-73D1-4C3A-B2EC-A17C4CEE5307}"/>
    <cellStyle name="Millares 3 4 2 9" xfId="4047" xr:uid="{728E4A3B-FEE7-4F82-AE6F-1FA753141539}"/>
    <cellStyle name="Millares 3 4 3" xfId="153" xr:uid="{290E5C2F-C073-416A-B1DC-84E79DF8B6C4}"/>
    <cellStyle name="Millares 3 4 3 2" xfId="291" xr:uid="{943B666B-A2C8-4867-AB34-D90718D18FC2}"/>
    <cellStyle name="Millares 3 4 3 2 2" xfId="542" xr:uid="{15792608-5687-4C2D-A03F-A17B8EC60D86}"/>
    <cellStyle name="Millares 3 4 3 2 2 2" xfId="1023" xr:uid="{C5D07B0D-E348-4B1A-875D-181397AB329D}"/>
    <cellStyle name="Millares 3 4 3 2 2 2 2" xfId="1985" xr:uid="{86702C8A-D723-4CCE-A8F5-DF3C5E0D1ECF}"/>
    <cellStyle name="Millares 3 4 3 2 2 2 2 2" xfId="3909" xr:uid="{F48D3B75-C0A5-4A32-9B63-897B9B5ACC91}"/>
    <cellStyle name="Millares 3 4 3 2 2 2 2 2 2" xfId="7757" xr:uid="{541EA2DB-057A-4BF8-B984-5EB0B3EF90BA}"/>
    <cellStyle name="Millares 3 4 3 2 2 2 2 3" xfId="5833" xr:uid="{BF5FBEC3-C8EB-4901-861D-98122ECC9BB2}"/>
    <cellStyle name="Millares 3 4 3 2 2 2 3" xfId="2947" xr:uid="{2B1A12A2-C873-4917-88DA-0B88874E4C53}"/>
    <cellStyle name="Millares 3 4 3 2 2 2 3 2" xfId="6795" xr:uid="{C4551896-896C-4198-B63D-CE0E1C5845BD}"/>
    <cellStyle name="Millares 3 4 3 2 2 2 4" xfId="4871" xr:uid="{47A9A08F-C18C-4076-B058-408B0AD4F183}"/>
    <cellStyle name="Millares 3 4 3 2 2 3" xfId="1504" xr:uid="{DE309781-6268-4FC4-9AAC-294173A1E16C}"/>
    <cellStyle name="Millares 3 4 3 2 2 3 2" xfId="3428" xr:uid="{9D32F5BA-30C8-420E-8D96-E49D975D97B0}"/>
    <cellStyle name="Millares 3 4 3 2 2 3 2 2" xfId="7276" xr:uid="{3D7F22A6-8530-4EE9-BFCB-966EC8A3394B}"/>
    <cellStyle name="Millares 3 4 3 2 2 3 3" xfId="5352" xr:uid="{F840D6CC-F17A-471F-92D3-DE522921DAC1}"/>
    <cellStyle name="Millares 3 4 3 2 2 4" xfId="2466" xr:uid="{01F4A0CD-DE05-48D8-BDD3-50CC3B9E1B53}"/>
    <cellStyle name="Millares 3 4 3 2 2 4 2" xfId="6314" xr:uid="{D52687F5-FE21-49DC-ACC3-0F271C4614E2}"/>
    <cellStyle name="Millares 3 4 3 2 2 5" xfId="4390" xr:uid="{956C2AB9-6F48-4B67-B1F4-7DE59C58272A}"/>
    <cellStyle name="Millares 3 4 3 2 3" xfId="783" xr:uid="{9EC5AE4A-1EF9-4EC1-AC68-C519139A8F85}"/>
    <cellStyle name="Millares 3 4 3 2 3 2" xfId="1745" xr:uid="{8DC730BB-F025-474C-8FB2-B29D53D00D6F}"/>
    <cellStyle name="Millares 3 4 3 2 3 2 2" xfId="3669" xr:uid="{E4B36EBC-D52B-4CA1-A2CA-4194BF8F634C}"/>
    <cellStyle name="Millares 3 4 3 2 3 2 2 2" xfId="7517" xr:uid="{ACB6AC62-9639-4A6E-97F7-E835CEEDB734}"/>
    <cellStyle name="Millares 3 4 3 2 3 2 3" xfId="5593" xr:uid="{E13CA7D4-F80C-48A9-8DBD-645E92273CBF}"/>
    <cellStyle name="Millares 3 4 3 2 3 3" xfId="2707" xr:uid="{68142096-0D1E-48AC-961C-BC55B9126BC5}"/>
    <cellStyle name="Millares 3 4 3 2 3 3 2" xfId="6555" xr:uid="{D61D2708-DAC7-484F-8A61-86A7DA58191F}"/>
    <cellStyle name="Millares 3 4 3 2 3 4" xfId="4631" xr:uid="{BF02486B-CC39-40DB-8EF6-F5C9F6186429}"/>
    <cellStyle name="Millares 3 4 3 2 4" xfId="1264" xr:uid="{069D55B1-42FD-42A2-A650-A50FDAB72745}"/>
    <cellStyle name="Millares 3 4 3 2 4 2" xfId="3188" xr:uid="{F9645F7B-4939-4A89-8C3A-7007143D3515}"/>
    <cellStyle name="Millares 3 4 3 2 4 2 2" xfId="7036" xr:uid="{A02BAD53-6802-46F6-B547-ED7167424FF1}"/>
    <cellStyle name="Millares 3 4 3 2 4 3" xfId="5112" xr:uid="{2393A084-EDE3-434F-AD12-26A51B38B9A3}"/>
    <cellStyle name="Millares 3 4 3 2 5" xfId="2226" xr:uid="{52135E01-521F-4C85-8678-F510367B0C15}"/>
    <cellStyle name="Millares 3 4 3 2 5 2" xfId="6074" xr:uid="{F39EF18B-B7F5-4269-A56D-74D98BCACAFD}"/>
    <cellStyle name="Millares 3 4 3 2 6" xfId="4150" xr:uid="{6579D51C-7853-450C-B454-DAB4A00CE849}"/>
    <cellStyle name="Millares 3 4 3 3" xfId="410" xr:uid="{1365E415-8F32-47A4-8258-84130F27351D}"/>
    <cellStyle name="Millares 3 4 3 3 2" xfId="891" xr:uid="{E144D58F-6F67-4986-BB4C-DCB7DB68164B}"/>
    <cellStyle name="Millares 3 4 3 3 2 2" xfId="1853" xr:uid="{6730E209-C953-4F04-8DD5-426EA760A81C}"/>
    <cellStyle name="Millares 3 4 3 3 2 2 2" xfId="3777" xr:uid="{D03267A0-F249-4FB3-A0C7-EDBAF68B36DD}"/>
    <cellStyle name="Millares 3 4 3 3 2 2 2 2" xfId="7625" xr:uid="{E93C1406-B380-462D-87ED-D27089417BE5}"/>
    <cellStyle name="Millares 3 4 3 3 2 2 3" xfId="5701" xr:uid="{409A5644-D310-401A-87FE-A8EBDF328390}"/>
    <cellStyle name="Millares 3 4 3 3 2 3" xfId="2815" xr:uid="{4A0F7429-842E-4998-8AD2-B5B977029129}"/>
    <cellStyle name="Millares 3 4 3 3 2 3 2" xfId="6663" xr:uid="{E78E1A4C-A97F-47BD-8B07-718AF321E46F}"/>
    <cellStyle name="Millares 3 4 3 3 2 4" xfId="4739" xr:uid="{527CBAE5-FC8C-4136-B45C-D1592BCD89AF}"/>
    <cellStyle name="Millares 3 4 3 3 3" xfId="1372" xr:uid="{F2BBC9D6-9C23-4BB1-9E17-5D98443A0BA2}"/>
    <cellStyle name="Millares 3 4 3 3 3 2" xfId="3296" xr:uid="{CC38C8BC-5FBA-454C-B261-3B4C8A5CF246}"/>
    <cellStyle name="Millares 3 4 3 3 3 2 2" xfId="7144" xr:uid="{055FC1F8-796C-4784-939B-6CB7435237AA}"/>
    <cellStyle name="Millares 3 4 3 3 3 3" xfId="5220" xr:uid="{292C8DF5-CAE1-427A-A217-FA6E5B49766C}"/>
    <cellStyle name="Millares 3 4 3 3 4" xfId="2334" xr:uid="{611DFFE3-A83C-46C9-81F6-DD312727D3A0}"/>
    <cellStyle name="Millares 3 4 3 3 4 2" xfId="6182" xr:uid="{F27C007F-6C67-40C4-A150-5D8B32F03F81}"/>
    <cellStyle name="Millares 3 4 3 3 5" xfId="4258" xr:uid="{3F33CD9A-6F19-490A-A3C6-BA7D14E28A58}"/>
    <cellStyle name="Millares 3 4 3 4" xfId="651" xr:uid="{CF8D0D89-75C8-4955-9468-A069FE41450F}"/>
    <cellStyle name="Millares 3 4 3 4 2" xfId="1613" xr:uid="{917F76CB-DA18-462A-ACBF-11DAFC5F00A2}"/>
    <cellStyle name="Millares 3 4 3 4 2 2" xfId="3537" xr:uid="{D3E1ECA4-AE7E-4DA7-AAF0-374095415581}"/>
    <cellStyle name="Millares 3 4 3 4 2 2 2" xfId="7385" xr:uid="{6AD67A27-EE7C-493E-A0FB-D07E1D79258E}"/>
    <cellStyle name="Millares 3 4 3 4 2 3" xfId="5461" xr:uid="{4DF85214-D600-48F5-BAE1-FF48C490848A}"/>
    <cellStyle name="Millares 3 4 3 4 3" xfId="2575" xr:uid="{39968D2D-B31A-4133-8A0D-E5763249DEC0}"/>
    <cellStyle name="Millares 3 4 3 4 3 2" xfId="6423" xr:uid="{76ADB390-C36C-402D-9F22-1ADE82079064}"/>
    <cellStyle name="Millares 3 4 3 4 4" xfId="4499" xr:uid="{F729A947-FF19-4F40-B7EB-5B8A9A083177}"/>
    <cellStyle name="Millares 3 4 3 5" xfId="1132" xr:uid="{9C05C4C1-F797-4513-9AAF-DB5164601BAE}"/>
    <cellStyle name="Millares 3 4 3 5 2" xfId="3056" xr:uid="{E7D956B0-55EB-4EF8-AC74-792C8E6E7465}"/>
    <cellStyle name="Millares 3 4 3 5 2 2" xfId="6904" xr:uid="{DF62647E-5033-458D-95E2-7DA256B1A48C}"/>
    <cellStyle name="Millares 3 4 3 5 3" xfId="4980" xr:uid="{E77D212C-15D0-46DE-BD0F-6B079017E874}"/>
    <cellStyle name="Millares 3 4 3 6" xfId="2094" xr:uid="{E02F6CB6-5FA4-48DB-9828-0CC6DB12D91D}"/>
    <cellStyle name="Millares 3 4 3 6 2" xfId="5942" xr:uid="{3A11CFBE-A809-4A0E-A470-F85171E11D6E}"/>
    <cellStyle name="Millares 3 4 3 7" xfId="4018" xr:uid="{77052314-28BE-408D-B420-3AABEF545DD6}"/>
    <cellStyle name="Millares 3 4 4" xfId="190" xr:uid="{FB0D0EEB-0394-4FB8-A4F8-7A9AD3C41B5A}"/>
    <cellStyle name="Millares 3 4 4 2" xfId="324" xr:uid="{8A5D9236-53EF-4663-BA7C-D5F547CB5318}"/>
    <cellStyle name="Millares 3 4 4 2 2" xfId="575" xr:uid="{85FCC65C-527C-4765-98F4-5AB72CD8CD39}"/>
    <cellStyle name="Millares 3 4 4 2 2 2" xfId="1056" xr:uid="{DA8C1E08-03BD-4DB5-B325-31BD31CD9785}"/>
    <cellStyle name="Millares 3 4 4 2 2 2 2" xfId="2018" xr:uid="{A4D190B5-5F58-478E-9CF4-8AC29D78E5F8}"/>
    <cellStyle name="Millares 3 4 4 2 2 2 2 2" xfId="3942" xr:uid="{12FE2F92-C563-4683-91BE-DCFB6381113D}"/>
    <cellStyle name="Millares 3 4 4 2 2 2 2 2 2" xfId="7790" xr:uid="{017559D3-AC95-4B8F-BD32-245330CE0CBB}"/>
    <cellStyle name="Millares 3 4 4 2 2 2 2 3" xfId="5866" xr:uid="{A83D7B4E-A83B-4698-BB2F-E07C81CF7C5A}"/>
    <cellStyle name="Millares 3 4 4 2 2 2 3" xfId="2980" xr:uid="{61FF0011-9EB6-4370-AD2F-5714BFAE197D}"/>
    <cellStyle name="Millares 3 4 4 2 2 2 3 2" xfId="6828" xr:uid="{1F94C023-52B0-4285-8EFD-5985119C2DAD}"/>
    <cellStyle name="Millares 3 4 4 2 2 2 4" xfId="4904" xr:uid="{52AC3F66-6755-4855-9873-B17FDA856A19}"/>
    <cellStyle name="Millares 3 4 4 2 2 3" xfId="1537" xr:uid="{EA916000-7492-42DC-AB9E-E7BF8E37C3C4}"/>
    <cellStyle name="Millares 3 4 4 2 2 3 2" xfId="3461" xr:uid="{211D5E47-2FC3-4EFE-986F-C27ACB059EAE}"/>
    <cellStyle name="Millares 3 4 4 2 2 3 2 2" xfId="7309" xr:uid="{C91F53D2-A04C-452E-9459-F90E45B9E29B}"/>
    <cellStyle name="Millares 3 4 4 2 2 3 3" xfId="5385" xr:uid="{01E0A08D-A691-4FE2-A27E-CD9387C42832}"/>
    <cellStyle name="Millares 3 4 4 2 2 4" xfId="2499" xr:uid="{5E3F5069-41A0-44D7-9DDC-BDB2E4292338}"/>
    <cellStyle name="Millares 3 4 4 2 2 4 2" xfId="6347" xr:uid="{9C9AF552-7DA0-46F6-BBC7-D655E4753E07}"/>
    <cellStyle name="Millares 3 4 4 2 2 5" xfId="4423" xr:uid="{990EB3C8-2E6D-46B3-84FF-A14CD748164D}"/>
    <cellStyle name="Millares 3 4 4 2 3" xfId="816" xr:uid="{A05FFC73-EDCA-411C-9343-603D6ECC4E6B}"/>
    <cellStyle name="Millares 3 4 4 2 3 2" xfId="1778" xr:uid="{19B6FDA0-E166-4DD2-967A-64F2A57AEB16}"/>
    <cellStyle name="Millares 3 4 4 2 3 2 2" xfId="3702" xr:uid="{ADE3FA41-E402-4939-8B81-277CE626B47B}"/>
    <cellStyle name="Millares 3 4 4 2 3 2 2 2" xfId="7550" xr:uid="{ED6D38C3-31C9-47B8-94D3-824EF7CD11D4}"/>
    <cellStyle name="Millares 3 4 4 2 3 2 3" xfId="5626" xr:uid="{80AA80D4-C509-4ABA-B45F-01867FFA972D}"/>
    <cellStyle name="Millares 3 4 4 2 3 3" xfId="2740" xr:uid="{1929F0D1-46B3-4585-A8BD-28A8D5D79D0D}"/>
    <cellStyle name="Millares 3 4 4 2 3 3 2" xfId="6588" xr:uid="{25C39FC8-27FB-4D57-88A5-6D1B4EFBF3C7}"/>
    <cellStyle name="Millares 3 4 4 2 3 4" xfId="4664" xr:uid="{FEA3E102-0E39-4757-889A-33DE09A43AD9}"/>
    <cellStyle name="Millares 3 4 4 2 4" xfId="1297" xr:uid="{BB430C6E-BB66-4979-AB88-8EEAB8DA7D47}"/>
    <cellStyle name="Millares 3 4 4 2 4 2" xfId="3221" xr:uid="{BDAC9F70-D268-4DBB-A898-28D06E2E1145}"/>
    <cellStyle name="Millares 3 4 4 2 4 2 2" xfId="7069" xr:uid="{B72F6F7D-E2E7-4452-9159-36B8375A1911}"/>
    <cellStyle name="Millares 3 4 4 2 4 3" xfId="5145" xr:uid="{3378110F-3DE3-4675-BEA2-D53BF8F73309}"/>
    <cellStyle name="Millares 3 4 4 2 5" xfId="2259" xr:uid="{2FACC188-88DA-4812-9187-BEE5C30AC013}"/>
    <cellStyle name="Millares 3 4 4 2 5 2" xfId="6107" xr:uid="{85DE752F-C142-4AC7-8DE5-AAC6419EE4C0}"/>
    <cellStyle name="Millares 3 4 4 2 6" xfId="4183" xr:uid="{CEAA72FE-65D7-47B9-913B-7C9D668A8B14}"/>
    <cellStyle name="Millares 3 4 4 3" xfId="443" xr:uid="{D7AE4023-935B-42E7-A895-DF245E262B36}"/>
    <cellStyle name="Millares 3 4 4 3 2" xfId="924" xr:uid="{12490954-F039-4DAE-A2BC-C53DDC1AC98E}"/>
    <cellStyle name="Millares 3 4 4 3 2 2" xfId="1886" xr:uid="{2AA129FE-914C-44B2-BE70-A92F26EAC960}"/>
    <cellStyle name="Millares 3 4 4 3 2 2 2" xfId="3810" xr:uid="{2DD76C81-F6BF-479E-8758-ED36B24CA284}"/>
    <cellStyle name="Millares 3 4 4 3 2 2 2 2" xfId="7658" xr:uid="{1F2EA9FC-3577-4ABD-851D-2AAB0FDB58C6}"/>
    <cellStyle name="Millares 3 4 4 3 2 2 3" xfId="5734" xr:uid="{F1FF2225-DCCF-4240-9088-E7F2268500A6}"/>
    <cellStyle name="Millares 3 4 4 3 2 3" xfId="2848" xr:uid="{895B3003-8C7E-4CB7-8F91-0604164558D9}"/>
    <cellStyle name="Millares 3 4 4 3 2 3 2" xfId="6696" xr:uid="{D35AAFA8-0A80-476B-B4F9-642FD524A30A}"/>
    <cellStyle name="Millares 3 4 4 3 2 4" xfId="4772" xr:uid="{D265E631-709A-40A2-80CA-6F88D2B27486}"/>
    <cellStyle name="Millares 3 4 4 3 3" xfId="1405" xr:uid="{C44BA2D2-0401-4069-BF30-77342C643976}"/>
    <cellStyle name="Millares 3 4 4 3 3 2" xfId="3329" xr:uid="{B6B7CAA8-D3E2-4B49-80C5-D5EF8891A854}"/>
    <cellStyle name="Millares 3 4 4 3 3 2 2" xfId="7177" xr:uid="{13FC9D8D-B20F-4789-8E0A-BF3274FB88CA}"/>
    <cellStyle name="Millares 3 4 4 3 3 3" xfId="5253" xr:uid="{CED54181-0680-4420-AD9A-7EBC220632F1}"/>
    <cellStyle name="Millares 3 4 4 3 4" xfId="2367" xr:uid="{A693BD5D-BBA5-4831-B37E-614CBDEB5EC8}"/>
    <cellStyle name="Millares 3 4 4 3 4 2" xfId="6215" xr:uid="{774A9B45-9D63-4B19-951C-0B90422FF48F}"/>
    <cellStyle name="Millares 3 4 4 3 5" xfId="4291" xr:uid="{B1390E9C-CA91-485B-BD32-59D7481DA128}"/>
    <cellStyle name="Millares 3 4 4 4" xfId="684" xr:uid="{EF0598DA-DF1F-45C3-A157-012C0639DFBD}"/>
    <cellStyle name="Millares 3 4 4 4 2" xfId="1646" xr:uid="{8FE7F0CC-45A3-4AF5-919E-C1833495D0BD}"/>
    <cellStyle name="Millares 3 4 4 4 2 2" xfId="3570" xr:uid="{8F4B60AF-3B9F-414F-ACE7-2C3BE5A9FB37}"/>
    <cellStyle name="Millares 3 4 4 4 2 2 2" xfId="7418" xr:uid="{EFD2BB71-E9FF-46AA-9348-C9CF1108D87E}"/>
    <cellStyle name="Millares 3 4 4 4 2 3" xfId="5494" xr:uid="{5B517963-8FEA-4DDE-BDE7-3386695B711B}"/>
    <cellStyle name="Millares 3 4 4 4 3" xfId="2608" xr:uid="{404CBC01-0D64-4593-887C-186157CB6240}"/>
    <cellStyle name="Millares 3 4 4 4 3 2" xfId="6456" xr:uid="{CD3467D1-DD89-400E-9B9B-3984159CC7FA}"/>
    <cellStyle name="Millares 3 4 4 4 4" xfId="4532" xr:uid="{BA2FADB4-C6B6-42F7-98F1-F778CD26C9F3}"/>
    <cellStyle name="Millares 3 4 4 5" xfId="1165" xr:uid="{23B8008B-9360-451C-98B5-31BA8BB127CA}"/>
    <cellStyle name="Millares 3 4 4 5 2" xfId="3089" xr:uid="{EFC22F66-8B4B-402E-9FCC-0577C33FF62D}"/>
    <cellStyle name="Millares 3 4 4 5 2 2" xfId="6937" xr:uid="{ABA3ED34-BFCB-42CB-A46D-63DDAC83B66D}"/>
    <cellStyle name="Millares 3 4 4 5 3" xfId="5013" xr:uid="{2819C57D-BFAF-487A-A8A9-F82FD02F8ECF}"/>
    <cellStyle name="Millares 3 4 4 6" xfId="2127" xr:uid="{3DF4AE63-5025-4AD4-99DF-FE7E977E29D4}"/>
    <cellStyle name="Millares 3 4 4 6 2" xfId="5975" xr:uid="{76F4022A-7FA8-4109-9AB2-B9E3DA616F3A}"/>
    <cellStyle name="Millares 3 4 4 7" xfId="4051" xr:uid="{764C8E06-6904-4F4E-96D3-0D3A7B4F2EC6}"/>
    <cellStyle name="Millares 3 4 5" xfId="273" xr:uid="{B917DC12-7B6C-48BB-89E3-8ADDECDAEC7F}"/>
    <cellStyle name="Millares 3 4 5 2" xfId="525" xr:uid="{0CF8CCFE-9738-464D-A726-3A61EAF0CB79}"/>
    <cellStyle name="Millares 3 4 5 2 2" xfId="1006" xr:uid="{DB9597D3-6805-452E-B928-44586663A735}"/>
    <cellStyle name="Millares 3 4 5 2 2 2" xfId="1968" xr:uid="{0EAE99C6-8271-4F76-A495-B6EE1502103D}"/>
    <cellStyle name="Millares 3 4 5 2 2 2 2" xfId="3892" xr:uid="{C0478C3F-59EE-4B2A-9349-CCEEA2A24032}"/>
    <cellStyle name="Millares 3 4 5 2 2 2 2 2" xfId="7740" xr:uid="{1B8A427A-4413-49D5-A6E4-C350912AFF33}"/>
    <cellStyle name="Millares 3 4 5 2 2 2 3" xfId="5816" xr:uid="{782180B6-5A94-46EB-90B3-AAFFC2C3C976}"/>
    <cellStyle name="Millares 3 4 5 2 2 3" xfId="2930" xr:uid="{7F05D227-6537-4760-8DA6-A517BDBF05B6}"/>
    <cellStyle name="Millares 3 4 5 2 2 3 2" xfId="6778" xr:uid="{3F907F52-AE18-48F7-A1CC-E113DAE1D469}"/>
    <cellStyle name="Millares 3 4 5 2 2 4" xfId="4854" xr:uid="{DA73A1C4-4B97-4150-9D9B-331C92DB2D1B}"/>
    <cellStyle name="Millares 3 4 5 2 3" xfId="1487" xr:uid="{FA716745-DC4C-4D44-9342-5E8CF0587BB4}"/>
    <cellStyle name="Millares 3 4 5 2 3 2" xfId="3411" xr:uid="{76E0F9F1-0E12-4356-B7A5-C190A392482F}"/>
    <cellStyle name="Millares 3 4 5 2 3 2 2" xfId="7259" xr:uid="{554D271B-7D09-4116-B300-961FD6BAEBEA}"/>
    <cellStyle name="Millares 3 4 5 2 3 3" xfId="5335" xr:uid="{F71467AB-C9C0-4B82-964F-9B8E938B1267}"/>
    <cellStyle name="Millares 3 4 5 2 4" xfId="2449" xr:uid="{3D9D6489-0561-4F2F-A3DE-1F3D693AA9E8}"/>
    <cellStyle name="Millares 3 4 5 2 4 2" xfId="6297" xr:uid="{A2D217DB-63B1-4F58-B446-D9B8266ABFD2}"/>
    <cellStyle name="Millares 3 4 5 2 5" xfId="4373" xr:uid="{78A1B016-9E52-4FEA-B2CE-32E462BC5AE2}"/>
    <cellStyle name="Millares 3 4 5 3" xfId="766" xr:uid="{C45FA34A-4509-4678-8139-E343AB25E1B1}"/>
    <cellStyle name="Millares 3 4 5 3 2" xfId="1728" xr:uid="{2DD343A0-C22F-4617-B219-474327DC50A3}"/>
    <cellStyle name="Millares 3 4 5 3 2 2" xfId="3652" xr:uid="{5851778E-09A1-4982-AAE8-4D931BCB5D5F}"/>
    <cellStyle name="Millares 3 4 5 3 2 2 2" xfId="7500" xr:uid="{81135622-559B-43AC-9392-EB8F5C453201}"/>
    <cellStyle name="Millares 3 4 5 3 2 3" xfId="5576" xr:uid="{3F1C0B63-C33D-4966-9368-E4DD15AB8C14}"/>
    <cellStyle name="Millares 3 4 5 3 3" xfId="2690" xr:uid="{0D4A3AD2-7746-4D42-AF05-77CD41D129C9}"/>
    <cellStyle name="Millares 3 4 5 3 3 2" xfId="6538" xr:uid="{7C94063C-C772-4B48-A871-FBA7C5C92E6F}"/>
    <cellStyle name="Millares 3 4 5 3 4" xfId="4614" xr:uid="{530AB784-93CC-430A-9BC9-0FA137F7138B}"/>
    <cellStyle name="Millares 3 4 5 4" xfId="1247" xr:uid="{649C496F-555B-453E-BE98-A53FDB71E89F}"/>
    <cellStyle name="Millares 3 4 5 4 2" xfId="3171" xr:uid="{02217815-1DE3-40E4-9117-508F9DFB8578}"/>
    <cellStyle name="Millares 3 4 5 4 2 2" xfId="7019" xr:uid="{0A7DA614-4A0F-43C2-A119-472FD4F14F4E}"/>
    <cellStyle name="Millares 3 4 5 4 3" xfId="5095" xr:uid="{63E8D518-BF47-4FCB-9498-A1E248002DBB}"/>
    <cellStyle name="Millares 3 4 5 5" xfId="2209" xr:uid="{230884CF-89D7-4756-8D9F-9651D6D38765}"/>
    <cellStyle name="Millares 3 4 5 5 2" xfId="6057" xr:uid="{18CF0A15-E4CA-4396-A649-A47478D3F6D2}"/>
    <cellStyle name="Millares 3 4 5 6" xfId="4133" xr:uid="{1C136AEB-B8DF-46CA-9E11-D7DDA96D9AAD}"/>
    <cellStyle name="Millares 3 4 6" xfId="224" xr:uid="{72CF7361-7D39-4589-B4AC-9F27FDA407D3}"/>
    <cellStyle name="Millares 3 4 6 2" xfId="476" xr:uid="{173E6AA0-F47A-4D51-BD12-F73F9DD82CEB}"/>
    <cellStyle name="Millares 3 4 6 2 2" xfId="957" xr:uid="{E5CFBF3D-172C-4106-8388-3EB4285966F2}"/>
    <cellStyle name="Millares 3 4 6 2 2 2" xfId="1919" xr:uid="{5FDCCD1A-617F-4E4C-B831-077E85DB8139}"/>
    <cellStyle name="Millares 3 4 6 2 2 2 2" xfId="3843" xr:uid="{11831A71-ED6B-4CD9-86AA-115ED4D3CCCA}"/>
    <cellStyle name="Millares 3 4 6 2 2 2 2 2" xfId="7691" xr:uid="{BC1633CA-70BE-413D-93DA-A802E5A34EB4}"/>
    <cellStyle name="Millares 3 4 6 2 2 2 3" xfId="5767" xr:uid="{E024EA99-8759-4423-9DA8-A563A8709C34}"/>
    <cellStyle name="Millares 3 4 6 2 2 3" xfId="2881" xr:uid="{C285A4A4-5AEE-412C-8B7C-33E267AB7268}"/>
    <cellStyle name="Millares 3 4 6 2 2 3 2" xfId="6729" xr:uid="{23F5D799-A1BE-4035-AFC5-A7FAA41AEE6B}"/>
    <cellStyle name="Millares 3 4 6 2 2 4" xfId="4805" xr:uid="{A7293C6A-02CA-4336-B0CD-58FCC2FAF8A8}"/>
    <cellStyle name="Millares 3 4 6 2 3" xfId="1438" xr:uid="{ADE59D0E-7C06-48D4-A645-CED4A0F4BB8E}"/>
    <cellStyle name="Millares 3 4 6 2 3 2" xfId="3362" xr:uid="{200CD7DF-A5A7-4908-BD5E-84218FA8C05F}"/>
    <cellStyle name="Millares 3 4 6 2 3 2 2" xfId="7210" xr:uid="{AD8C02D5-5776-442C-BC05-799535543E5E}"/>
    <cellStyle name="Millares 3 4 6 2 3 3" xfId="5286" xr:uid="{5CEBC169-A8DD-4648-8F84-C63EB72E7DDF}"/>
    <cellStyle name="Millares 3 4 6 2 4" xfId="2400" xr:uid="{BA65DCF6-85F4-4DED-BA23-D7CC4C85C013}"/>
    <cellStyle name="Millares 3 4 6 2 4 2" xfId="6248" xr:uid="{5FBDED35-6D7C-4ED0-BCF0-263D35CD5AC3}"/>
    <cellStyle name="Millares 3 4 6 2 5" xfId="4324" xr:uid="{9D712025-222A-49A9-9B25-D4D95CE47949}"/>
    <cellStyle name="Millares 3 4 6 3" xfId="717" xr:uid="{D73B63A4-7308-40E5-91C9-F41B9EA3B5B4}"/>
    <cellStyle name="Millares 3 4 6 3 2" xfId="1679" xr:uid="{A89A36D7-4A49-4A47-A2D5-B4990CFD0270}"/>
    <cellStyle name="Millares 3 4 6 3 2 2" xfId="3603" xr:uid="{28982230-660B-4F08-B888-B4165ED1ED93}"/>
    <cellStyle name="Millares 3 4 6 3 2 2 2" xfId="7451" xr:uid="{CC365AA6-53A8-4F17-BC7C-35E00CC6A53A}"/>
    <cellStyle name="Millares 3 4 6 3 2 3" xfId="5527" xr:uid="{6D17444A-69F2-4801-A060-99A64C00AD37}"/>
    <cellStyle name="Millares 3 4 6 3 3" xfId="2641" xr:uid="{1CDC5F75-252B-4CC2-A09C-AD19597981C7}"/>
    <cellStyle name="Millares 3 4 6 3 3 2" xfId="6489" xr:uid="{D3D0932B-B433-4BBA-93C0-F24D88FF030F}"/>
    <cellStyle name="Millares 3 4 6 3 4" xfId="4565" xr:uid="{54DE0FED-94F6-4C96-BCB9-39251945355F}"/>
    <cellStyle name="Millares 3 4 6 4" xfId="1198" xr:uid="{472C05EF-8AB6-4C0A-B620-A9F83F253A9A}"/>
    <cellStyle name="Millares 3 4 6 4 2" xfId="3122" xr:uid="{2A7E1B91-0C7D-46CD-94E1-8DAF89E7D16A}"/>
    <cellStyle name="Millares 3 4 6 4 2 2" xfId="6970" xr:uid="{2C0116F8-0A70-4216-A340-72E8B009503D}"/>
    <cellStyle name="Millares 3 4 6 4 3" xfId="5046" xr:uid="{E9A28607-C011-4D58-B602-8F6AC6392AEA}"/>
    <cellStyle name="Millares 3 4 6 5" xfId="2160" xr:uid="{01B2BD9D-8912-43C1-8433-F889E77A0B3A}"/>
    <cellStyle name="Millares 3 4 6 5 2" xfId="6008" xr:uid="{99120F77-162C-4E5A-8C3B-78E5FD147144}"/>
    <cellStyle name="Millares 3 4 6 6" xfId="4084" xr:uid="{5A939523-FA87-4D8A-BB1D-748BC551292E}"/>
    <cellStyle name="Millares 3 4 7" xfId="393" xr:uid="{B2F78CF1-6D0C-4D13-9083-DF8EA51508D1}"/>
    <cellStyle name="Millares 3 4 7 2" xfId="874" xr:uid="{EDA84568-71A7-4647-9C4F-F8D78D37D94D}"/>
    <cellStyle name="Millares 3 4 7 2 2" xfId="1836" xr:uid="{4777C3B4-F16F-4606-971F-EB219E52FD41}"/>
    <cellStyle name="Millares 3 4 7 2 2 2" xfId="3760" xr:uid="{3E9230C8-1146-479B-83F4-6BA07623AA4B}"/>
    <cellStyle name="Millares 3 4 7 2 2 2 2" xfId="7608" xr:uid="{B5C6AE31-3F70-42F2-B315-F639DDFA78C1}"/>
    <cellStyle name="Millares 3 4 7 2 2 3" xfId="5684" xr:uid="{AE1E7023-7BD0-4FBA-A096-6483F7509C2F}"/>
    <cellStyle name="Millares 3 4 7 2 3" xfId="2798" xr:uid="{BD8265FF-8801-4AF0-8A2B-EE2020CA2B8D}"/>
    <cellStyle name="Millares 3 4 7 2 3 2" xfId="6646" xr:uid="{2EE25229-7349-469C-A590-1A220F4ED9F9}"/>
    <cellStyle name="Millares 3 4 7 2 4" xfId="4722" xr:uid="{458F2F2F-5F0E-4655-AAF5-0417D3F14F86}"/>
    <cellStyle name="Millares 3 4 7 3" xfId="1355" xr:uid="{7D8E268B-22C5-4082-A132-E60031D3A351}"/>
    <cellStyle name="Millares 3 4 7 3 2" xfId="3279" xr:uid="{AC4534E4-CF37-4EDA-B393-89F6EA8A1C23}"/>
    <cellStyle name="Millares 3 4 7 3 2 2" xfId="7127" xr:uid="{470EDFDE-6568-4F84-90E4-FACBF3C1ABB1}"/>
    <cellStyle name="Millares 3 4 7 3 3" xfId="5203" xr:uid="{5E38FD0C-24F3-443D-9E61-FDD89588514C}"/>
    <cellStyle name="Millares 3 4 7 4" xfId="2317" xr:uid="{165D9576-713D-4DBA-A863-354447D74E43}"/>
    <cellStyle name="Millares 3 4 7 4 2" xfId="6165" xr:uid="{54837891-D326-4246-A4E0-476AFD088BA4}"/>
    <cellStyle name="Millares 3 4 7 5" xfId="4241" xr:uid="{A2355D25-21FB-47C5-AB0F-4170BBFE33B2}"/>
    <cellStyle name="Millares 3 4 8" xfId="634" xr:uid="{FEA9C230-9402-4E73-B598-A33D13C4D0C0}"/>
    <cellStyle name="Millares 3 4 8 2" xfId="1596" xr:uid="{9B713358-2052-415D-8CD5-AA10BC46E0A3}"/>
    <cellStyle name="Millares 3 4 8 2 2" xfId="3520" xr:uid="{4DC7D791-10B5-4573-B2BB-72DA146395FE}"/>
    <cellStyle name="Millares 3 4 8 2 2 2" xfId="7368" xr:uid="{E9694F2B-F096-4C1C-8A50-DC14A0397B77}"/>
    <cellStyle name="Millares 3 4 8 2 3" xfId="5444" xr:uid="{8AF52424-C3D6-433A-9CF5-B5F0530CFDEB}"/>
    <cellStyle name="Millares 3 4 8 3" xfId="2558" xr:uid="{1ADBEA0F-AD17-49E1-A308-857D8BF9DB23}"/>
    <cellStyle name="Millares 3 4 8 3 2" xfId="6406" xr:uid="{C23BF2A5-1F83-446A-97FE-135EEE47E6A2}"/>
    <cellStyle name="Millares 3 4 8 4" xfId="4482" xr:uid="{E31DA2CB-FCC3-44DE-B092-3D79930AC0E7}"/>
    <cellStyle name="Millares 3 4 9" xfId="1115" xr:uid="{BE2DA413-1DD5-4513-AD02-17A36B0D89E1}"/>
    <cellStyle name="Millares 3 4 9 2" xfId="3039" xr:uid="{DFBBD63D-E251-4222-95E5-49A9AB4182CD}"/>
    <cellStyle name="Millares 3 4 9 2 2" xfId="6887" xr:uid="{ED6A669D-AE1A-4C28-B404-77C07B1A93F8}"/>
    <cellStyle name="Millares 3 4 9 3" xfId="4963" xr:uid="{A14C1CBB-0B55-4B52-8A54-43468560404C}"/>
    <cellStyle name="Millares 3 5" xfId="177" xr:uid="{1F2E7217-F453-4575-8B18-7835C831F08C}"/>
    <cellStyle name="Millares 3 5 2" xfId="211" xr:uid="{2BF6FDC8-BDC4-44CF-8C6D-37014F8A0A69}"/>
    <cellStyle name="Millares 3 5 2 2" xfId="345" xr:uid="{0077A036-E959-4672-87A6-0709EC7CC956}"/>
    <cellStyle name="Millares 3 5 2 2 2" xfId="596" xr:uid="{2CE22301-93ED-4926-BECA-551C0088F9CD}"/>
    <cellStyle name="Millares 3 5 2 2 2 2" xfId="1077" xr:uid="{CAFD70A8-F161-4239-AC19-8BF330A8D8E4}"/>
    <cellStyle name="Millares 3 5 2 2 2 2 2" xfId="2039" xr:uid="{7127D032-F01F-48F1-A13F-1BD8CA7D93AF}"/>
    <cellStyle name="Millares 3 5 2 2 2 2 2 2" xfId="3963" xr:uid="{540FCDA3-E800-4DB0-8064-E745E8E63CE1}"/>
    <cellStyle name="Millares 3 5 2 2 2 2 2 2 2" xfId="7811" xr:uid="{B49F838B-0E72-47B0-8906-ADF53660E715}"/>
    <cellStyle name="Millares 3 5 2 2 2 2 2 3" xfId="5887" xr:uid="{C40049F7-047A-487F-9550-4D6C93DCFC2B}"/>
    <cellStyle name="Millares 3 5 2 2 2 2 3" xfId="3001" xr:uid="{447397C8-6B10-4826-9D79-82E4CFF44BDE}"/>
    <cellStyle name="Millares 3 5 2 2 2 2 3 2" xfId="6849" xr:uid="{DFE8D3C2-7BDF-49C7-9E12-A0D8D8238803}"/>
    <cellStyle name="Millares 3 5 2 2 2 2 4" xfId="4925" xr:uid="{45019BAF-080E-4052-B479-D7C3621A16D7}"/>
    <cellStyle name="Millares 3 5 2 2 2 3" xfId="1558" xr:uid="{727B1F9D-33DD-4BB6-B707-274BE24F4B9A}"/>
    <cellStyle name="Millares 3 5 2 2 2 3 2" xfId="3482" xr:uid="{C3A75578-F749-411A-94A3-5BB7354BAEDB}"/>
    <cellStyle name="Millares 3 5 2 2 2 3 2 2" xfId="7330" xr:uid="{FCFAFDD0-1800-4FD5-970C-48B7E8CEFBF7}"/>
    <cellStyle name="Millares 3 5 2 2 2 3 3" xfId="5406" xr:uid="{B6184982-B0D6-42CD-BA47-2DF877A3449C}"/>
    <cellStyle name="Millares 3 5 2 2 2 4" xfId="2520" xr:uid="{E20FBCEE-37E7-4417-8D78-339788BB8F61}"/>
    <cellStyle name="Millares 3 5 2 2 2 4 2" xfId="6368" xr:uid="{FF56E0CD-483A-49FC-96CB-B9510EF5A5B1}"/>
    <cellStyle name="Millares 3 5 2 2 2 5" xfId="4444" xr:uid="{F1FA174A-4D5F-4C20-B9ED-34BAB07550D3}"/>
    <cellStyle name="Millares 3 5 2 2 3" xfId="837" xr:uid="{C8B35C71-801A-4F9C-816E-B5209FA3FE0B}"/>
    <cellStyle name="Millares 3 5 2 2 3 2" xfId="1799" xr:uid="{7ED70FB1-E877-4F35-A3D4-6706EA76E4F6}"/>
    <cellStyle name="Millares 3 5 2 2 3 2 2" xfId="3723" xr:uid="{56A40B5F-7BFE-4A3C-97C7-6480D52204C2}"/>
    <cellStyle name="Millares 3 5 2 2 3 2 2 2" xfId="7571" xr:uid="{11AFF506-545E-4277-AFD5-612577523F01}"/>
    <cellStyle name="Millares 3 5 2 2 3 2 3" xfId="5647" xr:uid="{B70BB46B-7637-47AD-BFAF-3721D657BAD2}"/>
    <cellStyle name="Millares 3 5 2 2 3 3" xfId="2761" xr:uid="{8DC21C40-5407-4DDD-A6A7-F2E2D273A699}"/>
    <cellStyle name="Millares 3 5 2 2 3 3 2" xfId="6609" xr:uid="{5FEBD6AA-92A6-42C1-921B-4EA9C6DF4A30}"/>
    <cellStyle name="Millares 3 5 2 2 3 4" xfId="4685" xr:uid="{3BE3929E-1416-42F7-B801-93419EE02867}"/>
    <cellStyle name="Millares 3 5 2 2 4" xfId="1318" xr:uid="{D2A3E0A8-4459-41A2-AA59-9E27224F55B4}"/>
    <cellStyle name="Millares 3 5 2 2 4 2" xfId="3242" xr:uid="{E349CB57-1030-45AB-88CE-46BA8175CAE4}"/>
    <cellStyle name="Millares 3 5 2 2 4 2 2" xfId="7090" xr:uid="{67C7E313-68BF-4340-90AC-4D7C4E53FBE2}"/>
    <cellStyle name="Millares 3 5 2 2 4 3" xfId="5166" xr:uid="{AC727520-4BE8-40DA-88BB-F466563C6F06}"/>
    <cellStyle name="Millares 3 5 2 2 5" xfId="2280" xr:uid="{68F280F9-7F5F-4A2A-BA57-9C9BF62091C4}"/>
    <cellStyle name="Millares 3 5 2 2 5 2" xfId="6128" xr:uid="{82289746-9440-498F-988F-1B0CDB23A027}"/>
    <cellStyle name="Millares 3 5 2 2 6" xfId="4204" xr:uid="{6E68B7E0-EF95-4AD6-ABFD-0CE223DAD48C}"/>
    <cellStyle name="Millares 3 5 2 3" xfId="464" xr:uid="{8B05E846-D212-4783-8891-DBB0ADE22061}"/>
    <cellStyle name="Millares 3 5 2 3 2" xfId="945" xr:uid="{CFD9CF7B-2986-44C6-B83C-FF876E07EBC7}"/>
    <cellStyle name="Millares 3 5 2 3 2 2" xfId="1907" xr:uid="{243496AA-C3A7-4904-9795-2DCDE099903A}"/>
    <cellStyle name="Millares 3 5 2 3 2 2 2" xfId="3831" xr:uid="{F1282737-9586-4A6A-B787-5E63788538E4}"/>
    <cellStyle name="Millares 3 5 2 3 2 2 2 2" xfId="7679" xr:uid="{8441B55E-03E0-40F9-BE14-60A0DF17F250}"/>
    <cellStyle name="Millares 3 5 2 3 2 2 3" xfId="5755" xr:uid="{A7465617-4586-45A5-881B-B8DFC6AFCF55}"/>
    <cellStyle name="Millares 3 5 2 3 2 3" xfId="2869" xr:uid="{0EE90291-F8C4-4D27-8EBC-5DFAFB0A7AEA}"/>
    <cellStyle name="Millares 3 5 2 3 2 3 2" xfId="6717" xr:uid="{038E7B2A-108D-4197-B021-26F2CC7C2942}"/>
    <cellStyle name="Millares 3 5 2 3 2 4" xfId="4793" xr:uid="{01CFB01D-8B3E-4E60-980F-E304BD0079EE}"/>
    <cellStyle name="Millares 3 5 2 3 3" xfId="1426" xr:uid="{D834BF34-351B-4458-B77B-5E77D186E644}"/>
    <cellStyle name="Millares 3 5 2 3 3 2" xfId="3350" xr:uid="{7A7457D3-A56E-4049-ACF7-7BF4D6E028A8}"/>
    <cellStyle name="Millares 3 5 2 3 3 2 2" xfId="7198" xr:uid="{85FE674B-05E9-419D-BB75-772B44006629}"/>
    <cellStyle name="Millares 3 5 2 3 3 3" xfId="5274" xr:uid="{2AE146CA-4239-4A32-841C-9277BFADEBDF}"/>
    <cellStyle name="Millares 3 5 2 3 4" xfId="2388" xr:uid="{F24DC872-FE79-4D8F-B224-A9AE343F3EE0}"/>
    <cellStyle name="Millares 3 5 2 3 4 2" xfId="6236" xr:uid="{BAEFE532-E0DB-4C83-9B75-21ACC8A9C63C}"/>
    <cellStyle name="Millares 3 5 2 3 5" xfId="4312" xr:uid="{11BE0BC5-D6E0-47F0-8013-406A67999019}"/>
    <cellStyle name="Millares 3 5 2 4" xfId="705" xr:uid="{0B2E3535-DB27-4E38-867C-30F92C19D9D2}"/>
    <cellStyle name="Millares 3 5 2 4 2" xfId="1667" xr:uid="{EC267510-BAC9-4F73-B267-336283D7C17B}"/>
    <cellStyle name="Millares 3 5 2 4 2 2" xfId="3591" xr:uid="{74006738-180B-4B22-B170-1CABD905566A}"/>
    <cellStyle name="Millares 3 5 2 4 2 2 2" xfId="7439" xr:uid="{956E4CB3-36C2-4A34-9BDC-0D099D06A7AE}"/>
    <cellStyle name="Millares 3 5 2 4 2 3" xfId="5515" xr:uid="{83969B04-BCB9-4BA5-9972-0412265157A5}"/>
    <cellStyle name="Millares 3 5 2 4 3" xfId="2629" xr:uid="{1CBE0D28-F1BC-4EF1-BCDE-8746A728D910}"/>
    <cellStyle name="Millares 3 5 2 4 3 2" xfId="6477" xr:uid="{102662DB-79D2-4A9A-B252-8A0AE86D9426}"/>
    <cellStyle name="Millares 3 5 2 4 4" xfId="4553" xr:uid="{13E3833E-DE47-4267-BCED-1536657FEE92}"/>
    <cellStyle name="Millares 3 5 2 5" xfId="1186" xr:uid="{0E1277A4-E54B-494D-B0F0-AD8C545D6FCD}"/>
    <cellStyle name="Millares 3 5 2 5 2" xfId="3110" xr:uid="{33CE7369-A5BF-4861-9721-1FE577FFE956}"/>
    <cellStyle name="Millares 3 5 2 5 2 2" xfId="6958" xr:uid="{86931175-3D7D-4C09-8EB1-F148C6CE10BB}"/>
    <cellStyle name="Millares 3 5 2 5 3" xfId="5034" xr:uid="{5204B9BF-FC08-45D5-9547-2F697A2E97F1}"/>
    <cellStyle name="Millares 3 5 2 6" xfId="2148" xr:uid="{70ACD37F-E033-4548-A1CA-52EF87F74B59}"/>
    <cellStyle name="Millares 3 5 2 6 2" xfId="5996" xr:uid="{56D16B2B-F87B-459D-A37F-AE8FC9EFFB7A}"/>
    <cellStyle name="Millares 3 5 2 7" xfId="4072" xr:uid="{11FBA590-AAE9-488B-93B1-571719AD6319}"/>
    <cellStyle name="Millares 3 5 3" xfId="312" xr:uid="{031AE1BD-D400-4D99-BAFC-6ABDEEDC7E71}"/>
    <cellStyle name="Millares 3 5 3 2" xfId="563" xr:uid="{760514ED-D4D6-4425-A7E2-FE326455720B}"/>
    <cellStyle name="Millares 3 5 3 2 2" xfId="1044" xr:uid="{B704059D-7D87-448A-ACC2-13DCB758BA53}"/>
    <cellStyle name="Millares 3 5 3 2 2 2" xfId="2006" xr:uid="{362D6643-8A3B-4C9F-9FA9-FC1CE185AF32}"/>
    <cellStyle name="Millares 3 5 3 2 2 2 2" xfId="3930" xr:uid="{68136BC8-E117-4B25-97DC-30B083F25124}"/>
    <cellStyle name="Millares 3 5 3 2 2 2 2 2" xfId="7778" xr:uid="{0F988CCF-F293-4BF5-B1F2-DC5B3378FB85}"/>
    <cellStyle name="Millares 3 5 3 2 2 2 3" xfId="5854" xr:uid="{E6B12C5B-D47C-4FAD-99EA-7EFA32A073CE}"/>
    <cellStyle name="Millares 3 5 3 2 2 3" xfId="2968" xr:uid="{A5045943-A8BE-477B-BEE1-D768FAE7A4E5}"/>
    <cellStyle name="Millares 3 5 3 2 2 3 2" xfId="6816" xr:uid="{73863431-2D7E-4451-AE63-0B9835006034}"/>
    <cellStyle name="Millares 3 5 3 2 2 4" xfId="4892" xr:uid="{D97F980D-41EC-4ADD-870F-37E531A5E539}"/>
    <cellStyle name="Millares 3 5 3 2 3" xfId="1525" xr:uid="{90E5D077-F268-4F53-A210-7B8FA3248C5C}"/>
    <cellStyle name="Millares 3 5 3 2 3 2" xfId="3449" xr:uid="{677FEB89-4CD7-4AE9-82AE-10EB1E2BDD99}"/>
    <cellStyle name="Millares 3 5 3 2 3 2 2" xfId="7297" xr:uid="{E69167DC-830B-4E84-A5C8-2A4781B41F41}"/>
    <cellStyle name="Millares 3 5 3 2 3 3" xfId="5373" xr:uid="{53830C4A-58F2-4A18-B4D9-C0E03F1C104B}"/>
    <cellStyle name="Millares 3 5 3 2 4" xfId="2487" xr:uid="{E7D9CEF9-64B9-43C3-AB18-D049481E895B}"/>
    <cellStyle name="Millares 3 5 3 2 4 2" xfId="6335" xr:uid="{3ABE8229-1C0C-46B4-95AB-4D9B749B10D2}"/>
    <cellStyle name="Millares 3 5 3 2 5" xfId="4411" xr:uid="{94A3AD57-1450-4CF9-B626-28174866F936}"/>
    <cellStyle name="Millares 3 5 3 3" xfId="804" xr:uid="{12C6034A-B30E-4D1F-A845-9B1CEC1CD79E}"/>
    <cellStyle name="Millares 3 5 3 3 2" xfId="1766" xr:uid="{49258826-68A6-4D31-9C9A-14C4F7CFF7B0}"/>
    <cellStyle name="Millares 3 5 3 3 2 2" xfId="3690" xr:uid="{D0533F52-DDE4-4E97-B3D6-AF28D2D9436C}"/>
    <cellStyle name="Millares 3 5 3 3 2 2 2" xfId="7538" xr:uid="{5460B4E7-C536-45A5-8CE8-B1D7D0D8248B}"/>
    <cellStyle name="Millares 3 5 3 3 2 3" xfId="5614" xr:uid="{0A764BC4-DA51-42B6-8C8A-EC60E8F724D3}"/>
    <cellStyle name="Millares 3 5 3 3 3" xfId="2728" xr:uid="{7D9C79ED-48D7-4D31-9693-E27D71E51DF8}"/>
    <cellStyle name="Millares 3 5 3 3 3 2" xfId="6576" xr:uid="{CD111022-9B30-4B28-B74A-012DA025FAD4}"/>
    <cellStyle name="Millares 3 5 3 3 4" xfId="4652" xr:uid="{70D59925-018E-4C1B-9428-B83F7EDD2FDA}"/>
    <cellStyle name="Millares 3 5 3 4" xfId="1285" xr:uid="{986E7C40-3456-4A39-B21F-25CA27A015BE}"/>
    <cellStyle name="Millares 3 5 3 4 2" xfId="3209" xr:uid="{0E9C2C68-C39D-433E-A11F-7829F1AB4791}"/>
    <cellStyle name="Millares 3 5 3 4 2 2" xfId="7057" xr:uid="{6935AFAC-EFEE-46F8-9A4F-99ABDA22D58D}"/>
    <cellStyle name="Millares 3 5 3 4 3" xfId="5133" xr:uid="{76E9FDB1-E72F-4D84-86A9-D0529DED924E}"/>
    <cellStyle name="Millares 3 5 3 5" xfId="2247" xr:uid="{28A16C0C-8817-4078-BB7B-0B6F2925AF99}"/>
    <cellStyle name="Millares 3 5 3 5 2" xfId="6095" xr:uid="{330D2C91-0BF4-4BC4-A6C6-369F63BC3FE8}"/>
    <cellStyle name="Millares 3 5 3 6" xfId="4171" xr:uid="{D6485700-BC37-42EC-A32B-F501CC14E755}"/>
    <cellStyle name="Millares 3 5 4" xfId="245" xr:uid="{13E50EFD-803C-400C-885B-397A1A169854}"/>
    <cellStyle name="Millares 3 5 4 2" xfId="497" xr:uid="{09EBAED2-8D44-4BFF-8CC1-CA06342751B3}"/>
    <cellStyle name="Millares 3 5 4 2 2" xfId="978" xr:uid="{EF16EE4A-7811-47CC-9056-6CE9894242FF}"/>
    <cellStyle name="Millares 3 5 4 2 2 2" xfId="1940" xr:uid="{3F0A094A-E012-42AA-9B62-BB0341B7214C}"/>
    <cellStyle name="Millares 3 5 4 2 2 2 2" xfId="3864" xr:uid="{5479B628-7957-4018-AC8B-A365E1E2B2B2}"/>
    <cellStyle name="Millares 3 5 4 2 2 2 2 2" xfId="7712" xr:uid="{35B0F5ED-0C17-48F4-9989-A6FFA84ADB49}"/>
    <cellStyle name="Millares 3 5 4 2 2 2 3" xfId="5788" xr:uid="{0EE7D351-7473-4F85-8903-118EEA7C1A16}"/>
    <cellStyle name="Millares 3 5 4 2 2 3" xfId="2902" xr:uid="{1AA46FC9-7CD1-4350-BC9F-1BD5D6AB07ED}"/>
    <cellStyle name="Millares 3 5 4 2 2 3 2" xfId="6750" xr:uid="{43CAFEB9-8CC4-4746-84C7-28D2A183D5E3}"/>
    <cellStyle name="Millares 3 5 4 2 2 4" xfId="4826" xr:uid="{16F690E6-A74F-47C3-81FB-838D50FB9302}"/>
    <cellStyle name="Millares 3 5 4 2 3" xfId="1459" xr:uid="{CE4E9C8C-45C3-490E-975A-03A7BBD62809}"/>
    <cellStyle name="Millares 3 5 4 2 3 2" xfId="3383" xr:uid="{F3421BFA-5DC3-420F-A6B5-02892B255EBB}"/>
    <cellStyle name="Millares 3 5 4 2 3 2 2" xfId="7231" xr:uid="{6F181239-6459-408F-BE54-C79F652BF9C2}"/>
    <cellStyle name="Millares 3 5 4 2 3 3" xfId="5307" xr:uid="{B86CBBEA-34F0-4B52-84F1-F5B9666C3969}"/>
    <cellStyle name="Millares 3 5 4 2 4" xfId="2421" xr:uid="{EF7E5C5F-AA5F-4F45-98A2-588237137E2A}"/>
    <cellStyle name="Millares 3 5 4 2 4 2" xfId="6269" xr:uid="{2C6E25C5-DCEF-415F-86F9-41E276B52D12}"/>
    <cellStyle name="Millares 3 5 4 2 5" xfId="4345" xr:uid="{B8D7DAA6-5804-4A0F-A232-F4EDC460E553}"/>
    <cellStyle name="Millares 3 5 4 3" xfId="738" xr:uid="{61E5D043-8011-4078-B16B-CCE4C62E8D7A}"/>
    <cellStyle name="Millares 3 5 4 3 2" xfId="1700" xr:uid="{CF585721-B93B-4EF4-A80E-B13839F32B03}"/>
    <cellStyle name="Millares 3 5 4 3 2 2" xfId="3624" xr:uid="{5C8DD619-9D75-409C-BCE1-F40D12F87135}"/>
    <cellStyle name="Millares 3 5 4 3 2 2 2" xfId="7472" xr:uid="{71763044-8912-474C-8384-B896A188F51E}"/>
    <cellStyle name="Millares 3 5 4 3 2 3" xfId="5548" xr:uid="{4C1B2CE7-3E98-4E6B-848A-9FEE68E1EEE6}"/>
    <cellStyle name="Millares 3 5 4 3 3" xfId="2662" xr:uid="{EB3FB8BB-A872-40C6-BED4-9C6B0C7BCAD0}"/>
    <cellStyle name="Millares 3 5 4 3 3 2" xfId="6510" xr:uid="{1C130F6C-2112-4BB7-97C3-86A2B928C23F}"/>
    <cellStyle name="Millares 3 5 4 3 4" xfId="4586" xr:uid="{32104942-50B5-4B73-9E4F-AA627BF46653}"/>
    <cellStyle name="Millares 3 5 4 4" xfId="1219" xr:uid="{128856D5-A3CD-4AD4-A80A-23C4A0134356}"/>
    <cellStyle name="Millares 3 5 4 4 2" xfId="3143" xr:uid="{9C7EE26A-9998-4D2F-97C9-49BDA1B46843}"/>
    <cellStyle name="Millares 3 5 4 4 2 2" xfId="6991" xr:uid="{3108795C-506E-4BB4-AA86-C3F6D0388C30}"/>
    <cellStyle name="Millares 3 5 4 4 3" xfId="5067" xr:uid="{FC77C23D-819D-45E6-B776-2BFA2C50FD33}"/>
    <cellStyle name="Millares 3 5 4 5" xfId="2181" xr:uid="{340710A4-B29E-4408-885E-44A1E000B4FF}"/>
    <cellStyle name="Millares 3 5 4 5 2" xfId="6029" xr:uid="{B353AED5-1334-49FF-8CA6-56E3F26F799A}"/>
    <cellStyle name="Millares 3 5 4 6" xfId="4105" xr:uid="{ECAAC14C-5164-450D-B01C-0CFA4206C638}"/>
    <cellStyle name="Millares 3 5 5" xfId="431" xr:uid="{3DAACED3-EF7E-43C7-BC8B-42D09BDAD44E}"/>
    <cellStyle name="Millares 3 5 5 2" xfId="912" xr:uid="{252AEB30-2543-4A07-883F-3E9EFF5C0513}"/>
    <cellStyle name="Millares 3 5 5 2 2" xfId="1874" xr:uid="{222DDBF2-2E79-4D6E-9322-2E57604DD685}"/>
    <cellStyle name="Millares 3 5 5 2 2 2" xfId="3798" xr:uid="{4B18517D-989A-4100-8886-8ABF8CAC4BBB}"/>
    <cellStyle name="Millares 3 5 5 2 2 2 2" xfId="7646" xr:uid="{6998D380-B496-410F-B310-FA3BC140DE01}"/>
    <cellStyle name="Millares 3 5 5 2 2 3" xfId="5722" xr:uid="{8E7362BD-2013-4D18-A497-46525C2FA1B3}"/>
    <cellStyle name="Millares 3 5 5 2 3" xfId="2836" xr:uid="{8E94E807-7A93-4962-B5E0-E0CE49EC9B9A}"/>
    <cellStyle name="Millares 3 5 5 2 3 2" xfId="6684" xr:uid="{3736C632-7F53-45A4-8A63-7E888724E9A4}"/>
    <cellStyle name="Millares 3 5 5 2 4" xfId="4760" xr:uid="{ADD73C50-CBCB-4171-B5E3-153E06CBC1A9}"/>
    <cellStyle name="Millares 3 5 5 3" xfId="1393" xr:uid="{A845945E-B4B8-4CCC-910A-A195C5CE44E3}"/>
    <cellStyle name="Millares 3 5 5 3 2" xfId="3317" xr:uid="{849742B2-D527-4C1F-B158-B4EC67972435}"/>
    <cellStyle name="Millares 3 5 5 3 2 2" xfId="7165" xr:uid="{DEACD053-F0C7-42C7-A687-14AA1BB40F8C}"/>
    <cellStyle name="Millares 3 5 5 3 3" xfId="5241" xr:uid="{F412288C-F68B-42ED-81FB-FF09319E229E}"/>
    <cellStyle name="Millares 3 5 5 4" xfId="2355" xr:uid="{E5BD8320-69D3-4BA0-A91E-1FC203041D59}"/>
    <cellStyle name="Millares 3 5 5 4 2" xfId="6203" xr:uid="{EE175D3A-8112-43E0-8F7A-63CEF36DB667}"/>
    <cellStyle name="Millares 3 5 5 5" xfId="4279" xr:uid="{9EAB81F9-F9EF-478E-A12C-C0A68E00442A}"/>
    <cellStyle name="Millares 3 5 6" xfId="672" xr:uid="{902F2E88-3639-46E3-AAC9-FB3C11E10DB5}"/>
    <cellStyle name="Millares 3 5 6 2" xfId="1634" xr:uid="{08ECC714-3353-4476-B3F7-D9BB107B1D6A}"/>
    <cellStyle name="Millares 3 5 6 2 2" xfId="3558" xr:uid="{27B6FDED-CC89-4EE7-A765-866371B409B5}"/>
    <cellStyle name="Millares 3 5 6 2 2 2" xfId="7406" xr:uid="{EC3355DF-67B5-4BE2-AD46-1C5ABB77664F}"/>
    <cellStyle name="Millares 3 5 6 2 3" xfId="5482" xr:uid="{C937FF80-701F-4432-82CB-E88EC4F70884}"/>
    <cellStyle name="Millares 3 5 6 3" xfId="2596" xr:uid="{A7979983-220B-4D6C-8BC4-4B25ADEC40E3}"/>
    <cellStyle name="Millares 3 5 6 3 2" xfId="6444" xr:uid="{AD1AB542-5A40-4E13-9249-FB3D3B2CAA0A}"/>
    <cellStyle name="Millares 3 5 6 4" xfId="4520" xr:uid="{C2EC4AF3-1C11-4FF7-B658-A1D1CD810013}"/>
    <cellStyle name="Millares 3 5 7" xfId="1153" xr:uid="{D6DFD4EA-ACF2-4DBD-9C38-ED7DFBB86886}"/>
    <cellStyle name="Millares 3 5 7 2" xfId="3077" xr:uid="{4C2FC9FA-F945-4003-BACB-D1BEB98357B6}"/>
    <cellStyle name="Millares 3 5 7 2 2" xfId="6925" xr:uid="{6CD92374-EBD6-43A7-B9BD-FDD1BAE4BE34}"/>
    <cellStyle name="Millares 3 5 7 3" xfId="5001" xr:uid="{E9D75896-2C54-42C1-BBDD-A5F9249D545E}"/>
    <cellStyle name="Millares 3 5 8" xfId="2115" xr:uid="{CC0A76E3-47B9-493B-B1D2-2FCA3E74D525}"/>
    <cellStyle name="Millares 3 5 8 2" xfId="5963" xr:uid="{C7F82AF3-CCE5-4E64-91EE-A66E98664974}"/>
    <cellStyle name="Millares 3 5 9" xfId="4039" xr:uid="{ADE03AFD-7F54-4883-BD3A-5A0989F1F3CC}"/>
    <cellStyle name="Millares 3 6" xfId="130" xr:uid="{CA41BC00-EF2B-436F-8C50-2BB3B43E1D51}"/>
    <cellStyle name="Millares 3 6 2" xfId="278" xr:uid="{A98EAC15-B4BC-4A3E-AA1F-C88AB92FD4B4}"/>
    <cellStyle name="Millares 3 6 2 2" xfId="529" xr:uid="{08EF1B3A-4611-4365-A953-DED1ED2FC60B}"/>
    <cellStyle name="Millares 3 6 2 2 2" xfId="1010" xr:uid="{AFF7E372-8C09-4DCF-8872-8A3F74573599}"/>
    <cellStyle name="Millares 3 6 2 2 2 2" xfId="1972" xr:uid="{15DB6221-F00E-472F-A754-1F14EA8D0AFD}"/>
    <cellStyle name="Millares 3 6 2 2 2 2 2" xfId="3896" xr:uid="{BB638D50-34A4-495D-81A8-3F2E403CB11C}"/>
    <cellStyle name="Millares 3 6 2 2 2 2 2 2" xfId="7744" xr:uid="{24A185E9-D2A0-46C6-A8F0-D403D9656A7D}"/>
    <cellStyle name="Millares 3 6 2 2 2 2 3" xfId="5820" xr:uid="{C437604A-E28B-4D9B-A970-A43FD4753541}"/>
    <cellStyle name="Millares 3 6 2 2 2 3" xfId="2934" xr:uid="{ADDD5309-3152-4461-866A-A62A7B5D6E99}"/>
    <cellStyle name="Millares 3 6 2 2 2 3 2" xfId="6782" xr:uid="{E83F7835-3068-4CCF-B172-BEAE67EFDE6C}"/>
    <cellStyle name="Millares 3 6 2 2 2 4" xfId="4858" xr:uid="{96FBB3EF-F7D5-4C5E-9862-5BCEE733F7AD}"/>
    <cellStyle name="Millares 3 6 2 2 3" xfId="1491" xr:uid="{F08AF3FA-A07F-4695-AB42-CC95C3277798}"/>
    <cellStyle name="Millares 3 6 2 2 3 2" xfId="3415" xr:uid="{A2DE0333-C57A-4BF1-8C1D-480015B9E0B2}"/>
    <cellStyle name="Millares 3 6 2 2 3 2 2" xfId="7263" xr:uid="{DB6F25B8-9205-45D2-9BDC-8DBD754AAE4B}"/>
    <cellStyle name="Millares 3 6 2 2 3 3" xfId="5339" xr:uid="{CDD28D55-DF30-4B2C-821C-5C0E43F537D1}"/>
    <cellStyle name="Millares 3 6 2 2 4" xfId="2453" xr:uid="{72404436-1438-4B1E-BFC2-19C13AB47B69}"/>
    <cellStyle name="Millares 3 6 2 2 4 2" xfId="6301" xr:uid="{1C433912-62E5-45B1-8586-DC022A10946E}"/>
    <cellStyle name="Millares 3 6 2 2 5" xfId="4377" xr:uid="{5A0D62CB-6750-4254-9EA7-6EEB0C18AA7C}"/>
    <cellStyle name="Millares 3 6 2 3" xfId="770" xr:uid="{38E7EDC8-3281-47E4-A7B7-EC3BEE10B7FF}"/>
    <cellStyle name="Millares 3 6 2 3 2" xfId="1732" xr:uid="{B579BA77-674C-4C60-8685-8483274DD9EC}"/>
    <cellStyle name="Millares 3 6 2 3 2 2" xfId="3656" xr:uid="{98EBC028-E620-42B1-860C-55656D744DE4}"/>
    <cellStyle name="Millares 3 6 2 3 2 2 2" xfId="7504" xr:uid="{93F45DD2-E0B5-4A88-818B-B38E8AF9F906}"/>
    <cellStyle name="Millares 3 6 2 3 2 3" xfId="5580" xr:uid="{D685210A-CB13-409A-9E46-888C019C9EEE}"/>
    <cellStyle name="Millares 3 6 2 3 3" xfId="2694" xr:uid="{C4A7DEC8-2B0A-44FB-8C54-AE30E46B6EAC}"/>
    <cellStyle name="Millares 3 6 2 3 3 2" xfId="6542" xr:uid="{448804CC-9361-46DF-9A9D-D371D5D9A635}"/>
    <cellStyle name="Millares 3 6 2 3 4" xfId="4618" xr:uid="{50C2A3B0-6158-46D8-94D8-0AB5CA981B56}"/>
    <cellStyle name="Millares 3 6 2 4" xfId="1251" xr:uid="{9946B941-8E1E-4F27-9C34-F80CDBF809F3}"/>
    <cellStyle name="Millares 3 6 2 4 2" xfId="3175" xr:uid="{565DA964-34C0-401A-812B-ED1D57AC1093}"/>
    <cellStyle name="Millares 3 6 2 4 2 2" xfId="7023" xr:uid="{7438023B-A58B-4A20-91BD-E226A01C6ACF}"/>
    <cellStyle name="Millares 3 6 2 4 3" xfId="5099" xr:uid="{98719F9E-1F7A-407B-9EC1-D962A1D308C4}"/>
    <cellStyle name="Millares 3 6 2 5" xfId="2213" xr:uid="{9D28CB23-A1FB-4EE9-AFFA-FE5ECAA1CCC0}"/>
    <cellStyle name="Millares 3 6 2 5 2" xfId="6061" xr:uid="{26CF5CE0-A812-4A91-8581-D4147A558779}"/>
    <cellStyle name="Millares 3 6 2 6" xfId="4137" xr:uid="{718408BD-A24B-42F0-B33F-1D55CDF8C81F}"/>
    <cellStyle name="Millares 3 6 3" xfId="397" xr:uid="{C0813A9E-C896-4D96-A84D-3530A93776D3}"/>
    <cellStyle name="Millares 3 6 3 2" xfId="878" xr:uid="{127FB704-4993-40FA-BA44-B74D8D246A9F}"/>
    <cellStyle name="Millares 3 6 3 2 2" xfId="1840" xr:uid="{3254928A-2CAF-40E5-9F0E-CD20DAA765A5}"/>
    <cellStyle name="Millares 3 6 3 2 2 2" xfId="3764" xr:uid="{34FCA226-D623-499C-8149-608D5A41D955}"/>
    <cellStyle name="Millares 3 6 3 2 2 2 2" xfId="7612" xr:uid="{C6D11D95-3940-42F7-BD4F-D8C4A7DE32E7}"/>
    <cellStyle name="Millares 3 6 3 2 2 3" xfId="5688" xr:uid="{130C60BE-74C1-44A7-99EA-D9D86C76F56C}"/>
    <cellStyle name="Millares 3 6 3 2 3" xfId="2802" xr:uid="{E35FAB2E-05F4-4CB4-820A-86E3BE706368}"/>
    <cellStyle name="Millares 3 6 3 2 3 2" xfId="6650" xr:uid="{C5396475-634D-4186-919D-4DAD11C2B525}"/>
    <cellStyle name="Millares 3 6 3 2 4" xfId="4726" xr:uid="{5A774AF8-8713-42E0-935C-DE1047FE8B43}"/>
    <cellStyle name="Millares 3 6 3 3" xfId="1359" xr:uid="{81ED815E-8740-4E88-B1AC-40732955E0EE}"/>
    <cellStyle name="Millares 3 6 3 3 2" xfId="3283" xr:uid="{6902431E-C407-40F9-969E-A87406A13EAF}"/>
    <cellStyle name="Millares 3 6 3 3 2 2" xfId="7131" xr:uid="{F209947B-3EE9-44D0-8A27-9C23092C7294}"/>
    <cellStyle name="Millares 3 6 3 3 3" xfId="5207" xr:uid="{26EF134B-AD6D-423F-8A06-9948A77316A7}"/>
    <cellStyle name="Millares 3 6 3 4" xfId="2321" xr:uid="{1A4C6033-20C4-4031-9EA1-3D650F648573}"/>
    <cellStyle name="Millares 3 6 3 4 2" xfId="6169" xr:uid="{08CB60D7-1C5E-459C-92DB-B0FBBD545545}"/>
    <cellStyle name="Millares 3 6 3 5" xfId="4245" xr:uid="{08012492-FDC2-4ABE-91BF-D3F0AB1C88E5}"/>
    <cellStyle name="Millares 3 6 4" xfId="638" xr:uid="{A414FB67-0F8D-46F8-9A49-7166A0252C02}"/>
    <cellStyle name="Millares 3 6 4 2" xfId="1600" xr:uid="{1F4919B5-9901-4AB4-A213-939C04A18061}"/>
    <cellStyle name="Millares 3 6 4 2 2" xfId="3524" xr:uid="{24C8B782-7115-4A2D-8E95-743E4D860BFE}"/>
    <cellStyle name="Millares 3 6 4 2 2 2" xfId="7372" xr:uid="{417345ED-7277-4CED-BF9F-DB84EC7EFB18}"/>
    <cellStyle name="Millares 3 6 4 2 3" xfId="5448" xr:uid="{F9563FC5-85F4-4D98-8657-57C03048D468}"/>
    <cellStyle name="Millares 3 6 4 3" xfId="2562" xr:uid="{BC9DD1DA-FDCE-43EE-BEEE-BA98C29121F6}"/>
    <cellStyle name="Millares 3 6 4 3 2" xfId="6410" xr:uid="{84A23995-789F-421B-A8A4-5F5DC3105A12}"/>
    <cellStyle name="Millares 3 6 4 4" xfId="4486" xr:uid="{DF3D839F-16DF-4A85-92A8-55A0E6B4A505}"/>
    <cellStyle name="Millares 3 6 5" xfId="1119" xr:uid="{F0B85224-3917-4BEC-BA7A-9C6C080A9585}"/>
    <cellStyle name="Millares 3 6 5 2" xfId="3043" xr:uid="{21FE118B-A024-49CB-805F-A3DF8F526446}"/>
    <cellStyle name="Millares 3 6 5 2 2" xfId="6891" xr:uid="{11A658D1-7096-49D7-A46E-175BA89EB258}"/>
    <cellStyle name="Millares 3 6 5 3" xfId="4967" xr:uid="{1ACE0DF4-8C0B-46E3-AE7C-058AC759B745}"/>
    <cellStyle name="Millares 3 6 6" xfId="2081" xr:uid="{30D1FE43-1CF4-49D3-9BF2-79989CDB93A5}"/>
    <cellStyle name="Millares 3 6 6 2" xfId="5929" xr:uid="{B9C9BC81-1077-402C-A86C-96CC4E13FF59}"/>
    <cellStyle name="Millares 3 6 7" xfId="4005" xr:uid="{9CBD8B1C-3AF8-4230-9A6A-F69E06D7BA3E}"/>
    <cellStyle name="Millares 3 7" xfId="265" xr:uid="{69433F99-7096-46ED-A3A8-977A729D164A}"/>
    <cellStyle name="Millares 3 7 2" xfId="517" xr:uid="{ADB094A1-5CE2-46EF-8E8E-2BCED98EEA18}"/>
    <cellStyle name="Millares 3 7 2 2" xfId="998" xr:uid="{33B50ADF-1017-4504-B792-1A7905C75028}"/>
    <cellStyle name="Millares 3 7 2 2 2" xfId="1960" xr:uid="{B7C57A56-0C0E-494F-A4E4-AAA46D052D7F}"/>
    <cellStyle name="Millares 3 7 2 2 2 2" xfId="3884" xr:uid="{18D87D16-E4E5-43CC-AC10-235DD06C6C82}"/>
    <cellStyle name="Millares 3 7 2 2 2 2 2" xfId="7732" xr:uid="{38F8218E-9F83-45F3-A1CC-F31C3A1A3ACE}"/>
    <cellStyle name="Millares 3 7 2 2 2 3" xfId="5808" xr:uid="{013C240A-870F-47D7-9716-5CF2F30879A0}"/>
    <cellStyle name="Millares 3 7 2 2 3" xfId="2922" xr:uid="{5DF2693B-076C-42CF-AA1A-0C824D05C762}"/>
    <cellStyle name="Millares 3 7 2 2 3 2" xfId="6770" xr:uid="{8E062170-3694-4A61-BA9B-2DA1D9190791}"/>
    <cellStyle name="Millares 3 7 2 2 4" xfId="4846" xr:uid="{F1A901E9-C0F3-493D-9AC3-2F835C4C053E}"/>
    <cellStyle name="Millares 3 7 2 3" xfId="1479" xr:uid="{872BC86B-168E-444A-A83B-86E807BE5CF8}"/>
    <cellStyle name="Millares 3 7 2 3 2" xfId="3403" xr:uid="{E0EF19D0-814A-45C2-B76D-66437F5D0858}"/>
    <cellStyle name="Millares 3 7 2 3 2 2" xfId="7251" xr:uid="{38BCD1B3-635A-41F5-8156-C06E29BDCE99}"/>
    <cellStyle name="Millares 3 7 2 3 3" xfId="5327" xr:uid="{AE06DC29-7F69-4CE9-B469-EE8C29251E0D}"/>
    <cellStyle name="Millares 3 7 2 4" xfId="2441" xr:uid="{755149A0-2CD2-45F5-B1E2-C1F8DBD8052D}"/>
    <cellStyle name="Millares 3 7 2 4 2" xfId="6289" xr:uid="{E4AFD8CB-D156-483A-AEF3-340823C9DA7F}"/>
    <cellStyle name="Millares 3 7 2 5" xfId="4365" xr:uid="{CF7D323F-5989-43BE-9F97-F0A41D124E10}"/>
    <cellStyle name="Millares 3 7 3" xfId="758" xr:uid="{CC2AB0BA-C3E8-47D7-9462-0023C74FAB00}"/>
    <cellStyle name="Millares 3 7 3 2" xfId="1720" xr:uid="{3BEDE948-B0E4-469E-BFC3-7A51475BE361}"/>
    <cellStyle name="Millares 3 7 3 2 2" xfId="3644" xr:uid="{FAC58B0A-5FBF-4696-BAAC-EAC5D45340F5}"/>
    <cellStyle name="Millares 3 7 3 2 2 2" xfId="7492" xr:uid="{97CC7F90-487B-4E58-9EFE-5204F4917A11}"/>
    <cellStyle name="Millares 3 7 3 2 3" xfId="5568" xr:uid="{A25D1D47-C2B6-4728-BA67-AE70F8F3A257}"/>
    <cellStyle name="Millares 3 7 3 3" xfId="2682" xr:uid="{73121847-5297-4C05-A2BE-BCF61EAE465C}"/>
    <cellStyle name="Millares 3 7 3 3 2" xfId="6530" xr:uid="{D9869EE6-DF58-4F33-86E8-BC453D1A8C47}"/>
    <cellStyle name="Millares 3 7 3 4" xfId="4606" xr:uid="{9EBB957F-8667-473E-9EC6-482471B659CB}"/>
    <cellStyle name="Millares 3 7 4" xfId="1239" xr:uid="{A46497D6-7AA2-436B-A826-103858D2508A}"/>
    <cellStyle name="Millares 3 7 4 2" xfId="3163" xr:uid="{002C6D9F-B0FA-4ABF-8383-AFA8D6CC3AA5}"/>
    <cellStyle name="Millares 3 7 4 2 2" xfId="7011" xr:uid="{682CAFE3-53AE-42B5-8CFE-77AD02A82FE3}"/>
    <cellStyle name="Millares 3 7 4 3" xfId="5087" xr:uid="{0FEBFA9A-B78D-4852-96B0-42DF2A619401}"/>
    <cellStyle name="Millares 3 7 5" xfId="2201" xr:uid="{67B49649-4AA9-4BDD-B931-054B45774AB6}"/>
    <cellStyle name="Millares 3 7 5 2" xfId="6049" xr:uid="{FDE515AC-057E-48B0-BFDA-E2B020A63585}"/>
    <cellStyle name="Millares 3 7 6" xfId="4125" xr:uid="{861AF0E4-9979-4A40-9B4C-6BF1779856D0}"/>
    <cellStyle name="Millares 3 8" xfId="117" xr:uid="{0A10E417-0E3C-4B51-B54A-86D089BF44D5}"/>
    <cellStyle name="Millares 3 8 2" xfId="385" xr:uid="{BE92C74E-E36A-4F2A-BD39-8B4A5EA8B6CD}"/>
    <cellStyle name="Millares 3 8 2 2" xfId="866" xr:uid="{AA439855-AB37-4E90-83EC-D6FE27B8B671}"/>
    <cellStyle name="Millares 3 8 2 2 2" xfId="1828" xr:uid="{B08F4752-FF2D-4DCC-9694-A8E63BF6E077}"/>
    <cellStyle name="Millares 3 8 2 2 2 2" xfId="3752" xr:uid="{9A24E963-ABC1-4348-9FE5-4A55ACAE4868}"/>
    <cellStyle name="Millares 3 8 2 2 2 2 2" xfId="7600" xr:uid="{688E2696-8296-4A4C-9EE8-79FE532DF3FF}"/>
    <cellStyle name="Millares 3 8 2 2 2 3" xfId="5676" xr:uid="{7D39278B-F7B5-4BBC-9AB1-4CDA858A570D}"/>
    <cellStyle name="Millares 3 8 2 2 3" xfId="2790" xr:uid="{6BB3951D-3134-4988-B2C3-202D5850ACAC}"/>
    <cellStyle name="Millares 3 8 2 2 3 2" xfId="6638" xr:uid="{09F30337-48E5-4F4B-B64C-A2755B42BF55}"/>
    <cellStyle name="Millares 3 8 2 2 4" xfId="4714" xr:uid="{57DDFAAC-7345-4EA9-8E87-965BE0EE7DDA}"/>
    <cellStyle name="Millares 3 8 2 3" xfId="1347" xr:uid="{6DCAE38E-DDE2-4E31-9234-EF88191F7DF7}"/>
    <cellStyle name="Millares 3 8 2 3 2" xfId="3271" xr:uid="{2B14E58B-A593-4462-9246-77B3FF212565}"/>
    <cellStyle name="Millares 3 8 2 3 2 2" xfId="7119" xr:uid="{8F49E181-AA04-40BC-8E3A-06656BE6555E}"/>
    <cellStyle name="Millares 3 8 2 3 3" xfId="5195" xr:uid="{394D24C6-1CC9-4EA1-B963-B5FEF01BD5DD}"/>
    <cellStyle name="Millares 3 8 2 4" xfId="2309" xr:uid="{BD68BD81-4828-4A12-BD89-7867BE69F7F6}"/>
    <cellStyle name="Millares 3 8 2 4 2" xfId="6157" xr:uid="{20FFF0BB-D39A-4434-8EA0-510FF9328402}"/>
    <cellStyle name="Millares 3 8 2 5" xfId="4233" xr:uid="{C6D81B1A-EDE1-4E6D-B3D5-F979CCB1EF30}"/>
    <cellStyle name="Millares 3 8 3" xfId="626" xr:uid="{D2611099-6A31-431A-AC6E-74418B783680}"/>
    <cellStyle name="Millares 3 8 3 2" xfId="1588" xr:uid="{220FC364-F0D9-412E-BE8F-E0D2906B42D0}"/>
    <cellStyle name="Millares 3 8 3 2 2" xfId="3512" xr:uid="{19EFAF26-8589-4CEC-B34A-B76837B2F7EF}"/>
    <cellStyle name="Millares 3 8 3 2 2 2" xfId="7360" xr:uid="{B1E24AE5-E71A-44A4-BE8B-723824494D8D}"/>
    <cellStyle name="Millares 3 8 3 2 3" xfId="5436" xr:uid="{39C6D439-0065-4DFE-BFF8-E6F37DEF7274}"/>
    <cellStyle name="Millares 3 8 3 3" xfId="2550" xr:uid="{36CB4346-C3A8-4547-A26B-F55049D5D1E6}"/>
    <cellStyle name="Millares 3 8 3 3 2" xfId="6398" xr:uid="{F59C474F-8F1C-4F55-81DD-B8AAD8E14A03}"/>
    <cellStyle name="Millares 3 8 3 4" xfId="4474" xr:uid="{ED6F7E48-451F-4873-B310-5935008769DC}"/>
    <cellStyle name="Millares 3 8 4" xfId="1107" xr:uid="{0C36D672-7E7C-43F2-AFC9-B1F902B4BD73}"/>
    <cellStyle name="Millares 3 8 4 2" xfId="3031" xr:uid="{D361B71B-D94B-4074-AF60-478CCE481E8C}"/>
    <cellStyle name="Millares 3 8 4 2 2" xfId="6879" xr:uid="{31BCC239-B53C-4A5E-84CF-E06ED332E963}"/>
    <cellStyle name="Millares 3 8 4 3" xfId="4955" xr:uid="{8C98AD1F-9355-48A0-982D-4A11BF8947AA}"/>
    <cellStyle name="Millares 3 8 5" xfId="2069" xr:uid="{84B1D340-DB06-499D-97E8-2B78B4695112}"/>
    <cellStyle name="Millares 3 8 5 2" xfId="5917" xr:uid="{196D356F-630D-40A9-B4D6-1BD329EBB010}"/>
    <cellStyle name="Millares 3 8 6" xfId="3993" xr:uid="{B81875D2-FF76-4225-8CAC-DA02400541BF}"/>
    <cellStyle name="Millares 3 9" xfId="7843" xr:uid="{69ACA3E8-2FAA-4C92-BC97-C0D17034E2BD}"/>
    <cellStyle name="Millares 4" xfId="116" xr:uid="{6717D644-F3EC-403E-919A-184E5508A37E}"/>
    <cellStyle name="Millares 4 10" xfId="1106" xr:uid="{C4C5139A-B724-4437-8F5A-4CE873A29C41}"/>
    <cellStyle name="Millares 4 10 2" xfId="3030" xr:uid="{05CD46B1-BEBF-4129-B5A2-FDA9D2577A57}"/>
    <cellStyle name="Millares 4 10 2 2" xfId="6878" xr:uid="{A29D435E-7F47-4436-BC0C-C027A768B8EE}"/>
    <cellStyle name="Millares 4 10 3" xfId="4954" xr:uid="{F54F0BAF-E778-4438-A896-BCF1EEFA90EA}"/>
    <cellStyle name="Millares 4 11" xfId="2068" xr:uid="{22ADEC82-C7E7-40D2-8AD4-E02AB9927A94}"/>
    <cellStyle name="Millares 4 11 2" xfId="5916" xr:uid="{2CD513C0-786F-4754-A857-CE9B334DF321}"/>
    <cellStyle name="Millares 4 12" xfId="3992" xr:uid="{D567F894-FAAC-4417-A3A1-1B214DFFD999}"/>
    <cellStyle name="Millares 4 13" xfId="7855" xr:uid="{8E1E64B9-1D83-4A89-8E26-500FADE0B317}"/>
    <cellStyle name="Millares 4 2" xfId="118" xr:uid="{DD891C4A-62E2-46A8-9149-3FCE9829159C}"/>
    <cellStyle name="Millares 4 2 10" xfId="627" xr:uid="{ADADD9C6-B393-4712-BFFA-73D386EFD51E}"/>
    <cellStyle name="Millares 4 2 10 2" xfId="1589" xr:uid="{BAB2D3DE-1808-4B25-91FA-BFC50941FBD6}"/>
    <cellStyle name="Millares 4 2 10 2 2" xfId="3513" xr:uid="{2283B909-ED9C-44D9-B4D7-5A5FBCABAFAE}"/>
    <cellStyle name="Millares 4 2 10 2 2 2" xfId="7361" xr:uid="{B8C3F9A9-4299-44FE-B288-F40BBE704394}"/>
    <cellStyle name="Millares 4 2 10 2 3" xfId="5437" xr:uid="{5E5A4C13-6D92-4B69-A8EC-494EBC3C89A6}"/>
    <cellStyle name="Millares 4 2 10 3" xfId="2551" xr:uid="{6DFFDFE5-0437-4744-9DFD-AC3B362791DE}"/>
    <cellStyle name="Millares 4 2 10 3 2" xfId="6399" xr:uid="{160C701B-1508-45EC-904B-4751604F866B}"/>
    <cellStyle name="Millares 4 2 10 4" xfId="4475" xr:uid="{DE3F1286-7A11-4129-B277-4570490BE883}"/>
    <cellStyle name="Millares 4 2 11" xfId="1108" xr:uid="{FE5786BC-52CE-4432-9240-1C7FED26F27A}"/>
    <cellStyle name="Millares 4 2 11 2" xfId="3032" xr:uid="{50389C3B-1439-4A21-BFDF-0D2DC5F6C837}"/>
    <cellStyle name="Millares 4 2 11 2 2" xfId="6880" xr:uid="{E8FBC4A0-09DC-425B-BF77-D2047BB4482E}"/>
    <cellStyle name="Millares 4 2 11 3" xfId="4956" xr:uid="{83DF8D46-1F35-4D3A-9C16-7E5DF80910F3}"/>
    <cellStyle name="Millares 4 2 12" xfId="2070" xr:uid="{87F727C3-6626-41F7-824D-2DC43D5D175A}"/>
    <cellStyle name="Millares 4 2 12 2" xfId="5918" xr:uid="{0BD3983F-14A1-4667-9225-FE20D3AFEE61}"/>
    <cellStyle name="Millares 4 2 13" xfId="3994" xr:uid="{CF025907-D400-4A2A-932E-5D208B5DE788}"/>
    <cellStyle name="Millares 4 2 14" xfId="7915" xr:uid="{1B1DE0BF-691C-49FC-98E3-ADD77A0E119A}"/>
    <cellStyle name="Millares 4 2 2" xfId="122" xr:uid="{AB44B7DE-689B-4D0B-BBF9-7B4BF78AFC0F}"/>
    <cellStyle name="Millares 4 2 2 10" xfId="3998" xr:uid="{B4402528-632A-42BA-9CCE-69D31AA1CB91}"/>
    <cellStyle name="Millares 4 2 2 11" xfId="7972" xr:uid="{AE81838D-80AA-4310-8914-E5DAF6E13A65}"/>
    <cellStyle name="Millares 4 2 2 2" xfId="182" xr:uid="{CDC7B2FB-48CA-496B-BC13-34EE03ECE6BD}"/>
    <cellStyle name="Millares 4 2 2 2 2" xfId="317" xr:uid="{1DFB113E-0645-4AF3-8FDF-E6243C00DA4A}"/>
    <cellStyle name="Millares 4 2 2 2 2 2" xfId="568" xr:uid="{5F914B62-B843-4059-B5A6-12C9CC831173}"/>
    <cellStyle name="Millares 4 2 2 2 2 2 2" xfId="1049" xr:uid="{0427F68A-A09F-4018-A184-5F3FB2F64F02}"/>
    <cellStyle name="Millares 4 2 2 2 2 2 2 2" xfId="2011" xr:uid="{FF28CBC8-DD0A-4E90-927E-E714999EEE2C}"/>
    <cellStyle name="Millares 4 2 2 2 2 2 2 2 2" xfId="3935" xr:uid="{EE29082A-7568-430E-A31E-8BF83B6C4A13}"/>
    <cellStyle name="Millares 4 2 2 2 2 2 2 2 2 2" xfId="7783" xr:uid="{DF11E1B7-2EB4-421B-A280-3FE0A3F97605}"/>
    <cellStyle name="Millares 4 2 2 2 2 2 2 2 3" xfId="5859" xr:uid="{60F47698-117A-4223-9F3F-856698D1C50C}"/>
    <cellStyle name="Millares 4 2 2 2 2 2 2 3" xfId="2973" xr:uid="{50A4D417-4972-4CAF-BA55-B5DAD3DF6B2E}"/>
    <cellStyle name="Millares 4 2 2 2 2 2 2 3 2" xfId="6821" xr:uid="{C8F05EED-C7F1-47A8-911F-78AE53A3CEA8}"/>
    <cellStyle name="Millares 4 2 2 2 2 2 2 4" xfId="4897" xr:uid="{AE88254B-F5D4-475E-8F04-51B317431699}"/>
    <cellStyle name="Millares 4 2 2 2 2 2 3" xfId="1530" xr:uid="{577E0019-7DB8-4914-8C43-660A16D8BBDD}"/>
    <cellStyle name="Millares 4 2 2 2 2 2 3 2" xfId="3454" xr:uid="{17DAEA4B-5424-414F-826A-9F5DE2919502}"/>
    <cellStyle name="Millares 4 2 2 2 2 2 3 2 2" xfId="7302" xr:uid="{B7088C8A-0056-4C0A-BD1E-1D443A73B5F6}"/>
    <cellStyle name="Millares 4 2 2 2 2 2 3 3" xfId="5378" xr:uid="{AF114F80-38B3-4CA1-A53C-DFB008AC02B7}"/>
    <cellStyle name="Millares 4 2 2 2 2 2 4" xfId="2492" xr:uid="{C55256F1-9D22-4BE6-8FB6-2F60BE4209E5}"/>
    <cellStyle name="Millares 4 2 2 2 2 2 4 2" xfId="6340" xr:uid="{3AB81A2E-34AA-4E93-A656-AA018EC41F9A}"/>
    <cellStyle name="Millares 4 2 2 2 2 2 5" xfId="4416" xr:uid="{802D07D0-03C9-4ACB-AE97-B17AD3305E5D}"/>
    <cellStyle name="Millares 4 2 2 2 2 3" xfId="809" xr:uid="{4A61B443-C4C3-47C7-849F-4FD7AEDFB0AF}"/>
    <cellStyle name="Millares 4 2 2 2 2 3 2" xfId="1771" xr:uid="{610FC649-B91D-4047-AEC6-8245F7C3323B}"/>
    <cellStyle name="Millares 4 2 2 2 2 3 2 2" xfId="3695" xr:uid="{A28735E1-D713-4749-9B1D-CCB2692B4A04}"/>
    <cellStyle name="Millares 4 2 2 2 2 3 2 2 2" xfId="7543" xr:uid="{F3454BC8-4408-4F10-8096-D7F9E0CD1C45}"/>
    <cellStyle name="Millares 4 2 2 2 2 3 2 3" xfId="5619" xr:uid="{97ABF4D9-F62F-4941-BBB9-8C5C61D4D653}"/>
    <cellStyle name="Millares 4 2 2 2 2 3 3" xfId="2733" xr:uid="{80A766E5-123D-4D75-B04E-693DF54CF24F}"/>
    <cellStyle name="Millares 4 2 2 2 2 3 3 2" xfId="6581" xr:uid="{E6E25FB7-F7D5-4485-B9EE-79F7CB940068}"/>
    <cellStyle name="Millares 4 2 2 2 2 3 4" xfId="4657" xr:uid="{2CDCFFA1-182F-4D4F-80C1-B786BACCD38A}"/>
    <cellStyle name="Millares 4 2 2 2 2 4" xfId="1290" xr:uid="{A9BAD495-46C8-4727-A1A9-CA65ADD0D5E1}"/>
    <cellStyle name="Millares 4 2 2 2 2 4 2" xfId="3214" xr:uid="{BF3A56EF-ACA9-47C9-972A-5AC0AE7B3911}"/>
    <cellStyle name="Millares 4 2 2 2 2 4 2 2" xfId="7062" xr:uid="{8B1FA796-295C-4B1B-9AE6-FC8530742245}"/>
    <cellStyle name="Millares 4 2 2 2 2 4 3" xfId="5138" xr:uid="{F3C94E0B-C53C-4C31-8C57-43560096A6C7}"/>
    <cellStyle name="Millares 4 2 2 2 2 5" xfId="2252" xr:uid="{844E18B7-0B91-4F1E-B7E5-72E639305DCD}"/>
    <cellStyle name="Millares 4 2 2 2 2 5 2" xfId="6100" xr:uid="{4B56CC61-33B4-4720-8716-FB6ABACBC2BE}"/>
    <cellStyle name="Millares 4 2 2 2 2 6" xfId="4176" xr:uid="{1378CC36-6345-4327-8BE6-2E9233203A58}"/>
    <cellStyle name="Millares 4 2 2 2 3" xfId="436" xr:uid="{73B9376B-1E02-4D3C-BD4C-74459E50AFA4}"/>
    <cellStyle name="Millares 4 2 2 2 3 2" xfId="917" xr:uid="{51D40444-A630-4885-939F-3B3CA99D7C26}"/>
    <cellStyle name="Millares 4 2 2 2 3 2 2" xfId="1879" xr:uid="{02301FE0-3B9F-4EE4-B4E6-2A8983A4B2BD}"/>
    <cellStyle name="Millares 4 2 2 2 3 2 2 2" xfId="3803" xr:uid="{0655E05F-EFAE-45BE-8C60-E85F1C1686DC}"/>
    <cellStyle name="Millares 4 2 2 2 3 2 2 2 2" xfId="7651" xr:uid="{3FDEA2EB-98DD-4FAA-83C7-DFACBC4649FA}"/>
    <cellStyle name="Millares 4 2 2 2 3 2 2 3" xfId="5727" xr:uid="{11230570-450D-4569-B229-7B8252BBD375}"/>
    <cellStyle name="Millares 4 2 2 2 3 2 3" xfId="2841" xr:uid="{E5D0C771-FE51-481B-8B27-AEEE8A45E41F}"/>
    <cellStyle name="Millares 4 2 2 2 3 2 3 2" xfId="6689" xr:uid="{D67D05C0-0CD3-4B6E-9420-D7954AA44961}"/>
    <cellStyle name="Millares 4 2 2 2 3 2 4" xfId="4765" xr:uid="{301F6683-C95B-4F4B-BD8F-1FCB1E82AECB}"/>
    <cellStyle name="Millares 4 2 2 2 3 3" xfId="1398" xr:uid="{196C2234-62D2-45A8-BDB1-1496D7F9EF09}"/>
    <cellStyle name="Millares 4 2 2 2 3 3 2" xfId="3322" xr:uid="{D7CB4D4D-489F-4C8A-A1BA-FEEB32DB5171}"/>
    <cellStyle name="Millares 4 2 2 2 3 3 2 2" xfId="7170" xr:uid="{2F90F6FD-4521-4951-9578-E14CF36DD314}"/>
    <cellStyle name="Millares 4 2 2 2 3 3 3" xfId="5246" xr:uid="{F1F9EA20-869A-4EEC-B870-D81F83BE5FEC}"/>
    <cellStyle name="Millares 4 2 2 2 3 4" xfId="2360" xr:uid="{0E5CAD47-21E4-4C3D-B545-97B2548138B3}"/>
    <cellStyle name="Millares 4 2 2 2 3 4 2" xfId="6208" xr:uid="{4C2281D6-4CB0-4931-887F-72A9DF17CB19}"/>
    <cellStyle name="Millares 4 2 2 2 3 5" xfId="4284" xr:uid="{B741481D-C97A-4F9C-B5AD-4ED373B6D2AE}"/>
    <cellStyle name="Millares 4 2 2 2 4" xfId="677" xr:uid="{5637E3FC-1123-4CBA-8B77-4AF56930F2D6}"/>
    <cellStyle name="Millares 4 2 2 2 4 2" xfId="1639" xr:uid="{131C8772-2D8A-4619-8B62-7FE38BB5E691}"/>
    <cellStyle name="Millares 4 2 2 2 4 2 2" xfId="3563" xr:uid="{2D3B6CA3-7E52-497E-8E47-92471A2E5266}"/>
    <cellStyle name="Millares 4 2 2 2 4 2 2 2" xfId="7411" xr:uid="{C560473A-8577-416A-A6C0-0FB01B6278AC}"/>
    <cellStyle name="Millares 4 2 2 2 4 2 3" xfId="5487" xr:uid="{DD704472-A693-4305-88E1-A39BE78A4885}"/>
    <cellStyle name="Millares 4 2 2 2 4 3" xfId="2601" xr:uid="{B3627774-8270-41A3-A8C9-50952137A043}"/>
    <cellStyle name="Millares 4 2 2 2 4 3 2" xfId="6449" xr:uid="{12A64669-A2F5-402C-A887-B920E63E4E6A}"/>
    <cellStyle name="Millares 4 2 2 2 4 4" xfId="4525" xr:uid="{AD7A9EF5-A93F-4460-BCC9-1174958F854F}"/>
    <cellStyle name="Millares 4 2 2 2 5" xfId="1158" xr:uid="{10616ABF-DCAE-4A97-B00F-13E7F9F00BB6}"/>
    <cellStyle name="Millares 4 2 2 2 5 2" xfId="3082" xr:uid="{181B68FC-63B0-407C-87A8-B7DD91B5D4D6}"/>
    <cellStyle name="Millares 4 2 2 2 5 2 2" xfId="6930" xr:uid="{1A9F1930-F1D1-487B-B261-D18A60846F07}"/>
    <cellStyle name="Millares 4 2 2 2 5 3" xfId="5006" xr:uid="{8CB55596-44BC-44FC-88B4-BBBD10F1378B}"/>
    <cellStyle name="Millares 4 2 2 2 6" xfId="2120" xr:uid="{D11924F1-8F24-41F2-8A19-F5D244F4F3F8}"/>
    <cellStyle name="Millares 4 2 2 2 6 2" xfId="5968" xr:uid="{86A5DBD5-14EB-49E7-B3A1-F03D76704810}"/>
    <cellStyle name="Millares 4 2 2 2 7" xfId="4044" xr:uid="{483FA7D2-25CF-490D-8AC5-F6C6B7991F8B}"/>
    <cellStyle name="Millares 4 2 2 3" xfId="216" xr:uid="{13126327-E9DF-484E-9687-0253E4A5B3C5}"/>
    <cellStyle name="Millares 4 2 2 3 2" xfId="350" xr:uid="{121EE544-E7AD-4CB9-86D4-59CD47974B1B}"/>
    <cellStyle name="Millares 4 2 2 3 2 2" xfId="601" xr:uid="{980A66CC-FA94-4157-96C8-DDF44C557D0A}"/>
    <cellStyle name="Millares 4 2 2 3 2 2 2" xfId="1082" xr:uid="{4517AB2D-882D-495E-837C-7479AA2A4E5E}"/>
    <cellStyle name="Millares 4 2 2 3 2 2 2 2" xfId="2044" xr:uid="{C3B3DC5F-5903-4F10-8548-9B64935B9511}"/>
    <cellStyle name="Millares 4 2 2 3 2 2 2 2 2" xfId="3968" xr:uid="{57E2D591-09F8-44AA-89F0-D14E64786EE3}"/>
    <cellStyle name="Millares 4 2 2 3 2 2 2 2 2 2" xfId="7816" xr:uid="{4F9D553B-A63E-4E63-903B-1707CF090E8D}"/>
    <cellStyle name="Millares 4 2 2 3 2 2 2 2 3" xfId="5892" xr:uid="{CC7B9C07-9AA4-4C4F-BA0D-FDABAE5A31E8}"/>
    <cellStyle name="Millares 4 2 2 3 2 2 2 3" xfId="3006" xr:uid="{5A407CE6-D3E1-46D6-B77E-D9C4870ED918}"/>
    <cellStyle name="Millares 4 2 2 3 2 2 2 3 2" xfId="6854" xr:uid="{C5C69DBA-5FB3-4C55-8006-B69221484155}"/>
    <cellStyle name="Millares 4 2 2 3 2 2 2 4" xfId="4930" xr:uid="{3549D940-268F-4739-B574-7DD8CFFF8D65}"/>
    <cellStyle name="Millares 4 2 2 3 2 2 3" xfId="1563" xr:uid="{F4379602-4831-4F7D-8E1A-D69704212B80}"/>
    <cellStyle name="Millares 4 2 2 3 2 2 3 2" xfId="3487" xr:uid="{B0A68C3A-FA07-4B78-B996-FBCB1DD3C590}"/>
    <cellStyle name="Millares 4 2 2 3 2 2 3 2 2" xfId="7335" xr:uid="{E54BE732-4BEA-48F3-8608-B8F186CE8813}"/>
    <cellStyle name="Millares 4 2 2 3 2 2 3 3" xfId="5411" xr:uid="{377EEF5F-9748-4DAC-B423-097D2EC39F26}"/>
    <cellStyle name="Millares 4 2 2 3 2 2 4" xfId="2525" xr:uid="{289BA3AE-6DC3-4896-BF4E-3EE43A9E4AD3}"/>
    <cellStyle name="Millares 4 2 2 3 2 2 4 2" xfId="6373" xr:uid="{597D3CCA-6256-4304-828F-FC2485E71FEB}"/>
    <cellStyle name="Millares 4 2 2 3 2 2 5" xfId="4449" xr:uid="{30C5D474-7E89-4A45-827B-970AA6FD3AD0}"/>
    <cellStyle name="Millares 4 2 2 3 2 3" xfId="842" xr:uid="{ACEA20C6-66DB-43A1-B4EC-EDD6393476E5}"/>
    <cellStyle name="Millares 4 2 2 3 2 3 2" xfId="1804" xr:uid="{A9B13AB8-AD01-4EE1-8CD5-D2D1D2819945}"/>
    <cellStyle name="Millares 4 2 2 3 2 3 2 2" xfId="3728" xr:uid="{31C90082-FEF9-4C90-A5BA-EF412F56650B}"/>
    <cellStyle name="Millares 4 2 2 3 2 3 2 2 2" xfId="7576" xr:uid="{7177174F-9168-4EF9-919F-E5F279BDEBED}"/>
    <cellStyle name="Millares 4 2 2 3 2 3 2 3" xfId="5652" xr:uid="{1A05819A-89F5-45D4-BFBE-262C9A94E17D}"/>
    <cellStyle name="Millares 4 2 2 3 2 3 3" xfId="2766" xr:uid="{79E45166-77B7-495A-8632-4CC1C8DA8E45}"/>
    <cellStyle name="Millares 4 2 2 3 2 3 3 2" xfId="6614" xr:uid="{C93465D0-6931-4E4F-A6D5-BF8B3ED73FA3}"/>
    <cellStyle name="Millares 4 2 2 3 2 3 4" xfId="4690" xr:uid="{63F9F274-F4D9-4872-B873-795D1003E23B}"/>
    <cellStyle name="Millares 4 2 2 3 2 4" xfId="1323" xr:uid="{665F91E0-F142-4667-8767-D5973220444C}"/>
    <cellStyle name="Millares 4 2 2 3 2 4 2" xfId="3247" xr:uid="{47787DAF-7426-4679-8695-D384DCA8604A}"/>
    <cellStyle name="Millares 4 2 2 3 2 4 2 2" xfId="7095" xr:uid="{B6DB85A8-5C45-4434-8AC6-0F39C86602AD}"/>
    <cellStyle name="Millares 4 2 2 3 2 4 3" xfId="5171" xr:uid="{56F61E8C-0DBA-4011-838D-00B61699FEF3}"/>
    <cellStyle name="Millares 4 2 2 3 2 5" xfId="2285" xr:uid="{02109AF7-2F19-43BB-B636-D36769E18BDA}"/>
    <cellStyle name="Millares 4 2 2 3 2 5 2" xfId="6133" xr:uid="{2134B1B5-EBFB-4B3C-AEAB-7712B1E48FD0}"/>
    <cellStyle name="Millares 4 2 2 3 2 6" xfId="4209" xr:uid="{723B3859-B2D8-4B30-A395-CE7B3DDBA6EB}"/>
    <cellStyle name="Millares 4 2 2 3 3" xfId="469" xr:uid="{FE5E3E81-30E0-4DBB-B704-FABEE55A82DE}"/>
    <cellStyle name="Millares 4 2 2 3 3 2" xfId="950" xr:uid="{A6C541CB-B0DE-4392-BE39-4E10C8F2F226}"/>
    <cellStyle name="Millares 4 2 2 3 3 2 2" xfId="1912" xr:uid="{458A5329-72B8-4D90-8C93-13BCD456E0B9}"/>
    <cellStyle name="Millares 4 2 2 3 3 2 2 2" xfId="3836" xr:uid="{E76BF5E0-8C27-4CE9-A637-21802F80F96A}"/>
    <cellStyle name="Millares 4 2 2 3 3 2 2 2 2" xfId="7684" xr:uid="{2D5580E4-15CA-4D7C-8A4A-5121832D1312}"/>
    <cellStyle name="Millares 4 2 2 3 3 2 2 3" xfId="5760" xr:uid="{79BB4F23-6BD8-47EB-9605-4DCC0BCB3CFE}"/>
    <cellStyle name="Millares 4 2 2 3 3 2 3" xfId="2874" xr:uid="{19DA2A4E-B822-4BEC-AAAF-1AC71394212D}"/>
    <cellStyle name="Millares 4 2 2 3 3 2 3 2" xfId="6722" xr:uid="{26B0D860-B190-4B41-8E7F-83B606DB0393}"/>
    <cellStyle name="Millares 4 2 2 3 3 2 4" xfId="4798" xr:uid="{4F1F13B3-76A0-4791-8D8E-B2C464C98741}"/>
    <cellStyle name="Millares 4 2 2 3 3 3" xfId="1431" xr:uid="{A9C5166C-AD28-4BFD-B6D0-6A44E5239A3A}"/>
    <cellStyle name="Millares 4 2 2 3 3 3 2" xfId="3355" xr:uid="{F6A301B2-25F7-45FC-BA3A-6324E19AF407}"/>
    <cellStyle name="Millares 4 2 2 3 3 3 2 2" xfId="7203" xr:uid="{A3667619-F399-40D1-BA41-DE764B7DF922}"/>
    <cellStyle name="Millares 4 2 2 3 3 3 3" xfId="5279" xr:uid="{5E01DD68-0B50-4494-8248-0F5A17A8A566}"/>
    <cellStyle name="Millares 4 2 2 3 3 4" xfId="2393" xr:uid="{5184A5E2-12F4-4BDE-95C8-3F5704EC2EFC}"/>
    <cellStyle name="Millares 4 2 2 3 3 4 2" xfId="6241" xr:uid="{A861BD7F-03ED-46BA-B8B9-9973C395DAEC}"/>
    <cellStyle name="Millares 4 2 2 3 3 5" xfId="4317" xr:uid="{6EE9AE51-1C69-4695-829E-CAF29A1FDC40}"/>
    <cellStyle name="Millares 4 2 2 3 4" xfId="710" xr:uid="{013CB713-0795-4545-BD83-712E30E1CDF5}"/>
    <cellStyle name="Millares 4 2 2 3 4 2" xfId="1672" xr:uid="{EB100926-9168-4B02-8B69-4F923CB92AF4}"/>
    <cellStyle name="Millares 4 2 2 3 4 2 2" xfId="3596" xr:uid="{4273756B-7694-4498-BD2A-8683B4659247}"/>
    <cellStyle name="Millares 4 2 2 3 4 2 2 2" xfId="7444" xr:uid="{1D6DA04B-AA2A-49C5-917A-770AFEB64343}"/>
    <cellStyle name="Millares 4 2 2 3 4 2 3" xfId="5520" xr:uid="{A87B333D-5B2B-492F-893B-0BFC2E583389}"/>
    <cellStyle name="Millares 4 2 2 3 4 3" xfId="2634" xr:uid="{F1E6DFFA-AD36-40EA-AEB4-BC4C3E9878BB}"/>
    <cellStyle name="Millares 4 2 2 3 4 3 2" xfId="6482" xr:uid="{06EEA6A3-D59C-4033-8BCA-5C274B167BDA}"/>
    <cellStyle name="Millares 4 2 2 3 4 4" xfId="4558" xr:uid="{AC544A71-A22A-4C91-A3B5-48126DA20C8C}"/>
    <cellStyle name="Millares 4 2 2 3 5" xfId="1191" xr:uid="{FA16B383-D24A-4270-82A8-2577A3508D38}"/>
    <cellStyle name="Millares 4 2 2 3 5 2" xfId="3115" xr:uid="{B90A18E1-D08F-4F98-8E29-FB7E6202848A}"/>
    <cellStyle name="Millares 4 2 2 3 5 2 2" xfId="6963" xr:uid="{A3FFDBDE-B0A4-4E97-8DDE-EE546AC0A773}"/>
    <cellStyle name="Millares 4 2 2 3 5 3" xfId="5039" xr:uid="{EC6FB9A5-6CF9-48F2-9BC3-227047B2E8FA}"/>
    <cellStyle name="Millares 4 2 2 3 6" xfId="2153" xr:uid="{9EB91288-C359-47DD-B857-B2CA055C853D}"/>
    <cellStyle name="Millares 4 2 2 3 6 2" xfId="6001" xr:uid="{AA3A9857-81A6-491C-B203-17AA21D17D88}"/>
    <cellStyle name="Millares 4 2 2 3 7" xfId="4077" xr:uid="{3797F83F-4CE8-40F3-90C2-06DE9620322E}"/>
    <cellStyle name="Millares 4 2 2 4" xfId="270" xr:uid="{F45B5167-9982-496A-8095-C62FCDBC5304}"/>
    <cellStyle name="Millares 4 2 2 4 2" xfId="522" xr:uid="{1C36A036-9039-4DBF-81A8-6EC156CC8120}"/>
    <cellStyle name="Millares 4 2 2 4 2 2" xfId="1003" xr:uid="{9C995847-FF38-430A-AF64-266F1D822CD5}"/>
    <cellStyle name="Millares 4 2 2 4 2 2 2" xfId="1965" xr:uid="{A951F544-8516-49DA-B79F-5531D04E6708}"/>
    <cellStyle name="Millares 4 2 2 4 2 2 2 2" xfId="3889" xr:uid="{94EB38E5-776E-4FCB-A34C-D7D1DCDD4E85}"/>
    <cellStyle name="Millares 4 2 2 4 2 2 2 2 2" xfId="7737" xr:uid="{B7159AEF-781A-4C70-8BDD-19253842076E}"/>
    <cellStyle name="Millares 4 2 2 4 2 2 2 3" xfId="5813" xr:uid="{7A66B2C3-FBC6-4BB9-8068-483B0BD74995}"/>
    <cellStyle name="Millares 4 2 2 4 2 2 3" xfId="2927" xr:uid="{A4A09DD4-F5D6-4771-A938-15133422A7B1}"/>
    <cellStyle name="Millares 4 2 2 4 2 2 3 2" xfId="6775" xr:uid="{9B611B20-5735-4B7D-B43D-FF21AE43AEBD}"/>
    <cellStyle name="Millares 4 2 2 4 2 2 4" xfId="4851" xr:uid="{DC97098D-1059-4A2A-99BD-6EDC07CAAB35}"/>
    <cellStyle name="Millares 4 2 2 4 2 3" xfId="1484" xr:uid="{B47B8BBC-22D8-4ED1-BD72-599344353681}"/>
    <cellStyle name="Millares 4 2 2 4 2 3 2" xfId="3408" xr:uid="{1A63082B-79F9-434E-ABF5-6D9505B80F89}"/>
    <cellStyle name="Millares 4 2 2 4 2 3 2 2" xfId="7256" xr:uid="{829C32BF-9AAE-4708-95DD-F22BF802AA21}"/>
    <cellStyle name="Millares 4 2 2 4 2 3 3" xfId="5332" xr:uid="{A503B8C4-824B-43B5-94D6-841D8B619560}"/>
    <cellStyle name="Millares 4 2 2 4 2 4" xfId="2446" xr:uid="{76A1F1AE-0F5F-4F26-8CDA-C50CD5404603}"/>
    <cellStyle name="Millares 4 2 2 4 2 4 2" xfId="6294" xr:uid="{F595586F-4C47-4DD0-B37D-31D541356BE0}"/>
    <cellStyle name="Millares 4 2 2 4 2 5" xfId="4370" xr:uid="{AC066684-1E23-4C23-BC91-4F0AD2D04C36}"/>
    <cellStyle name="Millares 4 2 2 4 3" xfId="763" xr:uid="{DCFC2F18-3BBF-49D2-99E3-43FB46E1BD01}"/>
    <cellStyle name="Millares 4 2 2 4 3 2" xfId="1725" xr:uid="{11AC3B2B-6D0A-4048-87F1-57ADB571AA32}"/>
    <cellStyle name="Millares 4 2 2 4 3 2 2" xfId="3649" xr:uid="{98FEF0DA-5719-41E9-8E82-87E0FCC57991}"/>
    <cellStyle name="Millares 4 2 2 4 3 2 2 2" xfId="7497" xr:uid="{98EC725C-0DBB-48CD-87F1-E6D816E47597}"/>
    <cellStyle name="Millares 4 2 2 4 3 2 3" xfId="5573" xr:uid="{7B4EC644-EAD6-4D22-BF79-6DC1C06F41C4}"/>
    <cellStyle name="Millares 4 2 2 4 3 3" xfId="2687" xr:uid="{F7323877-7A10-407F-B01E-866008C6F0B3}"/>
    <cellStyle name="Millares 4 2 2 4 3 3 2" xfId="6535" xr:uid="{7912170C-0990-49C6-9EFC-A57B12FB1623}"/>
    <cellStyle name="Millares 4 2 2 4 3 4" xfId="4611" xr:uid="{8B9AC597-BDB9-472F-B553-9AB544B86F1B}"/>
    <cellStyle name="Millares 4 2 2 4 4" xfId="1244" xr:uid="{BE56B7F4-9FDF-4C21-BDD0-4712187E2738}"/>
    <cellStyle name="Millares 4 2 2 4 4 2" xfId="3168" xr:uid="{80AA1E8A-89F2-4ADD-85EA-A09499ADB50F}"/>
    <cellStyle name="Millares 4 2 2 4 4 2 2" xfId="7016" xr:uid="{D6FF4626-7B74-4DFD-AF02-A4CAD46B4C17}"/>
    <cellStyle name="Millares 4 2 2 4 4 3" xfId="5092" xr:uid="{68C200D5-76A8-4AF7-88BF-466D3DDF3B10}"/>
    <cellStyle name="Millares 4 2 2 4 5" xfId="2206" xr:uid="{5490364E-81D9-4496-AC16-EB4CFD86AFC1}"/>
    <cellStyle name="Millares 4 2 2 4 5 2" xfId="6054" xr:uid="{BA3C66A6-1315-4A54-8C36-CA6D9BD3374C}"/>
    <cellStyle name="Millares 4 2 2 4 6" xfId="4130" xr:uid="{80FD50A1-E725-44EB-8617-7B2B6185C95B}"/>
    <cellStyle name="Millares 4 2 2 5" xfId="250" xr:uid="{20A78C74-A71F-4661-BB5E-7D00C7972F65}"/>
    <cellStyle name="Millares 4 2 2 5 2" xfId="502" xr:uid="{698E881C-500A-421D-99EA-F31FCABA6966}"/>
    <cellStyle name="Millares 4 2 2 5 2 2" xfId="983" xr:uid="{ECA099B7-451F-4A63-A60C-22ED3F54C86B}"/>
    <cellStyle name="Millares 4 2 2 5 2 2 2" xfId="1945" xr:uid="{C6FEF281-070E-473F-BA84-9760D61DCA31}"/>
    <cellStyle name="Millares 4 2 2 5 2 2 2 2" xfId="3869" xr:uid="{0604F7AA-354A-4AD7-B631-4C0F0F153A43}"/>
    <cellStyle name="Millares 4 2 2 5 2 2 2 2 2" xfId="7717" xr:uid="{448B0690-E05B-4AA5-B27A-765105B8C50C}"/>
    <cellStyle name="Millares 4 2 2 5 2 2 2 3" xfId="5793" xr:uid="{F16EFF3F-8EB0-410E-9539-6480A8FB2F4D}"/>
    <cellStyle name="Millares 4 2 2 5 2 2 3" xfId="2907" xr:uid="{205A7CFC-4D1A-4804-A26A-AD34500ACB70}"/>
    <cellStyle name="Millares 4 2 2 5 2 2 3 2" xfId="6755" xr:uid="{8241CEA1-781F-4691-9B3E-690A3D7015C7}"/>
    <cellStyle name="Millares 4 2 2 5 2 2 4" xfId="4831" xr:uid="{5830A4F8-9C52-4041-8327-49A07C244E18}"/>
    <cellStyle name="Millares 4 2 2 5 2 3" xfId="1464" xr:uid="{33C085FD-A7D7-4D5F-A3DF-802E024D3966}"/>
    <cellStyle name="Millares 4 2 2 5 2 3 2" xfId="3388" xr:uid="{DFF9F67E-0A40-4CDD-A991-DC5B052969D2}"/>
    <cellStyle name="Millares 4 2 2 5 2 3 2 2" xfId="7236" xr:uid="{176F5098-AA78-4D15-A0B4-7633803A20AA}"/>
    <cellStyle name="Millares 4 2 2 5 2 3 3" xfId="5312" xr:uid="{9532A208-3D98-413B-8B1C-3C889B8D1EA3}"/>
    <cellStyle name="Millares 4 2 2 5 2 4" xfId="2426" xr:uid="{1939456C-F3DB-46B9-82B0-8015228018A8}"/>
    <cellStyle name="Millares 4 2 2 5 2 4 2" xfId="6274" xr:uid="{98AFD5D5-6359-4DD4-82DA-601A3970102C}"/>
    <cellStyle name="Millares 4 2 2 5 2 5" xfId="4350" xr:uid="{86E11CEC-6545-417E-A9E6-29ABCC65C463}"/>
    <cellStyle name="Millares 4 2 2 5 3" xfId="743" xr:uid="{0C82CF58-A533-4DE6-8E6D-1A25535A30E5}"/>
    <cellStyle name="Millares 4 2 2 5 3 2" xfId="1705" xr:uid="{E74D43D9-99CF-4E54-A0E5-E9F0CD86185C}"/>
    <cellStyle name="Millares 4 2 2 5 3 2 2" xfId="3629" xr:uid="{22BD527E-21B3-42D4-B68E-0303FE6F86F4}"/>
    <cellStyle name="Millares 4 2 2 5 3 2 2 2" xfId="7477" xr:uid="{80C3BE67-A9B6-45C1-B4C8-315EBEB4A11C}"/>
    <cellStyle name="Millares 4 2 2 5 3 2 3" xfId="5553" xr:uid="{B466324F-59C0-489B-A72D-31A07D9F7249}"/>
    <cellStyle name="Millares 4 2 2 5 3 3" xfId="2667" xr:uid="{C0BC985D-DCA2-4BD2-B31E-7AE1AD3D3B8C}"/>
    <cellStyle name="Millares 4 2 2 5 3 3 2" xfId="6515" xr:uid="{3AE0F693-ADE1-4156-9F6D-1FC4ABB45715}"/>
    <cellStyle name="Millares 4 2 2 5 3 4" xfId="4591" xr:uid="{9DB64E1B-6313-4467-B754-037B8648CE96}"/>
    <cellStyle name="Millares 4 2 2 5 4" xfId="1224" xr:uid="{EBE69CE1-9CB8-41B5-930C-89A95F24187C}"/>
    <cellStyle name="Millares 4 2 2 5 4 2" xfId="3148" xr:uid="{F18DB0DA-4383-44E2-B541-B5FB883ABEE7}"/>
    <cellStyle name="Millares 4 2 2 5 4 2 2" xfId="6996" xr:uid="{3D486A47-C794-41B1-AB26-8D5E200C6EB8}"/>
    <cellStyle name="Millares 4 2 2 5 4 3" xfId="5072" xr:uid="{C3CC88E1-2F90-4837-9771-D76902D801FF}"/>
    <cellStyle name="Millares 4 2 2 5 5" xfId="2186" xr:uid="{D4E11DE1-AF01-4A8C-AE16-2837E2F38BAD}"/>
    <cellStyle name="Millares 4 2 2 5 5 2" xfId="6034" xr:uid="{E375EB7F-BE2E-4C8A-8B8B-143AA63AC57C}"/>
    <cellStyle name="Millares 4 2 2 5 6" xfId="4110" xr:uid="{2C93C26E-AD8E-42C5-BD22-D79E7DE415FA}"/>
    <cellStyle name="Millares 4 2 2 6" xfId="390" xr:uid="{D1793243-3EC9-4F8E-ACB8-753309E764E3}"/>
    <cellStyle name="Millares 4 2 2 6 2" xfId="871" xr:uid="{72978D80-4A09-4F14-A175-BF4DD1D3CA21}"/>
    <cellStyle name="Millares 4 2 2 6 2 2" xfId="1833" xr:uid="{3E95FB74-CEE9-4D86-B770-0267C81CAF01}"/>
    <cellStyle name="Millares 4 2 2 6 2 2 2" xfId="3757" xr:uid="{051A9F00-E25A-4E1C-9096-44C517552844}"/>
    <cellStyle name="Millares 4 2 2 6 2 2 2 2" xfId="7605" xr:uid="{25FF70A6-2B39-4BF0-93BB-2E579037856F}"/>
    <cellStyle name="Millares 4 2 2 6 2 2 3" xfId="5681" xr:uid="{352C196C-E9BD-4588-A784-F914F582BCA0}"/>
    <cellStyle name="Millares 4 2 2 6 2 3" xfId="2795" xr:uid="{144C6513-BDA1-493E-9DDC-B8E69E7BE0A8}"/>
    <cellStyle name="Millares 4 2 2 6 2 3 2" xfId="6643" xr:uid="{43E35E22-B48E-40C5-BFE4-A42E5C4BB346}"/>
    <cellStyle name="Millares 4 2 2 6 2 4" xfId="4719" xr:uid="{899306E4-A34E-4C3F-B539-1CF0AD297942}"/>
    <cellStyle name="Millares 4 2 2 6 3" xfId="1352" xr:uid="{7C43ABB1-8649-459D-B907-CA85CD61EB05}"/>
    <cellStyle name="Millares 4 2 2 6 3 2" xfId="3276" xr:uid="{481D3216-A03F-4B18-9341-84D4B0DE47AF}"/>
    <cellStyle name="Millares 4 2 2 6 3 2 2" xfId="7124" xr:uid="{3FDA81A2-72B3-4D1E-A60A-EB1EC8F2979C}"/>
    <cellStyle name="Millares 4 2 2 6 3 3" xfId="5200" xr:uid="{A658CEBA-61CA-43FB-964F-28C48BA91F10}"/>
    <cellStyle name="Millares 4 2 2 6 4" xfId="2314" xr:uid="{E2F33B75-9366-4A1C-A1B3-C44716C84C50}"/>
    <cellStyle name="Millares 4 2 2 6 4 2" xfId="6162" xr:uid="{446B900E-FEA3-49AD-A7D8-B9AC0344FC11}"/>
    <cellStyle name="Millares 4 2 2 6 5" xfId="4238" xr:uid="{A0EABC9A-32D6-4913-9C7F-AFA9355C0C82}"/>
    <cellStyle name="Millares 4 2 2 7" xfId="631" xr:uid="{67E9D048-149E-4A9B-80B7-BBFEEB33F50F}"/>
    <cellStyle name="Millares 4 2 2 7 2" xfId="1593" xr:uid="{ECAA9BBA-F15C-4F8D-A27A-121B626DE228}"/>
    <cellStyle name="Millares 4 2 2 7 2 2" xfId="3517" xr:uid="{86D045FE-B5E6-4F04-A60B-7C7F5A8BF695}"/>
    <cellStyle name="Millares 4 2 2 7 2 2 2" xfId="7365" xr:uid="{2533C4C7-8B5B-4A7F-AFD6-677D53F75331}"/>
    <cellStyle name="Millares 4 2 2 7 2 3" xfId="5441" xr:uid="{C807ED13-540F-477F-8C05-4F24133F7C53}"/>
    <cellStyle name="Millares 4 2 2 7 3" xfId="2555" xr:uid="{8376CBB5-8276-42E6-A660-E64A9851E88F}"/>
    <cellStyle name="Millares 4 2 2 7 3 2" xfId="6403" xr:uid="{4A9C5621-9717-419F-AECB-2E82FDDF45B7}"/>
    <cellStyle name="Millares 4 2 2 7 4" xfId="4479" xr:uid="{7128C17F-FF20-405B-9579-49928A7D1802}"/>
    <cellStyle name="Millares 4 2 2 8" xfId="1112" xr:uid="{2B494A01-7F81-4623-A7C9-FA33EF6D3165}"/>
    <cellStyle name="Millares 4 2 2 8 2" xfId="3036" xr:uid="{0C4F031C-556B-4D7B-A6D7-87A57E10B5F5}"/>
    <cellStyle name="Millares 4 2 2 8 2 2" xfId="6884" xr:uid="{C46C2E56-D9F8-46F7-AB0A-B1A6FF4CBDAF}"/>
    <cellStyle name="Millares 4 2 2 8 3" xfId="4960" xr:uid="{E98D25C2-D0A0-4A5A-9EE8-FDDFD6CE1C8D}"/>
    <cellStyle name="Millares 4 2 2 9" xfId="2074" xr:uid="{DF0F3652-302A-48FC-9968-E1F339C77685}"/>
    <cellStyle name="Millares 4 2 2 9 2" xfId="5922" xr:uid="{2BA6FF5E-F5B9-4D4C-9A9C-E9E8BCD4CEA0}"/>
    <cellStyle name="Millares 4 2 3" xfId="126" xr:uid="{B786A56F-400F-49F6-A920-CACBA32E7AD6}"/>
    <cellStyle name="Millares 4 2 3 10" xfId="4002" xr:uid="{184B462A-8EC4-4BE2-9C39-D88E61334AF8}"/>
    <cellStyle name="Millares 4 2 3 2" xfId="186" xr:uid="{7F6B9497-A2E0-4C0D-B60E-C7A8857A4347}"/>
    <cellStyle name="Millares 4 2 3 2 2" xfId="321" xr:uid="{B255A5DB-F240-426E-8B97-9C8859BD104E}"/>
    <cellStyle name="Millares 4 2 3 2 2 2" xfId="572" xr:uid="{37B196B1-743E-4904-BDCE-F008420E3424}"/>
    <cellStyle name="Millares 4 2 3 2 2 2 2" xfId="1053" xr:uid="{1C600471-C20D-4C82-A440-5463481EF07C}"/>
    <cellStyle name="Millares 4 2 3 2 2 2 2 2" xfId="2015" xr:uid="{C667211D-3D6F-4CBD-AEB9-07221ED28BB7}"/>
    <cellStyle name="Millares 4 2 3 2 2 2 2 2 2" xfId="3939" xr:uid="{FDFEE537-05A8-49D5-95DC-13F044BA13C7}"/>
    <cellStyle name="Millares 4 2 3 2 2 2 2 2 2 2" xfId="7787" xr:uid="{7D876E78-D68F-4637-9BA9-0CCA3A5757C0}"/>
    <cellStyle name="Millares 4 2 3 2 2 2 2 2 3" xfId="5863" xr:uid="{2BA46EE2-B93A-418B-B615-6DD01F225495}"/>
    <cellStyle name="Millares 4 2 3 2 2 2 2 3" xfId="2977" xr:uid="{38C220E4-ECB5-4157-AEC3-B18DFEFD039C}"/>
    <cellStyle name="Millares 4 2 3 2 2 2 2 3 2" xfId="6825" xr:uid="{CD841F7E-5180-4630-9430-0A4ECAAAC950}"/>
    <cellStyle name="Millares 4 2 3 2 2 2 2 4" xfId="4901" xr:uid="{49B94214-5E2A-4B3F-A4FE-771A25C3ED53}"/>
    <cellStyle name="Millares 4 2 3 2 2 2 3" xfId="1534" xr:uid="{C4C05B9D-8B65-4CDA-B143-86506BC0E89E}"/>
    <cellStyle name="Millares 4 2 3 2 2 2 3 2" xfId="3458" xr:uid="{9EF45366-8211-4194-A84E-33E303D832BB}"/>
    <cellStyle name="Millares 4 2 3 2 2 2 3 2 2" xfId="7306" xr:uid="{253BCDD3-9909-45D0-8383-A4DA4897FE6B}"/>
    <cellStyle name="Millares 4 2 3 2 2 2 3 3" xfId="5382" xr:uid="{36AB23BB-4C31-4412-B8CF-6B4533FA2056}"/>
    <cellStyle name="Millares 4 2 3 2 2 2 4" xfId="2496" xr:uid="{B4F7C225-8933-4F6B-AAA5-170D978F1DA0}"/>
    <cellStyle name="Millares 4 2 3 2 2 2 4 2" xfId="6344" xr:uid="{1E0CBDB1-4408-4D75-9B67-DC55F8E32536}"/>
    <cellStyle name="Millares 4 2 3 2 2 2 5" xfId="4420" xr:uid="{A172CA93-E8A7-4716-B2D4-8135088AEB10}"/>
    <cellStyle name="Millares 4 2 3 2 2 3" xfId="813" xr:uid="{1FE5EC63-27B5-45E5-AEB3-E38092D5B6EC}"/>
    <cellStyle name="Millares 4 2 3 2 2 3 2" xfId="1775" xr:uid="{989A7410-0F90-4832-B494-C5CB1C44D172}"/>
    <cellStyle name="Millares 4 2 3 2 2 3 2 2" xfId="3699" xr:uid="{6444AFF2-6216-4390-B8BA-7D53AA916623}"/>
    <cellStyle name="Millares 4 2 3 2 2 3 2 2 2" xfId="7547" xr:uid="{E8325A3B-9CA5-440A-B1CB-F5ED4B645291}"/>
    <cellStyle name="Millares 4 2 3 2 2 3 2 3" xfId="5623" xr:uid="{7D1434E3-92B2-4F8A-AAE3-19B0D3E733AF}"/>
    <cellStyle name="Millares 4 2 3 2 2 3 3" xfId="2737" xr:uid="{0ECFA755-8B10-494A-99FA-5F1B59D02FBC}"/>
    <cellStyle name="Millares 4 2 3 2 2 3 3 2" xfId="6585" xr:uid="{E501BCC4-3532-4678-BF97-BAF252E7E4B1}"/>
    <cellStyle name="Millares 4 2 3 2 2 3 4" xfId="4661" xr:uid="{6B43D07F-2DF8-4A10-BE8C-7913083F12C7}"/>
    <cellStyle name="Millares 4 2 3 2 2 4" xfId="1294" xr:uid="{73A2024C-7AD9-4FF8-8A06-9468FDE9C284}"/>
    <cellStyle name="Millares 4 2 3 2 2 4 2" xfId="3218" xr:uid="{2A548C67-8B12-4EAF-AB36-710572EABB0B}"/>
    <cellStyle name="Millares 4 2 3 2 2 4 2 2" xfId="7066" xr:uid="{4A14957C-B1DA-4E22-9993-364C953FABC5}"/>
    <cellStyle name="Millares 4 2 3 2 2 4 3" xfId="5142" xr:uid="{0713B9A1-0C07-4AA8-9F3E-2FC979D94614}"/>
    <cellStyle name="Millares 4 2 3 2 2 5" xfId="2256" xr:uid="{59F040C8-2ED1-442E-9189-2D2FA6B3A268}"/>
    <cellStyle name="Millares 4 2 3 2 2 5 2" xfId="6104" xr:uid="{0E47F79C-78B7-4313-AFA6-39643E019A88}"/>
    <cellStyle name="Millares 4 2 3 2 2 6" xfId="4180" xr:uid="{CA48BE75-C2ED-436D-84CA-71111DBC22DA}"/>
    <cellStyle name="Millares 4 2 3 2 3" xfId="440" xr:uid="{14A6D7D4-9F2B-4213-85BE-22B7D57C3DF8}"/>
    <cellStyle name="Millares 4 2 3 2 3 2" xfId="921" xr:uid="{B3BAF9E1-B1E8-4103-AF67-E98914DDA74E}"/>
    <cellStyle name="Millares 4 2 3 2 3 2 2" xfId="1883" xr:uid="{D682760B-4B9E-403C-9863-0D93C61AE5CB}"/>
    <cellStyle name="Millares 4 2 3 2 3 2 2 2" xfId="3807" xr:uid="{332D04F0-5950-4E55-ADBD-A1A3885A28D8}"/>
    <cellStyle name="Millares 4 2 3 2 3 2 2 2 2" xfId="7655" xr:uid="{365A8C94-5BD6-4B63-B415-0B6239BC1F3C}"/>
    <cellStyle name="Millares 4 2 3 2 3 2 2 3" xfId="5731" xr:uid="{8C93C0A1-E123-4649-B6DA-BCF8F574B6EE}"/>
    <cellStyle name="Millares 4 2 3 2 3 2 3" xfId="2845" xr:uid="{710432A2-A8D5-44CF-B5E3-6984648D0F0E}"/>
    <cellStyle name="Millares 4 2 3 2 3 2 3 2" xfId="6693" xr:uid="{3E0E36B9-3BDC-4619-BB44-A1899DB6CC50}"/>
    <cellStyle name="Millares 4 2 3 2 3 2 4" xfId="4769" xr:uid="{2F17B56A-76DB-4693-80B2-FADB40A0D41C}"/>
    <cellStyle name="Millares 4 2 3 2 3 3" xfId="1402" xr:uid="{659F4757-01A6-49FB-AC3D-97462999C287}"/>
    <cellStyle name="Millares 4 2 3 2 3 3 2" xfId="3326" xr:uid="{A78F16FE-F3E3-46AA-841A-9D76CC334387}"/>
    <cellStyle name="Millares 4 2 3 2 3 3 2 2" xfId="7174" xr:uid="{9CF254E8-A3BD-41C8-8800-692EA6A97F9E}"/>
    <cellStyle name="Millares 4 2 3 2 3 3 3" xfId="5250" xr:uid="{345386C4-8AA0-4FAB-8E0C-081701A56BED}"/>
    <cellStyle name="Millares 4 2 3 2 3 4" xfId="2364" xr:uid="{E07A9192-EDD6-4268-9719-4F5E31345195}"/>
    <cellStyle name="Millares 4 2 3 2 3 4 2" xfId="6212" xr:uid="{6A2F7850-06E6-4E6D-B230-C0C49DA12388}"/>
    <cellStyle name="Millares 4 2 3 2 3 5" xfId="4288" xr:uid="{BEAF4BA0-58C5-4FC4-B169-46764ABD4905}"/>
    <cellStyle name="Millares 4 2 3 2 4" xfId="681" xr:uid="{9D22FB1E-695C-4B31-8CAC-DFBAD02809EF}"/>
    <cellStyle name="Millares 4 2 3 2 4 2" xfId="1643" xr:uid="{A33A176A-83A9-46F3-B338-E85EF0C16E54}"/>
    <cellStyle name="Millares 4 2 3 2 4 2 2" xfId="3567" xr:uid="{CBFAC365-A341-4867-B96F-418F9709EDD7}"/>
    <cellStyle name="Millares 4 2 3 2 4 2 2 2" xfId="7415" xr:uid="{0EF162D3-047F-4549-9F5F-E5F2051E95FA}"/>
    <cellStyle name="Millares 4 2 3 2 4 2 3" xfId="5491" xr:uid="{749FD9CC-7302-4263-8D20-237F7BF052C6}"/>
    <cellStyle name="Millares 4 2 3 2 4 3" xfId="2605" xr:uid="{636F9CDB-1299-4175-9526-A0724B1B349E}"/>
    <cellStyle name="Millares 4 2 3 2 4 3 2" xfId="6453" xr:uid="{6455702D-AB8C-4B96-95E7-4F4550A81F1A}"/>
    <cellStyle name="Millares 4 2 3 2 4 4" xfId="4529" xr:uid="{EED64E19-5139-449E-BC01-9ED085117F56}"/>
    <cellStyle name="Millares 4 2 3 2 5" xfId="1162" xr:uid="{357A7715-0DC9-4ECD-8C7C-8519874B5827}"/>
    <cellStyle name="Millares 4 2 3 2 5 2" xfId="3086" xr:uid="{0F5911DD-036D-4327-A40F-05BAA4CE2ED7}"/>
    <cellStyle name="Millares 4 2 3 2 5 2 2" xfId="6934" xr:uid="{8FAFF666-264B-4A8E-987E-72426ABDD627}"/>
    <cellStyle name="Millares 4 2 3 2 5 3" xfId="5010" xr:uid="{DABF06FE-4B8D-4ECB-9D01-7D39E3B5C8D4}"/>
    <cellStyle name="Millares 4 2 3 2 6" xfId="2124" xr:uid="{8D8E2766-B750-4B3C-A84C-838C9375A7D0}"/>
    <cellStyle name="Millares 4 2 3 2 6 2" xfId="5972" xr:uid="{7A5B7241-E088-44D8-854D-F23D20A9CBA6}"/>
    <cellStyle name="Millares 4 2 3 2 7" xfId="4048" xr:uid="{15D071DA-3384-423A-9B60-EBB4C70B7527}"/>
    <cellStyle name="Millares 4 2 3 3" xfId="220" xr:uid="{2FC818E6-C3DC-46BD-9ED4-72CED5356609}"/>
    <cellStyle name="Millares 4 2 3 3 2" xfId="354" xr:uid="{90DA9021-D10F-43E8-85B5-2A1C8C4462AF}"/>
    <cellStyle name="Millares 4 2 3 3 2 2" xfId="605" xr:uid="{625594F7-BD21-46F7-BB28-A7FC4E1E98B4}"/>
    <cellStyle name="Millares 4 2 3 3 2 2 2" xfId="1086" xr:uid="{87D29243-2AF5-4783-8189-AEA2B1B3AF59}"/>
    <cellStyle name="Millares 4 2 3 3 2 2 2 2" xfId="2048" xr:uid="{B879FB82-E961-41B8-BED8-D5511E9B8F81}"/>
    <cellStyle name="Millares 4 2 3 3 2 2 2 2 2" xfId="3972" xr:uid="{1C011E7B-469B-473A-A907-82DF2D7035B1}"/>
    <cellStyle name="Millares 4 2 3 3 2 2 2 2 2 2" xfId="7820" xr:uid="{4E673A90-A3F6-46CE-BE19-6FC197D6B678}"/>
    <cellStyle name="Millares 4 2 3 3 2 2 2 2 3" xfId="5896" xr:uid="{4FDE88BA-5FA0-469C-B47C-F54148F753A5}"/>
    <cellStyle name="Millares 4 2 3 3 2 2 2 3" xfId="3010" xr:uid="{D56DA1ED-93AB-411C-A00F-4D4548885594}"/>
    <cellStyle name="Millares 4 2 3 3 2 2 2 3 2" xfId="6858" xr:uid="{4D199DC1-4DE5-456D-A72F-32F89624B5C4}"/>
    <cellStyle name="Millares 4 2 3 3 2 2 2 4" xfId="4934" xr:uid="{A70A139B-C1A9-44D0-8063-04F1A870CA67}"/>
    <cellStyle name="Millares 4 2 3 3 2 2 3" xfId="1567" xr:uid="{1197AF95-36B9-4311-A396-1DE33F757ABC}"/>
    <cellStyle name="Millares 4 2 3 3 2 2 3 2" xfId="3491" xr:uid="{17A65CB8-9E53-43D6-B9A9-93F966654CC5}"/>
    <cellStyle name="Millares 4 2 3 3 2 2 3 2 2" xfId="7339" xr:uid="{EEE73E9C-0CC4-4617-8557-09C1C3DC1067}"/>
    <cellStyle name="Millares 4 2 3 3 2 2 3 3" xfId="5415" xr:uid="{62348984-47F6-49C7-A96B-EB0216692B14}"/>
    <cellStyle name="Millares 4 2 3 3 2 2 4" xfId="2529" xr:uid="{9A0E0249-B86B-4E29-B317-36D11DD7114C}"/>
    <cellStyle name="Millares 4 2 3 3 2 2 4 2" xfId="6377" xr:uid="{61288727-B180-499E-A69E-66BC52E5B072}"/>
    <cellStyle name="Millares 4 2 3 3 2 2 5" xfId="4453" xr:uid="{A9516A03-5CE9-4E53-8681-6D60E57CD50F}"/>
    <cellStyle name="Millares 4 2 3 3 2 3" xfId="846" xr:uid="{EA1DC167-FEAE-4ED0-826B-D228253E91DE}"/>
    <cellStyle name="Millares 4 2 3 3 2 3 2" xfId="1808" xr:uid="{932168CE-52EC-4AAE-87BE-5FADBF3A3FDB}"/>
    <cellStyle name="Millares 4 2 3 3 2 3 2 2" xfId="3732" xr:uid="{ECE82684-7F7D-407F-88BC-6E4AB46658E3}"/>
    <cellStyle name="Millares 4 2 3 3 2 3 2 2 2" xfId="7580" xr:uid="{7CBD08CC-4965-4B54-B69F-E2A245F244A6}"/>
    <cellStyle name="Millares 4 2 3 3 2 3 2 3" xfId="5656" xr:uid="{61F2848E-4BC8-4546-91A7-C136AF4BDCDF}"/>
    <cellStyle name="Millares 4 2 3 3 2 3 3" xfId="2770" xr:uid="{DB82A986-1E7D-4A6C-BF27-FDA3854FEDB4}"/>
    <cellStyle name="Millares 4 2 3 3 2 3 3 2" xfId="6618" xr:uid="{B033160A-0CDA-4116-BD28-C690B127DA73}"/>
    <cellStyle name="Millares 4 2 3 3 2 3 4" xfId="4694" xr:uid="{42F51E3F-8A3F-4AC2-9BBA-58A3B966CDFE}"/>
    <cellStyle name="Millares 4 2 3 3 2 4" xfId="1327" xr:uid="{F9CC7856-9707-4751-B99E-A2E0D73B5ABC}"/>
    <cellStyle name="Millares 4 2 3 3 2 4 2" xfId="3251" xr:uid="{BDDDE471-E653-430E-B31C-DA187B5166E9}"/>
    <cellStyle name="Millares 4 2 3 3 2 4 2 2" xfId="7099" xr:uid="{74A31036-7A09-47F0-9373-934FD7228641}"/>
    <cellStyle name="Millares 4 2 3 3 2 4 3" xfId="5175" xr:uid="{0BBDCF11-2E87-4045-B28C-E482E41A8C8A}"/>
    <cellStyle name="Millares 4 2 3 3 2 5" xfId="2289" xr:uid="{79B85EFD-7D58-4FD7-9A06-A52DACB5477D}"/>
    <cellStyle name="Millares 4 2 3 3 2 5 2" xfId="6137" xr:uid="{FF188A3A-D3FF-41C6-9922-866649B57D65}"/>
    <cellStyle name="Millares 4 2 3 3 2 6" xfId="4213" xr:uid="{A74B8A70-2832-4FEE-A020-3C345AAA89DF}"/>
    <cellStyle name="Millares 4 2 3 3 3" xfId="473" xr:uid="{6DB536A5-BE6C-41C5-AF8E-CFA42B8570FB}"/>
    <cellStyle name="Millares 4 2 3 3 3 2" xfId="954" xr:uid="{60B2EECF-9B1E-49D8-85B4-215B943AE784}"/>
    <cellStyle name="Millares 4 2 3 3 3 2 2" xfId="1916" xr:uid="{03D3B383-658E-4705-8A3B-F4B98C0E91D2}"/>
    <cellStyle name="Millares 4 2 3 3 3 2 2 2" xfId="3840" xr:uid="{46B4356D-E766-43BB-953A-28AECD5A2330}"/>
    <cellStyle name="Millares 4 2 3 3 3 2 2 2 2" xfId="7688" xr:uid="{5E9C9FE7-B94A-448B-B00D-034A893367C5}"/>
    <cellStyle name="Millares 4 2 3 3 3 2 2 3" xfId="5764" xr:uid="{CC72E53C-DE22-4715-A2CB-7E55A78C27C8}"/>
    <cellStyle name="Millares 4 2 3 3 3 2 3" xfId="2878" xr:uid="{D42DE023-A1F6-4F92-8E3E-4DB8C7A05567}"/>
    <cellStyle name="Millares 4 2 3 3 3 2 3 2" xfId="6726" xr:uid="{F21488FD-8690-45D0-ADA1-4A14D28FAE18}"/>
    <cellStyle name="Millares 4 2 3 3 3 2 4" xfId="4802" xr:uid="{296C92F2-B710-470C-9A9D-E3EC182F89A0}"/>
    <cellStyle name="Millares 4 2 3 3 3 3" xfId="1435" xr:uid="{E192A4AE-C1FA-487C-8847-825C2E238AAE}"/>
    <cellStyle name="Millares 4 2 3 3 3 3 2" xfId="3359" xr:uid="{13D4D39C-5A66-410E-A27D-EDEDF0F11A21}"/>
    <cellStyle name="Millares 4 2 3 3 3 3 2 2" xfId="7207" xr:uid="{F1850E57-0739-4D8D-A6BC-6172452011A3}"/>
    <cellStyle name="Millares 4 2 3 3 3 3 3" xfId="5283" xr:uid="{D88CE995-D3DC-4CC7-BC23-3A3EE9028C36}"/>
    <cellStyle name="Millares 4 2 3 3 3 4" xfId="2397" xr:uid="{F0D89445-4B52-4094-BA3D-039E7F5D76FA}"/>
    <cellStyle name="Millares 4 2 3 3 3 4 2" xfId="6245" xr:uid="{8C46BDC9-732D-4A46-BBF0-AE6EEC209947}"/>
    <cellStyle name="Millares 4 2 3 3 3 5" xfId="4321" xr:uid="{00088794-0DCB-49FF-9D24-D5CEE3AE1621}"/>
    <cellStyle name="Millares 4 2 3 3 4" xfId="714" xr:uid="{28CCD1A3-FBAE-4ABC-A22C-2880B30A311D}"/>
    <cellStyle name="Millares 4 2 3 3 4 2" xfId="1676" xr:uid="{F098F83A-70BF-4D67-942E-0BBA211C5D6D}"/>
    <cellStyle name="Millares 4 2 3 3 4 2 2" xfId="3600" xr:uid="{896E12FC-0C4F-40BE-8EE9-62126341AF9A}"/>
    <cellStyle name="Millares 4 2 3 3 4 2 2 2" xfId="7448" xr:uid="{7F93DAD4-9E35-4F82-87F1-B19463BC4306}"/>
    <cellStyle name="Millares 4 2 3 3 4 2 3" xfId="5524" xr:uid="{60EBE1D4-B495-4358-9920-7667DDCBF42B}"/>
    <cellStyle name="Millares 4 2 3 3 4 3" xfId="2638" xr:uid="{20A23A27-0739-4A10-AF33-5598BA18D44D}"/>
    <cellStyle name="Millares 4 2 3 3 4 3 2" xfId="6486" xr:uid="{CCD5977E-B1EA-460D-B9BA-6BD5D8B586C9}"/>
    <cellStyle name="Millares 4 2 3 3 4 4" xfId="4562" xr:uid="{C0641691-F4D0-465A-88B5-47C17D9068E2}"/>
    <cellStyle name="Millares 4 2 3 3 5" xfId="1195" xr:uid="{2B1C9BC3-54F6-44A9-A5D4-42F86DEB0460}"/>
    <cellStyle name="Millares 4 2 3 3 5 2" xfId="3119" xr:uid="{885E45AA-3CC6-4935-B4E6-10924B885A79}"/>
    <cellStyle name="Millares 4 2 3 3 5 2 2" xfId="6967" xr:uid="{B018F6AF-59A4-499B-BBC8-7CBFFECA3AC5}"/>
    <cellStyle name="Millares 4 2 3 3 5 3" xfId="5043" xr:uid="{45A94B5C-7FC1-4C75-8358-98DA4A48AB95}"/>
    <cellStyle name="Millares 4 2 3 3 6" xfId="2157" xr:uid="{AB31A4AB-B86B-42FF-B500-8F4BB4BD3388}"/>
    <cellStyle name="Millares 4 2 3 3 6 2" xfId="6005" xr:uid="{00BD4CF9-C077-42C7-BA15-333B74CDFEE3}"/>
    <cellStyle name="Millares 4 2 3 3 7" xfId="4081" xr:uid="{9AA9F2F9-9733-4A23-9ADA-2DEDB4C5F40D}"/>
    <cellStyle name="Millares 4 2 3 4" xfId="274" xr:uid="{0AA7D2B5-431A-4E0D-BED3-4CAEE44844B7}"/>
    <cellStyle name="Millares 4 2 3 4 2" xfId="526" xr:uid="{A9062AEB-9A3F-408E-B496-F4AF97DA0A5B}"/>
    <cellStyle name="Millares 4 2 3 4 2 2" xfId="1007" xr:uid="{1B118F25-A7A1-4B73-AE63-525CAF3717A7}"/>
    <cellStyle name="Millares 4 2 3 4 2 2 2" xfId="1969" xr:uid="{D487EE10-14E9-4B38-9542-2ED40E25CFC6}"/>
    <cellStyle name="Millares 4 2 3 4 2 2 2 2" xfId="3893" xr:uid="{302E97A9-95F2-4193-84E4-B5D1C5A5F80C}"/>
    <cellStyle name="Millares 4 2 3 4 2 2 2 2 2" xfId="7741" xr:uid="{193CF741-E533-4E98-BB5A-E09F31F8A34F}"/>
    <cellStyle name="Millares 4 2 3 4 2 2 2 3" xfId="5817" xr:uid="{D18882C4-09AD-412D-B6F2-DAE653A09BC6}"/>
    <cellStyle name="Millares 4 2 3 4 2 2 3" xfId="2931" xr:uid="{1DB27C40-F988-48EF-808E-83EFC79D58A4}"/>
    <cellStyle name="Millares 4 2 3 4 2 2 3 2" xfId="6779" xr:uid="{CEBFC927-2594-4D69-9106-5FAF1139463D}"/>
    <cellStyle name="Millares 4 2 3 4 2 2 4" xfId="4855" xr:uid="{A3CE281A-41C9-4287-90B8-3C29BBA4CF63}"/>
    <cellStyle name="Millares 4 2 3 4 2 3" xfId="1488" xr:uid="{253B8B22-7A1F-4E04-BCBD-19E37A4734BB}"/>
    <cellStyle name="Millares 4 2 3 4 2 3 2" xfId="3412" xr:uid="{2E905452-269D-4748-9ED1-2CCC36E0A03B}"/>
    <cellStyle name="Millares 4 2 3 4 2 3 2 2" xfId="7260" xr:uid="{F68372C9-BD47-4EBD-B738-7A631FF68B35}"/>
    <cellStyle name="Millares 4 2 3 4 2 3 3" xfId="5336" xr:uid="{12CB6457-2271-4E30-9728-3922DE4513CE}"/>
    <cellStyle name="Millares 4 2 3 4 2 4" xfId="2450" xr:uid="{0B695032-AC40-4F5F-8A67-8EA23B1B4ADC}"/>
    <cellStyle name="Millares 4 2 3 4 2 4 2" xfId="6298" xr:uid="{C60CD786-A46A-4BF8-BC3C-597DBD740F31}"/>
    <cellStyle name="Millares 4 2 3 4 2 5" xfId="4374" xr:uid="{BE332F78-204A-4AB2-9B7C-ECA3B58ECFEF}"/>
    <cellStyle name="Millares 4 2 3 4 3" xfId="767" xr:uid="{24CC7052-A7F1-466E-9526-5EF12C3728FC}"/>
    <cellStyle name="Millares 4 2 3 4 3 2" xfId="1729" xr:uid="{42DFCB40-E284-4724-97F0-C83F8A256853}"/>
    <cellStyle name="Millares 4 2 3 4 3 2 2" xfId="3653" xr:uid="{D8F4C925-823B-46F1-BB96-5B111A7D4954}"/>
    <cellStyle name="Millares 4 2 3 4 3 2 2 2" xfId="7501" xr:uid="{89A77EF9-E8E4-4D84-89D1-613EB67BF9C7}"/>
    <cellStyle name="Millares 4 2 3 4 3 2 3" xfId="5577" xr:uid="{29DA732E-B294-4BE1-A4E9-3E3BC30974C0}"/>
    <cellStyle name="Millares 4 2 3 4 3 3" xfId="2691" xr:uid="{5C5E8DDE-6B6B-48F9-B1B7-7AB083482CEA}"/>
    <cellStyle name="Millares 4 2 3 4 3 3 2" xfId="6539" xr:uid="{FE7736C2-A0BB-4A17-8129-96EFA3360612}"/>
    <cellStyle name="Millares 4 2 3 4 3 4" xfId="4615" xr:uid="{59D35005-6EBE-4193-B50A-604E120A38E6}"/>
    <cellStyle name="Millares 4 2 3 4 4" xfId="1248" xr:uid="{3BBBF65C-A3F5-41BC-B06C-9207CE7D3EA8}"/>
    <cellStyle name="Millares 4 2 3 4 4 2" xfId="3172" xr:uid="{EEB56FCC-3ED5-4FA9-B310-9C71D48BF8C3}"/>
    <cellStyle name="Millares 4 2 3 4 4 2 2" xfId="7020" xr:uid="{6348F192-604D-48D4-8495-074D05D60E29}"/>
    <cellStyle name="Millares 4 2 3 4 4 3" xfId="5096" xr:uid="{AC08BC49-B08E-42A5-81A9-1DAFBC42CE1E}"/>
    <cellStyle name="Millares 4 2 3 4 5" xfId="2210" xr:uid="{BBF951CD-3C54-4472-8787-F9CC782FDAE7}"/>
    <cellStyle name="Millares 4 2 3 4 5 2" xfId="6058" xr:uid="{2C820805-B912-4736-8659-12DE4CAEAEDA}"/>
    <cellStyle name="Millares 4 2 3 4 6" xfId="4134" xr:uid="{45D13C06-C246-4A05-AB88-11880FAF9D20}"/>
    <cellStyle name="Millares 4 2 3 5" xfId="254" xr:uid="{647AD232-7805-431B-A6AB-9B1B4EB96844}"/>
    <cellStyle name="Millares 4 2 3 5 2" xfId="506" xr:uid="{87774A45-8CB2-48D8-B871-1CAD9E817FAA}"/>
    <cellStyle name="Millares 4 2 3 5 2 2" xfId="987" xr:uid="{AFBFA6A2-0924-4793-BBF7-71708AAE4C3F}"/>
    <cellStyle name="Millares 4 2 3 5 2 2 2" xfId="1949" xr:uid="{29222E78-1F8A-4454-BB45-8A6E53C02844}"/>
    <cellStyle name="Millares 4 2 3 5 2 2 2 2" xfId="3873" xr:uid="{CBD3835C-5C1E-42B3-B984-9831EA29F2C5}"/>
    <cellStyle name="Millares 4 2 3 5 2 2 2 2 2" xfId="7721" xr:uid="{3781AD61-793C-4EE0-B19F-818107ABC812}"/>
    <cellStyle name="Millares 4 2 3 5 2 2 2 3" xfId="5797" xr:uid="{2109BC5B-7012-40A9-B384-F874F3C82842}"/>
    <cellStyle name="Millares 4 2 3 5 2 2 3" xfId="2911" xr:uid="{E9051353-F892-48E7-A595-D3D2E75F2B1B}"/>
    <cellStyle name="Millares 4 2 3 5 2 2 3 2" xfId="6759" xr:uid="{A6A74A47-CEE7-40C4-AB71-BCB2A2D054B2}"/>
    <cellStyle name="Millares 4 2 3 5 2 2 4" xfId="4835" xr:uid="{4F00CFC2-2406-4C8E-B95C-CFDEEEDB3C1D}"/>
    <cellStyle name="Millares 4 2 3 5 2 3" xfId="1468" xr:uid="{2BF9E43A-E777-43E1-82A7-F02354F2E510}"/>
    <cellStyle name="Millares 4 2 3 5 2 3 2" xfId="3392" xr:uid="{9A6DA6C9-D734-4D88-98E6-DF65CCEF64F9}"/>
    <cellStyle name="Millares 4 2 3 5 2 3 2 2" xfId="7240" xr:uid="{FB8E8C9C-E80F-4BDE-8C61-C69BDC8142C4}"/>
    <cellStyle name="Millares 4 2 3 5 2 3 3" xfId="5316" xr:uid="{C3426E50-0ADD-4842-86CB-427CB4933EAD}"/>
    <cellStyle name="Millares 4 2 3 5 2 4" xfId="2430" xr:uid="{73602CC7-4745-4059-92C6-41B0C13F900C}"/>
    <cellStyle name="Millares 4 2 3 5 2 4 2" xfId="6278" xr:uid="{89188498-9B48-4E27-AA7F-6B44BCC4ECB9}"/>
    <cellStyle name="Millares 4 2 3 5 2 5" xfId="4354" xr:uid="{00314A65-49CB-44A8-BAA0-32A760A76B3B}"/>
    <cellStyle name="Millares 4 2 3 5 3" xfId="747" xr:uid="{F64DD332-9BB5-4CF9-9775-42E130561926}"/>
    <cellStyle name="Millares 4 2 3 5 3 2" xfId="1709" xr:uid="{117BD2F5-C480-41EF-AAA4-213A0E971537}"/>
    <cellStyle name="Millares 4 2 3 5 3 2 2" xfId="3633" xr:uid="{E7EAD4D5-61A8-4EDC-BFD8-C3358F0E35F9}"/>
    <cellStyle name="Millares 4 2 3 5 3 2 2 2" xfId="7481" xr:uid="{EB7CF6F9-2743-4542-A9BF-22B6B49F4477}"/>
    <cellStyle name="Millares 4 2 3 5 3 2 3" xfId="5557" xr:uid="{2B5EF68C-8DA6-4A1F-8EAD-56DB0979F2C9}"/>
    <cellStyle name="Millares 4 2 3 5 3 3" xfId="2671" xr:uid="{36A46922-49B6-49CB-A217-C72F6312B420}"/>
    <cellStyle name="Millares 4 2 3 5 3 3 2" xfId="6519" xr:uid="{6B432B9E-4B84-4DEA-AAD8-10D27AC46EA8}"/>
    <cellStyle name="Millares 4 2 3 5 3 4" xfId="4595" xr:uid="{30C89741-0F10-4665-935A-4FD8E97FDAF6}"/>
    <cellStyle name="Millares 4 2 3 5 4" xfId="1228" xr:uid="{920518C1-438C-4F4A-94FD-F571F73294B6}"/>
    <cellStyle name="Millares 4 2 3 5 4 2" xfId="3152" xr:uid="{86C63577-B0BA-4BA9-959D-E4BEAD202C74}"/>
    <cellStyle name="Millares 4 2 3 5 4 2 2" xfId="7000" xr:uid="{FA2311CE-1B66-4DF5-BFF1-39B1096A68ED}"/>
    <cellStyle name="Millares 4 2 3 5 4 3" xfId="5076" xr:uid="{51FFF03D-DD57-4BB6-BB75-D74D29A2E29C}"/>
    <cellStyle name="Millares 4 2 3 5 5" xfId="2190" xr:uid="{3AB33BD2-7431-453F-AD43-120B2DF74854}"/>
    <cellStyle name="Millares 4 2 3 5 5 2" xfId="6038" xr:uid="{770FFA23-A167-4956-BC2C-346B02C69B46}"/>
    <cellStyle name="Millares 4 2 3 5 6" xfId="4114" xr:uid="{29FF67C9-2CB8-4FD3-BD28-5673042B1464}"/>
    <cellStyle name="Millares 4 2 3 6" xfId="394" xr:uid="{E30836F8-811D-4A43-A255-2DAE0F9CD234}"/>
    <cellStyle name="Millares 4 2 3 6 2" xfId="875" xr:uid="{60AEEE28-9262-4889-A78E-80F812833BCD}"/>
    <cellStyle name="Millares 4 2 3 6 2 2" xfId="1837" xr:uid="{E386534E-640A-4D78-8051-10DF2E2DEA6A}"/>
    <cellStyle name="Millares 4 2 3 6 2 2 2" xfId="3761" xr:uid="{647BDF51-5BA9-4EB1-B03E-80CB2C8C837A}"/>
    <cellStyle name="Millares 4 2 3 6 2 2 2 2" xfId="7609" xr:uid="{A5F3ACB2-404B-4B26-90F7-3BEFFCAD606B}"/>
    <cellStyle name="Millares 4 2 3 6 2 2 3" xfId="5685" xr:uid="{02EFEE91-0495-408D-A989-428560CCA5F0}"/>
    <cellStyle name="Millares 4 2 3 6 2 3" xfId="2799" xr:uid="{04C30DE9-AE78-4F60-B5C5-E2673D8F934C}"/>
    <cellStyle name="Millares 4 2 3 6 2 3 2" xfId="6647" xr:uid="{8778E3C8-805C-4E58-824C-DA08D6C39C33}"/>
    <cellStyle name="Millares 4 2 3 6 2 4" xfId="4723" xr:uid="{B8FCD3E8-FE86-485C-873C-EDBA0D1621EA}"/>
    <cellStyle name="Millares 4 2 3 6 3" xfId="1356" xr:uid="{A3397D4F-6B1F-43AF-AD10-3F217DD91DE7}"/>
    <cellStyle name="Millares 4 2 3 6 3 2" xfId="3280" xr:uid="{15432652-28B9-4938-ABC4-5EC79CCB02F6}"/>
    <cellStyle name="Millares 4 2 3 6 3 2 2" xfId="7128" xr:uid="{96CF8276-9E5A-4C52-B489-548E083214BE}"/>
    <cellStyle name="Millares 4 2 3 6 3 3" xfId="5204" xr:uid="{91EF5ECA-12B7-4B89-B6A5-08ED5CCE9397}"/>
    <cellStyle name="Millares 4 2 3 6 4" xfId="2318" xr:uid="{FA4741CA-AF73-4327-ACAE-62DECEFCC1AD}"/>
    <cellStyle name="Millares 4 2 3 6 4 2" xfId="6166" xr:uid="{727B20EF-3F53-46EA-B914-B1B7ED7D9671}"/>
    <cellStyle name="Millares 4 2 3 6 5" xfId="4242" xr:uid="{5BE58943-B0AA-435D-B520-6B2E17175D3F}"/>
    <cellStyle name="Millares 4 2 3 7" xfId="635" xr:uid="{E5CC7E61-AFBE-4714-BAC4-E4562D278FA2}"/>
    <cellStyle name="Millares 4 2 3 7 2" xfId="1597" xr:uid="{CA9EBFA4-36F0-4846-A500-462DBAA1239E}"/>
    <cellStyle name="Millares 4 2 3 7 2 2" xfId="3521" xr:uid="{0F485191-E5E5-44AA-B68E-519480FE7F88}"/>
    <cellStyle name="Millares 4 2 3 7 2 2 2" xfId="7369" xr:uid="{880BC13A-AC86-4C1D-80AA-989C442AFF70}"/>
    <cellStyle name="Millares 4 2 3 7 2 3" xfId="5445" xr:uid="{F0C8C565-259D-4244-943E-59C4D2572296}"/>
    <cellStyle name="Millares 4 2 3 7 3" xfId="2559" xr:uid="{5037A4D0-0B5D-410F-A7E1-0787827592F6}"/>
    <cellStyle name="Millares 4 2 3 7 3 2" xfId="6407" xr:uid="{A00B13C7-B8D8-4B66-8BFD-1CD278BABA27}"/>
    <cellStyle name="Millares 4 2 3 7 4" xfId="4483" xr:uid="{F2451DF2-C47F-439F-9308-3C53FB51D1AB}"/>
    <cellStyle name="Millares 4 2 3 8" xfId="1116" xr:uid="{4E88C69B-692A-432A-B0CC-12DD7BE86C38}"/>
    <cellStyle name="Millares 4 2 3 8 2" xfId="3040" xr:uid="{64C89F0E-9395-4EE9-B48D-FEE97DA61C00}"/>
    <cellStyle name="Millares 4 2 3 8 2 2" xfId="6888" xr:uid="{F9D54042-201C-4076-806C-E0274325D57C}"/>
    <cellStyle name="Millares 4 2 3 8 3" xfId="4964" xr:uid="{D51F646C-B18C-43BA-8B9E-FE8D6A75A09E}"/>
    <cellStyle name="Millares 4 2 3 9" xfId="2078" xr:uid="{1CFF11C8-EBC9-4DE3-B362-13390C2AD34B}"/>
    <cellStyle name="Millares 4 2 3 9 2" xfId="5926" xr:uid="{4F426C82-526C-455A-BEDC-53243AF3B075}"/>
    <cellStyle name="Millares 4 2 4" xfId="178" xr:uid="{37A7387F-9618-47AD-AF67-AA19C45191A4}"/>
    <cellStyle name="Millares 4 2 4 2" xfId="212" xr:uid="{33C73FB9-D9E5-4D99-B9A5-A4E9647C2084}"/>
    <cellStyle name="Millares 4 2 4 2 2" xfId="346" xr:uid="{6585B0DE-9912-4A6E-AC8E-926222424B3E}"/>
    <cellStyle name="Millares 4 2 4 2 2 2" xfId="597" xr:uid="{C2F18439-AE49-4D77-8E4C-E34FD3CBD3DE}"/>
    <cellStyle name="Millares 4 2 4 2 2 2 2" xfId="1078" xr:uid="{C9461840-11FB-4032-A65E-5A70CE267622}"/>
    <cellStyle name="Millares 4 2 4 2 2 2 2 2" xfId="2040" xr:uid="{A1CEC742-ADBD-4F7E-9C06-88FEFFC573AB}"/>
    <cellStyle name="Millares 4 2 4 2 2 2 2 2 2" xfId="3964" xr:uid="{F7BF435E-8055-4625-8534-D25EE03BB52F}"/>
    <cellStyle name="Millares 4 2 4 2 2 2 2 2 2 2" xfId="7812" xr:uid="{4EC97CEE-DFFC-4913-879F-599750151629}"/>
    <cellStyle name="Millares 4 2 4 2 2 2 2 2 3" xfId="5888" xr:uid="{D6C6B9E5-FBD1-4445-9890-2DFC4D352627}"/>
    <cellStyle name="Millares 4 2 4 2 2 2 2 3" xfId="3002" xr:uid="{9E40D2A8-81A8-494F-A39C-B04E047EB800}"/>
    <cellStyle name="Millares 4 2 4 2 2 2 2 3 2" xfId="6850" xr:uid="{77C39EB9-ADB1-4695-A7DC-7415132A3F5E}"/>
    <cellStyle name="Millares 4 2 4 2 2 2 2 4" xfId="4926" xr:uid="{230A2683-60F0-49D3-BA63-3DCC08151A03}"/>
    <cellStyle name="Millares 4 2 4 2 2 2 3" xfId="1559" xr:uid="{A5C43906-413D-440D-A2CA-02E5A7166ACB}"/>
    <cellStyle name="Millares 4 2 4 2 2 2 3 2" xfId="3483" xr:uid="{426CA073-3DD3-4475-99AE-3A8B23324E5F}"/>
    <cellStyle name="Millares 4 2 4 2 2 2 3 2 2" xfId="7331" xr:uid="{BFE327FF-9AC4-49DA-A7E0-B367AF45AAD4}"/>
    <cellStyle name="Millares 4 2 4 2 2 2 3 3" xfId="5407" xr:uid="{F9867D4A-073D-4691-9B24-5099FF63945E}"/>
    <cellStyle name="Millares 4 2 4 2 2 2 4" xfId="2521" xr:uid="{60C05C27-64EC-42A9-84CD-D73E88893B1E}"/>
    <cellStyle name="Millares 4 2 4 2 2 2 4 2" xfId="6369" xr:uid="{284E5781-9EE6-47D7-8C29-3CE09876B25E}"/>
    <cellStyle name="Millares 4 2 4 2 2 2 5" xfId="4445" xr:uid="{1743540C-F95D-43DB-AD4D-BFB9BE5F8258}"/>
    <cellStyle name="Millares 4 2 4 2 2 3" xfId="838" xr:uid="{8FB43022-DEF4-4445-9032-DEA2ADAB38F7}"/>
    <cellStyle name="Millares 4 2 4 2 2 3 2" xfId="1800" xr:uid="{CB03E5FE-067B-4453-808F-BD48D9A41F12}"/>
    <cellStyle name="Millares 4 2 4 2 2 3 2 2" xfId="3724" xr:uid="{17ECB38C-E2C9-4EB8-AA1E-A0FB1EAA1E0D}"/>
    <cellStyle name="Millares 4 2 4 2 2 3 2 2 2" xfId="7572" xr:uid="{02E14DC3-29B4-4345-855D-EEF07A8A6F60}"/>
    <cellStyle name="Millares 4 2 4 2 2 3 2 3" xfId="5648" xr:uid="{1F4C8804-7C1D-4237-BA6C-148A9E3C1B59}"/>
    <cellStyle name="Millares 4 2 4 2 2 3 3" xfId="2762" xr:uid="{BC00C896-67CB-4708-8F6F-ACCA109BEE87}"/>
    <cellStyle name="Millares 4 2 4 2 2 3 3 2" xfId="6610" xr:uid="{C8BA43C0-AEE5-431F-954D-9D3F47D59F31}"/>
    <cellStyle name="Millares 4 2 4 2 2 3 4" xfId="4686" xr:uid="{BD200C5F-6153-40E8-9FEA-FF8A835E836B}"/>
    <cellStyle name="Millares 4 2 4 2 2 4" xfId="1319" xr:uid="{8CB40467-A264-4459-9F6B-D44A12812E1F}"/>
    <cellStyle name="Millares 4 2 4 2 2 4 2" xfId="3243" xr:uid="{A3C4808A-4725-4B8C-8EC7-01FC4E4BF419}"/>
    <cellStyle name="Millares 4 2 4 2 2 4 2 2" xfId="7091" xr:uid="{2FD53062-62F8-48AB-B129-518B19A269DD}"/>
    <cellStyle name="Millares 4 2 4 2 2 4 3" xfId="5167" xr:uid="{E47A3B47-AFAE-4FF7-96D7-B23502B7F537}"/>
    <cellStyle name="Millares 4 2 4 2 2 5" xfId="2281" xr:uid="{58D7206E-3AE5-4741-B678-F8668A60460D}"/>
    <cellStyle name="Millares 4 2 4 2 2 5 2" xfId="6129" xr:uid="{9339EA55-4B98-4869-ABBB-2D5D51B8696A}"/>
    <cellStyle name="Millares 4 2 4 2 2 6" xfId="4205" xr:uid="{1D1B3F0F-114F-440A-A5F3-109EA0242251}"/>
    <cellStyle name="Millares 4 2 4 2 3" xfId="465" xr:uid="{234B0796-8CE8-4621-B191-0D3158CFB411}"/>
    <cellStyle name="Millares 4 2 4 2 3 2" xfId="946" xr:uid="{EA6D9B7E-910F-4EFE-9A83-80B40170A548}"/>
    <cellStyle name="Millares 4 2 4 2 3 2 2" xfId="1908" xr:uid="{994948E6-8E62-4EDA-9A7D-62756DD5DD60}"/>
    <cellStyle name="Millares 4 2 4 2 3 2 2 2" xfId="3832" xr:uid="{24193864-D7BA-4EC5-8582-0BDA1FE23E31}"/>
    <cellStyle name="Millares 4 2 4 2 3 2 2 2 2" xfId="7680" xr:uid="{C9432F70-B0EB-4CB2-AB2A-C56B9AC7C0C4}"/>
    <cellStyle name="Millares 4 2 4 2 3 2 2 3" xfId="5756" xr:uid="{EC5CBD1D-AC1D-4770-8D12-93319FB40800}"/>
    <cellStyle name="Millares 4 2 4 2 3 2 3" xfId="2870" xr:uid="{FA21FB7B-C895-4E3C-91B0-8AC3B555C128}"/>
    <cellStyle name="Millares 4 2 4 2 3 2 3 2" xfId="6718" xr:uid="{0836C4C0-3C8A-45FD-896C-6EABB295E204}"/>
    <cellStyle name="Millares 4 2 4 2 3 2 4" xfId="4794" xr:uid="{9351996D-50E6-457E-9D84-83EAA5C5103E}"/>
    <cellStyle name="Millares 4 2 4 2 3 3" xfId="1427" xr:uid="{5270F2B3-22B7-43C4-B830-16DA76877AC2}"/>
    <cellStyle name="Millares 4 2 4 2 3 3 2" xfId="3351" xr:uid="{0F14C7B7-2D17-4DEA-831D-DD5C2D12A6F6}"/>
    <cellStyle name="Millares 4 2 4 2 3 3 2 2" xfId="7199" xr:uid="{7A73DEFB-8316-49C8-842B-BE57CF391332}"/>
    <cellStyle name="Millares 4 2 4 2 3 3 3" xfId="5275" xr:uid="{5D0FBCA3-5177-4B92-96FC-87F4B9155FB8}"/>
    <cellStyle name="Millares 4 2 4 2 3 4" xfId="2389" xr:uid="{7A832AE2-08E9-42D7-ABCA-2DB9BA9562EA}"/>
    <cellStyle name="Millares 4 2 4 2 3 4 2" xfId="6237" xr:uid="{84D89F4D-D8C3-451B-98C3-7A0D4D07005F}"/>
    <cellStyle name="Millares 4 2 4 2 3 5" xfId="4313" xr:uid="{F9195F74-2E80-45E7-9D69-BF9A688BD6BF}"/>
    <cellStyle name="Millares 4 2 4 2 4" xfId="706" xr:uid="{C6E21424-9C3B-4973-AEAF-C8EB6D0197BE}"/>
    <cellStyle name="Millares 4 2 4 2 4 2" xfId="1668" xr:uid="{2F37260D-E4E8-4321-B407-7252CFD0A45B}"/>
    <cellStyle name="Millares 4 2 4 2 4 2 2" xfId="3592" xr:uid="{9B3F997F-3884-4AA3-9C79-BBF4F4569B08}"/>
    <cellStyle name="Millares 4 2 4 2 4 2 2 2" xfId="7440" xr:uid="{8C120B31-D602-4E69-AA90-0FD3A416D9EF}"/>
    <cellStyle name="Millares 4 2 4 2 4 2 3" xfId="5516" xr:uid="{FC54E5C4-1CD0-4316-9DD4-C24A9C5BC398}"/>
    <cellStyle name="Millares 4 2 4 2 4 3" xfId="2630" xr:uid="{6F6AB0EA-7759-4C11-8A25-BD4FA7230689}"/>
    <cellStyle name="Millares 4 2 4 2 4 3 2" xfId="6478" xr:uid="{CA715B9F-C212-47BD-92A6-A632C6F39806}"/>
    <cellStyle name="Millares 4 2 4 2 4 4" xfId="4554" xr:uid="{7BAC3C25-FE5B-426A-A7C2-91695631F82E}"/>
    <cellStyle name="Millares 4 2 4 2 5" xfId="1187" xr:uid="{7B82A8F5-F70C-4CED-B1A7-C7900A9C79F3}"/>
    <cellStyle name="Millares 4 2 4 2 5 2" xfId="3111" xr:uid="{8D608EF1-D5B3-4B14-B54A-F5B56017C4CE}"/>
    <cellStyle name="Millares 4 2 4 2 5 2 2" xfId="6959" xr:uid="{69267053-0529-401F-BAF8-613A085468FF}"/>
    <cellStyle name="Millares 4 2 4 2 5 3" xfId="5035" xr:uid="{443C9975-B550-449C-B7F1-2A05AB5C59AE}"/>
    <cellStyle name="Millares 4 2 4 2 6" xfId="2149" xr:uid="{D6BD59D1-C007-4E19-879B-CF2475917377}"/>
    <cellStyle name="Millares 4 2 4 2 6 2" xfId="5997" xr:uid="{0CAD583A-2382-48C9-A349-C3F778F4A001}"/>
    <cellStyle name="Millares 4 2 4 2 7" xfId="4073" xr:uid="{E9DD4BF9-32A9-477F-B1B6-75B55D7456B4}"/>
    <cellStyle name="Millares 4 2 4 3" xfId="313" xr:uid="{80D4FA61-7BB0-44D5-83C7-64FC4802B76E}"/>
    <cellStyle name="Millares 4 2 4 3 2" xfId="564" xr:uid="{CEABC66A-C818-4FA5-8716-BF4152148CF2}"/>
    <cellStyle name="Millares 4 2 4 3 2 2" xfId="1045" xr:uid="{97D0C0E3-B2C0-43D9-92EA-5E74CB23A494}"/>
    <cellStyle name="Millares 4 2 4 3 2 2 2" xfId="2007" xr:uid="{49E8F245-66A8-4700-9192-5806AA018949}"/>
    <cellStyle name="Millares 4 2 4 3 2 2 2 2" xfId="3931" xr:uid="{9CCB8918-2DED-49D4-B8FD-6F3C06DC19FA}"/>
    <cellStyle name="Millares 4 2 4 3 2 2 2 2 2" xfId="7779" xr:uid="{289759C1-CC54-494A-B9E1-09C6235F0C9E}"/>
    <cellStyle name="Millares 4 2 4 3 2 2 2 3" xfId="5855" xr:uid="{43C15B5F-C10E-4E65-B4FF-5C69EA6D6B65}"/>
    <cellStyle name="Millares 4 2 4 3 2 2 3" xfId="2969" xr:uid="{C62CB8AB-D7A9-44DF-B4F2-B8463B519554}"/>
    <cellStyle name="Millares 4 2 4 3 2 2 3 2" xfId="6817" xr:uid="{E1CDB0F2-9D0A-4D1E-B454-3125049D20E7}"/>
    <cellStyle name="Millares 4 2 4 3 2 2 4" xfId="4893" xr:uid="{5D07E451-673A-44DA-8D46-9D0F54B2F164}"/>
    <cellStyle name="Millares 4 2 4 3 2 3" xfId="1526" xr:uid="{1F691041-494F-4824-A077-EC1D8F3A16B0}"/>
    <cellStyle name="Millares 4 2 4 3 2 3 2" xfId="3450" xr:uid="{01E571B6-ECCB-4908-BE32-63517F8A8502}"/>
    <cellStyle name="Millares 4 2 4 3 2 3 2 2" xfId="7298" xr:uid="{9611BBFA-F83A-41BB-83B8-1F3F65EB408D}"/>
    <cellStyle name="Millares 4 2 4 3 2 3 3" xfId="5374" xr:uid="{E30D6097-B520-44F1-8BCD-E3BDCCE840CC}"/>
    <cellStyle name="Millares 4 2 4 3 2 4" xfId="2488" xr:uid="{EBD72CBC-6D5D-484A-9CF9-54FF269F6781}"/>
    <cellStyle name="Millares 4 2 4 3 2 4 2" xfId="6336" xr:uid="{47116ED2-C2E6-43A0-97D0-B63135481A80}"/>
    <cellStyle name="Millares 4 2 4 3 2 5" xfId="4412" xr:uid="{59343ABD-A3F1-495A-BC6C-BE257F64CE8E}"/>
    <cellStyle name="Millares 4 2 4 3 3" xfId="805" xr:uid="{2D2913D3-61A7-4D52-A755-36930BD97785}"/>
    <cellStyle name="Millares 4 2 4 3 3 2" xfId="1767" xr:uid="{B2617E6C-1700-4783-97B1-9BD5C30BD9B9}"/>
    <cellStyle name="Millares 4 2 4 3 3 2 2" xfId="3691" xr:uid="{C479BBC9-7B45-49A1-ACC1-B3C9E07F0DF8}"/>
    <cellStyle name="Millares 4 2 4 3 3 2 2 2" xfId="7539" xr:uid="{690B47F4-65F6-41FB-B3CA-268EF7899225}"/>
    <cellStyle name="Millares 4 2 4 3 3 2 3" xfId="5615" xr:uid="{C7AE2454-C749-4092-B07D-7EED1AD695C0}"/>
    <cellStyle name="Millares 4 2 4 3 3 3" xfId="2729" xr:uid="{22E04C41-D1E9-4D08-976E-F64AFAB365B8}"/>
    <cellStyle name="Millares 4 2 4 3 3 3 2" xfId="6577" xr:uid="{A014409B-4945-4364-A980-41AE7321A076}"/>
    <cellStyle name="Millares 4 2 4 3 3 4" xfId="4653" xr:uid="{A907B424-CE21-4CF2-A2D9-5201641ED314}"/>
    <cellStyle name="Millares 4 2 4 3 4" xfId="1286" xr:uid="{BDB4FC7F-EAC7-4974-8EC4-732203C7AB5F}"/>
    <cellStyle name="Millares 4 2 4 3 4 2" xfId="3210" xr:uid="{0F7B3449-644D-4CA2-9494-01E8FE1D6D09}"/>
    <cellStyle name="Millares 4 2 4 3 4 2 2" xfId="7058" xr:uid="{A285C04B-DEF0-4ADC-A1CD-0F8F5262FFC1}"/>
    <cellStyle name="Millares 4 2 4 3 4 3" xfId="5134" xr:uid="{F55A8A26-352C-4B22-ACCB-5509808B7D45}"/>
    <cellStyle name="Millares 4 2 4 3 5" xfId="2248" xr:uid="{11FDE999-4F79-4979-A6A8-14132120A4BC}"/>
    <cellStyle name="Millares 4 2 4 3 5 2" xfId="6096" xr:uid="{B0F14CF9-D42A-4A1C-BD75-531620EF529C}"/>
    <cellStyle name="Millares 4 2 4 3 6" xfId="4172" xr:uid="{CCA699F3-2BB5-4989-B0BD-160C0B8CAC52}"/>
    <cellStyle name="Millares 4 2 4 4" xfId="246" xr:uid="{268D98A2-6A91-44BA-9E26-85507DA16C5F}"/>
    <cellStyle name="Millares 4 2 4 4 2" xfId="498" xr:uid="{BDC4E8E0-788A-4F4C-8496-5CA277D35C76}"/>
    <cellStyle name="Millares 4 2 4 4 2 2" xfId="979" xr:uid="{C21C5A6A-344F-43EC-A5A0-B002F95DDF27}"/>
    <cellStyle name="Millares 4 2 4 4 2 2 2" xfId="1941" xr:uid="{88B05DD2-11D3-459B-8BEA-09EE7653BCCF}"/>
    <cellStyle name="Millares 4 2 4 4 2 2 2 2" xfId="3865" xr:uid="{4642E292-CEBE-47DC-A15A-548BE8CABF26}"/>
    <cellStyle name="Millares 4 2 4 4 2 2 2 2 2" xfId="7713" xr:uid="{82EC39DC-E062-4C2B-B3EA-C7E099509280}"/>
    <cellStyle name="Millares 4 2 4 4 2 2 2 3" xfId="5789" xr:uid="{322EFE7C-0185-41D1-B605-295974C5A867}"/>
    <cellStyle name="Millares 4 2 4 4 2 2 3" xfId="2903" xr:uid="{96AAF76E-81E4-45CF-8D7D-0ED7706B2515}"/>
    <cellStyle name="Millares 4 2 4 4 2 2 3 2" xfId="6751" xr:uid="{3AAA3DC3-7894-4924-9CCE-96C788D04239}"/>
    <cellStyle name="Millares 4 2 4 4 2 2 4" xfId="4827" xr:uid="{E321E2B5-ACA9-426F-86CB-7EA84CF99211}"/>
    <cellStyle name="Millares 4 2 4 4 2 3" xfId="1460" xr:uid="{3DBFBAA7-B8A3-49CE-A058-1A23E5AB526A}"/>
    <cellStyle name="Millares 4 2 4 4 2 3 2" xfId="3384" xr:uid="{6BEB4074-64E7-4E08-8755-674C072BC146}"/>
    <cellStyle name="Millares 4 2 4 4 2 3 2 2" xfId="7232" xr:uid="{735D4B56-5553-4E33-BC7E-D1E0E889FD00}"/>
    <cellStyle name="Millares 4 2 4 4 2 3 3" xfId="5308" xr:uid="{FA50CD2E-1F15-4C87-853F-73B87418BEC7}"/>
    <cellStyle name="Millares 4 2 4 4 2 4" xfId="2422" xr:uid="{2FC5063F-86E8-4EC0-ACC5-731E96B12BB0}"/>
    <cellStyle name="Millares 4 2 4 4 2 4 2" xfId="6270" xr:uid="{07252467-BC36-4179-B44B-0A91DFDEFABF}"/>
    <cellStyle name="Millares 4 2 4 4 2 5" xfId="4346" xr:uid="{ABC8384F-64C0-43DA-9270-E31C90B105A3}"/>
    <cellStyle name="Millares 4 2 4 4 3" xfId="739" xr:uid="{6F559C44-D305-4005-84E9-CFF50928EFDB}"/>
    <cellStyle name="Millares 4 2 4 4 3 2" xfId="1701" xr:uid="{2840218A-BB62-4098-A504-B9AD193A0501}"/>
    <cellStyle name="Millares 4 2 4 4 3 2 2" xfId="3625" xr:uid="{6621BBA5-0611-4A9C-A6C3-4593DA663957}"/>
    <cellStyle name="Millares 4 2 4 4 3 2 2 2" xfId="7473" xr:uid="{485C06BB-57FC-433D-A184-5111F269680C}"/>
    <cellStyle name="Millares 4 2 4 4 3 2 3" xfId="5549" xr:uid="{6576206B-69C6-4516-845E-12C0E705F144}"/>
    <cellStyle name="Millares 4 2 4 4 3 3" xfId="2663" xr:uid="{ED261B78-1437-4A1E-823E-0582B5B82F1F}"/>
    <cellStyle name="Millares 4 2 4 4 3 3 2" xfId="6511" xr:uid="{41C0505F-54A3-4C33-AE31-A50209EC5CC8}"/>
    <cellStyle name="Millares 4 2 4 4 3 4" xfId="4587" xr:uid="{F21BF324-931A-4B42-A976-34ABFCB4CE6C}"/>
    <cellStyle name="Millares 4 2 4 4 4" xfId="1220" xr:uid="{E948A03D-CD1D-4B65-9B5B-F43DC8919C94}"/>
    <cellStyle name="Millares 4 2 4 4 4 2" xfId="3144" xr:uid="{EA026C89-555C-46D3-A3A6-F8C9FEED291B}"/>
    <cellStyle name="Millares 4 2 4 4 4 2 2" xfId="6992" xr:uid="{F1DF1C75-A3BC-42D8-AC75-12F7494C60E8}"/>
    <cellStyle name="Millares 4 2 4 4 4 3" xfId="5068" xr:uid="{957F0230-6760-40E6-BAA9-A760461A4425}"/>
    <cellStyle name="Millares 4 2 4 4 5" xfId="2182" xr:uid="{8CF80925-7784-4C9E-AE99-F35552AD6C2D}"/>
    <cellStyle name="Millares 4 2 4 4 5 2" xfId="6030" xr:uid="{6C063236-EAA3-41A0-86AD-EDB8C0DD1C2C}"/>
    <cellStyle name="Millares 4 2 4 4 6" xfId="4106" xr:uid="{924EA828-3410-4D79-84CC-14F9DB6674DC}"/>
    <cellStyle name="Millares 4 2 4 5" xfId="432" xr:uid="{B99B9735-5542-4366-A885-FD77FAF06733}"/>
    <cellStyle name="Millares 4 2 4 5 2" xfId="913" xr:uid="{43A6010D-5F04-42AF-9971-B87E06EEA6A3}"/>
    <cellStyle name="Millares 4 2 4 5 2 2" xfId="1875" xr:uid="{2AFC3AE4-7449-4D3F-B623-D5F3165092CC}"/>
    <cellStyle name="Millares 4 2 4 5 2 2 2" xfId="3799" xr:uid="{F5ABFE1A-EB16-42B6-9E29-EB8C3C08BC4D}"/>
    <cellStyle name="Millares 4 2 4 5 2 2 2 2" xfId="7647" xr:uid="{14BB67EE-C53C-4D3B-8871-037C77AEF488}"/>
    <cellStyle name="Millares 4 2 4 5 2 2 3" xfId="5723" xr:uid="{D102D1C3-D431-47BB-AC29-CBDA1077EA5C}"/>
    <cellStyle name="Millares 4 2 4 5 2 3" xfId="2837" xr:uid="{4B66D840-3F74-402C-B654-39CF8572FC95}"/>
    <cellStyle name="Millares 4 2 4 5 2 3 2" xfId="6685" xr:uid="{AD8B959B-FC58-47C4-BA0B-EA0A07D568D9}"/>
    <cellStyle name="Millares 4 2 4 5 2 4" xfId="4761" xr:uid="{8E511B09-3D44-456A-9A04-8605BC24C916}"/>
    <cellStyle name="Millares 4 2 4 5 3" xfId="1394" xr:uid="{ECBDEC32-415F-46C5-BEB2-9D0220270FEE}"/>
    <cellStyle name="Millares 4 2 4 5 3 2" xfId="3318" xr:uid="{6DE68618-7F2A-4D14-8E26-C5E88BAD15B4}"/>
    <cellStyle name="Millares 4 2 4 5 3 2 2" xfId="7166" xr:uid="{504ABA40-8330-42C1-BAB0-68CC1E3CA6AB}"/>
    <cellStyle name="Millares 4 2 4 5 3 3" xfId="5242" xr:uid="{49548A44-B98C-45D4-983F-EC3F1BD11D28}"/>
    <cellStyle name="Millares 4 2 4 5 4" xfId="2356" xr:uid="{B2E88317-241E-4EBB-8C1D-C9902A319C55}"/>
    <cellStyle name="Millares 4 2 4 5 4 2" xfId="6204" xr:uid="{B73FE698-544C-4903-A2C3-5E893C6F8946}"/>
    <cellStyle name="Millares 4 2 4 5 5" xfId="4280" xr:uid="{5D7EE838-5465-4394-B98E-DE7CB1473385}"/>
    <cellStyle name="Millares 4 2 4 6" xfId="673" xr:uid="{5523394D-A0E4-40B3-B080-F3675A93D565}"/>
    <cellStyle name="Millares 4 2 4 6 2" xfId="1635" xr:uid="{A779ADCB-01CF-40F0-AD8C-3DDA1A0D157A}"/>
    <cellStyle name="Millares 4 2 4 6 2 2" xfId="3559" xr:uid="{9F65DE48-F9AA-4EE8-8BB3-4516B613F23B}"/>
    <cellStyle name="Millares 4 2 4 6 2 2 2" xfId="7407" xr:uid="{8C9217E6-E8F6-45AD-A71B-BBA730DF736F}"/>
    <cellStyle name="Millares 4 2 4 6 2 3" xfId="5483" xr:uid="{41F90AEB-4F3B-42D7-B123-F36317C70E2F}"/>
    <cellStyle name="Millares 4 2 4 6 3" xfId="2597" xr:uid="{3EFC53C1-D99A-4540-94A1-57B423F2E9FE}"/>
    <cellStyle name="Millares 4 2 4 6 3 2" xfId="6445" xr:uid="{EAC609AD-56C9-44A0-9D44-D8CE43636469}"/>
    <cellStyle name="Millares 4 2 4 6 4" xfId="4521" xr:uid="{5AE4A424-B495-4B75-BE83-0CA24AC99D43}"/>
    <cellStyle name="Millares 4 2 4 7" xfId="1154" xr:uid="{F9C0F73F-041F-4EDA-ADD2-C530EE0036F5}"/>
    <cellStyle name="Millares 4 2 4 7 2" xfId="3078" xr:uid="{684AB649-08AD-49A2-98B0-6A0737095628}"/>
    <cellStyle name="Millares 4 2 4 7 2 2" xfId="6926" xr:uid="{9B5A6AF6-A90F-4D1C-B306-94BF5174B9E3}"/>
    <cellStyle name="Millares 4 2 4 7 3" xfId="5002" xr:uid="{AACD372B-7640-4822-AB26-A728F7BA3167}"/>
    <cellStyle name="Millares 4 2 4 8" xfId="2116" xr:uid="{F3C29758-E329-49C1-8EC5-96D428225B04}"/>
    <cellStyle name="Millares 4 2 4 8 2" xfId="5964" xr:uid="{2B25898C-77BC-4D59-BCB8-EC1A9D0DD1E7}"/>
    <cellStyle name="Millares 4 2 4 9" xfId="4040" xr:uid="{AC7E5E22-185C-4FE6-86A2-A9A6BC531457}"/>
    <cellStyle name="Millares 4 2 5" xfId="162" xr:uid="{14A2FD59-95D3-48D3-BCC7-116E27C877F2}"/>
    <cellStyle name="Millares 4 2 5 2" xfId="300" xr:uid="{A82190FF-0F54-45A0-9433-A3EEE9D4B5C5}"/>
    <cellStyle name="Millares 4 2 5 2 2" xfId="551" xr:uid="{2DD924DE-AE84-4FBB-A9A4-18BE1FC8BEAE}"/>
    <cellStyle name="Millares 4 2 5 2 2 2" xfId="1032" xr:uid="{54707C81-D3C2-4AD4-8589-E36307680AB9}"/>
    <cellStyle name="Millares 4 2 5 2 2 2 2" xfId="1994" xr:uid="{972E275E-35FD-431D-9420-64F564741B78}"/>
    <cellStyle name="Millares 4 2 5 2 2 2 2 2" xfId="3918" xr:uid="{A74E275D-1047-476F-8AFF-E205C325E9D8}"/>
    <cellStyle name="Millares 4 2 5 2 2 2 2 2 2" xfId="7766" xr:uid="{FA0E9BC1-B000-49FA-AD45-8FE1BD6A5D83}"/>
    <cellStyle name="Millares 4 2 5 2 2 2 2 3" xfId="5842" xr:uid="{E8C68258-A86A-480E-911F-705708559A7D}"/>
    <cellStyle name="Millares 4 2 5 2 2 2 3" xfId="2956" xr:uid="{32CEF834-E909-4033-A168-8F0A348A9F7F}"/>
    <cellStyle name="Millares 4 2 5 2 2 2 3 2" xfId="6804" xr:uid="{0ECCD953-E5A0-4A37-BBA7-80363EEBCF5C}"/>
    <cellStyle name="Millares 4 2 5 2 2 2 4" xfId="4880" xr:uid="{AD144718-109E-41F8-BAD7-A4CA0F9D8275}"/>
    <cellStyle name="Millares 4 2 5 2 2 3" xfId="1513" xr:uid="{0D498EEB-A129-47E4-84A1-8B7D65C7E56D}"/>
    <cellStyle name="Millares 4 2 5 2 2 3 2" xfId="3437" xr:uid="{F3F224E7-68EA-407D-8579-816D84268625}"/>
    <cellStyle name="Millares 4 2 5 2 2 3 2 2" xfId="7285" xr:uid="{8B80F384-48E0-4811-B368-014EA3D76C1D}"/>
    <cellStyle name="Millares 4 2 5 2 2 3 3" xfId="5361" xr:uid="{9074C783-1D69-4442-AEA2-CB6632CC6F38}"/>
    <cellStyle name="Millares 4 2 5 2 2 4" xfId="2475" xr:uid="{95EF1753-5D5F-4727-93A7-41127D28DAAC}"/>
    <cellStyle name="Millares 4 2 5 2 2 4 2" xfId="6323" xr:uid="{C1B7E3BA-536F-4F65-AA62-5ED9E590B89F}"/>
    <cellStyle name="Millares 4 2 5 2 2 5" xfId="4399" xr:uid="{879FE6C6-A46B-4433-BCDD-4A9894D20FCD}"/>
    <cellStyle name="Millares 4 2 5 2 3" xfId="792" xr:uid="{7E81F173-A800-457E-990D-85C85654CF50}"/>
    <cellStyle name="Millares 4 2 5 2 3 2" xfId="1754" xr:uid="{9830EE12-B539-4FCB-BE87-3B5FB7E06550}"/>
    <cellStyle name="Millares 4 2 5 2 3 2 2" xfId="3678" xr:uid="{2F495105-0CCC-441A-BBB2-6BEEB200303D}"/>
    <cellStyle name="Millares 4 2 5 2 3 2 2 2" xfId="7526" xr:uid="{448BF9DD-1D4E-4684-9DB6-4CA506D19EFD}"/>
    <cellStyle name="Millares 4 2 5 2 3 2 3" xfId="5602" xr:uid="{C835735A-4224-4F2C-B5C3-F04CC599D4F3}"/>
    <cellStyle name="Millares 4 2 5 2 3 3" xfId="2716" xr:uid="{25E697A6-B8BF-4C7F-A284-A7C61A5D9FE8}"/>
    <cellStyle name="Millares 4 2 5 2 3 3 2" xfId="6564" xr:uid="{A6B49BB9-FF0B-4998-A7E2-E4884FF9EFBA}"/>
    <cellStyle name="Millares 4 2 5 2 3 4" xfId="4640" xr:uid="{DC7E9204-06BD-41A0-A198-D2FE138A77B1}"/>
    <cellStyle name="Millares 4 2 5 2 4" xfId="1273" xr:uid="{6F5CC5E4-2A1F-46FA-B303-645E50D540C7}"/>
    <cellStyle name="Millares 4 2 5 2 4 2" xfId="3197" xr:uid="{10528790-E740-403D-B26F-C1EC553ABB64}"/>
    <cellStyle name="Millares 4 2 5 2 4 2 2" xfId="7045" xr:uid="{68F7A208-ABCA-48CC-8556-BB4F596EE0F1}"/>
    <cellStyle name="Millares 4 2 5 2 4 3" xfId="5121" xr:uid="{25393969-51EB-401C-BFE8-7D7C60D8D299}"/>
    <cellStyle name="Millares 4 2 5 2 5" xfId="2235" xr:uid="{CA7DB95C-21D0-42D8-B951-6B2D6E76DCA7}"/>
    <cellStyle name="Millares 4 2 5 2 5 2" xfId="6083" xr:uid="{627208D8-14EE-42EE-B32C-F90E30DA8BB4}"/>
    <cellStyle name="Millares 4 2 5 2 6" xfId="4159" xr:uid="{49F567FC-9744-4DF3-92EC-E2D6C8904EF1}"/>
    <cellStyle name="Millares 4 2 5 3" xfId="419" xr:uid="{BFEFA13D-E00F-4046-A932-04AA0D5F13FE}"/>
    <cellStyle name="Millares 4 2 5 3 2" xfId="900" xr:uid="{5F4C2739-E701-4134-B77D-D15DD4F958A7}"/>
    <cellStyle name="Millares 4 2 5 3 2 2" xfId="1862" xr:uid="{617F6CD7-FB30-43D0-A165-F2DF53A925F3}"/>
    <cellStyle name="Millares 4 2 5 3 2 2 2" xfId="3786" xr:uid="{1E73B73A-273F-44DE-ACAF-8FB11F5173EB}"/>
    <cellStyle name="Millares 4 2 5 3 2 2 2 2" xfId="7634" xr:uid="{07797160-1B42-4A1D-96C2-049F3854B708}"/>
    <cellStyle name="Millares 4 2 5 3 2 2 3" xfId="5710" xr:uid="{A113CB83-0C0C-481D-81C8-8357B9D0490A}"/>
    <cellStyle name="Millares 4 2 5 3 2 3" xfId="2824" xr:uid="{3397F2F2-5BD6-4D05-A695-992B7523C65D}"/>
    <cellStyle name="Millares 4 2 5 3 2 3 2" xfId="6672" xr:uid="{5499F155-B684-4FD1-85D5-4F573C186D26}"/>
    <cellStyle name="Millares 4 2 5 3 2 4" xfId="4748" xr:uid="{FEA3893B-A68F-4FAF-8791-4C3CB2DCFC42}"/>
    <cellStyle name="Millares 4 2 5 3 3" xfId="1381" xr:uid="{76A394FD-4FC5-4104-92EF-CF332667D43C}"/>
    <cellStyle name="Millares 4 2 5 3 3 2" xfId="3305" xr:uid="{1B455A49-8144-47EF-9B61-6CF77FC00AB5}"/>
    <cellStyle name="Millares 4 2 5 3 3 2 2" xfId="7153" xr:uid="{4A7DFDBD-6750-44A7-B7D2-D40CCDC6C516}"/>
    <cellStyle name="Millares 4 2 5 3 3 3" xfId="5229" xr:uid="{DC7E2832-3AFA-4D27-BD5A-8A9090B4ACA2}"/>
    <cellStyle name="Millares 4 2 5 3 4" xfId="2343" xr:uid="{C4C7B6DF-F26F-409B-AC09-EDB99A43DE29}"/>
    <cellStyle name="Millares 4 2 5 3 4 2" xfId="6191" xr:uid="{CC506181-4F9B-4D9D-8246-9FB7493EE4C4}"/>
    <cellStyle name="Millares 4 2 5 3 5" xfId="4267" xr:uid="{9F21FBFE-592B-4DEA-BCEB-9B6484E7E785}"/>
    <cellStyle name="Millares 4 2 5 4" xfId="660" xr:uid="{8FB76DF9-067B-4580-916A-289C01754990}"/>
    <cellStyle name="Millares 4 2 5 4 2" xfId="1622" xr:uid="{939601C6-0A70-46C3-8646-31098F4CA36C}"/>
    <cellStyle name="Millares 4 2 5 4 2 2" xfId="3546" xr:uid="{C799F588-F227-4EEB-97D6-DCA3EBE5B253}"/>
    <cellStyle name="Millares 4 2 5 4 2 2 2" xfId="7394" xr:uid="{D56254F8-1121-403C-97C4-A90904CBFBE5}"/>
    <cellStyle name="Millares 4 2 5 4 2 3" xfId="5470" xr:uid="{0F92E5DE-392D-48BE-905C-69D9EC244A2A}"/>
    <cellStyle name="Millares 4 2 5 4 3" xfId="2584" xr:uid="{6001F80E-CA71-4ACB-ABD3-604852BBA01A}"/>
    <cellStyle name="Millares 4 2 5 4 3 2" xfId="6432" xr:uid="{51852F1B-064D-421E-8156-E8807E7DBFDC}"/>
    <cellStyle name="Millares 4 2 5 4 4" xfId="4508" xr:uid="{5F7E5EAB-91AB-4CEF-9249-E3B3D772A679}"/>
    <cellStyle name="Millares 4 2 5 5" xfId="1141" xr:uid="{400DB99C-EE2C-4C0F-8BBB-D6284B89369C}"/>
    <cellStyle name="Millares 4 2 5 5 2" xfId="3065" xr:uid="{B82C6118-AF4D-41CA-936B-D56107027114}"/>
    <cellStyle name="Millares 4 2 5 5 2 2" xfId="6913" xr:uid="{FF38C982-01D0-4353-94EE-314CA5713ED4}"/>
    <cellStyle name="Millares 4 2 5 5 3" xfId="4989" xr:uid="{440EB2B0-6EF5-4D5E-A5C7-84BB95AA416C}"/>
    <cellStyle name="Millares 4 2 5 6" xfId="2103" xr:uid="{389894BE-1F32-413A-AB0F-E504693D11A6}"/>
    <cellStyle name="Millares 4 2 5 6 2" xfId="5951" xr:uid="{D419C77C-729A-4AE6-9140-528F3D32A5C9}"/>
    <cellStyle name="Millares 4 2 5 7" xfId="4027" xr:uid="{DABFC7E7-A2E6-421E-BE49-BFE3CD0CF9F4}"/>
    <cellStyle name="Millares 4 2 6" xfId="199" xr:uid="{5CF670C7-7D78-4960-81BE-9B8F7D6B9252}"/>
    <cellStyle name="Millares 4 2 6 2" xfId="333" xr:uid="{A1BBFDCB-D49E-4285-B336-2EEA2F9F3532}"/>
    <cellStyle name="Millares 4 2 6 2 2" xfId="584" xr:uid="{34BC7657-5EBE-43F1-AFE9-8D4D4A44FD0A}"/>
    <cellStyle name="Millares 4 2 6 2 2 2" xfId="1065" xr:uid="{8C608729-817E-457D-823B-8206F5714CB4}"/>
    <cellStyle name="Millares 4 2 6 2 2 2 2" xfId="2027" xr:uid="{641F8347-872E-4685-B9C4-842114BEF5A1}"/>
    <cellStyle name="Millares 4 2 6 2 2 2 2 2" xfId="3951" xr:uid="{EDFA5323-93CB-40C7-BAA5-1391E8BDED39}"/>
    <cellStyle name="Millares 4 2 6 2 2 2 2 2 2" xfId="7799" xr:uid="{F772A2C8-CDB2-4A1B-A582-85CACD5F6496}"/>
    <cellStyle name="Millares 4 2 6 2 2 2 2 3" xfId="5875" xr:uid="{3156EE33-DBE1-45D7-9155-691300203193}"/>
    <cellStyle name="Millares 4 2 6 2 2 2 3" xfId="2989" xr:uid="{6CC4D81F-A32D-4238-A18F-15264ABD6F37}"/>
    <cellStyle name="Millares 4 2 6 2 2 2 3 2" xfId="6837" xr:uid="{6126029A-AD08-4222-B814-44B9E4ADCAD3}"/>
    <cellStyle name="Millares 4 2 6 2 2 2 4" xfId="4913" xr:uid="{A11360E0-4F3D-4F28-815B-D40138FFD05B}"/>
    <cellStyle name="Millares 4 2 6 2 2 3" xfId="1546" xr:uid="{07639433-B24C-40D1-9E9E-8BA1450F152B}"/>
    <cellStyle name="Millares 4 2 6 2 2 3 2" xfId="3470" xr:uid="{A16EF4EF-CC1D-4C18-95A9-29F182566F60}"/>
    <cellStyle name="Millares 4 2 6 2 2 3 2 2" xfId="7318" xr:uid="{82EBB443-8BD4-4BE7-982B-5E76BDA48A3C}"/>
    <cellStyle name="Millares 4 2 6 2 2 3 3" xfId="5394" xr:uid="{36C15C68-CB92-46D8-AA9B-06CC12CAD8A5}"/>
    <cellStyle name="Millares 4 2 6 2 2 4" xfId="2508" xr:uid="{9F558B16-8E09-44FF-98F6-4DE3712916A8}"/>
    <cellStyle name="Millares 4 2 6 2 2 4 2" xfId="6356" xr:uid="{95684C98-002F-4076-9B36-0B85BE58A97C}"/>
    <cellStyle name="Millares 4 2 6 2 2 5" xfId="4432" xr:uid="{1772BA76-9B8D-4977-992D-87FB10B2DB7F}"/>
    <cellStyle name="Millares 4 2 6 2 3" xfId="825" xr:uid="{ADAE1782-435D-4D38-A5B7-822CE3E7436C}"/>
    <cellStyle name="Millares 4 2 6 2 3 2" xfId="1787" xr:uid="{BA9C7443-7B78-4FF5-A82D-41B346CAD35C}"/>
    <cellStyle name="Millares 4 2 6 2 3 2 2" xfId="3711" xr:uid="{D2291EF7-4741-4E39-A04F-E267DF331345}"/>
    <cellStyle name="Millares 4 2 6 2 3 2 2 2" xfId="7559" xr:uid="{F79CAE69-A2F6-47B1-A462-9B862638E5A2}"/>
    <cellStyle name="Millares 4 2 6 2 3 2 3" xfId="5635" xr:uid="{9A068AC4-C481-48C3-98EE-ED093C4A94F5}"/>
    <cellStyle name="Millares 4 2 6 2 3 3" xfId="2749" xr:uid="{E81DEF30-B154-4C20-BEA2-FF7604EB7FC9}"/>
    <cellStyle name="Millares 4 2 6 2 3 3 2" xfId="6597" xr:uid="{73FAD175-3267-44DC-ACA5-C208F04DF302}"/>
    <cellStyle name="Millares 4 2 6 2 3 4" xfId="4673" xr:uid="{B2C18D6B-C188-493F-A6B2-5E64755D0D64}"/>
    <cellStyle name="Millares 4 2 6 2 4" xfId="1306" xr:uid="{A0746980-7D85-4649-85B7-5474D23D523A}"/>
    <cellStyle name="Millares 4 2 6 2 4 2" xfId="3230" xr:uid="{3D0977B9-FAF4-4D17-A416-920A1278040E}"/>
    <cellStyle name="Millares 4 2 6 2 4 2 2" xfId="7078" xr:uid="{49C0876D-0BEF-4C81-B48A-4444A4947638}"/>
    <cellStyle name="Millares 4 2 6 2 4 3" xfId="5154" xr:uid="{A3498E6D-10DA-4BA4-9181-B80B16421095}"/>
    <cellStyle name="Millares 4 2 6 2 5" xfId="2268" xr:uid="{F3B1EEEE-7442-45CF-8220-F75BCCD9E0BE}"/>
    <cellStyle name="Millares 4 2 6 2 5 2" xfId="6116" xr:uid="{A6ACC563-DB90-4A30-A62B-113FAA5419DC}"/>
    <cellStyle name="Millares 4 2 6 2 6" xfId="4192" xr:uid="{A5E9BB39-7B30-4F44-ABA9-66FE2B6DFB06}"/>
    <cellStyle name="Millares 4 2 6 3" xfId="452" xr:uid="{58E4666E-0C69-4A44-8DD7-B2447DC90B79}"/>
    <cellStyle name="Millares 4 2 6 3 2" xfId="933" xr:uid="{6E0F5499-DFE0-446E-AE56-2A11CF0538CC}"/>
    <cellStyle name="Millares 4 2 6 3 2 2" xfId="1895" xr:uid="{2738DB74-9755-4DBA-A75E-FC9DC65BF5F1}"/>
    <cellStyle name="Millares 4 2 6 3 2 2 2" xfId="3819" xr:uid="{24A97571-9155-4D49-ACF3-B6815D9743B8}"/>
    <cellStyle name="Millares 4 2 6 3 2 2 2 2" xfId="7667" xr:uid="{AEBDF984-4D5D-4FBA-914F-EAC416ED5F6D}"/>
    <cellStyle name="Millares 4 2 6 3 2 2 3" xfId="5743" xr:uid="{60FC9E7C-894E-4741-BDD3-DB77DC298EC9}"/>
    <cellStyle name="Millares 4 2 6 3 2 3" xfId="2857" xr:uid="{81B66783-8DA4-4BAD-897F-9B77D905A06E}"/>
    <cellStyle name="Millares 4 2 6 3 2 3 2" xfId="6705" xr:uid="{08859A2F-7A4D-4085-B4D2-F5A02DF53231}"/>
    <cellStyle name="Millares 4 2 6 3 2 4" xfId="4781" xr:uid="{D2CBBA8C-3437-4AFD-AE09-AC09B5138A40}"/>
    <cellStyle name="Millares 4 2 6 3 3" xfId="1414" xr:uid="{E1ED2657-7BE3-4E62-BB28-1C63DC166C91}"/>
    <cellStyle name="Millares 4 2 6 3 3 2" xfId="3338" xr:uid="{3AE10638-881B-4D76-AA8F-5C497A7B676E}"/>
    <cellStyle name="Millares 4 2 6 3 3 2 2" xfId="7186" xr:uid="{6F46548B-9403-485E-9D35-A7DB1D9D6EC7}"/>
    <cellStyle name="Millares 4 2 6 3 3 3" xfId="5262" xr:uid="{F15850F4-E934-4292-A873-A1796879E9F2}"/>
    <cellStyle name="Millares 4 2 6 3 4" xfId="2376" xr:uid="{B8BDE10B-11C7-4014-B9B3-3723BFD0CFE4}"/>
    <cellStyle name="Millares 4 2 6 3 4 2" xfId="6224" xr:uid="{649413DF-CD0B-443C-96CF-740CB67CD606}"/>
    <cellStyle name="Millares 4 2 6 3 5" xfId="4300" xr:uid="{56D122B5-A948-46F4-B689-03981C493166}"/>
    <cellStyle name="Millares 4 2 6 4" xfId="693" xr:uid="{2055A92A-F451-44B6-90F3-83E38F8B7356}"/>
    <cellStyle name="Millares 4 2 6 4 2" xfId="1655" xr:uid="{C9BA370E-09EF-4436-9D74-9D5F6D0B2A41}"/>
    <cellStyle name="Millares 4 2 6 4 2 2" xfId="3579" xr:uid="{7977EA03-8184-482D-B81A-6202A48B4337}"/>
    <cellStyle name="Millares 4 2 6 4 2 2 2" xfId="7427" xr:uid="{CC01EC07-0A28-4A68-8A84-E0802E9CAE8B}"/>
    <cellStyle name="Millares 4 2 6 4 2 3" xfId="5503" xr:uid="{2D7097EC-1D2E-4FA2-B0F8-67C48BFD18A9}"/>
    <cellStyle name="Millares 4 2 6 4 3" xfId="2617" xr:uid="{E943379F-77E4-4B19-866E-FA866E4ECD81}"/>
    <cellStyle name="Millares 4 2 6 4 3 2" xfId="6465" xr:uid="{A45407EA-44FF-4E05-8FEF-41122FB0C615}"/>
    <cellStyle name="Millares 4 2 6 4 4" xfId="4541" xr:uid="{CDB99895-7894-4806-93A3-36C664243A8F}"/>
    <cellStyle name="Millares 4 2 6 5" xfId="1174" xr:uid="{58623CAE-70F3-461D-9F4B-BE8B82EA53AE}"/>
    <cellStyle name="Millares 4 2 6 5 2" xfId="3098" xr:uid="{ABA8C968-6F4D-4B09-8DCD-AA8437EFDD89}"/>
    <cellStyle name="Millares 4 2 6 5 2 2" xfId="6946" xr:uid="{2178C0CF-5497-48CA-9BE6-BA2ACB26CE7D}"/>
    <cellStyle name="Millares 4 2 6 5 3" xfId="5022" xr:uid="{A2DD0278-0DB4-423A-AA8F-BFAD86028EA0}"/>
    <cellStyle name="Millares 4 2 6 6" xfId="2136" xr:uid="{09107D71-2D47-4AE9-869D-F20CD51129A4}"/>
    <cellStyle name="Millares 4 2 6 6 2" xfId="5984" xr:uid="{9C8E85E3-6123-4D46-BA76-12A72327B979}"/>
    <cellStyle name="Millares 4 2 6 7" xfId="4060" xr:uid="{D13E6C41-A699-461A-899A-6CB5DAB461D0}"/>
    <cellStyle name="Millares 4 2 7" xfId="266" xr:uid="{B28C23EC-B38F-422D-8ECD-542CB0F7F461}"/>
    <cellStyle name="Millares 4 2 7 2" xfId="518" xr:uid="{05EA9A40-172F-44D7-BA67-A39A474E8586}"/>
    <cellStyle name="Millares 4 2 7 2 2" xfId="999" xr:uid="{BE825B45-68BC-4899-BC0F-765A403517C5}"/>
    <cellStyle name="Millares 4 2 7 2 2 2" xfId="1961" xr:uid="{A008C1BF-ADA6-4844-85A1-A04478E1270F}"/>
    <cellStyle name="Millares 4 2 7 2 2 2 2" xfId="3885" xr:uid="{0F304B4D-7DEC-4249-91E5-8EE1785DA279}"/>
    <cellStyle name="Millares 4 2 7 2 2 2 2 2" xfId="7733" xr:uid="{C1EB8B9F-3D7D-48D2-840C-5E19805326AA}"/>
    <cellStyle name="Millares 4 2 7 2 2 2 3" xfId="5809" xr:uid="{0DDF0EF9-691F-4695-A2C1-BB8C2DD86AAE}"/>
    <cellStyle name="Millares 4 2 7 2 2 3" xfId="2923" xr:uid="{64B4006A-0F47-4AA9-8C08-D7B8258424BF}"/>
    <cellStyle name="Millares 4 2 7 2 2 3 2" xfId="6771" xr:uid="{ED12FF33-69D6-466F-B854-06C5A9EE8D96}"/>
    <cellStyle name="Millares 4 2 7 2 2 4" xfId="4847" xr:uid="{BFC8CEAB-BAF5-4304-834E-CB3BCC2DF0F2}"/>
    <cellStyle name="Millares 4 2 7 2 3" xfId="1480" xr:uid="{DF496A22-951A-4997-A2E6-EF383A5EE1B9}"/>
    <cellStyle name="Millares 4 2 7 2 3 2" xfId="3404" xr:uid="{4C51FD55-3C0B-4171-8080-E073D8D34E69}"/>
    <cellStyle name="Millares 4 2 7 2 3 2 2" xfId="7252" xr:uid="{E59E7127-1011-4EEB-A612-44051FF17691}"/>
    <cellStyle name="Millares 4 2 7 2 3 3" xfId="5328" xr:uid="{E7467CF9-F58A-4848-A989-037B06CB9164}"/>
    <cellStyle name="Millares 4 2 7 2 4" xfId="2442" xr:uid="{7F532616-BBFA-47C1-A50E-F9DC5414D15F}"/>
    <cellStyle name="Millares 4 2 7 2 4 2" xfId="6290" xr:uid="{D70EEB01-073B-4964-AD22-971ADECA96E6}"/>
    <cellStyle name="Millares 4 2 7 2 5" xfId="4366" xr:uid="{A21FE914-9871-4C41-AC4E-12E6723A1C9E}"/>
    <cellStyle name="Millares 4 2 7 3" xfId="759" xr:uid="{7AA5430E-C1DC-4A33-9950-7463A5F81DF1}"/>
    <cellStyle name="Millares 4 2 7 3 2" xfId="1721" xr:uid="{EA5C6675-B903-447B-B2A0-8CB1233FCB1D}"/>
    <cellStyle name="Millares 4 2 7 3 2 2" xfId="3645" xr:uid="{07DE9F15-6FC2-4631-8E29-E472D49B4742}"/>
    <cellStyle name="Millares 4 2 7 3 2 2 2" xfId="7493" xr:uid="{2D7A5C5B-7892-4FE0-BACE-CBC3763446F8}"/>
    <cellStyle name="Millares 4 2 7 3 2 3" xfId="5569" xr:uid="{24B7154D-6B64-4E25-A9F5-03D9EFDFE52E}"/>
    <cellStyle name="Millares 4 2 7 3 3" xfId="2683" xr:uid="{54EF64D9-9BF6-49D3-9E7E-C1E160E5338F}"/>
    <cellStyle name="Millares 4 2 7 3 3 2" xfId="6531" xr:uid="{6616142A-1051-4BB9-BB04-E515AC17A831}"/>
    <cellStyle name="Millares 4 2 7 3 4" xfId="4607" xr:uid="{3813D78B-AEDB-4E44-9592-3E54C6239B9D}"/>
    <cellStyle name="Millares 4 2 7 4" xfId="1240" xr:uid="{81327050-5BED-444F-B414-919AD5A2106C}"/>
    <cellStyle name="Millares 4 2 7 4 2" xfId="3164" xr:uid="{9682DE6A-D672-4F89-B87F-0E9114B8C05F}"/>
    <cellStyle name="Millares 4 2 7 4 2 2" xfId="7012" xr:uid="{A8F4DD46-DD08-4739-88E6-7F56B08110CE}"/>
    <cellStyle name="Millares 4 2 7 4 3" xfId="5088" xr:uid="{3A4E85F7-0827-48EA-97E6-FEE0210A554D}"/>
    <cellStyle name="Millares 4 2 7 5" xfId="2202" xr:uid="{80C47EA3-EEE9-42A4-87AA-AC372F9F49E1}"/>
    <cellStyle name="Millares 4 2 7 5 2" xfId="6050" xr:uid="{B094D327-C7E8-4B27-AFE6-E9C035D8CBB7}"/>
    <cellStyle name="Millares 4 2 7 6" xfId="4126" xr:uid="{F1042C7E-5812-4BBD-A4B5-644325A04E3D}"/>
    <cellStyle name="Millares 4 2 8" xfId="233" xr:uid="{7CB5A184-D453-4A0F-B852-0409032D2EE5}"/>
    <cellStyle name="Millares 4 2 8 2" xfId="485" xr:uid="{9075B01C-5D72-445E-B4BF-603650D96D79}"/>
    <cellStyle name="Millares 4 2 8 2 2" xfId="966" xr:uid="{21643627-1780-4846-8A0F-0C4CC09FEAC5}"/>
    <cellStyle name="Millares 4 2 8 2 2 2" xfId="1928" xr:uid="{7B608FDE-ACFC-4DC2-8E08-0AFEC092AFDB}"/>
    <cellStyle name="Millares 4 2 8 2 2 2 2" xfId="3852" xr:uid="{9C5E779C-46B0-4081-8D00-B84923C2EA46}"/>
    <cellStyle name="Millares 4 2 8 2 2 2 2 2" xfId="7700" xr:uid="{FC25F861-5797-4296-B0FC-9FEC714B6C6D}"/>
    <cellStyle name="Millares 4 2 8 2 2 2 3" xfId="5776" xr:uid="{F8D6692E-F894-4E23-9D76-F5DC6D7C4B4D}"/>
    <cellStyle name="Millares 4 2 8 2 2 3" xfId="2890" xr:uid="{8F04E2B3-58B9-43AC-A5AB-60D3A41DBDAC}"/>
    <cellStyle name="Millares 4 2 8 2 2 3 2" xfId="6738" xr:uid="{C3CB600F-DEF3-4794-981B-B981E767EF41}"/>
    <cellStyle name="Millares 4 2 8 2 2 4" xfId="4814" xr:uid="{6F54D20A-B7D9-424C-B939-9F19BED8142F}"/>
    <cellStyle name="Millares 4 2 8 2 3" xfId="1447" xr:uid="{14493E2F-51D3-4B21-A782-747F8C4978CD}"/>
    <cellStyle name="Millares 4 2 8 2 3 2" xfId="3371" xr:uid="{3D680E1E-0A09-4357-B0C1-A41B85FEEF46}"/>
    <cellStyle name="Millares 4 2 8 2 3 2 2" xfId="7219" xr:uid="{25813C48-BC07-4F8F-A284-FC1CD69553FA}"/>
    <cellStyle name="Millares 4 2 8 2 3 3" xfId="5295" xr:uid="{28B52165-7938-44B1-92A5-1087224F34D1}"/>
    <cellStyle name="Millares 4 2 8 2 4" xfId="2409" xr:uid="{02F7C443-4019-4996-95CE-919C16A2B13A}"/>
    <cellStyle name="Millares 4 2 8 2 4 2" xfId="6257" xr:uid="{699282AB-2A3D-43C7-9408-A19AF94B55B0}"/>
    <cellStyle name="Millares 4 2 8 2 5" xfId="4333" xr:uid="{23EAEDED-95B0-4B60-A450-7516F8969F98}"/>
    <cellStyle name="Millares 4 2 8 3" xfId="726" xr:uid="{261DCFE3-D92B-4AF1-A99F-3673DBAABA60}"/>
    <cellStyle name="Millares 4 2 8 3 2" xfId="1688" xr:uid="{6FF70635-9C42-4D33-8AAF-FDEE18A67168}"/>
    <cellStyle name="Millares 4 2 8 3 2 2" xfId="3612" xr:uid="{B5D25392-4437-480D-BAFC-54E60C50280D}"/>
    <cellStyle name="Millares 4 2 8 3 2 2 2" xfId="7460" xr:uid="{2B2E47A1-08E6-4CF9-993E-9E6C64400459}"/>
    <cellStyle name="Millares 4 2 8 3 2 3" xfId="5536" xr:uid="{0A3E76FF-2C05-4324-B320-398E73E2E934}"/>
    <cellStyle name="Millares 4 2 8 3 3" xfId="2650" xr:uid="{E1EF46AD-FD88-41B5-89D4-01AC6D3AB924}"/>
    <cellStyle name="Millares 4 2 8 3 3 2" xfId="6498" xr:uid="{BFD7B1AC-B7EB-482D-BF9B-25909E5C3C7F}"/>
    <cellStyle name="Millares 4 2 8 3 4" xfId="4574" xr:uid="{104597B8-88F1-4BB8-BA70-FBD75960767A}"/>
    <cellStyle name="Millares 4 2 8 4" xfId="1207" xr:uid="{81F49A85-F141-400D-92DC-69CE6D2A5292}"/>
    <cellStyle name="Millares 4 2 8 4 2" xfId="3131" xr:uid="{EBB25F99-E0D6-4192-87C5-EB1C3719A9F7}"/>
    <cellStyle name="Millares 4 2 8 4 2 2" xfId="6979" xr:uid="{C2EF48E2-A27E-4615-A210-6CF3405120B5}"/>
    <cellStyle name="Millares 4 2 8 4 3" xfId="5055" xr:uid="{0263C1A9-AC8E-4E5B-8A6F-9B8B92A6670C}"/>
    <cellStyle name="Millares 4 2 8 5" xfId="2169" xr:uid="{A8938F3A-D0D2-4118-9DD5-2626632D4474}"/>
    <cellStyle name="Millares 4 2 8 5 2" xfId="6017" xr:uid="{629DA9A3-AEC1-4131-B94A-272138BC3E18}"/>
    <cellStyle name="Millares 4 2 8 6" xfId="4093" xr:uid="{DA34E0AD-3404-45F4-A012-E2E0D1C2287E}"/>
    <cellStyle name="Millares 4 2 9" xfId="386" xr:uid="{3B69D606-10DF-450D-A85C-74263ADD1A8B}"/>
    <cellStyle name="Millares 4 2 9 2" xfId="867" xr:uid="{5DF96B10-6697-43D9-B7D7-E93CFF7C45FE}"/>
    <cellStyle name="Millares 4 2 9 2 2" xfId="1829" xr:uid="{8AFE7610-0C6E-4004-B33B-23B8268C8520}"/>
    <cellStyle name="Millares 4 2 9 2 2 2" xfId="3753" xr:uid="{7C6DEF09-C240-4A4A-A697-8EEC66A78624}"/>
    <cellStyle name="Millares 4 2 9 2 2 2 2" xfId="7601" xr:uid="{9E9E44AE-6D66-4ACF-99B6-7B392186E318}"/>
    <cellStyle name="Millares 4 2 9 2 2 3" xfId="5677" xr:uid="{CB94CBA8-7BD6-4F9A-9169-47810417CB8D}"/>
    <cellStyle name="Millares 4 2 9 2 3" xfId="2791" xr:uid="{1CAA79FC-987D-4360-B98D-DD4006DAAA44}"/>
    <cellStyle name="Millares 4 2 9 2 3 2" xfId="6639" xr:uid="{F3220028-8254-4141-ABA8-5987656AD86A}"/>
    <cellStyle name="Millares 4 2 9 2 4" xfId="4715" xr:uid="{6A01C630-8291-43B7-BDA1-8C087992E269}"/>
    <cellStyle name="Millares 4 2 9 3" xfId="1348" xr:uid="{59F9EE8C-3223-422F-95C6-A3A0D40B76A3}"/>
    <cellStyle name="Millares 4 2 9 3 2" xfId="3272" xr:uid="{A246077A-00E6-4A99-8206-C29E65627D71}"/>
    <cellStyle name="Millares 4 2 9 3 2 2" xfId="7120" xr:uid="{DC338AA9-EF7A-4727-8B9A-8D6021742CBA}"/>
    <cellStyle name="Millares 4 2 9 3 3" xfId="5196" xr:uid="{750B724B-DAB4-44DC-8AE4-D91D84238E93}"/>
    <cellStyle name="Millares 4 2 9 4" xfId="2310" xr:uid="{BA0D4B74-96FE-48D4-88E8-715ABEC2B32B}"/>
    <cellStyle name="Millares 4 2 9 4 2" xfId="6158" xr:uid="{BF6DFFEF-56DE-4C96-BB8F-A6D9E3CB4535}"/>
    <cellStyle name="Millares 4 2 9 5" xfId="4234" xr:uid="{265548B4-78A5-4578-9C81-025F35745A4D}"/>
    <cellStyle name="Millares 4 3" xfId="120" xr:uid="{738476AA-56C1-4DA4-AF2A-CA08C60C7956}"/>
    <cellStyle name="Millares 4 3 10" xfId="3996" xr:uid="{3CA2B981-8278-4430-9316-B91EED5B3EA8}"/>
    <cellStyle name="Millares 4 3 11" xfId="7872" xr:uid="{7329D754-D56F-4AD8-8674-0CB7D8408F4A}"/>
    <cellStyle name="Millares 4 3 2" xfId="180" xr:uid="{6D7AF785-18B7-4335-9A01-8D77ED032580}"/>
    <cellStyle name="Millares 4 3 2 2" xfId="315" xr:uid="{98AA8165-5752-453F-A21B-DD19120308CC}"/>
    <cellStyle name="Millares 4 3 2 2 2" xfId="566" xr:uid="{401E474C-F8A8-4D71-8E08-9000D46CFF95}"/>
    <cellStyle name="Millares 4 3 2 2 2 2" xfId="1047" xr:uid="{8A31E693-11A0-4191-9CDF-48A99C871AF2}"/>
    <cellStyle name="Millares 4 3 2 2 2 2 2" xfId="2009" xr:uid="{13071B4A-EF3A-4498-8CEC-9FACA8992E2F}"/>
    <cellStyle name="Millares 4 3 2 2 2 2 2 2" xfId="3933" xr:uid="{BF729031-F1AE-48EA-8D63-CD0C06883D4E}"/>
    <cellStyle name="Millares 4 3 2 2 2 2 2 2 2" xfId="7781" xr:uid="{202B42D3-EF4D-4C19-B255-F439926A7673}"/>
    <cellStyle name="Millares 4 3 2 2 2 2 2 3" xfId="5857" xr:uid="{C46F9B42-FC62-4C18-A226-36B46EE98F2B}"/>
    <cellStyle name="Millares 4 3 2 2 2 2 3" xfId="2971" xr:uid="{31E8717C-F0BB-4579-B914-1145F0ACE2A8}"/>
    <cellStyle name="Millares 4 3 2 2 2 2 3 2" xfId="6819" xr:uid="{97FBD2CD-EC1A-4B13-8D5A-6827D2354637}"/>
    <cellStyle name="Millares 4 3 2 2 2 2 4" xfId="4895" xr:uid="{5332160C-E927-4E35-96C4-C7E01DB2D0A0}"/>
    <cellStyle name="Millares 4 3 2 2 2 3" xfId="1528" xr:uid="{D96D8C78-92D4-445E-80F8-2CB06C153B16}"/>
    <cellStyle name="Millares 4 3 2 2 2 3 2" xfId="3452" xr:uid="{07B0D1D7-2778-414C-BD97-CA37E03CFEA3}"/>
    <cellStyle name="Millares 4 3 2 2 2 3 2 2" xfId="7300" xr:uid="{D8C0320D-53C7-47E4-BFE3-84D408440A7A}"/>
    <cellStyle name="Millares 4 3 2 2 2 3 3" xfId="5376" xr:uid="{012249F6-4B9C-427D-9A33-93697E10033F}"/>
    <cellStyle name="Millares 4 3 2 2 2 4" xfId="2490" xr:uid="{F17F58B2-8B40-407A-A358-4824305F5ECD}"/>
    <cellStyle name="Millares 4 3 2 2 2 4 2" xfId="6338" xr:uid="{74A9CD12-D150-412D-BC72-7B7BA9B0E880}"/>
    <cellStyle name="Millares 4 3 2 2 2 5" xfId="4414" xr:uid="{513C565B-0E85-46A1-BE18-74BAEC2EB209}"/>
    <cellStyle name="Millares 4 3 2 2 3" xfId="807" xr:uid="{3521E01D-8111-455D-8965-39C6E46EF560}"/>
    <cellStyle name="Millares 4 3 2 2 3 2" xfId="1769" xr:uid="{F443D2E5-AC93-4B0F-A77E-6E1F573F211B}"/>
    <cellStyle name="Millares 4 3 2 2 3 2 2" xfId="3693" xr:uid="{E67DF61F-4C47-40E5-A84D-CB4FC466D761}"/>
    <cellStyle name="Millares 4 3 2 2 3 2 2 2" xfId="7541" xr:uid="{18023C83-F961-4577-B030-AE63A370C0BF}"/>
    <cellStyle name="Millares 4 3 2 2 3 2 3" xfId="5617" xr:uid="{939BA175-7943-4EB9-8354-0933BDBE9FBE}"/>
    <cellStyle name="Millares 4 3 2 2 3 3" xfId="2731" xr:uid="{EF89E8DC-B7DF-4C4E-AB4C-BE53ABA95B14}"/>
    <cellStyle name="Millares 4 3 2 2 3 3 2" xfId="6579" xr:uid="{3365645C-447E-42E4-BD9F-E551E0436429}"/>
    <cellStyle name="Millares 4 3 2 2 3 4" xfId="4655" xr:uid="{AAAF3AE3-93F8-43F0-B7BE-B409402061E0}"/>
    <cellStyle name="Millares 4 3 2 2 4" xfId="1288" xr:uid="{DC848BBA-B1EC-45F9-9866-08681EA86615}"/>
    <cellStyle name="Millares 4 3 2 2 4 2" xfId="3212" xr:uid="{8CDF1BB9-212B-4351-B4D6-1B048613EF37}"/>
    <cellStyle name="Millares 4 3 2 2 4 2 2" xfId="7060" xr:uid="{12361C6B-F836-4940-AB79-8522252DD3E1}"/>
    <cellStyle name="Millares 4 3 2 2 4 3" xfId="5136" xr:uid="{26AE5426-43A1-426F-B777-AEF1E8745DD9}"/>
    <cellStyle name="Millares 4 3 2 2 5" xfId="2250" xr:uid="{DD14B851-36D7-4543-9382-104ED546FF84}"/>
    <cellStyle name="Millares 4 3 2 2 5 2" xfId="6098" xr:uid="{63A0289E-97A7-4594-85EB-9FAEC2184C3B}"/>
    <cellStyle name="Millares 4 3 2 2 6" xfId="4174" xr:uid="{9D688148-A94A-45F7-A320-16E0122FF4CF}"/>
    <cellStyle name="Millares 4 3 2 3" xfId="434" xr:uid="{18DC63DC-7DE9-462B-B7D1-2991E9F47616}"/>
    <cellStyle name="Millares 4 3 2 3 2" xfId="915" xr:uid="{847DCB0F-C38E-498E-BFFF-7C1D33160CBC}"/>
    <cellStyle name="Millares 4 3 2 3 2 2" xfId="1877" xr:uid="{5C2FB7D5-E3A7-4D87-9FB7-CF516BE79AAC}"/>
    <cellStyle name="Millares 4 3 2 3 2 2 2" xfId="3801" xr:uid="{813BC050-B51A-4D9C-8D2F-21DAC1C9E3C9}"/>
    <cellStyle name="Millares 4 3 2 3 2 2 2 2" xfId="7649" xr:uid="{7E1E1FC0-CA72-4841-956E-5C0E5E4918EB}"/>
    <cellStyle name="Millares 4 3 2 3 2 2 3" xfId="5725" xr:uid="{5A285782-5EC5-4890-92DA-5E11B95A4029}"/>
    <cellStyle name="Millares 4 3 2 3 2 3" xfId="2839" xr:uid="{664A2F2B-D4CA-4401-8387-A04620728761}"/>
    <cellStyle name="Millares 4 3 2 3 2 3 2" xfId="6687" xr:uid="{4E2F948F-7299-4085-9134-A91E436D8407}"/>
    <cellStyle name="Millares 4 3 2 3 2 4" xfId="4763" xr:uid="{0B1A8AB8-A8B6-4723-9ECB-2DB9C1455504}"/>
    <cellStyle name="Millares 4 3 2 3 3" xfId="1396" xr:uid="{7854467B-A62B-4752-88A1-3231D3A589A1}"/>
    <cellStyle name="Millares 4 3 2 3 3 2" xfId="3320" xr:uid="{83C06E65-44E8-4310-B11A-E8BBDA7B3080}"/>
    <cellStyle name="Millares 4 3 2 3 3 2 2" xfId="7168" xr:uid="{ECB1B281-28A7-469A-947D-C70100730BA9}"/>
    <cellStyle name="Millares 4 3 2 3 3 3" xfId="5244" xr:uid="{9F619D76-84CD-434F-8404-D366FC3CCC02}"/>
    <cellStyle name="Millares 4 3 2 3 4" xfId="2358" xr:uid="{BB5FB867-1851-4D76-9A06-719EEC919FBF}"/>
    <cellStyle name="Millares 4 3 2 3 4 2" xfId="6206" xr:uid="{0F4EDE1E-5C6F-4314-9ED5-D6ECA92FC7BB}"/>
    <cellStyle name="Millares 4 3 2 3 5" xfId="4282" xr:uid="{00A98735-6CF2-4DD4-A3C0-B35EBE1833E2}"/>
    <cellStyle name="Millares 4 3 2 4" xfId="675" xr:uid="{941D6AF1-752F-4611-BE72-B879C3DC95FB}"/>
    <cellStyle name="Millares 4 3 2 4 2" xfId="1637" xr:uid="{1EF546B9-3303-417E-9A64-9550C1EC417F}"/>
    <cellStyle name="Millares 4 3 2 4 2 2" xfId="3561" xr:uid="{233FE716-7769-491F-AB4D-3167DC8AC8F8}"/>
    <cellStyle name="Millares 4 3 2 4 2 2 2" xfId="7409" xr:uid="{4C2C2316-733F-42D1-8854-3291A3AF3356}"/>
    <cellStyle name="Millares 4 3 2 4 2 3" xfId="5485" xr:uid="{CDD56E6A-501D-4890-B6FF-E5043F13FFAB}"/>
    <cellStyle name="Millares 4 3 2 4 3" xfId="2599" xr:uid="{4C14C0C0-BA67-4BC8-BD3E-87EABE126885}"/>
    <cellStyle name="Millares 4 3 2 4 3 2" xfId="6447" xr:uid="{E00B8D0B-644B-4893-A560-6BD81C07F04B}"/>
    <cellStyle name="Millares 4 3 2 4 4" xfId="4523" xr:uid="{A55432E3-A6D8-4CD5-9596-BF64A1F79746}"/>
    <cellStyle name="Millares 4 3 2 5" xfId="1156" xr:uid="{018742FC-2F3C-4F06-B9A5-F0284F850752}"/>
    <cellStyle name="Millares 4 3 2 5 2" xfId="3080" xr:uid="{272AC715-AEC9-4442-A544-33D80EC4884F}"/>
    <cellStyle name="Millares 4 3 2 5 2 2" xfId="6928" xr:uid="{76DD1057-A041-412E-BDB7-3160D110CD1E}"/>
    <cellStyle name="Millares 4 3 2 5 3" xfId="5004" xr:uid="{0111CABA-E6DA-4273-BA01-635C811FD0D3}"/>
    <cellStyle name="Millares 4 3 2 6" xfId="2118" xr:uid="{BE3ABBFD-D83D-491F-87EC-901EFF4A1316}"/>
    <cellStyle name="Millares 4 3 2 6 2" xfId="5966" xr:uid="{D3F2E9F8-427B-4882-A0C1-3413757EBEEC}"/>
    <cellStyle name="Millares 4 3 2 7" xfId="4042" xr:uid="{760B13DC-1841-42DE-B17B-8FAD0775E423}"/>
    <cellStyle name="Millares 4 3 2 8" xfId="7950" xr:uid="{DD25A9D4-767F-4C7F-B9FC-44419E004C2D}"/>
    <cellStyle name="Millares 4 3 3" xfId="214" xr:uid="{3732EB7A-D4F7-435F-8A75-435B239D1DC2}"/>
    <cellStyle name="Millares 4 3 3 2" xfId="348" xr:uid="{62BDF654-2968-43BD-AA71-92B240E03E0E}"/>
    <cellStyle name="Millares 4 3 3 2 2" xfId="599" xr:uid="{35A26F9E-4730-4A11-A2EC-0BA1A2B1F7B4}"/>
    <cellStyle name="Millares 4 3 3 2 2 2" xfId="1080" xr:uid="{CE99F24B-05FD-4DF0-ADF6-5953B2148049}"/>
    <cellStyle name="Millares 4 3 3 2 2 2 2" xfId="2042" xr:uid="{9EA59275-4DC8-4968-8309-460A65F2AF3D}"/>
    <cellStyle name="Millares 4 3 3 2 2 2 2 2" xfId="3966" xr:uid="{F1B5105E-3FBD-48B9-9C94-6AAB7364A5EE}"/>
    <cellStyle name="Millares 4 3 3 2 2 2 2 2 2" xfId="7814" xr:uid="{384CA086-E209-479F-9863-84D169AD5B57}"/>
    <cellStyle name="Millares 4 3 3 2 2 2 2 3" xfId="5890" xr:uid="{8804B43C-4B7C-48EF-A36F-BFCBB77E5A27}"/>
    <cellStyle name="Millares 4 3 3 2 2 2 3" xfId="3004" xr:uid="{8B39547B-08CB-4DCA-B630-8761F161E3B9}"/>
    <cellStyle name="Millares 4 3 3 2 2 2 3 2" xfId="6852" xr:uid="{3373ABFE-41E3-4E51-9F38-AB8D48036D35}"/>
    <cellStyle name="Millares 4 3 3 2 2 2 4" xfId="4928" xr:uid="{FD3F4498-4C2A-4670-8089-4A1CDEAF920B}"/>
    <cellStyle name="Millares 4 3 3 2 2 3" xfId="1561" xr:uid="{1B56EDA7-6D72-4EF1-9BB8-14E7B7C159BC}"/>
    <cellStyle name="Millares 4 3 3 2 2 3 2" xfId="3485" xr:uid="{B7665D3A-CD59-4F05-B3B6-7561CF464D6C}"/>
    <cellStyle name="Millares 4 3 3 2 2 3 2 2" xfId="7333" xr:uid="{711B81AC-B2E9-4141-B352-EF6581FA45C9}"/>
    <cellStyle name="Millares 4 3 3 2 2 3 3" xfId="5409" xr:uid="{BAD86BBF-07CF-4938-B8F7-F7C4DE3150AD}"/>
    <cellStyle name="Millares 4 3 3 2 2 4" xfId="2523" xr:uid="{6440B22D-4A5F-41E9-B1C0-DBD3354E8B29}"/>
    <cellStyle name="Millares 4 3 3 2 2 4 2" xfId="6371" xr:uid="{60AC4CE4-ABEE-4BDD-AA22-81CEB6C62918}"/>
    <cellStyle name="Millares 4 3 3 2 2 5" xfId="4447" xr:uid="{5AAE79E0-7377-4F06-99E3-9068B7D7BFD4}"/>
    <cellStyle name="Millares 4 3 3 2 3" xfId="840" xr:uid="{148AFB95-25A1-4708-B11F-CCA926C4DB15}"/>
    <cellStyle name="Millares 4 3 3 2 3 2" xfId="1802" xr:uid="{60AF238C-7411-4B9B-9AEC-22D077138D96}"/>
    <cellStyle name="Millares 4 3 3 2 3 2 2" xfId="3726" xr:uid="{C5008A18-4D93-449C-B3E7-BEB194D87BB3}"/>
    <cellStyle name="Millares 4 3 3 2 3 2 2 2" xfId="7574" xr:uid="{E2596FD1-0966-4E33-A23D-35C414EF526F}"/>
    <cellStyle name="Millares 4 3 3 2 3 2 3" xfId="5650" xr:uid="{B75E81B5-D16F-4056-B145-EF51FE7198A3}"/>
    <cellStyle name="Millares 4 3 3 2 3 3" xfId="2764" xr:uid="{30D4B8F7-BC33-402A-B3D4-929EBF744591}"/>
    <cellStyle name="Millares 4 3 3 2 3 3 2" xfId="6612" xr:uid="{57B6CB67-C308-423D-926C-C3FBC5D6372B}"/>
    <cellStyle name="Millares 4 3 3 2 3 4" xfId="4688" xr:uid="{C0FB5072-2E38-419F-8E6B-710419EA31E2}"/>
    <cellStyle name="Millares 4 3 3 2 4" xfId="1321" xr:uid="{0B983351-128A-4567-8744-41C17811E60A}"/>
    <cellStyle name="Millares 4 3 3 2 4 2" xfId="3245" xr:uid="{A68243D6-D5DC-41DD-832F-8733BA3EE15B}"/>
    <cellStyle name="Millares 4 3 3 2 4 2 2" xfId="7093" xr:uid="{F791A29E-0B97-40B6-9FFA-E36238EBCB7D}"/>
    <cellStyle name="Millares 4 3 3 2 4 3" xfId="5169" xr:uid="{571DCA7B-AD95-4A7A-9993-B315453C120E}"/>
    <cellStyle name="Millares 4 3 3 2 5" xfId="2283" xr:uid="{19B92EEA-7C56-445B-9ECB-FB5814E5EA27}"/>
    <cellStyle name="Millares 4 3 3 2 5 2" xfId="6131" xr:uid="{C6806016-07D5-4509-B87C-E57EDB4ACFBD}"/>
    <cellStyle name="Millares 4 3 3 2 6" xfId="4207" xr:uid="{54F0C4BA-39AC-4B91-B747-827ED390D834}"/>
    <cellStyle name="Millares 4 3 3 3" xfId="467" xr:uid="{EEF29CB0-C3DB-4096-B4CB-ADCA10766C61}"/>
    <cellStyle name="Millares 4 3 3 3 2" xfId="948" xr:uid="{DEC1E4DE-77EB-4179-AD6C-525A1AEBD44C}"/>
    <cellStyle name="Millares 4 3 3 3 2 2" xfId="1910" xr:uid="{99E7F19C-DE7F-44F1-858A-8AA45A37BEBC}"/>
    <cellStyle name="Millares 4 3 3 3 2 2 2" xfId="3834" xr:uid="{09437CF1-63FB-42C5-A540-0305848BF980}"/>
    <cellStyle name="Millares 4 3 3 3 2 2 2 2" xfId="7682" xr:uid="{1FEFFF09-33D6-44DC-9092-E2DA2A464C26}"/>
    <cellStyle name="Millares 4 3 3 3 2 2 3" xfId="5758" xr:uid="{A07E5497-DC17-43A9-8B3F-3CD74AEF2CF0}"/>
    <cellStyle name="Millares 4 3 3 3 2 3" xfId="2872" xr:uid="{F1EAE55D-CE86-461D-A992-3A78CE180B5E}"/>
    <cellStyle name="Millares 4 3 3 3 2 3 2" xfId="6720" xr:uid="{8C2E99ED-E245-4DC3-A465-5EF2D84C2FD4}"/>
    <cellStyle name="Millares 4 3 3 3 2 4" xfId="4796" xr:uid="{2E1733CB-368C-40CC-A912-47725E0F4EB3}"/>
    <cellStyle name="Millares 4 3 3 3 3" xfId="1429" xr:uid="{3A6A5D6D-B20F-4F5C-929F-2B25DEA6FA86}"/>
    <cellStyle name="Millares 4 3 3 3 3 2" xfId="3353" xr:uid="{4AEC65CC-E9E1-45B5-A662-EE2F842070DC}"/>
    <cellStyle name="Millares 4 3 3 3 3 2 2" xfId="7201" xr:uid="{43954950-74FF-4BB9-8EAC-C51CD3F58A44}"/>
    <cellStyle name="Millares 4 3 3 3 3 3" xfId="5277" xr:uid="{C271C6C8-BB1B-4FDF-9F2A-6026ABE0D096}"/>
    <cellStyle name="Millares 4 3 3 3 4" xfId="2391" xr:uid="{E3A088E1-AC02-442E-85BB-B6C66EF1A8CB}"/>
    <cellStyle name="Millares 4 3 3 3 4 2" xfId="6239" xr:uid="{7ABB8FCD-DCCA-4896-93E4-ABCC044A578C}"/>
    <cellStyle name="Millares 4 3 3 3 5" xfId="4315" xr:uid="{457D0EB3-2EFE-4F23-966B-43A866F89BFC}"/>
    <cellStyle name="Millares 4 3 3 4" xfId="708" xr:uid="{B071715E-28CE-4130-AB0A-D48E31EFB4AC}"/>
    <cellStyle name="Millares 4 3 3 4 2" xfId="1670" xr:uid="{2B292A60-4760-4A18-8073-6105371C1874}"/>
    <cellStyle name="Millares 4 3 3 4 2 2" xfId="3594" xr:uid="{EE2700E3-765B-4ABD-AC8C-FC0AB534EDF4}"/>
    <cellStyle name="Millares 4 3 3 4 2 2 2" xfId="7442" xr:uid="{1E90C67E-C4DD-486C-914F-90F99877686A}"/>
    <cellStyle name="Millares 4 3 3 4 2 3" xfId="5518" xr:uid="{8ED14B9D-F810-4E09-801C-F9DB821031A4}"/>
    <cellStyle name="Millares 4 3 3 4 3" xfId="2632" xr:uid="{FC375137-BC32-46CC-95D2-A725AF0339A9}"/>
    <cellStyle name="Millares 4 3 3 4 3 2" xfId="6480" xr:uid="{AB434B79-B947-46C5-830E-1077FF110E2A}"/>
    <cellStyle name="Millares 4 3 3 4 4" xfId="4556" xr:uid="{5726A786-A0B6-4964-8634-6D35FEA9F309}"/>
    <cellStyle name="Millares 4 3 3 5" xfId="1189" xr:uid="{7D9F3113-07EE-4A7C-8C0B-495072FE2F35}"/>
    <cellStyle name="Millares 4 3 3 5 2" xfId="3113" xr:uid="{4D9A4714-2337-4336-A504-470E73369CA7}"/>
    <cellStyle name="Millares 4 3 3 5 2 2" xfId="6961" xr:uid="{2C4A06BA-15D9-4974-8F25-76F2DECE97DF}"/>
    <cellStyle name="Millares 4 3 3 5 3" xfId="5037" xr:uid="{FC6B2167-E44E-4DB0-84DF-065CE080DC39}"/>
    <cellStyle name="Millares 4 3 3 6" xfId="2151" xr:uid="{F868B52D-9288-442E-91E7-EAC897ECB570}"/>
    <cellStyle name="Millares 4 3 3 6 2" xfId="5999" xr:uid="{E63A3E81-6485-43A3-B277-E6A4616D8113}"/>
    <cellStyle name="Millares 4 3 3 7" xfId="4075" xr:uid="{C02290F3-9FE5-489D-BA9D-CB7393A63A56}"/>
    <cellStyle name="Millares 4 3 4" xfId="268" xr:uid="{B4412290-E134-4858-AE78-48D07B6D110C}"/>
    <cellStyle name="Millares 4 3 4 2" xfId="520" xr:uid="{175EEFC3-B8D9-44F5-9039-B4F024C08578}"/>
    <cellStyle name="Millares 4 3 4 2 2" xfId="1001" xr:uid="{7A6F1A82-1494-44EA-8DC0-9C51544C5A5A}"/>
    <cellStyle name="Millares 4 3 4 2 2 2" xfId="1963" xr:uid="{C09D629B-B9F4-49F0-8E95-12E90A2EEA08}"/>
    <cellStyle name="Millares 4 3 4 2 2 2 2" xfId="3887" xr:uid="{3D7C2CD8-07BB-4D83-8B15-F4E0FA9FFFF0}"/>
    <cellStyle name="Millares 4 3 4 2 2 2 2 2" xfId="7735" xr:uid="{A1F1ABF6-A39C-4B3E-9A2E-471568303743}"/>
    <cellStyle name="Millares 4 3 4 2 2 2 3" xfId="5811" xr:uid="{4FD33429-3128-4F14-97B5-6D633C53E13A}"/>
    <cellStyle name="Millares 4 3 4 2 2 3" xfId="2925" xr:uid="{B84E14DA-9FE2-4F17-A231-E0AEB5E93EA8}"/>
    <cellStyle name="Millares 4 3 4 2 2 3 2" xfId="6773" xr:uid="{C64EF193-64BE-4D4E-8226-73C79F46A585}"/>
    <cellStyle name="Millares 4 3 4 2 2 4" xfId="4849" xr:uid="{5289F7AC-F9E1-4B77-AC08-FE9D34307F82}"/>
    <cellStyle name="Millares 4 3 4 2 3" xfId="1482" xr:uid="{113FA800-964F-413E-B5FF-789D1296B351}"/>
    <cellStyle name="Millares 4 3 4 2 3 2" xfId="3406" xr:uid="{43E4ACEE-8D9B-4EBD-8846-5DDE4181DC74}"/>
    <cellStyle name="Millares 4 3 4 2 3 2 2" xfId="7254" xr:uid="{C348BBD9-167B-4AC1-8DE5-CC632FE9F936}"/>
    <cellStyle name="Millares 4 3 4 2 3 3" xfId="5330" xr:uid="{868266D9-47FA-4413-8564-8B59DEFACBA2}"/>
    <cellStyle name="Millares 4 3 4 2 4" xfId="2444" xr:uid="{FAB5A2E4-D9E7-4255-AC97-894F991D8D3A}"/>
    <cellStyle name="Millares 4 3 4 2 4 2" xfId="6292" xr:uid="{779A06FC-E9AB-49C6-8A46-B275B10C989F}"/>
    <cellStyle name="Millares 4 3 4 2 5" xfId="4368" xr:uid="{A38C9B33-51B3-4EE3-8C44-E0CE6FA8D2CB}"/>
    <cellStyle name="Millares 4 3 4 3" xfId="761" xr:uid="{0355F8D8-E2D5-4D0B-8983-F557458212CA}"/>
    <cellStyle name="Millares 4 3 4 3 2" xfId="1723" xr:uid="{05814073-7D8C-434A-98F1-687653F4AD3C}"/>
    <cellStyle name="Millares 4 3 4 3 2 2" xfId="3647" xr:uid="{DF7E7B7A-308C-4187-9992-6ED2F5AC2F00}"/>
    <cellStyle name="Millares 4 3 4 3 2 2 2" xfId="7495" xr:uid="{AFE73660-A9B7-4F12-9A60-B72EF90452E2}"/>
    <cellStyle name="Millares 4 3 4 3 2 3" xfId="5571" xr:uid="{6F16D19A-C156-4701-AB8C-52E74222C994}"/>
    <cellStyle name="Millares 4 3 4 3 3" xfId="2685" xr:uid="{9EC737DA-4DBC-44E1-9F37-8EBF27078688}"/>
    <cellStyle name="Millares 4 3 4 3 3 2" xfId="6533" xr:uid="{AB1C922D-FCEC-41E3-B1F9-0576CA322685}"/>
    <cellStyle name="Millares 4 3 4 3 4" xfId="4609" xr:uid="{E752C1C6-EAC1-484A-AFB6-2B4F21341662}"/>
    <cellStyle name="Millares 4 3 4 4" xfId="1242" xr:uid="{A06B43E3-D947-4272-92B0-237BB474D48B}"/>
    <cellStyle name="Millares 4 3 4 4 2" xfId="3166" xr:uid="{276C5F14-761F-4428-9F83-261E17918767}"/>
    <cellStyle name="Millares 4 3 4 4 2 2" xfId="7014" xr:uid="{5C2960B9-3A6C-446B-A57A-DBEBB12E6B1F}"/>
    <cellStyle name="Millares 4 3 4 4 3" xfId="5090" xr:uid="{AF01CE50-7AE6-44E1-B902-5945D795D4D7}"/>
    <cellStyle name="Millares 4 3 4 5" xfId="2204" xr:uid="{EDA5F7B0-C09E-43DD-B1C2-EBD3FD99BF8E}"/>
    <cellStyle name="Millares 4 3 4 5 2" xfId="6052" xr:uid="{2DDB6F68-E2FD-4C32-9EE9-8EE62FAED0F7}"/>
    <cellStyle name="Millares 4 3 4 6" xfId="4128" xr:uid="{8A828EB9-C4FF-4744-9219-76749E93718B}"/>
    <cellStyle name="Millares 4 3 5" xfId="248" xr:uid="{165C0DF5-12F4-4F9C-8702-478C0312ED6F}"/>
    <cellStyle name="Millares 4 3 5 2" xfId="500" xr:uid="{5B0B097C-1A7E-4F43-996F-5E5D71892CD3}"/>
    <cellStyle name="Millares 4 3 5 2 2" xfId="981" xr:uid="{D3B54DCD-4072-4D0B-8C50-FBD7A2B28A0E}"/>
    <cellStyle name="Millares 4 3 5 2 2 2" xfId="1943" xr:uid="{389E1C02-4C2F-445B-B762-D41CCD5CCFDC}"/>
    <cellStyle name="Millares 4 3 5 2 2 2 2" xfId="3867" xr:uid="{31E478B5-D576-41AF-B807-F3615BF817A9}"/>
    <cellStyle name="Millares 4 3 5 2 2 2 2 2" xfId="7715" xr:uid="{B9FF98AA-42D5-49A0-AF51-93BE7EE0D236}"/>
    <cellStyle name="Millares 4 3 5 2 2 2 3" xfId="5791" xr:uid="{E42336F4-1F5E-4122-B0A0-B92DCE104E88}"/>
    <cellStyle name="Millares 4 3 5 2 2 3" xfId="2905" xr:uid="{BA7E9119-7990-4E0A-8F8E-188D89BAE4DE}"/>
    <cellStyle name="Millares 4 3 5 2 2 3 2" xfId="6753" xr:uid="{D33BE25B-D933-4B89-A82D-1265728BF024}"/>
    <cellStyle name="Millares 4 3 5 2 2 4" xfId="4829" xr:uid="{0C1A4BF9-D34C-4AF1-85DD-569735CE7A49}"/>
    <cellStyle name="Millares 4 3 5 2 3" xfId="1462" xr:uid="{18CC0C67-5EEC-41D8-A944-30BA254E8F1F}"/>
    <cellStyle name="Millares 4 3 5 2 3 2" xfId="3386" xr:uid="{62615614-EC25-482B-803D-D08BCC34EAE8}"/>
    <cellStyle name="Millares 4 3 5 2 3 2 2" xfId="7234" xr:uid="{F6469973-CDF4-45AB-A6BC-812546CEF6BE}"/>
    <cellStyle name="Millares 4 3 5 2 3 3" xfId="5310" xr:uid="{408B4ADD-0072-47DF-8F96-7EF738DFE85D}"/>
    <cellStyle name="Millares 4 3 5 2 4" xfId="2424" xr:uid="{A2D9E012-C4DF-4034-B5D0-2F292F21FAC4}"/>
    <cellStyle name="Millares 4 3 5 2 4 2" xfId="6272" xr:uid="{156C7057-EAAD-4346-90CF-F4C010B70BBA}"/>
    <cellStyle name="Millares 4 3 5 2 5" xfId="4348" xr:uid="{18043981-2B43-4F5E-8FD8-E350930669F5}"/>
    <cellStyle name="Millares 4 3 5 3" xfId="741" xr:uid="{9AD595D3-C22E-460D-A95A-8B4216FB2A31}"/>
    <cellStyle name="Millares 4 3 5 3 2" xfId="1703" xr:uid="{1C72A178-273F-46AA-A3F0-A9C789A3E73F}"/>
    <cellStyle name="Millares 4 3 5 3 2 2" xfId="3627" xr:uid="{B05AEBFC-A161-4EBA-B092-2ADFD192354E}"/>
    <cellStyle name="Millares 4 3 5 3 2 2 2" xfId="7475" xr:uid="{1175B72B-E016-4A0B-9852-45CE984C48F8}"/>
    <cellStyle name="Millares 4 3 5 3 2 3" xfId="5551" xr:uid="{2AB10D48-89E5-48B5-9758-A2CC06A6F796}"/>
    <cellStyle name="Millares 4 3 5 3 3" xfId="2665" xr:uid="{8B3B0235-025B-42A3-868F-CD6E204E6D9B}"/>
    <cellStyle name="Millares 4 3 5 3 3 2" xfId="6513" xr:uid="{236F03F3-B97C-4F5F-87DF-DFE6EB6A0121}"/>
    <cellStyle name="Millares 4 3 5 3 4" xfId="4589" xr:uid="{83CD2E72-524A-4CF3-8940-40DA01765306}"/>
    <cellStyle name="Millares 4 3 5 4" xfId="1222" xr:uid="{1560328A-B690-448B-B4E2-91912EFEE233}"/>
    <cellStyle name="Millares 4 3 5 4 2" xfId="3146" xr:uid="{22035B20-F13E-4E05-B233-ECB752BB09DC}"/>
    <cellStyle name="Millares 4 3 5 4 2 2" xfId="6994" xr:uid="{F2179689-A80D-4B59-AC43-127AEB132604}"/>
    <cellStyle name="Millares 4 3 5 4 3" xfId="5070" xr:uid="{2964AD70-9494-4694-A825-75B7558DA639}"/>
    <cellStyle name="Millares 4 3 5 5" xfId="2184" xr:uid="{2AAF6D83-8CF8-4A21-8211-C804F3052E19}"/>
    <cellStyle name="Millares 4 3 5 5 2" xfId="6032" xr:uid="{791833DA-A62B-4D46-BFD3-2DAAD7E76C9C}"/>
    <cellStyle name="Millares 4 3 5 6" xfId="4108" xr:uid="{6D7B0FF6-45A0-48A1-A314-F34D8A4904CA}"/>
    <cellStyle name="Millares 4 3 6" xfId="388" xr:uid="{8D02636A-64EB-4C17-A2EC-C5A61130F2E6}"/>
    <cellStyle name="Millares 4 3 6 2" xfId="869" xr:uid="{BB2DAE39-A24C-49AF-999B-2A84B75BBAD6}"/>
    <cellStyle name="Millares 4 3 6 2 2" xfId="1831" xr:uid="{A2CE108B-CCE9-4FEB-BEAC-D7C1535D6448}"/>
    <cellStyle name="Millares 4 3 6 2 2 2" xfId="3755" xr:uid="{4EBEE345-8A8F-430E-B326-0028936A7BC4}"/>
    <cellStyle name="Millares 4 3 6 2 2 2 2" xfId="7603" xr:uid="{F20A5F4C-4F30-41B0-9BE6-03667018C9FE}"/>
    <cellStyle name="Millares 4 3 6 2 2 3" xfId="5679" xr:uid="{C3A446E2-0368-4569-8E9B-EA160C6A22D8}"/>
    <cellStyle name="Millares 4 3 6 2 3" xfId="2793" xr:uid="{CCA93133-A4B9-4CF3-9927-B9C3BD17D258}"/>
    <cellStyle name="Millares 4 3 6 2 3 2" xfId="6641" xr:uid="{4B860D22-9F1B-436C-8F55-52F1A3D2E01B}"/>
    <cellStyle name="Millares 4 3 6 2 4" xfId="4717" xr:uid="{D7E2B248-AD75-4841-908E-CC212D041DD9}"/>
    <cellStyle name="Millares 4 3 6 3" xfId="1350" xr:uid="{91A196A9-4741-41F2-84C7-236C9009A987}"/>
    <cellStyle name="Millares 4 3 6 3 2" xfId="3274" xr:uid="{6CF3630D-1BD6-470A-A086-08D59E71BE61}"/>
    <cellStyle name="Millares 4 3 6 3 2 2" xfId="7122" xr:uid="{3FF2B58D-68A0-45BA-BEDD-CC201B263337}"/>
    <cellStyle name="Millares 4 3 6 3 3" xfId="5198" xr:uid="{D7C60649-430A-4762-B227-8C559D22E260}"/>
    <cellStyle name="Millares 4 3 6 4" xfId="2312" xr:uid="{F3FCC402-FC7D-49EF-A214-65E04913E655}"/>
    <cellStyle name="Millares 4 3 6 4 2" xfId="6160" xr:uid="{4A5BCE85-BF65-4708-BED6-2795848843C7}"/>
    <cellStyle name="Millares 4 3 6 5" xfId="4236" xr:uid="{7FC8B998-D32D-4125-B663-4D1BB8D3A1E0}"/>
    <cellStyle name="Millares 4 3 7" xfId="629" xr:uid="{6D597D70-6035-4E60-B959-AC21D32E8152}"/>
    <cellStyle name="Millares 4 3 7 2" xfId="1591" xr:uid="{B0CB23F2-B639-410A-91D7-3D617ED63C43}"/>
    <cellStyle name="Millares 4 3 7 2 2" xfId="3515" xr:uid="{3F848449-65E8-4BD5-AED1-EDBD9E263864}"/>
    <cellStyle name="Millares 4 3 7 2 2 2" xfId="7363" xr:uid="{2641062B-0DCC-4DC2-8083-DADA3CAD1F8A}"/>
    <cellStyle name="Millares 4 3 7 2 3" xfId="5439" xr:uid="{45F4682B-7E0B-49E3-B141-4828612FFEDF}"/>
    <cellStyle name="Millares 4 3 7 3" xfId="2553" xr:uid="{BDF8F937-AE05-41E4-A7D8-AA395187BE62}"/>
    <cellStyle name="Millares 4 3 7 3 2" xfId="6401" xr:uid="{71CE0F34-F8BC-4DEE-BD64-74736739C22D}"/>
    <cellStyle name="Millares 4 3 7 4" xfId="4477" xr:uid="{7AEF8A79-F8C7-489D-BB50-F867E145C671}"/>
    <cellStyle name="Millares 4 3 8" xfId="1110" xr:uid="{89557B9E-53F6-49E4-8CED-FD038FCA7A8A}"/>
    <cellStyle name="Millares 4 3 8 2" xfId="3034" xr:uid="{4074CB54-3220-42B7-8D1A-D5CCA692ACDB}"/>
    <cellStyle name="Millares 4 3 8 2 2" xfId="6882" xr:uid="{ADF4EC44-E733-4FF0-8F08-14704A0A3BCA}"/>
    <cellStyle name="Millares 4 3 8 3" xfId="4958" xr:uid="{0211AD22-641A-4B1F-8DCD-99286228821D}"/>
    <cellStyle name="Millares 4 3 9" xfId="2072" xr:uid="{953E01D8-0FD3-49BB-BCA2-E88C93A136DF}"/>
    <cellStyle name="Millares 4 3 9 2" xfId="5920" xr:uid="{584EC8C5-A457-45BF-B722-B7E1ACB9769C}"/>
    <cellStyle name="Millares 4 4" xfId="124" xr:uid="{F2341DCD-0BF4-492B-83C8-E5C5DA47F021}"/>
    <cellStyle name="Millares 4 4 10" xfId="4000" xr:uid="{AE32BD4B-059A-409A-BAE4-B009252B01C0}"/>
    <cellStyle name="Millares 4 4 11" xfId="7942" xr:uid="{231BE0BF-3ED6-434D-9C98-99EAEAFF7B21}"/>
    <cellStyle name="Millares 4 4 2" xfId="184" xr:uid="{3AE91799-2B73-4343-9068-60CE077FC095}"/>
    <cellStyle name="Millares 4 4 2 2" xfId="319" xr:uid="{6097C410-E6C2-4CBA-9A69-8DA0695F50D6}"/>
    <cellStyle name="Millares 4 4 2 2 2" xfId="570" xr:uid="{446DACC8-E803-4E66-B472-ED9D9D77D423}"/>
    <cellStyle name="Millares 4 4 2 2 2 2" xfId="1051" xr:uid="{3C166CA3-55EB-4D07-AA6D-87A595CE059F}"/>
    <cellStyle name="Millares 4 4 2 2 2 2 2" xfId="2013" xr:uid="{E0DB9B47-943B-4EAB-AA08-5E2628ABD414}"/>
    <cellStyle name="Millares 4 4 2 2 2 2 2 2" xfId="3937" xr:uid="{454AE1AF-AE9C-4D31-8706-4355414C725D}"/>
    <cellStyle name="Millares 4 4 2 2 2 2 2 2 2" xfId="7785" xr:uid="{D47FD85D-1E56-4A59-97C0-E9A86F9F80F1}"/>
    <cellStyle name="Millares 4 4 2 2 2 2 2 3" xfId="5861" xr:uid="{702B54EF-A864-4A2C-95B9-3A4B33FC9DA1}"/>
    <cellStyle name="Millares 4 4 2 2 2 2 3" xfId="2975" xr:uid="{58B38A12-71E8-42F1-BBBA-E9093EDE3D0F}"/>
    <cellStyle name="Millares 4 4 2 2 2 2 3 2" xfId="6823" xr:uid="{6411075D-B9A2-4AED-9D50-EAF36D557463}"/>
    <cellStyle name="Millares 4 4 2 2 2 2 4" xfId="4899" xr:uid="{D34740DA-E135-442E-8C12-6F823326E1EE}"/>
    <cellStyle name="Millares 4 4 2 2 2 3" xfId="1532" xr:uid="{E78643EE-3295-4C9C-930D-C47733985E8B}"/>
    <cellStyle name="Millares 4 4 2 2 2 3 2" xfId="3456" xr:uid="{1F94821C-2AF3-404B-AA04-E8033C20E6AE}"/>
    <cellStyle name="Millares 4 4 2 2 2 3 2 2" xfId="7304" xr:uid="{F06EEF4B-10BD-40F7-B3A1-04EAF4ACAB7B}"/>
    <cellStyle name="Millares 4 4 2 2 2 3 3" xfId="5380" xr:uid="{0516BDCC-0D3B-45EA-B3F6-A35743F31ED0}"/>
    <cellStyle name="Millares 4 4 2 2 2 4" xfId="2494" xr:uid="{A393F949-A843-455F-A42F-6BEF5D55C28F}"/>
    <cellStyle name="Millares 4 4 2 2 2 4 2" xfId="6342" xr:uid="{4AF65CC9-5D1D-42C5-A1FB-21B31D7FBFD6}"/>
    <cellStyle name="Millares 4 4 2 2 2 5" xfId="4418" xr:uid="{D00613E6-8517-43F7-8F3D-66426F4F2E1C}"/>
    <cellStyle name="Millares 4 4 2 2 3" xfId="811" xr:uid="{D426E97C-A027-4CA1-B0CC-EA8BD718EC4B}"/>
    <cellStyle name="Millares 4 4 2 2 3 2" xfId="1773" xr:uid="{90211697-8E8A-440A-A377-E77021ED028A}"/>
    <cellStyle name="Millares 4 4 2 2 3 2 2" xfId="3697" xr:uid="{B365D1B7-A35A-4329-99E6-D7E6F05B4575}"/>
    <cellStyle name="Millares 4 4 2 2 3 2 2 2" xfId="7545" xr:uid="{1A22442B-D26C-4653-9622-32E289B90F34}"/>
    <cellStyle name="Millares 4 4 2 2 3 2 3" xfId="5621" xr:uid="{47AC17BD-868A-4ED9-9876-4AA3A8737B51}"/>
    <cellStyle name="Millares 4 4 2 2 3 3" xfId="2735" xr:uid="{EA6CCACA-DBE6-4493-BE89-0CFBF5968167}"/>
    <cellStyle name="Millares 4 4 2 2 3 3 2" xfId="6583" xr:uid="{738A1094-A6D0-4107-AC5B-37F28DA088BC}"/>
    <cellStyle name="Millares 4 4 2 2 3 4" xfId="4659" xr:uid="{725ADCE3-5916-4B54-95B0-ACAF6D72BEDA}"/>
    <cellStyle name="Millares 4 4 2 2 4" xfId="1292" xr:uid="{4D30ED18-1EAC-4187-BF42-EED5258A8167}"/>
    <cellStyle name="Millares 4 4 2 2 4 2" xfId="3216" xr:uid="{A969CAAF-9FD1-49AD-B54E-65F5D493F15C}"/>
    <cellStyle name="Millares 4 4 2 2 4 2 2" xfId="7064" xr:uid="{8A96CAB9-1D00-4B15-9A9E-7A5FE7F97205}"/>
    <cellStyle name="Millares 4 4 2 2 4 3" xfId="5140" xr:uid="{12A6B718-7262-4378-B47F-37BD98439878}"/>
    <cellStyle name="Millares 4 4 2 2 5" xfId="2254" xr:uid="{9C7C8E09-5187-421F-A6C4-755A56556343}"/>
    <cellStyle name="Millares 4 4 2 2 5 2" xfId="6102" xr:uid="{3B888BE0-CD2E-429C-90DD-7F06391935AE}"/>
    <cellStyle name="Millares 4 4 2 2 6" xfId="4178" xr:uid="{84DC5784-50C1-4655-8DDB-C152DD33A67B}"/>
    <cellStyle name="Millares 4 4 2 3" xfId="438" xr:uid="{EA92238E-9244-47D1-9501-5514DB56E7C1}"/>
    <cellStyle name="Millares 4 4 2 3 2" xfId="919" xr:uid="{84E61C95-5D67-4BA5-9EB7-886A2B681031}"/>
    <cellStyle name="Millares 4 4 2 3 2 2" xfId="1881" xr:uid="{184BAFCC-D08C-499E-9FC7-6359CCAC929D}"/>
    <cellStyle name="Millares 4 4 2 3 2 2 2" xfId="3805" xr:uid="{A86C9A8A-2B69-4C70-8135-76F40E52C49E}"/>
    <cellStyle name="Millares 4 4 2 3 2 2 2 2" xfId="7653" xr:uid="{F986DBF7-DB36-4979-A2B4-F593F89C922D}"/>
    <cellStyle name="Millares 4 4 2 3 2 2 3" xfId="5729" xr:uid="{9884DA00-7E96-4B66-9F7A-36688A4268BE}"/>
    <cellStyle name="Millares 4 4 2 3 2 3" xfId="2843" xr:uid="{25564FAE-C1C7-41AF-84E8-04541EDA7159}"/>
    <cellStyle name="Millares 4 4 2 3 2 3 2" xfId="6691" xr:uid="{13255AF4-14BD-47A9-8D88-7C4D3D79BC89}"/>
    <cellStyle name="Millares 4 4 2 3 2 4" xfId="4767" xr:uid="{FE719CCF-8882-42CF-B321-7BE73F61B6D3}"/>
    <cellStyle name="Millares 4 4 2 3 3" xfId="1400" xr:uid="{042784F2-D953-4774-BAB0-ED9487798693}"/>
    <cellStyle name="Millares 4 4 2 3 3 2" xfId="3324" xr:uid="{98D20C83-CC69-4294-9391-281B71E9AF77}"/>
    <cellStyle name="Millares 4 4 2 3 3 2 2" xfId="7172" xr:uid="{FE5AB757-B37E-491A-8CAB-1872136BEECE}"/>
    <cellStyle name="Millares 4 4 2 3 3 3" xfId="5248" xr:uid="{6E279A88-13DC-4ED8-B72B-70610CE5F34A}"/>
    <cellStyle name="Millares 4 4 2 3 4" xfId="2362" xr:uid="{C52DB012-0F53-4F9D-8965-70545000296F}"/>
    <cellStyle name="Millares 4 4 2 3 4 2" xfId="6210" xr:uid="{15D4DC6B-0224-4F8D-8E78-29AE550AC660}"/>
    <cellStyle name="Millares 4 4 2 3 5" xfId="4286" xr:uid="{4FD57E7E-9289-469C-825C-621A3E09A2AE}"/>
    <cellStyle name="Millares 4 4 2 4" xfId="679" xr:uid="{6D2E88DA-84C6-4746-9DEF-1AFCE83CA045}"/>
    <cellStyle name="Millares 4 4 2 4 2" xfId="1641" xr:uid="{7A76108A-1747-4CD9-A99B-58BFE9BE7A6D}"/>
    <cellStyle name="Millares 4 4 2 4 2 2" xfId="3565" xr:uid="{9A3ACF10-BC75-4A4C-956E-5FC97FAA8BDC}"/>
    <cellStyle name="Millares 4 4 2 4 2 2 2" xfId="7413" xr:uid="{05E45EBD-22C4-43BB-AACE-A49AF49AF02B}"/>
    <cellStyle name="Millares 4 4 2 4 2 3" xfId="5489" xr:uid="{D446D6F5-B0F3-4407-AA7E-7FFFBE76C061}"/>
    <cellStyle name="Millares 4 4 2 4 3" xfId="2603" xr:uid="{0AA78382-AD87-44D5-B19E-F9C764A35658}"/>
    <cellStyle name="Millares 4 4 2 4 3 2" xfId="6451" xr:uid="{1D41276F-C00E-400F-989A-2C7BF32B5668}"/>
    <cellStyle name="Millares 4 4 2 4 4" xfId="4527" xr:uid="{FB01174A-7DCD-4AE3-BA75-DBE9FFE8C319}"/>
    <cellStyle name="Millares 4 4 2 5" xfId="1160" xr:uid="{B434DC3D-F44D-4E0E-B98C-D93CEDA116D9}"/>
    <cellStyle name="Millares 4 4 2 5 2" xfId="3084" xr:uid="{7E10E8D6-9D23-4BD7-9F9E-ABCF2B534262}"/>
    <cellStyle name="Millares 4 4 2 5 2 2" xfId="6932" xr:uid="{6F9BFDF6-FF9D-4E94-B9A8-4A58B342E33F}"/>
    <cellStyle name="Millares 4 4 2 5 3" xfId="5008" xr:uid="{B85EB779-9B00-459D-8A85-E529561A0FAC}"/>
    <cellStyle name="Millares 4 4 2 6" xfId="2122" xr:uid="{5EDCC05B-B804-431F-BBB1-147D6C28C408}"/>
    <cellStyle name="Millares 4 4 2 6 2" xfId="5970" xr:uid="{D4633A9D-1AF1-463C-B5AF-2630333EC410}"/>
    <cellStyle name="Millares 4 4 2 7" xfId="4046" xr:uid="{23C9E521-104E-4F34-AC57-4229AF161ECE}"/>
    <cellStyle name="Millares 4 4 3" xfId="218" xr:uid="{9DC4F53C-4F02-4948-92D4-28B5714FE7F1}"/>
    <cellStyle name="Millares 4 4 3 2" xfId="352" xr:uid="{7E29AF50-5A53-45C9-930D-EE3962026BB5}"/>
    <cellStyle name="Millares 4 4 3 2 2" xfId="603" xr:uid="{1AEBAB29-25D8-426F-B153-20E6721FD8E2}"/>
    <cellStyle name="Millares 4 4 3 2 2 2" xfId="1084" xr:uid="{B1911C5D-4D74-4A32-8B06-A314115D50F8}"/>
    <cellStyle name="Millares 4 4 3 2 2 2 2" xfId="2046" xr:uid="{BB71E212-FA11-4536-9A74-B83308D2F7F5}"/>
    <cellStyle name="Millares 4 4 3 2 2 2 2 2" xfId="3970" xr:uid="{AE8EF5C4-6082-470D-98BD-A70CF72CE9B8}"/>
    <cellStyle name="Millares 4 4 3 2 2 2 2 2 2" xfId="7818" xr:uid="{63FB76CB-69B5-408F-B3DA-87BFEF4C1F6E}"/>
    <cellStyle name="Millares 4 4 3 2 2 2 2 3" xfId="5894" xr:uid="{4CD30DD7-371C-474A-95C1-B140C93BFD88}"/>
    <cellStyle name="Millares 4 4 3 2 2 2 3" xfId="3008" xr:uid="{625CF686-94A0-4519-B9BB-B7F902CA38F7}"/>
    <cellStyle name="Millares 4 4 3 2 2 2 3 2" xfId="6856" xr:uid="{25EED24D-E893-447D-AF8B-7A0CE4BBDCE0}"/>
    <cellStyle name="Millares 4 4 3 2 2 2 4" xfId="4932" xr:uid="{4CB2622B-7BF2-48F2-B8B4-C4FF94790C40}"/>
    <cellStyle name="Millares 4 4 3 2 2 3" xfId="1565" xr:uid="{A141363E-C3F8-4E07-BC76-C2CF9302DBE9}"/>
    <cellStyle name="Millares 4 4 3 2 2 3 2" xfId="3489" xr:uid="{BFC2F20A-D9FC-43AD-9C39-D56D4920AAC0}"/>
    <cellStyle name="Millares 4 4 3 2 2 3 2 2" xfId="7337" xr:uid="{A5CA244F-F7D9-4D0A-88D4-984508AA9724}"/>
    <cellStyle name="Millares 4 4 3 2 2 3 3" xfId="5413" xr:uid="{0412CADF-E287-41CF-A53C-D4A330A4EF55}"/>
    <cellStyle name="Millares 4 4 3 2 2 4" xfId="2527" xr:uid="{299A4FC3-317D-4BD7-99DB-6631AE77972B}"/>
    <cellStyle name="Millares 4 4 3 2 2 4 2" xfId="6375" xr:uid="{C26A65ED-57C0-4709-B884-4DE3FBF6CD52}"/>
    <cellStyle name="Millares 4 4 3 2 2 5" xfId="4451" xr:uid="{F259DC20-3886-4D0C-A91A-92E59B7BACB9}"/>
    <cellStyle name="Millares 4 4 3 2 3" xfId="844" xr:uid="{B756657B-D1AF-48FE-93C4-A33B5F43253E}"/>
    <cellStyle name="Millares 4 4 3 2 3 2" xfId="1806" xr:uid="{894F92B6-17E1-4A26-AD14-606649F87255}"/>
    <cellStyle name="Millares 4 4 3 2 3 2 2" xfId="3730" xr:uid="{2363FC8F-F98C-4F2C-B84B-773229A59FB1}"/>
    <cellStyle name="Millares 4 4 3 2 3 2 2 2" xfId="7578" xr:uid="{2C6EC6E9-1836-45C3-BED8-D80AD810D363}"/>
    <cellStyle name="Millares 4 4 3 2 3 2 3" xfId="5654" xr:uid="{E1B772AE-4DA5-410E-8F52-343CA6EEF528}"/>
    <cellStyle name="Millares 4 4 3 2 3 3" xfId="2768" xr:uid="{918D8B50-88C8-47EE-BAD2-CC3F6DDEDF81}"/>
    <cellStyle name="Millares 4 4 3 2 3 3 2" xfId="6616" xr:uid="{9898B420-2A08-45D1-AFEF-EC4B99386FDA}"/>
    <cellStyle name="Millares 4 4 3 2 3 4" xfId="4692" xr:uid="{07DFEA9F-E616-4F41-8432-91770FB79C7D}"/>
    <cellStyle name="Millares 4 4 3 2 4" xfId="1325" xr:uid="{C044E19A-683A-4E38-A612-D66BFFFA9EC4}"/>
    <cellStyle name="Millares 4 4 3 2 4 2" xfId="3249" xr:uid="{2A52F1E1-EDEF-4BD0-8CEE-8E7B80E3E6B1}"/>
    <cellStyle name="Millares 4 4 3 2 4 2 2" xfId="7097" xr:uid="{78FB5EF6-C170-464B-9243-8A14A6D69A4E}"/>
    <cellStyle name="Millares 4 4 3 2 4 3" xfId="5173" xr:uid="{CFDF2A74-AA7A-4442-9969-85E176E2DA16}"/>
    <cellStyle name="Millares 4 4 3 2 5" xfId="2287" xr:uid="{7B4A076D-D6DB-461E-8BD8-0B7C892C4338}"/>
    <cellStyle name="Millares 4 4 3 2 5 2" xfId="6135" xr:uid="{11A97CCE-6D31-494A-AFA3-1BB454F577A3}"/>
    <cellStyle name="Millares 4 4 3 2 6" xfId="4211" xr:uid="{148DFA9F-E517-4227-B5AD-09E478A60D90}"/>
    <cellStyle name="Millares 4 4 3 3" xfId="471" xr:uid="{58925EEB-E2CD-4C9A-B78B-C940F45025FE}"/>
    <cellStyle name="Millares 4 4 3 3 2" xfId="952" xr:uid="{91918D15-8228-49CB-A419-DB42D82538EA}"/>
    <cellStyle name="Millares 4 4 3 3 2 2" xfId="1914" xr:uid="{F684714D-449F-460A-B1B0-17CBC7337E96}"/>
    <cellStyle name="Millares 4 4 3 3 2 2 2" xfId="3838" xr:uid="{5E3E8F73-77AB-4406-86AE-C949B8DD1E44}"/>
    <cellStyle name="Millares 4 4 3 3 2 2 2 2" xfId="7686" xr:uid="{2C1B0118-7345-497C-A2F0-9B78D359970A}"/>
    <cellStyle name="Millares 4 4 3 3 2 2 3" xfId="5762" xr:uid="{0EFACB53-0AB5-4670-A378-4BFBFAC7E0D7}"/>
    <cellStyle name="Millares 4 4 3 3 2 3" xfId="2876" xr:uid="{8CFEFB32-BA41-4D9D-8AFF-DABF629D5AC0}"/>
    <cellStyle name="Millares 4 4 3 3 2 3 2" xfId="6724" xr:uid="{FEB8410F-91B5-4E09-B445-58CC7AEF7D1B}"/>
    <cellStyle name="Millares 4 4 3 3 2 4" xfId="4800" xr:uid="{5AE815C5-5515-4CBB-93C0-98648D552BFC}"/>
    <cellStyle name="Millares 4 4 3 3 3" xfId="1433" xr:uid="{4A234C02-EC5D-48F8-960B-B41E034D507C}"/>
    <cellStyle name="Millares 4 4 3 3 3 2" xfId="3357" xr:uid="{64F8D5CE-CDBB-4091-8228-0A80DF954690}"/>
    <cellStyle name="Millares 4 4 3 3 3 2 2" xfId="7205" xr:uid="{884A87EB-6C72-4F36-AA23-7D275D1A14AF}"/>
    <cellStyle name="Millares 4 4 3 3 3 3" xfId="5281" xr:uid="{2C3C95F7-8209-493C-B272-2EDBA279A95B}"/>
    <cellStyle name="Millares 4 4 3 3 4" xfId="2395" xr:uid="{0A176B7F-406F-43E2-AFA5-D89D227FD8DD}"/>
    <cellStyle name="Millares 4 4 3 3 4 2" xfId="6243" xr:uid="{3483F817-9C15-4413-9725-2BAA3DAEB3BD}"/>
    <cellStyle name="Millares 4 4 3 3 5" xfId="4319" xr:uid="{4B1165AD-8AC7-42AC-8531-12BFA65E9C8A}"/>
    <cellStyle name="Millares 4 4 3 4" xfId="712" xr:uid="{A85C50F6-66A2-4788-B885-43B516AF0AB8}"/>
    <cellStyle name="Millares 4 4 3 4 2" xfId="1674" xr:uid="{34873DBD-EFC0-4517-9B84-0AD2BC1C7A29}"/>
    <cellStyle name="Millares 4 4 3 4 2 2" xfId="3598" xr:uid="{4635F5A8-D905-4E0A-AB20-E27EAF6BEDA5}"/>
    <cellStyle name="Millares 4 4 3 4 2 2 2" xfId="7446" xr:uid="{235FC35A-6061-4F92-9A02-B0610FB55326}"/>
    <cellStyle name="Millares 4 4 3 4 2 3" xfId="5522" xr:uid="{A70DB13F-1445-407A-B6D2-75ABC088B82E}"/>
    <cellStyle name="Millares 4 4 3 4 3" xfId="2636" xr:uid="{7502E7A2-FB9C-4895-B104-512B0B8AE1CC}"/>
    <cellStyle name="Millares 4 4 3 4 3 2" xfId="6484" xr:uid="{7EC0FCE0-045C-42C0-A5E7-98C3646DD473}"/>
    <cellStyle name="Millares 4 4 3 4 4" xfId="4560" xr:uid="{01FEA26C-9B46-4CF9-A627-01F1869DAF71}"/>
    <cellStyle name="Millares 4 4 3 5" xfId="1193" xr:uid="{E26A2F6B-E086-427E-9089-581402FC7B46}"/>
    <cellStyle name="Millares 4 4 3 5 2" xfId="3117" xr:uid="{A7F90E43-00EF-4D3E-8893-A9AEB2BCE70C}"/>
    <cellStyle name="Millares 4 4 3 5 2 2" xfId="6965" xr:uid="{0BE8FB9C-FC58-4942-AF8D-38F058B98D0D}"/>
    <cellStyle name="Millares 4 4 3 5 3" xfId="5041" xr:uid="{F599E184-2E8A-4E78-A877-D43898D899CD}"/>
    <cellStyle name="Millares 4 4 3 6" xfId="2155" xr:uid="{258BB728-05FB-460C-9570-DD58DF223F2F}"/>
    <cellStyle name="Millares 4 4 3 6 2" xfId="6003" xr:uid="{9BFC2CB0-7A99-41B2-AFB9-CAF3BDCEBFB0}"/>
    <cellStyle name="Millares 4 4 3 7" xfId="4079" xr:uid="{36CE0E8D-4960-4297-A171-023D19DEBEFA}"/>
    <cellStyle name="Millares 4 4 4" xfId="272" xr:uid="{67DD3087-77FE-41E9-940C-16B3E3247469}"/>
    <cellStyle name="Millares 4 4 4 2" xfId="524" xr:uid="{C1820875-35BE-4751-8623-D50E58FB41E2}"/>
    <cellStyle name="Millares 4 4 4 2 2" xfId="1005" xr:uid="{C2AD0E4D-2EA9-4476-AB8D-B92B2E3B603E}"/>
    <cellStyle name="Millares 4 4 4 2 2 2" xfId="1967" xr:uid="{709FBA3C-795C-4431-909D-98B187747AD7}"/>
    <cellStyle name="Millares 4 4 4 2 2 2 2" xfId="3891" xr:uid="{61AE11D3-37BA-487D-9064-C37882FBD478}"/>
    <cellStyle name="Millares 4 4 4 2 2 2 2 2" xfId="7739" xr:uid="{8B84B84B-9EA1-4486-8176-A96251BFA1EA}"/>
    <cellStyle name="Millares 4 4 4 2 2 2 3" xfId="5815" xr:uid="{7FE0A47C-AD8A-496D-BFA8-85FFA8E5036F}"/>
    <cellStyle name="Millares 4 4 4 2 2 3" xfId="2929" xr:uid="{345E4A79-0864-4DC5-B612-47025018D3F2}"/>
    <cellStyle name="Millares 4 4 4 2 2 3 2" xfId="6777" xr:uid="{E3F3FCC4-4369-4394-80F4-40E33C1D498E}"/>
    <cellStyle name="Millares 4 4 4 2 2 4" xfId="4853" xr:uid="{DFEF9C41-17E8-4BD7-9119-3B33049B4B11}"/>
    <cellStyle name="Millares 4 4 4 2 3" xfId="1486" xr:uid="{1BFEEC08-7D5D-491A-9197-DA4062901264}"/>
    <cellStyle name="Millares 4 4 4 2 3 2" xfId="3410" xr:uid="{BE37EE20-0656-48BA-9139-090B1113DE04}"/>
    <cellStyle name="Millares 4 4 4 2 3 2 2" xfId="7258" xr:uid="{EE557171-8AD0-4AB6-B48E-2547D018226F}"/>
    <cellStyle name="Millares 4 4 4 2 3 3" xfId="5334" xr:uid="{66E1DBB2-E40A-431E-84DC-F7CF3413DD37}"/>
    <cellStyle name="Millares 4 4 4 2 4" xfId="2448" xr:uid="{A127DD86-892B-4383-9B09-D8637C8812CE}"/>
    <cellStyle name="Millares 4 4 4 2 4 2" xfId="6296" xr:uid="{B1ADF284-F7E4-4D38-A332-6B58200FE357}"/>
    <cellStyle name="Millares 4 4 4 2 5" xfId="4372" xr:uid="{FC48FC3B-288C-4B2C-B9F0-77CE89025996}"/>
    <cellStyle name="Millares 4 4 4 3" xfId="765" xr:uid="{B9332EEA-B60F-4A6C-BBA1-B290FB0C8332}"/>
    <cellStyle name="Millares 4 4 4 3 2" xfId="1727" xr:uid="{69520BA1-A40C-4977-8D1D-BDB321E2276E}"/>
    <cellStyle name="Millares 4 4 4 3 2 2" xfId="3651" xr:uid="{A764C671-7E77-4EFC-9836-522564F4778B}"/>
    <cellStyle name="Millares 4 4 4 3 2 2 2" xfId="7499" xr:uid="{07D84B7B-3C6F-435D-A093-071D0BD14DE4}"/>
    <cellStyle name="Millares 4 4 4 3 2 3" xfId="5575" xr:uid="{1748D63C-A157-45CF-8E70-2DE4965C3C79}"/>
    <cellStyle name="Millares 4 4 4 3 3" xfId="2689" xr:uid="{D06EAEAE-1367-4BB9-877E-872551DA8FF9}"/>
    <cellStyle name="Millares 4 4 4 3 3 2" xfId="6537" xr:uid="{52971ED9-CBC5-45CD-AB64-6F9DFECBF69A}"/>
    <cellStyle name="Millares 4 4 4 3 4" xfId="4613" xr:uid="{DCCD3476-AF9D-4950-BA41-2D4A5A5E457A}"/>
    <cellStyle name="Millares 4 4 4 4" xfId="1246" xr:uid="{CD070E88-B7DF-4572-ABE3-5E91E04A1DC1}"/>
    <cellStyle name="Millares 4 4 4 4 2" xfId="3170" xr:uid="{CA4DDEAA-DD1E-428F-9B71-288244E1603E}"/>
    <cellStyle name="Millares 4 4 4 4 2 2" xfId="7018" xr:uid="{A9F0EC82-3F98-45CB-AB59-A6D49A7DD3E1}"/>
    <cellStyle name="Millares 4 4 4 4 3" xfId="5094" xr:uid="{DBA23227-7EDB-4B72-9B2E-FB46FB0495C6}"/>
    <cellStyle name="Millares 4 4 4 5" xfId="2208" xr:uid="{2C1EE53E-B5B7-4C0F-BD2D-93EDD88E2CD5}"/>
    <cellStyle name="Millares 4 4 4 5 2" xfId="6056" xr:uid="{20D1D756-0A40-48D2-9A89-A612A58A9C47}"/>
    <cellStyle name="Millares 4 4 4 6" xfId="4132" xr:uid="{33247031-88BD-43BE-B57A-9661531817F5}"/>
    <cellStyle name="Millares 4 4 5" xfId="252" xr:uid="{AA05825C-1E7C-4E63-8030-1AE4512993C6}"/>
    <cellStyle name="Millares 4 4 5 2" xfId="504" xr:uid="{D327845E-10F8-44B5-BB7B-95EA5813F40B}"/>
    <cellStyle name="Millares 4 4 5 2 2" xfId="985" xr:uid="{85C9621C-ECAC-4C8C-BA7B-DF94231C94FF}"/>
    <cellStyle name="Millares 4 4 5 2 2 2" xfId="1947" xr:uid="{B62BF0E9-F437-4A0A-8239-76F03CACA08D}"/>
    <cellStyle name="Millares 4 4 5 2 2 2 2" xfId="3871" xr:uid="{0895EF60-C6F9-47D2-B555-CA770D7D61E0}"/>
    <cellStyle name="Millares 4 4 5 2 2 2 2 2" xfId="7719" xr:uid="{D1E653F6-F9C5-4ED0-B5BE-5A57AE2D4D06}"/>
    <cellStyle name="Millares 4 4 5 2 2 2 3" xfId="5795" xr:uid="{41D7C460-E5C3-4D3A-90AE-A1E65ADE3B87}"/>
    <cellStyle name="Millares 4 4 5 2 2 3" xfId="2909" xr:uid="{6DCA44D3-54E1-4450-82CE-41BF28770772}"/>
    <cellStyle name="Millares 4 4 5 2 2 3 2" xfId="6757" xr:uid="{2AC6BC0D-B928-44A5-A8E7-2C930CF9E78D}"/>
    <cellStyle name="Millares 4 4 5 2 2 4" xfId="4833" xr:uid="{5481073E-17C0-4B3F-96E3-E56D7DFE30FE}"/>
    <cellStyle name="Millares 4 4 5 2 3" xfId="1466" xr:uid="{1F5F4490-39BB-4845-94D9-CF6D4C6F42A1}"/>
    <cellStyle name="Millares 4 4 5 2 3 2" xfId="3390" xr:uid="{D1567C4A-7F0F-4C33-A1F8-276129DB4A2F}"/>
    <cellStyle name="Millares 4 4 5 2 3 2 2" xfId="7238" xr:uid="{AED83888-2A00-416E-919F-48FC6D666076}"/>
    <cellStyle name="Millares 4 4 5 2 3 3" xfId="5314" xr:uid="{12DA8AB4-C5F5-4A3B-9E63-968F8A20AA6E}"/>
    <cellStyle name="Millares 4 4 5 2 4" xfId="2428" xr:uid="{8E73B2DD-4BA4-44F9-83AC-6CCE038698EB}"/>
    <cellStyle name="Millares 4 4 5 2 4 2" xfId="6276" xr:uid="{F2F31A01-4DE4-4009-951B-1854A8FD30A3}"/>
    <cellStyle name="Millares 4 4 5 2 5" xfId="4352" xr:uid="{CEDD1210-9B25-4A42-84EA-A798214E0EC5}"/>
    <cellStyle name="Millares 4 4 5 3" xfId="745" xr:uid="{206833F8-3446-48C5-A0DB-AA94C47B3731}"/>
    <cellStyle name="Millares 4 4 5 3 2" xfId="1707" xr:uid="{64AB60E2-A9F6-4B71-B747-8814FB44F1B2}"/>
    <cellStyle name="Millares 4 4 5 3 2 2" xfId="3631" xr:uid="{66FD022A-2EA6-484F-91FB-BEEF728445B3}"/>
    <cellStyle name="Millares 4 4 5 3 2 2 2" xfId="7479" xr:uid="{81607DAA-E625-42BE-A3C3-9762AE68967F}"/>
    <cellStyle name="Millares 4 4 5 3 2 3" xfId="5555" xr:uid="{51120BB7-27D1-46DF-9633-7CB7C027F825}"/>
    <cellStyle name="Millares 4 4 5 3 3" xfId="2669" xr:uid="{76C153F7-F44F-4698-B40C-5E1CC4DFB5C9}"/>
    <cellStyle name="Millares 4 4 5 3 3 2" xfId="6517" xr:uid="{061AAAB6-4CDC-4AC3-A564-99E7E1F46A1D}"/>
    <cellStyle name="Millares 4 4 5 3 4" xfId="4593" xr:uid="{DE89143A-A1E8-4CCA-9531-7E527E2681B3}"/>
    <cellStyle name="Millares 4 4 5 4" xfId="1226" xr:uid="{34764241-6C5F-4F62-B65F-E24795333263}"/>
    <cellStyle name="Millares 4 4 5 4 2" xfId="3150" xr:uid="{E7078741-0ECE-4EC3-9742-72836EB5CFC8}"/>
    <cellStyle name="Millares 4 4 5 4 2 2" xfId="6998" xr:uid="{D525D974-354F-49E0-8701-E39D3E642695}"/>
    <cellStyle name="Millares 4 4 5 4 3" xfId="5074" xr:uid="{B4C3FF2F-5C7F-4B9A-84D7-F30E75C31106}"/>
    <cellStyle name="Millares 4 4 5 5" xfId="2188" xr:uid="{0A4D22D0-C5A6-4502-B167-158BA74859FE}"/>
    <cellStyle name="Millares 4 4 5 5 2" xfId="6036" xr:uid="{C0246AFE-19D8-49B2-BDA6-A2FD536F051B}"/>
    <cellStyle name="Millares 4 4 5 6" xfId="4112" xr:uid="{8554F146-0DEB-4873-9625-4E991357D412}"/>
    <cellStyle name="Millares 4 4 6" xfId="392" xr:uid="{48F30C6E-C154-4607-A8C3-9B465060DAB4}"/>
    <cellStyle name="Millares 4 4 6 2" xfId="873" xr:uid="{51D514CA-DD41-46DF-A92F-2FD31DD50FE3}"/>
    <cellStyle name="Millares 4 4 6 2 2" xfId="1835" xr:uid="{BA8BDF21-ACC4-45CC-B18D-BB4E1DA5FB2D}"/>
    <cellStyle name="Millares 4 4 6 2 2 2" xfId="3759" xr:uid="{4508FEF9-43B8-4D93-87EA-F33F33D19F12}"/>
    <cellStyle name="Millares 4 4 6 2 2 2 2" xfId="7607" xr:uid="{752C3DBE-05DA-40E3-BC79-528E16BFFEDF}"/>
    <cellStyle name="Millares 4 4 6 2 2 3" xfId="5683" xr:uid="{0D94B6D5-667E-4988-B72E-58FEC7F92FDF}"/>
    <cellStyle name="Millares 4 4 6 2 3" xfId="2797" xr:uid="{F8ED3C37-1B61-461A-912A-CF9C5A778F3F}"/>
    <cellStyle name="Millares 4 4 6 2 3 2" xfId="6645" xr:uid="{371655B8-0E04-41FF-BE01-EB67BFF6019F}"/>
    <cellStyle name="Millares 4 4 6 2 4" xfId="4721" xr:uid="{42AFE95F-7536-41DB-AD30-45C28DBC57E0}"/>
    <cellStyle name="Millares 4 4 6 3" xfId="1354" xr:uid="{ED73FD87-EE4E-41FA-84D4-24FD87ED7EC9}"/>
    <cellStyle name="Millares 4 4 6 3 2" xfId="3278" xr:uid="{4D1259F7-D50B-45FF-976F-BBDA45BEE154}"/>
    <cellStyle name="Millares 4 4 6 3 2 2" xfId="7126" xr:uid="{89300D33-66F8-4968-960A-4C053EC5CE8D}"/>
    <cellStyle name="Millares 4 4 6 3 3" xfId="5202" xr:uid="{10ACAB84-7D99-4962-BC41-0C3E4898E36A}"/>
    <cellStyle name="Millares 4 4 6 4" xfId="2316" xr:uid="{05BE3D6D-2AE2-4DB7-803D-2F4D46B5EFA9}"/>
    <cellStyle name="Millares 4 4 6 4 2" xfId="6164" xr:uid="{4B00975E-B17D-4CA1-8490-A850AE7BCE48}"/>
    <cellStyle name="Millares 4 4 6 5" xfId="4240" xr:uid="{5CE55627-8663-4F9F-8461-A50055C11822}"/>
    <cellStyle name="Millares 4 4 7" xfId="633" xr:uid="{D18A925E-7C91-4D00-A578-5D9A9FEAD30E}"/>
    <cellStyle name="Millares 4 4 7 2" xfId="1595" xr:uid="{58161E0D-D7C4-4DC0-93DE-65F49E2703EC}"/>
    <cellStyle name="Millares 4 4 7 2 2" xfId="3519" xr:uid="{2987B075-ACE6-4105-A8E8-215A09030A23}"/>
    <cellStyle name="Millares 4 4 7 2 2 2" xfId="7367" xr:uid="{05837F99-BBFF-4886-9B82-63F508AE3BDD}"/>
    <cellStyle name="Millares 4 4 7 2 3" xfId="5443" xr:uid="{408CC49D-E002-46D4-8666-00BCC6EDFB7F}"/>
    <cellStyle name="Millares 4 4 7 3" xfId="2557" xr:uid="{53019A2D-4EDB-4049-914C-7AF983F6ADB0}"/>
    <cellStyle name="Millares 4 4 7 3 2" xfId="6405" xr:uid="{8FC233B0-149C-4865-96DF-6CEBEC93F062}"/>
    <cellStyle name="Millares 4 4 7 4" xfId="4481" xr:uid="{AC38BD49-FECC-4909-8824-FC4A7CB9A962}"/>
    <cellStyle name="Millares 4 4 8" xfId="1114" xr:uid="{75CEBB16-35E4-4A24-B6AB-BB73E89E1A70}"/>
    <cellStyle name="Millares 4 4 8 2" xfId="3038" xr:uid="{28112FDC-17CD-4A3D-ADCC-DB48A7A14FAB}"/>
    <cellStyle name="Millares 4 4 8 2 2" xfId="6886" xr:uid="{D9860295-34AF-435A-B071-3101FE67485B}"/>
    <cellStyle name="Millares 4 4 8 3" xfId="4962" xr:uid="{38B38393-6665-4F9A-B280-EFC46A72E3DE}"/>
    <cellStyle name="Millares 4 4 9" xfId="2076" xr:uid="{3D1FD39D-0FE5-4EF9-ACCB-C1058D9045CC}"/>
    <cellStyle name="Millares 4 4 9 2" xfId="5924" xr:uid="{16C080F1-F353-488F-929C-4B10714A41E0}"/>
    <cellStyle name="Millares 4 5" xfId="176" xr:uid="{F6AA9AA8-67E1-43A0-974D-4AF01DEA14D8}"/>
    <cellStyle name="Millares 4 5 2" xfId="210" xr:uid="{DE4F26CD-B02A-4272-981B-0BF8755944A8}"/>
    <cellStyle name="Millares 4 5 2 2" xfId="344" xr:uid="{9AA48EDD-872C-46E3-98DA-27ECFDD9BFC3}"/>
    <cellStyle name="Millares 4 5 2 2 2" xfId="595" xr:uid="{338FFFF5-5EEB-482A-A1AA-68B51769F79C}"/>
    <cellStyle name="Millares 4 5 2 2 2 2" xfId="1076" xr:uid="{44946F6F-BCDB-407F-80BA-87DD3630D430}"/>
    <cellStyle name="Millares 4 5 2 2 2 2 2" xfId="2038" xr:uid="{77B681C9-68F3-4D46-92BF-CAC120ADED44}"/>
    <cellStyle name="Millares 4 5 2 2 2 2 2 2" xfId="3962" xr:uid="{A7D1E30C-6740-40B0-BE1E-9268008CAA0B}"/>
    <cellStyle name="Millares 4 5 2 2 2 2 2 2 2" xfId="7810" xr:uid="{407E8316-6D77-485B-AD2F-7545FE8E9311}"/>
    <cellStyle name="Millares 4 5 2 2 2 2 2 3" xfId="5886" xr:uid="{49DEDFCB-C754-4040-8320-8437C5851B94}"/>
    <cellStyle name="Millares 4 5 2 2 2 2 3" xfId="3000" xr:uid="{A97940F7-9C10-48BC-8F02-E847019C9ACE}"/>
    <cellStyle name="Millares 4 5 2 2 2 2 3 2" xfId="6848" xr:uid="{0B2A0FA5-E906-4C01-8DE1-A3C9C7F70D17}"/>
    <cellStyle name="Millares 4 5 2 2 2 2 4" xfId="4924" xr:uid="{E3F8BC3A-84E0-4ACF-BC65-49BAF3F4F25E}"/>
    <cellStyle name="Millares 4 5 2 2 2 3" xfId="1557" xr:uid="{ACEE4124-C167-47E4-B532-5C170A5722C6}"/>
    <cellStyle name="Millares 4 5 2 2 2 3 2" xfId="3481" xr:uid="{5AB09D1F-6CDB-4467-A0DE-E253BFC8DBCB}"/>
    <cellStyle name="Millares 4 5 2 2 2 3 2 2" xfId="7329" xr:uid="{1967C27D-FF31-48FF-A49D-AF9A40C4E312}"/>
    <cellStyle name="Millares 4 5 2 2 2 3 3" xfId="5405" xr:uid="{775A765B-B671-4C80-A405-7014E9EAE754}"/>
    <cellStyle name="Millares 4 5 2 2 2 4" xfId="2519" xr:uid="{5E09D7B6-27BD-4DE9-9822-1D22D440B1B0}"/>
    <cellStyle name="Millares 4 5 2 2 2 4 2" xfId="6367" xr:uid="{BB37E026-AA1C-40D8-A955-939F5692BDE2}"/>
    <cellStyle name="Millares 4 5 2 2 2 5" xfId="4443" xr:uid="{28483CB2-D3CA-4BE0-BECA-41262E030E4F}"/>
    <cellStyle name="Millares 4 5 2 2 3" xfId="836" xr:uid="{11389A26-B2CC-4F50-AECE-6E410430F14D}"/>
    <cellStyle name="Millares 4 5 2 2 3 2" xfId="1798" xr:uid="{15BF9530-AC48-4ED0-B4FA-9CE0E50C2412}"/>
    <cellStyle name="Millares 4 5 2 2 3 2 2" xfId="3722" xr:uid="{84BE8784-7F69-4294-A8F3-36966FED6641}"/>
    <cellStyle name="Millares 4 5 2 2 3 2 2 2" xfId="7570" xr:uid="{F120E8E4-0BED-4EBD-9AC3-962ECDFDEDC2}"/>
    <cellStyle name="Millares 4 5 2 2 3 2 3" xfId="5646" xr:uid="{D20AE70C-E13C-4C1E-9C4A-FC41500FE654}"/>
    <cellStyle name="Millares 4 5 2 2 3 3" xfId="2760" xr:uid="{D5F5AFE5-CF35-4391-BC7C-D07154A266D0}"/>
    <cellStyle name="Millares 4 5 2 2 3 3 2" xfId="6608" xr:uid="{09775F01-79FB-42A3-85BC-FB681B498DE4}"/>
    <cellStyle name="Millares 4 5 2 2 3 4" xfId="4684" xr:uid="{97E8C7E3-388A-4952-86C7-9B3820AA5791}"/>
    <cellStyle name="Millares 4 5 2 2 4" xfId="1317" xr:uid="{3F890DA2-2B12-4E36-894A-B5DB6D0D4EC8}"/>
    <cellStyle name="Millares 4 5 2 2 4 2" xfId="3241" xr:uid="{D3EDF3D7-5DD1-4305-900F-76DF4C37BF05}"/>
    <cellStyle name="Millares 4 5 2 2 4 2 2" xfId="7089" xr:uid="{9B00DA87-417A-466C-96A5-A0781FF1CB87}"/>
    <cellStyle name="Millares 4 5 2 2 4 3" xfId="5165" xr:uid="{58309D61-9B86-4D59-A5CD-3176D7A55131}"/>
    <cellStyle name="Millares 4 5 2 2 5" xfId="2279" xr:uid="{A7FB3F72-8942-45EB-9A8B-55034A82F895}"/>
    <cellStyle name="Millares 4 5 2 2 5 2" xfId="6127" xr:uid="{6230C45F-26D9-4C80-B731-33F04C138114}"/>
    <cellStyle name="Millares 4 5 2 2 6" xfId="4203" xr:uid="{D4883578-A354-4A77-B2D8-4A19F4E0E395}"/>
    <cellStyle name="Millares 4 5 2 3" xfId="463" xr:uid="{F53ED1FF-F5E0-4EDF-9A66-E124BF6B703A}"/>
    <cellStyle name="Millares 4 5 2 3 2" xfId="944" xr:uid="{C01EC197-51A7-41C5-8C36-3EABB11A472D}"/>
    <cellStyle name="Millares 4 5 2 3 2 2" xfId="1906" xr:uid="{8966CA74-091E-4224-B82F-8CFA33458310}"/>
    <cellStyle name="Millares 4 5 2 3 2 2 2" xfId="3830" xr:uid="{EF4EC8A8-C7A2-4B9E-9E2D-683387B1B19F}"/>
    <cellStyle name="Millares 4 5 2 3 2 2 2 2" xfId="7678" xr:uid="{A0F0D82D-FC24-4C6C-BCC2-5CFC95A70036}"/>
    <cellStyle name="Millares 4 5 2 3 2 2 3" xfId="5754" xr:uid="{68AC1924-7F4D-4854-A1BA-D3AC8194106D}"/>
    <cellStyle name="Millares 4 5 2 3 2 3" xfId="2868" xr:uid="{B2A8C732-0E1B-4CD8-830A-0B6CDC1DAEBF}"/>
    <cellStyle name="Millares 4 5 2 3 2 3 2" xfId="6716" xr:uid="{7D00186E-0DA7-49BB-B4F0-223182105BA9}"/>
    <cellStyle name="Millares 4 5 2 3 2 4" xfId="4792" xr:uid="{D9071A72-468A-4422-8604-EB25F16509F9}"/>
    <cellStyle name="Millares 4 5 2 3 3" xfId="1425" xr:uid="{D06D3990-8477-46C2-BE5A-9A213078D8FD}"/>
    <cellStyle name="Millares 4 5 2 3 3 2" xfId="3349" xr:uid="{D19DD9EC-CB02-4655-BE09-5B672B478C66}"/>
    <cellStyle name="Millares 4 5 2 3 3 2 2" xfId="7197" xr:uid="{1ECC0338-FA31-4073-B6CF-AC55D987ABB4}"/>
    <cellStyle name="Millares 4 5 2 3 3 3" xfId="5273" xr:uid="{306A15C6-B5C3-4992-93B2-92F0271AEBB6}"/>
    <cellStyle name="Millares 4 5 2 3 4" xfId="2387" xr:uid="{12C9F23B-BA00-46FE-9E2D-61B1D29CC570}"/>
    <cellStyle name="Millares 4 5 2 3 4 2" xfId="6235" xr:uid="{E0F28690-12C3-40FC-9E58-56A8BCA322D7}"/>
    <cellStyle name="Millares 4 5 2 3 5" xfId="4311" xr:uid="{4070ACE6-6B3D-415A-ACD1-D8027C4F7D63}"/>
    <cellStyle name="Millares 4 5 2 4" xfId="704" xr:uid="{F7E0451A-066D-43ED-8E68-C5E91FBF0D37}"/>
    <cellStyle name="Millares 4 5 2 4 2" xfId="1666" xr:uid="{E162D3B2-65E8-4BDF-9B3B-A0FBF3811F63}"/>
    <cellStyle name="Millares 4 5 2 4 2 2" xfId="3590" xr:uid="{1818C30B-1432-4233-B666-C1C2177B4B51}"/>
    <cellStyle name="Millares 4 5 2 4 2 2 2" xfId="7438" xr:uid="{5EF75417-EB21-4DFA-8BC1-8EC5C0E9B82E}"/>
    <cellStyle name="Millares 4 5 2 4 2 3" xfId="5514" xr:uid="{5A72BC0E-6B70-4A8A-92D7-16CA1D8E18F5}"/>
    <cellStyle name="Millares 4 5 2 4 3" xfId="2628" xr:uid="{2554E411-19A3-4E11-ABC3-B8A5E5741148}"/>
    <cellStyle name="Millares 4 5 2 4 3 2" xfId="6476" xr:uid="{EE23C31C-237F-47AE-9350-876C5D26AB4D}"/>
    <cellStyle name="Millares 4 5 2 4 4" xfId="4552" xr:uid="{1F304D5C-100C-485D-B97C-4250900972B5}"/>
    <cellStyle name="Millares 4 5 2 5" xfId="1185" xr:uid="{E5A4D08D-2055-43EA-A789-26BB5E3E442E}"/>
    <cellStyle name="Millares 4 5 2 5 2" xfId="3109" xr:uid="{0C5E5C34-395F-4BEC-8E8A-A602F63AF8FD}"/>
    <cellStyle name="Millares 4 5 2 5 2 2" xfId="6957" xr:uid="{B3174BF0-6D7C-4354-84E1-E8C127D395F8}"/>
    <cellStyle name="Millares 4 5 2 5 3" xfId="5033" xr:uid="{9076ABDD-5CFC-44B5-A985-FDF87839FC32}"/>
    <cellStyle name="Millares 4 5 2 6" xfId="2147" xr:uid="{7B19D614-015A-4EA5-A0A2-AD4152F77193}"/>
    <cellStyle name="Millares 4 5 2 6 2" xfId="5995" xr:uid="{32A641B8-4579-4EB2-9BD8-9C0C020FCAEF}"/>
    <cellStyle name="Millares 4 5 2 7" xfId="4071" xr:uid="{32ADF23E-D94E-4C56-A40E-C6E5605D0271}"/>
    <cellStyle name="Millares 4 5 3" xfId="311" xr:uid="{1DC8F237-D419-45D5-A61B-504101BB3D73}"/>
    <cellStyle name="Millares 4 5 3 2" xfId="562" xr:uid="{852625A6-7BAB-40BB-8EAF-84AEF2EBC1B7}"/>
    <cellStyle name="Millares 4 5 3 2 2" xfId="1043" xr:uid="{BFC4DC6C-E7D6-4017-8FFA-74EC0C315AD1}"/>
    <cellStyle name="Millares 4 5 3 2 2 2" xfId="2005" xr:uid="{FA51CAEA-13AF-4D0C-8684-EF3B65FC6C57}"/>
    <cellStyle name="Millares 4 5 3 2 2 2 2" xfId="3929" xr:uid="{22960B1D-675D-4499-9D28-FD89C53315B6}"/>
    <cellStyle name="Millares 4 5 3 2 2 2 2 2" xfId="7777" xr:uid="{C97644A9-CD30-430A-8F8F-6A123A888459}"/>
    <cellStyle name="Millares 4 5 3 2 2 2 3" xfId="5853" xr:uid="{D2530DC0-7068-4FE9-A006-939EE7647331}"/>
    <cellStyle name="Millares 4 5 3 2 2 3" xfId="2967" xr:uid="{D54744D6-5873-4C51-9513-06A1806542FF}"/>
    <cellStyle name="Millares 4 5 3 2 2 3 2" xfId="6815" xr:uid="{9E5644D2-48E4-4396-A76F-A3A6DCB2CC7D}"/>
    <cellStyle name="Millares 4 5 3 2 2 4" xfId="4891" xr:uid="{C09D7FE6-3182-4E19-A658-5481E44B9E1C}"/>
    <cellStyle name="Millares 4 5 3 2 3" xfId="1524" xr:uid="{98E4AD28-B0E7-470B-A654-6F9A7F570CC9}"/>
    <cellStyle name="Millares 4 5 3 2 3 2" xfId="3448" xr:uid="{7CD180A5-E926-4C53-A749-9B8A0C85402B}"/>
    <cellStyle name="Millares 4 5 3 2 3 2 2" xfId="7296" xr:uid="{41590F12-D97C-4420-BFF8-890A8115C03B}"/>
    <cellStyle name="Millares 4 5 3 2 3 3" xfId="5372" xr:uid="{38903810-AEDC-47F6-8E6F-5AFF16342559}"/>
    <cellStyle name="Millares 4 5 3 2 4" xfId="2486" xr:uid="{7608D920-B79A-4A3D-B9DA-A25EDCE27A07}"/>
    <cellStyle name="Millares 4 5 3 2 4 2" xfId="6334" xr:uid="{772B9698-242E-43CC-ADD2-1B0915499FFD}"/>
    <cellStyle name="Millares 4 5 3 2 5" xfId="4410" xr:uid="{CF29528D-695F-41F2-8496-6F00830688CB}"/>
    <cellStyle name="Millares 4 5 3 3" xfId="803" xr:uid="{73AB588D-4703-4F5E-A346-1EF3B4DA960C}"/>
    <cellStyle name="Millares 4 5 3 3 2" xfId="1765" xr:uid="{D8C8C4FE-821E-4188-9911-50041E9EB8BA}"/>
    <cellStyle name="Millares 4 5 3 3 2 2" xfId="3689" xr:uid="{E7A3EB1F-71FA-49CC-AE41-1F4D45431074}"/>
    <cellStyle name="Millares 4 5 3 3 2 2 2" xfId="7537" xr:uid="{FBCF89EF-9C35-44A8-82E7-B7E5067A151E}"/>
    <cellStyle name="Millares 4 5 3 3 2 3" xfId="5613" xr:uid="{03D628C1-9AA3-48F3-8353-EC99A7AE9AD4}"/>
    <cellStyle name="Millares 4 5 3 3 3" xfId="2727" xr:uid="{1C35A9D4-6815-41EB-92BB-7C9BD02882AE}"/>
    <cellStyle name="Millares 4 5 3 3 3 2" xfId="6575" xr:uid="{9CD9BFC4-A8D8-4FDC-8B45-F6B1CD6BB5C6}"/>
    <cellStyle name="Millares 4 5 3 3 4" xfId="4651" xr:uid="{F13BEAB2-2449-4D2B-9D39-AFEB1A80644C}"/>
    <cellStyle name="Millares 4 5 3 4" xfId="1284" xr:uid="{252A810D-A2F6-43CA-8ED5-00CDFE7BEAC0}"/>
    <cellStyle name="Millares 4 5 3 4 2" xfId="3208" xr:uid="{EA7B9968-4D35-461C-9753-E67DAA635F5E}"/>
    <cellStyle name="Millares 4 5 3 4 2 2" xfId="7056" xr:uid="{151F7657-1409-441A-953C-9E29907259B3}"/>
    <cellStyle name="Millares 4 5 3 4 3" xfId="5132" xr:uid="{C125F60F-3A87-4A46-AD48-307D533795C1}"/>
    <cellStyle name="Millares 4 5 3 5" xfId="2246" xr:uid="{F018F73C-D6E3-4341-A9E9-2B8DB0CF804D}"/>
    <cellStyle name="Millares 4 5 3 5 2" xfId="6094" xr:uid="{B655D083-016B-400B-B436-987B460D7D0E}"/>
    <cellStyle name="Millares 4 5 3 6" xfId="4170" xr:uid="{FC0D2B6B-54C7-4398-B1B9-71CC2BB52E1F}"/>
    <cellStyle name="Millares 4 5 4" xfId="244" xr:uid="{10EBB3C9-8F3E-429F-87DE-B47511E9E40C}"/>
    <cellStyle name="Millares 4 5 4 2" xfId="496" xr:uid="{D836D8D5-0898-436C-9D4A-18149522FF5E}"/>
    <cellStyle name="Millares 4 5 4 2 2" xfId="977" xr:uid="{FCE507BB-C3D2-4D65-B1DC-6D159DC6A7D6}"/>
    <cellStyle name="Millares 4 5 4 2 2 2" xfId="1939" xr:uid="{9BF4BF2A-3F56-4714-8955-AB51E8FA3D9F}"/>
    <cellStyle name="Millares 4 5 4 2 2 2 2" xfId="3863" xr:uid="{FF84344F-DF95-44F1-9633-7DB2F361E46D}"/>
    <cellStyle name="Millares 4 5 4 2 2 2 2 2" xfId="7711" xr:uid="{1F00E70F-4908-4B6D-99D0-2B028E2B6450}"/>
    <cellStyle name="Millares 4 5 4 2 2 2 3" xfId="5787" xr:uid="{B3BE9022-E854-498D-9772-201688400340}"/>
    <cellStyle name="Millares 4 5 4 2 2 3" xfId="2901" xr:uid="{75640F6A-594A-4006-95ED-87B771890A52}"/>
    <cellStyle name="Millares 4 5 4 2 2 3 2" xfId="6749" xr:uid="{DB5FC255-9FE3-4B69-9EC2-92CE68864194}"/>
    <cellStyle name="Millares 4 5 4 2 2 4" xfId="4825" xr:uid="{339062E1-F42C-4F46-BA99-913A965F0CFA}"/>
    <cellStyle name="Millares 4 5 4 2 3" xfId="1458" xr:uid="{F014E3AF-7F45-4B5B-8303-CB2B4E820C75}"/>
    <cellStyle name="Millares 4 5 4 2 3 2" xfId="3382" xr:uid="{77A26D9D-9BBD-4B83-953C-4A7930CC364A}"/>
    <cellStyle name="Millares 4 5 4 2 3 2 2" xfId="7230" xr:uid="{89D03167-97EE-40FD-A28B-83D79D64BF3D}"/>
    <cellStyle name="Millares 4 5 4 2 3 3" xfId="5306" xr:uid="{8ABB1987-B4CB-4AEF-BB3E-2BFF8022F136}"/>
    <cellStyle name="Millares 4 5 4 2 4" xfId="2420" xr:uid="{C5F6A74F-9D73-4A08-B025-4CFCBA250F5F}"/>
    <cellStyle name="Millares 4 5 4 2 4 2" xfId="6268" xr:uid="{FC7E4A6D-04E0-4176-AF53-940F75BEDC1D}"/>
    <cellStyle name="Millares 4 5 4 2 5" xfId="4344" xr:uid="{DF058999-4793-4B26-8406-049995C4C797}"/>
    <cellStyle name="Millares 4 5 4 3" xfId="737" xr:uid="{3CF18F80-3B48-4AF5-989C-3899AA42CD63}"/>
    <cellStyle name="Millares 4 5 4 3 2" xfId="1699" xr:uid="{964D828E-A94D-4277-AE2C-72797E68BA08}"/>
    <cellStyle name="Millares 4 5 4 3 2 2" xfId="3623" xr:uid="{3ED9D8A7-F01A-4029-9ABE-912A131E29FC}"/>
    <cellStyle name="Millares 4 5 4 3 2 2 2" xfId="7471" xr:uid="{4BA0EACC-DB0B-4B6C-AC62-EA9BE8E443AF}"/>
    <cellStyle name="Millares 4 5 4 3 2 3" xfId="5547" xr:uid="{0102D725-53A4-4FB4-94C0-E5459EDB24D5}"/>
    <cellStyle name="Millares 4 5 4 3 3" xfId="2661" xr:uid="{4D68B094-D847-4806-90D9-95064B57E5D0}"/>
    <cellStyle name="Millares 4 5 4 3 3 2" xfId="6509" xr:uid="{06BC7639-AD6A-47A0-A35C-3393F1C41621}"/>
    <cellStyle name="Millares 4 5 4 3 4" xfId="4585" xr:uid="{F8E83C59-20E8-4A9A-BD3E-FFB1B9EF730D}"/>
    <cellStyle name="Millares 4 5 4 4" xfId="1218" xr:uid="{79623AC1-8D43-49CB-9DED-CA2127B3385D}"/>
    <cellStyle name="Millares 4 5 4 4 2" xfId="3142" xr:uid="{0A4CD73C-0CDE-4D1D-B59C-C5A65D3BBA18}"/>
    <cellStyle name="Millares 4 5 4 4 2 2" xfId="6990" xr:uid="{00A8378A-B8BB-49A2-8A83-D1817BB4C373}"/>
    <cellStyle name="Millares 4 5 4 4 3" xfId="5066" xr:uid="{0C91C974-693A-4405-BE25-02E08F0F1AD7}"/>
    <cellStyle name="Millares 4 5 4 5" xfId="2180" xr:uid="{4363E9BA-2521-40EC-A454-9793AB464236}"/>
    <cellStyle name="Millares 4 5 4 5 2" xfId="6028" xr:uid="{CDBD0BA3-6449-4E6F-983D-CC3BD9755B3D}"/>
    <cellStyle name="Millares 4 5 4 6" xfId="4104" xr:uid="{6BD11008-A3A6-4778-AD38-BF0DB8F9D4A0}"/>
    <cellStyle name="Millares 4 5 5" xfId="430" xr:uid="{C76C3D3E-AFE5-40B3-81CA-66833228AD33}"/>
    <cellStyle name="Millares 4 5 5 2" xfId="911" xr:uid="{11416BBA-9AC0-4677-8701-902DC7375CB1}"/>
    <cellStyle name="Millares 4 5 5 2 2" xfId="1873" xr:uid="{AE951E83-E7C5-4BCE-94DA-FDA0FA871F58}"/>
    <cellStyle name="Millares 4 5 5 2 2 2" xfId="3797" xr:uid="{581F4374-2441-4135-9063-8B1647487CC3}"/>
    <cellStyle name="Millares 4 5 5 2 2 2 2" xfId="7645" xr:uid="{65917CA2-4FD3-4F30-8585-44406DF941B1}"/>
    <cellStyle name="Millares 4 5 5 2 2 3" xfId="5721" xr:uid="{C7876011-4514-4EC7-B16F-789566A6EC8F}"/>
    <cellStyle name="Millares 4 5 5 2 3" xfId="2835" xr:uid="{9564CC86-D9D7-49E9-A6DF-D4CDAD9DC768}"/>
    <cellStyle name="Millares 4 5 5 2 3 2" xfId="6683" xr:uid="{3A5EE851-03F6-446A-AB36-2B15C8FD5616}"/>
    <cellStyle name="Millares 4 5 5 2 4" xfId="4759" xr:uid="{438A0CC4-F202-4805-B346-28EEDF91B8C4}"/>
    <cellStyle name="Millares 4 5 5 3" xfId="1392" xr:uid="{E12F981F-2497-477E-A35A-C9586E438C9B}"/>
    <cellStyle name="Millares 4 5 5 3 2" xfId="3316" xr:uid="{38F7DC10-C555-4427-BBFB-0DEAFC4243F7}"/>
    <cellStyle name="Millares 4 5 5 3 2 2" xfId="7164" xr:uid="{C6090CA2-B785-4AD7-8C8D-C41D3353A70B}"/>
    <cellStyle name="Millares 4 5 5 3 3" xfId="5240" xr:uid="{BCE51C07-C58F-417A-A5FD-AD5EC95EC92E}"/>
    <cellStyle name="Millares 4 5 5 4" xfId="2354" xr:uid="{CACEEBDC-6C5B-4377-8CDD-5E79B205B79D}"/>
    <cellStyle name="Millares 4 5 5 4 2" xfId="6202" xr:uid="{CCE19509-3722-4FDF-B1E4-488126EE5DAB}"/>
    <cellStyle name="Millares 4 5 5 5" xfId="4278" xr:uid="{E7B15DEF-F596-4EB6-8585-5C6C7C5DB20F}"/>
    <cellStyle name="Millares 4 5 6" xfId="671" xr:uid="{F97B5C6B-184C-40E5-87A8-989CBA424CCD}"/>
    <cellStyle name="Millares 4 5 6 2" xfId="1633" xr:uid="{61963764-C31D-4B9A-A086-A2D65817A449}"/>
    <cellStyle name="Millares 4 5 6 2 2" xfId="3557" xr:uid="{90A6C8CA-76AC-4CCC-B5E1-786FC006CFFB}"/>
    <cellStyle name="Millares 4 5 6 2 2 2" xfId="7405" xr:uid="{9F1ED2F4-A548-4D73-93CD-929D4833E7B8}"/>
    <cellStyle name="Millares 4 5 6 2 3" xfId="5481" xr:uid="{545B0030-0F46-4A9C-87AA-362014D26CBC}"/>
    <cellStyle name="Millares 4 5 6 3" xfId="2595" xr:uid="{199A3610-6CDC-421D-AED8-289A807DFDD8}"/>
    <cellStyle name="Millares 4 5 6 3 2" xfId="6443" xr:uid="{7404B6DA-FCDF-4988-9E1A-FAF0D6E8260C}"/>
    <cellStyle name="Millares 4 5 6 4" xfId="4519" xr:uid="{38683617-5335-425C-A247-6EFF13BE3AAA}"/>
    <cellStyle name="Millares 4 5 7" xfId="1152" xr:uid="{F101D2A6-ACD9-4EE0-ADA6-678607406036}"/>
    <cellStyle name="Millares 4 5 7 2" xfId="3076" xr:uid="{17CF7E96-BB5C-4602-ABA1-541DFF5F987D}"/>
    <cellStyle name="Millares 4 5 7 2 2" xfId="6924" xr:uid="{E81007A9-13BA-469B-BC3F-B78660AFCB4F}"/>
    <cellStyle name="Millares 4 5 7 3" xfId="5000" xr:uid="{05D87F0D-3D3D-4540-97A8-7E00FC68D491}"/>
    <cellStyle name="Millares 4 5 8" xfId="2114" xr:uid="{6EFB430F-6331-4F34-B07E-1868F24C5907}"/>
    <cellStyle name="Millares 4 5 8 2" xfId="5962" xr:uid="{881ABDB9-147B-40C0-A85F-9A3B7643390A}"/>
    <cellStyle name="Millares 4 5 9" xfId="4038" xr:uid="{A870CF4B-6578-4C5C-8EEC-728B1084A856}"/>
    <cellStyle name="Millares 4 6" xfId="140" xr:uid="{DC4B920D-73F8-488C-9D15-0F00C0327E05}"/>
    <cellStyle name="Millares 4 6 2" xfId="288" xr:uid="{A3C56753-55B6-4ADD-BE60-E1B6A3DEB63C}"/>
    <cellStyle name="Millares 4 6 2 2" xfId="539" xr:uid="{2AB06AD0-C08E-48C2-95F6-052E97B52376}"/>
    <cellStyle name="Millares 4 6 2 2 2" xfId="1020" xr:uid="{CED603B6-F9B9-487E-9FAB-248426EB721D}"/>
    <cellStyle name="Millares 4 6 2 2 2 2" xfId="1982" xr:uid="{8AEA4010-0612-40C7-BB5B-C6C594CB10D2}"/>
    <cellStyle name="Millares 4 6 2 2 2 2 2" xfId="3906" xr:uid="{D633C500-4841-441C-BAB8-A5E087ABE00D}"/>
    <cellStyle name="Millares 4 6 2 2 2 2 2 2" xfId="7754" xr:uid="{DF963920-4495-4CC8-A388-577E88403A3E}"/>
    <cellStyle name="Millares 4 6 2 2 2 2 3" xfId="5830" xr:uid="{F2DB0606-D5C6-4619-BEAA-D31F38A233C5}"/>
    <cellStyle name="Millares 4 6 2 2 2 3" xfId="2944" xr:uid="{D468C973-55A3-4AAD-8F1C-5B7E2FB97E11}"/>
    <cellStyle name="Millares 4 6 2 2 2 3 2" xfId="6792" xr:uid="{7A6ADB8E-D365-485B-897B-690F7A8BFF53}"/>
    <cellStyle name="Millares 4 6 2 2 2 4" xfId="4868" xr:uid="{761DD442-8065-4305-9B54-BC4F62A68650}"/>
    <cellStyle name="Millares 4 6 2 2 3" xfId="1501" xr:uid="{D0ABCAC1-FF13-4CFE-953D-FBF72E679394}"/>
    <cellStyle name="Millares 4 6 2 2 3 2" xfId="3425" xr:uid="{49E83029-8E97-4830-B151-07E5B0C19414}"/>
    <cellStyle name="Millares 4 6 2 2 3 2 2" xfId="7273" xr:uid="{51E4CECF-B784-463D-A6AF-9E7DA50F39BE}"/>
    <cellStyle name="Millares 4 6 2 2 3 3" xfId="5349" xr:uid="{C8071755-AC02-4009-9729-77366D376912}"/>
    <cellStyle name="Millares 4 6 2 2 4" xfId="2463" xr:uid="{FAC518A6-BF80-4B07-B8ED-6DFDBF9BC6FC}"/>
    <cellStyle name="Millares 4 6 2 2 4 2" xfId="6311" xr:uid="{B1DDE6FC-B05F-4368-9402-58A7826750DA}"/>
    <cellStyle name="Millares 4 6 2 2 5" xfId="4387" xr:uid="{C509044C-3B07-429D-A4E8-41500E5B8D88}"/>
    <cellStyle name="Millares 4 6 2 3" xfId="780" xr:uid="{C9CDCEC5-74BA-4E4A-81F0-ABFC10792DD0}"/>
    <cellStyle name="Millares 4 6 2 3 2" xfId="1742" xr:uid="{CBE2BE99-D9D3-4BA0-A0DF-7F0EFA4FCADA}"/>
    <cellStyle name="Millares 4 6 2 3 2 2" xfId="3666" xr:uid="{3B6B5BE9-0D2C-44E4-94E8-6032BED47F61}"/>
    <cellStyle name="Millares 4 6 2 3 2 2 2" xfId="7514" xr:uid="{2167E25A-010A-47CE-A67D-228AFC2D9E0D}"/>
    <cellStyle name="Millares 4 6 2 3 2 3" xfId="5590" xr:uid="{A2185C73-DC54-4BA5-92C4-56409A73099E}"/>
    <cellStyle name="Millares 4 6 2 3 3" xfId="2704" xr:uid="{4BE5AE01-E65F-44DD-A2B9-22E3F5575348}"/>
    <cellStyle name="Millares 4 6 2 3 3 2" xfId="6552" xr:uid="{950F5E1A-FE22-4AE7-AD53-7FBD21D22B0E}"/>
    <cellStyle name="Millares 4 6 2 3 4" xfId="4628" xr:uid="{5B3FC28C-CB12-4425-9682-7F14707FAB04}"/>
    <cellStyle name="Millares 4 6 2 4" xfId="1261" xr:uid="{471EF41E-285C-448C-BEFB-6CED3A4E6EC4}"/>
    <cellStyle name="Millares 4 6 2 4 2" xfId="3185" xr:uid="{4F956056-E733-45E3-8426-2CB3537F1ED7}"/>
    <cellStyle name="Millares 4 6 2 4 2 2" xfId="7033" xr:uid="{C75EE63E-4D85-4AEB-AD19-6EB94073937B}"/>
    <cellStyle name="Millares 4 6 2 4 3" xfId="5109" xr:uid="{2B822783-CF89-43AE-8560-4B6E9A4F4A8C}"/>
    <cellStyle name="Millares 4 6 2 5" xfId="2223" xr:uid="{518A0DD5-5A27-4F70-8515-B45B5AF9FAA7}"/>
    <cellStyle name="Millares 4 6 2 5 2" xfId="6071" xr:uid="{4F153576-297C-4EDF-A0DA-27C1E5923171}"/>
    <cellStyle name="Millares 4 6 2 6" xfId="4147" xr:uid="{FD48847D-0361-45A6-B52C-69B2455A625B}"/>
    <cellStyle name="Millares 4 6 3" xfId="407" xr:uid="{BC56AA60-1D22-4A65-8B1B-A96A5D1F1DC1}"/>
    <cellStyle name="Millares 4 6 3 2" xfId="888" xr:uid="{9CB32B16-DCD8-4137-B6B9-D72DD7D07F23}"/>
    <cellStyle name="Millares 4 6 3 2 2" xfId="1850" xr:uid="{A765BDD2-DE55-4EEE-BED2-F797059D6BF7}"/>
    <cellStyle name="Millares 4 6 3 2 2 2" xfId="3774" xr:uid="{B8F9968E-A4F1-48F0-988E-01A4F2FE96C9}"/>
    <cellStyle name="Millares 4 6 3 2 2 2 2" xfId="7622" xr:uid="{1AF0095A-4FC9-4FE3-8A26-2D14737DFAD2}"/>
    <cellStyle name="Millares 4 6 3 2 2 3" xfId="5698" xr:uid="{1C9C70C4-5EE0-4C4E-92B9-20C319A3698E}"/>
    <cellStyle name="Millares 4 6 3 2 3" xfId="2812" xr:uid="{E4FD0695-9D1E-4678-8B9F-A4CBC7204E85}"/>
    <cellStyle name="Millares 4 6 3 2 3 2" xfId="6660" xr:uid="{FC5D079D-E221-4277-AFBD-79B11075F530}"/>
    <cellStyle name="Millares 4 6 3 2 4" xfId="4736" xr:uid="{7BF65862-DAAC-4471-8AF1-F59952D520CF}"/>
    <cellStyle name="Millares 4 6 3 3" xfId="1369" xr:uid="{9675E29F-5BB6-4F59-BB7B-FAF772536941}"/>
    <cellStyle name="Millares 4 6 3 3 2" xfId="3293" xr:uid="{DCD0892B-46DC-4DA7-9240-2A92DFD77E8F}"/>
    <cellStyle name="Millares 4 6 3 3 2 2" xfId="7141" xr:uid="{652162F2-EAE9-4682-BD39-2678D4F7CFBB}"/>
    <cellStyle name="Millares 4 6 3 3 3" xfId="5217" xr:uid="{E0CAFF37-B371-4F2B-8228-C76F87FC7FF6}"/>
    <cellStyle name="Millares 4 6 3 4" xfId="2331" xr:uid="{E46FC3DB-3B00-431E-BE57-7585F60D0C37}"/>
    <cellStyle name="Millares 4 6 3 4 2" xfId="6179" xr:uid="{79C508A3-403E-4FD8-8695-F1690FFC5E0A}"/>
    <cellStyle name="Millares 4 6 3 5" xfId="4255" xr:uid="{53A9510A-B53B-4830-AC45-29ADCF9C3E7C}"/>
    <cellStyle name="Millares 4 6 4" xfId="648" xr:uid="{9781E62E-CD73-492D-B1F0-66C018058F74}"/>
    <cellStyle name="Millares 4 6 4 2" xfId="1610" xr:uid="{21FE863E-9E12-4258-B5AB-FDAD2A6EA88F}"/>
    <cellStyle name="Millares 4 6 4 2 2" xfId="3534" xr:uid="{0C45ABA3-972C-4660-ABCE-626EDD0E6C5B}"/>
    <cellStyle name="Millares 4 6 4 2 2 2" xfId="7382" xr:uid="{B26C9AC4-F3CD-4ECF-BF25-B2DC4ED72001}"/>
    <cellStyle name="Millares 4 6 4 2 3" xfId="5458" xr:uid="{AE6D62B8-9F11-49E3-9747-0ADD9EB28A5D}"/>
    <cellStyle name="Millares 4 6 4 3" xfId="2572" xr:uid="{4FC490CF-96E1-4D78-B856-AC11F38C04F5}"/>
    <cellStyle name="Millares 4 6 4 3 2" xfId="6420" xr:uid="{A35B7995-01B5-4DE2-ADE4-86BF8A37CF41}"/>
    <cellStyle name="Millares 4 6 4 4" xfId="4496" xr:uid="{442BFBB6-26C2-4553-A503-F2805F57F5E1}"/>
    <cellStyle name="Millares 4 6 5" xfId="1129" xr:uid="{4960CAA3-4D9E-481F-96D3-8D9ED0E3306B}"/>
    <cellStyle name="Millares 4 6 5 2" xfId="3053" xr:uid="{42DD5333-6020-4820-B6F7-1D436AF7F58A}"/>
    <cellStyle name="Millares 4 6 5 2 2" xfId="6901" xr:uid="{257E4E0C-7836-41A6-866F-918EFFA157F2}"/>
    <cellStyle name="Millares 4 6 5 3" xfId="4977" xr:uid="{F1C940B0-A55E-46D0-A627-3551E938CE5B}"/>
    <cellStyle name="Millares 4 6 6" xfId="2091" xr:uid="{67BF0D6F-44E3-4A16-AA6D-41000F4D46A1}"/>
    <cellStyle name="Millares 4 6 6 2" xfId="5939" xr:uid="{F0CBCC30-753A-41E1-8E70-29719829B508}"/>
    <cellStyle name="Millares 4 6 7" xfId="4015" xr:uid="{23AA0C2F-AFB6-4960-8938-3C2BB5C0A0C1}"/>
    <cellStyle name="Millares 4 7" xfId="264" xr:uid="{8CF2BB97-3110-4294-B26A-F02B28240338}"/>
    <cellStyle name="Millares 4 7 2" xfId="516" xr:uid="{D1DC96DC-D1F1-4422-A9FD-4D721AB01FE6}"/>
    <cellStyle name="Millares 4 7 2 2" xfId="997" xr:uid="{B46783F7-4EDE-450E-8A70-8394CF32DB7D}"/>
    <cellStyle name="Millares 4 7 2 2 2" xfId="1959" xr:uid="{7171502A-D4B1-4DD2-87C4-3396E53820D2}"/>
    <cellStyle name="Millares 4 7 2 2 2 2" xfId="3883" xr:uid="{E2D48BED-55F6-4123-B490-B9D592FF8FD1}"/>
    <cellStyle name="Millares 4 7 2 2 2 2 2" xfId="7731" xr:uid="{3DEBE3A4-BA8D-4D54-86F9-098D397FB432}"/>
    <cellStyle name="Millares 4 7 2 2 2 3" xfId="5807" xr:uid="{6866C4DD-F1DD-422D-A530-E7FF654F61B9}"/>
    <cellStyle name="Millares 4 7 2 2 3" xfId="2921" xr:uid="{087EDC29-92FF-4638-9128-C4C98A1C7B87}"/>
    <cellStyle name="Millares 4 7 2 2 3 2" xfId="6769" xr:uid="{35E91598-F062-48FD-B1BE-8506DF1A1E24}"/>
    <cellStyle name="Millares 4 7 2 2 4" xfId="4845" xr:uid="{EA704C4D-4D9C-4249-9A3F-47A37B06B8F6}"/>
    <cellStyle name="Millares 4 7 2 3" xfId="1478" xr:uid="{BCA971B0-D22F-418A-A519-E6AB55528111}"/>
    <cellStyle name="Millares 4 7 2 3 2" xfId="3402" xr:uid="{B6743AD6-C10D-4FFF-A485-B15C06558AB3}"/>
    <cellStyle name="Millares 4 7 2 3 2 2" xfId="7250" xr:uid="{8C1F9384-5AA1-4929-9856-D2B32EB5763D}"/>
    <cellStyle name="Millares 4 7 2 3 3" xfId="5326" xr:uid="{85429292-A911-4B7A-B2D5-732CA10A9C10}"/>
    <cellStyle name="Millares 4 7 2 4" xfId="2440" xr:uid="{623BF6F7-1C3C-4E43-A7B8-54A7AF9CD9E8}"/>
    <cellStyle name="Millares 4 7 2 4 2" xfId="6288" xr:uid="{AA6E6BAC-D411-4941-AA98-C6CE00276DCD}"/>
    <cellStyle name="Millares 4 7 2 5" xfId="4364" xr:uid="{B24FDEA4-0BB5-4155-906B-7D1185F0D562}"/>
    <cellStyle name="Millares 4 7 3" xfId="757" xr:uid="{F7CE0A71-E702-474D-8324-66442D694B56}"/>
    <cellStyle name="Millares 4 7 3 2" xfId="1719" xr:uid="{531B50D7-78AB-4457-A48B-51959785631E}"/>
    <cellStyle name="Millares 4 7 3 2 2" xfId="3643" xr:uid="{622EF980-6FC2-4D07-9E79-142E9324462C}"/>
    <cellStyle name="Millares 4 7 3 2 2 2" xfId="7491" xr:uid="{A0B7B159-0B22-41D1-82D6-2E8DCFCA8F46}"/>
    <cellStyle name="Millares 4 7 3 2 3" xfId="5567" xr:uid="{B0B310E6-FCCF-424F-A83B-D01C6C5A1807}"/>
    <cellStyle name="Millares 4 7 3 3" xfId="2681" xr:uid="{0B49B5C0-7636-4123-B1C1-813E95734BC9}"/>
    <cellStyle name="Millares 4 7 3 3 2" xfId="6529" xr:uid="{F7EA768F-07CD-48A4-B893-DBB96EFD1483}"/>
    <cellStyle name="Millares 4 7 3 4" xfId="4605" xr:uid="{A6C6085F-BF0B-4517-933A-A1B24909FEEB}"/>
    <cellStyle name="Millares 4 7 4" xfId="1238" xr:uid="{E2E6A8A0-8044-44CF-9CAD-4BE822E6E767}"/>
    <cellStyle name="Millares 4 7 4 2" xfId="3162" xr:uid="{B6C48471-CEAC-4917-B0F0-DC595B98AF93}"/>
    <cellStyle name="Millares 4 7 4 2 2" xfId="7010" xr:uid="{D1464DD3-5CCD-4F9B-B6E0-83343A740764}"/>
    <cellStyle name="Millares 4 7 4 3" xfId="5086" xr:uid="{C078CB36-6CEF-4D90-8EDA-BD7691C6987B}"/>
    <cellStyle name="Millares 4 7 5" xfId="2200" xr:uid="{89760273-7193-477D-AE3B-6C2270295710}"/>
    <cellStyle name="Millares 4 7 5 2" xfId="6048" xr:uid="{2E20B805-D466-48D3-BCF4-2383AD141FC4}"/>
    <cellStyle name="Millares 4 7 6" xfId="4124" xr:uid="{A453EF8A-466B-4298-9D0B-E1E103DCE25F}"/>
    <cellStyle name="Millares 4 8" xfId="384" xr:uid="{12477357-A9D0-4527-A4A1-95360B21E589}"/>
    <cellStyle name="Millares 4 8 2" xfId="865" xr:uid="{0E314AC2-F4E1-417F-BD40-29653F57EFB8}"/>
    <cellStyle name="Millares 4 8 2 2" xfId="1827" xr:uid="{AD2BBE41-A83C-4FA5-81C1-0540B25BD6C5}"/>
    <cellStyle name="Millares 4 8 2 2 2" xfId="3751" xr:uid="{7858E65F-ADA7-4ECA-AEC7-6A12DE3A9C98}"/>
    <cellStyle name="Millares 4 8 2 2 2 2" xfId="7599" xr:uid="{11E938B8-D375-45E2-A65D-21E2B474A185}"/>
    <cellStyle name="Millares 4 8 2 2 3" xfId="5675" xr:uid="{5D56F4E1-7189-4EC0-85E2-53515B79952C}"/>
    <cellStyle name="Millares 4 8 2 3" xfId="2789" xr:uid="{E67BCEC5-813D-4D9A-B934-55D43CD81146}"/>
    <cellStyle name="Millares 4 8 2 3 2" xfId="6637" xr:uid="{CD5B2379-F37D-4AA8-AA7A-8BFC75E27565}"/>
    <cellStyle name="Millares 4 8 2 4" xfId="4713" xr:uid="{331F1AD8-DB6F-44E1-9C9B-55711494D20D}"/>
    <cellStyle name="Millares 4 8 3" xfId="1346" xr:uid="{5D520380-2B5B-4656-83C7-3C465FA89F88}"/>
    <cellStyle name="Millares 4 8 3 2" xfId="3270" xr:uid="{01AA7084-38B4-4B38-B3C9-596183E42742}"/>
    <cellStyle name="Millares 4 8 3 2 2" xfId="7118" xr:uid="{FAE52EAB-C6B7-418E-B781-0968B42BB3D3}"/>
    <cellStyle name="Millares 4 8 3 3" xfId="5194" xr:uid="{37ED53C6-A418-43C7-B55A-CF625B7481E0}"/>
    <cellStyle name="Millares 4 8 4" xfId="2308" xr:uid="{24575FE4-774A-48C0-B8FC-6B4A7E35D078}"/>
    <cellStyle name="Millares 4 8 4 2" xfId="6156" xr:uid="{2DEF461C-3D57-4BD2-8920-FD7F3180358B}"/>
    <cellStyle name="Millares 4 8 5" xfId="4232" xr:uid="{E39532F1-4B32-4659-B7EE-D857C5EBAAE3}"/>
    <cellStyle name="Millares 4 9" xfId="625" xr:uid="{AE74204F-F31A-4F98-A738-96C2A9BAF275}"/>
    <cellStyle name="Millares 4 9 2" xfId="1587" xr:uid="{F3F6F775-66F3-4635-A410-34A84C3E8C73}"/>
    <cellStyle name="Millares 4 9 2 2" xfId="3511" xr:uid="{201216C2-67EA-4C95-B40E-AF27C3F11512}"/>
    <cellStyle name="Millares 4 9 2 2 2" xfId="7359" xr:uid="{40D3095C-1F03-466D-88F8-DE9F6EEABF77}"/>
    <cellStyle name="Millares 4 9 2 3" xfId="5435" xr:uid="{23882AAE-81C7-49C0-AD88-1F63E25D474C}"/>
    <cellStyle name="Millares 4 9 3" xfId="2549" xr:uid="{56CAA9D8-7AC6-40D3-8388-366A2A2D9686}"/>
    <cellStyle name="Millares 4 9 3 2" xfId="6397" xr:uid="{0E3F2306-89BB-425C-BA50-958DCEA5B5A6}"/>
    <cellStyle name="Millares 4 9 4" xfId="4473" xr:uid="{E10BD5F8-4EFC-4344-BA68-198D748D01C4}"/>
    <cellStyle name="Millares 5" xfId="129" xr:uid="{EA74EB40-565C-48D0-A507-85A963E37521}"/>
    <cellStyle name="Millares 5 2" xfId="142" xr:uid="{4057C5EE-FD6F-4B62-B01A-71BDCDC612C4}"/>
    <cellStyle name="Millares 5 2 2" xfId="290" xr:uid="{8BB39D90-F052-4FCE-AD1D-80B71A0358A3}"/>
    <cellStyle name="Millares 5 2 2 2" xfId="541" xr:uid="{B603F3A9-9B7D-4CF9-9AE8-ACFBCB45A616}"/>
    <cellStyle name="Millares 5 2 2 2 2" xfId="1022" xr:uid="{8E747A3A-E738-4B6D-B671-5E2B25637EAC}"/>
    <cellStyle name="Millares 5 2 2 2 2 2" xfId="1984" xr:uid="{5A0E9F6B-CA44-4737-AEEC-2F2B280A8C3A}"/>
    <cellStyle name="Millares 5 2 2 2 2 2 2" xfId="3908" xr:uid="{12EAAD85-B1B7-4063-86D8-A024ED885401}"/>
    <cellStyle name="Millares 5 2 2 2 2 2 2 2" xfId="7756" xr:uid="{B7146707-158B-4269-8579-42143A82C19A}"/>
    <cellStyle name="Millares 5 2 2 2 2 2 3" xfId="5832" xr:uid="{174232B4-1EB6-4CA3-86EC-85926CE54925}"/>
    <cellStyle name="Millares 5 2 2 2 2 3" xfId="2946" xr:uid="{A6AC32F4-C2EB-45F7-9FFD-8140610685B7}"/>
    <cellStyle name="Millares 5 2 2 2 2 3 2" xfId="6794" xr:uid="{D101604F-22D9-40D4-84C3-CD8C497A55AA}"/>
    <cellStyle name="Millares 5 2 2 2 2 4" xfId="4870" xr:uid="{02D3488D-F908-46F5-BE86-CD358A4ABA8B}"/>
    <cellStyle name="Millares 5 2 2 2 3" xfId="1503" xr:uid="{92262615-324D-4B86-BEF7-C7F37C5BE8C1}"/>
    <cellStyle name="Millares 5 2 2 2 3 2" xfId="3427" xr:uid="{4A1D286E-EBD6-479E-8036-C5B5DDDEDC43}"/>
    <cellStyle name="Millares 5 2 2 2 3 2 2" xfId="7275" xr:uid="{0D0FC6FF-4C05-4DDC-A982-927753E35045}"/>
    <cellStyle name="Millares 5 2 2 2 3 3" xfId="5351" xr:uid="{F12F5A69-07E6-4835-B6CF-9B59ABD53795}"/>
    <cellStyle name="Millares 5 2 2 2 4" xfId="2465" xr:uid="{DB609402-B948-4017-AE50-5781F16E45AD}"/>
    <cellStyle name="Millares 5 2 2 2 4 2" xfId="6313" xr:uid="{BBDA6536-7D4D-48C9-8794-8E9EF49E8F8C}"/>
    <cellStyle name="Millares 5 2 2 2 5" xfId="4389" xr:uid="{FDE20383-146A-4969-9DAA-80116EDE0D89}"/>
    <cellStyle name="Millares 5 2 2 3" xfId="782" xr:uid="{0FCEBF3B-7277-4639-9507-29AE04F61E75}"/>
    <cellStyle name="Millares 5 2 2 3 2" xfId="1744" xr:uid="{B7C51676-7737-41B7-A5E6-B42807F96633}"/>
    <cellStyle name="Millares 5 2 2 3 2 2" xfId="3668" xr:uid="{59F2DB4E-141A-4596-B0BE-FFFA542DDE13}"/>
    <cellStyle name="Millares 5 2 2 3 2 2 2" xfId="7516" xr:uid="{F83E98BE-7520-4BB1-8E69-21DF0CB6E52F}"/>
    <cellStyle name="Millares 5 2 2 3 2 3" xfId="5592" xr:uid="{18B74179-F940-468A-BAAD-F873D63AD635}"/>
    <cellStyle name="Millares 5 2 2 3 3" xfId="2706" xr:uid="{DC3841F7-C3E4-4AF3-B06C-0471449599BE}"/>
    <cellStyle name="Millares 5 2 2 3 3 2" xfId="6554" xr:uid="{0D70BF50-1862-4483-B552-FCE315BAD562}"/>
    <cellStyle name="Millares 5 2 2 3 4" xfId="4630" xr:uid="{415B8C77-11B0-4E3E-984E-FA94C9964245}"/>
    <cellStyle name="Millares 5 2 2 4" xfId="1263" xr:uid="{879F238B-03DE-48F1-8A41-C74F1A0F52EB}"/>
    <cellStyle name="Millares 5 2 2 4 2" xfId="3187" xr:uid="{9D5A99A8-874A-4648-92A0-0606F9BA0EDB}"/>
    <cellStyle name="Millares 5 2 2 4 2 2" xfId="7035" xr:uid="{F0DA7749-5027-42ED-8BB1-DAA7A66F12C5}"/>
    <cellStyle name="Millares 5 2 2 4 3" xfId="5111" xr:uid="{02CFBE03-B545-45E9-ADBD-2A2072F5F627}"/>
    <cellStyle name="Millares 5 2 2 5" xfId="2225" xr:uid="{F0572FAB-17EF-46D8-A8C7-8D7CE1F670FA}"/>
    <cellStyle name="Millares 5 2 2 5 2" xfId="6073" xr:uid="{73D4A9B3-AB32-4569-98A8-B24313C5A6D2}"/>
    <cellStyle name="Millares 5 2 2 6" xfId="4149" xr:uid="{E1A97D2F-83C4-4AD4-9FAF-8447FD22AE74}"/>
    <cellStyle name="Millares 5 2 2 7" xfId="7973" xr:uid="{B25435DE-02B5-4DE3-A442-A2E4E6B613DF}"/>
    <cellStyle name="Millares 5 2 3" xfId="409" xr:uid="{7080306C-8819-451A-AEE6-A0BFEE79AFCF}"/>
    <cellStyle name="Millares 5 2 3 2" xfId="890" xr:uid="{8ABF040A-2557-4880-8F85-32161798DBB1}"/>
    <cellStyle name="Millares 5 2 3 2 2" xfId="1852" xr:uid="{86126758-9B8D-483F-ABE4-68D82C36C814}"/>
    <cellStyle name="Millares 5 2 3 2 2 2" xfId="3776" xr:uid="{77A9B8FC-DA59-4258-8A72-363278892EA5}"/>
    <cellStyle name="Millares 5 2 3 2 2 2 2" xfId="7624" xr:uid="{CD7E63B6-7015-45D6-BFBF-87C5B6592D6C}"/>
    <cellStyle name="Millares 5 2 3 2 2 3" xfId="5700" xr:uid="{B383FC9C-36CB-40DA-A299-3CEA73742CEC}"/>
    <cellStyle name="Millares 5 2 3 2 3" xfId="2814" xr:uid="{42EDD6FD-5D9A-4ABB-9AD8-323F40916F24}"/>
    <cellStyle name="Millares 5 2 3 2 3 2" xfId="6662" xr:uid="{48E341C7-6808-475F-BAA0-D9917D544B57}"/>
    <cellStyle name="Millares 5 2 3 2 4" xfId="4738" xr:uid="{E63B0224-74F6-4D82-90CA-433986AA5566}"/>
    <cellStyle name="Millares 5 2 3 3" xfId="1371" xr:uid="{0DEDC766-BEC8-4F5A-A5D9-10CE3230B9E2}"/>
    <cellStyle name="Millares 5 2 3 3 2" xfId="3295" xr:uid="{40CFA5B7-E501-45C7-B505-EAF0C606ECA0}"/>
    <cellStyle name="Millares 5 2 3 3 2 2" xfId="7143" xr:uid="{E0F10FD1-9108-4733-ADFC-C1648E0C164B}"/>
    <cellStyle name="Millares 5 2 3 3 3" xfId="5219" xr:uid="{1A463731-9303-4BA5-B5CE-DBCFF33C0802}"/>
    <cellStyle name="Millares 5 2 3 4" xfId="2333" xr:uid="{5CFD4D4A-CAA1-45D2-8A1A-9F30076EE6D3}"/>
    <cellStyle name="Millares 5 2 3 4 2" xfId="6181" xr:uid="{83275900-33A8-4A2E-8923-1721947D454B}"/>
    <cellStyle name="Millares 5 2 3 5" xfId="4257" xr:uid="{A84FEF1B-3636-45ED-8BC6-633C42F86DFF}"/>
    <cellStyle name="Millares 5 2 4" xfId="650" xr:uid="{4B3EF9A9-AD3A-4569-9891-BF94A2072B26}"/>
    <cellStyle name="Millares 5 2 4 2" xfId="1612" xr:uid="{CE07745F-F4DF-403F-AFBC-CC9E4AAA0A8E}"/>
    <cellStyle name="Millares 5 2 4 2 2" xfId="3536" xr:uid="{E341A26C-C4F6-4245-9851-79493D856D4F}"/>
    <cellStyle name="Millares 5 2 4 2 2 2" xfId="7384" xr:uid="{F117ADF3-A75A-4CCF-A24B-E8F3F37BAC49}"/>
    <cellStyle name="Millares 5 2 4 2 3" xfId="5460" xr:uid="{AAF423E6-73C7-422F-8C21-7987878A2A3F}"/>
    <cellStyle name="Millares 5 2 4 3" xfId="2574" xr:uid="{3A77742B-2763-4765-AC76-9CA001E1C32C}"/>
    <cellStyle name="Millares 5 2 4 3 2" xfId="6422" xr:uid="{E369FAD1-E729-44C9-A7A3-AB8F3CD1E70F}"/>
    <cellStyle name="Millares 5 2 4 4" xfId="4498" xr:uid="{917430B3-0FFC-4E84-853D-006EBBD9C5A1}"/>
    <cellStyle name="Millares 5 2 5" xfId="1131" xr:uid="{4E77618C-F9E6-4DA9-A1D9-A07CF8B1B1E3}"/>
    <cellStyle name="Millares 5 2 5 2" xfId="3055" xr:uid="{FD1C924A-3074-47EF-B941-92D499D01802}"/>
    <cellStyle name="Millares 5 2 5 2 2" xfId="6903" xr:uid="{6D786231-74CD-4B2A-973C-61C3C6597BCA}"/>
    <cellStyle name="Millares 5 2 5 3" xfId="4979" xr:uid="{8EBB054A-86DC-4857-9A26-D98F0541B05B}"/>
    <cellStyle name="Millares 5 2 6" xfId="2093" xr:uid="{0FC98A6E-340B-469E-B0FB-9740651F23D9}"/>
    <cellStyle name="Millares 5 2 6 2" xfId="5941" xr:uid="{E4ED46B3-9DBE-474F-A0A8-8AC7273BB9A7}"/>
    <cellStyle name="Millares 5 2 7" xfId="4017" xr:uid="{0483237D-4DF5-4423-850A-BC1C8757063A}"/>
    <cellStyle name="Millares 5 2 8" xfId="7916" xr:uid="{96CFFA22-BF4A-41CA-BADB-B496A88B8796}"/>
    <cellStyle name="Millares 5 3" xfId="277" xr:uid="{D623B8DD-A354-4568-82AE-FA9919C16923}"/>
    <cellStyle name="Millares 5 3 2" xfId="528" xr:uid="{D4BC4D5F-64D8-4351-AE97-6A6E5DAB53CA}"/>
    <cellStyle name="Millares 5 3 2 2" xfId="1009" xr:uid="{3D1DEB21-FB00-4DB8-ACEA-DE9686F52FB1}"/>
    <cellStyle name="Millares 5 3 2 2 2" xfId="1971" xr:uid="{D346CC14-31F4-4411-9058-8FBDBF044C8A}"/>
    <cellStyle name="Millares 5 3 2 2 2 2" xfId="3895" xr:uid="{A1540905-D3A8-4845-B76C-6889EDB9CD9C}"/>
    <cellStyle name="Millares 5 3 2 2 2 2 2" xfId="7743" xr:uid="{97294320-B27C-42EA-B9A6-666575C24A39}"/>
    <cellStyle name="Millares 5 3 2 2 2 3" xfId="5819" xr:uid="{F6EA6B0F-11F6-44E9-A80B-4D4DF9F9927A}"/>
    <cellStyle name="Millares 5 3 2 2 3" xfId="2933" xr:uid="{B516C52B-6FF0-4021-A539-91144BD08BA0}"/>
    <cellStyle name="Millares 5 3 2 2 3 2" xfId="6781" xr:uid="{D0DA0562-6DA2-49A0-86B1-7669F0F4A9AA}"/>
    <cellStyle name="Millares 5 3 2 2 4" xfId="4857" xr:uid="{8BB21A4D-FB2D-4AC0-94C3-1138892CED79}"/>
    <cellStyle name="Millares 5 3 2 3" xfId="1490" xr:uid="{0C44E750-E4D3-43DB-8DDD-18A5DEF2008B}"/>
    <cellStyle name="Millares 5 3 2 3 2" xfId="3414" xr:uid="{0253B58A-4C66-4974-9C1D-DD09C9F05295}"/>
    <cellStyle name="Millares 5 3 2 3 2 2" xfId="7262" xr:uid="{292F2B5B-AE60-42B0-BDDE-A15DDE156E63}"/>
    <cellStyle name="Millares 5 3 2 3 3" xfId="5338" xr:uid="{54AC518C-D162-43A1-AB1A-918150107028}"/>
    <cellStyle name="Millares 5 3 2 4" xfId="2452" xr:uid="{BA0A3D7A-A1E5-4C72-9F5E-04F67BBB8888}"/>
    <cellStyle name="Millares 5 3 2 4 2" xfId="6300" xr:uid="{7E2411C4-30A5-4E91-B7F6-AE7058E0DFED}"/>
    <cellStyle name="Millares 5 3 2 5" xfId="4376" xr:uid="{8544E6B0-0FA2-48D7-99AD-29C6CF628410}"/>
    <cellStyle name="Millares 5 3 3" xfId="769" xr:uid="{CCDAC311-E081-4552-BF9E-4D793C42C299}"/>
    <cellStyle name="Millares 5 3 3 2" xfId="1731" xr:uid="{A616497E-08D2-4E0D-8E58-CC8F0A6CAD77}"/>
    <cellStyle name="Millares 5 3 3 2 2" xfId="3655" xr:uid="{C5251E4F-DE00-4B76-8786-6E5715815861}"/>
    <cellStyle name="Millares 5 3 3 2 2 2" xfId="7503" xr:uid="{352A7C29-85ED-488B-86D2-EE941BB5AF37}"/>
    <cellStyle name="Millares 5 3 3 2 3" xfId="5579" xr:uid="{1C6865A1-740B-4EEB-9C14-05B828734A1F}"/>
    <cellStyle name="Millares 5 3 3 3" xfId="2693" xr:uid="{86329698-55D7-46E5-B16F-A5CA847092B3}"/>
    <cellStyle name="Millares 5 3 3 3 2" xfId="6541" xr:uid="{C1182CF8-7212-48CE-9BAE-A08A44EEB3CD}"/>
    <cellStyle name="Millares 5 3 3 4" xfId="4617" xr:uid="{365373AA-F41A-45CB-8D81-31AB3E7EEE74}"/>
    <cellStyle name="Millares 5 3 4" xfId="1250" xr:uid="{0088FA22-BDB0-4BA8-83FA-293DE717E15F}"/>
    <cellStyle name="Millares 5 3 4 2" xfId="3174" xr:uid="{DC73A3D5-B6BA-4FBA-84F8-00C196F90A7D}"/>
    <cellStyle name="Millares 5 3 4 2 2" xfId="7022" xr:uid="{71F2DE8E-5711-42A7-A94E-313612BDA7D6}"/>
    <cellStyle name="Millares 5 3 4 3" xfId="5098" xr:uid="{FDCF157E-BC54-4CAA-BEE8-64E3FB90212C}"/>
    <cellStyle name="Millares 5 3 5" xfId="2212" xr:uid="{05EFE5CA-E31C-4CC2-B608-54FE988754F5}"/>
    <cellStyle name="Millares 5 3 5 2" xfId="6060" xr:uid="{655F13BB-45B2-42F8-8F83-FE4B74F3CB1F}"/>
    <cellStyle name="Millares 5 3 6" xfId="4136" xr:uid="{2B548482-F1E4-41AD-8A50-3F3145FEADA0}"/>
    <cellStyle name="Millares 5 3 7" xfId="7951" xr:uid="{7C18BC47-53A7-4DE5-B8ED-CCCCBC06FFFC}"/>
    <cellStyle name="Millares 5 4" xfId="396" xr:uid="{0CDC055D-726D-4666-BAA6-1AA3ACA6F722}"/>
    <cellStyle name="Millares 5 4 2" xfId="877" xr:uid="{A5857D46-CE66-491F-957E-BAF809B73939}"/>
    <cellStyle name="Millares 5 4 2 2" xfId="1839" xr:uid="{CBD2EFA8-4F18-42E6-B941-13630FAE6435}"/>
    <cellStyle name="Millares 5 4 2 2 2" xfId="3763" xr:uid="{D28EBB05-011E-4772-A02A-DF202E7E1BC6}"/>
    <cellStyle name="Millares 5 4 2 2 2 2" xfId="7611" xr:uid="{33DFDEED-5132-4E0B-8366-5A97618E61E8}"/>
    <cellStyle name="Millares 5 4 2 2 3" xfId="5687" xr:uid="{8222D9A0-F4E7-47FE-95F6-B0BFBC870FBA}"/>
    <cellStyle name="Millares 5 4 2 3" xfId="2801" xr:uid="{2BC8EAA6-0BA9-47DD-B83A-C1B279465D06}"/>
    <cellStyle name="Millares 5 4 2 3 2" xfId="6649" xr:uid="{F822BACB-85F3-464A-917D-9191E718C571}"/>
    <cellStyle name="Millares 5 4 2 4" xfId="4725" xr:uid="{91D1E3EC-942B-4C76-80F3-B027BDC20DD9}"/>
    <cellStyle name="Millares 5 4 3" xfId="1358" xr:uid="{50D65F26-17CA-469B-AACD-E328C3452A55}"/>
    <cellStyle name="Millares 5 4 3 2" xfId="3282" xr:uid="{284706A2-218D-4F42-ABE8-9DDA3FAAFB75}"/>
    <cellStyle name="Millares 5 4 3 2 2" xfId="7130" xr:uid="{E3584AAB-429F-4CDE-BCE2-C706AC65F241}"/>
    <cellStyle name="Millares 5 4 3 3" xfId="5206" xr:uid="{63D1F915-1115-4154-BCF0-CD31A5289653}"/>
    <cellStyle name="Millares 5 4 4" xfId="2320" xr:uid="{7443D40F-706D-4AD6-9C68-33DE17390AEB}"/>
    <cellStyle name="Millares 5 4 4 2" xfId="6168" xr:uid="{0E5995EB-E48D-4723-8693-00E3C68F4CBC}"/>
    <cellStyle name="Millares 5 4 5" xfId="4244" xr:uid="{2AA8554F-14E1-4C51-B780-F042ABB82EAF}"/>
    <cellStyle name="Millares 5 5" xfId="637" xr:uid="{A0B4C954-792B-46AC-9642-57B820BD4B84}"/>
    <cellStyle name="Millares 5 5 2" xfId="1599" xr:uid="{104522B7-5AAB-4DF0-9DBB-031D6CDBE062}"/>
    <cellStyle name="Millares 5 5 2 2" xfId="3523" xr:uid="{73996162-24B8-4521-8252-D006DEE94B74}"/>
    <cellStyle name="Millares 5 5 2 2 2" xfId="7371" xr:uid="{AD8C81CE-7355-416B-95DF-D97684DBC433}"/>
    <cellStyle name="Millares 5 5 2 3" xfId="5447" xr:uid="{42D40134-CFB0-496E-B730-B05F10061E0B}"/>
    <cellStyle name="Millares 5 5 3" xfId="2561" xr:uid="{2583B9F5-4E3E-4C59-8CA4-80B739E25BE7}"/>
    <cellStyle name="Millares 5 5 3 2" xfId="6409" xr:uid="{FD6573A8-A50C-41D6-A7A9-EC60C36B7406}"/>
    <cellStyle name="Millares 5 5 4" xfId="4485" xr:uid="{F24C8731-9EF9-4EEF-9AF2-EF887762CA5F}"/>
    <cellStyle name="Millares 5 6" xfId="1118" xr:uid="{4E6136C0-7B9A-4559-9B7C-BB6A4E7BB7C9}"/>
    <cellStyle name="Millares 5 6 2" xfId="3042" xr:uid="{A905C8CD-2CE7-46A6-8631-A88CC103E160}"/>
    <cellStyle name="Millares 5 6 2 2" xfId="6890" xr:uid="{E08EFCB5-90B0-4A59-B20D-B7510578E1C3}"/>
    <cellStyle name="Millares 5 6 3" xfId="4966" xr:uid="{2E78C2AE-D915-4B4E-B8D2-7F93782C764B}"/>
    <cellStyle name="Millares 5 7" xfId="2080" xr:uid="{8E8B8EFC-FC64-4D47-8106-386A9C6B1A35}"/>
    <cellStyle name="Millares 5 7 2" xfId="5928" xr:uid="{0E02BE8D-99E4-4066-A420-28F3A0FABDDD}"/>
    <cellStyle name="Millares 5 8" xfId="4004" xr:uid="{82744A9A-FCF8-4E3B-93AA-9181F0F5CDF8}"/>
    <cellStyle name="Millares 5 9" xfId="7873" xr:uid="{73798564-039B-406C-A366-2B0C131EE994}"/>
    <cellStyle name="Millares 6" xfId="189" xr:uid="{B5A633D2-8BB0-48E9-BBC3-5E3FEEECB7F3}"/>
    <cellStyle name="Millares 6 2" xfId="323" xr:uid="{487CE54E-A70C-4BDD-86CA-042D103C7F6F}"/>
    <cellStyle name="Millares 6 2 2" xfId="574" xr:uid="{D82FF59B-0FE6-4272-A02B-BCBF9402596F}"/>
    <cellStyle name="Millares 6 2 2 2" xfId="1055" xr:uid="{481D2FA6-D9B0-490C-B7CD-B9B4EC9013E0}"/>
    <cellStyle name="Millares 6 2 2 2 2" xfId="2017" xr:uid="{FDF9EFF0-1FC7-49A2-9D09-0C9A4151A536}"/>
    <cellStyle name="Millares 6 2 2 2 2 2" xfId="3941" xr:uid="{CFB77622-89C6-40A7-A34C-8F220BFCD692}"/>
    <cellStyle name="Millares 6 2 2 2 2 2 2" xfId="7789" xr:uid="{2CB5C58E-099D-47C5-BB41-C91CAF1AB3C0}"/>
    <cellStyle name="Millares 6 2 2 2 2 3" xfId="5865" xr:uid="{A4A794AF-9D8F-4328-886D-8A9D8D508C2E}"/>
    <cellStyle name="Millares 6 2 2 2 3" xfId="2979" xr:uid="{402F0DE4-FD6A-49CD-B62D-19AB1BA05E90}"/>
    <cellStyle name="Millares 6 2 2 2 3 2" xfId="6827" xr:uid="{F40B52FD-4253-4809-B432-2FF8D4B726A3}"/>
    <cellStyle name="Millares 6 2 2 2 4" xfId="4903" xr:uid="{1EB72AB6-7838-435B-948A-111E6A6090B0}"/>
    <cellStyle name="Millares 6 2 2 3" xfId="1536" xr:uid="{B4143238-B586-4746-8E36-8406679E5FD0}"/>
    <cellStyle name="Millares 6 2 2 3 2" xfId="3460" xr:uid="{C9712556-5F59-4047-83CC-943378D28E3A}"/>
    <cellStyle name="Millares 6 2 2 3 2 2" xfId="7308" xr:uid="{058B9909-CB0B-4BE5-9BEC-51A2F30E08BD}"/>
    <cellStyle name="Millares 6 2 2 3 3" xfId="5384" xr:uid="{3D7DF864-8410-4AE3-8CC6-334509F5AD82}"/>
    <cellStyle name="Millares 6 2 2 4" xfId="2498" xr:uid="{8B9B8830-46E1-439C-813B-881CDC29D34A}"/>
    <cellStyle name="Millares 6 2 2 4 2" xfId="6346" xr:uid="{09AE7DAB-6D6D-483E-B92D-BD43DF1DAF20}"/>
    <cellStyle name="Millares 6 2 2 5" xfId="4422" xr:uid="{A494FE5B-12D7-4F74-AE31-45DFC069988D}"/>
    <cellStyle name="Millares 6 2 2 6" xfId="7974" xr:uid="{E93F552F-65C0-4C1C-B558-92116A28D12B}"/>
    <cellStyle name="Millares 6 2 3" xfId="815" xr:uid="{6F2AA569-AF60-41A5-8A0E-D5BB941774C0}"/>
    <cellStyle name="Millares 6 2 3 2" xfId="1777" xr:uid="{CD1513AB-4476-41FA-90A5-46566744B893}"/>
    <cellStyle name="Millares 6 2 3 2 2" xfId="3701" xr:uid="{B1EC71E9-13F5-47F5-89F9-84566A0A9DF0}"/>
    <cellStyle name="Millares 6 2 3 2 2 2" xfId="7549" xr:uid="{AF487B99-2BE1-4100-B881-229056321EF3}"/>
    <cellStyle name="Millares 6 2 3 2 3" xfId="5625" xr:uid="{9E9D43C0-09C1-4DAC-86BC-E52092D292F3}"/>
    <cellStyle name="Millares 6 2 3 3" xfId="2739" xr:uid="{773E38EF-5321-47D5-906E-4975F399767E}"/>
    <cellStyle name="Millares 6 2 3 3 2" xfId="6587" xr:uid="{835608F0-0C12-4339-99FA-71A736360110}"/>
    <cellStyle name="Millares 6 2 3 4" xfId="4663" xr:uid="{D8A211AA-FC2B-4471-886F-C6FD96074854}"/>
    <cellStyle name="Millares 6 2 4" xfId="1296" xr:uid="{109E3FEA-F5E3-4C33-AEC1-64478250360D}"/>
    <cellStyle name="Millares 6 2 4 2" xfId="3220" xr:uid="{2037BB1C-EC5E-4C76-ACE2-3E85AB8D2411}"/>
    <cellStyle name="Millares 6 2 4 2 2" xfId="7068" xr:uid="{2EF55DDA-A122-46CC-9F3D-06DBDF04CF13}"/>
    <cellStyle name="Millares 6 2 4 3" xfId="5144" xr:uid="{745CF6DD-EDEA-4AF5-B45A-9B4D1A255DE4}"/>
    <cellStyle name="Millares 6 2 5" xfId="2258" xr:uid="{CC1E2D9E-3E84-4133-8BDB-1A325090E3C1}"/>
    <cellStyle name="Millares 6 2 5 2" xfId="6106" xr:uid="{368C4BA4-5B5A-4A8C-B72E-9FAE73066BDB}"/>
    <cellStyle name="Millares 6 2 6" xfId="4182" xr:uid="{DB6767C8-9931-422A-A227-F4D8B927B9D3}"/>
    <cellStyle name="Millares 6 2 7" xfId="7917" xr:uid="{5FBA6E84-38DB-4D35-B564-E5135829AACD}"/>
    <cellStyle name="Millares 6 3" xfId="442" xr:uid="{873E4688-EC91-42F5-A1D9-C2317D51CE2F}"/>
    <cellStyle name="Millares 6 3 2" xfId="923" xr:uid="{2ABE93F7-6CB4-4932-BB8C-54F3D01BFC26}"/>
    <cellStyle name="Millares 6 3 2 2" xfId="1885" xr:uid="{FD23FB1A-3847-4E9B-B017-2750D5AB516E}"/>
    <cellStyle name="Millares 6 3 2 2 2" xfId="3809" xr:uid="{39A38B87-D2D6-417F-9234-02CD2C72BB9C}"/>
    <cellStyle name="Millares 6 3 2 2 2 2" xfId="7657" xr:uid="{2B24E609-EBA2-46EA-A66B-5C8E40541042}"/>
    <cellStyle name="Millares 6 3 2 2 3" xfId="5733" xr:uid="{EAC811CD-9820-4E91-AA82-1AB912E6C959}"/>
    <cellStyle name="Millares 6 3 2 3" xfId="2847" xr:uid="{741F5E5B-CD0C-4BA9-985A-31547CD35184}"/>
    <cellStyle name="Millares 6 3 2 3 2" xfId="6695" xr:uid="{AD89F9EC-824D-4D7D-9BD1-2475F50C3345}"/>
    <cellStyle name="Millares 6 3 2 4" xfId="4771" xr:uid="{8596EA96-0E01-4253-964E-9138D9ED92CE}"/>
    <cellStyle name="Millares 6 3 3" xfId="1404" xr:uid="{19A6E2FB-FA4B-4B17-9FDD-63B6C16DF2A0}"/>
    <cellStyle name="Millares 6 3 3 2" xfId="3328" xr:uid="{68D99CC0-4016-4D55-984E-B6E88064BFDC}"/>
    <cellStyle name="Millares 6 3 3 2 2" xfId="7176" xr:uid="{8B750026-CBA7-437B-8354-E67438995BE9}"/>
    <cellStyle name="Millares 6 3 3 3" xfId="5252" xr:uid="{0FED49E0-CC34-4D86-830B-B88A4A8AE8CE}"/>
    <cellStyle name="Millares 6 3 4" xfId="2366" xr:uid="{5E859BDA-9BF0-48F6-BEF3-C9BB889A7D7C}"/>
    <cellStyle name="Millares 6 3 4 2" xfId="6214" xr:uid="{7D07242D-6B1D-4979-AD3E-134FF727E4BA}"/>
    <cellStyle name="Millares 6 3 5" xfId="4290" xr:uid="{8FDCB9FF-7C36-4FB7-9391-BF0604391196}"/>
    <cellStyle name="Millares 6 3 6" xfId="7952" xr:uid="{5657EC1E-7727-4C1F-931F-BA2D2752DA83}"/>
    <cellStyle name="Millares 6 4" xfId="683" xr:uid="{66EDC432-2EB3-4700-8FC5-312934021FBC}"/>
    <cellStyle name="Millares 6 4 2" xfId="1645" xr:uid="{703CD492-D3D6-4AF3-86E2-4C95BA880BB7}"/>
    <cellStyle name="Millares 6 4 2 2" xfId="3569" xr:uid="{5659F309-D9FB-4A3A-BE14-512888F05C8C}"/>
    <cellStyle name="Millares 6 4 2 2 2" xfId="7417" xr:uid="{958F978E-1706-4CA2-8DC7-93404566B2A3}"/>
    <cellStyle name="Millares 6 4 2 3" xfId="5493" xr:uid="{8E0F43A4-231C-45FA-931F-BFE95355F15A}"/>
    <cellStyle name="Millares 6 4 3" xfId="2607" xr:uid="{1727B725-3DD9-4667-8957-53451EB6C407}"/>
    <cellStyle name="Millares 6 4 3 2" xfId="6455" xr:uid="{D71971EB-744B-43A2-8BC2-CCFFC1EA6326}"/>
    <cellStyle name="Millares 6 4 4" xfId="4531" xr:uid="{7BAA5140-7E7B-46AA-86A7-C8F9A3448FAF}"/>
    <cellStyle name="Millares 6 5" xfId="1164" xr:uid="{21488AEA-7A9D-477C-9B23-912336E6D7E5}"/>
    <cellStyle name="Millares 6 5 2" xfId="3088" xr:uid="{1E21E250-A945-40B0-B69D-7D1A306621BB}"/>
    <cellStyle name="Millares 6 5 2 2" xfId="6936" xr:uid="{C2D14857-0AFE-4BC1-B9D2-C13101BC0C27}"/>
    <cellStyle name="Millares 6 5 3" xfId="5012" xr:uid="{DAC883AD-D181-4F8E-8B3E-19222A03F845}"/>
    <cellStyle name="Millares 6 6" xfId="2126" xr:uid="{F4D1FB9D-74E9-4031-8793-FC8D33F52C61}"/>
    <cellStyle name="Millares 6 6 2" xfId="5974" xr:uid="{72FCFD99-202A-431A-BCEF-29B5DA2B5BE2}"/>
    <cellStyle name="Millares 6 7" xfId="4050" xr:uid="{91630586-9A78-49A9-91F0-3E705BCF1AD1}"/>
    <cellStyle name="Millares 6 8" xfId="7875" xr:uid="{CFBBE4BE-054C-4072-8C3B-E5D9B01B9B3D}"/>
    <cellStyle name="Millares 7" xfId="223" xr:uid="{71F1E87E-A7F8-45C4-8233-AE60EC91A5C8}"/>
    <cellStyle name="Millares 7 2" xfId="475" xr:uid="{C60FC9E1-A08D-4BB6-90B2-E0D0E9F14E1C}"/>
    <cellStyle name="Millares 7 2 2" xfId="956" xr:uid="{7DB71B11-36B3-468A-91FA-EF45163099BC}"/>
    <cellStyle name="Millares 7 2 2 2" xfId="1918" xr:uid="{6C9C511E-525C-4EBF-87D9-D0B65ECAA3D5}"/>
    <cellStyle name="Millares 7 2 2 2 2" xfId="3842" xr:uid="{47D576AD-129C-429E-A9A3-FBB4ECD7F091}"/>
    <cellStyle name="Millares 7 2 2 2 2 2" xfId="7690" xr:uid="{CBEF129D-9FF7-4D6A-B606-DFF80706D3D8}"/>
    <cellStyle name="Millares 7 2 2 2 3" xfId="5766" xr:uid="{BADF9258-7FAF-4719-88FC-32566D2B0BCD}"/>
    <cellStyle name="Millares 7 2 2 3" xfId="2880" xr:uid="{679C86F3-5975-460A-A444-4538DBC42515}"/>
    <cellStyle name="Millares 7 2 2 3 2" xfId="6728" xr:uid="{78F2E358-70A1-4B40-A4FA-FEFD4419B97F}"/>
    <cellStyle name="Millares 7 2 2 4" xfId="4804" xr:uid="{9FFA593F-BDF8-45FE-B788-32C9711FE098}"/>
    <cellStyle name="Millares 7 2 2 5" xfId="7975" xr:uid="{E8255A3D-65ED-4B0D-95F9-D239BEFD21B6}"/>
    <cellStyle name="Millares 7 2 3" xfId="1437" xr:uid="{3586A5FF-5BC9-4BCC-ABB7-C1BB5354894C}"/>
    <cellStyle name="Millares 7 2 3 2" xfId="3361" xr:uid="{349394A5-F4A0-4572-9596-574BDFC24D43}"/>
    <cellStyle name="Millares 7 2 3 2 2" xfId="7209" xr:uid="{760E3112-0B32-4BC4-9994-91AB2963E18D}"/>
    <cellStyle name="Millares 7 2 3 3" xfId="5285" xr:uid="{45703DA6-660A-4922-AFE7-D9EA7496C90B}"/>
    <cellStyle name="Millares 7 2 4" xfId="2399" xr:uid="{4CAC3D84-3B52-4426-88DA-393E23AFB829}"/>
    <cellStyle name="Millares 7 2 4 2" xfId="6247" xr:uid="{8CDB0DFB-FC2D-4430-AF9B-EFA77E13FF77}"/>
    <cellStyle name="Millares 7 2 5" xfId="4323" xr:uid="{9AD02963-DFEA-4DF9-A2CA-4D924DBE70E9}"/>
    <cellStyle name="Millares 7 2 6" xfId="7918" xr:uid="{7F7E613D-D7BD-4262-BB5E-1AAE200F987A}"/>
    <cellStyle name="Millares 7 3" xfId="716" xr:uid="{A479D0A7-9C8F-4881-8C30-3E4482471479}"/>
    <cellStyle name="Millares 7 3 2" xfId="1678" xr:uid="{6FCE4129-27A8-4FB1-AE51-C4FC2B7A3963}"/>
    <cellStyle name="Millares 7 3 2 2" xfId="3602" xr:uid="{0ADA2F96-AFE3-495D-9BBF-DA372015547F}"/>
    <cellStyle name="Millares 7 3 2 2 2" xfId="7450" xr:uid="{E1DA0086-45A4-4F96-9DF9-4859C3B14DA0}"/>
    <cellStyle name="Millares 7 3 2 3" xfId="5526" xr:uid="{E6F27DA4-B220-462D-983E-8251B4B568CA}"/>
    <cellStyle name="Millares 7 3 3" xfId="2640" xr:uid="{F8C903B7-236E-4C14-B1FE-F0071FA2633D}"/>
    <cellStyle name="Millares 7 3 3 2" xfId="6488" xr:uid="{808EFA3E-F96B-4379-8AD4-FB118DD8A305}"/>
    <cellStyle name="Millares 7 3 4" xfId="4564" xr:uid="{744A18DF-7DCF-401C-BA0C-24FCD9623A7B}"/>
    <cellStyle name="Millares 7 3 5" xfId="7953" xr:uid="{A68C44BA-0F59-41FA-B625-327DB4B50B9D}"/>
    <cellStyle name="Millares 7 4" xfId="1197" xr:uid="{20F981AF-D9AF-42F4-A5D0-74135AD6DB95}"/>
    <cellStyle name="Millares 7 4 2" xfId="3121" xr:uid="{B479A502-ACF0-4DE9-BFEF-AF9CB842F30B}"/>
    <cellStyle name="Millares 7 4 2 2" xfId="6969" xr:uid="{26FCDC0D-6EB5-428B-BD3D-E39E1E78B8F6}"/>
    <cellStyle name="Millares 7 4 3" xfId="5045" xr:uid="{F2B0D6D6-E672-412E-ACE6-1012C19CA8CF}"/>
    <cellStyle name="Millares 7 5" xfId="2159" xr:uid="{D07910DD-937F-47F0-87BA-BBF1F6EDE5A4}"/>
    <cellStyle name="Millares 7 5 2" xfId="6007" xr:uid="{22190DC8-2219-4ECB-9CFE-7FBE015937C9}"/>
    <cellStyle name="Millares 7 6" xfId="4083" xr:uid="{786D3FC1-7249-4F07-A2DC-91CFFAE2C96A}"/>
    <cellStyle name="Millares 7 7" xfId="7876" xr:uid="{E05B0F81-7B7F-4996-8442-2B696679EE53}"/>
    <cellStyle name="Millares 8" xfId="357" xr:uid="{D4FACE5C-B7B6-45CA-86A2-5CC96D997301}"/>
    <cellStyle name="Millares 8 2" xfId="607" xr:uid="{DFA0EB8E-37F6-4C5F-9FA3-9CD3C330A0C0}"/>
    <cellStyle name="Millares 8 2 2" xfId="1088" xr:uid="{7BA247D3-3124-4D81-AFAF-85A887FCB983}"/>
    <cellStyle name="Millares 8 2 2 2" xfId="2050" xr:uid="{D450D8F4-9BA4-4599-A4EC-F572FD79F55F}"/>
    <cellStyle name="Millares 8 2 2 2 2" xfId="3974" xr:uid="{949590EE-4869-44F4-9300-DAEF2CBE1ABD}"/>
    <cellStyle name="Millares 8 2 2 2 2 2" xfId="7822" xr:uid="{339C7AE2-2033-4B62-9E75-B040F4522E49}"/>
    <cellStyle name="Millares 8 2 2 2 3" xfId="5898" xr:uid="{2AD197AE-A917-40A6-AA4B-2F2D0F56F75D}"/>
    <cellStyle name="Millares 8 2 2 3" xfId="3012" xr:uid="{775F4AC6-8A99-437A-82CD-36E26E8B9609}"/>
    <cellStyle name="Millares 8 2 2 3 2" xfId="6860" xr:uid="{401777C9-A51E-4A70-A502-97D26C4E5AF5}"/>
    <cellStyle name="Millares 8 2 2 4" xfId="4936" xr:uid="{87BCBEA2-3F5C-4AB8-A741-49E1FD5A5027}"/>
    <cellStyle name="Millares 8 2 2 5" xfId="7976" xr:uid="{D65984F3-D119-4500-AF74-94233EF22B6F}"/>
    <cellStyle name="Millares 8 2 3" xfId="1569" xr:uid="{A97B565F-E87C-49A8-ABE9-4F8AAD24DC29}"/>
    <cellStyle name="Millares 8 2 3 2" xfId="3493" xr:uid="{360256C4-4E68-40D5-82B1-ED95B26AD048}"/>
    <cellStyle name="Millares 8 2 3 2 2" xfId="7341" xr:uid="{5B77870A-5A8C-41FC-97D7-F9F67A12DA3B}"/>
    <cellStyle name="Millares 8 2 3 3" xfId="5417" xr:uid="{81DA0E6D-8D72-401E-9B91-9C215C2351BE}"/>
    <cellStyle name="Millares 8 2 4" xfId="2531" xr:uid="{1DACC4B6-AD46-4A74-9132-3103E8F98352}"/>
    <cellStyle name="Millares 8 2 4 2" xfId="6379" xr:uid="{95CBD83A-AB0D-4E1B-B5EA-A33FF3D4265E}"/>
    <cellStyle name="Millares 8 2 5" xfId="4455" xr:uid="{2621A9B8-D533-49EB-8ABB-2961994642E4}"/>
    <cellStyle name="Millares 8 2 6" xfId="7919" xr:uid="{41976471-5E83-41DB-B93A-2738B0F2896F}"/>
    <cellStyle name="Millares 8 3" xfId="848" xr:uid="{3276A1D2-E331-441B-90D7-CB9BFC616A56}"/>
    <cellStyle name="Millares 8 3 2" xfId="1810" xr:uid="{50489E7F-AF04-474A-9E29-43F2ECA70133}"/>
    <cellStyle name="Millares 8 3 2 2" xfId="3734" xr:uid="{845C2B2A-1CE6-43B8-ADE0-CD3250D3FE23}"/>
    <cellStyle name="Millares 8 3 2 2 2" xfId="7582" xr:uid="{98820662-63DA-4227-8490-6CC08A2216BD}"/>
    <cellStyle name="Millares 8 3 2 3" xfId="5658" xr:uid="{2BA79436-5973-41FA-BDC0-02A81564F5BC}"/>
    <cellStyle name="Millares 8 3 3" xfId="2772" xr:uid="{B142CD6C-7D43-4A31-BD0D-7E9A04C5F7DA}"/>
    <cellStyle name="Millares 8 3 3 2" xfId="6620" xr:uid="{E50FF667-00C6-4373-AA83-CD75C6BF9817}"/>
    <cellStyle name="Millares 8 3 4" xfId="4696" xr:uid="{3D4C18F0-A6C3-4BCA-AF4A-9C0D6509B9DD}"/>
    <cellStyle name="Millares 8 3 5" xfId="7954" xr:uid="{27508DEE-52DD-4BC0-BF7A-0BF141B81606}"/>
    <cellStyle name="Millares 8 4" xfId="1329" xr:uid="{67CD828A-E349-48A3-AC95-7F3AC89F2C5F}"/>
    <cellStyle name="Millares 8 4 2" xfId="3253" xr:uid="{8775C49A-BE62-4485-ACD4-43EB5B612532}"/>
    <cellStyle name="Millares 8 4 2 2" xfId="7101" xr:uid="{75EB0770-A011-4CAB-A395-B6D71241F0D9}"/>
    <cellStyle name="Millares 8 4 3" xfId="5177" xr:uid="{10E6C605-8E1C-4F05-A9DF-15DA6B22D6BC}"/>
    <cellStyle name="Millares 8 5" xfId="2291" xr:uid="{EC72A13E-515F-462E-AAF6-8B8EC9B9A8BF}"/>
    <cellStyle name="Millares 8 5 2" xfId="6139" xr:uid="{0763A46D-5255-4C95-B00B-2B0320BA94C2}"/>
    <cellStyle name="Millares 8 6" xfId="4215" xr:uid="{82127CE9-7CD2-4C74-8823-2E748F35E6C8}"/>
    <cellStyle name="Millares 8 7" xfId="7878" xr:uid="{F2AD344A-9018-49AC-B5EF-4C55868DC409}"/>
    <cellStyle name="Millares 9" xfId="359" xr:uid="{7201EC17-D06E-4333-BF3E-28CF9D421AE0}"/>
    <cellStyle name="Millares 9 2" xfId="608" xr:uid="{6D46AC70-799D-4376-B73F-EBB4E32B392F}"/>
    <cellStyle name="Millares 9 2 2" xfId="1089" xr:uid="{AB35AC5B-7228-4E3A-90CB-04BF088BF6E4}"/>
    <cellStyle name="Millares 9 2 2 2" xfId="2051" xr:uid="{87DE6A02-6B55-482A-B375-550BEA9A61A8}"/>
    <cellStyle name="Millares 9 2 2 2 2" xfId="3975" xr:uid="{216CA0D2-7BE3-48DC-8FF0-3DB28C410C4E}"/>
    <cellStyle name="Millares 9 2 2 2 2 2" xfId="7823" xr:uid="{8655EA85-F5B9-4D04-888E-4816E05406A9}"/>
    <cellStyle name="Millares 9 2 2 2 3" xfId="5899" xr:uid="{CEA388D7-8583-4960-957D-952F16C217F9}"/>
    <cellStyle name="Millares 9 2 2 3" xfId="3013" xr:uid="{1D633244-45DD-4CE3-AE4F-603C926A1ED5}"/>
    <cellStyle name="Millares 9 2 2 3 2" xfId="6861" xr:uid="{B412A179-EE45-4A08-AA90-E76479E40F25}"/>
    <cellStyle name="Millares 9 2 2 4" xfId="4937" xr:uid="{A4747F67-A413-4A6B-AC27-D712588C59FD}"/>
    <cellStyle name="Millares 9 2 2 5" xfId="7977" xr:uid="{6DC4DFDE-F598-4C81-80DE-6E10A8003DBA}"/>
    <cellStyle name="Millares 9 2 3" xfId="1570" xr:uid="{86CB8308-B014-49A2-A9FB-3300EFFDDC12}"/>
    <cellStyle name="Millares 9 2 3 2" xfId="3494" xr:uid="{12E637F3-84AA-48E3-A211-C4850560D896}"/>
    <cellStyle name="Millares 9 2 3 2 2" xfId="7342" xr:uid="{A3818367-0D45-4F92-95D6-561CAEEEE773}"/>
    <cellStyle name="Millares 9 2 3 3" xfId="5418" xr:uid="{CB040E47-2B41-4121-BCF6-8F48DCD1D492}"/>
    <cellStyle name="Millares 9 2 4" xfId="2532" xr:uid="{9F05CB66-535F-42EC-9250-553BCDAB82CD}"/>
    <cellStyle name="Millares 9 2 4 2" xfId="6380" xr:uid="{8CBF0FA0-8465-4FED-9253-85AEC8911E30}"/>
    <cellStyle name="Millares 9 2 5" xfId="4456" xr:uid="{4822EBF3-DD14-4573-9A6F-89703023F6BA}"/>
    <cellStyle name="Millares 9 2 6" xfId="7920" xr:uid="{8077661F-C9A8-4870-9761-D19F6143B6D7}"/>
    <cellStyle name="Millares 9 3" xfId="849" xr:uid="{5291C885-E575-4D69-86E8-688459EA92DD}"/>
    <cellStyle name="Millares 9 3 2" xfId="1811" xr:uid="{08F3234B-BA9C-423F-BD80-D89AE7C15949}"/>
    <cellStyle name="Millares 9 3 2 2" xfId="3735" xr:uid="{D3E3B945-9398-4F0F-A6F3-0E0D88572D60}"/>
    <cellStyle name="Millares 9 3 2 2 2" xfId="7583" xr:uid="{FFF9C694-0646-40AE-AA0D-0062309FDC45}"/>
    <cellStyle name="Millares 9 3 2 3" xfId="5659" xr:uid="{59ED492F-F800-47B6-A67C-9E692B7A08BA}"/>
    <cellStyle name="Millares 9 3 3" xfId="2773" xr:uid="{1C60CD68-6DF8-4D58-8718-DEE3B246F3AF}"/>
    <cellStyle name="Millares 9 3 3 2" xfId="6621" xr:uid="{3A46AB5B-22C1-4CC5-8391-21A861EBEC41}"/>
    <cellStyle name="Millares 9 3 4" xfId="4697" xr:uid="{692AED24-5077-47E0-A5D1-700165813A41}"/>
    <cellStyle name="Millares 9 3 5" xfId="7955" xr:uid="{05982C4C-DF7D-474A-B55A-DE6636C5AA62}"/>
    <cellStyle name="Millares 9 4" xfId="1330" xr:uid="{AA073E05-5C74-45CA-8DCC-69BDA89980F4}"/>
    <cellStyle name="Millares 9 4 2" xfId="3254" xr:uid="{A28FADEB-E9C1-4208-B372-72E7610F4E6A}"/>
    <cellStyle name="Millares 9 4 2 2" xfId="7102" xr:uid="{577F13F8-3466-44A0-A7BB-CF47FFD4067A}"/>
    <cellStyle name="Millares 9 4 3" xfId="5178" xr:uid="{1DDEE301-90BC-40DD-BE0E-4D2634018D0F}"/>
    <cellStyle name="Millares 9 5" xfId="2292" xr:uid="{1D9E6124-464C-466E-97BC-EA660C877E7E}"/>
    <cellStyle name="Millares 9 5 2" xfId="6140" xr:uid="{B73A9F2C-0084-4588-9384-3FAC21856340}"/>
    <cellStyle name="Millares 9 6" xfId="4216" xr:uid="{15B42BFB-AAB5-4417-94FD-7241E2435C7F}"/>
    <cellStyle name="Millares 9 7" xfId="7880" xr:uid="{46AB3C5A-AAA3-44F5-8E45-07A68836610A}"/>
    <cellStyle name="Moneda" xfId="2" builtinId="4"/>
    <cellStyle name="Moneda 10" xfId="63" xr:uid="{AA9A45EF-A1A8-47BB-AB97-ED36D736DBE6}"/>
    <cellStyle name="Moneda 11" xfId="7992" xr:uid="{18A54DBD-B124-484E-8CA1-A5EB5ECC0050}"/>
    <cellStyle name="Moneda 12" xfId="45" xr:uid="{256EA9C4-5E13-48A0-907B-813599B245DA}"/>
    <cellStyle name="Moneda 2" xfId="47" xr:uid="{B76C160C-ED42-4F0D-A51C-51030FBBE931}"/>
    <cellStyle name="Moneda 2 2" xfId="74" xr:uid="{E5519E47-6DD2-4738-91D1-78E0E1F70E88}"/>
    <cellStyle name="Moneda 2 2 2" xfId="7841" xr:uid="{0644D64E-4478-4648-AEE2-B583A50C65F4}"/>
    <cellStyle name="Moneda 2 2 3" xfId="7865" xr:uid="{08310D6F-81ED-4820-ADFC-F7ACDEB93E6E}"/>
    <cellStyle name="Moneda 2 3" xfId="86" xr:uid="{D973E4DF-AAD7-43C0-86C8-0A71A1F9CC17}"/>
    <cellStyle name="Moneda 2 3 2" xfId="7909" xr:uid="{D0799122-1136-4605-B2B7-2C03DA600658}"/>
    <cellStyle name="Moneda 2 4" xfId="95" xr:uid="{23C2669A-C02C-4A01-AB70-BC1643DAC00C}"/>
    <cellStyle name="Moneda 2 4 10" xfId="3984" xr:uid="{59FDFBAD-566B-4259-9E9A-29FE7C1E809E}"/>
    <cellStyle name="Moneda 2 4 2" xfId="156" xr:uid="{B066D3EA-151A-4D98-A891-8A0D28248740}"/>
    <cellStyle name="Moneda 2 4 2 2" xfId="193" xr:uid="{B8DA0A91-B009-44C4-BEB7-B576ABB1D08E}"/>
    <cellStyle name="Moneda 2 4 2 2 2" xfId="327" xr:uid="{6A8A2D97-4AB3-4C9E-8431-12133FAC56B5}"/>
    <cellStyle name="Moneda 2 4 2 2 2 2" xfId="578" xr:uid="{FBC851E6-30B5-4CA8-8817-FF451AE05B25}"/>
    <cellStyle name="Moneda 2 4 2 2 2 2 2" xfId="1059" xr:uid="{BDD329D8-C2BF-4FDC-A7AB-C79BE922AD26}"/>
    <cellStyle name="Moneda 2 4 2 2 2 2 2 2" xfId="2021" xr:uid="{632057CE-DD84-4549-9FA7-D408C2D5B957}"/>
    <cellStyle name="Moneda 2 4 2 2 2 2 2 2 2" xfId="3945" xr:uid="{836660B3-434D-4181-828D-BC399B5950D9}"/>
    <cellStyle name="Moneda 2 4 2 2 2 2 2 2 2 2" xfId="7793" xr:uid="{F1500B1A-0855-4892-B202-EC2551C41BB8}"/>
    <cellStyle name="Moneda 2 4 2 2 2 2 2 2 3" xfId="5869" xr:uid="{62F091EE-585D-4DF4-84BE-42437D598D61}"/>
    <cellStyle name="Moneda 2 4 2 2 2 2 2 3" xfId="2983" xr:uid="{E3AB612B-E83B-4697-BD78-D49F68313AF3}"/>
    <cellStyle name="Moneda 2 4 2 2 2 2 2 3 2" xfId="6831" xr:uid="{94DF1586-0F20-4C24-88D2-20AE1F6EABCD}"/>
    <cellStyle name="Moneda 2 4 2 2 2 2 2 4" xfId="4907" xr:uid="{E7F22FF8-D110-4744-AB39-7B1B90D01313}"/>
    <cellStyle name="Moneda 2 4 2 2 2 2 3" xfId="1540" xr:uid="{1A1F04CC-9CC4-478A-B011-ACB352A18BEE}"/>
    <cellStyle name="Moneda 2 4 2 2 2 2 3 2" xfId="3464" xr:uid="{41F5B152-7D09-47CA-BAF2-8CE6E1A7CCD4}"/>
    <cellStyle name="Moneda 2 4 2 2 2 2 3 2 2" xfId="7312" xr:uid="{423814BB-870B-4231-BA31-35946DE57E81}"/>
    <cellStyle name="Moneda 2 4 2 2 2 2 3 3" xfId="5388" xr:uid="{33EBE378-2A80-48E5-AC8A-4A40CC6903E3}"/>
    <cellStyle name="Moneda 2 4 2 2 2 2 4" xfId="2502" xr:uid="{A5A3DF50-D66D-4317-A19B-3BCE0E743A6A}"/>
    <cellStyle name="Moneda 2 4 2 2 2 2 4 2" xfId="6350" xr:uid="{C098C369-F219-4CEE-B263-84D1B8A38881}"/>
    <cellStyle name="Moneda 2 4 2 2 2 2 5" xfId="4426" xr:uid="{522C9890-E036-473F-B46F-7852124AB841}"/>
    <cellStyle name="Moneda 2 4 2 2 2 3" xfId="819" xr:uid="{949CF02A-56E6-459B-83FB-F06AE2EF02E8}"/>
    <cellStyle name="Moneda 2 4 2 2 2 3 2" xfId="1781" xr:uid="{601B2ED4-E93C-46A3-948E-FCE0F4B9D3D7}"/>
    <cellStyle name="Moneda 2 4 2 2 2 3 2 2" xfId="3705" xr:uid="{679B3FE3-548E-483F-979C-B49A62DD44D9}"/>
    <cellStyle name="Moneda 2 4 2 2 2 3 2 2 2" xfId="7553" xr:uid="{0A3396C2-FEF9-4380-A3D1-FE557858525F}"/>
    <cellStyle name="Moneda 2 4 2 2 2 3 2 3" xfId="5629" xr:uid="{9164FBEE-3BBA-4D7F-B006-894B74F26511}"/>
    <cellStyle name="Moneda 2 4 2 2 2 3 3" xfId="2743" xr:uid="{48A61024-4FE5-4938-BBE2-EC3C13A400A8}"/>
    <cellStyle name="Moneda 2 4 2 2 2 3 3 2" xfId="6591" xr:uid="{4C12E65E-D07B-41B4-A8F9-50C4A10B5B6A}"/>
    <cellStyle name="Moneda 2 4 2 2 2 3 4" xfId="4667" xr:uid="{8EB75AF2-CD0B-4C52-8513-48A387E6460F}"/>
    <cellStyle name="Moneda 2 4 2 2 2 4" xfId="1300" xr:uid="{D08A0714-FC59-40A4-B802-64612E941660}"/>
    <cellStyle name="Moneda 2 4 2 2 2 4 2" xfId="3224" xr:uid="{E1B1A346-161D-44EB-AD58-F2079A4F0B41}"/>
    <cellStyle name="Moneda 2 4 2 2 2 4 2 2" xfId="7072" xr:uid="{E2B2A0E4-B689-4FF1-87B4-1E00989FC896}"/>
    <cellStyle name="Moneda 2 4 2 2 2 4 3" xfId="5148" xr:uid="{07E933C3-709A-416D-B9D8-A5DFC5CC1587}"/>
    <cellStyle name="Moneda 2 4 2 2 2 5" xfId="2262" xr:uid="{DD28E0FD-9EFA-41DA-BFC3-8D8B728E7E37}"/>
    <cellStyle name="Moneda 2 4 2 2 2 5 2" xfId="6110" xr:uid="{E36920FD-7EB1-4A45-93FB-DA2518E4893D}"/>
    <cellStyle name="Moneda 2 4 2 2 2 6" xfId="4186" xr:uid="{B9602587-B34B-4106-973D-1F7A8E9F7D79}"/>
    <cellStyle name="Moneda 2 4 2 2 3" xfId="446" xr:uid="{942D4B40-EAB4-4709-BA2F-51045AEF71A6}"/>
    <cellStyle name="Moneda 2 4 2 2 3 2" xfId="927" xr:uid="{FAF6102D-EAFE-4A69-A2E8-B9F3D95AA4D5}"/>
    <cellStyle name="Moneda 2 4 2 2 3 2 2" xfId="1889" xr:uid="{CB9FEE4D-FBA6-450B-BE47-B6901C90057F}"/>
    <cellStyle name="Moneda 2 4 2 2 3 2 2 2" xfId="3813" xr:uid="{2CA7023B-02D5-4F52-9B02-13C3E8ED3E41}"/>
    <cellStyle name="Moneda 2 4 2 2 3 2 2 2 2" xfId="7661" xr:uid="{1420C242-EE2E-414D-AC10-1437DF8ED837}"/>
    <cellStyle name="Moneda 2 4 2 2 3 2 2 3" xfId="5737" xr:uid="{9031F8D7-FBA7-48D9-BC11-47232A65EBE0}"/>
    <cellStyle name="Moneda 2 4 2 2 3 2 3" xfId="2851" xr:uid="{DE0EE304-609C-4A63-8114-226A4FEFF0BF}"/>
    <cellStyle name="Moneda 2 4 2 2 3 2 3 2" xfId="6699" xr:uid="{58345116-0B05-445F-BCD7-14A5FBFBB0C7}"/>
    <cellStyle name="Moneda 2 4 2 2 3 2 4" xfId="4775" xr:uid="{05077776-2791-4B1C-BE2B-57A7E5380631}"/>
    <cellStyle name="Moneda 2 4 2 2 3 3" xfId="1408" xr:uid="{B34FEFDF-1194-4A17-9565-68AABC743EB7}"/>
    <cellStyle name="Moneda 2 4 2 2 3 3 2" xfId="3332" xr:uid="{50522786-C511-4809-87DA-A20DDB7A4A11}"/>
    <cellStyle name="Moneda 2 4 2 2 3 3 2 2" xfId="7180" xr:uid="{4E4EDF13-45AB-487E-B3F4-76A7B23E12BC}"/>
    <cellStyle name="Moneda 2 4 2 2 3 3 3" xfId="5256" xr:uid="{B5FBAAC2-D8AF-4CE7-BDA9-BF29455281C3}"/>
    <cellStyle name="Moneda 2 4 2 2 3 4" xfId="2370" xr:uid="{74FAE1C9-DD78-4DF1-8AE2-BDD709F69190}"/>
    <cellStyle name="Moneda 2 4 2 2 3 4 2" xfId="6218" xr:uid="{487E4023-52F0-4F8C-B859-0E1A33DD88E2}"/>
    <cellStyle name="Moneda 2 4 2 2 3 5" xfId="4294" xr:uid="{198B99A5-E9A1-46BE-A6AC-A9CA0817420B}"/>
    <cellStyle name="Moneda 2 4 2 2 4" xfId="687" xr:uid="{FB86326F-C811-4728-A6D4-739377E8958F}"/>
    <cellStyle name="Moneda 2 4 2 2 4 2" xfId="1649" xr:uid="{572924EA-84FB-4C10-8491-DC7160F71906}"/>
    <cellStyle name="Moneda 2 4 2 2 4 2 2" xfId="3573" xr:uid="{5151A349-F004-401B-92D4-97D2BD8C20D9}"/>
    <cellStyle name="Moneda 2 4 2 2 4 2 2 2" xfId="7421" xr:uid="{6B27E5BE-BC9C-4F49-9EE2-168E6CF1DB90}"/>
    <cellStyle name="Moneda 2 4 2 2 4 2 3" xfId="5497" xr:uid="{619E5880-FD2B-4FD0-AFA5-C5BAD8CDBD89}"/>
    <cellStyle name="Moneda 2 4 2 2 4 3" xfId="2611" xr:uid="{1776A1DC-5BE3-4421-BDA8-CB61F99DBF0C}"/>
    <cellStyle name="Moneda 2 4 2 2 4 3 2" xfId="6459" xr:uid="{3FC2E090-3763-4BAC-B600-044197315E37}"/>
    <cellStyle name="Moneda 2 4 2 2 4 4" xfId="4535" xr:uid="{EDE2A028-A01F-4C2F-A719-4148AEA4A000}"/>
    <cellStyle name="Moneda 2 4 2 2 5" xfId="1168" xr:uid="{4C872976-FA3D-44DC-94B9-9FA3AB376753}"/>
    <cellStyle name="Moneda 2 4 2 2 5 2" xfId="3092" xr:uid="{097AF906-EFCE-4761-855C-6EDD7231FA52}"/>
    <cellStyle name="Moneda 2 4 2 2 5 2 2" xfId="6940" xr:uid="{A6F9D31A-8756-46FC-8952-CE7729A4F039}"/>
    <cellStyle name="Moneda 2 4 2 2 5 3" xfId="5016" xr:uid="{AC01DD4A-FA79-4A4A-B738-45F460B6D07D}"/>
    <cellStyle name="Moneda 2 4 2 2 6" xfId="2130" xr:uid="{2D165A15-707D-443A-AEDE-128FE9444674}"/>
    <cellStyle name="Moneda 2 4 2 2 6 2" xfId="5978" xr:uid="{05AEA1F5-5C07-44C5-82C0-2B80AA84C3CF}"/>
    <cellStyle name="Moneda 2 4 2 2 7" xfId="4054" xr:uid="{1861EB28-6F83-4341-B119-93AAFDC038AB}"/>
    <cellStyle name="Moneda 2 4 2 3" xfId="294" xr:uid="{3307241D-52B6-45E3-B81E-AFB32654B305}"/>
    <cellStyle name="Moneda 2 4 2 3 2" xfId="545" xr:uid="{A8D927A4-5C9F-4D8E-A5AF-6F174F42917E}"/>
    <cellStyle name="Moneda 2 4 2 3 2 2" xfId="1026" xr:uid="{63C1CD15-3528-47B7-90A6-A2D9AEC035E2}"/>
    <cellStyle name="Moneda 2 4 2 3 2 2 2" xfId="1988" xr:uid="{4E407CD0-6E21-4B2B-8C83-066A8F828705}"/>
    <cellStyle name="Moneda 2 4 2 3 2 2 2 2" xfId="3912" xr:uid="{48AF1F78-A495-4219-960A-77E3686525B5}"/>
    <cellStyle name="Moneda 2 4 2 3 2 2 2 2 2" xfId="7760" xr:uid="{C53AE58D-B062-46E3-A7E9-F0A486B59EB9}"/>
    <cellStyle name="Moneda 2 4 2 3 2 2 2 3" xfId="5836" xr:uid="{C125E41D-2DC1-4CB1-8DD7-D2467483A1D1}"/>
    <cellStyle name="Moneda 2 4 2 3 2 2 3" xfId="2950" xr:uid="{EDE5C58C-FE1F-4EE2-99A8-9D2A96475CD2}"/>
    <cellStyle name="Moneda 2 4 2 3 2 2 3 2" xfId="6798" xr:uid="{B0196482-E77E-45B7-B95B-1DCE2FAFBCCA}"/>
    <cellStyle name="Moneda 2 4 2 3 2 2 4" xfId="4874" xr:uid="{BF8B0204-1409-49FF-8D62-178ED68FDDCE}"/>
    <cellStyle name="Moneda 2 4 2 3 2 3" xfId="1507" xr:uid="{E8187A64-899C-49E4-9F9B-67EC95573B66}"/>
    <cellStyle name="Moneda 2 4 2 3 2 3 2" xfId="3431" xr:uid="{21EAFEDD-D734-49BA-AFFA-CD8BD32B4E58}"/>
    <cellStyle name="Moneda 2 4 2 3 2 3 2 2" xfId="7279" xr:uid="{0D35E66D-63BB-42A8-9FD6-A6DF7B2961A6}"/>
    <cellStyle name="Moneda 2 4 2 3 2 3 3" xfId="5355" xr:uid="{531C0344-8587-4CBC-B21F-604C98F8F342}"/>
    <cellStyle name="Moneda 2 4 2 3 2 4" xfId="2469" xr:uid="{894F90BA-7697-4F68-8824-2063CEA29460}"/>
    <cellStyle name="Moneda 2 4 2 3 2 4 2" xfId="6317" xr:uid="{2C237C98-691E-43BB-BCAC-2C521696F71B}"/>
    <cellStyle name="Moneda 2 4 2 3 2 5" xfId="4393" xr:uid="{CAB28760-043D-4B95-A500-6B1365F2E785}"/>
    <cellStyle name="Moneda 2 4 2 3 3" xfId="786" xr:uid="{FE086363-D36D-42FE-9FAE-BA43E24A84F7}"/>
    <cellStyle name="Moneda 2 4 2 3 3 2" xfId="1748" xr:uid="{0763402F-C148-48E3-A453-2E06F5F95116}"/>
    <cellStyle name="Moneda 2 4 2 3 3 2 2" xfId="3672" xr:uid="{ADBC9394-9242-471B-8778-99A8363E8825}"/>
    <cellStyle name="Moneda 2 4 2 3 3 2 2 2" xfId="7520" xr:uid="{2EE767B0-A0F9-4E8F-B984-F4F4FF26C335}"/>
    <cellStyle name="Moneda 2 4 2 3 3 2 3" xfId="5596" xr:uid="{5CEBD2DD-16B5-4B4C-83A0-E8BC1927C8EC}"/>
    <cellStyle name="Moneda 2 4 2 3 3 3" xfId="2710" xr:uid="{42DE35D7-C04F-482D-AB29-0A892941986D}"/>
    <cellStyle name="Moneda 2 4 2 3 3 3 2" xfId="6558" xr:uid="{08FFF85B-25F0-4E5C-A99F-1945331E41BC}"/>
    <cellStyle name="Moneda 2 4 2 3 3 4" xfId="4634" xr:uid="{282A5870-C52B-4ABB-BF17-72E62B63ED2B}"/>
    <cellStyle name="Moneda 2 4 2 3 4" xfId="1267" xr:uid="{9437127A-A365-425E-BD40-9AE84B272E51}"/>
    <cellStyle name="Moneda 2 4 2 3 4 2" xfId="3191" xr:uid="{B94E3D77-3DAA-45F4-870E-3C5B5308D499}"/>
    <cellStyle name="Moneda 2 4 2 3 4 2 2" xfId="7039" xr:uid="{9D8B9079-60CE-4DB5-B1F0-DD2AAC249FFD}"/>
    <cellStyle name="Moneda 2 4 2 3 4 3" xfId="5115" xr:uid="{96025AD5-71E5-4C3D-AC74-F42096494B20}"/>
    <cellStyle name="Moneda 2 4 2 3 5" xfId="2229" xr:uid="{66DE1C85-4E21-4D0F-BBBE-F86213D8CEA5}"/>
    <cellStyle name="Moneda 2 4 2 3 5 2" xfId="6077" xr:uid="{53B5A770-BB0A-40B0-9CB3-5AA81FE065C5}"/>
    <cellStyle name="Moneda 2 4 2 3 6" xfId="4153" xr:uid="{4895F64C-715A-48A2-8813-95B553A24F4A}"/>
    <cellStyle name="Moneda 2 4 2 4" xfId="227" xr:uid="{18DE233E-4420-44DE-9716-2B355E90946C}"/>
    <cellStyle name="Moneda 2 4 2 4 2" xfId="479" xr:uid="{E2C3D32F-F545-4A8B-8A22-FA8F6E1BA01F}"/>
    <cellStyle name="Moneda 2 4 2 4 2 2" xfId="960" xr:uid="{8BD62CB2-13B3-4F5A-9838-DB9A5CCAA6BE}"/>
    <cellStyle name="Moneda 2 4 2 4 2 2 2" xfId="1922" xr:uid="{008B2763-42E7-4177-BC39-EEA0D1A56CF0}"/>
    <cellStyle name="Moneda 2 4 2 4 2 2 2 2" xfId="3846" xr:uid="{5B148B8D-AC5F-41F5-95DD-E120087A002F}"/>
    <cellStyle name="Moneda 2 4 2 4 2 2 2 2 2" xfId="7694" xr:uid="{B51F778E-F56E-4423-B65F-BC684E720409}"/>
    <cellStyle name="Moneda 2 4 2 4 2 2 2 3" xfId="5770" xr:uid="{C464512C-0750-4C9B-BD9F-F460D68A4749}"/>
    <cellStyle name="Moneda 2 4 2 4 2 2 3" xfId="2884" xr:uid="{7FADBF59-508C-4AE0-9E12-8A11DD2E27D0}"/>
    <cellStyle name="Moneda 2 4 2 4 2 2 3 2" xfId="6732" xr:uid="{A8E804AE-A16A-4E81-B1E0-C12117175666}"/>
    <cellStyle name="Moneda 2 4 2 4 2 2 4" xfId="4808" xr:uid="{7C6F717D-C045-410B-9443-839AD21DEA2C}"/>
    <cellStyle name="Moneda 2 4 2 4 2 3" xfId="1441" xr:uid="{C8BE9F7E-9138-4FA5-96EF-8DE6FAE340FE}"/>
    <cellStyle name="Moneda 2 4 2 4 2 3 2" xfId="3365" xr:uid="{6034BC07-CC43-43B7-A393-CF13DE35D47E}"/>
    <cellStyle name="Moneda 2 4 2 4 2 3 2 2" xfId="7213" xr:uid="{8AAA0952-30D6-4EF3-AE74-7D2A97BF5F9D}"/>
    <cellStyle name="Moneda 2 4 2 4 2 3 3" xfId="5289" xr:uid="{BF77DFDC-9DE4-47E2-A11E-AD1609FC8B35}"/>
    <cellStyle name="Moneda 2 4 2 4 2 4" xfId="2403" xr:uid="{18D70190-9DF5-4BF9-8DEA-30B29381FF5B}"/>
    <cellStyle name="Moneda 2 4 2 4 2 4 2" xfId="6251" xr:uid="{94D9E5DA-C137-44EA-96C5-7D9DC2D8A88F}"/>
    <cellStyle name="Moneda 2 4 2 4 2 5" xfId="4327" xr:uid="{D83EB6BB-20BE-4348-B6B6-29AFBC76E275}"/>
    <cellStyle name="Moneda 2 4 2 4 3" xfId="720" xr:uid="{133E65C8-A554-4276-99AB-BDD1EA1AE893}"/>
    <cellStyle name="Moneda 2 4 2 4 3 2" xfId="1682" xr:uid="{250CDCC5-7DAC-4EF1-8B5E-3C6032E87094}"/>
    <cellStyle name="Moneda 2 4 2 4 3 2 2" xfId="3606" xr:uid="{D02A3911-40A4-4E28-889A-8D1F50E0F3A1}"/>
    <cellStyle name="Moneda 2 4 2 4 3 2 2 2" xfId="7454" xr:uid="{100C5F27-1D48-478B-9454-B028FC571858}"/>
    <cellStyle name="Moneda 2 4 2 4 3 2 3" xfId="5530" xr:uid="{2CA670E3-6019-4866-9056-79F068F8F27A}"/>
    <cellStyle name="Moneda 2 4 2 4 3 3" xfId="2644" xr:uid="{3A96CBDC-7C14-4613-A86A-A92699BB7883}"/>
    <cellStyle name="Moneda 2 4 2 4 3 3 2" xfId="6492" xr:uid="{77CB4349-3073-47B3-83C9-AAEC4EA2C31F}"/>
    <cellStyle name="Moneda 2 4 2 4 3 4" xfId="4568" xr:uid="{17301742-BA63-4476-AE68-12FF24600D62}"/>
    <cellStyle name="Moneda 2 4 2 4 4" xfId="1201" xr:uid="{74C5F67E-3BE0-4FF1-81AC-241AAD689F97}"/>
    <cellStyle name="Moneda 2 4 2 4 4 2" xfId="3125" xr:uid="{805036C9-63C6-41C9-B67C-ADA9F6FEF372}"/>
    <cellStyle name="Moneda 2 4 2 4 4 2 2" xfId="6973" xr:uid="{98740AFB-51B9-4C02-B327-EF171C5E5BE4}"/>
    <cellStyle name="Moneda 2 4 2 4 4 3" xfId="5049" xr:uid="{27B938E7-5A7F-43FE-8EA6-DD1BF4385EC1}"/>
    <cellStyle name="Moneda 2 4 2 4 5" xfId="2163" xr:uid="{FC56DC9D-96E4-48D9-B109-E53F34BF2019}"/>
    <cellStyle name="Moneda 2 4 2 4 5 2" xfId="6011" xr:uid="{5EC52B80-1555-49E0-B919-112EBE6C2343}"/>
    <cellStyle name="Moneda 2 4 2 4 6" xfId="4087" xr:uid="{9526F89A-DFF7-40FE-AC0D-F20931519650}"/>
    <cellStyle name="Moneda 2 4 2 5" xfId="413" xr:uid="{ACB8CB77-677F-4625-A72C-99AABAD51746}"/>
    <cellStyle name="Moneda 2 4 2 5 2" xfId="894" xr:uid="{E17AACDC-2C8B-4A05-B1B0-411C9D55E39F}"/>
    <cellStyle name="Moneda 2 4 2 5 2 2" xfId="1856" xr:uid="{DDED182E-B25F-4FE9-8910-36282C6B2043}"/>
    <cellStyle name="Moneda 2 4 2 5 2 2 2" xfId="3780" xr:uid="{3DB5EBFD-0FA8-4A0A-A057-2347E1A062DF}"/>
    <cellStyle name="Moneda 2 4 2 5 2 2 2 2" xfId="7628" xr:uid="{10E4633E-9B0F-4384-9088-3BEF088D8C23}"/>
    <cellStyle name="Moneda 2 4 2 5 2 2 3" xfId="5704" xr:uid="{DA43B665-E772-4ABD-834A-B97307658E0F}"/>
    <cellStyle name="Moneda 2 4 2 5 2 3" xfId="2818" xr:uid="{4D5164F0-B99D-4336-9478-4501BC27B673}"/>
    <cellStyle name="Moneda 2 4 2 5 2 3 2" xfId="6666" xr:uid="{5D42C8D8-75B8-4EEE-ABB2-4762A3016C2A}"/>
    <cellStyle name="Moneda 2 4 2 5 2 4" xfId="4742" xr:uid="{959228A7-60E7-4E44-890B-236FE2EAB74B}"/>
    <cellStyle name="Moneda 2 4 2 5 3" xfId="1375" xr:uid="{6C3FA434-CF20-4C90-856C-6EB0626E2D3E}"/>
    <cellStyle name="Moneda 2 4 2 5 3 2" xfId="3299" xr:uid="{D83CAEBA-20C4-4606-8394-C30D14638898}"/>
    <cellStyle name="Moneda 2 4 2 5 3 2 2" xfId="7147" xr:uid="{205EB2AB-84B8-4A2F-9CEA-74B3D49DFA72}"/>
    <cellStyle name="Moneda 2 4 2 5 3 3" xfId="5223" xr:uid="{3D9F24E8-65FF-4A76-90C9-A4EB35D1FDBB}"/>
    <cellStyle name="Moneda 2 4 2 5 4" xfId="2337" xr:uid="{B41F4456-34E9-4095-9EEC-DC590A50AAB7}"/>
    <cellStyle name="Moneda 2 4 2 5 4 2" xfId="6185" xr:uid="{FCAD7E49-4766-4788-80BC-9EC6EC19672F}"/>
    <cellStyle name="Moneda 2 4 2 5 5" xfId="4261" xr:uid="{96AB7092-59EA-4BBD-9F3B-EDEDDBAA41B9}"/>
    <cellStyle name="Moneda 2 4 2 6" xfId="654" xr:uid="{09043166-7033-4B31-9B00-AA341583F899}"/>
    <cellStyle name="Moneda 2 4 2 6 2" xfId="1616" xr:uid="{21E8446E-A0B4-47F2-8617-3458657C10D1}"/>
    <cellStyle name="Moneda 2 4 2 6 2 2" xfId="3540" xr:uid="{A09CAC9B-7D27-4F8A-A3BC-F437B045394C}"/>
    <cellStyle name="Moneda 2 4 2 6 2 2 2" xfId="7388" xr:uid="{3CCB1295-1F87-43DF-9BE1-D27324BF5393}"/>
    <cellStyle name="Moneda 2 4 2 6 2 3" xfId="5464" xr:uid="{6EADBC99-22B5-4F91-A934-48EE5443BE2F}"/>
    <cellStyle name="Moneda 2 4 2 6 3" xfId="2578" xr:uid="{D1F3C8B2-52B7-4CE9-B7CC-DA519EAAFB74}"/>
    <cellStyle name="Moneda 2 4 2 6 3 2" xfId="6426" xr:uid="{51DA1523-F679-42A3-8FC4-3A4F0FDCE0F0}"/>
    <cellStyle name="Moneda 2 4 2 6 4" xfId="4502" xr:uid="{94030F1F-C1E8-4F46-89C8-82DD7EB8BD69}"/>
    <cellStyle name="Moneda 2 4 2 7" xfId="1135" xr:uid="{E99AF16B-6F2D-4DBF-AB6F-6A2755CF5778}"/>
    <cellStyle name="Moneda 2 4 2 7 2" xfId="3059" xr:uid="{A732D01A-F28B-4947-ABD4-93D1CE570721}"/>
    <cellStyle name="Moneda 2 4 2 7 2 2" xfId="6907" xr:uid="{F52B9791-BDED-4125-AE5B-B4FA8B56A421}"/>
    <cellStyle name="Moneda 2 4 2 7 3" xfId="4983" xr:uid="{2E73A0CD-4BD7-4D04-BBD8-A7158B0496D3}"/>
    <cellStyle name="Moneda 2 4 2 8" xfId="2097" xr:uid="{DDDE1F0D-1D9D-4626-BEB2-F254F6E26F66}"/>
    <cellStyle name="Moneda 2 4 2 8 2" xfId="5945" xr:uid="{42BF9660-7C43-4A4D-A8BE-6A32E632AFDB}"/>
    <cellStyle name="Moneda 2 4 2 9" xfId="4021" xr:uid="{2AD6FE2A-9FAD-4C9F-95D6-52ABB734EDFD}"/>
    <cellStyle name="Moneda 2 4 3" xfId="166" xr:uid="{40CD5DB4-3C50-4D29-8EA3-0EEF4A370715}"/>
    <cellStyle name="Moneda 2 4 3 2" xfId="202" xr:uid="{FAEC226F-6BCF-4F04-95DA-264C82AE8F73}"/>
    <cellStyle name="Moneda 2 4 3 2 2" xfId="336" xr:uid="{B466AB56-8534-4510-A101-98E4F671E760}"/>
    <cellStyle name="Moneda 2 4 3 2 2 2" xfId="587" xr:uid="{9C9073C4-4B47-452E-8263-BA7CA1ED4014}"/>
    <cellStyle name="Moneda 2 4 3 2 2 2 2" xfId="1068" xr:uid="{8689B40C-87B0-4E70-ADED-17E7C4356267}"/>
    <cellStyle name="Moneda 2 4 3 2 2 2 2 2" xfId="2030" xr:uid="{72311CE5-DB40-4116-804B-F8F0E552456F}"/>
    <cellStyle name="Moneda 2 4 3 2 2 2 2 2 2" xfId="3954" xr:uid="{4FB6CEAC-B5A4-4331-8DEB-7EE3083A0263}"/>
    <cellStyle name="Moneda 2 4 3 2 2 2 2 2 2 2" xfId="7802" xr:uid="{795F55D8-7EAA-43C4-B57E-748041D7E789}"/>
    <cellStyle name="Moneda 2 4 3 2 2 2 2 2 3" xfId="5878" xr:uid="{898AE80C-E2BB-46EA-9132-E656D6BCC633}"/>
    <cellStyle name="Moneda 2 4 3 2 2 2 2 3" xfId="2992" xr:uid="{CFE3083E-562F-486F-AA0B-996452E3E548}"/>
    <cellStyle name="Moneda 2 4 3 2 2 2 2 3 2" xfId="6840" xr:uid="{74C8FC80-6BDC-4A35-9181-B1A1B6C23DE3}"/>
    <cellStyle name="Moneda 2 4 3 2 2 2 2 4" xfId="4916" xr:uid="{4BF6C414-39BF-4EA5-ACC8-2E12C9ADBDBE}"/>
    <cellStyle name="Moneda 2 4 3 2 2 2 3" xfId="1549" xr:uid="{CAF62E75-5737-4C87-AA0E-381850EC3424}"/>
    <cellStyle name="Moneda 2 4 3 2 2 2 3 2" xfId="3473" xr:uid="{7A07130C-9B93-400E-96DB-ABB5403190DD}"/>
    <cellStyle name="Moneda 2 4 3 2 2 2 3 2 2" xfId="7321" xr:uid="{165D357A-2F8E-49FA-83E1-24D6D5AD54B4}"/>
    <cellStyle name="Moneda 2 4 3 2 2 2 3 3" xfId="5397" xr:uid="{1C5AD844-2663-4979-BDCB-A7EE6D2846A5}"/>
    <cellStyle name="Moneda 2 4 3 2 2 2 4" xfId="2511" xr:uid="{A7CFD317-B07A-4D6B-8767-A4693988AE1B}"/>
    <cellStyle name="Moneda 2 4 3 2 2 2 4 2" xfId="6359" xr:uid="{3DFA849D-023D-43CE-98F3-124FCCFC3858}"/>
    <cellStyle name="Moneda 2 4 3 2 2 2 5" xfId="4435" xr:uid="{67AB7F3E-827D-4A8B-931B-D131614BFD2F}"/>
    <cellStyle name="Moneda 2 4 3 2 2 3" xfId="828" xr:uid="{1AB7D6AA-F3D6-49BD-A981-5D66654FF73E}"/>
    <cellStyle name="Moneda 2 4 3 2 2 3 2" xfId="1790" xr:uid="{C1ED3CCF-ED68-4E5B-AC2C-40DA24C0F0FA}"/>
    <cellStyle name="Moneda 2 4 3 2 2 3 2 2" xfId="3714" xr:uid="{C30902F5-5A97-4171-9F15-93B1A463FF04}"/>
    <cellStyle name="Moneda 2 4 3 2 2 3 2 2 2" xfId="7562" xr:uid="{B14EF384-A512-44F5-95A7-844D6953D3CF}"/>
    <cellStyle name="Moneda 2 4 3 2 2 3 2 3" xfId="5638" xr:uid="{477511B9-E30F-4135-A269-5A40D4CA254F}"/>
    <cellStyle name="Moneda 2 4 3 2 2 3 3" xfId="2752" xr:uid="{F993C7A0-8184-4B09-A591-45A20D66A7D9}"/>
    <cellStyle name="Moneda 2 4 3 2 2 3 3 2" xfId="6600" xr:uid="{CF2F790D-AAFF-46A3-B8A4-9BF4864B9BD9}"/>
    <cellStyle name="Moneda 2 4 3 2 2 3 4" xfId="4676" xr:uid="{991DCA90-F57F-4D0A-8044-38C8FCBD1A52}"/>
    <cellStyle name="Moneda 2 4 3 2 2 4" xfId="1309" xr:uid="{EC43B46E-0532-4FC9-BADB-F7773BB7E694}"/>
    <cellStyle name="Moneda 2 4 3 2 2 4 2" xfId="3233" xr:uid="{BD2BB932-FF2C-425B-8E6F-BE4848DC1847}"/>
    <cellStyle name="Moneda 2 4 3 2 2 4 2 2" xfId="7081" xr:uid="{38B0D44A-C302-4E27-A732-6F6F6E1D3BA3}"/>
    <cellStyle name="Moneda 2 4 3 2 2 4 3" xfId="5157" xr:uid="{46017215-756D-43A5-81E9-5A071AE922EA}"/>
    <cellStyle name="Moneda 2 4 3 2 2 5" xfId="2271" xr:uid="{FD4594D5-E906-4890-A09C-B5ACAF6DFF74}"/>
    <cellStyle name="Moneda 2 4 3 2 2 5 2" xfId="6119" xr:uid="{32CCCD54-8D59-4A21-993C-D72D01ACF38F}"/>
    <cellStyle name="Moneda 2 4 3 2 2 6" xfId="4195" xr:uid="{587945BC-D903-48AE-967F-6977676993FA}"/>
    <cellStyle name="Moneda 2 4 3 2 3" xfId="455" xr:uid="{ABF733D5-DA3A-4B7F-82C3-A91FE4F2399C}"/>
    <cellStyle name="Moneda 2 4 3 2 3 2" xfId="936" xr:uid="{C021332E-9305-4142-8E0F-CCD847603F5B}"/>
    <cellStyle name="Moneda 2 4 3 2 3 2 2" xfId="1898" xr:uid="{5768472F-DF0C-4F6D-95CD-0BF6C9FB59C5}"/>
    <cellStyle name="Moneda 2 4 3 2 3 2 2 2" xfId="3822" xr:uid="{ABBE5CB9-C187-4674-9A61-B8C7A2CCA5F9}"/>
    <cellStyle name="Moneda 2 4 3 2 3 2 2 2 2" xfId="7670" xr:uid="{2271656C-E812-4BA0-B579-4092A42C4355}"/>
    <cellStyle name="Moneda 2 4 3 2 3 2 2 3" xfId="5746" xr:uid="{FCE6A38D-CF0B-45E7-A9ED-745AB24EA5CE}"/>
    <cellStyle name="Moneda 2 4 3 2 3 2 3" xfId="2860" xr:uid="{6134F0FF-B60B-410C-8BAB-66D34F3A6653}"/>
    <cellStyle name="Moneda 2 4 3 2 3 2 3 2" xfId="6708" xr:uid="{EF40CE6C-4DDE-4FE1-93E9-3F1B2BAE281E}"/>
    <cellStyle name="Moneda 2 4 3 2 3 2 4" xfId="4784" xr:uid="{615362D3-40B9-4426-B3CC-FB18C9941B56}"/>
    <cellStyle name="Moneda 2 4 3 2 3 3" xfId="1417" xr:uid="{C7ED30CC-4C65-47D2-BC12-D9E74C0C0D12}"/>
    <cellStyle name="Moneda 2 4 3 2 3 3 2" xfId="3341" xr:uid="{9AC65031-C4AD-46AD-9E87-4153E11CE646}"/>
    <cellStyle name="Moneda 2 4 3 2 3 3 2 2" xfId="7189" xr:uid="{ECD61BB7-0622-4285-A342-D25ECF922E1C}"/>
    <cellStyle name="Moneda 2 4 3 2 3 3 3" xfId="5265" xr:uid="{715ABC5D-DABC-4AD8-8A97-08C75C275B17}"/>
    <cellStyle name="Moneda 2 4 3 2 3 4" xfId="2379" xr:uid="{58FCAB00-3079-480F-BBCA-06B1ED19038B}"/>
    <cellStyle name="Moneda 2 4 3 2 3 4 2" xfId="6227" xr:uid="{DE66F258-2F25-4EFC-B9BD-974D2B8ED506}"/>
    <cellStyle name="Moneda 2 4 3 2 3 5" xfId="4303" xr:uid="{22233805-129F-4D88-A695-6C189E4C6FDB}"/>
    <cellStyle name="Moneda 2 4 3 2 4" xfId="696" xr:uid="{ACD4444A-C9C6-4189-86AD-B499ABF87A91}"/>
    <cellStyle name="Moneda 2 4 3 2 4 2" xfId="1658" xr:uid="{C0F6BD97-73E1-4E52-8B0B-38EB7F3F9EEB}"/>
    <cellStyle name="Moneda 2 4 3 2 4 2 2" xfId="3582" xr:uid="{50D973E7-FDDA-4701-8D88-5CA49481C23F}"/>
    <cellStyle name="Moneda 2 4 3 2 4 2 2 2" xfId="7430" xr:uid="{9B7B7F76-8336-4781-97C1-7C1FA49BDD92}"/>
    <cellStyle name="Moneda 2 4 3 2 4 2 3" xfId="5506" xr:uid="{29172097-CF8D-4C67-98C6-CA012C131AFD}"/>
    <cellStyle name="Moneda 2 4 3 2 4 3" xfId="2620" xr:uid="{78409DEE-E9A0-4C63-915E-938930FD671C}"/>
    <cellStyle name="Moneda 2 4 3 2 4 3 2" xfId="6468" xr:uid="{B4839BE6-0DD1-4FC3-9E11-6F72535D257E}"/>
    <cellStyle name="Moneda 2 4 3 2 4 4" xfId="4544" xr:uid="{0D80B5F3-F160-4286-BD05-63066B1462D6}"/>
    <cellStyle name="Moneda 2 4 3 2 5" xfId="1177" xr:uid="{D6FB586C-C314-4481-BEB3-7806EC01D784}"/>
    <cellStyle name="Moneda 2 4 3 2 5 2" xfId="3101" xr:uid="{A077FDB1-C9FA-4F81-BADA-ADF57869DA2C}"/>
    <cellStyle name="Moneda 2 4 3 2 5 2 2" xfId="6949" xr:uid="{C9F14E74-40BF-4735-9880-6257FD119ADD}"/>
    <cellStyle name="Moneda 2 4 3 2 5 3" xfId="5025" xr:uid="{0DDDA277-1828-4114-9A5B-1B6381C72022}"/>
    <cellStyle name="Moneda 2 4 3 2 6" xfId="2139" xr:uid="{C42C6CD5-20A0-466D-AC15-8C011ED7FE92}"/>
    <cellStyle name="Moneda 2 4 3 2 6 2" xfId="5987" xr:uid="{7A558B84-91FB-4CB0-A338-820085419B9D}"/>
    <cellStyle name="Moneda 2 4 3 2 7" xfId="4063" xr:uid="{625F3B06-A2F2-43D6-8051-C4B31EB9A93D}"/>
    <cellStyle name="Moneda 2 4 3 3" xfId="303" xr:uid="{392DE37D-D14C-4AB7-A52F-19573C0EF4D6}"/>
    <cellStyle name="Moneda 2 4 3 3 2" xfId="554" xr:uid="{B42C2AC8-C7B3-4AA3-A0CF-09CD47F914E7}"/>
    <cellStyle name="Moneda 2 4 3 3 2 2" xfId="1035" xr:uid="{7454A60E-A8F0-4059-8BB3-A9F10F906B5F}"/>
    <cellStyle name="Moneda 2 4 3 3 2 2 2" xfId="1997" xr:uid="{FD149A33-A290-4AA5-94B1-417C7DB17014}"/>
    <cellStyle name="Moneda 2 4 3 3 2 2 2 2" xfId="3921" xr:uid="{8F416F54-D73F-4621-9E16-69A6A6C26F9A}"/>
    <cellStyle name="Moneda 2 4 3 3 2 2 2 2 2" xfId="7769" xr:uid="{2E857D94-0B6D-4F94-84E2-97160A8089F8}"/>
    <cellStyle name="Moneda 2 4 3 3 2 2 2 3" xfId="5845" xr:uid="{1EDFE506-F89C-4D62-A8BD-8238CC973BFA}"/>
    <cellStyle name="Moneda 2 4 3 3 2 2 3" xfId="2959" xr:uid="{A4DA5B47-D322-4FD3-A830-60641293B9BF}"/>
    <cellStyle name="Moneda 2 4 3 3 2 2 3 2" xfId="6807" xr:uid="{214F2338-3413-498F-8D46-FAC8A441A58E}"/>
    <cellStyle name="Moneda 2 4 3 3 2 2 4" xfId="4883" xr:uid="{92975456-A307-4A87-949F-2C1062C45726}"/>
    <cellStyle name="Moneda 2 4 3 3 2 3" xfId="1516" xr:uid="{CB4376F0-CD7F-4DCD-B744-856E07B127DC}"/>
    <cellStyle name="Moneda 2 4 3 3 2 3 2" xfId="3440" xr:uid="{9944DDAA-0E18-4272-84A8-88493A1E112B}"/>
    <cellStyle name="Moneda 2 4 3 3 2 3 2 2" xfId="7288" xr:uid="{EB2D8791-156E-4041-A434-97F669E8BD4E}"/>
    <cellStyle name="Moneda 2 4 3 3 2 3 3" xfId="5364" xr:uid="{A548DE03-42F3-4F83-B3A2-707A3A543C64}"/>
    <cellStyle name="Moneda 2 4 3 3 2 4" xfId="2478" xr:uid="{FA2E4B70-DF17-4A71-ACFE-49DB6AB573B6}"/>
    <cellStyle name="Moneda 2 4 3 3 2 4 2" xfId="6326" xr:uid="{57ABAD5B-6183-4019-96B5-7741FD27CEBD}"/>
    <cellStyle name="Moneda 2 4 3 3 2 5" xfId="4402" xr:uid="{543870D9-30E6-4291-BA9B-4313D79D8870}"/>
    <cellStyle name="Moneda 2 4 3 3 3" xfId="795" xr:uid="{269DC3D6-C2F5-4807-AE39-A62CEB94F767}"/>
    <cellStyle name="Moneda 2 4 3 3 3 2" xfId="1757" xr:uid="{86AE0F67-2E90-4C46-99C0-EF74EBEFCF36}"/>
    <cellStyle name="Moneda 2 4 3 3 3 2 2" xfId="3681" xr:uid="{D0E08806-3CF9-4A73-8939-906A5E858A61}"/>
    <cellStyle name="Moneda 2 4 3 3 3 2 2 2" xfId="7529" xr:uid="{D6E83006-6B18-4F08-97E4-E0CCB4D9C0AE}"/>
    <cellStyle name="Moneda 2 4 3 3 3 2 3" xfId="5605" xr:uid="{7158D5CE-AC25-4C7B-A496-F22144893F49}"/>
    <cellStyle name="Moneda 2 4 3 3 3 3" xfId="2719" xr:uid="{4FDAD900-395C-4A0F-806E-C795253ABDFE}"/>
    <cellStyle name="Moneda 2 4 3 3 3 3 2" xfId="6567" xr:uid="{A6C6E5FC-CEF0-4A73-A6C1-63EA8504D79C}"/>
    <cellStyle name="Moneda 2 4 3 3 3 4" xfId="4643" xr:uid="{7DA9665C-7C69-46C6-AE2D-3E2E97BFDA8A}"/>
    <cellStyle name="Moneda 2 4 3 3 4" xfId="1276" xr:uid="{A0BAFE58-718C-4101-881F-8D2A054E069F}"/>
    <cellStyle name="Moneda 2 4 3 3 4 2" xfId="3200" xr:uid="{87D25B9F-20B1-4872-A2AA-9B1DBA62C445}"/>
    <cellStyle name="Moneda 2 4 3 3 4 2 2" xfId="7048" xr:uid="{BB972D0E-4397-4903-974B-6495F1959139}"/>
    <cellStyle name="Moneda 2 4 3 3 4 3" xfId="5124" xr:uid="{0E59552A-307F-4A10-9996-528DE2A720BA}"/>
    <cellStyle name="Moneda 2 4 3 3 5" xfId="2238" xr:uid="{A59A10C1-FE19-48EF-A331-E392A0A04CF8}"/>
    <cellStyle name="Moneda 2 4 3 3 5 2" xfId="6086" xr:uid="{DD9C20EB-8AE3-443C-A630-106B34142BB0}"/>
    <cellStyle name="Moneda 2 4 3 3 6" xfId="4162" xr:uid="{F21D13FF-8FC1-4A1C-ADDB-6046FA535448}"/>
    <cellStyle name="Moneda 2 4 3 4" xfId="236" xr:uid="{0F14074B-4065-4EB2-9B7B-3BE72BC164C8}"/>
    <cellStyle name="Moneda 2 4 3 4 2" xfId="488" xr:uid="{C52221B1-932C-40C6-897A-1AC8F046818B}"/>
    <cellStyle name="Moneda 2 4 3 4 2 2" xfId="969" xr:uid="{4E37B61F-F575-4CD5-9DF5-F14064DAB7DE}"/>
    <cellStyle name="Moneda 2 4 3 4 2 2 2" xfId="1931" xr:uid="{2546D412-D041-449D-AE43-64EFD5F5123A}"/>
    <cellStyle name="Moneda 2 4 3 4 2 2 2 2" xfId="3855" xr:uid="{E9C8BE83-06C8-4BD4-94F4-D36D3119555D}"/>
    <cellStyle name="Moneda 2 4 3 4 2 2 2 2 2" xfId="7703" xr:uid="{D514B239-16DE-423C-BE8A-23D4853572E1}"/>
    <cellStyle name="Moneda 2 4 3 4 2 2 2 3" xfId="5779" xr:uid="{A83C48C4-1BDD-4BAB-AC10-0BDDE5E240F8}"/>
    <cellStyle name="Moneda 2 4 3 4 2 2 3" xfId="2893" xr:uid="{DB185841-42E2-4708-8ACA-406C9B047ADA}"/>
    <cellStyle name="Moneda 2 4 3 4 2 2 3 2" xfId="6741" xr:uid="{935C0473-4537-4860-A0CA-F02CCDF03905}"/>
    <cellStyle name="Moneda 2 4 3 4 2 2 4" xfId="4817" xr:uid="{926CA80D-2B80-47AD-8CE1-0AA2AC3A8C42}"/>
    <cellStyle name="Moneda 2 4 3 4 2 3" xfId="1450" xr:uid="{2C00068F-9DA8-4846-9C93-A5E5BBB24AD4}"/>
    <cellStyle name="Moneda 2 4 3 4 2 3 2" xfId="3374" xr:uid="{F2CCBA04-1F7C-492A-A836-C5145CC46A0E}"/>
    <cellStyle name="Moneda 2 4 3 4 2 3 2 2" xfId="7222" xr:uid="{20CA0DEC-DB86-4C1F-B518-F0B85274A758}"/>
    <cellStyle name="Moneda 2 4 3 4 2 3 3" xfId="5298" xr:uid="{C8267459-502B-4C32-A21E-15BC75A676D4}"/>
    <cellStyle name="Moneda 2 4 3 4 2 4" xfId="2412" xr:uid="{B4B857CB-04E0-4893-9374-41FEF006CCBE}"/>
    <cellStyle name="Moneda 2 4 3 4 2 4 2" xfId="6260" xr:uid="{4F6E670E-5DCC-42B6-A81B-3262E11A2B43}"/>
    <cellStyle name="Moneda 2 4 3 4 2 5" xfId="4336" xr:uid="{E440CBB5-9096-4644-9C96-2F64072067D6}"/>
    <cellStyle name="Moneda 2 4 3 4 3" xfId="729" xr:uid="{5855CCA6-E8A4-4C23-9A38-DCC4DA621F48}"/>
    <cellStyle name="Moneda 2 4 3 4 3 2" xfId="1691" xr:uid="{E0EAC887-F800-4819-9613-E7E81FEE73DA}"/>
    <cellStyle name="Moneda 2 4 3 4 3 2 2" xfId="3615" xr:uid="{8139269D-5756-45C1-8752-3CE502F4EED3}"/>
    <cellStyle name="Moneda 2 4 3 4 3 2 2 2" xfId="7463" xr:uid="{43F8AA97-08A8-43FC-BC51-98892933F1E3}"/>
    <cellStyle name="Moneda 2 4 3 4 3 2 3" xfId="5539" xr:uid="{C6646ADD-4919-4908-989D-58A05185C5A3}"/>
    <cellStyle name="Moneda 2 4 3 4 3 3" xfId="2653" xr:uid="{92C35FF8-45EE-43B4-B6B9-E67AD1A3FF69}"/>
    <cellStyle name="Moneda 2 4 3 4 3 3 2" xfId="6501" xr:uid="{AB9FB0F9-FE78-4303-ABDA-A893CD54582F}"/>
    <cellStyle name="Moneda 2 4 3 4 3 4" xfId="4577" xr:uid="{31BADC74-2369-486A-AFEB-6435CDB33801}"/>
    <cellStyle name="Moneda 2 4 3 4 4" xfId="1210" xr:uid="{DDA220F2-48D8-49B6-B510-84CF8979F7CD}"/>
    <cellStyle name="Moneda 2 4 3 4 4 2" xfId="3134" xr:uid="{50A21DB2-E961-400B-BDBE-304B02BB6B7D}"/>
    <cellStyle name="Moneda 2 4 3 4 4 2 2" xfId="6982" xr:uid="{0F2DBF70-5403-4073-B314-7F4909341F66}"/>
    <cellStyle name="Moneda 2 4 3 4 4 3" xfId="5058" xr:uid="{CC0870CE-B28D-49DE-8156-95EFE2EBF03C}"/>
    <cellStyle name="Moneda 2 4 3 4 5" xfId="2172" xr:uid="{29B3B868-6A16-4BC1-9F8C-66C7E60F091E}"/>
    <cellStyle name="Moneda 2 4 3 4 5 2" xfId="6020" xr:uid="{7560596D-CA85-4C33-BA88-2D5A40E63555}"/>
    <cellStyle name="Moneda 2 4 3 4 6" xfId="4096" xr:uid="{5618E8A2-D6D1-4041-AF30-2AB6E5A931B8}"/>
    <cellStyle name="Moneda 2 4 3 5" xfId="422" xr:uid="{47D61624-1268-4ABA-BCAD-0FF3FB9F311D}"/>
    <cellStyle name="Moneda 2 4 3 5 2" xfId="903" xr:uid="{AFFEE9F5-3F31-4958-9BAC-1BDF558FF641}"/>
    <cellStyle name="Moneda 2 4 3 5 2 2" xfId="1865" xr:uid="{AE1540C8-6A1D-42F2-99BC-E498BEFCBF9C}"/>
    <cellStyle name="Moneda 2 4 3 5 2 2 2" xfId="3789" xr:uid="{D4B06B82-FB5E-4689-8443-31FA1B18924F}"/>
    <cellStyle name="Moneda 2 4 3 5 2 2 2 2" xfId="7637" xr:uid="{54603F7C-AB2E-4E8B-BD52-F021B9033F3E}"/>
    <cellStyle name="Moneda 2 4 3 5 2 2 3" xfId="5713" xr:uid="{9F815819-0761-4D70-A9B5-CCD9B7125399}"/>
    <cellStyle name="Moneda 2 4 3 5 2 3" xfId="2827" xr:uid="{D139496A-43F1-4D27-AC67-8232FDCBE6F9}"/>
    <cellStyle name="Moneda 2 4 3 5 2 3 2" xfId="6675" xr:uid="{55A02022-8F91-4F70-9507-5817400DF5E8}"/>
    <cellStyle name="Moneda 2 4 3 5 2 4" xfId="4751" xr:uid="{13F380EC-F806-407B-93C3-C23F70E51E53}"/>
    <cellStyle name="Moneda 2 4 3 5 3" xfId="1384" xr:uid="{DAFDB614-9ABE-4C47-9997-A3DB41000E48}"/>
    <cellStyle name="Moneda 2 4 3 5 3 2" xfId="3308" xr:uid="{B4BA487A-3921-4AB0-BCD3-0906DE64B0CA}"/>
    <cellStyle name="Moneda 2 4 3 5 3 2 2" xfId="7156" xr:uid="{878D2229-43ED-4D4F-A442-EBA3ACEE5BB6}"/>
    <cellStyle name="Moneda 2 4 3 5 3 3" xfId="5232" xr:uid="{C4A5E619-4649-4F81-86DE-50F0D617C3AB}"/>
    <cellStyle name="Moneda 2 4 3 5 4" xfId="2346" xr:uid="{0215097F-0E31-4C1B-9510-BE87315F0A0D}"/>
    <cellStyle name="Moneda 2 4 3 5 4 2" xfId="6194" xr:uid="{59B310B5-F667-43E9-AF8A-4F73D7608373}"/>
    <cellStyle name="Moneda 2 4 3 5 5" xfId="4270" xr:uid="{71EBF215-5A4F-499A-B511-9FCD2183E8EB}"/>
    <cellStyle name="Moneda 2 4 3 6" xfId="663" xr:uid="{DBE482D9-E65D-4439-ACE1-F21080826940}"/>
    <cellStyle name="Moneda 2 4 3 6 2" xfId="1625" xr:uid="{367CB206-6C53-4E23-AD81-D5524CEB312E}"/>
    <cellStyle name="Moneda 2 4 3 6 2 2" xfId="3549" xr:uid="{85450DD2-D658-4440-A1B3-DD1CFC51E9DC}"/>
    <cellStyle name="Moneda 2 4 3 6 2 2 2" xfId="7397" xr:uid="{508E1B11-D3AC-4191-A3A0-E5F4EB0BF33D}"/>
    <cellStyle name="Moneda 2 4 3 6 2 3" xfId="5473" xr:uid="{A7A45A30-D077-4152-8F39-F3D0FBD2B000}"/>
    <cellStyle name="Moneda 2 4 3 6 3" xfId="2587" xr:uid="{7086C81A-A5CA-44C8-B8D4-C46429A64F31}"/>
    <cellStyle name="Moneda 2 4 3 6 3 2" xfId="6435" xr:uid="{966926A6-4338-4EC6-88EB-33513BD9FC1F}"/>
    <cellStyle name="Moneda 2 4 3 6 4" xfId="4511" xr:uid="{47FFE2A3-9A3E-41F6-94E4-569623836981}"/>
    <cellStyle name="Moneda 2 4 3 7" xfId="1144" xr:uid="{FD008F52-D10D-48BF-A0B4-BD82355CCED4}"/>
    <cellStyle name="Moneda 2 4 3 7 2" xfId="3068" xr:uid="{35619280-74B4-4B4A-BD98-FC7A590F676A}"/>
    <cellStyle name="Moneda 2 4 3 7 2 2" xfId="6916" xr:uid="{3F90110E-4438-45EA-A9FE-2810AA409366}"/>
    <cellStyle name="Moneda 2 4 3 7 3" xfId="4992" xr:uid="{CEDD11BE-B255-40DA-A59F-019D7B8D1BE4}"/>
    <cellStyle name="Moneda 2 4 3 8" xfId="2106" xr:uid="{F3DABA14-A19E-4DD7-AE18-4B04B2A28F86}"/>
    <cellStyle name="Moneda 2 4 3 8 2" xfId="5954" xr:uid="{4FE33D57-4999-4D4C-B51B-3584F2AA6E42}"/>
    <cellStyle name="Moneda 2 4 3 9" xfId="4030" xr:uid="{754B1A21-F8EA-4D5A-A85A-DE324490A047}"/>
    <cellStyle name="Moneda 2 4 4" xfId="134" xr:uid="{93C684C3-CF81-4833-BB8D-9D018ED64529}"/>
    <cellStyle name="Moneda 2 4 4 2" xfId="282" xr:uid="{461FFA19-9CDF-46A4-965B-B1CC6E196E58}"/>
    <cellStyle name="Moneda 2 4 4 2 2" xfId="533" xr:uid="{8E6C44E5-50A6-4E2A-A066-84CFAE1A522F}"/>
    <cellStyle name="Moneda 2 4 4 2 2 2" xfId="1014" xr:uid="{5216A386-6A0B-4ABC-AF5B-29FC1FB0A631}"/>
    <cellStyle name="Moneda 2 4 4 2 2 2 2" xfId="1976" xr:uid="{7BD42430-6CE6-414B-8C05-18AF0EB0BFB8}"/>
    <cellStyle name="Moneda 2 4 4 2 2 2 2 2" xfId="3900" xr:uid="{A0F2EF55-0607-433D-A90C-147C08BEA905}"/>
    <cellStyle name="Moneda 2 4 4 2 2 2 2 2 2" xfId="7748" xr:uid="{5F465421-519C-4EBB-8F57-4F42B970F3BB}"/>
    <cellStyle name="Moneda 2 4 4 2 2 2 2 3" xfId="5824" xr:uid="{E19E8B6B-B1DB-43F5-84D8-A89E1D3B1B5E}"/>
    <cellStyle name="Moneda 2 4 4 2 2 2 3" xfId="2938" xr:uid="{8C46D3AC-A5F6-4AF3-BDBE-0BE7F912A0CD}"/>
    <cellStyle name="Moneda 2 4 4 2 2 2 3 2" xfId="6786" xr:uid="{18D61C92-1EA7-4874-B7CF-537D9E13DAE5}"/>
    <cellStyle name="Moneda 2 4 4 2 2 2 4" xfId="4862" xr:uid="{95A9EBA6-0B3E-4E7C-ABE3-5C23CF9C9239}"/>
    <cellStyle name="Moneda 2 4 4 2 2 3" xfId="1495" xr:uid="{E2EF021D-4F10-4332-B3EC-7603DBEB526B}"/>
    <cellStyle name="Moneda 2 4 4 2 2 3 2" xfId="3419" xr:uid="{9DB7FFB8-0E18-4DFF-9E62-EBBCA66233D0}"/>
    <cellStyle name="Moneda 2 4 4 2 2 3 2 2" xfId="7267" xr:uid="{4D4D00DB-D211-4C24-AFB9-90B89CFCB359}"/>
    <cellStyle name="Moneda 2 4 4 2 2 3 3" xfId="5343" xr:uid="{A60E4506-2A7C-42F8-825A-DCC70DBE7EAD}"/>
    <cellStyle name="Moneda 2 4 4 2 2 4" xfId="2457" xr:uid="{E140E849-7E93-4CE1-90B3-2A9D2D0CD107}"/>
    <cellStyle name="Moneda 2 4 4 2 2 4 2" xfId="6305" xr:uid="{818B40B9-1055-4A09-B78B-23E5630722C3}"/>
    <cellStyle name="Moneda 2 4 4 2 2 5" xfId="4381" xr:uid="{35C5346E-C388-4810-AE7E-7C483367412D}"/>
    <cellStyle name="Moneda 2 4 4 2 3" xfId="774" xr:uid="{87CA8967-0964-4F3B-A163-AA92DAD38773}"/>
    <cellStyle name="Moneda 2 4 4 2 3 2" xfId="1736" xr:uid="{671CA0E5-BDE0-4C05-A13C-4CF1AC9943A8}"/>
    <cellStyle name="Moneda 2 4 4 2 3 2 2" xfId="3660" xr:uid="{9E3A18E3-5CDB-449F-A0E1-F31727AD85F9}"/>
    <cellStyle name="Moneda 2 4 4 2 3 2 2 2" xfId="7508" xr:uid="{F7FB488E-6B72-44C5-8211-D5A1F66E7806}"/>
    <cellStyle name="Moneda 2 4 4 2 3 2 3" xfId="5584" xr:uid="{004A7382-8329-4E2E-ACDB-FAA1C12B4F65}"/>
    <cellStyle name="Moneda 2 4 4 2 3 3" xfId="2698" xr:uid="{BAC360F7-8DB3-4C4F-9E39-9FA2EFDFAA5B}"/>
    <cellStyle name="Moneda 2 4 4 2 3 3 2" xfId="6546" xr:uid="{328974DE-4E6B-4317-8145-08711D9F1B96}"/>
    <cellStyle name="Moneda 2 4 4 2 3 4" xfId="4622" xr:uid="{F8AFDF62-FCFF-410D-AD76-832D04B7CBCD}"/>
    <cellStyle name="Moneda 2 4 4 2 4" xfId="1255" xr:uid="{6326F1DE-8447-4C85-958D-25CE7AF8F7F7}"/>
    <cellStyle name="Moneda 2 4 4 2 4 2" xfId="3179" xr:uid="{2A912CC4-DAEF-433A-BA34-A619ADD715D2}"/>
    <cellStyle name="Moneda 2 4 4 2 4 2 2" xfId="7027" xr:uid="{50C894FB-ED53-482D-9951-CA62B7D38344}"/>
    <cellStyle name="Moneda 2 4 4 2 4 3" xfId="5103" xr:uid="{13411947-6FD8-4B05-A5A4-693E5982B0CA}"/>
    <cellStyle name="Moneda 2 4 4 2 5" xfId="2217" xr:uid="{EAB408B4-D254-427F-AC2F-497404CB1EE1}"/>
    <cellStyle name="Moneda 2 4 4 2 5 2" xfId="6065" xr:uid="{0B28D9EE-020F-4AAC-B03E-7D7C53A8E097}"/>
    <cellStyle name="Moneda 2 4 4 2 6" xfId="4141" xr:uid="{C4BFF11C-E7A7-4EAF-9E56-E13C63442D22}"/>
    <cellStyle name="Moneda 2 4 4 3" xfId="401" xr:uid="{D3295532-AD7C-4468-BB95-045F205E61BA}"/>
    <cellStyle name="Moneda 2 4 4 3 2" xfId="882" xr:uid="{4285AC3C-D5EA-46C3-BB37-98A5B14A4485}"/>
    <cellStyle name="Moneda 2 4 4 3 2 2" xfId="1844" xr:uid="{4EDEB91E-B404-4CF3-89E5-BD3CC17F89BE}"/>
    <cellStyle name="Moneda 2 4 4 3 2 2 2" xfId="3768" xr:uid="{C94A99E5-1406-4204-99A1-7C9570D345A4}"/>
    <cellStyle name="Moneda 2 4 4 3 2 2 2 2" xfId="7616" xr:uid="{DB4EE259-27C7-483D-988D-E4E9A0521F43}"/>
    <cellStyle name="Moneda 2 4 4 3 2 2 3" xfId="5692" xr:uid="{C933E38D-7B2E-4C75-8FF4-2C194FD6C477}"/>
    <cellStyle name="Moneda 2 4 4 3 2 3" xfId="2806" xr:uid="{52F59571-A928-45CA-9C8E-216B4160E7D7}"/>
    <cellStyle name="Moneda 2 4 4 3 2 3 2" xfId="6654" xr:uid="{B101EC44-FF35-463F-AE2F-37464D56989F}"/>
    <cellStyle name="Moneda 2 4 4 3 2 4" xfId="4730" xr:uid="{FAB201A3-8379-458C-8E18-5E89C432C2C3}"/>
    <cellStyle name="Moneda 2 4 4 3 3" xfId="1363" xr:uid="{578E0DD0-0D14-40FA-9281-381E59BBF180}"/>
    <cellStyle name="Moneda 2 4 4 3 3 2" xfId="3287" xr:uid="{A48C3257-79DF-42D5-89A8-F2A1AFE14BD6}"/>
    <cellStyle name="Moneda 2 4 4 3 3 2 2" xfId="7135" xr:uid="{A4C2633A-872A-4CE5-BBDF-E47E7606FC35}"/>
    <cellStyle name="Moneda 2 4 4 3 3 3" xfId="5211" xr:uid="{5B805B2D-BC40-44F9-8A5D-6954988FFD5D}"/>
    <cellStyle name="Moneda 2 4 4 3 4" xfId="2325" xr:uid="{7FA11B78-20EC-489B-A6AA-AE9D30479986}"/>
    <cellStyle name="Moneda 2 4 4 3 4 2" xfId="6173" xr:uid="{DF39E1E7-CC41-4AA2-82A0-E3FC7FF26129}"/>
    <cellStyle name="Moneda 2 4 4 3 5" xfId="4249" xr:uid="{0C6E975E-1EB5-4050-BCE6-32022CBE767A}"/>
    <cellStyle name="Moneda 2 4 4 4" xfId="642" xr:uid="{A5F488F4-3F89-4EB7-9652-25FAD84C7040}"/>
    <cellStyle name="Moneda 2 4 4 4 2" xfId="1604" xr:uid="{87412DD3-DBA5-417E-AF12-71773EB56321}"/>
    <cellStyle name="Moneda 2 4 4 4 2 2" xfId="3528" xr:uid="{0B1C565E-FF91-4AC8-B251-190F2DF9E225}"/>
    <cellStyle name="Moneda 2 4 4 4 2 2 2" xfId="7376" xr:uid="{6C94D079-FF20-4A31-9155-EEEAB557D77C}"/>
    <cellStyle name="Moneda 2 4 4 4 2 3" xfId="5452" xr:uid="{7CCE0BFA-3E46-4D54-BA46-188D8E5946BA}"/>
    <cellStyle name="Moneda 2 4 4 4 3" xfId="2566" xr:uid="{306738D9-3F66-4B66-AE6B-DE69E2AA3FCC}"/>
    <cellStyle name="Moneda 2 4 4 4 3 2" xfId="6414" xr:uid="{011CC808-2E04-439B-BEDB-BCBE7218B519}"/>
    <cellStyle name="Moneda 2 4 4 4 4" xfId="4490" xr:uid="{D06B6F89-84E8-4069-91FA-61751BBB17E3}"/>
    <cellStyle name="Moneda 2 4 4 5" xfId="1123" xr:uid="{D8B44AB8-A312-4530-B171-E919E4FC4EB7}"/>
    <cellStyle name="Moneda 2 4 4 5 2" xfId="3047" xr:uid="{FD46B3E3-176F-43EF-AFEC-D8B07CFC212A}"/>
    <cellStyle name="Moneda 2 4 4 5 2 2" xfId="6895" xr:uid="{4F9DE1F2-A7AB-4A49-82EF-1FDE367901B7}"/>
    <cellStyle name="Moneda 2 4 4 5 3" xfId="4971" xr:uid="{150761CA-2934-4218-AA1C-0896F394ECD8}"/>
    <cellStyle name="Moneda 2 4 4 6" xfId="2085" xr:uid="{74A306BF-494C-448C-9401-3EBE89AF1C04}"/>
    <cellStyle name="Moneda 2 4 4 6 2" xfId="5933" xr:uid="{28312D89-3696-418A-95AF-9CE488BC0676}"/>
    <cellStyle name="Moneda 2 4 4 7" xfId="4009" xr:uid="{D1BC1A90-4AE0-4562-A137-0EF5D00BBF78}"/>
    <cellStyle name="Moneda 2 4 5" xfId="257" xr:uid="{3C244233-5084-487C-AC6D-F0062DFE4A00}"/>
    <cellStyle name="Moneda 2 4 5 2" xfId="509" xr:uid="{3AE44704-EBA8-4704-8905-785583A7591D}"/>
    <cellStyle name="Moneda 2 4 5 2 2" xfId="990" xr:uid="{DCFADA0E-2044-4DEB-BE18-066455A385FC}"/>
    <cellStyle name="Moneda 2 4 5 2 2 2" xfId="1952" xr:uid="{097D2600-573F-4D49-983A-EFDABB4F5C1F}"/>
    <cellStyle name="Moneda 2 4 5 2 2 2 2" xfId="3876" xr:uid="{C9138D01-2120-4B7C-A475-51E46BAE7203}"/>
    <cellStyle name="Moneda 2 4 5 2 2 2 2 2" xfId="7724" xr:uid="{3499BE6F-0E19-435F-8C88-1188FBCB517C}"/>
    <cellStyle name="Moneda 2 4 5 2 2 2 3" xfId="5800" xr:uid="{D43C0661-D690-4929-A83A-D4EEE42ECAE9}"/>
    <cellStyle name="Moneda 2 4 5 2 2 3" xfId="2914" xr:uid="{5F193FE2-9D9D-4081-B1E0-2D254D7BC775}"/>
    <cellStyle name="Moneda 2 4 5 2 2 3 2" xfId="6762" xr:uid="{B44DFC4E-82EE-4456-B727-E1793EF6C1E2}"/>
    <cellStyle name="Moneda 2 4 5 2 2 4" xfId="4838" xr:uid="{F7A9B9FF-E45F-4F1E-A664-B0D52A4A959F}"/>
    <cellStyle name="Moneda 2 4 5 2 3" xfId="1471" xr:uid="{8E467914-92D1-42ED-90CD-69F0AAD78249}"/>
    <cellStyle name="Moneda 2 4 5 2 3 2" xfId="3395" xr:uid="{899277B4-176F-4704-A1C8-024F057DC2FC}"/>
    <cellStyle name="Moneda 2 4 5 2 3 2 2" xfId="7243" xr:uid="{340F45A3-C566-45B8-8055-A9A4E7A9099B}"/>
    <cellStyle name="Moneda 2 4 5 2 3 3" xfId="5319" xr:uid="{1D559181-6155-43A4-8A2B-EB1B2330A238}"/>
    <cellStyle name="Moneda 2 4 5 2 4" xfId="2433" xr:uid="{5BCEAA2B-3D65-4CBB-8E84-431F8F9B116B}"/>
    <cellStyle name="Moneda 2 4 5 2 4 2" xfId="6281" xr:uid="{22714E14-2005-4481-B380-9C66BC5C7A17}"/>
    <cellStyle name="Moneda 2 4 5 2 5" xfId="4357" xr:uid="{B045C3BC-EADF-4065-9A54-B37F338275B5}"/>
    <cellStyle name="Moneda 2 4 5 3" xfId="750" xr:uid="{97E739D5-5339-461D-A96B-4AFD04C37734}"/>
    <cellStyle name="Moneda 2 4 5 3 2" xfId="1712" xr:uid="{8ABD41D3-62A2-4982-BF88-4505A59A64F7}"/>
    <cellStyle name="Moneda 2 4 5 3 2 2" xfId="3636" xr:uid="{92C61128-1A31-4EE5-9E6B-5D8898BC3EED}"/>
    <cellStyle name="Moneda 2 4 5 3 2 2 2" xfId="7484" xr:uid="{A8234DAB-176C-4510-A100-50B7679C8306}"/>
    <cellStyle name="Moneda 2 4 5 3 2 3" xfId="5560" xr:uid="{3A54A7F5-FA02-44D6-8960-EB7CFAB74AEC}"/>
    <cellStyle name="Moneda 2 4 5 3 3" xfId="2674" xr:uid="{5BCD535B-1DC5-4859-923B-530A64E082F6}"/>
    <cellStyle name="Moneda 2 4 5 3 3 2" xfId="6522" xr:uid="{F27DE50B-3BDE-44CC-8352-41938E37CDA2}"/>
    <cellStyle name="Moneda 2 4 5 3 4" xfId="4598" xr:uid="{7705E8B8-7577-4F11-A400-965BCE73AFBD}"/>
    <cellStyle name="Moneda 2 4 5 4" xfId="1231" xr:uid="{0F65A7A2-3C4A-43A1-B219-E96CE53A9495}"/>
    <cellStyle name="Moneda 2 4 5 4 2" xfId="3155" xr:uid="{E8B1C625-111F-4C49-96F5-5810B1056B48}"/>
    <cellStyle name="Moneda 2 4 5 4 2 2" xfId="7003" xr:uid="{C6938412-D5DA-4D04-8656-C64D51CA93EF}"/>
    <cellStyle name="Moneda 2 4 5 4 3" xfId="5079" xr:uid="{ACAE1B29-66A2-4FCA-A49E-DC329FE18FA3}"/>
    <cellStyle name="Moneda 2 4 5 5" xfId="2193" xr:uid="{07545806-4BC2-4AFB-A733-67BE69C32E84}"/>
    <cellStyle name="Moneda 2 4 5 5 2" xfId="6041" xr:uid="{D0ADEAA9-D363-4E08-B626-7E811A122FB2}"/>
    <cellStyle name="Moneda 2 4 5 6" xfId="4117" xr:uid="{EC14E53A-CD54-46D5-9227-90F1B15177CF}"/>
    <cellStyle name="Moneda 2 4 6" xfId="376" xr:uid="{880314EB-E975-4300-B9FE-2473042DFB25}"/>
    <cellStyle name="Moneda 2 4 6 2" xfId="857" xr:uid="{77DB25AF-1DEF-4841-B2BA-04D9503A3CCB}"/>
    <cellStyle name="Moneda 2 4 6 2 2" xfId="1819" xr:uid="{6E78DEA3-0291-4FD3-84FE-C81E4538077E}"/>
    <cellStyle name="Moneda 2 4 6 2 2 2" xfId="3743" xr:uid="{9806A999-AE54-4B6D-9B71-04EF673BB80F}"/>
    <cellStyle name="Moneda 2 4 6 2 2 2 2" xfId="7591" xr:uid="{F631B945-E097-453D-8269-03A1C588255B}"/>
    <cellStyle name="Moneda 2 4 6 2 2 3" xfId="5667" xr:uid="{A1F27DB7-506F-4A74-B4A9-02BB8485387A}"/>
    <cellStyle name="Moneda 2 4 6 2 3" xfId="2781" xr:uid="{0D0F216F-B79F-4C75-8B2D-7B45DB485398}"/>
    <cellStyle name="Moneda 2 4 6 2 3 2" xfId="6629" xr:uid="{A0A71E60-F927-443D-8D3C-67E512AF4FAE}"/>
    <cellStyle name="Moneda 2 4 6 2 4" xfId="4705" xr:uid="{3C1FEA49-4AA6-43BA-B102-E3D807A4E8C1}"/>
    <cellStyle name="Moneda 2 4 6 3" xfId="1338" xr:uid="{F1F7F834-E6F5-499C-AEF8-F8978967D3B6}"/>
    <cellStyle name="Moneda 2 4 6 3 2" xfId="3262" xr:uid="{C2553C83-C381-409A-9D8D-4A96735A5790}"/>
    <cellStyle name="Moneda 2 4 6 3 2 2" xfId="7110" xr:uid="{6ECC0D8A-6A59-4C65-BFD6-5B50A69B76B1}"/>
    <cellStyle name="Moneda 2 4 6 3 3" xfId="5186" xr:uid="{C0AEB147-EF1E-4D36-AA3F-3194C2367AF1}"/>
    <cellStyle name="Moneda 2 4 6 4" xfId="2300" xr:uid="{85C0EC99-AEFC-4722-8515-2E713B3B8A8F}"/>
    <cellStyle name="Moneda 2 4 6 4 2" xfId="6148" xr:uid="{06722B3A-1FE3-4AF7-8234-302E7CF40B0F}"/>
    <cellStyle name="Moneda 2 4 6 5" xfId="4224" xr:uid="{3D37969D-A425-4857-8566-8F27E75BF0A4}"/>
    <cellStyle name="Moneda 2 4 7" xfId="617" xr:uid="{7BE66212-8330-43B6-9536-A9BBC3D3E017}"/>
    <cellStyle name="Moneda 2 4 7 2" xfId="1579" xr:uid="{FB0F5AF9-0A51-4F46-90EE-8B22E4497DD4}"/>
    <cellStyle name="Moneda 2 4 7 2 2" xfId="3503" xr:uid="{A3DBEEF4-0A55-469C-B6F1-F562EA51D76E}"/>
    <cellStyle name="Moneda 2 4 7 2 2 2" xfId="7351" xr:uid="{E4BF115A-E2BF-41AD-BFCC-3D865BF3582A}"/>
    <cellStyle name="Moneda 2 4 7 2 3" xfId="5427" xr:uid="{08DE029D-FE54-4908-8E80-09B8F115BC80}"/>
    <cellStyle name="Moneda 2 4 7 3" xfId="2541" xr:uid="{BEDFAE1C-C2A2-4F01-B0CD-743B3F251AE9}"/>
    <cellStyle name="Moneda 2 4 7 3 2" xfId="6389" xr:uid="{AD8A9461-7E30-4D23-9CAE-B113731B2937}"/>
    <cellStyle name="Moneda 2 4 7 4" xfId="4465" xr:uid="{A4643A23-F2A8-4980-A444-C7EF9CADA2A1}"/>
    <cellStyle name="Moneda 2 4 8" xfId="1098" xr:uid="{1BBF9F97-42EB-4E57-84B5-F7761466FC4D}"/>
    <cellStyle name="Moneda 2 4 8 2" xfId="3022" xr:uid="{D322A794-C6BC-4C08-A976-8F2C72063605}"/>
    <cellStyle name="Moneda 2 4 8 2 2" xfId="6870" xr:uid="{A3DC4DA7-6922-43A4-B50C-7855C108C731}"/>
    <cellStyle name="Moneda 2 4 8 3" xfId="4946" xr:uid="{8ABDAD83-E3DC-42B5-A786-05097252F719}"/>
    <cellStyle name="Moneda 2 4 9" xfId="2060" xr:uid="{CA4F87C7-1794-450A-8601-56527FAF46FC}"/>
    <cellStyle name="Moneda 2 4 9 2" xfId="5908" xr:uid="{B0A6104D-C785-450A-B4B7-A32AD3BF78D9}"/>
    <cellStyle name="Moneda 2 5" xfId="93" xr:uid="{9133140D-6FF9-47E1-98AF-A54D4C38C10F}"/>
    <cellStyle name="Moneda 2 5 10" xfId="1097" xr:uid="{AFAC1DED-01D5-4C6F-A1BA-E105D6202641}"/>
    <cellStyle name="Moneda 2 5 10 2" xfId="3021" xr:uid="{3A607B6E-57D1-43B5-8167-C1A1FEE5216A}"/>
    <cellStyle name="Moneda 2 5 10 2 2" xfId="6869" xr:uid="{FD092BD0-52CF-452E-9B76-7BC033329575}"/>
    <cellStyle name="Moneda 2 5 10 3" xfId="4945" xr:uid="{CF54DE3B-CCCE-4625-8CF7-F38C1EE79741}"/>
    <cellStyle name="Moneda 2 5 11" xfId="2059" xr:uid="{17A108E7-8F84-45A2-A93B-FC486001C3C9}"/>
    <cellStyle name="Moneda 2 5 11 2" xfId="5907" xr:uid="{7B62BB4F-11D8-48D4-90AC-2AB76169C102}"/>
    <cellStyle name="Moneda 2 5 12" xfId="3983" xr:uid="{2F7F0F5B-D9E3-4D0B-A073-B82F3403C95E}"/>
    <cellStyle name="Moneda 2 5 2" xfId="165" xr:uid="{E6B2332E-4148-42C8-9A0B-343807CB3AF0}"/>
    <cellStyle name="Moneda 2 5 2 2" xfId="201" xr:uid="{7F8245B5-EEF9-47AF-9C23-06A357404F2B}"/>
    <cellStyle name="Moneda 2 5 2 2 2" xfId="335" xr:uid="{995C536F-C1E5-4A8A-B97D-0254CEA3AEB4}"/>
    <cellStyle name="Moneda 2 5 2 2 2 2" xfId="586" xr:uid="{2CBE28B6-FC3C-48CF-AB9E-DE2464628A6A}"/>
    <cellStyle name="Moneda 2 5 2 2 2 2 2" xfId="1067" xr:uid="{56A3CBBD-6B86-41B8-A0E6-2CC08347B1C7}"/>
    <cellStyle name="Moneda 2 5 2 2 2 2 2 2" xfId="2029" xr:uid="{10CC7E96-3346-4676-AA1C-987E179D1B5F}"/>
    <cellStyle name="Moneda 2 5 2 2 2 2 2 2 2" xfId="3953" xr:uid="{78B296A5-2A46-4B5E-83F6-91F43316D175}"/>
    <cellStyle name="Moneda 2 5 2 2 2 2 2 2 2 2" xfId="7801" xr:uid="{D2C1DE3D-A3EA-41FC-85A2-BF46339AF00F}"/>
    <cellStyle name="Moneda 2 5 2 2 2 2 2 2 3" xfId="5877" xr:uid="{AF19892D-1CE9-4821-92F9-7C9861DB06D5}"/>
    <cellStyle name="Moneda 2 5 2 2 2 2 2 3" xfId="2991" xr:uid="{67A2223D-A29B-4048-9D33-A7DFA45CF7BB}"/>
    <cellStyle name="Moneda 2 5 2 2 2 2 2 3 2" xfId="6839" xr:uid="{059257FE-F7EE-4B99-829A-E9942834FD4A}"/>
    <cellStyle name="Moneda 2 5 2 2 2 2 2 4" xfId="4915" xr:uid="{72B8A6BB-873E-4D58-8C98-DB97E8357384}"/>
    <cellStyle name="Moneda 2 5 2 2 2 2 3" xfId="1548" xr:uid="{CDE29803-3D7B-41B7-8B87-49BBC7ECD667}"/>
    <cellStyle name="Moneda 2 5 2 2 2 2 3 2" xfId="3472" xr:uid="{55E0C225-E653-44D7-83BE-AC41EDF2AC67}"/>
    <cellStyle name="Moneda 2 5 2 2 2 2 3 2 2" xfId="7320" xr:uid="{E7B0B9E8-4378-4607-8D3C-1928C77B9876}"/>
    <cellStyle name="Moneda 2 5 2 2 2 2 3 3" xfId="5396" xr:uid="{53CECE9A-09B3-410A-B2F7-CA67F09ED779}"/>
    <cellStyle name="Moneda 2 5 2 2 2 2 4" xfId="2510" xr:uid="{28F117DF-A23F-4695-ABE6-560922862F8C}"/>
    <cellStyle name="Moneda 2 5 2 2 2 2 4 2" xfId="6358" xr:uid="{BC451ED8-EE7C-4620-A11D-A7401A02E5C8}"/>
    <cellStyle name="Moneda 2 5 2 2 2 2 5" xfId="4434" xr:uid="{96366479-CA83-488C-8583-C5073B9DC7C9}"/>
    <cellStyle name="Moneda 2 5 2 2 2 3" xfId="827" xr:uid="{1A1276E5-4996-4724-A395-90DCF698DB34}"/>
    <cellStyle name="Moneda 2 5 2 2 2 3 2" xfId="1789" xr:uid="{93BC7EDF-AAB3-4F50-A5B4-FFCCA3A285E5}"/>
    <cellStyle name="Moneda 2 5 2 2 2 3 2 2" xfId="3713" xr:uid="{6DE85E7E-AC7D-4A3D-9CDF-FDB1ED213D3B}"/>
    <cellStyle name="Moneda 2 5 2 2 2 3 2 2 2" xfId="7561" xr:uid="{6F3D9472-569A-45D6-857E-9DC671B4B155}"/>
    <cellStyle name="Moneda 2 5 2 2 2 3 2 3" xfId="5637" xr:uid="{C2DE8683-60C6-49B8-A4D5-02E47B60DBCF}"/>
    <cellStyle name="Moneda 2 5 2 2 2 3 3" xfId="2751" xr:uid="{9720403D-69A4-45C8-9E92-AE762039AF16}"/>
    <cellStyle name="Moneda 2 5 2 2 2 3 3 2" xfId="6599" xr:uid="{A9BDCD54-66F4-4948-95EF-2AA57FA43ECD}"/>
    <cellStyle name="Moneda 2 5 2 2 2 3 4" xfId="4675" xr:uid="{C6D3B744-95C5-4B65-8C9C-72542415734A}"/>
    <cellStyle name="Moneda 2 5 2 2 2 4" xfId="1308" xr:uid="{0F0F4527-5E4E-4EEA-B52E-1C77E6DD39C0}"/>
    <cellStyle name="Moneda 2 5 2 2 2 4 2" xfId="3232" xr:uid="{25EE7F2E-A223-42EA-95CF-01D8DAFDCF2E}"/>
    <cellStyle name="Moneda 2 5 2 2 2 4 2 2" xfId="7080" xr:uid="{8632D63C-484A-4260-9F76-C7E30D84040D}"/>
    <cellStyle name="Moneda 2 5 2 2 2 4 3" xfId="5156" xr:uid="{946D9BE4-CD36-4572-ACAA-8E2DA08A5280}"/>
    <cellStyle name="Moneda 2 5 2 2 2 5" xfId="2270" xr:uid="{758B636C-C60D-4E8B-A155-39CAC8A1EA0B}"/>
    <cellStyle name="Moneda 2 5 2 2 2 5 2" xfId="6118" xr:uid="{F5694B8B-4843-437C-BBEA-6A41B7A7CC2D}"/>
    <cellStyle name="Moneda 2 5 2 2 2 6" xfId="4194" xr:uid="{E5A7820D-ADB5-402C-A223-9FA157C49557}"/>
    <cellStyle name="Moneda 2 5 2 2 3" xfId="454" xr:uid="{A23D4FE1-164A-4547-BED9-FCADA6AAD53F}"/>
    <cellStyle name="Moneda 2 5 2 2 3 2" xfId="935" xr:uid="{8261A7B7-4C83-4D82-BF12-13C3D3647D33}"/>
    <cellStyle name="Moneda 2 5 2 2 3 2 2" xfId="1897" xr:uid="{664E9DFC-D64C-496B-B931-15011AB9E3BE}"/>
    <cellStyle name="Moneda 2 5 2 2 3 2 2 2" xfId="3821" xr:uid="{1059077E-ED7B-40CB-B668-5E84021A80A4}"/>
    <cellStyle name="Moneda 2 5 2 2 3 2 2 2 2" xfId="7669" xr:uid="{576A2913-68CD-4BD8-A05D-AA494707F2BE}"/>
    <cellStyle name="Moneda 2 5 2 2 3 2 2 3" xfId="5745" xr:uid="{FB042D2E-8600-4CE0-8AE6-7C4C184BBD0D}"/>
    <cellStyle name="Moneda 2 5 2 2 3 2 3" xfId="2859" xr:uid="{60E88A97-4421-49A6-B5B9-42F24D437040}"/>
    <cellStyle name="Moneda 2 5 2 2 3 2 3 2" xfId="6707" xr:uid="{9931AD34-2173-4E23-9BA1-CED6BBAE8148}"/>
    <cellStyle name="Moneda 2 5 2 2 3 2 4" xfId="4783" xr:uid="{22FB83A8-AA34-462F-8A6D-102001ABAB19}"/>
    <cellStyle name="Moneda 2 5 2 2 3 3" xfId="1416" xr:uid="{61B6BFD1-C56A-425F-B4C3-060BA111BDF7}"/>
    <cellStyle name="Moneda 2 5 2 2 3 3 2" xfId="3340" xr:uid="{A19829B1-1E37-4538-B5B7-266EF605EFBE}"/>
    <cellStyle name="Moneda 2 5 2 2 3 3 2 2" xfId="7188" xr:uid="{1E0F529E-A76A-4A42-8FD4-33E7DF687578}"/>
    <cellStyle name="Moneda 2 5 2 2 3 3 3" xfId="5264" xr:uid="{1BA7D160-07DF-402B-8488-DA0E1B084EC3}"/>
    <cellStyle name="Moneda 2 5 2 2 3 4" xfId="2378" xr:uid="{963D127F-E6F1-4143-A69D-0A5E6617BB60}"/>
    <cellStyle name="Moneda 2 5 2 2 3 4 2" xfId="6226" xr:uid="{1B539917-6BCF-4C12-B1F2-AB79A1274DDD}"/>
    <cellStyle name="Moneda 2 5 2 2 3 5" xfId="4302" xr:uid="{83654DF2-3D27-4120-8555-11728EFA7EC0}"/>
    <cellStyle name="Moneda 2 5 2 2 4" xfId="695" xr:uid="{DF21C5A0-589E-46F4-A293-2168BA953BA5}"/>
    <cellStyle name="Moneda 2 5 2 2 4 2" xfId="1657" xr:uid="{AB96EBAF-C154-4EB4-AF1B-E6C92C40685F}"/>
    <cellStyle name="Moneda 2 5 2 2 4 2 2" xfId="3581" xr:uid="{805F3923-5B77-4447-9B01-F2BE20CDD6AB}"/>
    <cellStyle name="Moneda 2 5 2 2 4 2 2 2" xfId="7429" xr:uid="{82E3D40D-9BFE-4F1A-B260-DCDC7CA41A52}"/>
    <cellStyle name="Moneda 2 5 2 2 4 2 3" xfId="5505" xr:uid="{9F939F2C-9360-4F6B-8534-D7CA8ADA4C85}"/>
    <cellStyle name="Moneda 2 5 2 2 4 3" xfId="2619" xr:uid="{CAF76378-48A6-40F9-8271-C493BA18BE9E}"/>
    <cellStyle name="Moneda 2 5 2 2 4 3 2" xfId="6467" xr:uid="{88E5110C-8AAF-4E8C-99BD-95EEF853DBEE}"/>
    <cellStyle name="Moneda 2 5 2 2 4 4" xfId="4543" xr:uid="{9FFAAAF9-744C-4AB9-876B-87AD46E7BDC1}"/>
    <cellStyle name="Moneda 2 5 2 2 5" xfId="1176" xr:uid="{F533AFF4-C7DB-4F11-9E69-FE1664200742}"/>
    <cellStyle name="Moneda 2 5 2 2 5 2" xfId="3100" xr:uid="{6BD5058E-3C3A-4BBF-9A13-7E3D3540BA77}"/>
    <cellStyle name="Moneda 2 5 2 2 5 2 2" xfId="6948" xr:uid="{A48F127A-781F-4C86-A965-7C8ECA833CD0}"/>
    <cellStyle name="Moneda 2 5 2 2 5 3" xfId="5024" xr:uid="{5E0BFF5C-9705-4538-BB91-05C6E8FEB4D9}"/>
    <cellStyle name="Moneda 2 5 2 2 6" xfId="2138" xr:uid="{960E8525-7DDA-4146-B9B0-B5606DE7E46E}"/>
    <cellStyle name="Moneda 2 5 2 2 6 2" xfId="5986" xr:uid="{B79A4CD8-25FD-437E-8DD0-1666B801DA8B}"/>
    <cellStyle name="Moneda 2 5 2 2 7" xfId="4062" xr:uid="{6426C8BE-6ABC-46A1-852A-DF4678836EF6}"/>
    <cellStyle name="Moneda 2 5 2 3" xfId="302" xr:uid="{74264017-7F95-40BF-B249-442DC3FE4683}"/>
    <cellStyle name="Moneda 2 5 2 3 2" xfId="553" xr:uid="{DC9B6D43-7FA2-47EE-9462-5F272ABE6DBC}"/>
    <cellStyle name="Moneda 2 5 2 3 2 2" xfId="1034" xr:uid="{B04BAE51-CA80-479E-AA82-2814D0CFCE96}"/>
    <cellStyle name="Moneda 2 5 2 3 2 2 2" xfId="1996" xr:uid="{DFF45EEB-1762-4B56-995E-00557D3B50C8}"/>
    <cellStyle name="Moneda 2 5 2 3 2 2 2 2" xfId="3920" xr:uid="{354BD1D6-67FA-4638-AFEE-0E9B0211DC53}"/>
    <cellStyle name="Moneda 2 5 2 3 2 2 2 2 2" xfId="7768" xr:uid="{FE23DE4F-F7A0-458A-AEA8-6AA3C1ACF5A0}"/>
    <cellStyle name="Moneda 2 5 2 3 2 2 2 3" xfId="5844" xr:uid="{A36008B0-B817-4F87-9024-C71A1C0F5A20}"/>
    <cellStyle name="Moneda 2 5 2 3 2 2 3" xfId="2958" xr:uid="{2B8BBC04-A992-4113-8AD6-3C5450EE0184}"/>
    <cellStyle name="Moneda 2 5 2 3 2 2 3 2" xfId="6806" xr:uid="{5B292380-C710-4B64-92EE-AC2CDAA60215}"/>
    <cellStyle name="Moneda 2 5 2 3 2 2 4" xfId="4882" xr:uid="{C7063A17-4FD0-4F94-AEB5-AFBF6B392FB7}"/>
    <cellStyle name="Moneda 2 5 2 3 2 3" xfId="1515" xr:uid="{8A0B5BAA-0B97-4A41-9C60-860DDE310211}"/>
    <cellStyle name="Moneda 2 5 2 3 2 3 2" xfId="3439" xr:uid="{93157BC0-A512-48B2-AF0E-EB1CE956A2ED}"/>
    <cellStyle name="Moneda 2 5 2 3 2 3 2 2" xfId="7287" xr:uid="{6430DA82-3B26-4089-BDCE-DDF242E573B5}"/>
    <cellStyle name="Moneda 2 5 2 3 2 3 3" xfId="5363" xr:uid="{71C7D4A1-4742-424E-8FA0-29AC046772EE}"/>
    <cellStyle name="Moneda 2 5 2 3 2 4" xfId="2477" xr:uid="{7F091240-AC74-4E62-AAE0-792B2AEE0154}"/>
    <cellStyle name="Moneda 2 5 2 3 2 4 2" xfId="6325" xr:uid="{281D9BDE-F4C5-46D7-8897-BAE89B84387C}"/>
    <cellStyle name="Moneda 2 5 2 3 2 5" xfId="4401" xr:uid="{574D7537-A0FF-48BF-9472-AA98F817173F}"/>
    <cellStyle name="Moneda 2 5 2 3 3" xfId="794" xr:uid="{8C9A0567-FAF7-409F-B5A8-1CB9B7DD17BF}"/>
    <cellStyle name="Moneda 2 5 2 3 3 2" xfId="1756" xr:uid="{13877925-ABC0-4C13-A884-24B2464D0529}"/>
    <cellStyle name="Moneda 2 5 2 3 3 2 2" xfId="3680" xr:uid="{38557C8B-0FC4-4007-B871-F7453DCDAE5A}"/>
    <cellStyle name="Moneda 2 5 2 3 3 2 2 2" xfId="7528" xr:uid="{C916C8CA-132A-4A51-9BD6-15FC763C7D5D}"/>
    <cellStyle name="Moneda 2 5 2 3 3 2 3" xfId="5604" xr:uid="{A9CB9D62-E9E8-4343-88D8-AF9B42A43864}"/>
    <cellStyle name="Moneda 2 5 2 3 3 3" xfId="2718" xr:uid="{CE629DDA-94CF-4860-9509-0C11A7AECC09}"/>
    <cellStyle name="Moneda 2 5 2 3 3 3 2" xfId="6566" xr:uid="{A7EFED32-6D08-4FA9-8D78-82BC945CF9A9}"/>
    <cellStyle name="Moneda 2 5 2 3 3 4" xfId="4642" xr:uid="{41AF7163-2006-4141-A7D1-40D3BDD5A7D8}"/>
    <cellStyle name="Moneda 2 5 2 3 4" xfId="1275" xr:uid="{188DF104-68AF-42C3-AC0C-3F0A353CEAD0}"/>
    <cellStyle name="Moneda 2 5 2 3 4 2" xfId="3199" xr:uid="{B12CE3BE-E64B-498E-A3E6-509D415351A5}"/>
    <cellStyle name="Moneda 2 5 2 3 4 2 2" xfId="7047" xr:uid="{216EF577-D651-45B2-A4BE-0718AA5A9CEA}"/>
    <cellStyle name="Moneda 2 5 2 3 4 3" xfId="5123" xr:uid="{84CB1E28-F1D0-41F0-B71A-8965C0D96F6B}"/>
    <cellStyle name="Moneda 2 5 2 3 5" xfId="2237" xr:uid="{6939E3DB-0BFD-42C0-99E5-4DEA20AE3A1B}"/>
    <cellStyle name="Moneda 2 5 2 3 5 2" xfId="6085" xr:uid="{BC1630C7-CDF3-4BF9-9F58-8230C9985C66}"/>
    <cellStyle name="Moneda 2 5 2 3 6" xfId="4161" xr:uid="{EEE1EE46-CDA4-43E7-B5C0-2A33F7B3CD65}"/>
    <cellStyle name="Moneda 2 5 2 4" xfId="235" xr:uid="{A37927A4-FD11-4679-BC60-6AA708FE1738}"/>
    <cellStyle name="Moneda 2 5 2 4 2" xfId="487" xr:uid="{7E7A4970-15C3-4831-A4C8-5ECD79EDE5CA}"/>
    <cellStyle name="Moneda 2 5 2 4 2 2" xfId="968" xr:uid="{574A11D3-52A7-4276-8FB1-439FCFEDF4E7}"/>
    <cellStyle name="Moneda 2 5 2 4 2 2 2" xfId="1930" xr:uid="{3306C242-9EE9-482E-A1C9-B2C40DAA78CD}"/>
    <cellStyle name="Moneda 2 5 2 4 2 2 2 2" xfId="3854" xr:uid="{7B7BF97A-7D11-4008-A0D5-80CAD183B562}"/>
    <cellStyle name="Moneda 2 5 2 4 2 2 2 2 2" xfId="7702" xr:uid="{1863D91C-7675-40E8-95C4-4ECE393655E5}"/>
    <cellStyle name="Moneda 2 5 2 4 2 2 2 3" xfId="5778" xr:uid="{0CA6385B-93E0-49AD-A19E-870F5E4BAC2D}"/>
    <cellStyle name="Moneda 2 5 2 4 2 2 3" xfId="2892" xr:uid="{9DB2E60B-4378-430B-B868-5B18CF96DB29}"/>
    <cellStyle name="Moneda 2 5 2 4 2 2 3 2" xfId="6740" xr:uid="{83C6C676-F12A-42DD-B4E3-EAF3551EC502}"/>
    <cellStyle name="Moneda 2 5 2 4 2 2 4" xfId="4816" xr:uid="{D94D03F4-313F-4F58-9333-C35A4C93EA81}"/>
    <cellStyle name="Moneda 2 5 2 4 2 3" xfId="1449" xr:uid="{02FC1A80-42DE-45F3-A81C-6A49C0ABF163}"/>
    <cellStyle name="Moneda 2 5 2 4 2 3 2" xfId="3373" xr:uid="{7CA7310F-140D-45AE-8C77-3EA72F1C750E}"/>
    <cellStyle name="Moneda 2 5 2 4 2 3 2 2" xfId="7221" xr:uid="{29452F9D-B2AA-4A6B-8A04-7352B28A8387}"/>
    <cellStyle name="Moneda 2 5 2 4 2 3 3" xfId="5297" xr:uid="{98A6C421-8F4D-4D7D-B742-5B1CF99DC084}"/>
    <cellStyle name="Moneda 2 5 2 4 2 4" xfId="2411" xr:uid="{9FD1D571-A075-4550-872D-92CA72DB33DA}"/>
    <cellStyle name="Moneda 2 5 2 4 2 4 2" xfId="6259" xr:uid="{6DB9675C-CC09-4C91-AA86-614336996C6C}"/>
    <cellStyle name="Moneda 2 5 2 4 2 5" xfId="4335" xr:uid="{3A9BB42F-176E-408B-885A-699A25A23CF9}"/>
    <cellStyle name="Moneda 2 5 2 4 3" xfId="728" xr:uid="{98D1594C-F097-4315-A43F-6736C2BF0BEE}"/>
    <cellStyle name="Moneda 2 5 2 4 3 2" xfId="1690" xr:uid="{BD402839-8658-475B-B0A4-5A895F779ED1}"/>
    <cellStyle name="Moneda 2 5 2 4 3 2 2" xfId="3614" xr:uid="{BC75FBBF-8224-4A3B-9720-BD504883D258}"/>
    <cellStyle name="Moneda 2 5 2 4 3 2 2 2" xfId="7462" xr:uid="{F046E662-7DE8-4AD6-8EDE-FAC5CE89B56B}"/>
    <cellStyle name="Moneda 2 5 2 4 3 2 3" xfId="5538" xr:uid="{9BBADED4-87FD-4AE6-BDFF-CEC560C19AA4}"/>
    <cellStyle name="Moneda 2 5 2 4 3 3" xfId="2652" xr:uid="{4402D456-F900-4F60-975C-8994681A8D1C}"/>
    <cellStyle name="Moneda 2 5 2 4 3 3 2" xfId="6500" xr:uid="{F41C951A-D79F-4578-9E67-02399855EDE7}"/>
    <cellStyle name="Moneda 2 5 2 4 3 4" xfId="4576" xr:uid="{7EDFA173-894D-462A-804E-79F9DA5276A9}"/>
    <cellStyle name="Moneda 2 5 2 4 4" xfId="1209" xr:uid="{794F6A94-A17E-477E-B9E5-A34BF8735076}"/>
    <cellStyle name="Moneda 2 5 2 4 4 2" xfId="3133" xr:uid="{4ED7AEEC-FDF4-438E-AECA-72F90BE8C876}"/>
    <cellStyle name="Moneda 2 5 2 4 4 2 2" xfId="6981" xr:uid="{559F5FCF-CF16-49B1-972F-92F5D450C576}"/>
    <cellStyle name="Moneda 2 5 2 4 4 3" xfId="5057" xr:uid="{9131C20B-9CBB-4FED-8F40-2474574963C3}"/>
    <cellStyle name="Moneda 2 5 2 4 5" xfId="2171" xr:uid="{CE13FDC7-FFA9-4D79-94E1-42B1BEE3AF7C}"/>
    <cellStyle name="Moneda 2 5 2 4 5 2" xfId="6019" xr:uid="{9857111B-3BBD-428F-A8BB-A22BBC78E9EF}"/>
    <cellStyle name="Moneda 2 5 2 4 6" xfId="4095" xr:uid="{1CD0871D-2F43-44B5-AEC5-F911132083D5}"/>
    <cellStyle name="Moneda 2 5 2 5" xfId="421" xr:uid="{8EC8AE3C-BF0A-442E-AD21-4910E48A2CA1}"/>
    <cellStyle name="Moneda 2 5 2 5 2" xfId="902" xr:uid="{CD214AD7-3EFC-41B8-9A24-7CF45CCBF0D1}"/>
    <cellStyle name="Moneda 2 5 2 5 2 2" xfId="1864" xr:uid="{1CB935E5-3EC4-4B88-AC32-B9797A40A253}"/>
    <cellStyle name="Moneda 2 5 2 5 2 2 2" xfId="3788" xr:uid="{34018D87-8DAE-4EE3-A2C7-B8751257FD2C}"/>
    <cellStyle name="Moneda 2 5 2 5 2 2 2 2" xfId="7636" xr:uid="{40240B77-B80F-441C-BB0D-E32AF88CA6D2}"/>
    <cellStyle name="Moneda 2 5 2 5 2 2 3" xfId="5712" xr:uid="{17735737-31D4-4C05-8EBF-747ACB69F2A6}"/>
    <cellStyle name="Moneda 2 5 2 5 2 3" xfId="2826" xr:uid="{EDD8834A-7B73-4118-A695-046B5A0C1D63}"/>
    <cellStyle name="Moneda 2 5 2 5 2 3 2" xfId="6674" xr:uid="{7009C664-2B81-4DF4-819A-15B73C29C9A1}"/>
    <cellStyle name="Moneda 2 5 2 5 2 4" xfId="4750" xr:uid="{B9D94033-0909-4449-B931-2A68561E0A90}"/>
    <cellStyle name="Moneda 2 5 2 5 3" xfId="1383" xr:uid="{1C8731D5-9F8E-471D-9A7F-C7BC923F1F48}"/>
    <cellStyle name="Moneda 2 5 2 5 3 2" xfId="3307" xr:uid="{E06E1C9C-0829-41DB-8A12-CD296371E5DA}"/>
    <cellStyle name="Moneda 2 5 2 5 3 2 2" xfId="7155" xr:uid="{CC593670-6A6B-407C-A02C-D712D5CA3AA8}"/>
    <cellStyle name="Moneda 2 5 2 5 3 3" xfId="5231" xr:uid="{E731E04B-DCAD-4B26-8FBB-C861D0DE6EDB}"/>
    <cellStyle name="Moneda 2 5 2 5 4" xfId="2345" xr:uid="{AC85FF58-C135-4988-8538-51E47F5B3F66}"/>
    <cellStyle name="Moneda 2 5 2 5 4 2" xfId="6193" xr:uid="{15892260-EF1B-43C0-9630-611CEE00795C}"/>
    <cellStyle name="Moneda 2 5 2 5 5" xfId="4269" xr:uid="{7A76853A-0F25-4AE4-B434-DF517B55E2CA}"/>
    <cellStyle name="Moneda 2 5 2 6" xfId="662" xr:uid="{5C3CBC37-7250-46E2-918D-E9065E0C294F}"/>
    <cellStyle name="Moneda 2 5 2 6 2" xfId="1624" xr:uid="{8A7441FD-5B98-45DD-877D-5F324954A2BC}"/>
    <cellStyle name="Moneda 2 5 2 6 2 2" xfId="3548" xr:uid="{F119B4A1-96FF-428D-8E39-B0D1CC1174DF}"/>
    <cellStyle name="Moneda 2 5 2 6 2 2 2" xfId="7396" xr:uid="{8FCD57B9-536D-4BA2-88D9-B1C6BE4E8978}"/>
    <cellStyle name="Moneda 2 5 2 6 2 3" xfId="5472" xr:uid="{18D0D9C2-F55B-42FB-862B-96663FAF87C6}"/>
    <cellStyle name="Moneda 2 5 2 6 3" xfId="2586" xr:uid="{7BC9E344-DEAE-43CB-8C44-C4A4A2534A1F}"/>
    <cellStyle name="Moneda 2 5 2 6 3 2" xfId="6434" xr:uid="{65112DE9-20C9-4C84-88A7-17A32BDE7854}"/>
    <cellStyle name="Moneda 2 5 2 6 4" xfId="4510" xr:uid="{94A28ECC-66C5-42F4-A7A8-F878025E0060}"/>
    <cellStyle name="Moneda 2 5 2 7" xfId="1143" xr:uid="{F01BD740-E4F7-4323-A283-A06329D80E00}"/>
    <cellStyle name="Moneda 2 5 2 7 2" xfId="3067" xr:uid="{95B640B9-0E63-4567-9010-527017A12C0D}"/>
    <cellStyle name="Moneda 2 5 2 7 2 2" xfId="6915" xr:uid="{5BD05A64-837B-4913-BCED-D44512E82127}"/>
    <cellStyle name="Moneda 2 5 2 7 3" xfId="4991" xr:uid="{9B4F6279-FE44-4597-A572-95437F862811}"/>
    <cellStyle name="Moneda 2 5 2 8" xfId="2105" xr:uid="{688335AD-DBD4-421E-A119-630BBD662AFF}"/>
    <cellStyle name="Moneda 2 5 2 8 2" xfId="5953" xr:uid="{E855161B-DD2E-4924-922E-44E266828DA7}"/>
    <cellStyle name="Moneda 2 5 2 9" xfId="4029" xr:uid="{4F76235D-3313-45CC-A234-11741FC7CD87}"/>
    <cellStyle name="Moneda 2 5 3" xfId="154" xr:uid="{90C36B8F-1A58-49EE-894F-95A0CA8AB690}"/>
    <cellStyle name="Moneda 2 5 3 2" xfId="292" xr:uid="{BDFE153C-2AB9-438F-BB2A-2279A4174C64}"/>
    <cellStyle name="Moneda 2 5 3 2 2" xfId="543" xr:uid="{2A108CE5-0D92-494D-9401-6577F91AB12B}"/>
    <cellStyle name="Moneda 2 5 3 2 2 2" xfId="1024" xr:uid="{77DD2C01-497A-4D43-BF7A-D5BD8B116531}"/>
    <cellStyle name="Moneda 2 5 3 2 2 2 2" xfId="1986" xr:uid="{D988419C-9B6C-4483-9BA7-BC55889EAC10}"/>
    <cellStyle name="Moneda 2 5 3 2 2 2 2 2" xfId="3910" xr:uid="{F704B757-FF0F-49D6-BC73-AD5319EF8684}"/>
    <cellStyle name="Moneda 2 5 3 2 2 2 2 2 2" xfId="7758" xr:uid="{F6E3610B-3621-4325-B3A6-0E72AD7817E7}"/>
    <cellStyle name="Moneda 2 5 3 2 2 2 2 3" xfId="5834" xr:uid="{DC98DED0-1DC1-4141-9D35-57381EC36490}"/>
    <cellStyle name="Moneda 2 5 3 2 2 2 3" xfId="2948" xr:uid="{0A46674B-434A-4BCB-846D-6AABB38E3068}"/>
    <cellStyle name="Moneda 2 5 3 2 2 2 3 2" xfId="6796" xr:uid="{A6459F4B-C758-4B57-9E41-3D73F4E79723}"/>
    <cellStyle name="Moneda 2 5 3 2 2 2 4" xfId="4872" xr:uid="{F242BEE1-947C-4B8A-9A7A-7083E40F998C}"/>
    <cellStyle name="Moneda 2 5 3 2 2 3" xfId="1505" xr:uid="{EB5F6D08-A339-477F-A0C0-1B3AA9AB6047}"/>
    <cellStyle name="Moneda 2 5 3 2 2 3 2" xfId="3429" xr:uid="{65B181A9-5C6E-4BB6-AAAE-CA39944C258E}"/>
    <cellStyle name="Moneda 2 5 3 2 2 3 2 2" xfId="7277" xr:uid="{60A7FE01-EA4D-4FB6-A8C7-029A9284AD32}"/>
    <cellStyle name="Moneda 2 5 3 2 2 3 3" xfId="5353" xr:uid="{2B9E2716-C8A2-4D53-ACAB-A2C1089AA496}"/>
    <cellStyle name="Moneda 2 5 3 2 2 4" xfId="2467" xr:uid="{6BE12EE7-E5DD-4C2C-B6C3-EECF3362D7E9}"/>
    <cellStyle name="Moneda 2 5 3 2 2 4 2" xfId="6315" xr:uid="{87A160F0-F39B-4D92-BFFA-FDBC16AE17AA}"/>
    <cellStyle name="Moneda 2 5 3 2 2 5" xfId="4391" xr:uid="{E5D9D301-8E68-4B41-B90F-B041BC2613BF}"/>
    <cellStyle name="Moneda 2 5 3 2 3" xfId="784" xr:uid="{C5AF14D0-A480-4F47-9859-DA8AA81DAC10}"/>
    <cellStyle name="Moneda 2 5 3 2 3 2" xfId="1746" xr:uid="{2B261245-EBBF-462D-A98B-DD33BEADA128}"/>
    <cellStyle name="Moneda 2 5 3 2 3 2 2" xfId="3670" xr:uid="{97885631-76E7-4585-89AC-17B34A29F9B1}"/>
    <cellStyle name="Moneda 2 5 3 2 3 2 2 2" xfId="7518" xr:uid="{24F9B726-B1BC-4095-B550-AF220D892EC4}"/>
    <cellStyle name="Moneda 2 5 3 2 3 2 3" xfId="5594" xr:uid="{7C713307-3EB3-4F68-9391-D24B06DB6EA3}"/>
    <cellStyle name="Moneda 2 5 3 2 3 3" xfId="2708" xr:uid="{6F1A30EB-7BB9-4AD3-8571-2CE7406A78D6}"/>
    <cellStyle name="Moneda 2 5 3 2 3 3 2" xfId="6556" xr:uid="{60FCFB84-3F9F-40F0-975E-277D77402EA5}"/>
    <cellStyle name="Moneda 2 5 3 2 3 4" xfId="4632" xr:uid="{3A87BF6B-260E-41EF-A626-232827116634}"/>
    <cellStyle name="Moneda 2 5 3 2 4" xfId="1265" xr:uid="{5D138A14-D327-4108-A3C4-820D1B906B23}"/>
    <cellStyle name="Moneda 2 5 3 2 4 2" xfId="3189" xr:uid="{45435E22-3C1E-4307-99ED-8D3387B815BB}"/>
    <cellStyle name="Moneda 2 5 3 2 4 2 2" xfId="7037" xr:uid="{20D104A5-F5C9-407B-AC37-9BD7467D47A3}"/>
    <cellStyle name="Moneda 2 5 3 2 4 3" xfId="5113" xr:uid="{F00A4082-7064-45B0-8EAA-13B09C6D81C3}"/>
    <cellStyle name="Moneda 2 5 3 2 5" xfId="2227" xr:uid="{42A78C70-B082-4367-834A-FD3AD12FECA3}"/>
    <cellStyle name="Moneda 2 5 3 2 5 2" xfId="6075" xr:uid="{2881420D-9C79-4C94-9BD2-9A8D3DE1540C}"/>
    <cellStyle name="Moneda 2 5 3 2 6" xfId="4151" xr:uid="{278A58E9-62FB-4D6B-9915-6860660AB582}"/>
    <cellStyle name="Moneda 2 5 3 3" xfId="411" xr:uid="{2E6EEC8B-6325-4025-A8F3-8CAA0DD91D6E}"/>
    <cellStyle name="Moneda 2 5 3 3 2" xfId="892" xr:uid="{DEF93D4B-7091-46D1-A4A3-07E99305DDBC}"/>
    <cellStyle name="Moneda 2 5 3 3 2 2" xfId="1854" xr:uid="{FE782009-6874-487D-B6CB-B0E4AB49673E}"/>
    <cellStyle name="Moneda 2 5 3 3 2 2 2" xfId="3778" xr:uid="{B6A9DA3C-033E-4B02-8425-95DD6FD3C69E}"/>
    <cellStyle name="Moneda 2 5 3 3 2 2 2 2" xfId="7626" xr:uid="{8C677A3C-FAA4-42F9-86E4-669115055F8E}"/>
    <cellStyle name="Moneda 2 5 3 3 2 2 3" xfId="5702" xr:uid="{9238F029-B802-4E4C-B6FB-EE683B6D69EC}"/>
    <cellStyle name="Moneda 2 5 3 3 2 3" xfId="2816" xr:uid="{3225839C-D50F-47EE-B1EC-6E4E55C3DD01}"/>
    <cellStyle name="Moneda 2 5 3 3 2 3 2" xfId="6664" xr:uid="{127E22A3-7C64-4178-8531-93CA24A9F538}"/>
    <cellStyle name="Moneda 2 5 3 3 2 4" xfId="4740" xr:uid="{9BE8BDF7-0ACB-4504-AF41-42B88892423B}"/>
    <cellStyle name="Moneda 2 5 3 3 3" xfId="1373" xr:uid="{5FC1C353-512B-4B6D-AE3B-759177FBD130}"/>
    <cellStyle name="Moneda 2 5 3 3 3 2" xfId="3297" xr:uid="{93BBA58C-8ADC-4973-A837-5BA8606331F9}"/>
    <cellStyle name="Moneda 2 5 3 3 3 2 2" xfId="7145" xr:uid="{059DCCD0-0317-498D-9BAB-7C7DD58E3638}"/>
    <cellStyle name="Moneda 2 5 3 3 3 3" xfId="5221" xr:uid="{ED2198BE-DAAF-4739-A07B-0B65795FD002}"/>
    <cellStyle name="Moneda 2 5 3 3 4" xfId="2335" xr:uid="{27A6D8B0-6745-4292-A55D-EF529A375E9A}"/>
    <cellStyle name="Moneda 2 5 3 3 4 2" xfId="6183" xr:uid="{89E059CC-D39A-4992-B0A4-C3A3F48AEFE5}"/>
    <cellStyle name="Moneda 2 5 3 3 5" xfId="4259" xr:uid="{A548A313-5F69-46E5-B510-BA37C0666398}"/>
    <cellStyle name="Moneda 2 5 3 4" xfId="652" xr:uid="{91DDE631-73FC-4FB1-A006-A62784ABDB7E}"/>
    <cellStyle name="Moneda 2 5 3 4 2" xfId="1614" xr:uid="{14BAEEC0-0ABB-484B-9218-93F1BA574033}"/>
    <cellStyle name="Moneda 2 5 3 4 2 2" xfId="3538" xr:uid="{09E48ACE-80D6-4DD4-8A0B-230AE71CB463}"/>
    <cellStyle name="Moneda 2 5 3 4 2 2 2" xfId="7386" xr:uid="{60569396-CEA7-460D-8A79-17C13A0B9AC9}"/>
    <cellStyle name="Moneda 2 5 3 4 2 3" xfId="5462" xr:uid="{CB010122-1BCF-4C80-A592-C231FED186C2}"/>
    <cellStyle name="Moneda 2 5 3 4 3" xfId="2576" xr:uid="{863B382A-15F3-4C3B-A845-33DC257F892D}"/>
    <cellStyle name="Moneda 2 5 3 4 3 2" xfId="6424" xr:uid="{C41F2E45-22BB-498A-89C1-D56A292DCCE4}"/>
    <cellStyle name="Moneda 2 5 3 4 4" xfId="4500" xr:uid="{C650BCE1-AEA1-4D2A-8A25-4DEF6215D8DE}"/>
    <cellStyle name="Moneda 2 5 3 5" xfId="1133" xr:uid="{2E03BE0F-A201-475A-BEEC-F5DF51B915F1}"/>
    <cellStyle name="Moneda 2 5 3 5 2" xfId="3057" xr:uid="{A9C83ABD-22AB-4876-B86E-B470CFE3BDF8}"/>
    <cellStyle name="Moneda 2 5 3 5 2 2" xfId="6905" xr:uid="{92504740-61A9-4494-8EDC-23266E2D7868}"/>
    <cellStyle name="Moneda 2 5 3 5 3" xfId="4981" xr:uid="{3F6A91CE-54AC-4299-A3E2-2090D23E2CF0}"/>
    <cellStyle name="Moneda 2 5 3 6" xfId="2095" xr:uid="{44359A6F-6F88-4776-B476-60515123F455}"/>
    <cellStyle name="Moneda 2 5 3 6 2" xfId="5943" xr:uid="{9826A520-89A8-4032-9531-05A2588E6222}"/>
    <cellStyle name="Moneda 2 5 3 7" xfId="4019" xr:uid="{E4194C83-44C7-4350-9D38-1DCA08F194EB}"/>
    <cellStyle name="Moneda 2 5 4" xfId="132" xr:uid="{9FB62707-4866-4A38-952B-1A4BE0961B27}"/>
    <cellStyle name="Moneda 2 5 4 2" xfId="280" xr:uid="{B70C5768-22B2-4DB1-A09A-F277D3B0FFC8}"/>
    <cellStyle name="Moneda 2 5 4 2 2" xfId="531" xr:uid="{A1B219AC-6EF7-4D02-9DB0-E27CBEBB53AE}"/>
    <cellStyle name="Moneda 2 5 4 2 2 2" xfId="1012" xr:uid="{F3453BFD-6FF3-4A2B-A454-EA8BA9455B2B}"/>
    <cellStyle name="Moneda 2 5 4 2 2 2 2" xfId="1974" xr:uid="{BD46F697-BD9F-4D36-BD25-163377F01496}"/>
    <cellStyle name="Moneda 2 5 4 2 2 2 2 2" xfId="3898" xr:uid="{51B49981-4E78-4347-874B-252E298AB70A}"/>
    <cellStyle name="Moneda 2 5 4 2 2 2 2 2 2" xfId="7746" xr:uid="{85432685-693E-4967-AC5C-094B20006F1E}"/>
    <cellStyle name="Moneda 2 5 4 2 2 2 2 3" xfId="5822" xr:uid="{4A7F1359-115D-4D5F-8CA4-21AFB8DF9AC4}"/>
    <cellStyle name="Moneda 2 5 4 2 2 2 3" xfId="2936" xr:uid="{1DC59F8C-B67C-4E4C-A1A6-C9616A5D79FC}"/>
    <cellStyle name="Moneda 2 5 4 2 2 2 3 2" xfId="6784" xr:uid="{FEE3FCE2-1E78-47A1-A242-0BCE7537DF09}"/>
    <cellStyle name="Moneda 2 5 4 2 2 2 4" xfId="4860" xr:uid="{21A26951-1233-4667-ADC1-C5AD50B7C438}"/>
    <cellStyle name="Moneda 2 5 4 2 2 3" xfId="1493" xr:uid="{0D25E3FA-CBA0-4B7A-9F28-AA7C0794C726}"/>
    <cellStyle name="Moneda 2 5 4 2 2 3 2" xfId="3417" xr:uid="{357B6833-0C6F-401F-BE6D-54E3D1A84463}"/>
    <cellStyle name="Moneda 2 5 4 2 2 3 2 2" xfId="7265" xr:uid="{4E3DFD21-5C9E-4FE0-98E8-0A7351B59344}"/>
    <cellStyle name="Moneda 2 5 4 2 2 3 3" xfId="5341" xr:uid="{900CA841-317C-4B6F-B6AC-3281DBED6E87}"/>
    <cellStyle name="Moneda 2 5 4 2 2 4" xfId="2455" xr:uid="{6C0160E6-58E7-4666-91D3-00AA490F95C2}"/>
    <cellStyle name="Moneda 2 5 4 2 2 4 2" xfId="6303" xr:uid="{D8F55E2A-9B29-49D6-B03F-EC0E5FC497D9}"/>
    <cellStyle name="Moneda 2 5 4 2 2 5" xfId="4379" xr:uid="{31CC0073-9630-4BFC-8187-06A08DC96F31}"/>
    <cellStyle name="Moneda 2 5 4 2 3" xfId="772" xr:uid="{861241CD-57ED-4CC3-A7EC-65BED488EA8C}"/>
    <cellStyle name="Moneda 2 5 4 2 3 2" xfId="1734" xr:uid="{1E3E35DC-11EA-4BCC-8CCE-34EE597ABA59}"/>
    <cellStyle name="Moneda 2 5 4 2 3 2 2" xfId="3658" xr:uid="{C86C9500-48BD-4D87-835A-8CE85CF04166}"/>
    <cellStyle name="Moneda 2 5 4 2 3 2 2 2" xfId="7506" xr:uid="{C789EF95-C6C2-4296-8B64-D54589AFCD64}"/>
    <cellStyle name="Moneda 2 5 4 2 3 2 3" xfId="5582" xr:uid="{8F304EDC-A789-43E2-9D84-CC682508E0D9}"/>
    <cellStyle name="Moneda 2 5 4 2 3 3" xfId="2696" xr:uid="{4B625DB3-65B0-4A57-81FC-1F508DC050A5}"/>
    <cellStyle name="Moneda 2 5 4 2 3 3 2" xfId="6544" xr:uid="{708DEC4E-E57C-4AF1-AB4C-B33436B2EB06}"/>
    <cellStyle name="Moneda 2 5 4 2 3 4" xfId="4620" xr:uid="{6F4C4DD6-4A3C-4653-8C57-423BC8013734}"/>
    <cellStyle name="Moneda 2 5 4 2 4" xfId="1253" xr:uid="{B188882B-B140-4779-A7F9-DC0845497D7F}"/>
    <cellStyle name="Moneda 2 5 4 2 4 2" xfId="3177" xr:uid="{EDDE9D31-6676-421F-BA8D-EA50BCFA0847}"/>
    <cellStyle name="Moneda 2 5 4 2 4 2 2" xfId="7025" xr:uid="{B7A63295-F61E-4908-9860-6095B1698956}"/>
    <cellStyle name="Moneda 2 5 4 2 4 3" xfId="5101" xr:uid="{2F3D68D6-D8CD-4F89-A3BD-D24E097AB0C3}"/>
    <cellStyle name="Moneda 2 5 4 2 5" xfId="2215" xr:uid="{F5B6D548-5A99-4DAD-AED6-AC8F0794D168}"/>
    <cellStyle name="Moneda 2 5 4 2 5 2" xfId="6063" xr:uid="{F935B4BC-46EF-4076-9A11-55F3C21288F9}"/>
    <cellStyle name="Moneda 2 5 4 2 6" xfId="4139" xr:uid="{AE1B1D1C-D8B7-4BF9-AF1F-9BCDED3853D6}"/>
    <cellStyle name="Moneda 2 5 4 3" xfId="399" xr:uid="{6649AC91-6C72-4B16-BB42-650C4EC54BC6}"/>
    <cellStyle name="Moneda 2 5 4 3 2" xfId="880" xr:uid="{C37002A0-6745-43F1-9D47-5EC4F1267B67}"/>
    <cellStyle name="Moneda 2 5 4 3 2 2" xfId="1842" xr:uid="{63C72030-65D1-4B59-AA80-FF9B73864AD3}"/>
    <cellStyle name="Moneda 2 5 4 3 2 2 2" xfId="3766" xr:uid="{FC9DADE6-B656-42D8-A07F-CC1E8A77FF21}"/>
    <cellStyle name="Moneda 2 5 4 3 2 2 2 2" xfId="7614" xr:uid="{72ACF857-5F8D-4554-B2CE-082F313A5CA1}"/>
    <cellStyle name="Moneda 2 5 4 3 2 2 3" xfId="5690" xr:uid="{8584FBDA-DCE1-49A8-A6E2-D45F09F36112}"/>
    <cellStyle name="Moneda 2 5 4 3 2 3" xfId="2804" xr:uid="{EA7F0D13-AFF6-40AD-BAD2-DC86C855F1E6}"/>
    <cellStyle name="Moneda 2 5 4 3 2 3 2" xfId="6652" xr:uid="{8B8394CD-3901-4295-990E-D58193502A44}"/>
    <cellStyle name="Moneda 2 5 4 3 2 4" xfId="4728" xr:uid="{8AB71CBC-1124-4ABF-89FD-477233377147}"/>
    <cellStyle name="Moneda 2 5 4 3 3" xfId="1361" xr:uid="{19083A60-3894-4017-8DFA-2A671F32DB54}"/>
    <cellStyle name="Moneda 2 5 4 3 3 2" xfId="3285" xr:uid="{0E7CA843-6F21-469B-B3C2-B47102A1693B}"/>
    <cellStyle name="Moneda 2 5 4 3 3 2 2" xfId="7133" xr:uid="{3DBCEC29-899C-49EE-ABCF-8D0D419602EF}"/>
    <cellStyle name="Moneda 2 5 4 3 3 3" xfId="5209" xr:uid="{4C71739D-DCE1-462D-B71D-390DD37F8A2E}"/>
    <cellStyle name="Moneda 2 5 4 3 4" xfId="2323" xr:uid="{BA381071-B4FB-4A8B-BC04-DF513D57F18D}"/>
    <cellStyle name="Moneda 2 5 4 3 4 2" xfId="6171" xr:uid="{4CEAD8D5-C0F4-4EA2-B292-9B9227995E33}"/>
    <cellStyle name="Moneda 2 5 4 3 5" xfId="4247" xr:uid="{F78E9626-9B92-4E48-96C1-0E5AC3228641}"/>
    <cellStyle name="Moneda 2 5 4 4" xfId="640" xr:uid="{0D9E3183-4152-4FAC-AF71-5B3D46531C3E}"/>
    <cellStyle name="Moneda 2 5 4 4 2" xfId="1602" xr:uid="{EE5EECBA-9BC3-4844-A3DC-72165EDD3D25}"/>
    <cellStyle name="Moneda 2 5 4 4 2 2" xfId="3526" xr:uid="{F184FC08-532D-4425-A894-DB100B8715B6}"/>
    <cellStyle name="Moneda 2 5 4 4 2 2 2" xfId="7374" xr:uid="{06DAC986-6598-456A-A3F9-F0B228E257DD}"/>
    <cellStyle name="Moneda 2 5 4 4 2 3" xfId="5450" xr:uid="{4C24AED1-4709-468A-BAD8-0E65059370E2}"/>
    <cellStyle name="Moneda 2 5 4 4 3" xfId="2564" xr:uid="{8E294339-4C36-4E05-8607-9D6F160D6961}"/>
    <cellStyle name="Moneda 2 5 4 4 3 2" xfId="6412" xr:uid="{099B3BD5-6C8E-49D8-86F9-E2998FAD0128}"/>
    <cellStyle name="Moneda 2 5 4 4 4" xfId="4488" xr:uid="{F33DA9B3-3DC2-41EA-B1D8-682F85895DE2}"/>
    <cellStyle name="Moneda 2 5 4 5" xfId="1121" xr:uid="{D0F8360C-60E0-43F0-9A72-8C021894A6C2}"/>
    <cellStyle name="Moneda 2 5 4 5 2" xfId="3045" xr:uid="{39CE01E7-23F7-43A9-BFD8-C226159D114E}"/>
    <cellStyle name="Moneda 2 5 4 5 2 2" xfId="6893" xr:uid="{7C0E67F7-8F41-4BB6-8014-3267B373B62F}"/>
    <cellStyle name="Moneda 2 5 4 5 3" xfId="4969" xr:uid="{E34D139A-A685-4FD8-B7D0-D660FD799993}"/>
    <cellStyle name="Moneda 2 5 4 6" xfId="2083" xr:uid="{D4C5DEDE-CC7B-46E2-BCEE-27E1516BBB05}"/>
    <cellStyle name="Moneda 2 5 4 6 2" xfId="5931" xr:uid="{CC031E59-07E2-4205-B896-A8809AA26E1F}"/>
    <cellStyle name="Moneda 2 5 4 7" xfId="4007" xr:uid="{9702AD59-0B55-4198-B1A6-597195AE22C0}"/>
    <cellStyle name="Moneda 2 5 5" xfId="191" xr:uid="{58A349DB-2F27-4017-8C40-44360659F31F}"/>
    <cellStyle name="Moneda 2 5 5 2" xfId="325" xr:uid="{79FBE31B-1D34-4B2C-8E6A-C91B7EEFB989}"/>
    <cellStyle name="Moneda 2 5 5 2 2" xfId="576" xr:uid="{F5326282-D9EB-4207-BD24-3E22D493D85D}"/>
    <cellStyle name="Moneda 2 5 5 2 2 2" xfId="1057" xr:uid="{DF3AEAF0-6221-4F89-9336-A78F070CBBFE}"/>
    <cellStyle name="Moneda 2 5 5 2 2 2 2" xfId="2019" xr:uid="{94543937-6613-4E71-8B8D-763880F5F0F0}"/>
    <cellStyle name="Moneda 2 5 5 2 2 2 2 2" xfId="3943" xr:uid="{B726DDE8-6521-473C-92F7-870891DD3C17}"/>
    <cellStyle name="Moneda 2 5 5 2 2 2 2 2 2" xfId="7791" xr:uid="{457B0738-6C04-4541-B952-EA984E22F926}"/>
    <cellStyle name="Moneda 2 5 5 2 2 2 2 3" xfId="5867" xr:uid="{1DB63CC0-2854-441A-B148-CFAFA5ACBD68}"/>
    <cellStyle name="Moneda 2 5 5 2 2 2 3" xfId="2981" xr:uid="{8DA56D84-DEF7-4775-AD89-AB8DEC2BBB63}"/>
    <cellStyle name="Moneda 2 5 5 2 2 2 3 2" xfId="6829" xr:uid="{575A4658-3DFF-40E1-B5AD-6E6BF66B70BD}"/>
    <cellStyle name="Moneda 2 5 5 2 2 2 4" xfId="4905" xr:uid="{15D69E12-475D-4465-B612-FB263FDD0A26}"/>
    <cellStyle name="Moneda 2 5 5 2 2 3" xfId="1538" xr:uid="{DE91B462-7A85-423A-83A7-CEE28A958203}"/>
    <cellStyle name="Moneda 2 5 5 2 2 3 2" xfId="3462" xr:uid="{7B6E87AF-622D-4189-9954-7840DAB080C4}"/>
    <cellStyle name="Moneda 2 5 5 2 2 3 2 2" xfId="7310" xr:uid="{67DF0E42-5F43-4F6C-9911-01E45E18AC33}"/>
    <cellStyle name="Moneda 2 5 5 2 2 3 3" xfId="5386" xr:uid="{06EDD57B-E2D9-4E5F-A263-6101F6DC1294}"/>
    <cellStyle name="Moneda 2 5 5 2 2 4" xfId="2500" xr:uid="{8E19BA43-39EC-40DD-91B3-24E7B130CF00}"/>
    <cellStyle name="Moneda 2 5 5 2 2 4 2" xfId="6348" xr:uid="{9DCAC26D-B522-415A-8A70-21A41F54D385}"/>
    <cellStyle name="Moneda 2 5 5 2 2 5" xfId="4424" xr:uid="{9DD1D206-F96C-4CD2-AE5E-03C1442F6FF3}"/>
    <cellStyle name="Moneda 2 5 5 2 3" xfId="817" xr:uid="{C5507481-AD50-4238-B9C3-19D75B1338EA}"/>
    <cellStyle name="Moneda 2 5 5 2 3 2" xfId="1779" xr:uid="{BA6AC19B-00B5-49F4-805B-731483D25DDB}"/>
    <cellStyle name="Moneda 2 5 5 2 3 2 2" xfId="3703" xr:uid="{5AE2A6D1-493B-4F41-8C35-F5F31C61AB94}"/>
    <cellStyle name="Moneda 2 5 5 2 3 2 2 2" xfId="7551" xr:uid="{2570AD15-80AE-4A7F-B861-94FAE020E3C3}"/>
    <cellStyle name="Moneda 2 5 5 2 3 2 3" xfId="5627" xr:uid="{E844EB77-AA44-4A8B-8442-7E395BE82679}"/>
    <cellStyle name="Moneda 2 5 5 2 3 3" xfId="2741" xr:uid="{C1A83ABD-B13E-4BB1-AA6C-2A175EDFFAF9}"/>
    <cellStyle name="Moneda 2 5 5 2 3 3 2" xfId="6589" xr:uid="{BD9F93AB-497D-4410-8A1A-612425C39AFC}"/>
    <cellStyle name="Moneda 2 5 5 2 3 4" xfId="4665" xr:uid="{3F21E023-3473-4F5F-ABE4-7F6B582B1164}"/>
    <cellStyle name="Moneda 2 5 5 2 4" xfId="1298" xr:uid="{B32923B9-BED0-4DAD-9AA6-805629FB491D}"/>
    <cellStyle name="Moneda 2 5 5 2 4 2" xfId="3222" xr:uid="{AD4CF47C-C3A5-4DC6-A58C-66A834DAF1A5}"/>
    <cellStyle name="Moneda 2 5 5 2 4 2 2" xfId="7070" xr:uid="{8074C67D-F35B-407E-8510-24ACD3A89376}"/>
    <cellStyle name="Moneda 2 5 5 2 4 3" xfId="5146" xr:uid="{70511D0A-4F90-4A84-B2CC-A2D69594E7E9}"/>
    <cellStyle name="Moneda 2 5 5 2 5" xfId="2260" xr:uid="{905AE27C-6098-408A-A57F-2CAE3E8F2D73}"/>
    <cellStyle name="Moneda 2 5 5 2 5 2" xfId="6108" xr:uid="{4BCD5111-E958-481B-9AE1-03050DB8A67A}"/>
    <cellStyle name="Moneda 2 5 5 2 6" xfId="4184" xr:uid="{C4DC8A72-A27E-4A14-86A2-9822DCB87112}"/>
    <cellStyle name="Moneda 2 5 5 3" xfId="444" xr:uid="{97581B82-4319-4583-A7B9-3F216E11F046}"/>
    <cellStyle name="Moneda 2 5 5 3 2" xfId="925" xr:uid="{06536B68-EB5D-4BD0-B0B1-928C9B412216}"/>
    <cellStyle name="Moneda 2 5 5 3 2 2" xfId="1887" xr:uid="{9854D6C0-D7C1-44B3-9F53-A41116376CD9}"/>
    <cellStyle name="Moneda 2 5 5 3 2 2 2" xfId="3811" xr:uid="{9FA9EFF1-96A0-4D7D-BC4E-E7C765525204}"/>
    <cellStyle name="Moneda 2 5 5 3 2 2 2 2" xfId="7659" xr:uid="{132EB7FF-3C67-463E-9510-C134F1495850}"/>
    <cellStyle name="Moneda 2 5 5 3 2 2 3" xfId="5735" xr:uid="{936E3118-B761-4C2C-81FB-8794F69FA1A9}"/>
    <cellStyle name="Moneda 2 5 5 3 2 3" xfId="2849" xr:uid="{A0AE8BD1-BFC2-4598-8B67-504B303CA3A0}"/>
    <cellStyle name="Moneda 2 5 5 3 2 3 2" xfId="6697" xr:uid="{6F300B72-1C01-4FDF-B458-FF674A69B6D7}"/>
    <cellStyle name="Moneda 2 5 5 3 2 4" xfId="4773" xr:uid="{FCD7FF17-DBAA-494B-A9B2-F90D2DD9ECFC}"/>
    <cellStyle name="Moneda 2 5 5 3 3" xfId="1406" xr:uid="{28BB60F7-18BE-4895-8730-AD002D80E39C}"/>
    <cellStyle name="Moneda 2 5 5 3 3 2" xfId="3330" xr:uid="{0CFBF54C-7D26-4EC4-B6DE-30EFAB8DDD88}"/>
    <cellStyle name="Moneda 2 5 5 3 3 2 2" xfId="7178" xr:uid="{01868039-8584-444E-8208-AB08E4C4D689}"/>
    <cellStyle name="Moneda 2 5 5 3 3 3" xfId="5254" xr:uid="{958A3D45-52F2-477B-A9F7-7DE8ED6F2167}"/>
    <cellStyle name="Moneda 2 5 5 3 4" xfId="2368" xr:uid="{B7EAAD74-1D0F-4524-AEF4-96C396FC1D88}"/>
    <cellStyle name="Moneda 2 5 5 3 4 2" xfId="6216" xr:uid="{6D1CEE51-57F4-424D-BF67-A9F689DB0009}"/>
    <cellStyle name="Moneda 2 5 5 3 5" xfId="4292" xr:uid="{C4685858-BECE-4815-8CBE-C99EE5EF6FB0}"/>
    <cellStyle name="Moneda 2 5 5 4" xfId="685" xr:uid="{79077807-D0C0-44DB-9068-D3E61AD52792}"/>
    <cellStyle name="Moneda 2 5 5 4 2" xfId="1647" xr:uid="{4D7303C8-6E19-4872-B2E8-91ACBA5B7DC9}"/>
    <cellStyle name="Moneda 2 5 5 4 2 2" xfId="3571" xr:uid="{46BBA999-D0B7-4B97-8F0F-2BB4AEB4516C}"/>
    <cellStyle name="Moneda 2 5 5 4 2 2 2" xfId="7419" xr:uid="{06103BE4-4106-4775-A98A-004E053E9924}"/>
    <cellStyle name="Moneda 2 5 5 4 2 3" xfId="5495" xr:uid="{B8E5C6C8-C5A8-4890-857B-7D435F723CD8}"/>
    <cellStyle name="Moneda 2 5 5 4 3" xfId="2609" xr:uid="{8CBFEC39-7548-4DA2-BF2D-42EE6E439B7A}"/>
    <cellStyle name="Moneda 2 5 5 4 3 2" xfId="6457" xr:uid="{ADE06C7E-DC2F-4925-B8BE-91DCE76AB54F}"/>
    <cellStyle name="Moneda 2 5 5 4 4" xfId="4533" xr:uid="{8EF0F800-AB87-4DFD-8F5F-D63249947A94}"/>
    <cellStyle name="Moneda 2 5 5 5" xfId="1166" xr:uid="{EDB9A30F-BB63-4E5F-8B06-4AA40AAA9D2B}"/>
    <cellStyle name="Moneda 2 5 5 5 2" xfId="3090" xr:uid="{64173031-17C5-4E78-B5C0-FA6DB64EAC0D}"/>
    <cellStyle name="Moneda 2 5 5 5 2 2" xfId="6938" xr:uid="{009EBED0-F364-4485-AE44-CB9FDF929DD4}"/>
    <cellStyle name="Moneda 2 5 5 5 3" xfId="5014" xr:uid="{5668DC90-52D6-4A38-926B-0CB7D8AE38F7}"/>
    <cellStyle name="Moneda 2 5 5 6" xfId="2128" xr:uid="{7323EF15-B934-4010-BBE0-D7937EEC73A2}"/>
    <cellStyle name="Moneda 2 5 5 6 2" xfId="5976" xr:uid="{DEE7E3BD-210C-4927-BCC5-369A9956E041}"/>
    <cellStyle name="Moneda 2 5 5 7" xfId="4052" xr:uid="{C3116111-2D92-4C5E-A930-3AE5F2A86B94}"/>
    <cellStyle name="Moneda 2 5 6" xfId="256" xr:uid="{C2ADF57A-26EE-423A-8B61-C997136C243E}"/>
    <cellStyle name="Moneda 2 5 6 2" xfId="508" xr:uid="{D5013BA3-D55A-49F8-8618-2A10CC3B273D}"/>
    <cellStyle name="Moneda 2 5 6 2 2" xfId="989" xr:uid="{74DF91F1-7FFC-4A8B-9DFF-72D4AEDD170D}"/>
    <cellStyle name="Moneda 2 5 6 2 2 2" xfId="1951" xr:uid="{6104E52E-9F1B-4A3B-8236-854B178869E6}"/>
    <cellStyle name="Moneda 2 5 6 2 2 2 2" xfId="3875" xr:uid="{5A89A1C2-E0DB-46D5-9886-E9C914208E1A}"/>
    <cellStyle name="Moneda 2 5 6 2 2 2 2 2" xfId="7723" xr:uid="{CACA04F9-328F-4099-A288-BDDAD9934979}"/>
    <cellStyle name="Moneda 2 5 6 2 2 2 3" xfId="5799" xr:uid="{E76CB3E3-12FD-42FB-9CA9-8D7B9FD03B0B}"/>
    <cellStyle name="Moneda 2 5 6 2 2 3" xfId="2913" xr:uid="{F4E8EE3E-0E44-4F91-B12D-F344D4F9D2B5}"/>
    <cellStyle name="Moneda 2 5 6 2 2 3 2" xfId="6761" xr:uid="{98CEC951-A993-4293-AFA5-ECCAA4AC1CB9}"/>
    <cellStyle name="Moneda 2 5 6 2 2 4" xfId="4837" xr:uid="{066636D6-37B0-4260-9A1F-7E57F857DC24}"/>
    <cellStyle name="Moneda 2 5 6 2 3" xfId="1470" xr:uid="{FC920F71-E507-46C9-B4CD-92466538D17E}"/>
    <cellStyle name="Moneda 2 5 6 2 3 2" xfId="3394" xr:uid="{C72DB538-A8CC-4D9A-8164-5A21A3388D84}"/>
    <cellStyle name="Moneda 2 5 6 2 3 2 2" xfId="7242" xr:uid="{CE8B1C5A-1423-43D0-90E5-319752032F68}"/>
    <cellStyle name="Moneda 2 5 6 2 3 3" xfId="5318" xr:uid="{9330EC0C-4D90-4CFB-8880-61448E6EE319}"/>
    <cellStyle name="Moneda 2 5 6 2 4" xfId="2432" xr:uid="{A5FE2180-E676-463E-A0FA-12434C2A8B55}"/>
    <cellStyle name="Moneda 2 5 6 2 4 2" xfId="6280" xr:uid="{C20B1C6B-771F-4EDF-B3D7-73E0C53C2B80}"/>
    <cellStyle name="Moneda 2 5 6 2 5" xfId="4356" xr:uid="{190D6D73-9307-416F-9518-D5F8F5604370}"/>
    <cellStyle name="Moneda 2 5 6 3" xfId="749" xr:uid="{27C7FD33-C111-4A7E-8B88-7FA6B8AD3E0C}"/>
    <cellStyle name="Moneda 2 5 6 3 2" xfId="1711" xr:uid="{E8414101-4633-4CD5-8417-7B3FBCB6EF46}"/>
    <cellStyle name="Moneda 2 5 6 3 2 2" xfId="3635" xr:uid="{764E0920-138B-46CB-ADD6-F3F52D02EAFC}"/>
    <cellStyle name="Moneda 2 5 6 3 2 2 2" xfId="7483" xr:uid="{C4797307-6E5F-439B-B45A-99E4B973B736}"/>
    <cellStyle name="Moneda 2 5 6 3 2 3" xfId="5559" xr:uid="{06F60700-73EF-4EC7-93D9-F8961FB8CEA4}"/>
    <cellStyle name="Moneda 2 5 6 3 3" xfId="2673" xr:uid="{4B2F1CA2-CB36-4E75-A6AC-F1A702715497}"/>
    <cellStyle name="Moneda 2 5 6 3 3 2" xfId="6521" xr:uid="{E3DF904E-9E6C-431D-914E-064C77E38AE6}"/>
    <cellStyle name="Moneda 2 5 6 3 4" xfId="4597" xr:uid="{6EC862A4-E231-442F-B9C7-2504DD6FB97D}"/>
    <cellStyle name="Moneda 2 5 6 4" xfId="1230" xr:uid="{F9B36F93-895D-419B-AE59-AC9BE73EAD11}"/>
    <cellStyle name="Moneda 2 5 6 4 2" xfId="3154" xr:uid="{36A727AF-54C4-4163-B366-B713D8A5A370}"/>
    <cellStyle name="Moneda 2 5 6 4 2 2" xfId="7002" xr:uid="{E3FBC793-A611-41D1-96B7-19850333A37E}"/>
    <cellStyle name="Moneda 2 5 6 4 3" xfId="5078" xr:uid="{FA435D1B-9AE6-428A-9E9E-4145A0AD30A4}"/>
    <cellStyle name="Moneda 2 5 6 5" xfId="2192" xr:uid="{A1739234-6BA0-4B48-B041-76ECCCE55F45}"/>
    <cellStyle name="Moneda 2 5 6 5 2" xfId="6040" xr:uid="{B1D18CD3-94EC-446E-9501-AB994566A5A4}"/>
    <cellStyle name="Moneda 2 5 6 6" xfId="4116" xr:uid="{B4F95789-D9FC-4C88-A836-145AD57E8BFC}"/>
    <cellStyle name="Moneda 2 5 7" xfId="225" xr:uid="{DE42BE43-692C-4545-9DB9-E43DE68B268E}"/>
    <cellStyle name="Moneda 2 5 7 2" xfId="477" xr:uid="{28E32A3B-2D88-43B4-B356-2AE50E6315A2}"/>
    <cellStyle name="Moneda 2 5 7 2 2" xfId="958" xr:uid="{DF2E23C6-9B40-4EDF-8C89-30880AF7D6E8}"/>
    <cellStyle name="Moneda 2 5 7 2 2 2" xfId="1920" xr:uid="{7A6AC0A6-9F72-4D8E-99A4-0E388F26B796}"/>
    <cellStyle name="Moneda 2 5 7 2 2 2 2" xfId="3844" xr:uid="{A4DA8350-672C-4932-BC33-2F64F7C90821}"/>
    <cellStyle name="Moneda 2 5 7 2 2 2 2 2" xfId="7692" xr:uid="{18CAB051-5A83-4609-90F0-74DC8B998491}"/>
    <cellStyle name="Moneda 2 5 7 2 2 2 3" xfId="5768" xr:uid="{10BA2F49-DB10-4075-8416-756BDDA1799B}"/>
    <cellStyle name="Moneda 2 5 7 2 2 3" xfId="2882" xr:uid="{089D82C4-9BBE-440D-9801-0EC74276BE41}"/>
    <cellStyle name="Moneda 2 5 7 2 2 3 2" xfId="6730" xr:uid="{54B409F2-6ECD-49C8-8337-C1EF5D9D485D}"/>
    <cellStyle name="Moneda 2 5 7 2 2 4" xfId="4806" xr:uid="{EA777DBB-BDD9-4D5D-B06E-5056B8E3D8F7}"/>
    <cellStyle name="Moneda 2 5 7 2 3" xfId="1439" xr:uid="{575B9A80-E8AC-48DE-8014-BB0626856D2A}"/>
    <cellStyle name="Moneda 2 5 7 2 3 2" xfId="3363" xr:uid="{269C325B-1215-430D-9461-B66F70844D91}"/>
    <cellStyle name="Moneda 2 5 7 2 3 2 2" xfId="7211" xr:uid="{65FEFCE3-A561-445B-9666-822B68B8F567}"/>
    <cellStyle name="Moneda 2 5 7 2 3 3" xfId="5287" xr:uid="{EEC0CA5A-BF43-4CC8-A8A3-E52EA73C4F66}"/>
    <cellStyle name="Moneda 2 5 7 2 4" xfId="2401" xr:uid="{48074433-7204-4E30-8EBF-DCD0CC42FF0B}"/>
    <cellStyle name="Moneda 2 5 7 2 4 2" xfId="6249" xr:uid="{10E76525-7ED0-4E7B-8192-7B342E413F5A}"/>
    <cellStyle name="Moneda 2 5 7 2 5" xfId="4325" xr:uid="{254A30A5-616D-4103-8C76-060FE80A84DC}"/>
    <cellStyle name="Moneda 2 5 7 3" xfId="718" xr:uid="{31C47EF6-744C-48CE-BE4E-9D98E08C9443}"/>
    <cellStyle name="Moneda 2 5 7 3 2" xfId="1680" xr:uid="{82C19637-ED92-402E-BEB1-902C3691961C}"/>
    <cellStyle name="Moneda 2 5 7 3 2 2" xfId="3604" xr:uid="{D8996EFC-3BE8-43B0-820E-1DBD85020112}"/>
    <cellStyle name="Moneda 2 5 7 3 2 2 2" xfId="7452" xr:uid="{61983ADF-27FB-413F-A9BC-C47A65BC93CB}"/>
    <cellStyle name="Moneda 2 5 7 3 2 3" xfId="5528" xr:uid="{3376FBD0-E6F7-4422-9AC0-3BF51B6611E6}"/>
    <cellStyle name="Moneda 2 5 7 3 3" xfId="2642" xr:uid="{F2E7DA04-31A2-4983-A416-3C090FA3A04B}"/>
    <cellStyle name="Moneda 2 5 7 3 3 2" xfId="6490" xr:uid="{DB5F2D1D-F140-405D-AADC-E9EEA59A8406}"/>
    <cellStyle name="Moneda 2 5 7 3 4" xfId="4566" xr:uid="{F31504CB-7E0C-4497-9FDB-FBE0F3DB5A0F}"/>
    <cellStyle name="Moneda 2 5 7 4" xfId="1199" xr:uid="{34C33ABD-D104-45CA-8914-8DBEBE47039D}"/>
    <cellStyle name="Moneda 2 5 7 4 2" xfId="3123" xr:uid="{C56436E4-DC90-4FFE-9BED-50E2C88148E5}"/>
    <cellStyle name="Moneda 2 5 7 4 2 2" xfId="6971" xr:uid="{8736DAEF-7520-4BA5-BE33-08523794D66C}"/>
    <cellStyle name="Moneda 2 5 7 4 3" xfId="5047" xr:uid="{DFFB4DC3-6A61-42FC-9171-26EC613A65DB}"/>
    <cellStyle name="Moneda 2 5 7 5" xfId="2161" xr:uid="{741F6B2B-5F7A-4D4C-9C75-5B2C083B7B2D}"/>
    <cellStyle name="Moneda 2 5 7 5 2" xfId="6009" xr:uid="{5F8DA2F6-022D-4FAC-9FA2-251879043610}"/>
    <cellStyle name="Moneda 2 5 7 6" xfId="4085" xr:uid="{10B0BADC-865C-4D84-9D18-E28FC172E613}"/>
    <cellStyle name="Moneda 2 5 8" xfId="375" xr:uid="{00DB8512-E447-4BAB-B2FB-B19E8CBD0FE9}"/>
    <cellStyle name="Moneda 2 5 8 2" xfId="856" xr:uid="{E9C4AE4F-5840-49E7-AAE4-E8D7E60A855B}"/>
    <cellStyle name="Moneda 2 5 8 2 2" xfId="1818" xr:uid="{E33633B5-794E-4BC4-87C0-FE6025122197}"/>
    <cellStyle name="Moneda 2 5 8 2 2 2" xfId="3742" xr:uid="{76FDA63F-1B05-4A21-A2B9-FD067C7CFDBD}"/>
    <cellStyle name="Moneda 2 5 8 2 2 2 2" xfId="7590" xr:uid="{D289BC4F-FCF7-4380-9BB7-2241C92B2796}"/>
    <cellStyle name="Moneda 2 5 8 2 2 3" xfId="5666" xr:uid="{8FC5D128-B426-475A-A9DD-3B74D8685ABA}"/>
    <cellStyle name="Moneda 2 5 8 2 3" xfId="2780" xr:uid="{1D077898-49D5-499D-B700-74D874B11371}"/>
    <cellStyle name="Moneda 2 5 8 2 3 2" xfId="6628" xr:uid="{B1EC4D07-EC7C-48EE-A07B-D129C748D311}"/>
    <cellStyle name="Moneda 2 5 8 2 4" xfId="4704" xr:uid="{4F2DFF41-3830-4304-866E-EA998EC0270B}"/>
    <cellStyle name="Moneda 2 5 8 3" xfId="1337" xr:uid="{ADE92895-93ED-46DB-BFAC-7E018D0AB01F}"/>
    <cellStyle name="Moneda 2 5 8 3 2" xfId="3261" xr:uid="{F14B5F57-A985-4448-8A22-AE28C93F28EC}"/>
    <cellStyle name="Moneda 2 5 8 3 2 2" xfId="7109" xr:uid="{4224117C-C92C-4897-9993-E8FCC98B6C85}"/>
    <cellStyle name="Moneda 2 5 8 3 3" xfId="5185" xr:uid="{27A2CA44-F220-416D-A234-B8B7857929D3}"/>
    <cellStyle name="Moneda 2 5 8 4" xfId="2299" xr:uid="{BCE1FFBC-E5F4-4A23-B4AF-C9A36DB6FFFE}"/>
    <cellStyle name="Moneda 2 5 8 4 2" xfId="6147" xr:uid="{046EF2DF-B9C4-4C0C-992A-3F28AB3F3497}"/>
    <cellStyle name="Moneda 2 5 8 5" xfId="4223" xr:uid="{54544BE4-B79E-4157-A148-D5B7F876C84C}"/>
    <cellStyle name="Moneda 2 5 9" xfId="616" xr:uid="{B571AC06-52CE-471D-9FE2-7CE24A89DBB3}"/>
    <cellStyle name="Moneda 2 5 9 2" xfId="1578" xr:uid="{C17775A9-0249-461F-8811-74CAD578FE36}"/>
    <cellStyle name="Moneda 2 5 9 2 2" xfId="3502" xr:uid="{D16E5B04-2499-4AEF-897E-F9D5A3D2258A}"/>
    <cellStyle name="Moneda 2 5 9 2 2 2" xfId="7350" xr:uid="{00EC64B9-AEB6-46D8-BC92-BB5930762D6C}"/>
    <cellStyle name="Moneda 2 5 9 2 3" xfId="5426" xr:uid="{4B4798A5-B2C1-4FAB-A456-E8EF47F542B7}"/>
    <cellStyle name="Moneda 2 5 9 3" xfId="2540" xr:uid="{758DCF17-5B68-43D8-B32B-60343E73161B}"/>
    <cellStyle name="Moneda 2 5 9 3 2" xfId="6388" xr:uid="{C58DF1F7-7C4C-407F-BB22-A667FA3E83EF}"/>
    <cellStyle name="Moneda 2 5 9 4" xfId="4464" xr:uid="{FA979B0E-BBA7-4C72-999A-52E043988ECB}"/>
    <cellStyle name="Moneda 2 6" xfId="103" xr:uid="{AE0195C6-227C-434C-A2D5-88D142BE0FFC}"/>
    <cellStyle name="Moneda 2 6 2" xfId="173" xr:uid="{B0178FCA-9BFD-402C-9673-45BA6967E077}"/>
    <cellStyle name="Moneda 2 6 2 2" xfId="208" xr:uid="{CD0BB893-A8A4-45DA-9CCA-86880C00BBE0}"/>
    <cellStyle name="Moneda 2 6 2 2 2" xfId="342" xr:uid="{874887C2-AE5E-476E-A700-5F9E49236481}"/>
    <cellStyle name="Moneda 2 6 2 2 2 2" xfId="593" xr:uid="{078A1975-5976-4ACB-B6A7-B6FC8938A5B8}"/>
    <cellStyle name="Moneda 2 6 2 2 2 2 2" xfId="1074" xr:uid="{59906155-ED8D-4FCD-966A-4F78A8FDD639}"/>
    <cellStyle name="Moneda 2 6 2 2 2 2 2 2" xfId="2036" xr:uid="{3AF16573-F934-4C32-AE5E-3ADA3D135F79}"/>
    <cellStyle name="Moneda 2 6 2 2 2 2 2 2 2" xfId="3960" xr:uid="{24828690-3359-4CC3-8768-D99C610AC069}"/>
    <cellStyle name="Moneda 2 6 2 2 2 2 2 2 2 2" xfId="7808" xr:uid="{EF604D7A-4FEB-4785-9889-126E144893D5}"/>
    <cellStyle name="Moneda 2 6 2 2 2 2 2 2 3" xfId="5884" xr:uid="{56654943-618C-4D05-A08D-3FD0C326BDA5}"/>
    <cellStyle name="Moneda 2 6 2 2 2 2 2 3" xfId="2998" xr:uid="{0E311F35-59C8-4C74-A746-0332163F1162}"/>
    <cellStyle name="Moneda 2 6 2 2 2 2 2 3 2" xfId="6846" xr:uid="{732C7FB1-CF6F-4CD9-84A4-056F2F66273F}"/>
    <cellStyle name="Moneda 2 6 2 2 2 2 2 4" xfId="4922" xr:uid="{02679EC3-4CD4-431B-8831-8424C4933BB9}"/>
    <cellStyle name="Moneda 2 6 2 2 2 2 3" xfId="1555" xr:uid="{1285372E-657D-4158-9370-12B35FFCB999}"/>
    <cellStyle name="Moneda 2 6 2 2 2 2 3 2" xfId="3479" xr:uid="{F84B95DF-4872-403B-9107-562E36DDCB86}"/>
    <cellStyle name="Moneda 2 6 2 2 2 2 3 2 2" xfId="7327" xr:uid="{345255B7-1BE4-417B-8EEF-69F8750E5E45}"/>
    <cellStyle name="Moneda 2 6 2 2 2 2 3 3" xfId="5403" xr:uid="{8BDF4CE6-F30D-4F84-A5CE-4F92D5E70C82}"/>
    <cellStyle name="Moneda 2 6 2 2 2 2 4" xfId="2517" xr:uid="{152AD0BD-F98F-41D3-9DAB-4DA920F6836C}"/>
    <cellStyle name="Moneda 2 6 2 2 2 2 4 2" xfId="6365" xr:uid="{0D30ADC7-5BF0-4509-9FBE-1D4302DABB89}"/>
    <cellStyle name="Moneda 2 6 2 2 2 2 5" xfId="4441" xr:uid="{BA904EE7-07A1-4503-AC93-6A5DF69E93AD}"/>
    <cellStyle name="Moneda 2 6 2 2 2 3" xfId="834" xr:uid="{8D4EB2CF-2E8A-48CD-A15E-4F8C06C33B1B}"/>
    <cellStyle name="Moneda 2 6 2 2 2 3 2" xfId="1796" xr:uid="{4574D1F4-6B81-49D8-A475-928A81394DF4}"/>
    <cellStyle name="Moneda 2 6 2 2 2 3 2 2" xfId="3720" xr:uid="{A4DFE43C-FA2B-48E0-8CD3-39C622AD99E3}"/>
    <cellStyle name="Moneda 2 6 2 2 2 3 2 2 2" xfId="7568" xr:uid="{1699A286-7507-462E-95A8-5A4765E09DA5}"/>
    <cellStyle name="Moneda 2 6 2 2 2 3 2 3" xfId="5644" xr:uid="{37BD6A57-C405-4098-B150-39714E7447A3}"/>
    <cellStyle name="Moneda 2 6 2 2 2 3 3" xfId="2758" xr:uid="{9EC0EF68-C3B8-4F1B-B069-4519D6E51C01}"/>
    <cellStyle name="Moneda 2 6 2 2 2 3 3 2" xfId="6606" xr:uid="{7EF5E04A-A650-450F-80CC-589FEC3C1627}"/>
    <cellStyle name="Moneda 2 6 2 2 2 3 4" xfId="4682" xr:uid="{770AA06B-1FFF-4814-8919-9CEFC98AB713}"/>
    <cellStyle name="Moneda 2 6 2 2 2 4" xfId="1315" xr:uid="{D6CCD8D6-F124-4893-B764-69DB951157BB}"/>
    <cellStyle name="Moneda 2 6 2 2 2 4 2" xfId="3239" xr:uid="{D31DA017-6B81-4F36-AE1C-F21E51D6A4B9}"/>
    <cellStyle name="Moneda 2 6 2 2 2 4 2 2" xfId="7087" xr:uid="{B3F87E0E-5530-413C-8112-25FB51DC57E2}"/>
    <cellStyle name="Moneda 2 6 2 2 2 4 3" xfId="5163" xr:uid="{B71F8B10-9BA3-4A8E-91BF-3907E188430B}"/>
    <cellStyle name="Moneda 2 6 2 2 2 5" xfId="2277" xr:uid="{CA2DC0B2-FE1B-4F23-9464-2BC7698093B1}"/>
    <cellStyle name="Moneda 2 6 2 2 2 5 2" xfId="6125" xr:uid="{B7327004-3676-4234-BC1E-833FFAA5F07C}"/>
    <cellStyle name="Moneda 2 6 2 2 2 6" xfId="4201" xr:uid="{AFA7DCBE-8BDC-46C0-A0A2-7249CCDC6D9F}"/>
    <cellStyle name="Moneda 2 6 2 2 3" xfId="461" xr:uid="{62D14565-A7AF-4EDD-929F-86A82D9EBA0F}"/>
    <cellStyle name="Moneda 2 6 2 2 3 2" xfId="942" xr:uid="{83E3729F-B4C4-4418-9F11-5DCB0FC452B5}"/>
    <cellStyle name="Moneda 2 6 2 2 3 2 2" xfId="1904" xr:uid="{CE2CCE3B-3D48-4983-B243-3F23C61AEEA3}"/>
    <cellStyle name="Moneda 2 6 2 2 3 2 2 2" xfId="3828" xr:uid="{05E8E4E1-1A6E-4665-AE37-B239A9218308}"/>
    <cellStyle name="Moneda 2 6 2 2 3 2 2 2 2" xfId="7676" xr:uid="{D89FB9D9-138F-4290-8196-586DD4A45EFA}"/>
    <cellStyle name="Moneda 2 6 2 2 3 2 2 3" xfId="5752" xr:uid="{62894CBC-447C-4F66-9E52-4551C0548E19}"/>
    <cellStyle name="Moneda 2 6 2 2 3 2 3" xfId="2866" xr:uid="{E450628C-5991-423E-801A-2C58675EEF37}"/>
    <cellStyle name="Moneda 2 6 2 2 3 2 3 2" xfId="6714" xr:uid="{E1BC31C3-4F1B-4E2D-8522-B816DA384D91}"/>
    <cellStyle name="Moneda 2 6 2 2 3 2 4" xfId="4790" xr:uid="{F7E2CEBD-CB02-44D0-B57A-FE3A0471614C}"/>
    <cellStyle name="Moneda 2 6 2 2 3 3" xfId="1423" xr:uid="{D61739E2-3349-4B64-8F9B-B16550A6CEDB}"/>
    <cellStyle name="Moneda 2 6 2 2 3 3 2" xfId="3347" xr:uid="{8F5D75DD-B2BD-47A7-A073-AEA7A371FC56}"/>
    <cellStyle name="Moneda 2 6 2 2 3 3 2 2" xfId="7195" xr:uid="{ECC008F8-0E03-4AAD-82DE-EE361C88E270}"/>
    <cellStyle name="Moneda 2 6 2 2 3 3 3" xfId="5271" xr:uid="{4B6F6AD4-F9CD-4657-B8A9-475F3FA0B92E}"/>
    <cellStyle name="Moneda 2 6 2 2 3 4" xfId="2385" xr:uid="{80AB75D8-D218-4EBF-A5E6-8FE115ED47F9}"/>
    <cellStyle name="Moneda 2 6 2 2 3 4 2" xfId="6233" xr:uid="{B41619FE-AF38-4AD7-B0C4-D62CDE3F4441}"/>
    <cellStyle name="Moneda 2 6 2 2 3 5" xfId="4309" xr:uid="{57544EF6-8449-4546-8C13-1D24CB0F2369}"/>
    <cellStyle name="Moneda 2 6 2 2 4" xfId="702" xr:uid="{3A47E15B-A2AC-465E-BD5E-77785FCE2918}"/>
    <cellStyle name="Moneda 2 6 2 2 4 2" xfId="1664" xr:uid="{EF65E561-0B58-4AB0-920C-49ABB66A9AA1}"/>
    <cellStyle name="Moneda 2 6 2 2 4 2 2" xfId="3588" xr:uid="{8976F766-5955-49AE-AC6D-4BC2A65381DE}"/>
    <cellStyle name="Moneda 2 6 2 2 4 2 2 2" xfId="7436" xr:uid="{91E193F1-2FD1-4F48-B2AB-D2FE8923C4E4}"/>
    <cellStyle name="Moneda 2 6 2 2 4 2 3" xfId="5512" xr:uid="{6CB5320E-140A-4E18-9FD5-344EE0737BC5}"/>
    <cellStyle name="Moneda 2 6 2 2 4 3" xfId="2626" xr:uid="{EBF3BA98-310D-45BA-A554-D402478E1DDA}"/>
    <cellStyle name="Moneda 2 6 2 2 4 3 2" xfId="6474" xr:uid="{CA7B539B-B7CC-4912-80A0-D8B11AD2C78B}"/>
    <cellStyle name="Moneda 2 6 2 2 4 4" xfId="4550" xr:uid="{9BC757F0-E59F-44B6-8F9A-0315C4C58D94}"/>
    <cellStyle name="Moneda 2 6 2 2 5" xfId="1183" xr:uid="{242EFC74-72B5-4905-9674-68C35C85585F}"/>
    <cellStyle name="Moneda 2 6 2 2 5 2" xfId="3107" xr:uid="{0334E4D1-B6D9-43AF-BF1A-8FC51E51109D}"/>
    <cellStyle name="Moneda 2 6 2 2 5 2 2" xfId="6955" xr:uid="{A3F2DED8-A09C-422B-971A-49DE89262FF4}"/>
    <cellStyle name="Moneda 2 6 2 2 5 3" xfId="5031" xr:uid="{48629E2A-505C-4170-A432-8FB3162DAB78}"/>
    <cellStyle name="Moneda 2 6 2 2 6" xfId="2145" xr:uid="{2106FB90-FF46-4211-A48F-FB4CC3EC9F06}"/>
    <cellStyle name="Moneda 2 6 2 2 6 2" xfId="5993" xr:uid="{FF6B78AE-7F4C-455C-9B5F-7FBED4D0B0E5}"/>
    <cellStyle name="Moneda 2 6 2 2 7" xfId="4069" xr:uid="{12C48D2E-D918-4AA6-A002-CD1E4740FC66}"/>
    <cellStyle name="Moneda 2 6 2 3" xfId="309" xr:uid="{E7D300A0-37EE-42EA-BC05-172C3D6CD66A}"/>
    <cellStyle name="Moneda 2 6 2 3 2" xfId="560" xr:uid="{A52213B4-0C68-4C9C-A128-A5A751562327}"/>
    <cellStyle name="Moneda 2 6 2 3 2 2" xfId="1041" xr:uid="{4C3AD9CE-BE49-4BC4-925C-B458E9D83A73}"/>
    <cellStyle name="Moneda 2 6 2 3 2 2 2" xfId="2003" xr:uid="{4CA547AB-0441-454D-8125-42B5F048FE07}"/>
    <cellStyle name="Moneda 2 6 2 3 2 2 2 2" xfId="3927" xr:uid="{FD6A54D3-CF00-41A0-8715-A082D6C51AE7}"/>
    <cellStyle name="Moneda 2 6 2 3 2 2 2 2 2" xfId="7775" xr:uid="{4BF29240-85FB-4C3D-B321-FF23FAF23175}"/>
    <cellStyle name="Moneda 2 6 2 3 2 2 2 3" xfId="5851" xr:uid="{64D83487-C97D-4794-A356-14475E310032}"/>
    <cellStyle name="Moneda 2 6 2 3 2 2 3" xfId="2965" xr:uid="{53161B66-40AE-42F2-B770-72C7D6701A1C}"/>
    <cellStyle name="Moneda 2 6 2 3 2 2 3 2" xfId="6813" xr:uid="{413FFE46-4744-415E-BCEF-2AAF1407C5EB}"/>
    <cellStyle name="Moneda 2 6 2 3 2 2 4" xfId="4889" xr:uid="{04FA1CD0-2717-4692-99E7-F8F78D3F44BE}"/>
    <cellStyle name="Moneda 2 6 2 3 2 3" xfId="1522" xr:uid="{4B54A901-1B3A-4A71-A031-D5316B46E2B3}"/>
    <cellStyle name="Moneda 2 6 2 3 2 3 2" xfId="3446" xr:uid="{555EB964-EE48-4899-A520-DC74A4D3401D}"/>
    <cellStyle name="Moneda 2 6 2 3 2 3 2 2" xfId="7294" xr:uid="{E7A1C60B-A700-4A7B-8244-274044240C72}"/>
    <cellStyle name="Moneda 2 6 2 3 2 3 3" xfId="5370" xr:uid="{4EE79FF8-63BF-4557-B25E-0AE7D3CF1367}"/>
    <cellStyle name="Moneda 2 6 2 3 2 4" xfId="2484" xr:uid="{8FA157AE-A76E-43C8-8AC9-5014EF6AF011}"/>
    <cellStyle name="Moneda 2 6 2 3 2 4 2" xfId="6332" xr:uid="{1C2D5B9F-C3F7-4234-9EEC-9A2ECF01872E}"/>
    <cellStyle name="Moneda 2 6 2 3 2 5" xfId="4408" xr:uid="{62F57FD0-76BE-4A46-8C7B-EA3D548DCBDC}"/>
    <cellStyle name="Moneda 2 6 2 3 3" xfId="801" xr:uid="{2CD06E59-D608-457E-A4A1-1FD0F690118E}"/>
    <cellStyle name="Moneda 2 6 2 3 3 2" xfId="1763" xr:uid="{AC9AA92B-7691-47E4-A08A-A4BE6E22CA38}"/>
    <cellStyle name="Moneda 2 6 2 3 3 2 2" xfId="3687" xr:uid="{C20B45F3-C846-4D51-B4ED-48F23F104EE9}"/>
    <cellStyle name="Moneda 2 6 2 3 3 2 2 2" xfId="7535" xr:uid="{A3A14B0E-93D7-4A15-944B-F6962E31D5A4}"/>
    <cellStyle name="Moneda 2 6 2 3 3 2 3" xfId="5611" xr:uid="{2208076E-D65C-4E5E-B839-7DDA6C37EA21}"/>
    <cellStyle name="Moneda 2 6 2 3 3 3" xfId="2725" xr:uid="{2775475C-7EF3-4204-9AB6-8480A8A24E31}"/>
    <cellStyle name="Moneda 2 6 2 3 3 3 2" xfId="6573" xr:uid="{F2C93391-55EC-47F3-B25E-DA5926495062}"/>
    <cellStyle name="Moneda 2 6 2 3 3 4" xfId="4649" xr:uid="{B2175009-9A76-48AA-97FD-659A9DA57A36}"/>
    <cellStyle name="Moneda 2 6 2 3 4" xfId="1282" xr:uid="{279F951B-B987-4BF2-900E-81C79853CF5B}"/>
    <cellStyle name="Moneda 2 6 2 3 4 2" xfId="3206" xr:uid="{DF359F4D-CC7F-413A-A104-567E3D173024}"/>
    <cellStyle name="Moneda 2 6 2 3 4 2 2" xfId="7054" xr:uid="{C6C44B5F-E6DF-4AD0-90DE-E091D9EF35C9}"/>
    <cellStyle name="Moneda 2 6 2 3 4 3" xfId="5130" xr:uid="{59D502B6-B8BD-4D0B-B02A-CEB48F32351B}"/>
    <cellStyle name="Moneda 2 6 2 3 5" xfId="2244" xr:uid="{90A42DB6-2CE3-484C-9D08-6E65354AC4BD}"/>
    <cellStyle name="Moneda 2 6 2 3 5 2" xfId="6092" xr:uid="{D103949A-9BAA-4CE8-9776-15D126F28CAE}"/>
    <cellStyle name="Moneda 2 6 2 3 6" xfId="4168" xr:uid="{B4881C0F-F639-4BAF-8B60-7D3D82645134}"/>
    <cellStyle name="Moneda 2 6 2 4" xfId="242" xr:uid="{402EC9F4-CE67-459A-AC6B-A9E22DC31E19}"/>
    <cellStyle name="Moneda 2 6 2 4 2" xfId="494" xr:uid="{E12F864C-6381-42B2-9E27-C7546995A072}"/>
    <cellStyle name="Moneda 2 6 2 4 2 2" xfId="975" xr:uid="{62D34E9B-E128-4DD9-B74D-7F65194A78FD}"/>
    <cellStyle name="Moneda 2 6 2 4 2 2 2" xfId="1937" xr:uid="{8B3D0350-237E-4C44-9BB8-A6BFDE48FB46}"/>
    <cellStyle name="Moneda 2 6 2 4 2 2 2 2" xfId="3861" xr:uid="{521B59B0-5870-43DC-ABFC-39B0BA2DCBD8}"/>
    <cellStyle name="Moneda 2 6 2 4 2 2 2 2 2" xfId="7709" xr:uid="{011A3957-F5A8-4FDD-B8FF-F9B5B901DABC}"/>
    <cellStyle name="Moneda 2 6 2 4 2 2 2 3" xfId="5785" xr:uid="{AAE4C0C1-DE46-47CE-BF3F-D1B204D526F4}"/>
    <cellStyle name="Moneda 2 6 2 4 2 2 3" xfId="2899" xr:uid="{F475559F-C993-4A34-A97C-852FAD8047EE}"/>
    <cellStyle name="Moneda 2 6 2 4 2 2 3 2" xfId="6747" xr:uid="{028EF38B-A90B-4311-A247-66744C0D59B5}"/>
    <cellStyle name="Moneda 2 6 2 4 2 2 4" xfId="4823" xr:uid="{26FCF9B0-CA63-449A-BDAF-0E1A28C2D5C0}"/>
    <cellStyle name="Moneda 2 6 2 4 2 3" xfId="1456" xr:uid="{3A9A3B5E-9EC2-44F5-BE65-FC19D54E1A67}"/>
    <cellStyle name="Moneda 2 6 2 4 2 3 2" xfId="3380" xr:uid="{7380CF99-BC88-4E9C-9CAA-756B55BC2C27}"/>
    <cellStyle name="Moneda 2 6 2 4 2 3 2 2" xfId="7228" xr:uid="{3CE165AE-2362-42C5-AE1F-8EDDE70191A6}"/>
    <cellStyle name="Moneda 2 6 2 4 2 3 3" xfId="5304" xr:uid="{30461565-7A31-4C4C-8087-FA0B72E91355}"/>
    <cellStyle name="Moneda 2 6 2 4 2 4" xfId="2418" xr:uid="{FDCCF778-2CD2-4F24-AE1B-DDF16ADC0FA7}"/>
    <cellStyle name="Moneda 2 6 2 4 2 4 2" xfId="6266" xr:uid="{5549976D-E244-43A9-8610-1C6E5F4B6DAC}"/>
    <cellStyle name="Moneda 2 6 2 4 2 5" xfId="4342" xr:uid="{4196CABA-42A0-463E-BDC0-191C8089AFDF}"/>
    <cellStyle name="Moneda 2 6 2 4 3" xfId="735" xr:uid="{76D7380D-A3BB-490C-B42D-51930EB7C0DB}"/>
    <cellStyle name="Moneda 2 6 2 4 3 2" xfId="1697" xr:uid="{BF843C9A-720E-4303-BA81-B57612BFDD8B}"/>
    <cellStyle name="Moneda 2 6 2 4 3 2 2" xfId="3621" xr:uid="{6102135C-B17D-4112-AB22-3EA64E1DA983}"/>
    <cellStyle name="Moneda 2 6 2 4 3 2 2 2" xfId="7469" xr:uid="{4F5DF9BE-7B21-40C7-8E4D-749C9CDEF4AE}"/>
    <cellStyle name="Moneda 2 6 2 4 3 2 3" xfId="5545" xr:uid="{48154D6F-E22D-443B-9F5F-E5F7A80B9F77}"/>
    <cellStyle name="Moneda 2 6 2 4 3 3" xfId="2659" xr:uid="{4C9DE1AA-B43A-4B91-B283-24D0DBF2E8C9}"/>
    <cellStyle name="Moneda 2 6 2 4 3 3 2" xfId="6507" xr:uid="{AB88742C-1CB3-4B04-8A4E-01E0E8E0322E}"/>
    <cellStyle name="Moneda 2 6 2 4 3 4" xfId="4583" xr:uid="{AA216566-857A-4DCE-AB84-D1D3A9A77679}"/>
    <cellStyle name="Moneda 2 6 2 4 4" xfId="1216" xr:uid="{A72EB40A-2F38-419A-A3F8-DF2E9DE9B65A}"/>
    <cellStyle name="Moneda 2 6 2 4 4 2" xfId="3140" xr:uid="{D94B7D79-9A27-4107-9A73-45572133B50F}"/>
    <cellStyle name="Moneda 2 6 2 4 4 2 2" xfId="6988" xr:uid="{FFB91AA7-1A80-4B1F-B4D7-2B391F93CE6C}"/>
    <cellStyle name="Moneda 2 6 2 4 4 3" xfId="5064" xr:uid="{8C5C9BB1-B7F4-449B-A566-53EBD5415AAD}"/>
    <cellStyle name="Moneda 2 6 2 4 5" xfId="2178" xr:uid="{13BFF191-3D8F-4AFD-A656-FCEEF77C56F6}"/>
    <cellStyle name="Moneda 2 6 2 4 5 2" xfId="6026" xr:uid="{F43ADBCD-BC91-44AA-9EDD-769A81142D23}"/>
    <cellStyle name="Moneda 2 6 2 4 6" xfId="4102" xr:uid="{AFF18170-29A1-4F5D-9EEE-D877871574C1}"/>
    <cellStyle name="Moneda 2 6 2 5" xfId="428" xr:uid="{D31A2C7A-6793-4547-90DC-F3280056DB33}"/>
    <cellStyle name="Moneda 2 6 2 5 2" xfId="909" xr:uid="{15C3AD7D-0D12-4922-BDD1-A7EBC37E3927}"/>
    <cellStyle name="Moneda 2 6 2 5 2 2" xfId="1871" xr:uid="{66D81083-1D0F-4194-9C27-CE628CBBE2BA}"/>
    <cellStyle name="Moneda 2 6 2 5 2 2 2" xfId="3795" xr:uid="{6591EA71-908E-42F6-AED1-5A61F653D016}"/>
    <cellStyle name="Moneda 2 6 2 5 2 2 2 2" xfId="7643" xr:uid="{70841714-2C22-4D92-AE81-420492E51239}"/>
    <cellStyle name="Moneda 2 6 2 5 2 2 3" xfId="5719" xr:uid="{9F5CAD2C-3300-4273-AD63-AC831BDFA47B}"/>
    <cellStyle name="Moneda 2 6 2 5 2 3" xfId="2833" xr:uid="{85501526-968C-4F87-9858-8E40D4C8E2D2}"/>
    <cellStyle name="Moneda 2 6 2 5 2 3 2" xfId="6681" xr:uid="{5A3D62F0-CF6C-4F31-BCDA-E49E0AEC9A90}"/>
    <cellStyle name="Moneda 2 6 2 5 2 4" xfId="4757" xr:uid="{AE6EDB68-8ED5-4E0B-BE9A-20DDE99487A4}"/>
    <cellStyle name="Moneda 2 6 2 5 3" xfId="1390" xr:uid="{9CAD17F6-F7D2-4417-9F48-7A1078F55BFA}"/>
    <cellStyle name="Moneda 2 6 2 5 3 2" xfId="3314" xr:uid="{03E66E01-540D-4856-AE95-6326B083C5DF}"/>
    <cellStyle name="Moneda 2 6 2 5 3 2 2" xfId="7162" xr:uid="{8F43D208-3D8E-451C-BA17-150018F2BB3F}"/>
    <cellStyle name="Moneda 2 6 2 5 3 3" xfId="5238" xr:uid="{1438B81D-D05F-443F-83DC-DDAD727F9C32}"/>
    <cellStyle name="Moneda 2 6 2 5 4" xfId="2352" xr:uid="{41956D61-C758-4ECE-95CB-BE06890BE49C}"/>
    <cellStyle name="Moneda 2 6 2 5 4 2" xfId="6200" xr:uid="{6E424830-1641-42BE-8829-C90A4449C453}"/>
    <cellStyle name="Moneda 2 6 2 5 5" xfId="4276" xr:uid="{C303AC13-0919-401F-BA23-C38DEA783EAB}"/>
    <cellStyle name="Moneda 2 6 2 6" xfId="669" xr:uid="{BD40FE31-0E10-4A6D-89CD-F0F269ABC43C}"/>
    <cellStyle name="Moneda 2 6 2 6 2" xfId="1631" xr:uid="{FDCB23F9-FF67-4932-BAC7-8E7D4B0D856A}"/>
    <cellStyle name="Moneda 2 6 2 6 2 2" xfId="3555" xr:uid="{282B307C-1EFC-4CA4-BC32-8BD565DE2488}"/>
    <cellStyle name="Moneda 2 6 2 6 2 2 2" xfId="7403" xr:uid="{4C3F8CC4-CD05-43AF-AF23-F8F41FD2F8B8}"/>
    <cellStyle name="Moneda 2 6 2 6 2 3" xfId="5479" xr:uid="{4B21438E-AAEF-423B-BACC-6EA8409340E1}"/>
    <cellStyle name="Moneda 2 6 2 6 3" xfId="2593" xr:uid="{BCD4DF83-AED5-46A4-9A5B-AFD46FE88E33}"/>
    <cellStyle name="Moneda 2 6 2 6 3 2" xfId="6441" xr:uid="{A49DEE3D-9004-44C1-A1F8-1B4735B6C01B}"/>
    <cellStyle name="Moneda 2 6 2 6 4" xfId="4517" xr:uid="{90564EE1-65E5-406E-B555-2F376E0F45EE}"/>
    <cellStyle name="Moneda 2 6 2 7" xfId="1150" xr:uid="{F757914F-7098-4F2C-AFDB-0537ABE09E89}"/>
    <cellStyle name="Moneda 2 6 2 7 2" xfId="3074" xr:uid="{BBE4F29D-FE14-45C4-BD73-1ADC234C0C47}"/>
    <cellStyle name="Moneda 2 6 2 7 2 2" xfId="6922" xr:uid="{92D00CBA-20CE-4234-9A41-6D36EC466E62}"/>
    <cellStyle name="Moneda 2 6 2 7 3" xfId="4998" xr:uid="{B8BED093-E789-4873-96F5-CEFA3A3C63F1}"/>
    <cellStyle name="Moneda 2 6 2 8" xfId="2112" xr:uid="{D67A5DE9-BF18-4779-BBAB-FE860479B65E}"/>
    <cellStyle name="Moneda 2 6 2 8 2" xfId="5960" xr:uid="{1E3C608A-8EE5-498F-97D0-7E762FA6CA4D}"/>
    <cellStyle name="Moneda 2 6 2 9" xfId="4036" xr:uid="{69EBB54F-DAFA-4D1B-AC26-FB712042F7CC}"/>
    <cellStyle name="Moneda 2 6 3" xfId="146" xr:uid="{54DC085A-35B2-49FA-9236-26422D33EA2F}"/>
    <cellStyle name="Moneda 2 6 4" xfId="382" xr:uid="{E268DEDB-D346-4BC5-AE8C-60C2333AF8E4}"/>
    <cellStyle name="Moneda 2 6 4 2" xfId="863" xr:uid="{5C8FCADB-24F3-4381-8390-4CC4CD18C4D1}"/>
    <cellStyle name="Moneda 2 6 4 2 2" xfId="1825" xr:uid="{1652CF5C-1EFB-41B2-A03C-9FD10BDC7008}"/>
    <cellStyle name="Moneda 2 6 4 2 2 2" xfId="3749" xr:uid="{DBAD01AC-1CDC-4443-B838-A2901A369325}"/>
    <cellStyle name="Moneda 2 6 4 2 2 2 2" xfId="7597" xr:uid="{AC4E6080-F008-4E2C-AB13-34507AED376D}"/>
    <cellStyle name="Moneda 2 6 4 2 2 3" xfId="5673" xr:uid="{69B8200F-8DFE-45E9-B729-ADC442945E2F}"/>
    <cellStyle name="Moneda 2 6 4 2 3" xfId="2787" xr:uid="{7C694D2D-944C-4DE2-B627-B95843587825}"/>
    <cellStyle name="Moneda 2 6 4 2 3 2" xfId="6635" xr:uid="{BD400CCA-3A42-4E0B-9F46-4623504DDAE6}"/>
    <cellStyle name="Moneda 2 6 4 2 4" xfId="4711" xr:uid="{55DDCB33-3FB6-4FDA-ACD7-71E2268A3B66}"/>
    <cellStyle name="Moneda 2 6 4 3" xfId="1344" xr:uid="{3FA36D97-D994-48E8-8DAC-5B9456AE3A69}"/>
    <cellStyle name="Moneda 2 6 4 3 2" xfId="3268" xr:uid="{81EE4C14-2E90-496F-BDDA-E6BFC44C8F6A}"/>
    <cellStyle name="Moneda 2 6 4 3 2 2" xfId="7116" xr:uid="{847632D0-83A4-4BE4-BF0F-52550B1599F2}"/>
    <cellStyle name="Moneda 2 6 4 3 3" xfId="5192" xr:uid="{33C883E9-ECA1-4719-B1DE-4B81EA737911}"/>
    <cellStyle name="Moneda 2 6 4 4" xfId="2306" xr:uid="{C1DE651B-1CEE-4688-90FA-040D151BC0A3}"/>
    <cellStyle name="Moneda 2 6 4 4 2" xfId="6154" xr:uid="{76E90085-8D18-4015-9EDD-14362D7EBDE2}"/>
    <cellStyle name="Moneda 2 6 4 5" xfId="4230" xr:uid="{42D5633E-6EEA-44D2-8A3C-C00AC2436A9B}"/>
    <cellStyle name="Moneda 2 6 5" xfId="623" xr:uid="{B6D660CD-BC08-4C79-9FEE-BECAEE064C68}"/>
    <cellStyle name="Moneda 2 6 5 2" xfId="1585" xr:uid="{EF186F7C-9563-490F-BD03-9B348F4F4EB3}"/>
    <cellStyle name="Moneda 2 6 5 2 2" xfId="3509" xr:uid="{47876439-A786-4221-A5F0-792F77612020}"/>
    <cellStyle name="Moneda 2 6 5 2 2 2" xfId="7357" xr:uid="{071A18BE-9839-41D3-82C9-485ED2DBCB98}"/>
    <cellStyle name="Moneda 2 6 5 2 3" xfId="5433" xr:uid="{ABFCBED0-A3A9-47CC-B61E-AE4691353489}"/>
    <cellStyle name="Moneda 2 6 5 3" xfId="2547" xr:uid="{77A62F48-190C-4338-AAFB-C946C3175308}"/>
    <cellStyle name="Moneda 2 6 5 3 2" xfId="6395" xr:uid="{275CC438-625A-4545-BBA8-28C021D8A289}"/>
    <cellStyle name="Moneda 2 6 5 4" xfId="4471" xr:uid="{7F97EEFE-CD99-41A3-9FF4-822A70C4DD11}"/>
    <cellStyle name="Moneda 2 6 6" xfId="1104" xr:uid="{EB6B81A2-3934-464F-B603-13387EE53994}"/>
    <cellStyle name="Moneda 2 6 6 2" xfId="3028" xr:uid="{C247292D-F676-4C8C-BE5F-AB77D13AE98F}"/>
    <cellStyle name="Moneda 2 6 6 2 2" xfId="6876" xr:uid="{02808A55-E4FB-47D1-B544-132BC0158084}"/>
    <cellStyle name="Moneda 2 6 6 3" xfId="4952" xr:uid="{8FAA0D0F-47B4-441E-ADE7-3701CCD919D6}"/>
    <cellStyle name="Moneda 2 6 7" xfId="2066" xr:uid="{F19C731F-A000-44F8-8110-63977B7B12BC}"/>
    <cellStyle name="Moneda 2 6 7 2" xfId="5914" xr:uid="{51477E4B-B0FA-4B8B-9A0C-DDBAF4336F9D}"/>
    <cellStyle name="Moneda 2 6 8" xfId="3990" xr:uid="{1984E0E8-D5F8-406B-9BDE-27EF967CC43E}"/>
    <cellStyle name="Moneda 2 7" xfId="66" xr:uid="{921D7968-EA04-4AA4-9A30-3092BA534416}"/>
    <cellStyle name="Moneda 2 8" xfId="60" xr:uid="{ECD5D05A-8107-4EC4-B87F-E8C855AF9CA9}"/>
    <cellStyle name="Moneda 3" xfId="61" xr:uid="{4843D095-E495-4594-A575-EEA0BC97E0B5}"/>
    <cellStyle name="Moneda 3 2" xfId="98" xr:uid="{D347C93F-A175-48ED-B813-4F6167C52600}"/>
    <cellStyle name="Moneda 3 2 10" xfId="3987" xr:uid="{442DD713-E60F-4DDF-8990-00D3A445C87B}"/>
    <cellStyle name="Moneda 3 2 11" xfId="7839" xr:uid="{9DB728E3-98AC-4922-81AD-EBFE35494633}"/>
    <cellStyle name="Moneda 3 2 2" xfId="159" xr:uid="{1BD85103-53F1-45E7-9205-D94B36757D32}"/>
    <cellStyle name="Moneda 3 2 2 10" xfId="7842" xr:uid="{57D060E4-27F4-4061-9091-ADCD93B2412F}"/>
    <cellStyle name="Moneda 3 2 2 2" xfId="196" xr:uid="{2A7815F0-C800-4B73-B434-A74F052D8AD2}"/>
    <cellStyle name="Moneda 3 2 2 2 2" xfId="330" xr:uid="{4BCFAB93-5911-4D62-84B6-4B93709EAA04}"/>
    <cellStyle name="Moneda 3 2 2 2 2 2" xfId="581" xr:uid="{8F68C987-1FBA-4F08-ADA1-F7DAFFA3F9B9}"/>
    <cellStyle name="Moneda 3 2 2 2 2 2 2" xfId="1062" xr:uid="{C80B3A65-35AD-49FA-9B6B-209B43113166}"/>
    <cellStyle name="Moneda 3 2 2 2 2 2 2 2" xfId="2024" xr:uid="{B5A0BCC3-8B2B-41BB-877B-184AF235DB28}"/>
    <cellStyle name="Moneda 3 2 2 2 2 2 2 2 2" xfId="3948" xr:uid="{70A4E4FF-C19F-4499-BFCC-B27E88BDF5F7}"/>
    <cellStyle name="Moneda 3 2 2 2 2 2 2 2 2 2" xfId="7796" xr:uid="{E8DB5461-E120-4302-A418-BAB1CBF63F35}"/>
    <cellStyle name="Moneda 3 2 2 2 2 2 2 2 3" xfId="5872" xr:uid="{650C28F0-254C-45DB-98A0-584AAC049F50}"/>
    <cellStyle name="Moneda 3 2 2 2 2 2 2 3" xfId="2986" xr:uid="{B251A176-18DA-4BED-A12C-AD57E74A1001}"/>
    <cellStyle name="Moneda 3 2 2 2 2 2 2 3 2" xfId="6834" xr:uid="{EB754801-C9A9-4F49-A492-FCB0144A053B}"/>
    <cellStyle name="Moneda 3 2 2 2 2 2 2 4" xfId="4910" xr:uid="{6B4489E9-FC1C-4970-8020-B0A139E132FC}"/>
    <cellStyle name="Moneda 3 2 2 2 2 2 3" xfId="1543" xr:uid="{80DCB60D-719A-4261-A72E-13494DF3D8B3}"/>
    <cellStyle name="Moneda 3 2 2 2 2 2 3 2" xfId="3467" xr:uid="{89A413F4-F8F3-4D4F-8057-7C8E476E638F}"/>
    <cellStyle name="Moneda 3 2 2 2 2 2 3 2 2" xfId="7315" xr:uid="{AC2995E5-5E82-496C-ADBA-8B56AF08CFEA}"/>
    <cellStyle name="Moneda 3 2 2 2 2 2 3 3" xfId="5391" xr:uid="{B376D5D0-89E4-46B2-9168-BBCCB7B5A69C}"/>
    <cellStyle name="Moneda 3 2 2 2 2 2 4" xfId="2505" xr:uid="{4682ADE5-A555-4A42-B501-78B5F08AF2BE}"/>
    <cellStyle name="Moneda 3 2 2 2 2 2 4 2" xfId="6353" xr:uid="{AC44B96B-095A-4C07-A070-B1A798F958D6}"/>
    <cellStyle name="Moneda 3 2 2 2 2 2 5" xfId="4429" xr:uid="{BF5587D7-552C-4989-9557-7FD28A5366E8}"/>
    <cellStyle name="Moneda 3 2 2 2 2 3" xfId="822" xr:uid="{0FD1A706-73D1-492D-BC30-48A0A957D011}"/>
    <cellStyle name="Moneda 3 2 2 2 2 3 2" xfId="1784" xr:uid="{75FDAA83-7AE8-4ED8-992E-2E57CBD63790}"/>
    <cellStyle name="Moneda 3 2 2 2 2 3 2 2" xfId="3708" xr:uid="{5D5D6A2F-3CC5-4832-9AC3-18C60593ECBA}"/>
    <cellStyle name="Moneda 3 2 2 2 2 3 2 2 2" xfId="7556" xr:uid="{C5118007-2E1B-470E-B178-FF1C2184B491}"/>
    <cellStyle name="Moneda 3 2 2 2 2 3 2 3" xfId="5632" xr:uid="{EC1FF1C3-FC0B-4421-8696-CD820F63A3F4}"/>
    <cellStyle name="Moneda 3 2 2 2 2 3 3" xfId="2746" xr:uid="{D4767261-6B43-4C75-A19B-79E9231AA097}"/>
    <cellStyle name="Moneda 3 2 2 2 2 3 3 2" xfId="6594" xr:uid="{549FD18A-E164-4B98-BFA4-95C439753A4C}"/>
    <cellStyle name="Moneda 3 2 2 2 2 3 4" xfId="4670" xr:uid="{AE16E8CE-7522-466A-A621-CA6C83B2403C}"/>
    <cellStyle name="Moneda 3 2 2 2 2 4" xfId="1303" xr:uid="{794A3C0B-981D-4843-9689-45647A2B8FDD}"/>
    <cellStyle name="Moneda 3 2 2 2 2 4 2" xfId="3227" xr:uid="{C845785F-8194-4EEE-A03E-CE634984D51F}"/>
    <cellStyle name="Moneda 3 2 2 2 2 4 2 2" xfId="7075" xr:uid="{5EBF0A80-1A1E-436A-A8F6-74ED87F2905F}"/>
    <cellStyle name="Moneda 3 2 2 2 2 4 3" xfId="5151" xr:uid="{4173DBFF-ADF9-4C80-B9E6-7EB889CE0FB3}"/>
    <cellStyle name="Moneda 3 2 2 2 2 5" xfId="2265" xr:uid="{5A9F98D2-EDB0-49BB-8DA8-E9FF4EDDC0D1}"/>
    <cellStyle name="Moneda 3 2 2 2 2 5 2" xfId="6113" xr:uid="{9945BB88-6195-46C9-B02A-81D0E4E92DE4}"/>
    <cellStyle name="Moneda 3 2 2 2 2 6" xfId="4189" xr:uid="{DE829117-8E44-411D-AAB8-E992DF144F2B}"/>
    <cellStyle name="Moneda 3 2 2 2 3" xfId="449" xr:uid="{84AA58E8-6FA9-4892-B2B1-F603B58C864D}"/>
    <cellStyle name="Moneda 3 2 2 2 3 2" xfId="930" xr:uid="{659219B8-1EB4-44E5-B199-489C60C65FFC}"/>
    <cellStyle name="Moneda 3 2 2 2 3 2 2" xfId="1892" xr:uid="{A99A2529-051C-4417-B4C2-836DFE64D96E}"/>
    <cellStyle name="Moneda 3 2 2 2 3 2 2 2" xfId="3816" xr:uid="{970EACE6-468F-4027-8A37-0FD6B9DC99B2}"/>
    <cellStyle name="Moneda 3 2 2 2 3 2 2 2 2" xfId="7664" xr:uid="{3863750F-B2F1-4746-B573-5059DC3082D6}"/>
    <cellStyle name="Moneda 3 2 2 2 3 2 2 3" xfId="5740" xr:uid="{86C9E4DB-1248-4876-BC7C-0953E6F483F4}"/>
    <cellStyle name="Moneda 3 2 2 2 3 2 3" xfId="2854" xr:uid="{8F40AB08-7A6B-4067-966E-622A3863B3BC}"/>
    <cellStyle name="Moneda 3 2 2 2 3 2 3 2" xfId="6702" xr:uid="{D8E039F4-0B11-4EFB-8B03-061918CE2AA1}"/>
    <cellStyle name="Moneda 3 2 2 2 3 2 4" xfId="4778" xr:uid="{AF032AFC-BF8E-4AD5-9D1F-39C57598CA6E}"/>
    <cellStyle name="Moneda 3 2 2 2 3 3" xfId="1411" xr:uid="{5B5B8284-CC72-429C-B966-C9D60021AEE4}"/>
    <cellStyle name="Moneda 3 2 2 2 3 3 2" xfId="3335" xr:uid="{6884A54F-21AF-4687-AFC8-AEE2905B6F57}"/>
    <cellStyle name="Moneda 3 2 2 2 3 3 2 2" xfId="7183" xr:uid="{78A9DFA7-6AB5-419F-9DDE-C1727D423809}"/>
    <cellStyle name="Moneda 3 2 2 2 3 3 3" xfId="5259" xr:uid="{734EE41D-D83B-4C9C-8EB5-D5B5D5B4D07B}"/>
    <cellStyle name="Moneda 3 2 2 2 3 4" xfId="2373" xr:uid="{E617E4A2-83CB-4E97-AC53-6A87535B1755}"/>
    <cellStyle name="Moneda 3 2 2 2 3 4 2" xfId="6221" xr:uid="{DA2DEE11-12FF-4049-8677-8363AA4F30CA}"/>
    <cellStyle name="Moneda 3 2 2 2 3 5" xfId="4297" xr:uid="{5967E583-32FE-465E-8C9C-34E8CEE30BE7}"/>
    <cellStyle name="Moneda 3 2 2 2 4" xfId="690" xr:uid="{572C940A-A0C5-4864-A432-93F8A00C4288}"/>
    <cellStyle name="Moneda 3 2 2 2 4 2" xfId="1652" xr:uid="{831A4168-F48E-47E5-905A-6097E44B0CD7}"/>
    <cellStyle name="Moneda 3 2 2 2 4 2 2" xfId="3576" xr:uid="{B2EA3F38-A72E-46F2-90B5-778AF2EBE3A9}"/>
    <cellStyle name="Moneda 3 2 2 2 4 2 2 2" xfId="7424" xr:uid="{C553925C-79D8-434E-9A3F-8205DB670A0B}"/>
    <cellStyle name="Moneda 3 2 2 2 4 2 3" xfId="5500" xr:uid="{C2BE8B4D-09A6-4B6C-8C7E-FD3DA57BED89}"/>
    <cellStyle name="Moneda 3 2 2 2 4 3" xfId="2614" xr:uid="{8179B13E-497F-46FD-8200-A47DF81CB49D}"/>
    <cellStyle name="Moneda 3 2 2 2 4 3 2" xfId="6462" xr:uid="{43D95DE9-623B-4009-90AB-42F228D07E87}"/>
    <cellStyle name="Moneda 3 2 2 2 4 4" xfId="4538" xr:uid="{5550E8AB-2F38-4E80-B417-32E93D949986}"/>
    <cellStyle name="Moneda 3 2 2 2 5" xfId="1171" xr:uid="{8B05521D-7A80-4A8C-87AA-D19EDE18C0B6}"/>
    <cellStyle name="Moneda 3 2 2 2 5 2" xfId="3095" xr:uid="{71E536BC-E774-4210-94B4-74C05A38EC33}"/>
    <cellStyle name="Moneda 3 2 2 2 5 2 2" xfId="6943" xr:uid="{5B5A0AEE-9F75-4417-A448-68B947213F6B}"/>
    <cellStyle name="Moneda 3 2 2 2 5 3" xfId="5019" xr:uid="{207526CE-B5C8-4E00-A101-5B39547B41DC}"/>
    <cellStyle name="Moneda 3 2 2 2 6" xfId="2133" xr:uid="{723D57CF-ED2A-4B47-816C-CB6F7E853F2F}"/>
    <cellStyle name="Moneda 3 2 2 2 6 2" xfId="5981" xr:uid="{B7375EFE-D03A-4A0F-83A3-AEA4C121AFAF}"/>
    <cellStyle name="Moneda 3 2 2 2 7" xfId="4057" xr:uid="{06CACCCA-4142-4088-B8FF-FF906E729C1E}"/>
    <cellStyle name="Moneda 3 2 2 3" xfId="297" xr:uid="{E4959AF1-A18B-4FC0-A8F9-1ECDC3C2E266}"/>
    <cellStyle name="Moneda 3 2 2 3 2" xfId="548" xr:uid="{8843E183-B522-4455-A198-C285DA6AF8BB}"/>
    <cellStyle name="Moneda 3 2 2 3 2 2" xfId="1029" xr:uid="{2F200C80-D3A8-4D7A-99EF-47ADB05FF8E2}"/>
    <cellStyle name="Moneda 3 2 2 3 2 2 2" xfId="1991" xr:uid="{83B74096-EF5A-48F0-8B76-104D9EA1E9CA}"/>
    <cellStyle name="Moneda 3 2 2 3 2 2 2 2" xfId="3915" xr:uid="{0CC051A2-1C1A-4D45-A97E-76F839E3F717}"/>
    <cellStyle name="Moneda 3 2 2 3 2 2 2 2 2" xfId="7763" xr:uid="{CB52BD27-3E14-4EBB-8D53-4385519D7AB0}"/>
    <cellStyle name="Moneda 3 2 2 3 2 2 2 3" xfId="5839" xr:uid="{8E7B03A3-DFF5-4FEE-98C8-AE1DC7A17931}"/>
    <cellStyle name="Moneda 3 2 2 3 2 2 3" xfId="2953" xr:uid="{5C25CBB2-7C2A-4972-B9C0-AA6993BD8321}"/>
    <cellStyle name="Moneda 3 2 2 3 2 2 3 2" xfId="6801" xr:uid="{32A893C8-332D-4F8C-9146-162864F14FF4}"/>
    <cellStyle name="Moneda 3 2 2 3 2 2 4" xfId="4877" xr:uid="{FF5D758D-2907-4AFC-8F52-062B243BC7F1}"/>
    <cellStyle name="Moneda 3 2 2 3 2 3" xfId="1510" xr:uid="{723CC532-785F-413C-B96D-3B21CB13BEDE}"/>
    <cellStyle name="Moneda 3 2 2 3 2 3 2" xfId="3434" xr:uid="{A300B796-4BCB-4765-A39F-DB91A4DF6A2F}"/>
    <cellStyle name="Moneda 3 2 2 3 2 3 2 2" xfId="7282" xr:uid="{90BEC5D9-3C86-4DB1-B658-EF025524E003}"/>
    <cellStyle name="Moneda 3 2 2 3 2 3 3" xfId="5358" xr:uid="{C61BC630-4DD4-4979-83CE-C34E009278E0}"/>
    <cellStyle name="Moneda 3 2 2 3 2 4" xfId="2472" xr:uid="{C5F0A7A9-02A7-4772-AAE0-EB05AFC15810}"/>
    <cellStyle name="Moneda 3 2 2 3 2 4 2" xfId="6320" xr:uid="{03981F51-6CB2-4BE2-A9C0-35EB45FD1150}"/>
    <cellStyle name="Moneda 3 2 2 3 2 5" xfId="4396" xr:uid="{5755DE96-9119-4591-A511-564527C1BEBA}"/>
    <cellStyle name="Moneda 3 2 2 3 3" xfId="789" xr:uid="{9FCCD58F-A953-4462-9938-6FF37E3B7E31}"/>
    <cellStyle name="Moneda 3 2 2 3 3 2" xfId="1751" xr:uid="{DDA6FD52-9056-49D8-8C00-0F50A0A28815}"/>
    <cellStyle name="Moneda 3 2 2 3 3 2 2" xfId="3675" xr:uid="{EC9706DB-8BC1-47A1-893F-545DFC689DA8}"/>
    <cellStyle name="Moneda 3 2 2 3 3 2 2 2" xfId="7523" xr:uid="{3410D097-EED3-4DAF-9735-99BD6764DCF0}"/>
    <cellStyle name="Moneda 3 2 2 3 3 2 3" xfId="5599" xr:uid="{27BF00E5-FC24-49EB-A3ED-48B6A63CCC54}"/>
    <cellStyle name="Moneda 3 2 2 3 3 3" xfId="2713" xr:uid="{F51FB7C3-BB01-4652-A951-00802BAB5E5A}"/>
    <cellStyle name="Moneda 3 2 2 3 3 3 2" xfId="6561" xr:uid="{961F2DBB-E927-46C8-BFBE-0A92B11A2CFB}"/>
    <cellStyle name="Moneda 3 2 2 3 3 4" xfId="4637" xr:uid="{FF18F708-8436-40A6-A35F-3FC908CA86ED}"/>
    <cellStyle name="Moneda 3 2 2 3 4" xfId="1270" xr:uid="{BE56215D-2898-4991-943E-C9093BCADBDA}"/>
    <cellStyle name="Moneda 3 2 2 3 4 2" xfId="3194" xr:uid="{10FCF5F8-7620-4DA8-A608-517C8311D411}"/>
    <cellStyle name="Moneda 3 2 2 3 4 2 2" xfId="7042" xr:uid="{4F7AC755-552F-44FD-ABB5-46707A972B4B}"/>
    <cellStyle name="Moneda 3 2 2 3 4 3" xfId="5118" xr:uid="{E042017B-4905-4641-BE19-158328B8D81A}"/>
    <cellStyle name="Moneda 3 2 2 3 5" xfId="2232" xr:uid="{137E0052-772F-407F-8ECC-6D88626AB7EA}"/>
    <cellStyle name="Moneda 3 2 2 3 5 2" xfId="6080" xr:uid="{1621035A-D328-4381-A520-AAF522D52F43}"/>
    <cellStyle name="Moneda 3 2 2 3 6" xfId="4156" xr:uid="{04E877CE-40FE-4151-98B8-6EDAB2640FDF}"/>
    <cellStyle name="Moneda 3 2 2 4" xfId="230" xr:uid="{3BD11019-701E-4DB2-84A5-41419A4FFFF0}"/>
    <cellStyle name="Moneda 3 2 2 4 2" xfId="482" xr:uid="{DAB8B5DE-7AEF-4706-BE47-C4C73AC5A938}"/>
    <cellStyle name="Moneda 3 2 2 4 2 2" xfId="963" xr:uid="{23E3A8BC-5B04-406D-A097-5E3468E39784}"/>
    <cellStyle name="Moneda 3 2 2 4 2 2 2" xfId="1925" xr:uid="{6762A082-4464-4621-81EC-EA3D859B0D41}"/>
    <cellStyle name="Moneda 3 2 2 4 2 2 2 2" xfId="3849" xr:uid="{15227BC5-F3EA-4381-955A-6FA4979141F1}"/>
    <cellStyle name="Moneda 3 2 2 4 2 2 2 2 2" xfId="7697" xr:uid="{D27436B9-EF58-4CE8-8711-03A610CD02FF}"/>
    <cellStyle name="Moneda 3 2 2 4 2 2 2 3" xfId="5773" xr:uid="{65662DF6-29A1-4E6D-AD9C-BD784EB04232}"/>
    <cellStyle name="Moneda 3 2 2 4 2 2 3" xfId="2887" xr:uid="{7EF72037-3F76-40E0-830E-54DF65367F1A}"/>
    <cellStyle name="Moneda 3 2 2 4 2 2 3 2" xfId="6735" xr:uid="{15A7DC94-F0C0-4011-91BA-C47520D71CE6}"/>
    <cellStyle name="Moneda 3 2 2 4 2 2 4" xfId="4811" xr:uid="{05E6A1B2-90EE-428A-A4BF-663ADEF4F178}"/>
    <cellStyle name="Moneda 3 2 2 4 2 3" xfId="1444" xr:uid="{E4D2C313-C398-44C2-8F03-EA23DA2CE5DB}"/>
    <cellStyle name="Moneda 3 2 2 4 2 3 2" xfId="3368" xr:uid="{18BB3655-E919-4727-936B-5D82F1CB64BD}"/>
    <cellStyle name="Moneda 3 2 2 4 2 3 2 2" xfId="7216" xr:uid="{40F8FA1B-052D-4C3F-A68F-3040914BC673}"/>
    <cellStyle name="Moneda 3 2 2 4 2 3 3" xfId="5292" xr:uid="{3C318963-4ED2-4BD3-A90A-B011A42CC7DE}"/>
    <cellStyle name="Moneda 3 2 2 4 2 4" xfId="2406" xr:uid="{E09E33EA-6168-4533-9F11-CBE96B6F8BEF}"/>
    <cellStyle name="Moneda 3 2 2 4 2 4 2" xfId="6254" xr:uid="{010F1700-ADE9-4EBA-B861-D224F4CF3F57}"/>
    <cellStyle name="Moneda 3 2 2 4 2 5" xfId="4330" xr:uid="{99DE653D-2C7F-4EFE-BE34-86F955A49BDF}"/>
    <cellStyle name="Moneda 3 2 2 4 3" xfId="723" xr:uid="{A60B0AC6-7AA7-4004-BBA8-28A96CE0474D}"/>
    <cellStyle name="Moneda 3 2 2 4 3 2" xfId="1685" xr:uid="{5EA64E2B-62E0-4D4D-9952-C6AF12080C06}"/>
    <cellStyle name="Moneda 3 2 2 4 3 2 2" xfId="3609" xr:uid="{81CBF877-42F4-420C-BB02-C1FAFA20A81D}"/>
    <cellStyle name="Moneda 3 2 2 4 3 2 2 2" xfId="7457" xr:uid="{B3B88203-7BDA-49DA-BB31-F1625DCDD14E}"/>
    <cellStyle name="Moneda 3 2 2 4 3 2 3" xfId="5533" xr:uid="{AE551DDD-40DA-470C-B62B-5EAB1A09B982}"/>
    <cellStyle name="Moneda 3 2 2 4 3 3" xfId="2647" xr:uid="{B7E888FB-8687-444D-91DA-BF91D926B999}"/>
    <cellStyle name="Moneda 3 2 2 4 3 3 2" xfId="6495" xr:uid="{FE423072-FFC3-4E94-B6E0-334090796C92}"/>
    <cellStyle name="Moneda 3 2 2 4 3 4" xfId="4571" xr:uid="{2175E2A2-D6F9-4E70-8975-0783B226F272}"/>
    <cellStyle name="Moneda 3 2 2 4 4" xfId="1204" xr:uid="{356BB70C-EA5C-45CB-B18F-8448CDB99825}"/>
    <cellStyle name="Moneda 3 2 2 4 4 2" xfId="3128" xr:uid="{CCEA7740-5A10-4685-BF39-32FB05DDA1F7}"/>
    <cellStyle name="Moneda 3 2 2 4 4 2 2" xfId="6976" xr:uid="{5F0A6260-9B1D-467F-B175-58C5D4BDE790}"/>
    <cellStyle name="Moneda 3 2 2 4 4 3" xfId="5052" xr:uid="{97D405BF-D26A-4BB8-ADCA-939A9933BD27}"/>
    <cellStyle name="Moneda 3 2 2 4 5" xfId="2166" xr:uid="{945C3B6E-3252-4EB3-BE5D-A36DE81D0623}"/>
    <cellStyle name="Moneda 3 2 2 4 5 2" xfId="6014" xr:uid="{198DDA65-C803-4611-94D0-6CAADD9E55C7}"/>
    <cellStyle name="Moneda 3 2 2 4 6" xfId="4090" xr:uid="{4E231E37-ABA4-436A-9059-E62386AE7FBE}"/>
    <cellStyle name="Moneda 3 2 2 5" xfId="416" xr:uid="{87B7AFF6-0E80-42C1-9CC7-6077267621E8}"/>
    <cellStyle name="Moneda 3 2 2 5 2" xfId="897" xr:uid="{72E7516B-5E4D-42E1-9512-775742F2D138}"/>
    <cellStyle name="Moneda 3 2 2 5 2 2" xfId="1859" xr:uid="{330779D2-4154-44AF-B3FA-C1E52E5EBEEB}"/>
    <cellStyle name="Moneda 3 2 2 5 2 2 2" xfId="3783" xr:uid="{1CF5EFA8-4424-4A95-887B-F7E36D659318}"/>
    <cellStyle name="Moneda 3 2 2 5 2 2 2 2" xfId="7631" xr:uid="{98EECA67-CDD1-48E0-AA6C-009875F1356B}"/>
    <cellStyle name="Moneda 3 2 2 5 2 2 3" xfId="5707" xr:uid="{70F800DA-C3B6-44E4-9C22-812280143E83}"/>
    <cellStyle name="Moneda 3 2 2 5 2 3" xfId="2821" xr:uid="{D49EA446-1FA6-4017-90E5-FE0D304D2365}"/>
    <cellStyle name="Moneda 3 2 2 5 2 3 2" xfId="6669" xr:uid="{445959CC-7077-4BBA-8812-A714F6C08DE8}"/>
    <cellStyle name="Moneda 3 2 2 5 2 4" xfId="4745" xr:uid="{75F29E74-4914-4026-9EB8-82903307AA6C}"/>
    <cellStyle name="Moneda 3 2 2 5 3" xfId="1378" xr:uid="{17D35512-348D-43EC-A725-27F6C8FF6FED}"/>
    <cellStyle name="Moneda 3 2 2 5 3 2" xfId="3302" xr:uid="{30B4A56D-FB2F-4B9A-B20C-CF013748D565}"/>
    <cellStyle name="Moneda 3 2 2 5 3 2 2" xfId="7150" xr:uid="{B6109135-B9EA-40C9-9200-F8B61F786329}"/>
    <cellStyle name="Moneda 3 2 2 5 3 3" xfId="5226" xr:uid="{4CF1962F-04E2-4CA0-8700-E2ECF75B3477}"/>
    <cellStyle name="Moneda 3 2 2 5 4" xfId="2340" xr:uid="{F6F71447-EA1F-4E78-978C-A10FB040589D}"/>
    <cellStyle name="Moneda 3 2 2 5 4 2" xfId="6188" xr:uid="{36FA477E-63E9-4BCC-9606-A50B01C566D7}"/>
    <cellStyle name="Moneda 3 2 2 5 5" xfId="4264" xr:uid="{5AFE509A-BC43-4940-BB8D-09BCFF2632E9}"/>
    <cellStyle name="Moneda 3 2 2 6" xfId="657" xr:uid="{BD4BACBB-085E-4FCE-8DF2-614B50D8E947}"/>
    <cellStyle name="Moneda 3 2 2 6 2" xfId="1619" xr:uid="{4D1C0705-B8AE-4EE7-8695-FACC9E05E343}"/>
    <cellStyle name="Moneda 3 2 2 6 2 2" xfId="3543" xr:uid="{4B94193C-0E22-4D20-BF89-BEEE2274B36F}"/>
    <cellStyle name="Moneda 3 2 2 6 2 2 2" xfId="7391" xr:uid="{6755D19D-14F2-445B-BD5B-EF4ACCFE3FAD}"/>
    <cellStyle name="Moneda 3 2 2 6 2 3" xfId="5467" xr:uid="{B9280432-9ACB-4859-A6E0-E1F6593C7E97}"/>
    <cellStyle name="Moneda 3 2 2 6 3" xfId="2581" xr:uid="{9D1FB780-29C8-476A-84A2-E7432891F278}"/>
    <cellStyle name="Moneda 3 2 2 6 3 2" xfId="6429" xr:uid="{4D74406A-25DE-41A9-AF5B-9E01CEA76527}"/>
    <cellStyle name="Moneda 3 2 2 6 4" xfId="4505" xr:uid="{90014372-64AE-416C-97EC-429B9D31DFCD}"/>
    <cellStyle name="Moneda 3 2 2 7" xfId="1138" xr:uid="{1F2D49D1-2E5B-4B4D-8006-1EFB96EFD076}"/>
    <cellStyle name="Moneda 3 2 2 7 2" xfId="3062" xr:uid="{633C0082-36CF-41AA-8837-8E9A60C94E6B}"/>
    <cellStyle name="Moneda 3 2 2 7 2 2" xfId="6910" xr:uid="{C65D5BD9-D69F-4DD1-8EE4-1E94F201914A}"/>
    <cellStyle name="Moneda 3 2 2 7 3" xfId="4986" xr:uid="{EF610B52-E949-43AA-BD93-140D6B71594E}"/>
    <cellStyle name="Moneda 3 2 2 8" xfId="2100" xr:uid="{2AED128D-B9A0-4635-926A-EEC041566000}"/>
    <cellStyle name="Moneda 3 2 2 8 2" xfId="5948" xr:uid="{62DEC811-4F32-4C13-A555-60C8FD4784B3}"/>
    <cellStyle name="Moneda 3 2 2 9" xfId="4024" xr:uid="{69E338F1-2864-4431-96DA-6520F36ACF69}"/>
    <cellStyle name="Moneda 3 2 3" xfId="169" xr:uid="{02A2AE49-4C98-41D1-A070-20DEE6231F6F}"/>
    <cellStyle name="Moneda 3 2 3 2" xfId="205" xr:uid="{C6A9DAB2-1741-4A3D-AD74-6CC62607ADB5}"/>
    <cellStyle name="Moneda 3 2 3 2 2" xfId="339" xr:uid="{1D9946F4-4F0E-4977-9AAF-8F7CA7064D44}"/>
    <cellStyle name="Moneda 3 2 3 2 2 2" xfId="590" xr:uid="{07D910EA-AAF4-45DA-83E4-BF833CC898C7}"/>
    <cellStyle name="Moneda 3 2 3 2 2 2 2" xfId="1071" xr:uid="{9E0F4F34-EEC1-4915-85DF-1DB1C3F8656B}"/>
    <cellStyle name="Moneda 3 2 3 2 2 2 2 2" xfId="2033" xr:uid="{26F37CDE-993B-45A6-A78F-D10AEB54C167}"/>
    <cellStyle name="Moneda 3 2 3 2 2 2 2 2 2" xfId="3957" xr:uid="{5013C17E-4030-4161-BA52-93F50D4308E2}"/>
    <cellStyle name="Moneda 3 2 3 2 2 2 2 2 2 2" xfId="7805" xr:uid="{0229B795-12A7-4392-B917-D7A9A2897779}"/>
    <cellStyle name="Moneda 3 2 3 2 2 2 2 2 3" xfId="5881" xr:uid="{8B74D828-AE8A-4383-8339-FF91E1A6C11D}"/>
    <cellStyle name="Moneda 3 2 3 2 2 2 2 3" xfId="2995" xr:uid="{DCD9AA73-E122-4B61-8D9F-B86ACD5AAB3D}"/>
    <cellStyle name="Moneda 3 2 3 2 2 2 2 3 2" xfId="6843" xr:uid="{5A821F04-5892-47EA-A5F8-1DD6498A355F}"/>
    <cellStyle name="Moneda 3 2 3 2 2 2 2 4" xfId="4919" xr:uid="{808A6083-F842-494C-8F83-B57DC970D848}"/>
    <cellStyle name="Moneda 3 2 3 2 2 2 3" xfId="1552" xr:uid="{6BFE7C52-E224-4395-A1C4-9F44FD68FBEB}"/>
    <cellStyle name="Moneda 3 2 3 2 2 2 3 2" xfId="3476" xr:uid="{477EE68D-2DC5-4AEF-B8B3-0D6BEDE26C9C}"/>
    <cellStyle name="Moneda 3 2 3 2 2 2 3 2 2" xfId="7324" xr:uid="{1CC347DB-6D3E-4A47-A875-8F3773B803CF}"/>
    <cellStyle name="Moneda 3 2 3 2 2 2 3 3" xfId="5400" xr:uid="{89670EBD-B4C6-4EC0-BFFD-11FAC205EDE2}"/>
    <cellStyle name="Moneda 3 2 3 2 2 2 4" xfId="2514" xr:uid="{5F7CD413-C733-4853-9EC8-AF05CE71BFC5}"/>
    <cellStyle name="Moneda 3 2 3 2 2 2 4 2" xfId="6362" xr:uid="{91961700-325A-4381-9EAD-00C5276A3853}"/>
    <cellStyle name="Moneda 3 2 3 2 2 2 5" xfId="4438" xr:uid="{21FB9D04-AED8-4B7C-875D-D7C26D9E730E}"/>
    <cellStyle name="Moneda 3 2 3 2 2 3" xfId="831" xr:uid="{D055363B-DE80-4E69-90B4-7A87D73936A1}"/>
    <cellStyle name="Moneda 3 2 3 2 2 3 2" xfId="1793" xr:uid="{B65B83EE-9C8F-45A5-8AD3-8DADA298F225}"/>
    <cellStyle name="Moneda 3 2 3 2 2 3 2 2" xfId="3717" xr:uid="{AD3049DA-FF76-44BB-B43B-58275F6C8356}"/>
    <cellStyle name="Moneda 3 2 3 2 2 3 2 2 2" xfId="7565" xr:uid="{407C69F6-0CFF-4C0D-84D3-2A5F3E6133DE}"/>
    <cellStyle name="Moneda 3 2 3 2 2 3 2 3" xfId="5641" xr:uid="{6C88FA28-282D-4ABF-BD21-9D03EEEC5285}"/>
    <cellStyle name="Moneda 3 2 3 2 2 3 3" xfId="2755" xr:uid="{2530122F-573B-4969-A286-EEE343463262}"/>
    <cellStyle name="Moneda 3 2 3 2 2 3 3 2" xfId="6603" xr:uid="{33697FA6-A69F-4FBA-8A0B-BA1BFDD648BA}"/>
    <cellStyle name="Moneda 3 2 3 2 2 3 4" xfId="4679" xr:uid="{DE16CE4F-86FC-42CB-8159-A13519DDF11F}"/>
    <cellStyle name="Moneda 3 2 3 2 2 4" xfId="1312" xr:uid="{91B23CD5-6EC8-4CDE-A66B-1D0FEC366FFB}"/>
    <cellStyle name="Moneda 3 2 3 2 2 4 2" xfId="3236" xr:uid="{066B057F-CF82-4477-B04F-4C782EE869C6}"/>
    <cellStyle name="Moneda 3 2 3 2 2 4 2 2" xfId="7084" xr:uid="{25345A69-D45A-45E4-B9BA-9912E84D739F}"/>
    <cellStyle name="Moneda 3 2 3 2 2 4 3" xfId="5160" xr:uid="{CBCC6023-05A5-4018-934C-1822F0ABDA4D}"/>
    <cellStyle name="Moneda 3 2 3 2 2 5" xfId="2274" xr:uid="{269194DE-6581-40E6-A1A8-90340F1032B9}"/>
    <cellStyle name="Moneda 3 2 3 2 2 5 2" xfId="6122" xr:uid="{7B974D40-8D2F-4D24-9BD1-FAA29A0567DA}"/>
    <cellStyle name="Moneda 3 2 3 2 2 6" xfId="4198" xr:uid="{E8660335-662B-4474-9C21-72BBBCD2266E}"/>
    <cellStyle name="Moneda 3 2 3 2 3" xfId="458" xr:uid="{A835EC57-F621-4E24-B1A8-08D563ECFC2D}"/>
    <cellStyle name="Moneda 3 2 3 2 3 2" xfId="939" xr:uid="{38600BB3-4552-45C1-8F6A-B30B650BE242}"/>
    <cellStyle name="Moneda 3 2 3 2 3 2 2" xfId="1901" xr:uid="{619106E9-7F62-4B3A-A246-1C41D7D4F854}"/>
    <cellStyle name="Moneda 3 2 3 2 3 2 2 2" xfId="3825" xr:uid="{47D489A8-483B-4C82-8026-A0FA1515264D}"/>
    <cellStyle name="Moneda 3 2 3 2 3 2 2 2 2" xfId="7673" xr:uid="{752A6535-0FAB-456D-B34E-0284535E21D2}"/>
    <cellStyle name="Moneda 3 2 3 2 3 2 2 3" xfId="5749" xr:uid="{647AC20C-C052-45B7-913E-044C8A93F5AA}"/>
    <cellStyle name="Moneda 3 2 3 2 3 2 3" xfId="2863" xr:uid="{ED26D6DE-5BCC-4407-8DF4-EFCA8566704A}"/>
    <cellStyle name="Moneda 3 2 3 2 3 2 3 2" xfId="6711" xr:uid="{A64400FB-DFEB-40B1-ABC8-9733C465BAD6}"/>
    <cellStyle name="Moneda 3 2 3 2 3 2 4" xfId="4787" xr:uid="{17754CC1-9F9E-41E2-9839-69458C072ECE}"/>
    <cellStyle name="Moneda 3 2 3 2 3 3" xfId="1420" xr:uid="{EEDF7111-7EC0-41FF-8BFE-658AC115B031}"/>
    <cellStyle name="Moneda 3 2 3 2 3 3 2" xfId="3344" xr:uid="{AD66B0B9-5F10-4E0E-BDD7-817362202BC3}"/>
    <cellStyle name="Moneda 3 2 3 2 3 3 2 2" xfId="7192" xr:uid="{4DEC450E-5D28-4FE1-8FDB-F29B3D2C27C0}"/>
    <cellStyle name="Moneda 3 2 3 2 3 3 3" xfId="5268" xr:uid="{4060B913-9291-48F6-ACB5-1F7AB9763F36}"/>
    <cellStyle name="Moneda 3 2 3 2 3 4" xfId="2382" xr:uid="{39B61909-10BF-4FD4-8638-7C2D612B5B0B}"/>
    <cellStyle name="Moneda 3 2 3 2 3 4 2" xfId="6230" xr:uid="{02A8D1EF-AE81-4006-A5CB-B41B1A90A82C}"/>
    <cellStyle name="Moneda 3 2 3 2 3 5" xfId="4306" xr:uid="{6D88A7A2-F28D-4493-AD57-827B7AEBBBED}"/>
    <cellStyle name="Moneda 3 2 3 2 4" xfId="699" xr:uid="{5FEAA4EE-A29A-4AC4-88E7-DA454ED1FE75}"/>
    <cellStyle name="Moneda 3 2 3 2 4 2" xfId="1661" xr:uid="{0D47D61C-FE98-43A5-857A-CCAAAFC21634}"/>
    <cellStyle name="Moneda 3 2 3 2 4 2 2" xfId="3585" xr:uid="{F9AE9D76-8DE4-4D67-BEEB-714995FA35ED}"/>
    <cellStyle name="Moneda 3 2 3 2 4 2 2 2" xfId="7433" xr:uid="{F66A919A-6AE6-4E52-80C3-71767ACAEF3D}"/>
    <cellStyle name="Moneda 3 2 3 2 4 2 3" xfId="5509" xr:uid="{A61D6787-95DB-4611-82EE-1BFA1996E7FE}"/>
    <cellStyle name="Moneda 3 2 3 2 4 3" xfId="2623" xr:uid="{903CDB16-D04B-47B8-A5EC-3B19716B4C2F}"/>
    <cellStyle name="Moneda 3 2 3 2 4 3 2" xfId="6471" xr:uid="{DE415A9B-7126-4BCA-BC95-89BC19C557C2}"/>
    <cellStyle name="Moneda 3 2 3 2 4 4" xfId="4547" xr:uid="{EED1BE88-26AC-41D7-9A92-E30104B2E19E}"/>
    <cellStyle name="Moneda 3 2 3 2 5" xfId="1180" xr:uid="{22C7BA03-0A33-46AD-A624-9A3962657210}"/>
    <cellStyle name="Moneda 3 2 3 2 5 2" xfId="3104" xr:uid="{B76DCF52-A3F8-468B-B71C-90538425BD96}"/>
    <cellStyle name="Moneda 3 2 3 2 5 2 2" xfId="6952" xr:uid="{DD246D65-D844-437F-8958-67F62CA5738B}"/>
    <cellStyle name="Moneda 3 2 3 2 5 3" xfId="5028" xr:uid="{DC704CDD-7517-4800-B50B-4EBCA0C90242}"/>
    <cellStyle name="Moneda 3 2 3 2 6" xfId="2142" xr:uid="{DF1432E0-9B54-4229-96DF-5018AE129BB2}"/>
    <cellStyle name="Moneda 3 2 3 2 6 2" xfId="5990" xr:uid="{D7BFB513-896E-4DE7-AFC2-EB758B01182C}"/>
    <cellStyle name="Moneda 3 2 3 2 7" xfId="4066" xr:uid="{AF3BA4BC-29FA-4539-B199-71189C4C7CF1}"/>
    <cellStyle name="Moneda 3 2 3 3" xfId="306" xr:uid="{15F403FA-46C3-42FA-9BB7-0D670CD7E1C5}"/>
    <cellStyle name="Moneda 3 2 3 3 2" xfId="557" xr:uid="{39E0D9AC-B649-4D90-B3B6-FB63073223F9}"/>
    <cellStyle name="Moneda 3 2 3 3 2 2" xfId="1038" xr:uid="{438553B7-DDB0-43D8-8331-1CD7F616048B}"/>
    <cellStyle name="Moneda 3 2 3 3 2 2 2" xfId="2000" xr:uid="{E7E274D6-1034-4049-9D4F-B423FB1A4F52}"/>
    <cellStyle name="Moneda 3 2 3 3 2 2 2 2" xfId="3924" xr:uid="{3E9B5564-7439-4949-B5F6-2D314352D439}"/>
    <cellStyle name="Moneda 3 2 3 3 2 2 2 2 2" xfId="7772" xr:uid="{61EDE279-7463-4E81-B81A-D14327A71D66}"/>
    <cellStyle name="Moneda 3 2 3 3 2 2 2 3" xfId="5848" xr:uid="{3D6FEF89-D158-4594-82C5-9E167BBB50F8}"/>
    <cellStyle name="Moneda 3 2 3 3 2 2 3" xfId="2962" xr:uid="{3EAC0254-883C-434A-B21E-716953CC6141}"/>
    <cellStyle name="Moneda 3 2 3 3 2 2 3 2" xfId="6810" xr:uid="{8CA4F832-B99D-43BC-A4E2-11DB6A78FBB4}"/>
    <cellStyle name="Moneda 3 2 3 3 2 2 4" xfId="4886" xr:uid="{D5369F36-233C-4D1F-8009-0D6137668B62}"/>
    <cellStyle name="Moneda 3 2 3 3 2 3" xfId="1519" xr:uid="{A419DA56-B7EC-40F0-8C01-6C4E9831AF34}"/>
    <cellStyle name="Moneda 3 2 3 3 2 3 2" xfId="3443" xr:uid="{39361514-FAEA-4C42-8FA2-3D79E81116BA}"/>
    <cellStyle name="Moneda 3 2 3 3 2 3 2 2" xfId="7291" xr:uid="{77AA1F0A-31F0-4DDE-848A-170C362D3841}"/>
    <cellStyle name="Moneda 3 2 3 3 2 3 3" xfId="5367" xr:uid="{3E8EEFE9-105D-4A90-802A-23C8206E18CA}"/>
    <cellStyle name="Moneda 3 2 3 3 2 4" xfId="2481" xr:uid="{4561388D-D039-4C04-8367-8FB60AFF999E}"/>
    <cellStyle name="Moneda 3 2 3 3 2 4 2" xfId="6329" xr:uid="{9266753F-6078-4310-A343-0AB685238124}"/>
    <cellStyle name="Moneda 3 2 3 3 2 5" xfId="4405" xr:uid="{A4EF31B1-7563-446A-8CFE-848811570E4D}"/>
    <cellStyle name="Moneda 3 2 3 3 3" xfId="798" xr:uid="{BFD167B0-5E9D-470C-BDE1-2071DFCC8869}"/>
    <cellStyle name="Moneda 3 2 3 3 3 2" xfId="1760" xr:uid="{0FB48A83-D600-4BC8-AB66-C73FAEF2634A}"/>
    <cellStyle name="Moneda 3 2 3 3 3 2 2" xfId="3684" xr:uid="{42781554-3A77-4E3B-9E0B-97F04B64FC30}"/>
    <cellStyle name="Moneda 3 2 3 3 3 2 2 2" xfId="7532" xr:uid="{DE5CD02E-3655-4F89-AF8E-1A7ADFD71B55}"/>
    <cellStyle name="Moneda 3 2 3 3 3 2 3" xfId="5608" xr:uid="{D4092A5F-6FE6-4AD3-83F4-442B709EBC49}"/>
    <cellStyle name="Moneda 3 2 3 3 3 3" xfId="2722" xr:uid="{C2EF5A35-FB9F-4ED9-975F-9BD9515B0AB1}"/>
    <cellStyle name="Moneda 3 2 3 3 3 3 2" xfId="6570" xr:uid="{FB7BA539-68CE-444A-8648-0BAC931AA7F8}"/>
    <cellStyle name="Moneda 3 2 3 3 3 4" xfId="4646" xr:uid="{3F126E14-D6C0-41AE-BA68-9FB79FD0ECC2}"/>
    <cellStyle name="Moneda 3 2 3 3 4" xfId="1279" xr:uid="{B2D8C79A-CDBF-480B-AAF4-00A012732CC7}"/>
    <cellStyle name="Moneda 3 2 3 3 4 2" xfId="3203" xr:uid="{F9E476FD-D16B-4C96-883D-95B0F42FE8D5}"/>
    <cellStyle name="Moneda 3 2 3 3 4 2 2" xfId="7051" xr:uid="{869D29FD-D2C4-47A2-B785-28659ABBE982}"/>
    <cellStyle name="Moneda 3 2 3 3 4 3" xfId="5127" xr:uid="{3D9EB2DE-F663-424A-9D0B-20DB60D9D796}"/>
    <cellStyle name="Moneda 3 2 3 3 5" xfId="2241" xr:uid="{5EA83CAB-F9E7-4F79-AE42-15553107B5BF}"/>
    <cellStyle name="Moneda 3 2 3 3 5 2" xfId="6089" xr:uid="{BC14CB4D-DC77-4D24-9A18-0152C265876A}"/>
    <cellStyle name="Moneda 3 2 3 3 6" xfId="4165" xr:uid="{C1D42C2C-B574-46EF-8454-58AC7D062EBE}"/>
    <cellStyle name="Moneda 3 2 3 4" xfId="239" xr:uid="{DC90B775-E851-40A0-867D-970B550C64C2}"/>
    <cellStyle name="Moneda 3 2 3 4 2" xfId="491" xr:uid="{890F6660-62C8-4CD2-95BE-FD575520325D}"/>
    <cellStyle name="Moneda 3 2 3 4 2 2" xfId="972" xr:uid="{0720A01F-717F-45B6-9FFB-4A44CDE84811}"/>
    <cellStyle name="Moneda 3 2 3 4 2 2 2" xfId="1934" xr:uid="{5DE59886-146C-457B-AA2C-76BF655083C9}"/>
    <cellStyle name="Moneda 3 2 3 4 2 2 2 2" xfId="3858" xr:uid="{CF14E5A8-2E8A-4137-86FD-22E9B434041D}"/>
    <cellStyle name="Moneda 3 2 3 4 2 2 2 2 2" xfId="7706" xr:uid="{668DFE38-4927-4E8E-BFAB-49C5579F5CAC}"/>
    <cellStyle name="Moneda 3 2 3 4 2 2 2 3" xfId="5782" xr:uid="{EBE444B7-83F2-4D0F-8CC3-DF0E2D374029}"/>
    <cellStyle name="Moneda 3 2 3 4 2 2 3" xfId="2896" xr:uid="{8E678627-B75A-4FE7-AFF4-CCBE98F60897}"/>
    <cellStyle name="Moneda 3 2 3 4 2 2 3 2" xfId="6744" xr:uid="{E18A69D6-218E-4351-A56A-0752A0203A65}"/>
    <cellStyle name="Moneda 3 2 3 4 2 2 4" xfId="4820" xr:uid="{C1D51228-1A7D-4B5F-A7C7-BF4892766900}"/>
    <cellStyle name="Moneda 3 2 3 4 2 3" xfId="1453" xr:uid="{9AEC8B7A-9CC3-4BB9-9096-4464F2478834}"/>
    <cellStyle name="Moneda 3 2 3 4 2 3 2" xfId="3377" xr:uid="{726C3809-7661-4C48-A4C4-5FDF808B52D1}"/>
    <cellStyle name="Moneda 3 2 3 4 2 3 2 2" xfId="7225" xr:uid="{B29C5B1B-8383-475F-B2D0-CC87CE7ED953}"/>
    <cellStyle name="Moneda 3 2 3 4 2 3 3" xfId="5301" xr:uid="{6B3ABDF7-EA62-4DC0-9893-9A5D35A030C2}"/>
    <cellStyle name="Moneda 3 2 3 4 2 4" xfId="2415" xr:uid="{8052257B-8460-4706-B363-DD12FD9C69E2}"/>
    <cellStyle name="Moneda 3 2 3 4 2 4 2" xfId="6263" xr:uid="{B29E23C4-0BCA-413E-8BA2-9EC0070D12E5}"/>
    <cellStyle name="Moneda 3 2 3 4 2 5" xfId="4339" xr:uid="{E602D612-830D-4DB9-A195-E05771FD8B8B}"/>
    <cellStyle name="Moneda 3 2 3 4 3" xfId="732" xr:uid="{56ECCF97-A3EF-47A3-B84E-5C675A2E7B9C}"/>
    <cellStyle name="Moneda 3 2 3 4 3 2" xfId="1694" xr:uid="{106C90AD-72A8-4942-BD62-8D95182A2933}"/>
    <cellStyle name="Moneda 3 2 3 4 3 2 2" xfId="3618" xr:uid="{3DC6A690-9F6B-4AD1-8358-27C20F05A88C}"/>
    <cellStyle name="Moneda 3 2 3 4 3 2 2 2" xfId="7466" xr:uid="{906EE446-AFA2-4B59-80D3-488F3AB8100A}"/>
    <cellStyle name="Moneda 3 2 3 4 3 2 3" xfId="5542" xr:uid="{2770C896-4059-47AD-A7BA-CEBFB3B6A561}"/>
    <cellStyle name="Moneda 3 2 3 4 3 3" xfId="2656" xr:uid="{5DCC73F3-BE76-4AB9-A99F-EB9C4FC2D266}"/>
    <cellStyle name="Moneda 3 2 3 4 3 3 2" xfId="6504" xr:uid="{EA6B9AFB-FB73-4BE5-AD13-87304A275C0C}"/>
    <cellStyle name="Moneda 3 2 3 4 3 4" xfId="4580" xr:uid="{C0828EA0-6B5A-427A-A806-7EA0215E4521}"/>
    <cellStyle name="Moneda 3 2 3 4 4" xfId="1213" xr:uid="{964CA3B6-2332-4F42-9177-B790BD7BE521}"/>
    <cellStyle name="Moneda 3 2 3 4 4 2" xfId="3137" xr:uid="{92EF97D8-7423-44E9-B4D7-7834C9FC1A3D}"/>
    <cellStyle name="Moneda 3 2 3 4 4 2 2" xfId="6985" xr:uid="{5AF87C06-392C-4A06-9D65-6BEC81902B32}"/>
    <cellStyle name="Moneda 3 2 3 4 4 3" xfId="5061" xr:uid="{2A3913F3-D541-4E23-80CA-A2DE1430F770}"/>
    <cellStyle name="Moneda 3 2 3 4 5" xfId="2175" xr:uid="{F8E352B6-D4CF-4E55-9525-1C554E014AD3}"/>
    <cellStyle name="Moneda 3 2 3 4 5 2" xfId="6023" xr:uid="{CDBF4BBB-EEA8-4B99-8457-EF820F2D6D63}"/>
    <cellStyle name="Moneda 3 2 3 4 6" xfId="4099" xr:uid="{6008770B-DE43-4BEE-893D-CD64CC6E6A8C}"/>
    <cellStyle name="Moneda 3 2 3 5" xfId="425" xr:uid="{FFE0A946-3C3A-492F-9C0F-C6C615034CC6}"/>
    <cellStyle name="Moneda 3 2 3 5 2" xfId="906" xr:uid="{EB9FFCDD-17F1-4471-A21C-73E79FA6460F}"/>
    <cellStyle name="Moneda 3 2 3 5 2 2" xfId="1868" xr:uid="{48BB0B4B-384E-4867-B549-CD3CC165FDB1}"/>
    <cellStyle name="Moneda 3 2 3 5 2 2 2" xfId="3792" xr:uid="{ECB9A0FE-1AB4-477E-B320-B9AEB1E1440C}"/>
    <cellStyle name="Moneda 3 2 3 5 2 2 2 2" xfId="7640" xr:uid="{EC97C63C-860D-42B3-B315-AD6CA90399B2}"/>
    <cellStyle name="Moneda 3 2 3 5 2 2 3" xfId="5716" xr:uid="{49EB9221-9992-45F8-860E-4CC944CB2005}"/>
    <cellStyle name="Moneda 3 2 3 5 2 3" xfId="2830" xr:uid="{1B307046-A6A0-44C3-86CD-9958459E2881}"/>
    <cellStyle name="Moneda 3 2 3 5 2 3 2" xfId="6678" xr:uid="{9ED11ACA-C6A0-4089-A4C1-AC4A853F4C5B}"/>
    <cellStyle name="Moneda 3 2 3 5 2 4" xfId="4754" xr:uid="{C9BE5A43-5DE9-4805-9BBD-8780CF122E58}"/>
    <cellStyle name="Moneda 3 2 3 5 3" xfId="1387" xr:uid="{5AA08F7E-7736-4F54-8D6F-C3BF9BD029C5}"/>
    <cellStyle name="Moneda 3 2 3 5 3 2" xfId="3311" xr:uid="{37337F78-0B00-4645-AC6C-C3AC1C63D405}"/>
    <cellStyle name="Moneda 3 2 3 5 3 2 2" xfId="7159" xr:uid="{C3F7A5A1-AF20-4D71-BA4A-3E3AF19042C0}"/>
    <cellStyle name="Moneda 3 2 3 5 3 3" xfId="5235" xr:uid="{C2663F06-5443-4712-AC93-CD6C53B31D8B}"/>
    <cellStyle name="Moneda 3 2 3 5 4" xfId="2349" xr:uid="{9F413186-BCC2-4BAA-A94A-2A22239141FB}"/>
    <cellStyle name="Moneda 3 2 3 5 4 2" xfId="6197" xr:uid="{104CB75E-BA73-4697-BF18-AB7CA8852CED}"/>
    <cellStyle name="Moneda 3 2 3 5 5" xfId="4273" xr:uid="{1E45818B-0B6D-47AA-AD5F-8F1D6EC2B62A}"/>
    <cellStyle name="Moneda 3 2 3 6" xfId="666" xr:uid="{68FCFF13-6114-4DC9-AFE6-B5BED300F83B}"/>
    <cellStyle name="Moneda 3 2 3 6 2" xfId="1628" xr:uid="{401AA696-A9ED-43D8-A82C-E4A41EF3F68F}"/>
    <cellStyle name="Moneda 3 2 3 6 2 2" xfId="3552" xr:uid="{32B36F8A-3AAB-4076-8513-18EB58752DD8}"/>
    <cellStyle name="Moneda 3 2 3 6 2 2 2" xfId="7400" xr:uid="{39EC6E3C-B650-4857-8F0F-77FC9BB41589}"/>
    <cellStyle name="Moneda 3 2 3 6 2 3" xfId="5476" xr:uid="{7146A79F-E3C0-4D31-9EED-0E235B261E1D}"/>
    <cellStyle name="Moneda 3 2 3 6 3" xfId="2590" xr:uid="{4BFE0969-7155-4366-B384-832AA4CE7223}"/>
    <cellStyle name="Moneda 3 2 3 6 3 2" xfId="6438" xr:uid="{DE135BF1-0E91-4305-9199-78775DA81FF7}"/>
    <cellStyle name="Moneda 3 2 3 6 4" xfId="4514" xr:uid="{F4F7F5A5-9328-41A0-A048-D2192AB1B15D}"/>
    <cellStyle name="Moneda 3 2 3 7" xfId="1147" xr:uid="{8FA7D3D9-AC2C-4119-8BFD-11EAC8AB848F}"/>
    <cellStyle name="Moneda 3 2 3 7 2" xfId="3071" xr:uid="{DD80583B-2610-4492-A34B-B12D6FB5EE0F}"/>
    <cellStyle name="Moneda 3 2 3 7 2 2" xfId="6919" xr:uid="{133FB2F3-30E7-4A44-95BE-21A047520611}"/>
    <cellStyle name="Moneda 3 2 3 7 3" xfId="4995" xr:uid="{5CAF70B8-9A3A-4827-B701-334776BAFE26}"/>
    <cellStyle name="Moneda 3 2 3 8" xfId="2109" xr:uid="{685405A8-868E-4A0E-A880-8ECCE2440A9E}"/>
    <cellStyle name="Moneda 3 2 3 8 2" xfId="5957" xr:uid="{0A13153C-B0D0-4D78-ACFD-27347FEED842}"/>
    <cellStyle name="Moneda 3 2 3 9" xfId="4033" xr:uid="{F488A099-3B80-45E5-9368-A684E37E00F4}"/>
    <cellStyle name="Moneda 3 2 4" xfId="137" xr:uid="{66CE517C-9F7F-4BB6-B861-87C9DD4A731E}"/>
    <cellStyle name="Moneda 3 2 4 2" xfId="285" xr:uid="{3B197E13-DA7C-487C-B9AE-2EFFD6029D15}"/>
    <cellStyle name="Moneda 3 2 4 2 2" xfId="536" xr:uid="{B21B800E-58FA-4F3C-BFB2-A73FD3E31CDA}"/>
    <cellStyle name="Moneda 3 2 4 2 2 2" xfId="1017" xr:uid="{E1410B62-F54A-4E43-89CE-D221B71E107C}"/>
    <cellStyle name="Moneda 3 2 4 2 2 2 2" xfId="1979" xr:uid="{29451ED3-D4A3-4C81-A7AB-AE2E18885368}"/>
    <cellStyle name="Moneda 3 2 4 2 2 2 2 2" xfId="3903" xr:uid="{2A442176-DBD4-47E6-977B-1B60DB287C20}"/>
    <cellStyle name="Moneda 3 2 4 2 2 2 2 2 2" xfId="7751" xr:uid="{B47ED40A-2D0F-4CFD-B2EC-C49BBDF9743A}"/>
    <cellStyle name="Moneda 3 2 4 2 2 2 2 3" xfId="5827" xr:uid="{7588AB26-8DEA-4E1E-B46A-BE46F6747567}"/>
    <cellStyle name="Moneda 3 2 4 2 2 2 3" xfId="2941" xr:uid="{802D66BD-F0DD-408E-9450-73A824741E0A}"/>
    <cellStyle name="Moneda 3 2 4 2 2 2 3 2" xfId="6789" xr:uid="{AD73FF5F-26B7-4307-AB81-32E229E79116}"/>
    <cellStyle name="Moneda 3 2 4 2 2 2 4" xfId="4865" xr:uid="{908D444A-A3A8-46E7-B921-C0B5816B4F3C}"/>
    <cellStyle name="Moneda 3 2 4 2 2 3" xfId="1498" xr:uid="{7D628516-C6A1-44D5-862F-F09AABF7E33B}"/>
    <cellStyle name="Moneda 3 2 4 2 2 3 2" xfId="3422" xr:uid="{7684ABB1-7CFC-495A-8E51-C66ADCE87ECC}"/>
    <cellStyle name="Moneda 3 2 4 2 2 3 2 2" xfId="7270" xr:uid="{2244C655-9CD6-453C-82CD-D16B0BD3B8C8}"/>
    <cellStyle name="Moneda 3 2 4 2 2 3 3" xfId="5346" xr:uid="{2D9041EB-9178-40C2-B5B2-C0B8D10E18AE}"/>
    <cellStyle name="Moneda 3 2 4 2 2 4" xfId="2460" xr:uid="{92FD3CFD-3832-416C-95B4-64F8DF073279}"/>
    <cellStyle name="Moneda 3 2 4 2 2 4 2" xfId="6308" xr:uid="{5775C230-E7EB-4444-90A4-6322555C666C}"/>
    <cellStyle name="Moneda 3 2 4 2 2 5" xfId="4384" xr:uid="{6BDAB26A-A20C-4725-88AD-F6EA6A48EA12}"/>
    <cellStyle name="Moneda 3 2 4 2 3" xfId="777" xr:uid="{6CF3F3A1-757D-4689-988B-BDDF1951DF83}"/>
    <cellStyle name="Moneda 3 2 4 2 3 2" xfId="1739" xr:uid="{D92E37B0-C573-44D4-8D92-B9527A7F2E03}"/>
    <cellStyle name="Moneda 3 2 4 2 3 2 2" xfId="3663" xr:uid="{A9A84638-1F98-4D05-9CF0-ECA92EE0BC9E}"/>
    <cellStyle name="Moneda 3 2 4 2 3 2 2 2" xfId="7511" xr:uid="{82A4FBBF-4458-47DF-AC8B-CEFE2BAE7ADE}"/>
    <cellStyle name="Moneda 3 2 4 2 3 2 3" xfId="5587" xr:uid="{51A4262D-04D7-4CEC-9835-EDE5DD099B42}"/>
    <cellStyle name="Moneda 3 2 4 2 3 3" xfId="2701" xr:uid="{480820FD-D738-436E-B78E-5B1F0FC4EADF}"/>
    <cellStyle name="Moneda 3 2 4 2 3 3 2" xfId="6549" xr:uid="{F7B44206-550C-4FF8-9546-DC9F1FCC3B42}"/>
    <cellStyle name="Moneda 3 2 4 2 3 4" xfId="4625" xr:uid="{CB7AB699-9F5F-43B8-AA8C-1277606E51F6}"/>
    <cellStyle name="Moneda 3 2 4 2 4" xfId="1258" xr:uid="{A47AA3AD-C76A-4C9C-9C56-E1D6D82C9CE8}"/>
    <cellStyle name="Moneda 3 2 4 2 4 2" xfId="3182" xr:uid="{A34CB14D-FC1C-4526-8826-24725C65ADCB}"/>
    <cellStyle name="Moneda 3 2 4 2 4 2 2" xfId="7030" xr:uid="{1C10C31B-E299-4C62-9C88-5860D56E51C2}"/>
    <cellStyle name="Moneda 3 2 4 2 4 3" xfId="5106" xr:uid="{34DAD87E-88A6-41FC-8055-09908AA3A0EB}"/>
    <cellStyle name="Moneda 3 2 4 2 5" xfId="2220" xr:uid="{49886A60-B56B-4D26-96A7-576BAF0B7D67}"/>
    <cellStyle name="Moneda 3 2 4 2 5 2" xfId="6068" xr:uid="{904C8E0C-6898-4460-B1FE-25EA7D0CCAB4}"/>
    <cellStyle name="Moneda 3 2 4 2 6" xfId="4144" xr:uid="{49737571-7863-40E7-8502-5F95936049B1}"/>
    <cellStyle name="Moneda 3 2 4 3" xfId="404" xr:uid="{C06B32E1-ED01-499A-8362-008BB678C7DC}"/>
    <cellStyle name="Moneda 3 2 4 3 2" xfId="885" xr:uid="{F4DC5D7B-9885-461B-A083-1901413726EE}"/>
    <cellStyle name="Moneda 3 2 4 3 2 2" xfId="1847" xr:uid="{FF4728FE-F980-4AC1-AB07-98E9DA909F93}"/>
    <cellStyle name="Moneda 3 2 4 3 2 2 2" xfId="3771" xr:uid="{1CFF961A-A5DD-41EA-84C3-561E760D500C}"/>
    <cellStyle name="Moneda 3 2 4 3 2 2 2 2" xfId="7619" xr:uid="{6EE5D3B0-4A14-42FA-B1B0-2A6C375B5C53}"/>
    <cellStyle name="Moneda 3 2 4 3 2 2 3" xfId="5695" xr:uid="{CF598978-27DC-459C-B3C0-6EF1282FB0F5}"/>
    <cellStyle name="Moneda 3 2 4 3 2 3" xfId="2809" xr:uid="{77079997-8540-4D22-BD98-0A3521530CD5}"/>
    <cellStyle name="Moneda 3 2 4 3 2 3 2" xfId="6657" xr:uid="{375BD159-E3BA-4BD1-87CB-6957D2AFAA7D}"/>
    <cellStyle name="Moneda 3 2 4 3 2 4" xfId="4733" xr:uid="{150B8944-8EFE-4327-B563-8CDC20366720}"/>
    <cellStyle name="Moneda 3 2 4 3 3" xfId="1366" xr:uid="{AF73F4C9-B692-4526-90B0-0B61D5E7A7D9}"/>
    <cellStyle name="Moneda 3 2 4 3 3 2" xfId="3290" xr:uid="{40017F68-297F-41BB-9CD3-D79011040FA9}"/>
    <cellStyle name="Moneda 3 2 4 3 3 2 2" xfId="7138" xr:uid="{14959E13-53B0-4F54-8B9B-DCC47030334E}"/>
    <cellStyle name="Moneda 3 2 4 3 3 3" xfId="5214" xr:uid="{3FDDC2AC-5CCA-444F-BEE7-F1B092270C6A}"/>
    <cellStyle name="Moneda 3 2 4 3 4" xfId="2328" xr:uid="{1D37E0FC-14E4-4CB3-9B99-E78CB1547536}"/>
    <cellStyle name="Moneda 3 2 4 3 4 2" xfId="6176" xr:uid="{0822F64E-7EDB-4475-ADC7-600664451104}"/>
    <cellStyle name="Moneda 3 2 4 3 5" xfId="4252" xr:uid="{BBC18ED3-66E4-4343-A3F7-733B3AE92955}"/>
    <cellStyle name="Moneda 3 2 4 4" xfId="645" xr:uid="{DE688093-1894-48EC-8407-07BDDE66AF00}"/>
    <cellStyle name="Moneda 3 2 4 4 2" xfId="1607" xr:uid="{2419AC59-9974-4C4C-8D6F-474A48D68D3F}"/>
    <cellStyle name="Moneda 3 2 4 4 2 2" xfId="3531" xr:uid="{F2889223-7910-44F0-8297-1FF5089F79C9}"/>
    <cellStyle name="Moneda 3 2 4 4 2 2 2" xfId="7379" xr:uid="{BCB7F59C-8490-46FC-B0A9-A09AFBFBD566}"/>
    <cellStyle name="Moneda 3 2 4 4 2 3" xfId="5455" xr:uid="{37F9916C-ACF2-4FEB-B61F-78922177A882}"/>
    <cellStyle name="Moneda 3 2 4 4 3" xfId="2569" xr:uid="{3006A091-20B8-46B9-B53C-12B3B3681659}"/>
    <cellStyle name="Moneda 3 2 4 4 3 2" xfId="6417" xr:uid="{6B2760D9-8661-49F8-9091-2AC55A74DB01}"/>
    <cellStyle name="Moneda 3 2 4 4 4" xfId="4493" xr:uid="{0A29A06C-F416-4FB4-BCF0-6F15FCCBA2DB}"/>
    <cellStyle name="Moneda 3 2 4 5" xfId="1126" xr:uid="{FD22776F-7C44-49A8-9F94-DA6F43596DEB}"/>
    <cellStyle name="Moneda 3 2 4 5 2" xfId="3050" xr:uid="{6446BBF0-0636-4B62-98D7-47EC62F9F3E5}"/>
    <cellStyle name="Moneda 3 2 4 5 2 2" xfId="6898" xr:uid="{DDCB0554-8859-4059-B796-2EBCA44365D3}"/>
    <cellStyle name="Moneda 3 2 4 5 3" xfId="4974" xr:uid="{A0296603-F6E2-4A5C-86F8-CB965311D71C}"/>
    <cellStyle name="Moneda 3 2 4 6" xfId="2088" xr:uid="{48EA5B74-3B65-4A17-BEEA-9AA23A471F97}"/>
    <cellStyle name="Moneda 3 2 4 6 2" xfId="5936" xr:uid="{0F12D795-3D79-49F1-BEC8-5240B1C19C07}"/>
    <cellStyle name="Moneda 3 2 4 7" xfId="4012" xr:uid="{B421E88C-63B8-4BD9-9B2B-F6C1CE8C145B}"/>
    <cellStyle name="Moneda 3 2 5" xfId="260" xr:uid="{E9830A43-41D8-49F5-A32C-AB693F2E502E}"/>
    <cellStyle name="Moneda 3 2 5 2" xfId="512" xr:uid="{8BF47547-056C-4775-9AE0-DF5242BE8784}"/>
    <cellStyle name="Moneda 3 2 5 2 2" xfId="993" xr:uid="{E07638B7-F5A4-4524-8026-7764472A12A5}"/>
    <cellStyle name="Moneda 3 2 5 2 2 2" xfId="1955" xr:uid="{7D238BA4-0E1D-445E-A681-D95EEDA87555}"/>
    <cellStyle name="Moneda 3 2 5 2 2 2 2" xfId="3879" xr:uid="{1D9E5B64-2E2E-41BE-9BAA-7EFA9F3F92FF}"/>
    <cellStyle name="Moneda 3 2 5 2 2 2 2 2" xfId="7727" xr:uid="{F143FD15-1221-48AF-922E-0146075A3613}"/>
    <cellStyle name="Moneda 3 2 5 2 2 2 3" xfId="5803" xr:uid="{FFD0C530-8008-42E3-99AE-F8C46CAB97D3}"/>
    <cellStyle name="Moneda 3 2 5 2 2 3" xfId="2917" xr:uid="{F5EA76C0-2AA1-488A-9B65-AA7398514A31}"/>
    <cellStyle name="Moneda 3 2 5 2 2 3 2" xfId="6765" xr:uid="{F1972F0E-F798-4BEE-B766-E2D51A8A595D}"/>
    <cellStyle name="Moneda 3 2 5 2 2 4" xfId="4841" xr:uid="{8DE342EF-97C3-4302-A0EE-8FA7E39DA713}"/>
    <cellStyle name="Moneda 3 2 5 2 3" xfId="1474" xr:uid="{DEDA7429-BF04-42B8-A0AB-82CAA8577653}"/>
    <cellStyle name="Moneda 3 2 5 2 3 2" xfId="3398" xr:uid="{5B41491C-D200-402E-A9CC-F6A41708A056}"/>
    <cellStyle name="Moneda 3 2 5 2 3 2 2" xfId="7246" xr:uid="{A00131DB-566D-40FD-9044-0D2658C26843}"/>
    <cellStyle name="Moneda 3 2 5 2 3 3" xfId="5322" xr:uid="{3F66FB47-A9C6-47AD-8E10-3F1FA3881E20}"/>
    <cellStyle name="Moneda 3 2 5 2 4" xfId="2436" xr:uid="{0D85A15E-F099-47B3-82C7-CC2778920226}"/>
    <cellStyle name="Moneda 3 2 5 2 4 2" xfId="6284" xr:uid="{32A5E838-D4FC-44E5-90D5-911B27BD2B03}"/>
    <cellStyle name="Moneda 3 2 5 2 5" xfId="4360" xr:uid="{B534125A-A21A-4669-9392-E4A2C9AB6123}"/>
    <cellStyle name="Moneda 3 2 5 3" xfId="753" xr:uid="{787B38D9-2D44-4219-AAD3-81DEAC53963F}"/>
    <cellStyle name="Moneda 3 2 5 3 2" xfId="1715" xr:uid="{02018055-7E8D-4718-814D-7954ECE5F9B0}"/>
    <cellStyle name="Moneda 3 2 5 3 2 2" xfId="3639" xr:uid="{BF9D333A-D3E6-4749-9D59-5294A5C50057}"/>
    <cellStyle name="Moneda 3 2 5 3 2 2 2" xfId="7487" xr:uid="{22260B89-C86A-449F-B548-7AC79B5AF5D5}"/>
    <cellStyle name="Moneda 3 2 5 3 2 3" xfId="5563" xr:uid="{99D8A2D7-453A-407E-BA5C-09D1F2FBE28C}"/>
    <cellStyle name="Moneda 3 2 5 3 3" xfId="2677" xr:uid="{D8C8660C-B0D5-48BA-AD59-7710FD702CC7}"/>
    <cellStyle name="Moneda 3 2 5 3 3 2" xfId="6525" xr:uid="{2029561E-1263-4ECA-8040-82EF267294D6}"/>
    <cellStyle name="Moneda 3 2 5 3 4" xfId="4601" xr:uid="{030B1F22-2F42-402B-A554-FCBFA71F8FDD}"/>
    <cellStyle name="Moneda 3 2 5 4" xfId="1234" xr:uid="{CC573E6A-3BBD-4790-91C4-DF4AFCCA1910}"/>
    <cellStyle name="Moneda 3 2 5 4 2" xfId="3158" xr:uid="{1348099C-56B1-4275-8C7F-2BB6D8B8A79E}"/>
    <cellStyle name="Moneda 3 2 5 4 2 2" xfId="7006" xr:uid="{5EEC3BDB-E4AD-469D-8D7D-BC4B308A5A7A}"/>
    <cellStyle name="Moneda 3 2 5 4 3" xfId="5082" xr:uid="{4E4C1316-CDCE-4BA7-AB92-F2E504F0CC29}"/>
    <cellStyle name="Moneda 3 2 5 5" xfId="2196" xr:uid="{9D36EEB7-AC60-4D95-982E-0092DB1CAAE8}"/>
    <cellStyle name="Moneda 3 2 5 5 2" xfId="6044" xr:uid="{29B8064D-97F6-490A-8E24-5D6185850C01}"/>
    <cellStyle name="Moneda 3 2 5 6" xfId="4120" xr:uid="{F9374259-7F37-4B51-B925-C0E714D5BD96}"/>
    <cellStyle name="Moneda 3 2 6" xfId="379" xr:uid="{E888E046-04E5-4951-963F-32BD7D915782}"/>
    <cellStyle name="Moneda 3 2 6 2" xfId="860" xr:uid="{007CA2D0-D9E4-4D23-9695-5944A5ADCD09}"/>
    <cellStyle name="Moneda 3 2 6 2 2" xfId="1822" xr:uid="{3C5C7557-372E-4516-92F2-CDD647837423}"/>
    <cellStyle name="Moneda 3 2 6 2 2 2" xfId="3746" xr:uid="{BB53E470-9BEC-44E9-8BCB-DC91EFA6FFE2}"/>
    <cellStyle name="Moneda 3 2 6 2 2 2 2" xfId="7594" xr:uid="{C6FE2C91-6451-4B75-AB05-C02BC6A0BDA5}"/>
    <cellStyle name="Moneda 3 2 6 2 2 3" xfId="5670" xr:uid="{80BCF70F-28F9-4730-89A2-0E02A823F201}"/>
    <cellStyle name="Moneda 3 2 6 2 3" xfId="2784" xr:uid="{0F103E22-C5F5-46B4-8D2E-A1A1D4BCABC1}"/>
    <cellStyle name="Moneda 3 2 6 2 3 2" xfId="6632" xr:uid="{E94309E3-8B9E-45F3-96E4-12E38A9E8B0B}"/>
    <cellStyle name="Moneda 3 2 6 2 4" xfId="4708" xr:uid="{8DAA1C94-5AAF-4E7D-846A-ABDAE8F0C257}"/>
    <cellStyle name="Moneda 3 2 6 3" xfId="1341" xr:uid="{70B0B346-F8D2-4A6F-B3E5-23193268B221}"/>
    <cellStyle name="Moneda 3 2 6 3 2" xfId="3265" xr:uid="{D0E1E0F8-DE98-4EB0-A955-CC333C5E6AB4}"/>
    <cellStyle name="Moneda 3 2 6 3 2 2" xfId="7113" xr:uid="{73C39B23-54FD-424A-9877-6A4703CC6055}"/>
    <cellStyle name="Moneda 3 2 6 3 3" xfId="5189" xr:uid="{F0F36315-CA96-492F-98F4-641919F64B7D}"/>
    <cellStyle name="Moneda 3 2 6 4" xfId="2303" xr:uid="{16BBF89E-A30C-4FE2-A67C-427CA9D9C1CE}"/>
    <cellStyle name="Moneda 3 2 6 4 2" xfId="6151" xr:uid="{B3692CD6-E907-4B1C-882A-BB8314BEBE2F}"/>
    <cellStyle name="Moneda 3 2 6 5" xfId="4227" xr:uid="{5CFC1C9E-94DE-46AE-841F-EA63D076E012}"/>
    <cellStyle name="Moneda 3 2 7" xfId="620" xr:uid="{BB7A0FA2-2C4A-4D36-8F57-0151D44C1A2A}"/>
    <cellStyle name="Moneda 3 2 7 2" xfId="1582" xr:uid="{39A0A452-11F4-476B-8506-DD31C8AB1398}"/>
    <cellStyle name="Moneda 3 2 7 2 2" xfId="3506" xr:uid="{061535AB-6FE4-4DF3-800F-DEB7E3B18EED}"/>
    <cellStyle name="Moneda 3 2 7 2 2 2" xfId="7354" xr:uid="{91436B14-D2A8-47D1-A11F-80A2703AE5BD}"/>
    <cellStyle name="Moneda 3 2 7 2 3" xfId="5430" xr:uid="{876B7684-D3AC-45FB-BB56-51B8D63D9D24}"/>
    <cellStyle name="Moneda 3 2 7 3" xfId="2544" xr:uid="{B1E660E9-7258-4F1B-BBDC-179129D41067}"/>
    <cellStyle name="Moneda 3 2 7 3 2" xfId="6392" xr:uid="{C5EFC946-69D8-461F-8E1E-79F97C51A614}"/>
    <cellStyle name="Moneda 3 2 7 4" xfId="4468" xr:uid="{5EF9571E-160B-4DA1-8BF3-2358335FD648}"/>
    <cellStyle name="Moneda 3 2 8" xfId="1101" xr:uid="{55B3C6CD-4532-40FC-95B1-79771E3510BA}"/>
    <cellStyle name="Moneda 3 2 8 2" xfId="3025" xr:uid="{CD5884EA-6FA3-4AB8-9774-174292607999}"/>
    <cellStyle name="Moneda 3 2 8 2 2" xfId="6873" xr:uid="{6D71D4B7-8D8E-4269-BD77-8395EFC9C638}"/>
    <cellStyle name="Moneda 3 2 8 3" xfId="4949" xr:uid="{6826BB12-A17D-4984-844F-395DFEFBBB1A}"/>
    <cellStyle name="Moneda 3 2 9" xfId="2063" xr:uid="{916BCA27-5FD7-4F40-BFDC-7F36B6B94550}"/>
    <cellStyle name="Moneda 3 2 9 2" xfId="5911" xr:uid="{7E47DAE1-7468-43FF-8705-FC2782186D99}"/>
    <cellStyle name="Moneda 3 3" xfId="100" xr:uid="{126EB470-B0B3-4822-8B42-AD5C07B92B9B}"/>
    <cellStyle name="Moneda 3 3 10" xfId="3989" xr:uid="{1AD860C0-03D0-49DF-A36B-72C99E33C748}"/>
    <cellStyle name="Moneda 3 3 11" xfId="7849" xr:uid="{C86A2958-7EE5-4CF6-9790-E825E5BAA13F}"/>
    <cellStyle name="Moneda 3 3 2" xfId="163" xr:uid="{1523151E-7BA3-45E8-924C-0FE4A100529B}"/>
    <cellStyle name="Moneda 3 3 2 10" xfId="7936" xr:uid="{6EDC4294-A297-4ABB-AB21-F8C24F3E3997}"/>
    <cellStyle name="Moneda 3 3 2 2" xfId="200" xr:uid="{2A2AAC96-581D-4242-A31C-F475A65DC8B1}"/>
    <cellStyle name="Moneda 3 3 2 2 2" xfId="334" xr:uid="{DCA59092-4708-4076-8605-0DB58AC0823B}"/>
    <cellStyle name="Moneda 3 3 2 2 2 2" xfId="585" xr:uid="{DF9B3E97-1AF7-4C86-99A2-0C73129C4151}"/>
    <cellStyle name="Moneda 3 3 2 2 2 2 2" xfId="1066" xr:uid="{7BF23455-ADEB-42C8-A3B2-B72CA280A734}"/>
    <cellStyle name="Moneda 3 3 2 2 2 2 2 2" xfId="2028" xr:uid="{1822FDE2-B5EC-4722-8F7B-32D2CD16DD59}"/>
    <cellStyle name="Moneda 3 3 2 2 2 2 2 2 2" xfId="3952" xr:uid="{6F4CD128-32D3-4F50-9B77-5F5AA248FB97}"/>
    <cellStyle name="Moneda 3 3 2 2 2 2 2 2 2 2" xfId="7800" xr:uid="{46FD4B66-D10B-4651-A8F3-516AF055AC52}"/>
    <cellStyle name="Moneda 3 3 2 2 2 2 2 2 3" xfId="5876" xr:uid="{AF0D7342-945A-49D6-BCCB-DCE7379ACE71}"/>
    <cellStyle name="Moneda 3 3 2 2 2 2 2 3" xfId="2990" xr:uid="{6DD2465B-66FB-42A0-BC78-869F284DCCBD}"/>
    <cellStyle name="Moneda 3 3 2 2 2 2 2 3 2" xfId="6838" xr:uid="{BEA79DD0-AEB8-412E-B614-090A4FF7F1FC}"/>
    <cellStyle name="Moneda 3 3 2 2 2 2 2 4" xfId="4914" xr:uid="{D5F1CF32-30BE-45BA-8C34-5AB24945F7C0}"/>
    <cellStyle name="Moneda 3 3 2 2 2 2 3" xfId="1547" xr:uid="{3861A683-1282-433D-90E9-0F70DC2D13F5}"/>
    <cellStyle name="Moneda 3 3 2 2 2 2 3 2" xfId="3471" xr:uid="{7EC4BDFF-6A4D-46E6-A979-3C1FB079485F}"/>
    <cellStyle name="Moneda 3 3 2 2 2 2 3 2 2" xfId="7319" xr:uid="{849489E8-430D-4D04-8AD2-FD2294BB9834}"/>
    <cellStyle name="Moneda 3 3 2 2 2 2 3 3" xfId="5395" xr:uid="{40853407-ED4E-4792-8D70-10CBDD6D86EA}"/>
    <cellStyle name="Moneda 3 3 2 2 2 2 4" xfId="2509" xr:uid="{23BADFE3-41CD-4441-8990-0A717848C120}"/>
    <cellStyle name="Moneda 3 3 2 2 2 2 4 2" xfId="6357" xr:uid="{C588E01F-0DDA-4148-B35D-DCB66A4B5C16}"/>
    <cellStyle name="Moneda 3 3 2 2 2 2 5" xfId="4433" xr:uid="{B8877C74-BEF5-4EB1-9A6B-6DBA793ABBB3}"/>
    <cellStyle name="Moneda 3 3 2 2 2 3" xfId="826" xr:uid="{AB90F97A-7799-4FF7-94D1-4C41700DEBC0}"/>
    <cellStyle name="Moneda 3 3 2 2 2 3 2" xfId="1788" xr:uid="{BE02E335-7A6C-4B0A-8BE7-30159A879CB9}"/>
    <cellStyle name="Moneda 3 3 2 2 2 3 2 2" xfId="3712" xr:uid="{B6C82001-91BB-4975-94FA-A4EC0D78C4F4}"/>
    <cellStyle name="Moneda 3 3 2 2 2 3 2 2 2" xfId="7560" xr:uid="{A5C50DE3-7CC8-45C5-A8EA-435DE41BB2B0}"/>
    <cellStyle name="Moneda 3 3 2 2 2 3 2 3" xfId="5636" xr:uid="{3E38F5A1-3939-4570-949A-5CE10C9674A7}"/>
    <cellStyle name="Moneda 3 3 2 2 2 3 3" xfId="2750" xr:uid="{4EB6BAA5-CB4B-4EA8-9BE0-D7E399CFC786}"/>
    <cellStyle name="Moneda 3 3 2 2 2 3 3 2" xfId="6598" xr:uid="{11BE51A2-DA24-4815-980A-C0DD1898536D}"/>
    <cellStyle name="Moneda 3 3 2 2 2 3 4" xfId="4674" xr:uid="{1F8AB08A-2692-47EB-9AAC-5FEB2E888DB0}"/>
    <cellStyle name="Moneda 3 3 2 2 2 4" xfId="1307" xr:uid="{B152BD1A-F328-46C4-8FAB-77FCDE391467}"/>
    <cellStyle name="Moneda 3 3 2 2 2 4 2" xfId="3231" xr:uid="{35717A3D-C6FB-4851-B241-452B76C10AE2}"/>
    <cellStyle name="Moneda 3 3 2 2 2 4 2 2" xfId="7079" xr:uid="{C8E0F315-BADA-4C13-BFE5-E2E1732B54C2}"/>
    <cellStyle name="Moneda 3 3 2 2 2 4 3" xfId="5155" xr:uid="{D50134E7-8E29-4E90-9AF4-CC8DC0F4BB98}"/>
    <cellStyle name="Moneda 3 3 2 2 2 5" xfId="2269" xr:uid="{29EFBFD3-5728-4DBC-9040-C5414BB85510}"/>
    <cellStyle name="Moneda 3 3 2 2 2 5 2" xfId="6117" xr:uid="{AAB9CA1C-2D17-438D-BC7D-2BB820ABA572}"/>
    <cellStyle name="Moneda 3 3 2 2 2 6" xfId="4193" xr:uid="{9A6D4270-9F3E-4468-919E-E564E6A055A7}"/>
    <cellStyle name="Moneda 3 3 2 2 3" xfId="453" xr:uid="{BF759FC6-6D6F-42B7-BD67-FC4D425222F5}"/>
    <cellStyle name="Moneda 3 3 2 2 3 2" xfId="934" xr:uid="{E9F00A49-8788-4EB1-871D-4EE9AFEEC256}"/>
    <cellStyle name="Moneda 3 3 2 2 3 2 2" xfId="1896" xr:uid="{C5E16D94-E45C-43C9-A60C-6EEBC28E660D}"/>
    <cellStyle name="Moneda 3 3 2 2 3 2 2 2" xfId="3820" xr:uid="{18B61DC7-E1EB-4093-BAF9-F3A1DE584D4B}"/>
    <cellStyle name="Moneda 3 3 2 2 3 2 2 2 2" xfId="7668" xr:uid="{6ABF7FCF-3A64-4B3D-8599-E655C525F328}"/>
    <cellStyle name="Moneda 3 3 2 2 3 2 2 3" xfId="5744" xr:uid="{A1F8A77A-D05D-4A20-9530-20A4AFCCAD52}"/>
    <cellStyle name="Moneda 3 3 2 2 3 2 3" xfId="2858" xr:uid="{B0D06D2E-836D-4CF0-AF98-5FFDE7D37BAD}"/>
    <cellStyle name="Moneda 3 3 2 2 3 2 3 2" xfId="6706" xr:uid="{E3DFDA3E-5F32-4D3C-B8B8-1C6AF065675E}"/>
    <cellStyle name="Moneda 3 3 2 2 3 2 4" xfId="4782" xr:uid="{68426824-034A-48B6-863E-187A0B8EB66E}"/>
    <cellStyle name="Moneda 3 3 2 2 3 3" xfId="1415" xr:uid="{B0BB04A5-B7BB-4C16-8B5C-08B3BA711508}"/>
    <cellStyle name="Moneda 3 3 2 2 3 3 2" xfId="3339" xr:uid="{E077595D-E508-49FF-BCE9-3860239AD0D3}"/>
    <cellStyle name="Moneda 3 3 2 2 3 3 2 2" xfId="7187" xr:uid="{E2F24353-E92E-4FD6-B391-36DAB189ACAB}"/>
    <cellStyle name="Moneda 3 3 2 2 3 3 3" xfId="5263" xr:uid="{DB9E3909-EFDA-4CE9-8D6F-4B1D4B0886B7}"/>
    <cellStyle name="Moneda 3 3 2 2 3 4" xfId="2377" xr:uid="{01A6BF85-3983-4000-90C6-A865FA1E10C2}"/>
    <cellStyle name="Moneda 3 3 2 2 3 4 2" xfId="6225" xr:uid="{5A3D9023-D6DB-400D-90BD-7625BD4D2D0F}"/>
    <cellStyle name="Moneda 3 3 2 2 3 5" xfId="4301" xr:uid="{E881EEA4-FBA1-44DA-8148-0DFF4313FABF}"/>
    <cellStyle name="Moneda 3 3 2 2 4" xfId="694" xr:uid="{3E22E9BB-A0E3-4E05-8CCC-5C8DDA306285}"/>
    <cellStyle name="Moneda 3 3 2 2 4 2" xfId="1656" xr:uid="{DA6F915E-7374-4C26-B1B0-B836FB2226D0}"/>
    <cellStyle name="Moneda 3 3 2 2 4 2 2" xfId="3580" xr:uid="{38AA1A6B-B88A-45B5-A12D-85AA44810CE5}"/>
    <cellStyle name="Moneda 3 3 2 2 4 2 2 2" xfId="7428" xr:uid="{98798432-5847-4597-86B5-C115C315A87A}"/>
    <cellStyle name="Moneda 3 3 2 2 4 2 3" xfId="5504" xr:uid="{BFA0C0AC-4313-424A-85B9-533E32F8686A}"/>
    <cellStyle name="Moneda 3 3 2 2 4 3" xfId="2618" xr:uid="{115E1933-2C15-4B2F-95BD-8266BCA22F99}"/>
    <cellStyle name="Moneda 3 3 2 2 4 3 2" xfId="6466" xr:uid="{4E497A7C-3AD3-4A17-9A93-A24F2ABD306A}"/>
    <cellStyle name="Moneda 3 3 2 2 4 4" xfId="4542" xr:uid="{2EE8E0B6-D483-43DF-AE69-B1C83239FC9F}"/>
    <cellStyle name="Moneda 3 3 2 2 5" xfId="1175" xr:uid="{38A3522F-C330-4978-8BCC-036F3AADA6F2}"/>
    <cellStyle name="Moneda 3 3 2 2 5 2" xfId="3099" xr:uid="{B1CCE13E-6076-43C9-9DE1-80EFD2EA9E2F}"/>
    <cellStyle name="Moneda 3 3 2 2 5 2 2" xfId="6947" xr:uid="{C09E9B57-47CA-4AC9-8AF5-18EEA9912EF0}"/>
    <cellStyle name="Moneda 3 3 2 2 5 3" xfId="5023" xr:uid="{EC4930EF-4AED-4249-B43B-5B4CF1C625A9}"/>
    <cellStyle name="Moneda 3 3 2 2 6" xfId="2137" xr:uid="{B0C41D82-0533-4C9C-9753-18A6235E0DFC}"/>
    <cellStyle name="Moneda 3 3 2 2 6 2" xfId="5985" xr:uid="{6B776A80-C294-4EA5-90B0-B2E8166F8426}"/>
    <cellStyle name="Moneda 3 3 2 2 7" xfId="4061" xr:uid="{90DDCF84-ED35-4501-A04E-E47A1F62594C}"/>
    <cellStyle name="Moneda 3 3 2 3" xfId="301" xr:uid="{27FE15AB-43AD-4D9C-9C82-F125513D791B}"/>
    <cellStyle name="Moneda 3 3 2 3 2" xfId="552" xr:uid="{21C689D7-C795-474D-B36C-2D0A7D6F5CA7}"/>
    <cellStyle name="Moneda 3 3 2 3 2 2" xfId="1033" xr:uid="{F3D3BADC-F2B8-46C5-9D46-E836CA72B811}"/>
    <cellStyle name="Moneda 3 3 2 3 2 2 2" xfId="1995" xr:uid="{87C1EA55-34C9-437F-9A25-D868D7697B6E}"/>
    <cellStyle name="Moneda 3 3 2 3 2 2 2 2" xfId="3919" xr:uid="{C41BBBF2-25AB-42E2-8D40-3D8956DAB404}"/>
    <cellStyle name="Moneda 3 3 2 3 2 2 2 2 2" xfId="7767" xr:uid="{0C853425-F6E1-47A5-9F2D-5760600A3154}"/>
    <cellStyle name="Moneda 3 3 2 3 2 2 2 3" xfId="5843" xr:uid="{7D31A429-8E56-48F0-A8F0-66F3991A130F}"/>
    <cellStyle name="Moneda 3 3 2 3 2 2 3" xfId="2957" xr:uid="{D4FBA083-BE13-46FD-92AF-D37F577D7771}"/>
    <cellStyle name="Moneda 3 3 2 3 2 2 3 2" xfId="6805" xr:uid="{AA694423-2876-4CCD-A575-C8714B709EAF}"/>
    <cellStyle name="Moneda 3 3 2 3 2 2 4" xfId="4881" xr:uid="{51E5CE4D-644C-4E5E-A07D-8BB94054BB0E}"/>
    <cellStyle name="Moneda 3 3 2 3 2 3" xfId="1514" xr:uid="{C667AA26-8EF2-496A-95CE-DC3FE91A341F}"/>
    <cellStyle name="Moneda 3 3 2 3 2 3 2" xfId="3438" xr:uid="{8FDBF677-3F1E-4FEC-8117-C3C1A3D039D1}"/>
    <cellStyle name="Moneda 3 3 2 3 2 3 2 2" xfId="7286" xr:uid="{7348DDE2-3ADE-4953-A08A-4650058D357A}"/>
    <cellStyle name="Moneda 3 3 2 3 2 3 3" xfId="5362" xr:uid="{CBB392EF-ADEA-47E3-839A-CA2DA5885FAB}"/>
    <cellStyle name="Moneda 3 3 2 3 2 4" xfId="2476" xr:uid="{AD57112B-EA03-4768-9AFD-728E7430E453}"/>
    <cellStyle name="Moneda 3 3 2 3 2 4 2" xfId="6324" xr:uid="{F8C8D3B7-8BA9-4A88-9094-2508DD8DF050}"/>
    <cellStyle name="Moneda 3 3 2 3 2 5" xfId="4400" xr:uid="{6F8B14E3-AEE7-415C-BAE0-69E1AE425FEF}"/>
    <cellStyle name="Moneda 3 3 2 3 3" xfId="793" xr:uid="{28A0AF1B-2E42-45AD-A445-955E38523463}"/>
    <cellStyle name="Moneda 3 3 2 3 3 2" xfId="1755" xr:uid="{62CBC067-CE19-45E5-B832-4407C6A2B18B}"/>
    <cellStyle name="Moneda 3 3 2 3 3 2 2" xfId="3679" xr:uid="{DBE5AD8D-74CF-45FA-A962-BAB8123F8780}"/>
    <cellStyle name="Moneda 3 3 2 3 3 2 2 2" xfId="7527" xr:uid="{2BFBFAEF-83FB-4D2A-87B0-8B84E1FC0A63}"/>
    <cellStyle name="Moneda 3 3 2 3 3 2 3" xfId="5603" xr:uid="{DD7F660D-9269-4C1A-8086-AE907359BEBC}"/>
    <cellStyle name="Moneda 3 3 2 3 3 3" xfId="2717" xr:uid="{D756846D-B0E8-4D95-BF3C-32E06E4B0A30}"/>
    <cellStyle name="Moneda 3 3 2 3 3 3 2" xfId="6565" xr:uid="{25CC83B1-FFF5-476E-AF6E-519D1AF519D7}"/>
    <cellStyle name="Moneda 3 3 2 3 3 4" xfId="4641" xr:uid="{E13F6F42-E5DC-4125-A7F0-5241B000DFEF}"/>
    <cellStyle name="Moneda 3 3 2 3 4" xfId="1274" xr:uid="{8B88943C-D0DF-4D89-B74B-7B033550BDEB}"/>
    <cellStyle name="Moneda 3 3 2 3 4 2" xfId="3198" xr:uid="{102FF33D-3395-4679-8A7A-FB6A6BC4BBA4}"/>
    <cellStyle name="Moneda 3 3 2 3 4 2 2" xfId="7046" xr:uid="{643F8078-D360-45DE-A44F-98118FE23CD3}"/>
    <cellStyle name="Moneda 3 3 2 3 4 3" xfId="5122" xr:uid="{399BB264-E532-4571-ADC1-79B747735782}"/>
    <cellStyle name="Moneda 3 3 2 3 5" xfId="2236" xr:uid="{0A6026B7-EE60-4B9A-9074-031F29C8D611}"/>
    <cellStyle name="Moneda 3 3 2 3 5 2" xfId="6084" xr:uid="{5D89E4B5-1610-4B83-8E2D-FC9B4B5F561F}"/>
    <cellStyle name="Moneda 3 3 2 3 6" xfId="4160" xr:uid="{E363E21C-C41D-41FA-A40F-ED613E59A30F}"/>
    <cellStyle name="Moneda 3 3 2 4" xfId="234" xr:uid="{3D03A848-A030-46C2-81BB-9A95412F800E}"/>
    <cellStyle name="Moneda 3 3 2 4 2" xfId="486" xr:uid="{225AD4E9-0F3A-45CA-B88D-005BC5FDC45A}"/>
    <cellStyle name="Moneda 3 3 2 4 2 2" xfId="967" xr:uid="{C1DDBB53-EAF9-4A3C-BA90-BD9FDF29DFD9}"/>
    <cellStyle name="Moneda 3 3 2 4 2 2 2" xfId="1929" xr:uid="{DA2035C7-1F1D-42B7-A52D-6FDA0400A6F5}"/>
    <cellStyle name="Moneda 3 3 2 4 2 2 2 2" xfId="3853" xr:uid="{0C01B877-B54C-45C8-8C7C-F2B4094F7AFF}"/>
    <cellStyle name="Moneda 3 3 2 4 2 2 2 2 2" xfId="7701" xr:uid="{AC4AE744-D59D-46CA-8029-57049A251056}"/>
    <cellStyle name="Moneda 3 3 2 4 2 2 2 3" xfId="5777" xr:uid="{BF10D823-9DBB-429A-AF69-FED4BC2AB114}"/>
    <cellStyle name="Moneda 3 3 2 4 2 2 3" xfId="2891" xr:uid="{9E7B734B-CC68-4723-9821-E8FB0DF66F9D}"/>
    <cellStyle name="Moneda 3 3 2 4 2 2 3 2" xfId="6739" xr:uid="{FDA3B542-9772-46A5-9728-F593C811C888}"/>
    <cellStyle name="Moneda 3 3 2 4 2 2 4" xfId="4815" xr:uid="{06278A35-A3B0-4F7A-A475-9D6B6BFD1ED2}"/>
    <cellStyle name="Moneda 3 3 2 4 2 3" xfId="1448" xr:uid="{594A07A6-50EC-4C04-966C-50F1FAE689CF}"/>
    <cellStyle name="Moneda 3 3 2 4 2 3 2" xfId="3372" xr:uid="{9A72EE5F-9204-4EE5-8BCE-816AA45AD548}"/>
    <cellStyle name="Moneda 3 3 2 4 2 3 2 2" xfId="7220" xr:uid="{6B294EB9-6015-42EE-AFE0-CD23209114A4}"/>
    <cellStyle name="Moneda 3 3 2 4 2 3 3" xfId="5296" xr:uid="{3673CFDA-CFF7-4867-906B-47C1B26F9C0F}"/>
    <cellStyle name="Moneda 3 3 2 4 2 4" xfId="2410" xr:uid="{47D7E910-CC35-4ADE-8778-DA34017FAF60}"/>
    <cellStyle name="Moneda 3 3 2 4 2 4 2" xfId="6258" xr:uid="{2079A324-5DDD-42F0-B896-9DDDAE21CA26}"/>
    <cellStyle name="Moneda 3 3 2 4 2 5" xfId="4334" xr:uid="{F585C126-B98D-4857-BDA8-EF4DD8A26EEC}"/>
    <cellStyle name="Moneda 3 3 2 4 3" xfId="727" xr:uid="{4C6EC00E-B55C-479A-8C4A-2ACCA3D88069}"/>
    <cellStyle name="Moneda 3 3 2 4 3 2" xfId="1689" xr:uid="{13976C0D-7F88-4E7D-A684-310F2632E658}"/>
    <cellStyle name="Moneda 3 3 2 4 3 2 2" xfId="3613" xr:uid="{FF6FA817-8F97-4746-9B52-36F8267929FC}"/>
    <cellStyle name="Moneda 3 3 2 4 3 2 2 2" xfId="7461" xr:uid="{12BA5DD0-E83A-4D6A-AF11-1E86B88C87C8}"/>
    <cellStyle name="Moneda 3 3 2 4 3 2 3" xfId="5537" xr:uid="{733A914B-F210-480C-90E9-86BB6826A54C}"/>
    <cellStyle name="Moneda 3 3 2 4 3 3" xfId="2651" xr:uid="{4E74A3DF-EF93-450E-9EAF-5BFFAC57A999}"/>
    <cellStyle name="Moneda 3 3 2 4 3 3 2" xfId="6499" xr:uid="{F5C0964B-524E-4F31-AD4B-AE7BCB1632F4}"/>
    <cellStyle name="Moneda 3 3 2 4 3 4" xfId="4575" xr:uid="{27E7D4B2-42EB-41DB-844B-C2046C408989}"/>
    <cellStyle name="Moneda 3 3 2 4 4" xfId="1208" xr:uid="{A2C505A6-9ED4-4083-A818-01FDE5833651}"/>
    <cellStyle name="Moneda 3 3 2 4 4 2" xfId="3132" xr:uid="{A1F6E2C5-0CD1-4EE0-B96C-7A06A704CEF4}"/>
    <cellStyle name="Moneda 3 3 2 4 4 2 2" xfId="6980" xr:uid="{07A60A21-1ABC-4793-A698-4FAE690E9DC1}"/>
    <cellStyle name="Moneda 3 3 2 4 4 3" xfId="5056" xr:uid="{9C23490D-4E5C-4BB6-94BC-18D91CAD2958}"/>
    <cellStyle name="Moneda 3 3 2 4 5" xfId="2170" xr:uid="{27718680-41E0-4D1D-B328-F57B6442076F}"/>
    <cellStyle name="Moneda 3 3 2 4 5 2" xfId="6018" xr:uid="{AE474C6B-4BC2-458B-90C0-1906FC3E99CF}"/>
    <cellStyle name="Moneda 3 3 2 4 6" xfId="4094" xr:uid="{CCE23CC8-62D8-4332-B00A-B2A407A7F0DD}"/>
    <cellStyle name="Moneda 3 3 2 5" xfId="420" xr:uid="{D903906B-D03D-45C1-ABB2-5DDD29F23BFA}"/>
    <cellStyle name="Moneda 3 3 2 5 2" xfId="901" xr:uid="{2B608D68-53E2-4FED-9CFB-52D80610DC8C}"/>
    <cellStyle name="Moneda 3 3 2 5 2 2" xfId="1863" xr:uid="{8CBCD7EA-A0F8-4308-8C3F-94BFDED0117A}"/>
    <cellStyle name="Moneda 3 3 2 5 2 2 2" xfId="3787" xr:uid="{EF8B9817-BBA0-4DCD-999A-081C56A8F1A5}"/>
    <cellStyle name="Moneda 3 3 2 5 2 2 2 2" xfId="7635" xr:uid="{4C645249-ABB2-4BD9-BB8C-7D41921555FC}"/>
    <cellStyle name="Moneda 3 3 2 5 2 2 3" xfId="5711" xr:uid="{0A9BB137-1710-4792-8794-4508CAE65E44}"/>
    <cellStyle name="Moneda 3 3 2 5 2 3" xfId="2825" xr:uid="{5E4D5D97-43B9-46B2-862A-009B06ACBB65}"/>
    <cellStyle name="Moneda 3 3 2 5 2 3 2" xfId="6673" xr:uid="{7459DB2F-2A07-434D-BFA2-DBB027AAC588}"/>
    <cellStyle name="Moneda 3 3 2 5 2 4" xfId="4749" xr:uid="{D8A88C71-B220-4D56-9BAF-C3064B33EF1F}"/>
    <cellStyle name="Moneda 3 3 2 5 3" xfId="1382" xr:uid="{5AE27386-168C-4DBD-96DE-19AC700A37EB}"/>
    <cellStyle name="Moneda 3 3 2 5 3 2" xfId="3306" xr:uid="{9C68C690-5BBF-4398-985B-37B27DEE34FE}"/>
    <cellStyle name="Moneda 3 3 2 5 3 2 2" xfId="7154" xr:uid="{19B2713F-FB41-4D37-8BAB-37DC43745ECE}"/>
    <cellStyle name="Moneda 3 3 2 5 3 3" xfId="5230" xr:uid="{D5EDF0E5-A53B-4E22-964D-7C68491C6E85}"/>
    <cellStyle name="Moneda 3 3 2 5 4" xfId="2344" xr:uid="{8943C58D-8A98-450E-83FB-3E310D391532}"/>
    <cellStyle name="Moneda 3 3 2 5 4 2" xfId="6192" xr:uid="{1CFD00D8-D11D-427C-9B65-DD24A6D8B51A}"/>
    <cellStyle name="Moneda 3 3 2 5 5" xfId="4268" xr:uid="{461B04BE-FC63-4A70-B5EE-512576C3FFEE}"/>
    <cellStyle name="Moneda 3 3 2 6" xfId="661" xr:uid="{A7F361C0-33EF-47E0-AC04-856651278AA8}"/>
    <cellStyle name="Moneda 3 3 2 6 2" xfId="1623" xr:uid="{DF6CAD54-60C7-4FEE-9DA7-114464D44A76}"/>
    <cellStyle name="Moneda 3 3 2 6 2 2" xfId="3547" xr:uid="{65BFF49F-C0B8-4E70-9879-279E01B06340}"/>
    <cellStyle name="Moneda 3 3 2 6 2 2 2" xfId="7395" xr:uid="{C6807332-CFB5-4812-B7BB-C03483265E54}"/>
    <cellStyle name="Moneda 3 3 2 6 2 3" xfId="5471" xr:uid="{B42785D6-9E60-4D10-BA4C-B0EB2F47C87C}"/>
    <cellStyle name="Moneda 3 3 2 6 3" xfId="2585" xr:uid="{00891E02-89AD-4620-896D-9886B9627B84}"/>
    <cellStyle name="Moneda 3 3 2 6 3 2" xfId="6433" xr:uid="{D7C0118A-D1A2-47C2-AC06-AF36B4D2E3CB}"/>
    <cellStyle name="Moneda 3 3 2 6 4" xfId="4509" xr:uid="{F7D631E8-2761-4360-A16A-5A358EE0C63D}"/>
    <cellStyle name="Moneda 3 3 2 7" xfId="1142" xr:uid="{3CB0CA6B-A01A-4351-BBD9-BF402CE382A8}"/>
    <cellStyle name="Moneda 3 3 2 7 2" xfId="3066" xr:uid="{F0A7C90B-3DAF-436E-9FC7-64ED3B2EAAB1}"/>
    <cellStyle name="Moneda 3 3 2 7 2 2" xfId="6914" xr:uid="{547FC2A5-43CF-4104-809A-9946F24282B4}"/>
    <cellStyle name="Moneda 3 3 2 7 3" xfId="4990" xr:uid="{D8D7C431-4F53-4C4B-A297-84D15FC086EF}"/>
    <cellStyle name="Moneda 3 3 2 8" xfId="2104" xr:uid="{3A7DF40B-C2F6-472E-9DB4-65C3FC5809C1}"/>
    <cellStyle name="Moneda 3 3 2 8 2" xfId="5952" xr:uid="{E81AAB4D-F3F6-4FFD-9CA7-6D295F5608D9}"/>
    <cellStyle name="Moneda 3 3 2 9" xfId="4028" xr:uid="{0B70BAD7-FB71-42B2-872C-E41302848AB9}"/>
    <cellStyle name="Moneda 3 3 3" xfId="171" xr:uid="{B77952B1-E0E9-4483-BF56-29B6403D2DF2}"/>
    <cellStyle name="Moneda 3 3 3 2" xfId="207" xr:uid="{FBD1E1FC-2813-4384-84E9-008647F056F0}"/>
    <cellStyle name="Moneda 3 3 3 2 2" xfId="341" xr:uid="{9C8D5094-FDB7-413B-8B8A-DF31D9802686}"/>
    <cellStyle name="Moneda 3 3 3 2 2 2" xfId="592" xr:uid="{1DD7901B-63D9-4F34-98EB-13A3B1AFCD80}"/>
    <cellStyle name="Moneda 3 3 3 2 2 2 2" xfId="1073" xr:uid="{3AF6ACE3-F218-4FB4-A9B0-F8612E709799}"/>
    <cellStyle name="Moneda 3 3 3 2 2 2 2 2" xfId="2035" xr:uid="{6E5AF1B0-B992-4757-BC09-218F435032CB}"/>
    <cellStyle name="Moneda 3 3 3 2 2 2 2 2 2" xfId="3959" xr:uid="{7B771B10-DA5F-4FD6-9B27-1E2631103DE2}"/>
    <cellStyle name="Moneda 3 3 3 2 2 2 2 2 2 2" xfId="7807" xr:uid="{BC038008-60FB-45F8-A42B-519D00B3C094}"/>
    <cellStyle name="Moneda 3 3 3 2 2 2 2 2 3" xfId="5883" xr:uid="{E5F28E3C-757B-4E64-B6A3-9E61291A7335}"/>
    <cellStyle name="Moneda 3 3 3 2 2 2 2 3" xfId="2997" xr:uid="{38A0BE32-285B-42F7-A1EB-853DA3EDBF53}"/>
    <cellStyle name="Moneda 3 3 3 2 2 2 2 3 2" xfId="6845" xr:uid="{995228CB-7700-4D9C-A8B7-69032D74CA75}"/>
    <cellStyle name="Moneda 3 3 3 2 2 2 2 4" xfId="4921" xr:uid="{9232D9D1-FDF5-4435-9CE9-8A83C2B1C20C}"/>
    <cellStyle name="Moneda 3 3 3 2 2 2 3" xfId="1554" xr:uid="{95CCF40E-1510-4A9D-BD02-7D7BBA5C7BF6}"/>
    <cellStyle name="Moneda 3 3 3 2 2 2 3 2" xfId="3478" xr:uid="{CA2D0FC2-F7DF-492D-BE3C-83047F55B357}"/>
    <cellStyle name="Moneda 3 3 3 2 2 2 3 2 2" xfId="7326" xr:uid="{8D02E02C-5B60-4C92-8F66-CE0E2F11F3AA}"/>
    <cellStyle name="Moneda 3 3 3 2 2 2 3 3" xfId="5402" xr:uid="{81752576-EAED-43BA-BCDC-6D271FFAD359}"/>
    <cellStyle name="Moneda 3 3 3 2 2 2 4" xfId="2516" xr:uid="{0C25A6C0-434E-4B6C-B078-DE2A7ED18CE1}"/>
    <cellStyle name="Moneda 3 3 3 2 2 2 4 2" xfId="6364" xr:uid="{71E89E8A-87D8-424F-9DFB-35DD48642CE1}"/>
    <cellStyle name="Moneda 3 3 3 2 2 2 5" xfId="4440" xr:uid="{49200650-9EB2-43BD-9ADF-107854451ED9}"/>
    <cellStyle name="Moneda 3 3 3 2 2 3" xfId="833" xr:uid="{5A9BB5DA-30DA-46FF-B8D5-114B6E0A1784}"/>
    <cellStyle name="Moneda 3 3 3 2 2 3 2" xfId="1795" xr:uid="{D53559E2-5B09-47A8-8EF2-DFADDDA04480}"/>
    <cellStyle name="Moneda 3 3 3 2 2 3 2 2" xfId="3719" xr:uid="{E43EF470-04D2-4FFF-BA96-F29C1FCBC86F}"/>
    <cellStyle name="Moneda 3 3 3 2 2 3 2 2 2" xfId="7567" xr:uid="{365D9142-C326-40DF-9EF0-43E34BD7A9FC}"/>
    <cellStyle name="Moneda 3 3 3 2 2 3 2 3" xfId="5643" xr:uid="{F6A27B56-9EAF-4F77-8B59-34FD79FE7A2B}"/>
    <cellStyle name="Moneda 3 3 3 2 2 3 3" xfId="2757" xr:uid="{807CE1E8-1DE5-4B3E-B191-86299C837999}"/>
    <cellStyle name="Moneda 3 3 3 2 2 3 3 2" xfId="6605" xr:uid="{4D1E94A2-953A-448C-92B2-15556F40195B}"/>
    <cellStyle name="Moneda 3 3 3 2 2 3 4" xfId="4681" xr:uid="{000FA21F-7685-4BBB-B633-0467974E06FE}"/>
    <cellStyle name="Moneda 3 3 3 2 2 4" xfId="1314" xr:uid="{2F2AA24B-34D7-402B-A1A9-6FAFEF3764F7}"/>
    <cellStyle name="Moneda 3 3 3 2 2 4 2" xfId="3238" xr:uid="{D6DC85D4-F875-4029-B777-17C230FAAADB}"/>
    <cellStyle name="Moneda 3 3 3 2 2 4 2 2" xfId="7086" xr:uid="{A54BBFC6-2AB5-4E08-9EA3-646D838E1BEC}"/>
    <cellStyle name="Moneda 3 3 3 2 2 4 3" xfId="5162" xr:uid="{8CFB5478-ACD1-4868-A0F9-9A3F17B3F405}"/>
    <cellStyle name="Moneda 3 3 3 2 2 5" xfId="2276" xr:uid="{F1A1FEE6-4C08-49E4-8E7B-E24D014D0C6B}"/>
    <cellStyle name="Moneda 3 3 3 2 2 5 2" xfId="6124" xr:uid="{9EFCA42D-FAB9-46C4-AB13-C7D1E465DFC6}"/>
    <cellStyle name="Moneda 3 3 3 2 2 6" xfId="4200" xr:uid="{3EDC63D8-0594-4575-845B-5934EF6B8F72}"/>
    <cellStyle name="Moneda 3 3 3 2 3" xfId="460" xr:uid="{2BDD28A5-A9BB-42FD-BA01-E733C25623BF}"/>
    <cellStyle name="Moneda 3 3 3 2 3 2" xfId="941" xr:uid="{C78A20B0-5021-4E15-9F29-75E4FD04C75A}"/>
    <cellStyle name="Moneda 3 3 3 2 3 2 2" xfId="1903" xr:uid="{76C8F763-A12E-4074-B3A1-ECF89C10CD8C}"/>
    <cellStyle name="Moneda 3 3 3 2 3 2 2 2" xfId="3827" xr:uid="{861C56F6-E740-4A8F-AA02-A8E1C3794C9F}"/>
    <cellStyle name="Moneda 3 3 3 2 3 2 2 2 2" xfId="7675" xr:uid="{8632D634-1BAF-4FDF-AF7B-BDF9DC560DFD}"/>
    <cellStyle name="Moneda 3 3 3 2 3 2 2 3" xfId="5751" xr:uid="{34F71D4C-C769-4787-A06F-47EA2F05E3E9}"/>
    <cellStyle name="Moneda 3 3 3 2 3 2 3" xfId="2865" xr:uid="{EE897C2D-1BB5-476A-B93C-85E1203281F1}"/>
    <cellStyle name="Moneda 3 3 3 2 3 2 3 2" xfId="6713" xr:uid="{498E9AD2-06A3-47CD-BA5B-0EFF75C9CC52}"/>
    <cellStyle name="Moneda 3 3 3 2 3 2 4" xfId="4789" xr:uid="{E551FD27-6C2A-488A-B36E-5C49D71D8F34}"/>
    <cellStyle name="Moneda 3 3 3 2 3 3" xfId="1422" xr:uid="{F9BA07C4-67A7-4A52-928A-F1AA1759B6D2}"/>
    <cellStyle name="Moneda 3 3 3 2 3 3 2" xfId="3346" xr:uid="{9EB40D5B-5E6A-4A46-B074-7B2A44EB5476}"/>
    <cellStyle name="Moneda 3 3 3 2 3 3 2 2" xfId="7194" xr:uid="{9ABAE98C-7AA4-49A2-851B-D3A711A2C9BE}"/>
    <cellStyle name="Moneda 3 3 3 2 3 3 3" xfId="5270" xr:uid="{421A3CE8-C7C5-49D4-B38B-6066768A64AE}"/>
    <cellStyle name="Moneda 3 3 3 2 3 4" xfId="2384" xr:uid="{4963B2AC-1D54-41BE-8609-3F2BC51CBD54}"/>
    <cellStyle name="Moneda 3 3 3 2 3 4 2" xfId="6232" xr:uid="{D1C1E179-C702-4CC4-B14E-6B3FF26884B7}"/>
    <cellStyle name="Moneda 3 3 3 2 3 5" xfId="4308" xr:uid="{C24D6459-13EC-415E-BE51-D6A087DAFCCF}"/>
    <cellStyle name="Moneda 3 3 3 2 4" xfId="701" xr:uid="{54C51756-95B4-4927-A2AA-547328A0D553}"/>
    <cellStyle name="Moneda 3 3 3 2 4 2" xfId="1663" xr:uid="{E8FDC179-26DB-40FE-A258-9B51589A3532}"/>
    <cellStyle name="Moneda 3 3 3 2 4 2 2" xfId="3587" xr:uid="{D9446801-5173-4BBD-832C-89FA64F36B77}"/>
    <cellStyle name="Moneda 3 3 3 2 4 2 2 2" xfId="7435" xr:uid="{D6B16846-1C06-4904-801B-18F243DF880B}"/>
    <cellStyle name="Moneda 3 3 3 2 4 2 3" xfId="5511" xr:uid="{1700046F-8EA0-47FD-911A-BC197F9A5683}"/>
    <cellStyle name="Moneda 3 3 3 2 4 3" xfId="2625" xr:uid="{35E665BD-BE67-4912-9D8E-E63C0A0F5E91}"/>
    <cellStyle name="Moneda 3 3 3 2 4 3 2" xfId="6473" xr:uid="{5C560E5D-94E8-4A28-A1AE-17A8A33633BF}"/>
    <cellStyle name="Moneda 3 3 3 2 4 4" xfId="4549" xr:uid="{9939A21A-FCD2-44A0-A7D9-351C603CB105}"/>
    <cellStyle name="Moneda 3 3 3 2 5" xfId="1182" xr:uid="{54372E9C-0225-49EC-B4F0-B71829106CDC}"/>
    <cellStyle name="Moneda 3 3 3 2 5 2" xfId="3106" xr:uid="{8F33114E-BFC2-463A-8E5A-7C5AF46F3E9F}"/>
    <cellStyle name="Moneda 3 3 3 2 5 2 2" xfId="6954" xr:uid="{B1A44D41-F609-4D33-8671-544B9ABDF466}"/>
    <cellStyle name="Moneda 3 3 3 2 5 3" xfId="5030" xr:uid="{CCFDB1DC-5C6F-4E46-8896-550B595EC54E}"/>
    <cellStyle name="Moneda 3 3 3 2 6" xfId="2144" xr:uid="{1B348F16-19FB-4E4D-9E39-DFBDBFBF56F5}"/>
    <cellStyle name="Moneda 3 3 3 2 6 2" xfId="5992" xr:uid="{FA25799A-F599-4897-94A7-76F5529859E0}"/>
    <cellStyle name="Moneda 3 3 3 2 7" xfId="4068" xr:uid="{ADFA15CA-765F-406C-AB84-0C5291639E8F}"/>
    <cellStyle name="Moneda 3 3 3 3" xfId="308" xr:uid="{BB841982-D7E5-48A1-B157-62C539514E97}"/>
    <cellStyle name="Moneda 3 3 3 3 2" xfId="559" xr:uid="{8D44872B-6DF4-4C03-BF16-E3552E853F40}"/>
    <cellStyle name="Moneda 3 3 3 3 2 2" xfId="1040" xr:uid="{5264A269-3586-4CE8-80D1-B6A119EB6686}"/>
    <cellStyle name="Moneda 3 3 3 3 2 2 2" xfId="2002" xr:uid="{6ECBB27A-DA7D-420E-93BE-FDA1AE8548EE}"/>
    <cellStyle name="Moneda 3 3 3 3 2 2 2 2" xfId="3926" xr:uid="{9D53BE64-153C-4334-A491-2E91B8717168}"/>
    <cellStyle name="Moneda 3 3 3 3 2 2 2 2 2" xfId="7774" xr:uid="{50D74C94-D43A-4DBB-8BEE-65D8C3011BC9}"/>
    <cellStyle name="Moneda 3 3 3 3 2 2 2 3" xfId="5850" xr:uid="{4E9A19B4-AD75-4EA8-B847-44B520BC66F0}"/>
    <cellStyle name="Moneda 3 3 3 3 2 2 3" xfId="2964" xr:uid="{AC8EDC59-8FF9-48AB-9F6A-FC3CAFAB782B}"/>
    <cellStyle name="Moneda 3 3 3 3 2 2 3 2" xfId="6812" xr:uid="{CE2212BD-BCB4-427C-9492-82317F6C14AC}"/>
    <cellStyle name="Moneda 3 3 3 3 2 2 4" xfId="4888" xr:uid="{8D0AF1D1-B44C-44B9-8969-23020DCAD7C2}"/>
    <cellStyle name="Moneda 3 3 3 3 2 3" xfId="1521" xr:uid="{C128674D-7C2C-4E3A-9D5F-2A969AAB6EDD}"/>
    <cellStyle name="Moneda 3 3 3 3 2 3 2" xfId="3445" xr:uid="{8B1A9BAA-169A-4326-B3D0-B0A19FC7ED19}"/>
    <cellStyle name="Moneda 3 3 3 3 2 3 2 2" xfId="7293" xr:uid="{CF6A6BDE-C693-4E79-A91E-A8278080E632}"/>
    <cellStyle name="Moneda 3 3 3 3 2 3 3" xfId="5369" xr:uid="{AA2E106C-9FFF-415E-B7DF-5113C8CF2B4E}"/>
    <cellStyle name="Moneda 3 3 3 3 2 4" xfId="2483" xr:uid="{DF6C9BC4-632D-4150-88B4-1C6E61290C0E}"/>
    <cellStyle name="Moneda 3 3 3 3 2 4 2" xfId="6331" xr:uid="{39FD56B5-8D0E-4C5D-91A3-CF2955BFEF89}"/>
    <cellStyle name="Moneda 3 3 3 3 2 5" xfId="4407" xr:uid="{053896CC-D7A9-4038-BF9D-070A7DF221F2}"/>
    <cellStyle name="Moneda 3 3 3 3 3" xfId="800" xr:uid="{5D6637A9-9CFC-4BC8-AD12-50FC285F8688}"/>
    <cellStyle name="Moneda 3 3 3 3 3 2" xfId="1762" xr:uid="{88A15853-FB1D-4187-87D1-ADBA148C2D95}"/>
    <cellStyle name="Moneda 3 3 3 3 3 2 2" xfId="3686" xr:uid="{01CC2B0F-AD7D-469E-83A7-2E161966839B}"/>
    <cellStyle name="Moneda 3 3 3 3 3 2 2 2" xfId="7534" xr:uid="{75A4053B-B4C4-4F69-88C4-8757DA075D5F}"/>
    <cellStyle name="Moneda 3 3 3 3 3 2 3" xfId="5610" xr:uid="{72FFF181-7840-4037-9E57-AA7B0AA6AB65}"/>
    <cellStyle name="Moneda 3 3 3 3 3 3" xfId="2724" xr:uid="{4C985037-D359-48BE-A10E-400F659E4A8C}"/>
    <cellStyle name="Moneda 3 3 3 3 3 3 2" xfId="6572" xr:uid="{846A5D5E-D8C5-4908-AAAA-DFDB1D8A0F94}"/>
    <cellStyle name="Moneda 3 3 3 3 3 4" xfId="4648" xr:uid="{7521A67D-B802-4182-9480-5583DDB3516D}"/>
    <cellStyle name="Moneda 3 3 3 3 4" xfId="1281" xr:uid="{60734D0C-A323-478A-B956-5A2176AD18F3}"/>
    <cellStyle name="Moneda 3 3 3 3 4 2" xfId="3205" xr:uid="{59D1DFEE-FB3D-41E6-A9A1-841951FA171B}"/>
    <cellStyle name="Moneda 3 3 3 3 4 2 2" xfId="7053" xr:uid="{35CBFAA3-EECE-4424-ACF8-8AD039010975}"/>
    <cellStyle name="Moneda 3 3 3 3 4 3" xfId="5129" xr:uid="{48D2CA34-3BE0-4C79-BDAD-8A5E36EF7777}"/>
    <cellStyle name="Moneda 3 3 3 3 5" xfId="2243" xr:uid="{39AAD075-C803-4013-BAA2-C0064241E1FF}"/>
    <cellStyle name="Moneda 3 3 3 3 5 2" xfId="6091" xr:uid="{9BD94627-3AD9-4913-89F8-845F82B0317A}"/>
    <cellStyle name="Moneda 3 3 3 3 6" xfId="4167" xr:uid="{CF114BE6-55C3-46A4-8027-436C88918029}"/>
    <cellStyle name="Moneda 3 3 3 4" xfId="241" xr:uid="{3D1F8D9C-0447-44E6-ACBD-8B59FAC43C8E}"/>
    <cellStyle name="Moneda 3 3 3 4 2" xfId="493" xr:uid="{C5F5FF9D-EA73-49B5-8C93-7B9BCA2BB377}"/>
    <cellStyle name="Moneda 3 3 3 4 2 2" xfId="974" xr:uid="{FBCC1522-B47E-4E43-9799-86FDB23F35A9}"/>
    <cellStyle name="Moneda 3 3 3 4 2 2 2" xfId="1936" xr:uid="{DCD10C80-B5D0-4841-BE90-D5688157177C}"/>
    <cellStyle name="Moneda 3 3 3 4 2 2 2 2" xfId="3860" xr:uid="{0B24D281-1DCA-43AD-B4D9-9E4A1F6407B5}"/>
    <cellStyle name="Moneda 3 3 3 4 2 2 2 2 2" xfId="7708" xr:uid="{EFDDF85D-1C5B-471B-B539-97B1C59CF6D4}"/>
    <cellStyle name="Moneda 3 3 3 4 2 2 2 3" xfId="5784" xr:uid="{BC670F52-6766-47CA-91E1-598AC28F0A21}"/>
    <cellStyle name="Moneda 3 3 3 4 2 2 3" xfId="2898" xr:uid="{81B0DD9D-888B-4227-A765-D2074EA7381D}"/>
    <cellStyle name="Moneda 3 3 3 4 2 2 3 2" xfId="6746" xr:uid="{603017D8-A357-47DB-A5F8-337890A2A0B5}"/>
    <cellStyle name="Moneda 3 3 3 4 2 2 4" xfId="4822" xr:uid="{7FEFB468-98F0-4D7E-844D-01F7C48C7D63}"/>
    <cellStyle name="Moneda 3 3 3 4 2 3" xfId="1455" xr:uid="{0A5AACCD-55D4-499F-9790-BF386F56E638}"/>
    <cellStyle name="Moneda 3 3 3 4 2 3 2" xfId="3379" xr:uid="{4EC294BB-C724-468F-8225-D0DC81E0BCCC}"/>
    <cellStyle name="Moneda 3 3 3 4 2 3 2 2" xfId="7227" xr:uid="{09A5723B-8651-4156-991F-5DF6DFDDF62B}"/>
    <cellStyle name="Moneda 3 3 3 4 2 3 3" xfId="5303" xr:uid="{28AC3D1B-8F3B-4559-9582-593EAAD8C31E}"/>
    <cellStyle name="Moneda 3 3 3 4 2 4" xfId="2417" xr:uid="{51FFFEAB-F5D2-42CA-9BE0-91A134418168}"/>
    <cellStyle name="Moneda 3 3 3 4 2 4 2" xfId="6265" xr:uid="{6E556D9D-9651-4518-8AB7-0672B8B096EC}"/>
    <cellStyle name="Moneda 3 3 3 4 2 5" xfId="4341" xr:uid="{4633DF72-3AD8-4B55-B579-D670546C54E7}"/>
    <cellStyle name="Moneda 3 3 3 4 3" xfId="734" xr:uid="{FE424482-DD21-46F7-8AED-0385C67EE3F3}"/>
    <cellStyle name="Moneda 3 3 3 4 3 2" xfId="1696" xr:uid="{025CDD6F-8740-42BE-A1C7-EAC31186FB70}"/>
    <cellStyle name="Moneda 3 3 3 4 3 2 2" xfId="3620" xr:uid="{89318D65-C951-4D16-B37B-CEBF9FC31099}"/>
    <cellStyle name="Moneda 3 3 3 4 3 2 2 2" xfId="7468" xr:uid="{07EB0209-0E7C-41EA-8BA9-28EEBDB3751F}"/>
    <cellStyle name="Moneda 3 3 3 4 3 2 3" xfId="5544" xr:uid="{ED8E75AE-4395-4458-87B8-5FEDFDDE15E1}"/>
    <cellStyle name="Moneda 3 3 3 4 3 3" xfId="2658" xr:uid="{E1E4F7FA-0CBC-487A-AE2A-72F6D4D26E90}"/>
    <cellStyle name="Moneda 3 3 3 4 3 3 2" xfId="6506" xr:uid="{7A4EF302-74B4-4B97-8B68-96A091ECAD50}"/>
    <cellStyle name="Moneda 3 3 3 4 3 4" xfId="4582" xr:uid="{176DBEB9-9449-4877-B949-20CE8F3FCBEB}"/>
    <cellStyle name="Moneda 3 3 3 4 4" xfId="1215" xr:uid="{3A9F5BFA-1C32-4724-9025-5A049C24BC60}"/>
    <cellStyle name="Moneda 3 3 3 4 4 2" xfId="3139" xr:uid="{4BDDCB34-4BAF-46A2-A4B7-C6D45D6E2526}"/>
    <cellStyle name="Moneda 3 3 3 4 4 2 2" xfId="6987" xr:uid="{539FD708-5ACD-4B69-A658-6479DB9D1F36}"/>
    <cellStyle name="Moneda 3 3 3 4 4 3" xfId="5063" xr:uid="{63FA4E72-5F5A-4C4F-B7B2-69D87CB5A318}"/>
    <cellStyle name="Moneda 3 3 3 4 5" xfId="2177" xr:uid="{7E6B36ED-26C1-480C-9003-5B35E9CE15C2}"/>
    <cellStyle name="Moneda 3 3 3 4 5 2" xfId="6025" xr:uid="{25F58D38-758A-4853-BE41-14620D7B3496}"/>
    <cellStyle name="Moneda 3 3 3 4 6" xfId="4101" xr:uid="{2F40059E-65D0-4151-8D4C-BD47AFF4EE1E}"/>
    <cellStyle name="Moneda 3 3 3 5" xfId="427" xr:uid="{128C932F-CECC-4F15-876B-1BF6AC0FC520}"/>
    <cellStyle name="Moneda 3 3 3 5 2" xfId="908" xr:uid="{0D500389-14CE-4160-ADE0-D015DF96DEB2}"/>
    <cellStyle name="Moneda 3 3 3 5 2 2" xfId="1870" xr:uid="{F559E136-AE80-413F-A55A-7DEFCB44AB5A}"/>
    <cellStyle name="Moneda 3 3 3 5 2 2 2" xfId="3794" xr:uid="{79C79860-EF21-4D2E-8F67-47C00981F253}"/>
    <cellStyle name="Moneda 3 3 3 5 2 2 2 2" xfId="7642" xr:uid="{3CC324E9-E182-43F0-9CCC-B8F6D6F00B30}"/>
    <cellStyle name="Moneda 3 3 3 5 2 2 3" xfId="5718" xr:uid="{05D80BC2-0C11-49F0-9179-46FA006763A4}"/>
    <cellStyle name="Moneda 3 3 3 5 2 3" xfId="2832" xr:uid="{67050B09-C56E-49A8-8936-D722E71D5370}"/>
    <cellStyle name="Moneda 3 3 3 5 2 3 2" xfId="6680" xr:uid="{BD2CB69E-8DA9-4CD9-97D2-C3A1B4F3D7F8}"/>
    <cellStyle name="Moneda 3 3 3 5 2 4" xfId="4756" xr:uid="{0194F79C-9EB6-4E81-9C5E-684D704A7AEA}"/>
    <cellStyle name="Moneda 3 3 3 5 3" xfId="1389" xr:uid="{8C249E76-5462-45B1-BDA9-DC0558FA0664}"/>
    <cellStyle name="Moneda 3 3 3 5 3 2" xfId="3313" xr:uid="{2A882826-A72F-4D94-930D-68727DA5E0CE}"/>
    <cellStyle name="Moneda 3 3 3 5 3 2 2" xfId="7161" xr:uid="{46783185-F1E2-403B-A8BD-597202357813}"/>
    <cellStyle name="Moneda 3 3 3 5 3 3" xfId="5237" xr:uid="{1C7B8D5C-916D-4FF1-8B07-06120DA56550}"/>
    <cellStyle name="Moneda 3 3 3 5 4" xfId="2351" xr:uid="{A941543E-6994-419A-8B40-37A9780EA159}"/>
    <cellStyle name="Moneda 3 3 3 5 4 2" xfId="6199" xr:uid="{2485233F-8233-486C-A1AA-C721FE9D9CEC}"/>
    <cellStyle name="Moneda 3 3 3 5 5" xfId="4275" xr:uid="{9B4B98AE-D345-42FA-83C9-BC21DC1CE230}"/>
    <cellStyle name="Moneda 3 3 3 6" xfId="668" xr:uid="{CAB1BD55-6A8F-479B-A810-5E4FA2979001}"/>
    <cellStyle name="Moneda 3 3 3 6 2" xfId="1630" xr:uid="{80C96188-38F5-443A-BD71-CA891D30B84A}"/>
    <cellStyle name="Moneda 3 3 3 6 2 2" xfId="3554" xr:uid="{D70BA534-279B-4FC5-8F44-38E4F570A0B3}"/>
    <cellStyle name="Moneda 3 3 3 6 2 2 2" xfId="7402" xr:uid="{6B3D4F9C-15F7-4527-B686-6C3F82A9130A}"/>
    <cellStyle name="Moneda 3 3 3 6 2 3" xfId="5478" xr:uid="{B9A5B413-1213-4934-B531-E11E93B4E166}"/>
    <cellStyle name="Moneda 3 3 3 6 3" xfId="2592" xr:uid="{4034A13D-FE88-422D-8A7A-86F9D07E12A5}"/>
    <cellStyle name="Moneda 3 3 3 6 3 2" xfId="6440" xr:uid="{A4DA2C70-02C3-41E3-9859-C326570BFA5D}"/>
    <cellStyle name="Moneda 3 3 3 6 4" xfId="4516" xr:uid="{09B9EFD7-C46E-4E9E-9F28-2A7DC1B449F4}"/>
    <cellStyle name="Moneda 3 3 3 7" xfId="1149" xr:uid="{0F9470EB-D239-45A2-AB87-685FF736B0D0}"/>
    <cellStyle name="Moneda 3 3 3 7 2" xfId="3073" xr:uid="{4BF826B5-D277-4513-A374-F7938017DCBA}"/>
    <cellStyle name="Moneda 3 3 3 7 2 2" xfId="6921" xr:uid="{73641C50-C115-4C40-8223-EFE093C9421F}"/>
    <cellStyle name="Moneda 3 3 3 7 3" xfId="4997" xr:uid="{F660AC07-8E04-4459-A70C-67404B74CE56}"/>
    <cellStyle name="Moneda 3 3 3 8" xfId="2111" xr:uid="{F0A83E65-E368-4E8B-B255-F89285CB2E98}"/>
    <cellStyle name="Moneda 3 3 3 8 2" xfId="5959" xr:uid="{FD01271A-4A14-4509-BEDF-D7834AC97241}"/>
    <cellStyle name="Moneda 3 3 3 9" xfId="4035" xr:uid="{3ECA61DF-8F11-41EF-92D2-DA8AD0C3BDF7}"/>
    <cellStyle name="Moneda 3 3 4" xfId="141" xr:uid="{FDACE84E-53E2-4D6F-9290-61360997D4EA}"/>
    <cellStyle name="Moneda 3 3 4 2" xfId="289" xr:uid="{3A515014-0361-4088-8A43-CE49CA9A42C5}"/>
    <cellStyle name="Moneda 3 3 4 2 2" xfId="540" xr:uid="{8148C8CE-BE18-4B76-99B7-9A379568CCA1}"/>
    <cellStyle name="Moneda 3 3 4 2 2 2" xfId="1021" xr:uid="{38BA0046-E8C8-4BAD-BC7D-ECCE68D9A7FD}"/>
    <cellStyle name="Moneda 3 3 4 2 2 2 2" xfId="1983" xr:uid="{CC5DD5B2-0AA0-49EF-9ADD-58C7165AD61A}"/>
    <cellStyle name="Moneda 3 3 4 2 2 2 2 2" xfId="3907" xr:uid="{CF52821D-626F-4544-8C80-27FB4EAB42E6}"/>
    <cellStyle name="Moneda 3 3 4 2 2 2 2 2 2" xfId="7755" xr:uid="{FB270368-2455-4D9A-833E-DE06F7721C00}"/>
    <cellStyle name="Moneda 3 3 4 2 2 2 2 3" xfId="5831" xr:uid="{F54D7270-C784-4BAE-926D-47522F3676BD}"/>
    <cellStyle name="Moneda 3 3 4 2 2 2 3" xfId="2945" xr:uid="{91F6149D-6A65-492D-99DC-6C7C14865E33}"/>
    <cellStyle name="Moneda 3 3 4 2 2 2 3 2" xfId="6793" xr:uid="{7C417628-16D7-4663-99E0-53688A7E67D3}"/>
    <cellStyle name="Moneda 3 3 4 2 2 2 4" xfId="4869" xr:uid="{72F7CE87-E02E-49D1-AE06-F112A4557B80}"/>
    <cellStyle name="Moneda 3 3 4 2 2 3" xfId="1502" xr:uid="{1A196A34-DC13-494F-819C-30AD6D897927}"/>
    <cellStyle name="Moneda 3 3 4 2 2 3 2" xfId="3426" xr:uid="{B8BAB012-E640-4C81-943E-C0F2EA262A35}"/>
    <cellStyle name="Moneda 3 3 4 2 2 3 2 2" xfId="7274" xr:uid="{451C4E85-F8E2-4ED0-8757-7026F840D6F2}"/>
    <cellStyle name="Moneda 3 3 4 2 2 3 3" xfId="5350" xr:uid="{6B86AF5F-5017-42A9-8CF4-E6B7C1DC2D80}"/>
    <cellStyle name="Moneda 3 3 4 2 2 4" xfId="2464" xr:uid="{48C4C461-F5D5-43EE-BBAE-C0868D67982A}"/>
    <cellStyle name="Moneda 3 3 4 2 2 4 2" xfId="6312" xr:uid="{BCCB9C97-EDC1-4CD8-8215-CA3857BDFA5E}"/>
    <cellStyle name="Moneda 3 3 4 2 2 5" xfId="4388" xr:uid="{15F9E870-8A74-471D-BDD1-EE318FF6FDBC}"/>
    <cellStyle name="Moneda 3 3 4 2 3" xfId="781" xr:uid="{197620E1-3B26-4687-9240-81F7CB92CA95}"/>
    <cellStyle name="Moneda 3 3 4 2 3 2" xfId="1743" xr:uid="{8E39EE23-19AE-4591-981C-F14FF304E9AD}"/>
    <cellStyle name="Moneda 3 3 4 2 3 2 2" xfId="3667" xr:uid="{9F808726-8027-4136-BD9B-8600EE673EF7}"/>
    <cellStyle name="Moneda 3 3 4 2 3 2 2 2" xfId="7515" xr:uid="{7F47BC5E-76A1-4A5E-930D-CA9AC593ED4A}"/>
    <cellStyle name="Moneda 3 3 4 2 3 2 3" xfId="5591" xr:uid="{4C7B2641-0CA7-4976-9FDB-286BA6637022}"/>
    <cellStyle name="Moneda 3 3 4 2 3 3" xfId="2705" xr:uid="{AFE5EF04-8A2C-4FC4-B8B9-7DBD27707091}"/>
    <cellStyle name="Moneda 3 3 4 2 3 3 2" xfId="6553" xr:uid="{1E9FA78D-4E2F-47B3-B917-103081525DFE}"/>
    <cellStyle name="Moneda 3 3 4 2 3 4" xfId="4629" xr:uid="{A4E96849-6CD4-47A5-82FB-FB39342344F2}"/>
    <cellStyle name="Moneda 3 3 4 2 4" xfId="1262" xr:uid="{E96EEF6C-D872-4DB9-920F-AEC0DE1FCA0C}"/>
    <cellStyle name="Moneda 3 3 4 2 4 2" xfId="3186" xr:uid="{CAE0787D-EFFB-4378-B4B9-1540F2AF79AE}"/>
    <cellStyle name="Moneda 3 3 4 2 4 2 2" xfId="7034" xr:uid="{8CDB80B3-A7D4-4BED-A3D0-8BBE200B17B9}"/>
    <cellStyle name="Moneda 3 3 4 2 4 3" xfId="5110" xr:uid="{0F5CD820-D49C-4F6D-9900-4A862C787BFA}"/>
    <cellStyle name="Moneda 3 3 4 2 5" xfId="2224" xr:uid="{FF0786F6-17B3-4FA8-9505-E9025EC2AD1E}"/>
    <cellStyle name="Moneda 3 3 4 2 5 2" xfId="6072" xr:uid="{5E085F49-4B88-46FC-B0D9-047D50DF252B}"/>
    <cellStyle name="Moneda 3 3 4 2 6" xfId="4148" xr:uid="{CF7D2918-E425-4C07-8B82-1305ADB57360}"/>
    <cellStyle name="Moneda 3 3 4 3" xfId="408" xr:uid="{9D3F45B6-C55E-4DAB-BE64-277BCF48EB0E}"/>
    <cellStyle name="Moneda 3 3 4 3 2" xfId="889" xr:uid="{974E7729-310B-466E-AA23-3C9A2520A4A0}"/>
    <cellStyle name="Moneda 3 3 4 3 2 2" xfId="1851" xr:uid="{DB5FA732-C1AE-4ECB-A9F3-4B7F54CF4775}"/>
    <cellStyle name="Moneda 3 3 4 3 2 2 2" xfId="3775" xr:uid="{235B696E-4C86-4074-94F1-19DAA1E21F31}"/>
    <cellStyle name="Moneda 3 3 4 3 2 2 2 2" xfId="7623" xr:uid="{DE49D1AD-84D1-4C44-A8D4-0A2E83101C73}"/>
    <cellStyle name="Moneda 3 3 4 3 2 2 3" xfId="5699" xr:uid="{C1A3AF31-662A-46CD-9A06-305EDDCE4833}"/>
    <cellStyle name="Moneda 3 3 4 3 2 3" xfId="2813" xr:uid="{39428978-48F9-4706-A391-4AF4BA7A8445}"/>
    <cellStyle name="Moneda 3 3 4 3 2 3 2" xfId="6661" xr:uid="{6EB5EC19-AAA7-4214-B3C7-951D8B2D2412}"/>
    <cellStyle name="Moneda 3 3 4 3 2 4" xfId="4737" xr:uid="{6EDACD76-4507-4731-9C19-04E4FA9A6CA1}"/>
    <cellStyle name="Moneda 3 3 4 3 3" xfId="1370" xr:uid="{460E598F-696F-4FB4-ABDD-C388000A7226}"/>
    <cellStyle name="Moneda 3 3 4 3 3 2" xfId="3294" xr:uid="{282BFE27-EDF3-4725-8DBD-68866F1E8A5E}"/>
    <cellStyle name="Moneda 3 3 4 3 3 2 2" xfId="7142" xr:uid="{4D459D88-5C1A-4ED3-A256-DFEA4733A08C}"/>
    <cellStyle name="Moneda 3 3 4 3 3 3" xfId="5218" xr:uid="{D4182FAA-7F7F-47D8-AFE5-153AF64EF5BC}"/>
    <cellStyle name="Moneda 3 3 4 3 4" xfId="2332" xr:uid="{6ACE9B15-179B-4C5E-8EA7-7655F3FD2479}"/>
    <cellStyle name="Moneda 3 3 4 3 4 2" xfId="6180" xr:uid="{2B9A7E3F-C22F-43EC-9049-91942383FA91}"/>
    <cellStyle name="Moneda 3 3 4 3 5" xfId="4256" xr:uid="{455CD843-ECEE-46FF-A9FA-06A3A37A5550}"/>
    <cellStyle name="Moneda 3 3 4 4" xfId="649" xr:uid="{80D5821E-3063-4447-9154-D1497FCB612D}"/>
    <cellStyle name="Moneda 3 3 4 4 2" xfId="1611" xr:uid="{AE1B4FD0-3A7D-4A4B-AD02-FEE83A6EE428}"/>
    <cellStyle name="Moneda 3 3 4 4 2 2" xfId="3535" xr:uid="{8825A39F-F44B-430F-BA7C-012EA25317C7}"/>
    <cellStyle name="Moneda 3 3 4 4 2 2 2" xfId="7383" xr:uid="{064ACEB6-56A0-46E0-B6A7-6E5B1B809326}"/>
    <cellStyle name="Moneda 3 3 4 4 2 3" xfId="5459" xr:uid="{FC0DB148-5AE2-4FA8-8838-57E6FB5551FA}"/>
    <cellStyle name="Moneda 3 3 4 4 3" xfId="2573" xr:uid="{775B1C42-05D0-44FE-8ACC-AB164D0AB6A0}"/>
    <cellStyle name="Moneda 3 3 4 4 3 2" xfId="6421" xr:uid="{5F2335D1-BDF0-40AC-A9DF-02A5AC57BBB7}"/>
    <cellStyle name="Moneda 3 3 4 4 4" xfId="4497" xr:uid="{73C5BA71-C507-45C1-A3ED-0130F2A8D416}"/>
    <cellStyle name="Moneda 3 3 4 5" xfId="1130" xr:uid="{C9C0797B-29B9-410A-B6BF-40D80EE788EC}"/>
    <cellStyle name="Moneda 3 3 4 5 2" xfId="3054" xr:uid="{AD3C418B-4DC0-4999-BF6E-F7B718B9B1D0}"/>
    <cellStyle name="Moneda 3 3 4 5 2 2" xfId="6902" xr:uid="{6B9E0937-0BA7-4E66-9B8F-BAF251C400B3}"/>
    <cellStyle name="Moneda 3 3 4 5 3" xfId="4978" xr:uid="{2FD647C0-2E18-4A19-AB78-24B9C73B1AF8}"/>
    <cellStyle name="Moneda 3 3 4 6" xfId="2092" xr:uid="{CD2C6085-1D50-4FB5-B934-DA40D88A2848}"/>
    <cellStyle name="Moneda 3 3 4 6 2" xfId="5940" xr:uid="{F680F786-5983-4101-90D2-76DA510575A8}"/>
    <cellStyle name="Moneda 3 3 4 7" xfId="4016" xr:uid="{154706BB-C574-485B-9E11-C5BC2130CC48}"/>
    <cellStyle name="Moneda 3 3 5" xfId="262" xr:uid="{883AE64B-29DB-4AC3-A28F-A47FE6B36A75}"/>
    <cellStyle name="Moneda 3 3 5 2" xfId="514" xr:uid="{52898CCE-6EBB-42CC-943B-9C560BFAB22A}"/>
    <cellStyle name="Moneda 3 3 5 2 2" xfId="995" xr:uid="{00118ABE-A3BC-430F-B058-F1441FD39E87}"/>
    <cellStyle name="Moneda 3 3 5 2 2 2" xfId="1957" xr:uid="{895CCF56-876D-4D21-B103-D42908F92D04}"/>
    <cellStyle name="Moneda 3 3 5 2 2 2 2" xfId="3881" xr:uid="{6877A981-677A-45CC-9899-A73462257C13}"/>
    <cellStyle name="Moneda 3 3 5 2 2 2 2 2" xfId="7729" xr:uid="{0992F899-9DDF-4AB2-AEFF-1E8339DFEA87}"/>
    <cellStyle name="Moneda 3 3 5 2 2 2 3" xfId="5805" xr:uid="{BD4A4B44-C169-4A35-9802-98B1F46955D3}"/>
    <cellStyle name="Moneda 3 3 5 2 2 3" xfId="2919" xr:uid="{54B35FF2-518F-4BAF-9992-758F64576872}"/>
    <cellStyle name="Moneda 3 3 5 2 2 3 2" xfId="6767" xr:uid="{E7759C01-36B9-418F-81EF-612843C62A1C}"/>
    <cellStyle name="Moneda 3 3 5 2 2 4" xfId="4843" xr:uid="{C24EDCC3-3E12-4068-BE59-242EE1869C5A}"/>
    <cellStyle name="Moneda 3 3 5 2 3" xfId="1476" xr:uid="{33A504B5-14A9-4531-BC4E-29EE3F346078}"/>
    <cellStyle name="Moneda 3 3 5 2 3 2" xfId="3400" xr:uid="{24480E27-DFD2-4233-9005-FBDAC4345364}"/>
    <cellStyle name="Moneda 3 3 5 2 3 2 2" xfId="7248" xr:uid="{96CB9F08-A416-44B5-8BA0-8CB5DDC60682}"/>
    <cellStyle name="Moneda 3 3 5 2 3 3" xfId="5324" xr:uid="{93BD0225-2549-43D1-B2CB-700578756CFD}"/>
    <cellStyle name="Moneda 3 3 5 2 4" xfId="2438" xr:uid="{2AE6F764-3D37-4E3E-BC93-AC5DE40532FC}"/>
    <cellStyle name="Moneda 3 3 5 2 4 2" xfId="6286" xr:uid="{4E75F88D-CFF7-4953-B630-1A3FFDE65F06}"/>
    <cellStyle name="Moneda 3 3 5 2 5" xfId="4362" xr:uid="{A45889AB-4205-4F91-A410-F9E3188E02DB}"/>
    <cellStyle name="Moneda 3 3 5 3" xfId="755" xr:uid="{BDDE81FD-8D9B-421C-B7ED-9825AE9C760E}"/>
    <cellStyle name="Moneda 3 3 5 3 2" xfId="1717" xr:uid="{C3230544-E153-44BC-AEC8-8EBD1EB04CE7}"/>
    <cellStyle name="Moneda 3 3 5 3 2 2" xfId="3641" xr:uid="{ABA8181D-87C8-4DCB-A963-AAE0D5C8C037}"/>
    <cellStyle name="Moneda 3 3 5 3 2 2 2" xfId="7489" xr:uid="{2FC070F4-75F9-4DA9-B020-FBB3613DC067}"/>
    <cellStyle name="Moneda 3 3 5 3 2 3" xfId="5565" xr:uid="{879BDD13-0353-44B3-8565-20343E8513EB}"/>
    <cellStyle name="Moneda 3 3 5 3 3" xfId="2679" xr:uid="{B4620417-6F06-453F-B4A5-079FA8392485}"/>
    <cellStyle name="Moneda 3 3 5 3 3 2" xfId="6527" xr:uid="{5671BAD0-89AC-41A6-878D-5B3BF432BCF4}"/>
    <cellStyle name="Moneda 3 3 5 3 4" xfId="4603" xr:uid="{5F06D2F4-3B66-4F4A-A2FC-DE7CE078207D}"/>
    <cellStyle name="Moneda 3 3 5 4" xfId="1236" xr:uid="{87105C3D-EC8C-4DEF-AEE4-B8DDC8C58CC2}"/>
    <cellStyle name="Moneda 3 3 5 4 2" xfId="3160" xr:uid="{242D0434-C83C-48BA-9A1F-FF0761754104}"/>
    <cellStyle name="Moneda 3 3 5 4 2 2" xfId="7008" xr:uid="{F33A7804-9FC7-4808-B10D-D9418349BC4A}"/>
    <cellStyle name="Moneda 3 3 5 4 3" xfId="5084" xr:uid="{E7382B79-EBAC-486D-B15F-F34C01C2188C}"/>
    <cellStyle name="Moneda 3 3 5 5" xfId="2198" xr:uid="{73DA8B17-C184-4BBB-9BB5-E63038BF4718}"/>
    <cellStyle name="Moneda 3 3 5 5 2" xfId="6046" xr:uid="{FA5A8AEA-941A-4AA9-A3B0-0DE5CB0C7268}"/>
    <cellStyle name="Moneda 3 3 5 6" xfId="4122" xr:uid="{86050817-DB9E-44F2-A788-87C678E42B6E}"/>
    <cellStyle name="Moneda 3 3 6" xfId="381" xr:uid="{7FEB1284-3182-4710-9385-F5B57EFAF383}"/>
    <cellStyle name="Moneda 3 3 6 2" xfId="862" xr:uid="{703DD268-74FE-45B0-BEE9-E96B3267D23E}"/>
    <cellStyle name="Moneda 3 3 6 2 2" xfId="1824" xr:uid="{A4687671-1607-4487-ABE8-E05F9979D16B}"/>
    <cellStyle name="Moneda 3 3 6 2 2 2" xfId="3748" xr:uid="{446C452F-1DFF-4271-BFF2-7050A26AF0F6}"/>
    <cellStyle name="Moneda 3 3 6 2 2 2 2" xfId="7596" xr:uid="{5FCD8EFC-C477-4FA6-87F2-1050C3FF2FA0}"/>
    <cellStyle name="Moneda 3 3 6 2 2 3" xfId="5672" xr:uid="{AAE33244-6D5A-4CB1-816E-0A5A0EB2C43F}"/>
    <cellStyle name="Moneda 3 3 6 2 3" xfId="2786" xr:uid="{0862FD19-0E88-4B5E-B384-BDFF3E93D4FE}"/>
    <cellStyle name="Moneda 3 3 6 2 3 2" xfId="6634" xr:uid="{8EA1B85A-3F21-4B42-BB3C-5DF7164FBB18}"/>
    <cellStyle name="Moneda 3 3 6 2 4" xfId="4710" xr:uid="{9D7172F0-81A3-4494-8875-E1F61BA0E47E}"/>
    <cellStyle name="Moneda 3 3 6 3" xfId="1343" xr:uid="{3955EC27-7385-462A-A98C-9E5D9478BB00}"/>
    <cellStyle name="Moneda 3 3 6 3 2" xfId="3267" xr:uid="{7A9BE21C-6E02-4E55-8A4E-EA168874F82D}"/>
    <cellStyle name="Moneda 3 3 6 3 2 2" xfId="7115" xr:uid="{045A09D9-B8BB-4200-BF6F-57CEE05B5BBE}"/>
    <cellStyle name="Moneda 3 3 6 3 3" xfId="5191" xr:uid="{FFCA8AE6-CF2D-4846-A727-956CD083A78C}"/>
    <cellStyle name="Moneda 3 3 6 4" xfId="2305" xr:uid="{1B26079B-5D1E-4EA6-9476-C0A8B5BC5782}"/>
    <cellStyle name="Moneda 3 3 6 4 2" xfId="6153" xr:uid="{ADB11EB8-ED58-45D8-98F1-64A997909E60}"/>
    <cellStyle name="Moneda 3 3 6 5" xfId="4229" xr:uid="{99E3103B-C780-4CF8-9D99-1B17B5712C9B}"/>
    <cellStyle name="Moneda 3 3 7" xfId="622" xr:uid="{23DCE7D2-E59B-465D-8423-A115C42DF829}"/>
    <cellStyle name="Moneda 3 3 7 2" xfId="1584" xr:uid="{02DDF309-CFD9-4DD2-B9E7-EC408E94C884}"/>
    <cellStyle name="Moneda 3 3 7 2 2" xfId="3508" xr:uid="{A0B3EFDC-95CE-4F1E-BD80-038A2BC8E848}"/>
    <cellStyle name="Moneda 3 3 7 2 2 2" xfId="7356" xr:uid="{DF877D62-101B-4340-96B0-1A632989A04D}"/>
    <cellStyle name="Moneda 3 3 7 2 3" xfId="5432" xr:uid="{06B18EDB-D198-4B2D-9717-7C6EFD7B543E}"/>
    <cellStyle name="Moneda 3 3 7 3" xfId="2546" xr:uid="{993064B9-0188-4A14-AD23-130316C8AA7E}"/>
    <cellStyle name="Moneda 3 3 7 3 2" xfId="6394" xr:uid="{C0CE0EA4-9235-4F10-8645-8079A57243AB}"/>
    <cellStyle name="Moneda 3 3 7 4" xfId="4470" xr:uid="{F4EA7D7A-FF29-48F6-B38C-427A7C4BE8A3}"/>
    <cellStyle name="Moneda 3 3 8" xfId="1103" xr:uid="{1FC48B43-38AE-4551-9346-2968CF9263E1}"/>
    <cellStyle name="Moneda 3 3 8 2" xfId="3027" xr:uid="{767AE29F-71E4-47CF-A4F3-85A10FAF5710}"/>
    <cellStyle name="Moneda 3 3 8 2 2" xfId="6875" xr:uid="{8F24B1DA-1596-40C9-9736-23138F15842F}"/>
    <cellStyle name="Moneda 3 3 8 3" xfId="4951" xr:uid="{1FF57212-11C5-40D6-AEAE-3DCBBE70390E}"/>
    <cellStyle name="Moneda 3 3 9" xfId="2065" xr:uid="{799EE5E6-B5C9-4004-95EF-F01C6B325709}"/>
    <cellStyle name="Moneda 3 3 9 2" xfId="5913" xr:uid="{C563D83A-BB6B-4E68-A417-9672D361FC8C}"/>
    <cellStyle name="Moneda 3 4" xfId="96" xr:uid="{7D32D400-DB2F-4668-978C-A00885D2434D}"/>
    <cellStyle name="Moneda 3 4 10" xfId="3985" xr:uid="{C7E344E6-65DC-4A47-988E-B197D1C3776A}"/>
    <cellStyle name="Moneda 3 4 11" xfId="7860" xr:uid="{2D3B5BFD-FA09-43FF-952B-EEDA6A7072D3}"/>
    <cellStyle name="Moneda 3 4 2" xfId="157" xr:uid="{DE45A272-C775-463B-8E5F-FB859ADA412D}"/>
    <cellStyle name="Moneda 3 4 2 2" xfId="194" xr:uid="{24F2222D-B508-4BDF-88A9-59ED2F901CD7}"/>
    <cellStyle name="Moneda 3 4 2 2 2" xfId="328" xr:uid="{57A923F4-0EC0-4BA1-B1D9-29B1BFE83DAB}"/>
    <cellStyle name="Moneda 3 4 2 2 2 2" xfId="579" xr:uid="{0D42FF4E-8F72-4256-9699-5353C9F0F6EA}"/>
    <cellStyle name="Moneda 3 4 2 2 2 2 2" xfId="1060" xr:uid="{4BAEB6AE-8375-4EB9-8716-39821A8BB52A}"/>
    <cellStyle name="Moneda 3 4 2 2 2 2 2 2" xfId="2022" xr:uid="{F27ADF94-0932-44DC-8417-8EEC17C5AA08}"/>
    <cellStyle name="Moneda 3 4 2 2 2 2 2 2 2" xfId="3946" xr:uid="{87B9E49D-8A1A-40F8-ADB9-1C091B1C8554}"/>
    <cellStyle name="Moneda 3 4 2 2 2 2 2 2 2 2" xfId="7794" xr:uid="{AB220C5C-1C87-4CA0-907D-07BE8E836A4F}"/>
    <cellStyle name="Moneda 3 4 2 2 2 2 2 2 3" xfId="5870" xr:uid="{18BC630A-D95A-486D-9880-1094C90BE2D8}"/>
    <cellStyle name="Moneda 3 4 2 2 2 2 2 3" xfId="2984" xr:uid="{00869421-54A9-4119-91EB-9EC9AF743F3D}"/>
    <cellStyle name="Moneda 3 4 2 2 2 2 2 3 2" xfId="6832" xr:uid="{D4A38033-5BC1-411B-9E1F-558787E06A8B}"/>
    <cellStyle name="Moneda 3 4 2 2 2 2 2 4" xfId="4908" xr:uid="{5F096982-863A-4627-A1CA-438952F14BD5}"/>
    <cellStyle name="Moneda 3 4 2 2 2 2 3" xfId="1541" xr:uid="{E5A3E5B5-31AA-4669-9705-7B62381230F6}"/>
    <cellStyle name="Moneda 3 4 2 2 2 2 3 2" xfId="3465" xr:uid="{37CC0B29-BB97-4E83-9BA6-7B756706CEF1}"/>
    <cellStyle name="Moneda 3 4 2 2 2 2 3 2 2" xfId="7313" xr:uid="{0C3C32E4-41B1-452E-9ACC-FB350EA82D28}"/>
    <cellStyle name="Moneda 3 4 2 2 2 2 3 3" xfId="5389" xr:uid="{68E935AE-8A37-4B16-BAD7-9E1DEA3F2DB8}"/>
    <cellStyle name="Moneda 3 4 2 2 2 2 4" xfId="2503" xr:uid="{EF9BD9A4-6F31-46A2-82BC-FF7811FD2662}"/>
    <cellStyle name="Moneda 3 4 2 2 2 2 4 2" xfId="6351" xr:uid="{06BC257D-BAE5-4B46-9274-20F0F52D17FE}"/>
    <cellStyle name="Moneda 3 4 2 2 2 2 5" xfId="4427" xr:uid="{B24147CC-1B02-4C18-83D4-EBF2B518F1EF}"/>
    <cellStyle name="Moneda 3 4 2 2 2 3" xfId="820" xr:uid="{135C7F42-9C7C-4C88-A9DC-645AA3612B1D}"/>
    <cellStyle name="Moneda 3 4 2 2 2 3 2" xfId="1782" xr:uid="{1BE0E203-C2FD-4BFE-8DEA-42DF29908CBC}"/>
    <cellStyle name="Moneda 3 4 2 2 2 3 2 2" xfId="3706" xr:uid="{108F549E-1797-4975-9EB4-8517CD7090FE}"/>
    <cellStyle name="Moneda 3 4 2 2 2 3 2 2 2" xfId="7554" xr:uid="{817BFAF0-5ACC-4271-A08E-C9E46CD1738B}"/>
    <cellStyle name="Moneda 3 4 2 2 2 3 2 3" xfId="5630" xr:uid="{CC6C7920-A503-4331-97C1-EFFB8FD8EDD0}"/>
    <cellStyle name="Moneda 3 4 2 2 2 3 3" xfId="2744" xr:uid="{9A91063F-AA15-4888-A19D-52C7674DD504}"/>
    <cellStyle name="Moneda 3 4 2 2 2 3 3 2" xfId="6592" xr:uid="{C6A3A6D1-812B-4566-885F-F1F6E21FCDB0}"/>
    <cellStyle name="Moneda 3 4 2 2 2 3 4" xfId="4668" xr:uid="{1F4B4F47-D9DA-4E11-A64D-F9AEA42E996B}"/>
    <cellStyle name="Moneda 3 4 2 2 2 4" xfId="1301" xr:uid="{22D832DF-10EB-4F53-8EB8-74FCBC0596E1}"/>
    <cellStyle name="Moneda 3 4 2 2 2 4 2" xfId="3225" xr:uid="{0C46C3D7-3943-4BE6-AAB8-B6D6BBC7F692}"/>
    <cellStyle name="Moneda 3 4 2 2 2 4 2 2" xfId="7073" xr:uid="{7BB4E2B7-C808-4618-AB24-C6EA01D05B9E}"/>
    <cellStyle name="Moneda 3 4 2 2 2 4 3" xfId="5149" xr:uid="{F9EBC0D8-27FF-42E0-AC85-4692622530E9}"/>
    <cellStyle name="Moneda 3 4 2 2 2 5" xfId="2263" xr:uid="{19A089C6-9331-4EA1-8E17-10282A7D629B}"/>
    <cellStyle name="Moneda 3 4 2 2 2 5 2" xfId="6111" xr:uid="{C31584C1-AFCE-40AB-85CD-490C11A77A2B}"/>
    <cellStyle name="Moneda 3 4 2 2 2 6" xfId="4187" xr:uid="{6C899761-8654-41E5-ADB5-3FD9F865A0FF}"/>
    <cellStyle name="Moneda 3 4 2 2 3" xfId="447" xr:uid="{83629685-72E2-4489-AC36-2F77F875ED40}"/>
    <cellStyle name="Moneda 3 4 2 2 3 2" xfId="928" xr:uid="{A26AF96B-1FB4-4674-B63F-1733CEADEE0A}"/>
    <cellStyle name="Moneda 3 4 2 2 3 2 2" xfId="1890" xr:uid="{D980A004-E0DD-4023-B7D4-F1DB429EE377}"/>
    <cellStyle name="Moneda 3 4 2 2 3 2 2 2" xfId="3814" xr:uid="{9584DD99-84B7-4774-BC72-5A2FDBC4718E}"/>
    <cellStyle name="Moneda 3 4 2 2 3 2 2 2 2" xfId="7662" xr:uid="{6A729D40-2369-451F-BD70-957E3DDAEA4D}"/>
    <cellStyle name="Moneda 3 4 2 2 3 2 2 3" xfId="5738" xr:uid="{BE0B40A4-F59F-40C1-8DBC-99C0B0EA032A}"/>
    <cellStyle name="Moneda 3 4 2 2 3 2 3" xfId="2852" xr:uid="{E07910F5-AF8C-41C2-B4D5-3B7880A5199A}"/>
    <cellStyle name="Moneda 3 4 2 2 3 2 3 2" xfId="6700" xr:uid="{1FED4133-AE80-447B-A7B2-AB9E24E979F4}"/>
    <cellStyle name="Moneda 3 4 2 2 3 2 4" xfId="4776" xr:uid="{17214A11-301C-46ED-A70D-25B10AC126FA}"/>
    <cellStyle name="Moneda 3 4 2 2 3 3" xfId="1409" xr:uid="{8A6ADA45-28CA-4F5E-9F2A-B629245ED89B}"/>
    <cellStyle name="Moneda 3 4 2 2 3 3 2" xfId="3333" xr:uid="{8A8E8F15-997C-47B9-BB42-862B44AAFEEB}"/>
    <cellStyle name="Moneda 3 4 2 2 3 3 2 2" xfId="7181" xr:uid="{59C1AD66-32A3-4C0A-BC09-F8BCC892E09C}"/>
    <cellStyle name="Moneda 3 4 2 2 3 3 3" xfId="5257" xr:uid="{FE8868C6-1835-480D-8241-3FAB04191EF0}"/>
    <cellStyle name="Moneda 3 4 2 2 3 4" xfId="2371" xr:uid="{B8005617-F002-4628-9365-6FD849500309}"/>
    <cellStyle name="Moneda 3 4 2 2 3 4 2" xfId="6219" xr:uid="{0F9F2062-C9AB-41FA-B2FB-ABDF35BC84EB}"/>
    <cellStyle name="Moneda 3 4 2 2 3 5" xfId="4295" xr:uid="{A667F80B-38D3-403A-8D65-BF892A9D7AA2}"/>
    <cellStyle name="Moneda 3 4 2 2 4" xfId="688" xr:uid="{C9408CA0-EEAC-4703-8BB4-B9E2C99AFAD2}"/>
    <cellStyle name="Moneda 3 4 2 2 4 2" xfId="1650" xr:uid="{15CD757E-FE0A-4CE6-AB37-1F95AC1A8AEB}"/>
    <cellStyle name="Moneda 3 4 2 2 4 2 2" xfId="3574" xr:uid="{19A669DF-74AA-41CD-A5AA-419597E28E76}"/>
    <cellStyle name="Moneda 3 4 2 2 4 2 2 2" xfId="7422" xr:uid="{A5003C3A-E723-47A1-B40F-113A079B5EE3}"/>
    <cellStyle name="Moneda 3 4 2 2 4 2 3" xfId="5498" xr:uid="{FD0754F6-348E-4308-847C-7DFE8757F062}"/>
    <cellStyle name="Moneda 3 4 2 2 4 3" xfId="2612" xr:uid="{3C214B98-9A52-4D7C-8845-B08012584D62}"/>
    <cellStyle name="Moneda 3 4 2 2 4 3 2" xfId="6460" xr:uid="{1BBE8CF8-8839-48BD-8281-668D4648AEED}"/>
    <cellStyle name="Moneda 3 4 2 2 4 4" xfId="4536" xr:uid="{D870663B-BFAE-47C7-A066-47AF93304BED}"/>
    <cellStyle name="Moneda 3 4 2 2 5" xfId="1169" xr:uid="{9D35BBEE-7DF7-4AD4-A8E8-6D77CA6F00EA}"/>
    <cellStyle name="Moneda 3 4 2 2 5 2" xfId="3093" xr:uid="{2E0D620F-ADDB-40BB-BF00-82998C9236E5}"/>
    <cellStyle name="Moneda 3 4 2 2 5 2 2" xfId="6941" xr:uid="{4F8538DE-21F8-4216-B4A6-09593E897217}"/>
    <cellStyle name="Moneda 3 4 2 2 5 3" xfId="5017" xr:uid="{BEAB78EF-E01A-41C4-9007-C10A8894F034}"/>
    <cellStyle name="Moneda 3 4 2 2 6" xfId="2131" xr:uid="{0976F741-C92D-44BD-9001-464BDDE243C6}"/>
    <cellStyle name="Moneda 3 4 2 2 6 2" xfId="5979" xr:uid="{F023E44F-90D5-461C-9B6E-C2D6B024B681}"/>
    <cellStyle name="Moneda 3 4 2 2 7" xfId="4055" xr:uid="{E5C69F5E-39D3-458D-8CA9-A95C7D0F4DEF}"/>
    <cellStyle name="Moneda 3 4 2 3" xfId="295" xr:uid="{AE9EF9A9-26BF-45CB-8C8C-F02C7C63F716}"/>
    <cellStyle name="Moneda 3 4 2 3 2" xfId="546" xr:uid="{EE88F03F-93B7-4143-BD00-AD279452C05E}"/>
    <cellStyle name="Moneda 3 4 2 3 2 2" xfId="1027" xr:uid="{12CA50CB-A7AF-4D23-810C-3489928AB744}"/>
    <cellStyle name="Moneda 3 4 2 3 2 2 2" xfId="1989" xr:uid="{99D55E6A-FF3A-4D67-8701-22A7244B1A03}"/>
    <cellStyle name="Moneda 3 4 2 3 2 2 2 2" xfId="3913" xr:uid="{486EF0AC-F6EC-460F-A2AD-63CF5E4A27DE}"/>
    <cellStyle name="Moneda 3 4 2 3 2 2 2 2 2" xfId="7761" xr:uid="{3223DE42-C4EE-4025-B2B1-4AB7B0C94908}"/>
    <cellStyle name="Moneda 3 4 2 3 2 2 2 3" xfId="5837" xr:uid="{7F231AA5-289A-40B2-90F6-8FD3D97B49F5}"/>
    <cellStyle name="Moneda 3 4 2 3 2 2 3" xfId="2951" xr:uid="{1DBD00D4-90CC-4E1B-A9C4-88BCD490D3F5}"/>
    <cellStyle name="Moneda 3 4 2 3 2 2 3 2" xfId="6799" xr:uid="{EDDC992F-CA5E-4E4D-8CB5-F5FB5AEAF325}"/>
    <cellStyle name="Moneda 3 4 2 3 2 2 4" xfId="4875" xr:uid="{EE801BF2-B95E-4101-910F-968E31B85BAE}"/>
    <cellStyle name="Moneda 3 4 2 3 2 3" xfId="1508" xr:uid="{9ADCDC08-849D-48F0-A04C-7A5CFC52E219}"/>
    <cellStyle name="Moneda 3 4 2 3 2 3 2" xfId="3432" xr:uid="{33744CFD-3184-487D-B5F2-1837EEC41049}"/>
    <cellStyle name="Moneda 3 4 2 3 2 3 2 2" xfId="7280" xr:uid="{06A730DD-0D4E-4E71-9BB4-C00A0A1241DA}"/>
    <cellStyle name="Moneda 3 4 2 3 2 3 3" xfId="5356" xr:uid="{604C865B-1DD3-4FFF-9E43-6507DB91635B}"/>
    <cellStyle name="Moneda 3 4 2 3 2 4" xfId="2470" xr:uid="{C27BDDD9-C2F3-4D6A-B2B5-DD40AC137189}"/>
    <cellStyle name="Moneda 3 4 2 3 2 4 2" xfId="6318" xr:uid="{5ACDE162-B53E-476F-817B-772576ECC573}"/>
    <cellStyle name="Moneda 3 4 2 3 2 5" xfId="4394" xr:uid="{39099133-55D6-4559-80A9-93C079FB0EBC}"/>
    <cellStyle name="Moneda 3 4 2 3 3" xfId="787" xr:uid="{0072E011-0564-4F3E-B44D-10A368DD776F}"/>
    <cellStyle name="Moneda 3 4 2 3 3 2" xfId="1749" xr:uid="{43CE0829-F358-48FB-8D57-2B3AF4243161}"/>
    <cellStyle name="Moneda 3 4 2 3 3 2 2" xfId="3673" xr:uid="{01445AE8-BA00-4065-A20C-26D9A04DE095}"/>
    <cellStyle name="Moneda 3 4 2 3 3 2 2 2" xfId="7521" xr:uid="{59E03339-8750-42F4-BE14-7E076AE05297}"/>
    <cellStyle name="Moneda 3 4 2 3 3 2 3" xfId="5597" xr:uid="{89781DE2-6636-4E2F-929F-DACF186C3D4D}"/>
    <cellStyle name="Moneda 3 4 2 3 3 3" xfId="2711" xr:uid="{8777C1E3-A791-47B9-BA7A-FE178CBBA38F}"/>
    <cellStyle name="Moneda 3 4 2 3 3 3 2" xfId="6559" xr:uid="{98EAAD2A-C85E-423C-BF25-184AE48D060F}"/>
    <cellStyle name="Moneda 3 4 2 3 3 4" xfId="4635" xr:uid="{E8A31DF6-C7FA-4D81-8848-984EBE848F51}"/>
    <cellStyle name="Moneda 3 4 2 3 4" xfId="1268" xr:uid="{231A435F-4610-4027-BA88-A86C83EB4BAA}"/>
    <cellStyle name="Moneda 3 4 2 3 4 2" xfId="3192" xr:uid="{3D4B47D2-4EA4-4916-BC5C-AF6CE2F8C55B}"/>
    <cellStyle name="Moneda 3 4 2 3 4 2 2" xfId="7040" xr:uid="{35B948A7-32AD-4715-ADAD-6B63E1388109}"/>
    <cellStyle name="Moneda 3 4 2 3 4 3" xfId="5116" xr:uid="{0AE76B1A-84A0-4AD0-9DA3-3923A649F156}"/>
    <cellStyle name="Moneda 3 4 2 3 5" xfId="2230" xr:uid="{CA59F04A-820E-4904-8984-A60AADAB19EA}"/>
    <cellStyle name="Moneda 3 4 2 3 5 2" xfId="6078" xr:uid="{30653822-81C5-4EFD-9526-0AE8C10435E0}"/>
    <cellStyle name="Moneda 3 4 2 3 6" xfId="4154" xr:uid="{7980C44F-389E-4715-B394-070A3F7F6171}"/>
    <cellStyle name="Moneda 3 4 2 4" xfId="228" xr:uid="{97DF91E8-69F9-4CDA-914D-EBEAA3159826}"/>
    <cellStyle name="Moneda 3 4 2 4 2" xfId="480" xr:uid="{264E762B-C786-4D8A-8DBE-44535A949159}"/>
    <cellStyle name="Moneda 3 4 2 4 2 2" xfId="961" xr:uid="{8D711664-32D2-4306-ABAF-770E4026B353}"/>
    <cellStyle name="Moneda 3 4 2 4 2 2 2" xfId="1923" xr:uid="{B872206D-3E86-4CA5-98AD-DF34DDEE06AE}"/>
    <cellStyle name="Moneda 3 4 2 4 2 2 2 2" xfId="3847" xr:uid="{3D15C750-5660-4E52-AFDC-7CFE135E724A}"/>
    <cellStyle name="Moneda 3 4 2 4 2 2 2 2 2" xfId="7695" xr:uid="{CCF7E713-83BF-4816-93FD-693493E34BCB}"/>
    <cellStyle name="Moneda 3 4 2 4 2 2 2 3" xfId="5771" xr:uid="{D54BEE30-18A3-4938-893F-D221F8EF6AFE}"/>
    <cellStyle name="Moneda 3 4 2 4 2 2 3" xfId="2885" xr:uid="{8FB03B61-0FD6-4EA0-B5DF-FA0755C8E578}"/>
    <cellStyle name="Moneda 3 4 2 4 2 2 3 2" xfId="6733" xr:uid="{96617795-FD1C-4105-A8C4-3B39C5B4F35C}"/>
    <cellStyle name="Moneda 3 4 2 4 2 2 4" xfId="4809" xr:uid="{35FC20F8-40DA-4661-81A5-0B1A29124D65}"/>
    <cellStyle name="Moneda 3 4 2 4 2 3" xfId="1442" xr:uid="{CE1C3037-29CC-44F8-B853-B0EFFEF84FBB}"/>
    <cellStyle name="Moneda 3 4 2 4 2 3 2" xfId="3366" xr:uid="{2E34A3F9-F358-4CEC-8A05-3251636AF1D1}"/>
    <cellStyle name="Moneda 3 4 2 4 2 3 2 2" xfId="7214" xr:uid="{FBE743C9-C7D9-452E-A6AD-45ECF3987393}"/>
    <cellStyle name="Moneda 3 4 2 4 2 3 3" xfId="5290" xr:uid="{7B9BAA16-1179-4A4B-B4AC-1C396DB8302B}"/>
    <cellStyle name="Moneda 3 4 2 4 2 4" xfId="2404" xr:uid="{23C90650-8C02-4D01-87CA-4EAA00F5A6D3}"/>
    <cellStyle name="Moneda 3 4 2 4 2 4 2" xfId="6252" xr:uid="{4E9899C0-A08F-4953-8894-A84227E0CDE7}"/>
    <cellStyle name="Moneda 3 4 2 4 2 5" xfId="4328" xr:uid="{2785FC0F-15AC-4F6B-9BB0-A22B535C83E9}"/>
    <cellStyle name="Moneda 3 4 2 4 3" xfId="721" xr:uid="{1BA7979B-484F-41A5-8BC9-1002F6A3AC82}"/>
    <cellStyle name="Moneda 3 4 2 4 3 2" xfId="1683" xr:uid="{1F13BE83-2EA9-4C3C-8842-1CAE9634AF04}"/>
    <cellStyle name="Moneda 3 4 2 4 3 2 2" xfId="3607" xr:uid="{E75B0A47-9B83-480C-B796-FF0C9E6F9329}"/>
    <cellStyle name="Moneda 3 4 2 4 3 2 2 2" xfId="7455" xr:uid="{30042A98-EB29-47D7-932D-AF7BE6699209}"/>
    <cellStyle name="Moneda 3 4 2 4 3 2 3" xfId="5531" xr:uid="{73DB91D7-2FEF-4E35-A281-84DF66403CB4}"/>
    <cellStyle name="Moneda 3 4 2 4 3 3" xfId="2645" xr:uid="{4F859443-E874-42F3-84B5-596328999D34}"/>
    <cellStyle name="Moneda 3 4 2 4 3 3 2" xfId="6493" xr:uid="{C0B987FC-98FD-4A4D-9B87-FBD20A4FBA27}"/>
    <cellStyle name="Moneda 3 4 2 4 3 4" xfId="4569" xr:uid="{AE32E9D1-27AA-4504-B093-99CBCDB077B8}"/>
    <cellStyle name="Moneda 3 4 2 4 4" xfId="1202" xr:uid="{16AEFBC1-44F0-486F-B021-F3876B18A33F}"/>
    <cellStyle name="Moneda 3 4 2 4 4 2" xfId="3126" xr:uid="{37641E9C-A332-4563-BBAA-74494AAB4F6D}"/>
    <cellStyle name="Moneda 3 4 2 4 4 2 2" xfId="6974" xr:uid="{E23DE4BB-4E7B-44C3-8D46-3A49099E54BC}"/>
    <cellStyle name="Moneda 3 4 2 4 4 3" xfId="5050" xr:uid="{B2E1C78B-B5C6-4543-94EC-B1B7A8C8732D}"/>
    <cellStyle name="Moneda 3 4 2 4 5" xfId="2164" xr:uid="{780359CF-7879-4D08-BC29-0858B62AF16C}"/>
    <cellStyle name="Moneda 3 4 2 4 5 2" xfId="6012" xr:uid="{7BA5425E-0449-4D45-944D-310DBEA76611}"/>
    <cellStyle name="Moneda 3 4 2 4 6" xfId="4088" xr:uid="{8E4EDB16-BE14-4EC9-B0CB-05E6E7B927BD}"/>
    <cellStyle name="Moneda 3 4 2 5" xfId="414" xr:uid="{51EE3CBE-FC03-4A16-B56F-2BD2E2870C8F}"/>
    <cellStyle name="Moneda 3 4 2 5 2" xfId="895" xr:uid="{53116832-04EF-4BE5-BFC3-4BF6E6F58B1C}"/>
    <cellStyle name="Moneda 3 4 2 5 2 2" xfId="1857" xr:uid="{9D9C6DC4-2BA2-44DE-86BC-81D1071537E0}"/>
    <cellStyle name="Moneda 3 4 2 5 2 2 2" xfId="3781" xr:uid="{69ECA9C7-60EB-4C28-A7EF-02B3F19A9136}"/>
    <cellStyle name="Moneda 3 4 2 5 2 2 2 2" xfId="7629" xr:uid="{557DFA7F-FA03-440E-A4E9-E062853E01C6}"/>
    <cellStyle name="Moneda 3 4 2 5 2 2 3" xfId="5705" xr:uid="{6103BB2C-3184-447D-9E19-84A64E8B6E12}"/>
    <cellStyle name="Moneda 3 4 2 5 2 3" xfId="2819" xr:uid="{C5A828E7-53EC-4CA8-BA5A-9A0B472BBD10}"/>
    <cellStyle name="Moneda 3 4 2 5 2 3 2" xfId="6667" xr:uid="{45736B5E-8947-42E7-A024-8C907CEFC752}"/>
    <cellStyle name="Moneda 3 4 2 5 2 4" xfId="4743" xr:uid="{7E909289-360C-40F1-92E2-E9240A6BCF18}"/>
    <cellStyle name="Moneda 3 4 2 5 3" xfId="1376" xr:uid="{8849C0BC-8108-45BC-9EE5-4C7F084275EE}"/>
    <cellStyle name="Moneda 3 4 2 5 3 2" xfId="3300" xr:uid="{CDAE0B97-4436-403C-B690-F139509D49FC}"/>
    <cellStyle name="Moneda 3 4 2 5 3 2 2" xfId="7148" xr:uid="{B0695D93-1D59-4772-9602-29392CC503B8}"/>
    <cellStyle name="Moneda 3 4 2 5 3 3" xfId="5224" xr:uid="{CA5D94A5-A038-4E64-82D1-BB6F3734D449}"/>
    <cellStyle name="Moneda 3 4 2 5 4" xfId="2338" xr:uid="{E0BF5F46-C26F-49DE-A4F1-9D97D340F9E4}"/>
    <cellStyle name="Moneda 3 4 2 5 4 2" xfId="6186" xr:uid="{0FBBB9C1-2081-4689-AB00-F7CBC54EC9DF}"/>
    <cellStyle name="Moneda 3 4 2 5 5" xfId="4262" xr:uid="{615C27B9-A80A-482E-AF45-0BC1F251211C}"/>
    <cellStyle name="Moneda 3 4 2 6" xfId="655" xr:uid="{FADE27FB-3A68-4C8E-956A-4AD6FC0102E3}"/>
    <cellStyle name="Moneda 3 4 2 6 2" xfId="1617" xr:uid="{0EF65A6C-3309-401D-84A5-C61C36EA4DB2}"/>
    <cellStyle name="Moneda 3 4 2 6 2 2" xfId="3541" xr:uid="{809946A0-DDE4-4465-91BC-D9167D592AD5}"/>
    <cellStyle name="Moneda 3 4 2 6 2 2 2" xfId="7389" xr:uid="{F5BCB780-3BB1-488E-8083-D807D4CAF160}"/>
    <cellStyle name="Moneda 3 4 2 6 2 3" xfId="5465" xr:uid="{FAE4F1C5-56E2-4048-8B4C-DA355750F711}"/>
    <cellStyle name="Moneda 3 4 2 6 3" xfId="2579" xr:uid="{98E74C74-F965-451F-872F-2B747560F066}"/>
    <cellStyle name="Moneda 3 4 2 6 3 2" xfId="6427" xr:uid="{4490C821-1D59-46F2-8120-EA4BBA548129}"/>
    <cellStyle name="Moneda 3 4 2 6 4" xfId="4503" xr:uid="{9B0A4698-7BB2-4760-9344-B2600ED47260}"/>
    <cellStyle name="Moneda 3 4 2 7" xfId="1136" xr:uid="{F8E6F14A-7AA9-472C-AB24-07E397FC4D15}"/>
    <cellStyle name="Moneda 3 4 2 7 2" xfId="3060" xr:uid="{1BE53146-E657-47C5-86DD-F9014ED0FA70}"/>
    <cellStyle name="Moneda 3 4 2 7 2 2" xfId="6908" xr:uid="{2D14DB1A-98DA-4BBA-847A-26C637973CB5}"/>
    <cellStyle name="Moneda 3 4 2 7 3" xfId="4984" xr:uid="{1B99AFF0-C5F6-408B-8094-A3D56934DB8C}"/>
    <cellStyle name="Moneda 3 4 2 8" xfId="2098" xr:uid="{6E93044B-61F0-4B9B-A79D-258D82FFAE83}"/>
    <cellStyle name="Moneda 3 4 2 8 2" xfId="5946" xr:uid="{1347BB76-F042-41B0-B31E-D8361C065AD0}"/>
    <cellStyle name="Moneda 3 4 2 9" xfId="4022" xr:uid="{0C412C81-4180-4BD2-948F-BAA9B298B002}"/>
    <cellStyle name="Moneda 3 4 3" xfId="167" xr:uid="{B796DAE0-516D-4607-8041-C69060EC359D}"/>
    <cellStyle name="Moneda 3 4 3 2" xfId="203" xr:uid="{15B08908-7FED-4DD4-B850-85C1DD78E00E}"/>
    <cellStyle name="Moneda 3 4 3 2 2" xfId="337" xr:uid="{8A6B062A-2654-4901-901A-EE02916821B8}"/>
    <cellStyle name="Moneda 3 4 3 2 2 2" xfId="588" xr:uid="{9511E7B3-EDCD-4A3E-9BEE-850D6FFDF9E5}"/>
    <cellStyle name="Moneda 3 4 3 2 2 2 2" xfId="1069" xr:uid="{EE5217CC-F871-492F-807E-A0657BA86FB5}"/>
    <cellStyle name="Moneda 3 4 3 2 2 2 2 2" xfId="2031" xr:uid="{CE444502-40B0-437F-BB2D-655D45E58E70}"/>
    <cellStyle name="Moneda 3 4 3 2 2 2 2 2 2" xfId="3955" xr:uid="{E130CFA5-60AC-4C35-A0BB-051E57B21756}"/>
    <cellStyle name="Moneda 3 4 3 2 2 2 2 2 2 2" xfId="7803" xr:uid="{2AFBF8E1-2103-4239-AF1A-A2287C91A634}"/>
    <cellStyle name="Moneda 3 4 3 2 2 2 2 2 3" xfId="5879" xr:uid="{D6020064-6045-4802-9398-7FDA8CDCC190}"/>
    <cellStyle name="Moneda 3 4 3 2 2 2 2 3" xfId="2993" xr:uid="{E9B217E7-0004-4EFC-A03C-7B5EE2A8B731}"/>
    <cellStyle name="Moneda 3 4 3 2 2 2 2 3 2" xfId="6841" xr:uid="{B04F1A42-8870-4BA2-BDC3-0CF025ED0E85}"/>
    <cellStyle name="Moneda 3 4 3 2 2 2 2 4" xfId="4917" xr:uid="{D972A9EB-2CDE-4907-92E3-6737C77A712C}"/>
    <cellStyle name="Moneda 3 4 3 2 2 2 3" xfId="1550" xr:uid="{84A001F3-558E-4884-B94C-C7E77A2459BD}"/>
    <cellStyle name="Moneda 3 4 3 2 2 2 3 2" xfId="3474" xr:uid="{1DC5FCF6-25CB-4B91-8D3D-E070CE8DE230}"/>
    <cellStyle name="Moneda 3 4 3 2 2 2 3 2 2" xfId="7322" xr:uid="{BCB68A87-E180-42FD-B3B2-7BE6D86FB9DD}"/>
    <cellStyle name="Moneda 3 4 3 2 2 2 3 3" xfId="5398" xr:uid="{33AC02F6-C08B-457E-98F1-D71548871148}"/>
    <cellStyle name="Moneda 3 4 3 2 2 2 4" xfId="2512" xr:uid="{EC84CA63-5581-45B1-8C78-1DBB939C70AF}"/>
    <cellStyle name="Moneda 3 4 3 2 2 2 4 2" xfId="6360" xr:uid="{0D0C55DF-F16D-4546-A206-085738642D78}"/>
    <cellStyle name="Moneda 3 4 3 2 2 2 5" xfId="4436" xr:uid="{7EF1E7DE-2C95-46AB-925C-61702A966FC8}"/>
    <cellStyle name="Moneda 3 4 3 2 2 3" xfId="829" xr:uid="{F9F91E7B-C3CE-44AE-AE93-BDDE3386D1EE}"/>
    <cellStyle name="Moneda 3 4 3 2 2 3 2" xfId="1791" xr:uid="{9E646539-ED68-4901-B6D5-CF5884E72B90}"/>
    <cellStyle name="Moneda 3 4 3 2 2 3 2 2" xfId="3715" xr:uid="{DEA5DEBD-C3B5-41AF-BEA1-DE8065BD9AFF}"/>
    <cellStyle name="Moneda 3 4 3 2 2 3 2 2 2" xfId="7563" xr:uid="{8CB13A5B-512D-4B27-A427-5A5052E8D99B}"/>
    <cellStyle name="Moneda 3 4 3 2 2 3 2 3" xfId="5639" xr:uid="{91E47159-898E-463E-AC2A-287D3DF33EA0}"/>
    <cellStyle name="Moneda 3 4 3 2 2 3 3" xfId="2753" xr:uid="{5FB213D2-A2A1-4D65-8C26-9E4EC54A3868}"/>
    <cellStyle name="Moneda 3 4 3 2 2 3 3 2" xfId="6601" xr:uid="{7BF321AF-B3ED-49F3-9A96-ABBDB7676EB0}"/>
    <cellStyle name="Moneda 3 4 3 2 2 3 4" xfId="4677" xr:uid="{295CF1BC-3F42-4AFE-833B-06038E886239}"/>
    <cellStyle name="Moneda 3 4 3 2 2 4" xfId="1310" xr:uid="{6B0510FF-02A2-44BD-B0EA-575C20754700}"/>
    <cellStyle name="Moneda 3 4 3 2 2 4 2" xfId="3234" xr:uid="{9B31A0E2-86B5-4D68-8D72-E61B25EFE4DF}"/>
    <cellStyle name="Moneda 3 4 3 2 2 4 2 2" xfId="7082" xr:uid="{430AAFCA-74D9-4D7B-9B47-753CE2E36041}"/>
    <cellStyle name="Moneda 3 4 3 2 2 4 3" xfId="5158" xr:uid="{64D3793C-F80D-4EFB-8899-62D6A4F48525}"/>
    <cellStyle name="Moneda 3 4 3 2 2 5" xfId="2272" xr:uid="{CF09472E-6796-46B9-969D-21D4B8C43200}"/>
    <cellStyle name="Moneda 3 4 3 2 2 5 2" xfId="6120" xr:uid="{86DF8A5A-9BC8-473A-9967-E457A0F78177}"/>
    <cellStyle name="Moneda 3 4 3 2 2 6" xfId="4196" xr:uid="{CE16D129-A50F-4B6A-887F-D2CCA83217E2}"/>
    <cellStyle name="Moneda 3 4 3 2 3" xfId="456" xr:uid="{88C662CD-214C-4EB9-9874-197E647FDE7A}"/>
    <cellStyle name="Moneda 3 4 3 2 3 2" xfId="937" xr:uid="{FF02C9AE-EC4F-4EEC-8D84-A784B3FD5EDD}"/>
    <cellStyle name="Moneda 3 4 3 2 3 2 2" xfId="1899" xr:uid="{78E7524E-EDFC-4EDA-A271-57981EC4E3CB}"/>
    <cellStyle name="Moneda 3 4 3 2 3 2 2 2" xfId="3823" xr:uid="{53EA9A5E-87B8-4289-B857-D450FCE30517}"/>
    <cellStyle name="Moneda 3 4 3 2 3 2 2 2 2" xfId="7671" xr:uid="{1828C093-1939-490D-A034-7EA50FF5C7FE}"/>
    <cellStyle name="Moneda 3 4 3 2 3 2 2 3" xfId="5747" xr:uid="{A055FC61-4C26-48AF-9F95-A9ECA1A4CA7A}"/>
    <cellStyle name="Moneda 3 4 3 2 3 2 3" xfId="2861" xr:uid="{27701D6A-066F-4F7E-B77C-F7F945CAB1D3}"/>
    <cellStyle name="Moneda 3 4 3 2 3 2 3 2" xfId="6709" xr:uid="{3E6F6067-0D61-4678-A8DB-D1B1E02C39D5}"/>
    <cellStyle name="Moneda 3 4 3 2 3 2 4" xfId="4785" xr:uid="{DC7F36C0-C22F-4756-9B3A-26E2149CFCB5}"/>
    <cellStyle name="Moneda 3 4 3 2 3 3" xfId="1418" xr:uid="{6FF3B64D-3918-4813-8C8E-480BB3A67A6E}"/>
    <cellStyle name="Moneda 3 4 3 2 3 3 2" xfId="3342" xr:uid="{9C89769A-3333-495B-A4FC-CD54C213A252}"/>
    <cellStyle name="Moneda 3 4 3 2 3 3 2 2" xfId="7190" xr:uid="{FD7EF1BC-FDC1-4486-A1D1-563CBCE97DB7}"/>
    <cellStyle name="Moneda 3 4 3 2 3 3 3" xfId="5266" xr:uid="{2A804575-9A88-4658-AA15-020E4AF137F8}"/>
    <cellStyle name="Moneda 3 4 3 2 3 4" xfId="2380" xr:uid="{80C92F2E-692E-4664-840C-D2DD4633C9FA}"/>
    <cellStyle name="Moneda 3 4 3 2 3 4 2" xfId="6228" xr:uid="{BA6C3853-2239-45B4-B713-DE82A4393C60}"/>
    <cellStyle name="Moneda 3 4 3 2 3 5" xfId="4304" xr:uid="{2668A5BA-8CDA-4F79-B1E4-DA1EFEA8707C}"/>
    <cellStyle name="Moneda 3 4 3 2 4" xfId="697" xr:uid="{6C7B3E91-D4C6-46C4-B84F-B22C540784F8}"/>
    <cellStyle name="Moneda 3 4 3 2 4 2" xfId="1659" xr:uid="{B524D4D5-DD72-40AF-B5C5-910140BEB336}"/>
    <cellStyle name="Moneda 3 4 3 2 4 2 2" xfId="3583" xr:uid="{B256FECF-B969-4F4C-BC80-F8118A4FF89A}"/>
    <cellStyle name="Moneda 3 4 3 2 4 2 2 2" xfId="7431" xr:uid="{A7099987-0288-4F76-BEF3-7B8889EA0FB7}"/>
    <cellStyle name="Moneda 3 4 3 2 4 2 3" xfId="5507" xr:uid="{C24864E7-91FA-4093-93DD-23140BC1B54F}"/>
    <cellStyle name="Moneda 3 4 3 2 4 3" xfId="2621" xr:uid="{B7098BAE-E6D5-40AA-9061-2B7D36B7F776}"/>
    <cellStyle name="Moneda 3 4 3 2 4 3 2" xfId="6469" xr:uid="{1BA54DB3-0C20-432B-855F-AE0EE1D7BC27}"/>
    <cellStyle name="Moneda 3 4 3 2 4 4" xfId="4545" xr:uid="{5BD87949-1F66-45E9-84B6-07A68ED3B341}"/>
    <cellStyle name="Moneda 3 4 3 2 5" xfId="1178" xr:uid="{359852DA-7FF3-4C17-912F-538878261E42}"/>
    <cellStyle name="Moneda 3 4 3 2 5 2" xfId="3102" xr:uid="{FCBD2441-91BA-47B7-988E-5098EABD416E}"/>
    <cellStyle name="Moneda 3 4 3 2 5 2 2" xfId="6950" xr:uid="{E5C9DA68-BA46-49A0-8085-D1D89BD4F0AB}"/>
    <cellStyle name="Moneda 3 4 3 2 5 3" xfId="5026" xr:uid="{652F18A7-720C-4C07-ADD8-EAAB415AD8A0}"/>
    <cellStyle name="Moneda 3 4 3 2 6" xfId="2140" xr:uid="{158980DB-A0E6-41BA-B185-B04F8D0201AB}"/>
    <cellStyle name="Moneda 3 4 3 2 6 2" xfId="5988" xr:uid="{B8E219BC-157B-443E-AC5D-511F25520BF7}"/>
    <cellStyle name="Moneda 3 4 3 2 7" xfId="4064" xr:uid="{C956274E-2191-4465-B472-1BC13E03A074}"/>
    <cellStyle name="Moneda 3 4 3 3" xfId="304" xr:uid="{0AF2792A-654C-4230-B87B-3C909C87E75D}"/>
    <cellStyle name="Moneda 3 4 3 3 2" xfId="555" xr:uid="{BEC3743A-C93A-4BAB-A70C-AFDAC8CFF209}"/>
    <cellStyle name="Moneda 3 4 3 3 2 2" xfId="1036" xr:uid="{395E1500-6E6E-4422-A1E1-5315A825786E}"/>
    <cellStyle name="Moneda 3 4 3 3 2 2 2" xfId="1998" xr:uid="{8C03D4FE-50B8-46F3-A5AD-914D020050BD}"/>
    <cellStyle name="Moneda 3 4 3 3 2 2 2 2" xfId="3922" xr:uid="{BF202E94-7CB7-4B2A-B9AC-FF7FDE593A0E}"/>
    <cellStyle name="Moneda 3 4 3 3 2 2 2 2 2" xfId="7770" xr:uid="{F806E1B2-E6BD-4DDA-9902-1F73D033BAB5}"/>
    <cellStyle name="Moneda 3 4 3 3 2 2 2 3" xfId="5846" xr:uid="{44C08064-8825-46B1-891E-F3AA951E3FC2}"/>
    <cellStyle name="Moneda 3 4 3 3 2 2 3" xfId="2960" xr:uid="{03DB73FE-FE5E-40AD-9B7C-8F618FA0C142}"/>
    <cellStyle name="Moneda 3 4 3 3 2 2 3 2" xfId="6808" xr:uid="{B22BE419-316C-42E5-ADA0-50692DA40E2F}"/>
    <cellStyle name="Moneda 3 4 3 3 2 2 4" xfId="4884" xr:uid="{05EED60F-1B10-49D1-BA67-4892356CC597}"/>
    <cellStyle name="Moneda 3 4 3 3 2 3" xfId="1517" xr:uid="{97D51374-3FB0-41CC-ADE0-6E1B5B7FFD8B}"/>
    <cellStyle name="Moneda 3 4 3 3 2 3 2" xfId="3441" xr:uid="{851CA6BB-AB4F-4704-911A-CABE90CD2D69}"/>
    <cellStyle name="Moneda 3 4 3 3 2 3 2 2" xfId="7289" xr:uid="{E3E07B44-CA09-4B1A-85DF-D6D3BFEF8D0A}"/>
    <cellStyle name="Moneda 3 4 3 3 2 3 3" xfId="5365" xr:uid="{C321ADD8-83C0-4449-BEF8-2F996376708C}"/>
    <cellStyle name="Moneda 3 4 3 3 2 4" xfId="2479" xr:uid="{CA712EDB-419B-482A-97AB-07CBE2E48C67}"/>
    <cellStyle name="Moneda 3 4 3 3 2 4 2" xfId="6327" xr:uid="{A8CE0E7F-70AB-4926-A2FA-4364CBE0718E}"/>
    <cellStyle name="Moneda 3 4 3 3 2 5" xfId="4403" xr:uid="{C002E654-2D87-418F-92CF-15F54D0CADB4}"/>
    <cellStyle name="Moneda 3 4 3 3 3" xfId="796" xr:uid="{D4C6D51D-5CA6-4277-AA3A-45F6274B0A36}"/>
    <cellStyle name="Moneda 3 4 3 3 3 2" xfId="1758" xr:uid="{05FA9886-4E9A-4EEE-8D7B-5F2D342B0AAD}"/>
    <cellStyle name="Moneda 3 4 3 3 3 2 2" xfId="3682" xr:uid="{511D87DC-9305-4B20-8BFF-652AED851BB4}"/>
    <cellStyle name="Moneda 3 4 3 3 3 2 2 2" xfId="7530" xr:uid="{427E2BE4-CAF7-48C6-8BCD-11E76F22C9F9}"/>
    <cellStyle name="Moneda 3 4 3 3 3 2 3" xfId="5606" xr:uid="{BC6836E1-9DC3-4665-A25A-1B92F24ACE6B}"/>
    <cellStyle name="Moneda 3 4 3 3 3 3" xfId="2720" xr:uid="{6A1BE1E2-23FB-472C-86C7-47470319732D}"/>
    <cellStyle name="Moneda 3 4 3 3 3 3 2" xfId="6568" xr:uid="{24F5367D-64AA-44CE-BE53-761430DDC33A}"/>
    <cellStyle name="Moneda 3 4 3 3 3 4" xfId="4644" xr:uid="{25957917-CA00-40D6-B873-2491FB5A90AA}"/>
    <cellStyle name="Moneda 3 4 3 3 4" xfId="1277" xr:uid="{5E78B2ED-20A0-4D90-A90D-7547D3161ECB}"/>
    <cellStyle name="Moneda 3 4 3 3 4 2" xfId="3201" xr:uid="{C7C47465-92F6-496F-97D1-7E2E5A72773B}"/>
    <cellStyle name="Moneda 3 4 3 3 4 2 2" xfId="7049" xr:uid="{302EF35F-1428-46B3-84DC-60F1B5B6953B}"/>
    <cellStyle name="Moneda 3 4 3 3 4 3" xfId="5125" xr:uid="{6EBA8BD4-0677-4905-8936-19A997D82608}"/>
    <cellStyle name="Moneda 3 4 3 3 5" xfId="2239" xr:uid="{F73FF3FE-49B5-4123-8B96-80D012804A1A}"/>
    <cellStyle name="Moneda 3 4 3 3 5 2" xfId="6087" xr:uid="{6A98F226-E86E-4CD7-A07F-6862EEE8FB92}"/>
    <cellStyle name="Moneda 3 4 3 3 6" xfId="4163" xr:uid="{5684EA96-70CC-4F74-A027-B8EEED1A990F}"/>
    <cellStyle name="Moneda 3 4 3 4" xfId="237" xr:uid="{B9595148-BCF0-4705-88B8-4B366D6B8B5E}"/>
    <cellStyle name="Moneda 3 4 3 4 2" xfId="489" xr:uid="{7624FD0B-CB86-4BC7-AA88-514196DE3204}"/>
    <cellStyle name="Moneda 3 4 3 4 2 2" xfId="970" xr:uid="{F07A4087-81BE-422D-BC05-66B979976B7B}"/>
    <cellStyle name="Moneda 3 4 3 4 2 2 2" xfId="1932" xr:uid="{F701C3BD-0617-4EAA-A326-09FB36137787}"/>
    <cellStyle name="Moneda 3 4 3 4 2 2 2 2" xfId="3856" xr:uid="{65CE95B6-7575-4FD0-9C4D-DB1E2F23C7B6}"/>
    <cellStyle name="Moneda 3 4 3 4 2 2 2 2 2" xfId="7704" xr:uid="{66F341E7-B582-4700-B5DE-FF92B267E8F7}"/>
    <cellStyle name="Moneda 3 4 3 4 2 2 2 3" xfId="5780" xr:uid="{ABAC7A84-01D4-4220-9FC9-E109059B0931}"/>
    <cellStyle name="Moneda 3 4 3 4 2 2 3" xfId="2894" xr:uid="{853F7CC7-87F6-463A-9763-C057249B3247}"/>
    <cellStyle name="Moneda 3 4 3 4 2 2 3 2" xfId="6742" xr:uid="{CB38F486-828F-4907-8287-3D4D6BA4740A}"/>
    <cellStyle name="Moneda 3 4 3 4 2 2 4" xfId="4818" xr:uid="{91F2DE18-F977-40B3-B292-FFCA261FE44E}"/>
    <cellStyle name="Moneda 3 4 3 4 2 3" xfId="1451" xr:uid="{8EEE1A20-FAD8-4A9D-A165-D5D46354F0CE}"/>
    <cellStyle name="Moneda 3 4 3 4 2 3 2" xfId="3375" xr:uid="{5CEAF4AC-2EDB-4E2A-98C1-4D0A9D330B6A}"/>
    <cellStyle name="Moneda 3 4 3 4 2 3 2 2" xfId="7223" xr:uid="{5F31673E-3912-4862-9CAF-E863BD437D50}"/>
    <cellStyle name="Moneda 3 4 3 4 2 3 3" xfId="5299" xr:uid="{532AE666-FE29-47B0-BD2C-E6A8586CD779}"/>
    <cellStyle name="Moneda 3 4 3 4 2 4" xfId="2413" xr:uid="{5F63313C-DABC-4416-9696-1CE430063DA1}"/>
    <cellStyle name="Moneda 3 4 3 4 2 4 2" xfId="6261" xr:uid="{23D333EF-6603-463D-9290-1766AF47C3F4}"/>
    <cellStyle name="Moneda 3 4 3 4 2 5" xfId="4337" xr:uid="{2D38D566-7E4A-465F-9C3E-8B527FE8EA23}"/>
    <cellStyle name="Moneda 3 4 3 4 3" xfId="730" xr:uid="{BD90D8FA-BAB3-478F-AABD-3BA435236922}"/>
    <cellStyle name="Moneda 3 4 3 4 3 2" xfId="1692" xr:uid="{A5B190B4-BE34-4FA8-BFE9-56F45B555BB5}"/>
    <cellStyle name="Moneda 3 4 3 4 3 2 2" xfId="3616" xr:uid="{EF727E74-B7DD-46B4-AB44-C5F612C5BEA6}"/>
    <cellStyle name="Moneda 3 4 3 4 3 2 2 2" xfId="7464" xr:uid="{02BB0A6A-D4A1-43C1-9E4E-9D60922967E9}"/>
    <cellStyle name="Moneda 3 4 3 4 3 2 3" xfId="5540" xr:uid="{8621CA12-29BE-4A14-B29B-CF1F59021778}"/>
    <cellStyle name="Moneda 3 4 3 4 3 3" xfId="2654" xr:uid="{D01C1FB8-80D4-4F3B-987B-5AB8562D6AA8}"/>
    <cellStyle name="Moneda 3 4 3 4 3 3 2" xfId="6502" xr:uid="{B90FF404-90E6-4785-98B4-E472EB2DCA74}"/>
    <cellStyle name="Moneda 3 4 3 4 3 4" xfId="4578" xr:uid="{6A8FA9BA-E02B-4660-ADE3-D82000497346}"/>
    <cellStyle name="Moneda 3 4 3 4 4" xfId="1211" xr:uid="{7C80CA99-7A6A-43FD-B99A-63DFDC6323E6}"/>
    <cellStyle name="Moneda 3 4 3 4 4 2" xfId="3135" xr:uid="{073862E5-BC3C-4947-82AC-949F9E7289BB}"/>
    <cellStyle name="Moneda 3 4 3 4 4 2 2" xfId="6983" xr:uid="{B8E2BFBD-1199-4CAE-B865-3B1750FF493B}"/>
    <cellStyle name="Moneda 3 4 3 4 4 3" xfId="5059" xr:uid="{4BB4C71E-C846-48B7-B207-B3A7A8BCD3E1}"/>
    <cellStyle name="Moneda 3 4 3 4 5" xfId="2173" xr:uid="{75753B69-4F97-44E5-8E38-D7C2B3A9EEBD}"/>
    <cellStyle name="Moneda 3 4 3 4 5 2" xfId="6021" xr:uid="{CF3FE985-3376-4090-8B09-15E957A6C0B5}"/>
    <cellStyle name="Moneda 3 4 3 4 6" xfId="4097" xr:uid="{65647E30-93C0-44C8-B7D9-0ED2F491A5A9}"/>
    <cellStyle name="Moneda 3 4 3 5" xfId="423" xr:uid="{7985353E-88A4-4636-B502-954724661EF0}"/>
    <cellStyle name="Moneda 3 4 3 5 2" xfId="904" xr:uid="{B4B5FFB0-9565-4D28-97E0-06CAED9604D1}"/>
    <cellStyle name="Moneda 3 4 3 5 2 2" xfId="1866" xr:uid="{FDB1856D-1CE7-4B30-8FCC-05B751BFA702}"/>
    <cellStyle name="Moneda 3 4 3 5 2 2 2" xfId="3790" xr:uid="{1F703FA1-9F6D-4A26-ABA1-034EC928198C}"/>
    <cellStyle name="Moneda 3 4 3 5 2 2 2 2" xfId="7638" xr:uid="{0F6F02EE-2CA4-4EC5-B451-73C17A900BB4}"/>
    <cellStyle name="Moneda 3 4 3 5 2 2 3" xfId="5714" xr:uid="{A348BB5C-3787-45FD-9EB3-F394E14D1672}"/>
    <cellStyle name="Moneda 3 4 3 5 2 3" xfId="2828" xr:uid="{A8193994-8B94-4992-A8F7-E508B692AE47}"/>
    <cellStyle name="Moneda 3 4 3 5 2 3 2" xfId="6676" xr:uid="{42F65492-FA3E-48E9-A102-7AFE24F2F540}"/>
    <cellStyle name="Moneda 3 4 3 5 2 4" xfId="4752" xr:uid="{C4F2C3F0-679C-43F4-BE4E-CF1754BB1D63}"/>
    <cellStyle name="Moneda 3 4 3 5 3" xfId="1385" xr:uid="{DB3C36A0-68F8-439A-939F-D6E039BD9B2A}"/>
    <cellStyle name="Moneda 3 4 3 5 3 2" xfId="3309" xr:uid="{053778A3-7BC8-442D-AD23-1C902F849AE6}"/>
    <cellStyle name="Moneda 3 4 3 5 3 2 2" xfId="7157" xr:uid="{1CF5B2F8-2635-4819-879C-EAF4DD3A5AF3}"/>
    <cellStyle name="Moneda 3 4 3 5 3 3" xfId="5233" xr:uid="{5EDD3014-6DE8-4604-B119-E34F810C5CF5}"/>
    <cellStyle name="Moneda 3 4 3 5 4" xfId="2347" xr:uid="{242688E6-2219-401B-8BC3-E0355764FBA0}"/>
    <cellStyle name="Moneda 3 4 3 5 4 2" xfId="6195" xr:uid="{D0929D24-FB3C-492F-94AB-945D1B7604B2}"/>
    <cellStyle name="Moneda 3 4 3 5 5" xfId="4271" xr:uid="{C1ED6C27-9312-4778-8D52-E37BDA3E2C56}"/>
    <cellStyle name="Moneda 3 4 3 6" xfId="664" xr:uid="{F33156CB-8320-439D-8BA8-8E2C546ECCB7}"/>
    <cellStyle name="Moneda 3 4 3 6 2" xfId="1626" xr:uid="{8176CC17-5986-45EA-8891-B9E76C0D725F}"/>
    <cellStyle name="Moneda 3 4 3 6 2 2" xfId="3550" xr:uid="{2AE22720-68F8-4A43-8C08-FCB7B0F63354}"/>
    <cellStyle name="Moneda 3 4 3 6 2 2 2" xfId="7398" xr:uid="{24B75E16-CFFD-437B-A29F-377580F8D671}"/>
    <cellStyle name="Moneda 3 4 3 6 2 3" xfId="5474" xr:uid="{80F7915D-60F5-4144-BC8E-5CCE2FD3243B}"/>
    <cellStyle name="Moneda 3 4 3 6 3" xfId="2588" xr:uid="{76B680CE-DAD8-4CA8-B74C-691BD876E53F}"/>
    <cellStyle name="Moneda 3 4 3 6 3 2" xfId="6436" xr:uid="{D3CB39D3-600B-45EA-A5EF-3DA0DFEFC0A9}"/>
    <cellStyle name="Moneda 3 4 3 6 4" xfId="4512" xr:uid="{C5A07AAD-7474-469D-A187-4D2322F9D8D0}"/>
    <cellStyle name="Moneda 3 4 3 7" xfId="1145" xr:uid="{994E830D-7F43-47A8-9075-102999DE9BBE}"/>
    <cellStyle name="Moneda 3 4 3 7 2" xfId="3069" xr:uid="{9A99E884-5A46-4804-A5BF-970F1ADAFF1B}"/>
    <cellStyle name="Moneda 3 4 3 7 2 2" xfId="6917" xr:uid="{586B43CE-5641-45A5-9BDF-C2ABBD9F2630}"/>
    <cellStyle name="Moneda 3 4 3 7 3" xfId="4993" xr:uid="{B7484B39-A16A-4F6B-AC82-BEFABF79D1E1}"/>
    <cellStyle name="Moneda 3 4 3 8" xfId="2107" xr:uid="{36540E22-F7D7-43BE-AC34-50D037E1F690}"/>
    <cellStyle name="Moneda 3 4 3 8 2" xfId="5955" xr:uid="{ED4A1571-8231-42BB-8D72-62DA33D11389}"/>
    <cellStyle name="Moneda 3 4 3 9" xfId="4031" xr:uid="{E22765C3-921B-4463-BECF-A58C6EAF7B19}"/>
    <cellStyle name="Moneda 3 4 4" xfId="135" xr:uid="{FF94E73D-9613-4B23-88F6-8B36CA07CF1A}"/>
    <cellStyle name="Moneda 3 4 4 2" xfId="283" xr:uid="{E4CF9386-4A7F-41C2-B90D-2A016FCB5296}"/>
    <cellStyle name="Moneda 3 4 4 2 2" xfId="534" xr:uid="{6573A061-0C60-440D-B5E5-E9F709361E7D}"/>
    <cellStyle name="Moneda 3 4 4 2 2 2" xfId="1015" xr:uid="{7E8A5773-FF1D-49C8-8B2B-C5C36080D3CC}"/>
    <cellStyle name="Moneda 3 4 4 2 2 2 2" xfId="1977" xr:uid="{7EB18D41-97F4-4C1C-B467-88A285F0CAAA}"/>
    <cellStyle name="Moneda 3 4 4 2 2 2 2 2" xfId="3901" xr:uid="{6AB1AB97-1723-476F-AE12-074DF78C6D28}"/>
    <cellStyle name="Moneda 3 4 4 2 2 2 2 2 2" xfId="7749" xr:uid="{472BEEAD-DBCD-463A-8B94-CA35DCB27F11}"/>
    <cellStyle name="Moneda 3 4 4 2 2 2 2 3" xfId="5825" xr:uid="{DC74C1E8-9C60-4FE5-96E3-4CDBE8FCDD6B}"/>
    <cellStyle name="Moneda 3 4 4 2 2 2 3" xfId="2939" xr:uid="{C68C98D7-3E93-4197-BE4C-E0C65EEBF98E}"/>
    <cellStyle name="Moneda 3 4 4 2 2 2 3 2" xfId="6787" xr:uid="{EB0553F5-6331-4450-B6FD-62012E2746D3}"/>
    <cellStyle name="Moneda 3 4 4 2 2 2 4" xfId="4863" xr:uid="{CC8C794F-18CB-4EC8-8578-BFB7C9E48270}"/>
    <cellStyle name="Moneda 3 4 4 2 2 3" xfId="1496" xr:uid="{6BFA713C-3981-4B0E-B0CB-E76EDF0D08ED}"/>
    <cellStyle name="Moneda 3 4 4 2 2 3 2" xfId="3420" xr:uid="{EDE9F1BF-1C8D-417D-B229-E19B06295ED9}"/>
    <cellStyle name="Moneda 3 4 4 2 2 3 2 2" xfId="7268" xr:uid="{442BB6EF-D2F8-4A96-956D-E0F7ACAD4393}"/>
    <cellStyle name="Moneda 3 4 4 2 2 3 3" xfId="5344" xr:uid="{34BDE68B-F28D-4754-B056-83CB7A39B760}"/>
    <cellStyle name="Moneda 3 4 4 2 2 4" xfId="2458" xr:uid="{D5CC556D-755C-4782-873C-CEFB788E15B5}"/>
    <cellStyle name="Moneda 3 4 4 2 2 4 2" xfId="6306" xr:uid="{6EFA4AF4-7086-44E7-975F-F7910701AD6E}"/>
    <cellStyle name="Moneda 3 4 4 2 2 5" xfId="4382" xr:uid="{4C25E5AF-84BB-4EF3-81B7-9235A6249597}"/>
    <cellStyle name="Moneda 3 4 4 2 3" xfId="775" xr:uid="{9D604224-F152-4386-BA0A-3F0931D2ABB1}"/>
    <cellStyle name="Moneda 3 4 4 2 3 2" xfId="1737" xr:uid="{46806648-5DF9-4A5E-842B-BCA0A6F15158}"/>
    <cellStyle name="Moneda 3 4 4 2 3 2 2" xfId="3661" xr:uid="{AF94FB2F-D8E5-4DAE-931A-B363AAA42955}"/>
    <cellStyle name="Moneda 3 4 4 2 3 2 2 2" xfId="7509" xr:uid="{E52C2CA5-AD2B-4882-BC2A-7B71D57744E7}"/>
    <cellStyle name="Moneda 3 4 4 2 3 2 3" xfId="5585" xr:uid="{A9956F80-ED42-4418-A5FB-469C18D31BDA}"/>
    <cellStyle name="Moneda 3 4 4 2 3 3" xfId="2699" xr:uid="{42E71695-1A83-4D08-A1CB-87A81F77D044}"/>
    <cellStyle name="Moneda 3 4 4 2 3 3 2" xfId="6547" xr:uid="{4C22C910-0759-41F1-B6E2-DCB79B34F797}"/>
    <cellStyle name="Moneda 3 4 4 2 3 4" xfId="4623" xr:uid="{95892D78-9F41-48A7-847C-CBC131A7B561}"/>
    <cellStyle name="Moneda 3 4 4 2 4" xfId="1256" xr:uid="{46FD2666-D6AD-4A2A-AC36-FC94449AE107}"/>
    <cellStyle name="Moneda 3 4 4 2 4 2" xfId="3180" xr:uid="{8A7974E5-395F-4007-8A86-B7942FBC34ED}"/>
    <cellStyle name="Moneda 3 4 4 2 4 2 2" xfId="7028" xr:uid="{D9516DF2-9638-4EB3-A071-F5BA9C33C458}"/>
    <cellStyle name="Moneda 3 4 4 2 4 3" xfId="5104" xr:uid="{919EBBDC-981F-4A58-A56D-1FE072A5046B}"/>
    <cellStyle name="Moneda 3 4 4 2 5" xfId="2218" xr:uid="{71BC536A-04AC-4259-81ED-E93CF1B33DA0}"/>
    <cellStyle name="Moneda 3 4 4 2 5 2" xfId="6066" xr:uid="{73C319A6-7BBD-4B61-B88D-0E1C912816C1}"/>
    <cellStyle name="Moneda 3 4 4 2 6" xfId="4142" xr:uid="{321B32EC-938F-4728-B955-02EBEAE0B416}"/>
    <cellStyle name="Moneda 3 4 4 3" xfId="402" xr:uid="{3390242D-A2C9-4AAF-9D02-812163D24071}"/>
    <cellStyle name="Moneda 3 4 4 3 2" xfId="883" xr:uid="{5A2BCA5B-315E-4C49-8CC0-67C737546377}"/>
    <cellStyle name="Moneda 3 4 4 3 2 2" xfId="1845" xr:uid="{70DC6ED5-B683-45B1-A22C-AC8365265CA8}"/>
    <cellStyle name="Moneda 3 4 4 3 2 2 2" xfId="3769" xr:uid="{22A6B4A7-0624-4237-A8C5-265A0C6206FC}"/>
    <cellStyle name="Moneda 3 4 4 3 2 2 2 2" xfId="7617" xr:uid="{61BBB2E0-BDDC-4464-BCD3-41D2C3C66CC2}"/>
    <cellStyle name="Moneda 3 4 4 3 2 2 3" xfId="5693" xr:uid="{B088E314-FBF8-444F-90D0-A49C4F7F2D48}"/>
    <cellStyle name="Moneda 3 4 4 3 2 3" xfId="2807" xr:uid="{0F48E692-5BE5-4941-BB5D-A92A89DC5783}"/>
    <cellStyle name="Moneda 3 4 4 3 2 3 2" xfId="6655" xr:uid="{8FE4DF3A-ECD1-45BD-AD87-A6570F382B47}"/>
    <cellStyle name="Moneda 3 4 4 3 2 4" xfId="4731" xr:uid="{2D8EDFE7-6FF3-424A-B288-07279DC95736}"/>
    <cellStyle name="Moneda 3 4 4 3 3" xfId="1364" xr:uid="{A98D38CF-B0AA-4F7B-8AF1-03C9B3B0D7D6}"/>
    <cellStyle name="Moneda 3 4 4 3 3 2" xfId="3288" xr:uid="{AEE5ADFB-926B-4DB2-9243-D3932992CFFD}"/>
    <cellStyle name="Moneda 3 4 4 3 3 2 2" xfId="7136" xr:uid="{80FE632F-EEFE-4760-936E-0768E00F5825}"/>
    <cellStyle name="Moneda 3 4 4 3 3 3" xfId="5212" xr:uid="{255C448D-DB8A-47F9-B649-2A12A33ED6E1}"/>
    <cellStyle name="Moneda 3 4 4 3 4" xfId="2326" xr:uid="{C4E6D870-ADF7-4CD8-A5BA-2054D91FF5F0}"/>
    <cellStyle name="Moneda 3 4 4 3 4 2" xfId="6174" xr:uid="{ED2133CE-E36B-4AA1-A81F-80B493187E6E}"/>
    <cellStyle name="Moneda 3 4 4 3 5" xfId="4250" xr:uid="{71A22D59-0E89-48FF-ACAE-021CB5225C12}"/>
    <cellStyle name="Moneda 3 4 4 4" xfId="643" xr:uid="{A189D8D5-AE93-4CC3-AC85-E3D4F8A85A31}"/>
    <cellStyle name="Moneda 3 4 4 4 2" xfId="1605" xr:uid="{50FFE3E8-12B1-47F3-885B-9B324363698F}"/>
    <cellStyle name="Moneda 3 4 4 4 2 2" xfId="3529" xr:uid="{90F68F2A-BAFF-4CEE-B712-07F906082403}"/>
    <cellStyle name="Moneda 3 4 4 4 2 2 2" xfId="7377" xr:uid="{416CD263-3F8D-410F-81D9-4FC720829BBC}"/>
    <cellStyle name="Moneda 3 4 4 4 2 3" xfId="5453" xr:uid="{4160F380-06F2-46EF-914F-143945F7CFA2}"/>
    <cellStyle name="Moneda 3 4 4 4 3" xfId="2567" xr:uid="{73FF3665-692D-44DA-9A1E-E6264F56B80E}"/>
    <cellStyle name="Moneda 3 4 4 4 3 2" xfId="6415" xr:uid="{44476093-A006-427A-9334-B38328F10F2D}"/>
    <cellStyle name="Moneda 3 4 4 4 4" xfId="4491" xr:uid="{4943ED4A-F920-413F-9647-B83F4C31C9F2}"/>
    <cellStyle name="Moneda 3 4 4 5" xfId="1124" xr:uid="{3D30F9AE-1DB4-43E7-9E4C-97962E7E0FC5}"/>
    <cellStyle name="Moneda 3 4 4 5 2" xfId="3048" xr:uid="{C7397671-EDD2-4CB9-B76E-5C26F1B08754}"/>
    <cellStyle name="Moneda 3 4 4 5 2 2" xfId="6896" xr:uid="{5D6963E3-49F8-4D4B-B65C-6DE13049EA45}"/>
    <cellStyle name="Moneda 3 4 4 5 3" xfId="4972" xr:uid="{FECFDBAA-6D8F-4652-A05D-468C732B4636}"/>
    <cellStyle name="Moneda 3 4 4 6" xfId="2086" xr:uid="{E7471A34-B934-4198-875C-011D5E6EE0C1}"/>
    <cellStyle name="Moneda 3 4 4 6 2" xfId="5934" xr:uid="{B529F060-28D6-4EE8-A82C-D977D7546169}"/>
    <cellStyle name="Moneda 3 4 4 7" xfId="4010" xr:uid="{0C74F3AA-78A2-40C5-B3D1-2B78611E6925}"/>
    <cellStyle name="Moneda 3 4 5" xfId="258" xr:uid="{443098E4-E4C1-4167-8DA7-A42BDCC29A6B}"/>
    <cellStyle name="Moneda 3 4 5 2" xfId="510" xr:uid="{B54724CF-484B-47F7-82EB-9EE7D98DFAD6}"/>
    <cellStyle name="Moneda 3 4 5 2 2" xfId="991" xr:uid="{488787CE-BB98-4CCB-B9F1-D696833CC7B3}"/>
    <cellStyle name="Moneda 3 4 5 2 2 2" xfId="1953" xr:uid="{96ACFC56-E5BA-4296-BEFF-D8AB8E43ABA5}"/>
    <cellStyle name="Moneda 3 4 5 2 2 2 2" xfId="3877" xr:uid="{F0289922-4AD0-4992-A186-C452A1B031FC}"/>
    <cellStyle name="Moneda 3 4 5 2 2 2 2 2" xfId="7725" xr:uid="{8C01796B-4CD8-4631-A286-BFF007D64CC3}"/>
    <cellStyle name="Moneda 3 4 5 2 2 2 3" xfId="5801" xr:uid="{B16E3078-66D0-4963-B10F-40DA9C72A0E1}"/>
    <cellStyle name="Moneda 3 4 5 2 2 3" xfId="2915" xr:uid="{8B1E9D05-A4A4-477E-A19C-7392EE697279}"/>
    <cellStyle name="Moneda 3 4 5 2 2 3 2" xfId="6763" xr:uid="{67908FA6-4A58-4E92-B005-4F92B5CCFB54}"/>
    <cellStyle name="Moneda 3 4 5 2 2 4" xfId="4839" xr:uid="{B193DDC6-ACF4-4B7B-AD1F-EB9CDF120253}"/>
    <cellStyle name="Moneda 3 4 5 2 3" xfId="1472" xr:uid="{D8332DA7-EBDB-4313-A8CD-F72D77EDDB80}"/>
    <cellStyle name="Moneda 3 4 5 2 3 2" xfId="3396" xr:uid="{2A8E25D9-AACB-4A8C-BA48-E598B293057B}"/>
    <cellStyle name="Moneda 3 4 5 2 3 2 2" xfId="7244" xr:uid="{3D82D272-15B5-4213-BE63-FDA2737E59F9}"/>
    <cellStyle name="Moneda 3 4 5 2 3 3" xfId="5320" xr:uid="{F6ACD4FD-0E46-407F-B414-FE8043716D6A}"/>
    <cellStyle name="Moneda 3 4 5 2 4" xfId="2434" xr:uid="{E1030D4D-B8C4-4ED4-825D-AEBF79BD0580}"/>
    <cellStyle name="Moneda 3 4 5 2 4 2" xfId="6282" xr:uid="{18779DC1-7333-4CF1-9047-78BA51242CD8}"/>
    <cellStyle name="Moneda 3 4 5 2 5" xfId="4358" xr:uid="{FF335FA5-3CCA-46D4-8ED8-3CF70ADE6CC6}"/>
    <cellStyle name="Moneda 3 4 5 3" xfId="751" xr:uid="{01EE41DD-80A3-4321-8149-6BA40702CB65}"/>
    <cellStyle name="Moneda 3 4 5 3 2" xfId="1713" xr:uid="{41C4BF93-496D-4944-A49A-8A3E994D1514}"/>
    <cellStyle name="Moneda 3 4 5 3 2 2" xfId="3637" xr:uid="{29C12D4B-9810-44C8-BF24-AD24BE853B12}"/>
    <cellStyle name="Moneda 3 4 5 3 2 2 2" xfId="7485" xr:uid="{1D830880-E22F-4B26-B3C3-6F09D3FB3F7C}"/>
    <cellStyle name="Moneda 3 4 5 3 2 3" xfId="5561" xr:uid="{319C46A9-AA5D-4366-9C98-BAC392382CF9}"/>
    <cellStyle name="Moneda 3 4 5 3 3" xfId="2675" xr:uid="{35B7F21D-07C2-41B6-B3AE-3058A7AAF521}"/>
    <cellStyle name="Moneda 3 4 5 3 3 2" xfId="6523" xr:uid="{4880CF6E-672F-4458-AD5A-61277D8B4B2A}"/>
    <cellStyle name="Moneda 3 4 5 3 4" xfId="4599" xr:uid="{510A9828-C52D-4186-BF34-2BCA1BB5646A}"/>
    <cellStyle name="Moneda 3 4 5 4" xfId="1232" xr:uid="{C9A8EAF9-1259-4158-A2C5-7906867E496A}"/>
    <cellStyle name="Moneda 3 4 5 4 2" xfId="3156" xr:uid="{DA7371E1-9782-4980-A805-C5272B172153}"/>
    <cellStyle name="Moneda 3 4 5 4 2 2" xfId="7004" xr:uid="{46F94356-12E2-4323-8E18-532874B01ED5}"/>
    <cellStyle name="Moneda 3 4 5 4 3" xfId="5080" xr:uid="{A8943F62-0DC4-49B2-B995-4E13CA9B1BD9}"/>
    <cellStyle name="Moneda 3 4 5 5" xfId="2194" xr:uid="{D26FF609-67BB-441F-A0E9-B2BDF80E66F9}"/>
    <cellStyle name="Moneda 3 4 5 5 2" xfId="6042" xr:uid="{08C1CE69-4E59-4AC8-968F-7EA8DF467A90}"/>
    <cellStyle name="Moneda 3 4 5 6" xfId="4118" xr:uid="{AA21F5D2-4FEC-4CE2-9195-2AE88F23383E}"/>
    <cellStyle name="Moneda 3 4 6" xfId="377" xr:uid="{6B9467FB-ECAC-4A71-823C-DB3C681C126E}"/>
    <cellStyle name="Moneda 3 4 6 2" xfId="858" xr:uid="{4CBA2163-20D4-471C-A953-80A87B77A50F}"/>
    <cellStyle name="Moneda 3 4 6 2 2" xfId="1820" xr:uid="{539E13FC-40DC-463B-A4FF-BD809379979C}"/>
    <cellStyle name="Moneda 3 4 6 2 2 2" xfId="3744" xr:uid="{B3B4EF6D-0511-477B-A8FC-8AC548D915E0}"/>
    <cellStyle name="Moneda 3 4 6 2 2 2 2" xfId="7592" xr:uid="{B9758381-A703-4F73-9A33-56004FB789A0}"/>
    <cellStyle name="Moneda 3 4 6 2 2 3" xfId="5668" xr:uid="{4EB5A89D-B864-492C-B94C-43698D10EFD2}"/>
    <cellStyle name="Moneda 3 4 6 2 3" xfId="2782" xr:uid="{FBE0CBC1-3B09-4518-A5BE-27BC337835C2}"/>
    <cellStyle name="Moneda 3 4 6 2 3 2" xfId="6630" xr:uid="{7B04089B-389F-4135-931F-1B9EDE39B56D}"/>
    <cellStyle name="Moneda 3 4 6 2 4" xfId="4706" xr:uid="{CCCA6C70-A09F-41B3-B9AC-BBC8BA9B143F}"/>
    <cellStyle name="Moneda 3 4 6 3" xfId="1339" xr:uid="{11B2A637-E4CB-436A-A1BB-45ADCE698F3E}"/>
    <cellStyle name="Moneda 3 4 6 3 2" xfId="3263" xr:uid="{2B337314-8D4C-4FFC-B4C1-4BE1BDD37900}"/>
    <cellStyle name="Moneda 3 4 6 3 2 2" xfId="7111" xr:uid="{2AE0B248-E208-41C0-AAD2-827769F975B7}"/>
    <cellStyle name="Moneda 3 4 6 3 3" xfId="5187" xr:uid="{A92D17B2-E475-4AED-91FD-7D7F53253CC1}"/>
    <cellStyle name="Moneda 3 4 6 4" xfId="2301" xr:uid="{60094E08-154A-45AA-90AF-CD596BFB9ADA}"/>
    <cellStyle name="Moneda 3 4 6 4 2" xfId="6149" xr:uid="{D92DDEEC-3CDF-4CAA-92FC-AE7196D9D9D4}"/>
    <cellStyle name="Moneda 3 4 6 5" xfId="4225" xr:uid="{F598925B-F293-4702-A1D8-B8436A48FA52}"/>
    <cellStyle name="Moneda 3 4 7" xfId="618" xr:uid="{829F3672-453E-4081-875F-352CD87C8341}"/>
    <cellStyle name="Moneda 3 4 7 2" xfId="1580" xr:uid="{3B628548-EE5B-4AFE-BFA1-50C0335844E2}"/>
    <cellStyle name="Moneda 3 4 7 2 2" xfId="3504" xr:uid="{F75D7F03-A6C1-4BB7-BCEB-66A825079687}"/>
    <cellStyle name="Moneda 3 4 7 2 2 2" xfId="7352" xr:uid="{B959AF1F-D486-4037-9BCD-F9CA139E84C3}"/>
    <cellStyle name="Moneda 3 4 7 2 3" xfId="5428" xr:uid="{47E3C5A7-5684-42D0-B994-F36777860AD0}"/>
    <cellStyle name="Moneda 3 4 7 3" xfId="2542" xr:uid="{26299925-1270-436C-992A-8B983BD4CBEF}"/>
    <cellStyle name="Moneda 3 4 7 3 2" xfId="6390" xr:uid="{87E70977-36BF-4516-91C6-4339B8CCF2D7}"/>
    <cellStyle name="Moneda 3 4 7 4" xfId="4466" xr:uid="{18F356A7-0F9E-43F7-BAC2-983A791DEBC6}"/>
    <cellStyle name="Moneda 3 4 8" xfId="1099" xr:uid="{5DE4DD5F-99BA-48BE-A9AA-C97AD58CF257}"/>
    <cellStyle name="Moneda 3 4 8 2" xfId="3023" xr:uid="{EEC7130D-994D-4664-9E5A-0C9A888AB05A}"/>
    <cellStyle name="Moneda 3 4 8 2 2" xfId="6871" xr:uid="{5A4A3990-78B1-4C91-B8C1-C7528F4ACA2F}"/>
    <cellStyle name="Moneda 3 4 8 3" xfId="4947" xr:uid="{D8A1AB1B-366C-476D-95A2-99D3737A5A08}"/>
    <cellStyle name="Moneda 3 4 9" xfId="2061" xr:uid="{69E3886C-0643-4ADB-B62B-69FE2D374E44}"/>
    <cellStyle name="Moneda 3 4 9 2" xfId="5909" xr:uid="{BAC19231-CAA6-4A54-8F8F-F112FF52C5B5}"/>
    <cellStyle name="Moneda 3 5" xfId="131" xr:uid="{CD8D2B0C-2FF0-4E02-BF05-6A972A32F8A3}"/>
    <cellStyle name="Moneda 3 5 2" xfId="279" xr:uid="{DE52BA65-EB14-4961-A740-D37DD8D05AAE}"/>
    <cellStyle name="Moneda 3 5 2 2" xfId="530" xr:uid="{14BDB909-4E6D-47C7-89DD-17E1F131C501}"/>
    <cellStyle name="Moneda 3 5 2 2 2" xfId="1011" xr:uid="{67F0201E-405E-438B-8B44-347711D5EC2C}"/>
    <cellStyle name="Moneda 3 5 2 2 2 2" xfId="1973" xr:uid="{6CEC2202-86AD-47F3-9EBE-90CDD61A3D2A}"/>
    <cellStyle name="Moneda 3 5 2 2 2 2 2" xfId="3897" xr:uid="{606ED045-6309-4009-9233-6505BAF9BE22}"/>
    <cellStyle name="Moneda 3 5 2 2 2 2 2 2" xfId="7745" xr:uid="{37D20227-C319-4271-B574-FCFF2DA07F6C}"/>
    <cellStyle name="Moneda 3 5 2 2 2 2 3" xfId="5821" xr:uid="{0E0AE790-6898-491D-89ED-D42F22059FD0}"/>
    <cellStyle name="Moneda 3 5 2 2 2 3" xfId="2935" xr:uid="{D61B1AAA-FCC0-45AC-8C0E-31B7BE0BAF03}"/>
    <cellStyle name="Moneda 3 5 2 2 2 3 2" xfId="6783" xr:uid="{7395A0D1-59E2-4A04-8D74-DC6D7B809885}"/>
    <cellStyle name="Moneda 3 5 2 2 2 4" xfId="4859" xr:uid="{28562A98-5EAB-4CEB-940E-0532DEFD1B6C}"/>
    <cellStyle name="Moneda 3 5 2 2 3" xfId="1492" xr:uid="{FA9FAA34-F597-4F52-9F25-15292016DFD0}"/>
    <cellStyle name="Moneda 3 5 2 2 3 2" xfId="3416" xr:uid="{019977B1-BDFE-4F32-B10D-2A5721F6F24B}"/>
    <cellStyle name="Moneda 3 5 2 2 3 2 2" xfId="7264" xr:uid="{566D9BEB-98BA-42ED-93E5-8061E58AA769}"/>
    <cellStyle name="Moneda 3 5 2 2 3 3" xfId="5340" xr:uid="{33B449C2-DF27-4C63-8832-EFF4E204F776}"/>
    <cellStyle name="Moneda 3 5 2 2 4" xfId="2454" xr:uid="{17F6CEB9-75B4-4093-855B-585476BB5914}"/>
    <cellStyle name="Moneda 3 5 2 2 4 2" xfId="6302" xr:uid="{C9F6508D-D56C-4147-8053-CAA07341B063}"/>
    <cellStyle name="Moneda 3 5 2 2 5" xfId="4378" xr:uid="{8FE008CD-5BF8-4801-97B1-AE1411B8F1F4}"/>
    <cellStyle name="Moneda 3 5 2 3" xfId="771" xr:uid="{83E7484E-8B06-4A77-8A9A-336854FC99DC}"/>
    <cellStyle name="Moneda 3 5 2 3 2" xfId="1733" xr:uid="{FEAEA871-BD16-479B-9261-1380534394D3}"/>
    <cellStyle name="Moneda 3 5 2 3 2 2" xfId="3657" xr:uid="{0F04EACB-4F44-422D-AF3F-E3429CE4D519}"/>
    <cellStyle name="Moneda 3 5 2 3 2 2 2" xfId="7505" xr:uid="{B22784DD-E797-49AC-A680-4A2D7740A0AC}"/>
    <cellStyle name="Moneda 3 5 2 3 2 3" xfId="5581" xr:uid="{E8AEED54-3E25-4AE0-843E-109995B93E48}"/>
    <cellStyle name="Moneda 3 5 2 3 3" xfId="2695" xr:uid="{E90B8AF6-7107-4CF5-A25A-4D1F62C48A35}"/>
    <cellStyle name="Moneda 3 5 2 3 3 2" xfId="6543" xr:uid="{CDF5DBF6-D831-48CD-88E9-428E46A8AF6D}"/>
    <cellStyle name="Moneda 3 5 2 3 4" xfId="4619" xr:uid="{1A9939D7-DFF4-4866-A71A-79D5253B4971}"/>
    <cellStyle name="Moneda 3 5 2 4" xfId="1252" xr:uid="{86FC36D2-31C8-40EF-8A63-E8C3F89C2DDA}"/>
    <cellStyle name="Moneda 3 5 2 4 2" xfId="3176" xr:uid="{F32DC0CF-0FC1-45D3-884F-EA20DF966C7C}"/>
    <cellStyle name="Moneda 3 5 2 4 2 2" xfId="7024" xr:uid="{1BEFB173-437F-4DE2-8283-FFB3549BCA61}"/>
    <cellStyle name="Moneda 3 5 2 4 3" xfId="5100" xr:uid="{12990180-14EC-465C-9236-DC4FF2E6F2CB}"/>
    <cellStyle name="Moneda 3 5 2 5" xfId="2214" xr:uid="{7B2E1DC6-A567-42B5-9336-51EAD753B995}"/>
    <cellStyle name="Moneda 3 5 2 5 2" xfId="6062" xr:uid="{8BE1F45F-205F-4D5A-B811-EF0DC2E95BF6}"/>
    <cellStyle name="Moneda 3 5 2 6" xfId="4138" xr:uid="{88F58992-CCFF-4D5D-BDE7-041D24A7BEA1}"/>
    <cellStyle name="Moneda 3 5 3" xfId="398" xr:uid="{7AF21E8E-52AD-4CE0-A1CE-69C723A09872}"/>
    <cellStyle name="Moneda 3 5 3 2" xfId="879" xr:uid="{B320E442-ABEF-4EFB-8CB1-38588EFD5BE2}"/>
    <cellStyle name="Moneda 3 5 3 2 2" xfId="1841" xr:uid="{3F1EB2F7-96BF-452D-A291-F10E5E2ED286}"/>
    <cellStyle name="Moneda 3 5 3 2 2 2" xfId="3765" xr:uid="{02F75A38-B2DE-4131-88FE-3C5B877E0AF9}"/>
    <cellStyle name="Moneda 3 5 3 2 2 2 2" xfId="7613" xr:uid="{C4854311-0745-4D17-A826-ED0BC44BB2E5}"/>
    <cellStyle name="Moneda 3 5 3 2 2 3" xfId="5689" xr:uid="{E3A2CB44-30F3-4C57-A868-BB4C14D4B0B8}"/>
    <cellStyle name="Moneda 3 5 3 2 3" xfId="2803" xr:uid="{99C3DD75-14D9-4B28-B195-4313958AE2C9}"/>
    <cellStyle name="Moneda 3 5 3 2 3 2" xfId="6651" xr:uid="{FA5D9D74-322C-4B69-945E-DE4491186329}"/>
    <cellStyle name="Moneda 3 5 3 2 4" xfId="4727" xr:uid="{76DB8E6D-27B8-43A1-93F6-9F4474954DC6}"/>
    <cellStyle name="Moneda 3 5 3 3" xfId="1360" xr:uid="{140D0EA5-C5C0-4E0A-8B18-97D6D8270FA9}"/>
    <cellStyle name="Moneda 3 5 3 3 2" xfId="3284" xr:uid="{7C7B8F0B-21B5-4BC7-9D66-53439F818C98}"/>
    <cellStyle name="Moneda 3 5 3 3 2 2" xfId="7132" xr:uid="{615310F6-BE1D-418E-85A9-62C4203C1170}"/>
    <cellStyle name="Moneda 3 5 3 3 3" xfId="5208" xr:uid="{4FF4161E-49E5-487D-9092-136638B78DD0}"/>
    <cellStyle name="Moneda 3 5 3 4" xfId="2322" xr:uid="{FAB5585E-9C0F-4CB2-B4D3-13886358FCFA}"/>
    <cellStyle name="Moneda 3 5 3 4 2" xfId="6170" xr:uid="{3B2E6C40-C637-4578-A66D-C519A31D0D89}"/>
    <cellStyle name="Moneda 3 5 3 5" xfId="4246" xr:uid="{4074C517-A072-4D6E-A842-4DFDC406A2F7}"/>
    <cellStyle name="Moneda 3 5 4" xfId="639" xr:uid="{193FB921-B5D2-41BB-81B4-1F4C7490F5EE}"/>
    <cellStyle name="Moneda 3 5 4 2" xfId="1601" xr:uid="{00B65D98-2E00-465F-912D-1799124A6682}"/>
    <cellStyle name="Moneda 3 5 4 2 2" xfId="3525" xr:uid="{21E40BEF-834D-4E8F-AFCF-4EA406F2214D}"/>
    <cellStyle name="Moneda 3 5 4 2 2 2" xfId="7373" xr:uid="{822AD846-E85F-4433-9B18-487D7B19CAA7}"/>
    <cellStyle name="Moneda 3 5 4 2 3" xfId="5449" xr:uid="{4FE4B784-A660-4B78-A5AB-0BFD2D9D36DB}"/>
    <cellStyle name="Moneda 3 5 4 3" xfId="2563" xr:uid="{C9490AF2-4113-4401-97E9-D828DFC343D9}"/>
    <cellStyle name="Moneda 3 5 4 3 2" xfId="6411" xr:uid="{C6248B8E-91B1-4DF3-962B-52532AFFBF93}"/>
    <cellStyle name="Moneda 3 5 4 4" xfId="4487" xr:uid="{A430202F-2813-4B08-B158-37275CD1B340}"/>
    <cellStyle name="Moneda 3 5 5" xfId="1120" xr:uid="{83A2BD50-4C91-4D84-815C-7C9FF2495CBE}"/>
    <cellStyle name="Moneda 3 5 5 2" xfId="3044" xr:uid="{5BA639F4-1167-4F5B-8E0E-B2BB6C1F9E2D}"/>
    <cellStyle name="Moneda 3 5 5 2 2" xfId="6892" xr:uid="{47E96C10-0ACE-4C01-A6DB-52C449631F6A}"/>
    <cellStyle name="Moneda 3 5 5 3" xfId="4968" xr:uid="{D28FA666-9F7B-489B-8F4A-54BF682D7DAB}"/>
    <cellStyle name="Moneda 3 5 6" xfId="2082" xr:uid="{7CECBFBC-E8CE-4F81-AED5-CFDC8E2B7E20}"/>
    <cellStyle name="Moneda 3 5 6 2" xfId="5930" xr:uid="{4CFD292C-C3F3-4F6A-BE79-546787689BF5}"/>
    <cellStyle name="Moneda 3 5 7" xfId="4006" xr:uid="{5A9DE71E-E8CB-444B-B60D-18E97DDE110D}"/>
    <cellStyle name="Moneda 3 6" xfId="67" xr:uid="{357E1B2B-9DA8-42E5-9A30-D768514A7749}"/>
    <cellStyle name="Moneda 3 6 2" xfId="374" xr:uid="{99533F4F-B5A9-4011-92F9-3A101BB9F20D}"/>
    <cellStyle name="Moneda 3 6 2 2" xfId="855" xr:uid="{0658FC18-B0F5-4879-9F37-B9DBC3292B8F}"/>
    <cellStyle name="Moneda 3 6 2 2 2" xfId="1817" xr:uid="{D578D9AA-013B-4FD6-BD49-E25BE1E77580}"/>
    <cellStyle name="Moneda 3 6 2 2 2 2" xfId="3741" xr:uid="{2F857DFF-8790-448F-AB96-0E5DC26FC7C1}"/>
    <cellStyle name="Moneda 3 6 2 2 2 2 2" xfId="7589" xr:uid="{72474737-07F1-4ED9-A6C3-3EFBF5F37285}"/>
    <cellStyle name="Moneda 3 6 2 2 2 3" xfId="5665" xr:uid="{CC6A80F5-EC3A-43C5-A051-5B0B44B6687B}"/>
    <cellStyle name="Moneda 3 6 2 2 3" xfId="2779" xr:uid="{8F2B9532-567D-4397-85AF-CC31645328F3}"/>
    <cellStyle name="Moneda 3 6 2 2 3 2" xfId="6627" xr:uid="{91937FE2-E061-408A-AC99-8EB4A6B1053B}"/>
    <cellStyle name="Moneda 3 6 2 2 4" xfId="4703" xr:uid="{42D6CA52-F440-4EAA-A53A-475D934C2CB3}"/>
    <cellStyle name="Moneda 3 6 2 3" xfId="1336" xr:uid="{27C559B9-6588-433D-9026-FB94B33BACC7}"/>
    <cellStyle name="Moneda 3 6 2 3 2" xfId="3260" xr:uid="{9E84591A-3379-44C2-AD8C-02C01DF4C8DF}"/>
    <cellStyle name="Moneda 3 6 2 3 2 2" xfId="7108" xr:uid="{119EF8B1-56C6-44AD-952D-7235DBD0A67A}"/>
    <cellStyle name="Moneda 3 6 2 3 3" xfId="5184" xr:uid="{260FE265-727A-41CD-90A1-3C6AAB5D2E55}"/>
    <cellStyle name="Moneda 3 6 2 4" xfId="2298" xr:uid="{0BDD0B2A-6144-4230-BBC0-DB1D9662226F}"/>
    <cellStyle name="Moneda 3 6 2 4 2" xfId="6146" xr:uid="{39872527-0A6D-4B72-BD24-5D81043B8211}"/>
    <cellStyle name="Moneda 3 6 2 5" xfId="4222" xr:uid="{E2AA588E-2434-4A5A-9DF2-603D7364BE15}"/>
    <cellStyle name="Moneda 3 6 3" xfId="615" xr:uid="{4F72EE28-1B2C-4568-93E7-5472DEBE0D7B}"/>
    <cellStyle name="Moneda 3 6 3 2" xfId="1577" xr:uid="{10E812C1-8722-43FF-AA9A-DF08BD5B014B}"/>
    <cellStyle name="Moneda 3 6 3 2 2" xfId="3501" xr:uid="{66F9FDEC-F83F-4A15-9D5F-BC69D5A29DCD}"/>
    <cellStyle name="Moneda 3 6 3 2 2 2" xfId="7349" xr:uid="{88C7E360-0E80-447A-8D17-ED26AF840563}"/>
    <cellStyle name="Moneda 3 6 3 2 3" xfId="5425" xr:uid="{5C04D59F-0B8F-4C3B-850B-47FF9BB10DD1}"/>
    <cellStyle name="Moneda 3 6 3 3" xfId="2539" xr:uid="{158EB9F2-4C30-48D7-B188-C8FB75FE9643}"/>
    <cellStyle name="Moneda 3 6 3 3 2" xfId="6387" xr:uid="{607FF926-64DA-48F4-A0B5-5E11CF751105}"/>
    <cellStyle name="Moneda 3 6 3 4" xfId="4463" xr:uid="{0E054F5A-E09D-49F7-9A5C-3244EBAFEA2F}"/>
    <cellStyle name="Moneda 3 6 4" xfId="1096" xr:uid="{374EEF53-4E4E-4A8F-BF40-0A0F143FA773}"/>
    <cellStyle name="Moneda 3 6 4 2" xfId="3020" xr:uid="{A3AC8D62-EEDD-4CC7-8A98-B87DD672CD35}"/>
    <cellStyle name="Moneda 3 6 4 2 2" xfId="6868" xr:uid="{02A23675-9EED-4E6B-A42F-5CDACFEFB4C1}"/>
    <cellStyle name="Moneda 3 6 4 3" xfId="4944" xr:uid="{18624176-4C1C-4E34-947A-6E134BA2ED8F}"/>
    <cellStyle name="Moneda 3 6 5" xfId="2058" xr:uid="{54CF2A3B-3B5E-48B4-9A70-8BB1ED900FB0}"/>
    <cellStyle name="Moneda 3 6 5 2" xfId="5906" xr:uid="{D3D941FD-5DB7-4286-901E-37A1CF2A523E}"/>
    <cellStyle name="Moneda 3 6 6" xfId="3982" xr:uid="{3CD7BE99-2701-4044-86AC-786123CA1C72}"/>
    <cellStyle name="Moneda 4" xfId="97" xr:uid="{93639379-DCE1-4AEF-8E71-5EC60AEB769B}"/>
    <cellStyle name="Moneda 4 10" xfId="3986" xr:uid="{FDD0CD48-48A6-4C35-8270-0623462FB649}"/>
    <cellStyle name="Moneda 4 11" xfId="7844" xr:uid="{7EF81755-695C-4A48-A7FF-3DB1DBEEFFE3}"/>
    <cellStyle name="Moneda 4 2" xfId="158" xr:uid="{9CC244A3-1EFD-4A97-9D41-4E02E8ED7BE9}"/>
    <cellStyle name="Moneda 4 2 10" xfId="7907" xr:uid="{AD30FD49-4369-46C0-B54D-40851C75B80E}"/>
    <cellStyle name="Moneda 4 2 2" xfId="195" xr:uid="{7D8D2C80-EDE4-458C-90CE-9C67E8A1A23E}"/>
    <cellStyle name="Moneda 4 2 2 2" xfId="329" xr:uid="{0AAB0245-8D17-4A52-BEBE-C0830A3B61D7}"/>
    <cellStyle name="Moneda 4 2 2 2 2" xfId="580" xr:uid="{5F094C78-3560-4871-A3AB-3D5722488CB1}"/>
    <cellStyle name="Moneda 4 2 2 2 2 2" xfId="1061" xr:uid="{A07F4FED-7BC6-4F06-BE5B-77758D061E19}"/>
    <cellStyle name="Moneda 4 2 2 2 2 2 2" xfId="2023" xr:uid="{4515BE05-2C56-4E0A-BF88-A681653F0DDD}"/>
    <cellStyle name="Moneda 4 2 2 2 2 2 2 2" xfId="3947" xr:uid="{B23C700F-3A3B-4BFA-BF7D-25AFE3949C41}"/>
    <cellStyle name="Moneda 4 2 2 2 2 2 2 2 2" xfId="7795" xr:uid="{3DCF5950-D7FE-47DF-BC56-16F87880A296}"/>
    <cellStyle name="Moneda 4 2 2 2 2 2 2 3" xfId="5871" xr:uid="{0D6F5AB0-DE42-4948-93CD-0BCC3C2BFDC3}"/>
    <cellStyle name="Moneda 4 2 2 2 2 2 3" xfId="2985" xr:uid="{DE663DA1-A5A0-41F8-8C1C-8AC5F487BA73}"/>
    <cellStyle name="Moneda 4 2 2 2 2 2 3 2" xfId="6833" xr:uid="{292D993F-6662-4B9A-8F77-82353F889F4F}"/>
    <cellStyle name="Moneda 4 2 2 2 2 2 4" xfId="4909" xr:uid="{30F56416-E1AF-4443-BD23-EC059CC512C1}"/>
    <cellStyle name="Moneda 4 2 2 2 2 3" xfId="1542" xr:uid="{57764AD9-89EF-43B8-B90C-4E42C40D01B1}"/>
    <cellStyle name="Moneda 4 2 2 2 2 3 2" xfId="3466" xr:uid="{50EC6527-0DB4-4951-AB70-DBC0E1A4F8C7}"/>
    <cellStyle name="Moneda 4 2 2 2 2 3 2 2" xfId="7314" xr:uid="{C9C35E16-A92D-4A1A-A7CE-0312EE93EA70}"/>
    <cellStyle name="Moneda 4 2 2 2 2 3 3" xfId="5390" xr:uid="{FFEB708B-8239-4FD0-A2AE-06DB6B09D441}"/>
    <cellStyle name="Moneda 4 2 2 2 2 4" xfId="2504" xr:uid="{F5CCF89A-FE1D-4287-A81E-086682200398}"/>
    <cellStyle name="Moneda 4 2 2 2 2 4 2" xfId="6352" xr:uid="{D628885C-6CBF-455E-BC87-36CA3B522379}"/>
    <cellStyle name="Moneda 4 2 2 2 2 5" xfId="4428" xr:uid="{04ECFCB5-2701-4561-BE71-BAC3B6F67C05}"/>
    <cellStyle name="Moneda 4 2 2 2 3" xfId="821" xr:uid="{2C035554-0A83-4141-BFAB-669728F64843}"/>
    <cellStyle name="Moneda 4 2 2 2 3 2" xfId="1783" xr:uid="{55A546FF-0032-49F1-90BF-474D05017C0A}"/>
    <cellStyle name="Moneda 4 2 2 2 3 2 2" xfId="3707" xr:uid="{FC0960D4-E861-449F-A15D-9C930EB12F94}"/>
    <cellStyle name="Moneda 4 2 2 2 3 2 2 2" xfId="7555" xr:uid="{D9139656-6622-4ADD-A77D-ACF08446807B}"/>
    <cellStyle name="Moneda 4 2 2 2 3 2 3" xfId="5631" xr:uid="{4F96A8AB-3502-4048-ACD9-3E0989C3E43E}"/>
    <cellStyle name="Moneda 4 2 2 2 3 3" xfId="2745" xr:uid="{E16B30F8-B493-495A-9F1D-EB7541851638}"/>
    <cellStyle name="Moneda 4 2 2 2 3 3 2" xfId="6593" xr:uid="{850BC6CF-69E5-4BC9-9ED8-B4BD799FDE3F}"/>
    <cellStyle name="Moneda 4 2 2 2 3 4" xfId="4669" xr:uid="{F57BC3F3-3017-42E1-964A-A537A562F676}"/>
    <cellStyle name="Moneda 4 2 2 2 4" xfId="1302" xr:uid="{40F209EA-BC2D-44CD-9DB3-47B93B06787D}"/>
    <cellStyle name="Moneda 4 2 2 2 4 2" xfId="3226" xr:uid="{874CE4AD-33E7-462B-8ED9-783F4E0E47F1}"/>
    <cellStyle name="Moneda 4 2 2 2 4 2 2" xfId="7074" xr:uid="{DB796E04-7D28-44D5-B8A1-34C86350BEB5}"/>
    <cellStyle name="Moneda 4 2 2 2 4 3" xfId="5150" xr:uid="{B2CB0AE0-7890-42E3-B8A8-AFA249F23C77}"/>
    <cellStyle name="Moneda 4 2 2 2 5" xfId="2264" xr:uid="{457917D5-6EDC-4697-9C26-7C7610D1901B}"/>
    <cellStyle name="Moneda 4 2 2 2 5 2" xfId="6112" xr:uid="{4E352C46-1C49-4313-B505-865BCC1AAB9C}"/>
    <cellStyle name="Moneda 4 2 2 2 6" xfId="4188" xr:uid="{3E468BD6-F69C-4A94-8989-2108FE0012A6}"/>
    <cellStyle name="Moneda 4 2 2 3" xfId="448" xr:uid="{8A4CC302-1B9E-4263-9DEC-86F8F019FC3E}"/>
    <cellStyle name="Moneda 4 2 2 3 2" xfId="929" xr:uid="{3D01F2A1-56E2-4A14-8EDC-D303ED08725D}"/>
    <cellStyle name="Moneda 4 2 2 3 2 2" xfId="1891" xr:uid="{AE2ADBBC-52E8-485F-ACEF-AE33573AFC30}"/>
    <cellStyle name="Moneda 4 2 2 3 2 2 2" xfId="3815" xr:uid="{58247906-30DC-47DA-9D13-105A03B868CE}"/>
    <cellStyle name="Moneda 4 2 2 3 2 2 2 2" xfId="7663" xr:uid="{5176B0CB-8969-4E2D-8C95-8004E3276956}"/>
    <cellStyle name="Moneda 4 2 2 3 2 2 3" xfId="5739" xr:uid="{B0078FAE-728B-40D9-A006-6520B6EB670D}"/>
    <cellStyle name="Moneda 4 2 2 3 2 3" xfId="2853" xr:uid="{D80FCB8B-738E-4A2C-9EDA-DFC8895AB8EE}"/>
    <cellStyle name="Moneda 4 2 2 3 2 3 2" xfId="6701" xr:uid="{5CB6F2C7-E023-43FA-8DC3-81FD9089DCE2}"/>
    <cellStyle name="Moneda 4 2 2 3 2 4" xfId="4777" xr:uid="{BFC5BA2C-96BD-468F-BDB2-0B64C570B1E5}"/>
    <cellStyle name="Moneda 4 2 2 3 3" xfId="1410" xr:uid="{39D5CB14-CEC6-4805-B70D-5F052EDC6EC1}"/>
    <cellStyle name="Moneda 4 2 2 3 3 2" xfId="3334" xr:uid="{25B3811C-FE7B-47BF-ABED-14B913CFE5CC}"/>
    <cellStyle name="Moneda 4 2 2 3 3 2 2" xfId="7182" xr:uid="{595A308A-8EA6-4A6A-B7D4-E3A3651FAE09}"/>
    <cellStyle name="Moneda 4 2 2 3 3 3" xfId="5258" xr:uid="{CE726592-7DD3-4013-B0B6-622FE7979D3E}"/>
    <cellStyle name="Moneda 4 2 2 3 4" xfId="2372" xr:uid="{F6CB4E79-7472-40D8-BCF5-B167EF1FD96F}"/>
    <cellStyle name="Moneda 4 2 2 3 4 2" xfId="6220" xr:uid="{BCEB94AF-8A53-4A3E-AD14-01A4AE9D3088}"/>
    <cellStyle name="Moneda 4 2 2 3 5" xfId="4296" xr:uid="{E9D11BCD-5F48-47DE-9A34-5026FD13430E}"/>
    <cellStyle name="Moneda 4 2 2 4" xfId="689" xr:uid="{DCF3F1A1-0A7C-4239-8011-09B9D93AE49F}"/>
    <cellStyle name="Moneda 4 2 2 4 2" xfId="1651" xr:uid="{FC5F1BA2-AAA1-40E9-883E-33637FE8A8B5}"/>
    <cellStyle name="Moneda 4 2 2 4 2 2" xfId="3575" xr:uid="{D5BE81AC-C956-4423-A28E-A7C6C0203E61}"/>
    <cellStyle name="Moneda 4 2 2 4 2 2 2" xfId="7423" xr:uid="{23A4CDE0-2F3C-4CF2-9E8F-AC1DEFC089F2}"/>
    <cellStyle name="Moneda 4 2 2 4 2 3" xfId="5499" xr:uid="{0F2E3C01-73C4-4715-9156-2BA1633AED92}"/>
    <cellStyle name="Moneda 4 2 2 4 3" xfId="2613" xr:uid="{B2B350D8-1F9E-4B6F-B4E1-AA46D31E1DEE}"/>
    <cellStyle name="Moneda 4 2 2 4 3 2" xfId="6461" xr:uid="{DC32BF48-684B-4FC7-83B7-B0C11E39E0C7}"/>
    <cellStyle name="Moneda 4 2 2 4 4" xfId="4537" xr:uid="{35A27BFF-6C7C-445A-BBF0-BC6084F177C7}"/>
    <cellStyle name="Moneda 4 2 2 5" xfId="1170" xr:uid="{F5A3C695-84F6-4761-A8FA-661114998202}"/>
    <cellStyle name="Moneda 4 2 2 5 2" xfId="3094" xr:uid="{49954D61-FF9B-41CE-A9E0-AC3F63F5DD10}"/>
    <cellStyle name="Moneda 4 2 2 5 2 2" xfId="6942" xr:uid="{CF164431-6FA4-4E69-A9F6-158DDDC7844B}"/>
    <cellStyle name="Moneda 4 2 2 5 3" xfId="5018" xr:uid="{5C8E9084-D792-4C90-A1E1-2970768F9859}"/>
    <cellStyle name="Moneda 4 2 2 6" xfId="2132" xr:uid="{C7B6FA74-7D20-4DAE-85BF-FEE8979148AA}"/>
    <cellStyle name="Moneda 4 2 2 6 2" xfId="5980" xr:uid="{F91D6C03-3DA8-4E87-9F6C-45689EDEEEBD}"/>
    <cellStyle name="Moneda 4 2 2 7" xfId="4056" xr:uid="{3A924BD6-1F04-44CD-A8AA-A63E4CF1DD5D}"/>
    <cellStyle name="Moneda 4 2 3" xfId="296" xr:uid="{5419CE4F-BCFE-4826-AE78-E5E6ACD97C25}"/>
    <cellStyle name="Moneda 4 2 3 2" xfId="547" xr:uid="{1128F6D3-18EC-471C-8B47-99C69D42A011}"/>
    <cellStyle name="Moneda 4 2 3 2 2" xfId="1028" xr:uid="{0AC54B63-8A93-47ED-9B2F-BE403C4B0748}"/>
    <cellStyle name="Moneda 4 2 3 2 2 2" xfId="1990" xr:uid="{ECAB1EAF-05A8-4DCD-9324-4F1399445EAB}"/>
    <cellStyle name="Moneda 4 2 3 2 2 2 2" xfId="3914" xr:uid="{6E4721F4-BCDE-405E-A220-B10BD6F7A43F}"/>
    <cellStyle name="Moneda 4 2 3 2 2 2 2 2" xfId="7762" xr:uid="{4467E569-22AE-402E-8D75-59259C3D3C74}"/>
    <cellStyle name="Moneda 4 2 3 2 2 2 3" xfId="5838" xr:uid="{3CBA39EC-D3CB-4611-8E39-2B72B39340E9}"/>
    <cellStyle name="Moneda 4 2 3 2 2 3" xfId="2952" xr:uid="{0A1DACBD-7D82-49E1-BBD1-11E97DA1E8EF}"/>
    <cellStyle name="Moneda 4 2 3 2 2 3 2" xfId="6800" xr:uid="{D4DA6C42-E298-49B5-836F-133EB39C052B}"/>
    <cellStyle name="Moneda 4 2 3 2 2 4" xfId="4876" xr:uid="{D8ACF271-359D-4D3F-8841-05625294AB02}"/>
    <cellStyle name="Moneda 4 2 3 2 3" xfId="1509" xr:uid="{BA66303A-43E3-44BC-8045-729C51207BF1}"/>
    <cellStyle name="Moneda 4 2 3 2 3 2" xfId="3433" xr:uid="{55ED1E2A-3875-49A4-A078-E1A0D4659400}"/>
    <cellStyle name="Moneda 4 2 3 2 3 2 2" xfId="7281" xr:uid="{61EEB0B4-3AE0-4FD1-BDBF-1689A38249B1}"/>
    <cellStyle name="Moneda 4 2 3 2 3 3" xfId="5357" xr:uid="{C54A3982-E7FE-47E9-A738-BB5CB8714FBC}"/>
    <cellStyle name="Moneda 4 2 3 2 4" xfId="2471" xr:uid="{87F5DE74-F995-4AA3-8999-9A86A925C77D}"/>
    <cellStyle name="Moneda 4 2 3 2 4 2" xfId="6319" xr:uid="{31539087-FF51-471A-82A2-59A0FB76BD77}"/>
    <cellStyle name="Moneda 4 2 3 2 5" xfId="4395" xr:uid="{EA3457A9-285C-4963-9F5C-67BB3EEAFF96}"/>
    <cellStyle name="Moneda 4 2 3 3" xfId="788" xr:uid="{587A3697-BEA7-4A54-89C3-D4530DFFF103}"/>
    <cellStyle name="Moneda 4 2 3 3 2" xfId="1750" xr:uid="{F9C91891-32D1-4496-A550-941CC8658878}"/>
    <cellStyle name="Moneda 4 2 3 3 2 2" xfId="3674" xr:uid="{8A549FB7-9DAD-4336-994E-C7BD53E8E6B7}"/>
    <cellStyle name="Moneda 4 2 3 3 2 2 2" xfId="7522" xr:uid="{02F59696-3D2E-48D6-BE35-6B78CF1E59D1}"/>
    <cellStyle name="Moneda 4 2 3 3 2 3" xfId="5598" xr:uid="{F9DD6D61-99D1-4642-B741-CE5B63AEE275}"/>
    <cellStyle name="Moneda 4 2 3 3 3" xfId="2712" xr:uid="{BD2120F3-1F02-4A55-92AA-F772B483B466}"/>
    <cellStyle name="Moneda 4 2 3 3 3 2" xfId="6560" xr:uid="{CA04F6AE-923A-4F3E-8310-8AFA4299C6BC}"/>
    <cellStyle name="Moneda 4 2 3 3 4" xfId="4636" xr:uid="{08F9BC9F-ED6B-4096-AC3F-7C6940503598}"/>
    <cellStyle name="Moneda 4 2 3 4" xfId="1269" xr:uid="{4BC216E9-3B2E-41A0-85F2-4DCC26483F93}"/>
    <cellStyle name="Moneda 4 2 3 4 2" xfId="3193" xr:uid="{C4625051-9A58-4BA6-8E6F-A61C537971F3}"/>
    <cellStyle name="Moneda 4 2 3 4 2 2" xfId="7041" xr:uid="{94E93836-0D85-4788-969D-38F5CB225507}"/>
    <cellStyle name="Moneda 4 2 3 4 3" xfId="5117" xr:uid="{1AA7A648-CDBD-4A01-8970-FB425856C514}"/>
    <cellStyle name="Moneda 4 2 3 5" xfId="2231" xr:uid="{7DCB6A71-7AE3-46BD-9573-CE6E50B20D72}"/>
    <cellStyle name="Moneda 4 2 3 5 2" xfId="6079" xr:uid="{7638E479-2001-43EA-B3C1-92A6960FEF2C}"/>
    <cellStyle name="Moneda 4 2 3 6" xfId="4155" xr:uid="{25F5F061-20AC-4E6F-81B2-694F0BE52ECE}"/>
    <cellStyle name="Moneda 4 2 4" xfId="229" xr:uid="{868984DF-21D6-4C53-BD14-951B034E3776}"/>
    <cellStyle name="Moneda 4 2 4 2" xfId="481" xr:uid="{E5E5C849-B95E-4A90-97AE-E3663BCD8155}"/>
    <cellStyle name="Moneda 4 2 4 2 2" xfId="962" xr:uid="{5F3D2FA0-30B1-46FD-BCD7-F1DEEC6924AC}"/>
    <cellStyle name="Moneda 4 2 4 2 2 2" xfId="1924" xr:uid="{5DE79D3B-04D8-479F-877A-B0FD3B407093}"/>
    <cellStyle name="Moneda 4 2 4 2 2 2 2" xfId="3848" xr:uid="{8BD4C7AF-9668-45C5-A646-E224DC752670}"/>
    <cellStyle name="Moneda 4 2 4 2 2 2 2 2" xfId="7696" xr:uid="{796C2677-7BB2-4D8A-8FF8-8E9E70CF44D8}"/>
    <cellStyle name="Moneda 4 2 4 2 2 2 3" xfId="5772" xr:uid="{912DA41E-CC29-4E40-A180-54246B4815C3}"/>
    <cellStyle name="Moneda 4 2 4 2 2 3" xfId="2886" xr:uid="{752F887B-C8B2-4C4E-94FB-B4CEE7AF15B1}"/>
    <cellStyle name="Moneda 4 2 4 2 2 3 2" xfId="6734" xr:uid="{CEEB0EA4-74EA-4FC0-B5F8-73E00098871A}"/>
    <cellStyle name="Moneda 4 2 4 2 2 4" xfId="4810" xr:uid="{F3AD4550-D5D0-4149-B4A4-EE99DF7C5675}"/>
    <cellStyle name="Moneda 4 2 4 2 3" xfId="1443" xr:uid="{5E9882C3-B8CF-4C54-8A7D-7263CEF079BB}"/>
    <cellStyle name="Moneda 4 2 4 2 3 2" xfId="3367" xr:uid="{99A9A486-1751-458B-9BD9-60A6844ED18D}"/>
    <cellStyle name="Moneda 4 2 4 2 3 2 2" xfId="7215" xr:uid="{FAEF6057-05C9-4C74-895A-6F859E087C2B}"/>
    <cellStyle name="Moneda 4 2 4 2 3 3" xfId="5291" xr:uid="{6AE1F2A1-34D8-4D70-BE52-E765178110AF}"/>
    <cellStyle name="Moneda 4 2 4 2 4" xfId="2405" xr:uid="{914B77B9-7C98-4488-9398-B6C38D9C0E09}"/>
    <cellStyle name="Moneda 4 2 4 2 4 2" xfId="6253" xr:uid="{C8656E62-6432-417C-ABF2-BA1687C21F7B}"/>
    <cellStyle name="Moneda 4 2 4 2 5" xfId="4329" xr:uid="{F280216C-B37F-4FEC-9E1F-2087A9F1460C}"/>
    <cellStyle name="Moneda 4 2 4 3" xfId="722" xr:uid="{582D4861-544D-46A1-8A58-526B276402F4}"/>
    <cellStyle name="Moneda 4 2 4 3 2" xfId="1684" xr:uid="{A4D3D1D6-EBED-4147-A379-90E75555487C}"/>
    <cellStyle name="Moneda 4 2 4 3 2 2" xfId="3608" xr:uid="{0A07E932-7B2E-4571-8DE4-498440A78CC4}"/>
    <cellStyle name="Moneda 4 2 4 3 2 2 2" xfId="7456" xr:uid="{F7FD3475-E073-49C9-AECB-80BB07AD1A44}"/>
    <cellStyle name="Moneda 4 2 4 3 2 3" xfId="5532" xr:uid="{897D201A-C950-42F0-92D5-71DE7CEBC5B7}"/>
    <cellStyle name="Moneda 4 2 4 3 3" xfId="2646" xr:uid="{44EA91AC-CB87-4CDA-87E9-6FC1EB0E3E51}"/>
    <cellStyle name="Moneda 4 2 4 3 3 2" xfId="6494" xr:uid="{A6D03577-60C8-4315-B809-2DA8D294393C}"/>
    <cellStyle name="Moneda 4 2 4 3 4" xfId="4570" xr:uid="{65CB1B82-CB4D-49F6-B5D1-15941CBAB88E}"/>
    <cellStyle name="Moneda 4 2 4 4" xfId="1203" xr:uid="{CF91F9C3-64C5-4BA4-97DD-5BBF24886921}"/>
    <cellStyle name="Moneda 4 2 4 4 2" xfId="3127" xr:uid="{210B79B1-DE6C-4F84-90F6-4BABD76FC6DE}"/>
    <cellStyle name="Moneda 4 2 4 4 2 2" xfId="6975" xr:uid="{0E3BC6DB-8124-4194-8C51-C74460071DC2}"/>
    <cellStyle name="Moneda 4 2 4 4 3" xfId="5051" xr:uid="{63B5B58F-DDBB-4AED-A8BC-A39CE5E65EF6}"/>
    <cellStyle name="Moneda 4 2 4 5" xfId="2165" xr:uid="{50C5379F-E649-4F79-88FC-FF520F4F6207}"/>
    <cellStyle name="Moneda 4 2 4 5 2" xfId="6013" xr:uid="{5A64F731-0920-404A-8451-C99285E84534}"/>
    <cellStyle name="Moneda 4 2 4 6" xfId="4089" xr:uid="{6BC9447B-68DB-4E33-92C7-A7A2FF176698}"/>
    <cellStyle name="Moneda 4 2 5" xfId="415" xr:uid="{7DFC6D8C-DF29-4703-A567-E60B23E4A3B5}"/>
    <cellStyle name="Moneda 4 2 5 2" xfId="896" xr:uid="{E4CFA329-C193-40DD-BBD3-967DE564C795}"/>
    <cellStyle name="Moneda 4 2 5 2 2" xfId="1858" xr:uid="{08DBC160-6CA9-4227-AAC3-32CE6C7F77BE}"/>
    <cellStyle name="Moneda 4 2 5 2 2 2" xfId="3782" xr:uid="{52C19AD0-C0A1-4735-A34F-6696A602ED58}"/>
    <cellStyle name="Moneda 4 2 5 2 2 2 2" xfId="7630" xr:uid="{57ACA4CD-0D9A-4A29-8BFA-49B3A6236989}"/>
    <cellStyle name="Moneda 4 2 5 2 2 3" xfId="5706" xr:uid="{79D1831F-73EA-4279-AC36-EC319B17E26F}"/>
    <cellStyle name="Moneda 4 2 5 2 3" xfId="2820" xr:uid="{1895E181-DFF4-4FB9-8DFD-82AEEB129EA6}"/>
    <cellStyle name="Moneda 4 2 5 2 3 2" xfId="6668" xr:uid="{FFAC11AF-7FC8-4614-A50C-DDD055925EFE}"/>
    <cellStyle name="Moneda 4 2 5 2 4" xfId="4744" xr:uid="{DB1F9283-B765-473A-8BBE-E6C24359FD60}"/>
    <cellStyle name="Moneda 4 2 5 3" xfId="1377" xr:uid="{5AC7713A-3868-4CF1-AE29-6E94425C7526}"/>
    <cellStyle name="Moneda 4 2 5 3 2" xfId="3301" xr:uid="{76489CAD-AB7F-4E44-91E2-82DC75BAC2B5}"/>
    <cellStyle name="Moneda 4 2 5 3 2 2" xfId="7149" xr:uid="{396CCDD0-27AE-4FA0-99C7-172E500C599D}"/>
    <cellStyle name="Moneda 4 2 5 3 3" xfId="5225" xr:uid="{B8381CFA-2529-4FF9-AD4F-2EC8E164ED30}"/>
    <cellStyle name="Moneda 4 2 5 4" xfId="2339" xr:uid="{B711D76A-1E8D-48EE-BEFD-EE969C36785D}"/>
    <cellStyle name="Moneda 4 2 5 4 2" xfId="6187" xr:uid="{A1419BD5-214E-48A8-ABE5-D5982E0091A6}"/>
    <cellStyle name="Moneda 4 2 5 5" xfId="4263" xr:uid="{B1B0239A-3D14-4339-9BD4-16251FCFA7B9}"/>
    <cellStyle name="Moneda 4 2 6" xfId="656" xr:uid="{F936D886-5C1D-43C2-9245-148C1C4B870D}"/>
    <cellStyle name="Moneda 4 2 6 2" xfId="1618" xr:uid="{B54458E7-2251-4D3B-BDB8-B517ECC8795F}"/>
    <cellStyle name="Moneda 4 2 6 2 2" xfId="3542" xr:uid="{A001BE00-709C-4B6A-922B-70F800F39800}"/>
    <cellStyle name="Moneda 4 2 6 2 2 2" xfId="7390" xr:uid="{99B9605F-C6AF-434F-A89D-A2EFB70708A9}"/>
    <cellStyle name="Moneda 4 2 6 2 3" xfId="5466" xr:uid="{BF5CDB1D-0D65-409F-921C-49E70BAA6925}"/>
    <cellStyle name="Moneda 4 2 6 3" xfId="2580" xr:uid="{440BA349-0CCD-4D5D-BAFF-7B0BFBAE7ADB}"/>
    <cellStyle name="Moneda 4 2 6 3 2" xfId="6428" xr:uid="{2CAADAD7-9C88-4376-90C9-1D07F8C038F9}"/>
    <cellStyle name="Moneda 4 2 6 4" xfId="4504" xr:uid="{76107CA7-8D8B-4F93-B632-EB2D684B18D2}"/>
    <cellStyle name="Moneda 4 2 7" xfId="1137" xr:uid="{EC1797A7-E496-4579-9DE7-5DDCD1CEF847}"/>
    <cellStyle name="Moneda 4 2 7 2" xfId="3061" xr:uid="{FC655D37-6CD0-44A9-8DD9-485599C62951}"/>
    <cellStyle name="Moneda 4 2 7 2 2" xfId="6909" xr:uid="{F377BAAD-8F9A-434C-BBF4-A0212A122C5A}"/>
    <cellStyle name="Moneda 4 2 7 3" xfId="4985" xr:uid="{EB451E54-916E-4832-90B7-80AFB8A01EB6}"/>
    <cellStyle name="Moneda 4 2 8" xfId="2099" xr:uid="{A4BEBD30-1F96-49B7-9A85-73AF68509428}"/>
    <cellStyle name="Moneda 4 2 8 2" xfId="5947" xr:uid="{40A9A289-7CDA-4763-8C87-C74A1A6FA4E6}"/>
    <cellStyle name="Moneda 4 2 9" xfId="4023" xr:uid="{A5512041-1F6A-4528-8755-49341479564E}"/>
    <cellStyle name="Moneda 4 3" xfId="168" xr:uid="{44A6E101-A376-468D-8147-6ACBD74B9765}"/>
    <cellStyle name="Moneda 4 3 2" xfId="204" xr:uid="{87E12A6A-60F8-4023-A582-19335B13FF1B}"/>
    <cellStyle name="Moneda 4 3 2 2" xfId="338" xr:uid="{40F51FBC-22B9-49F0-845E-8733598C9A81}"/>
    <cellStyle name="Moneda 4 3 2 2 2" xfId="589" xr:uid="{99FF6A8C-5F50-4538-97EB-089ED486C39C}"/>
    <cellStyle name="Moneda 4 3 2 2 2 2" xfId="1070" xr:uid="{A780C88E-7A73-494C-9230-813898926093}"/>
    <cellStyle name="Moneda 4 3 2 2 2 2 2" xfId="2032" xr:uid="{2AC2FBC7-CE4F-4627-A3EE-A9F51E341510}"/>
    <cellStyle name="Moneda 4 3 2 2 2 2 2 2" xfId="3956" xr:uid="{4614C716-6A84-4C94-8E81-59366E0733FA}"/>
    <cellStyle name="Moneda 4 3 2 2 2 2 2 2 2" xfId="7804" xr:uid="{18D7E22E-5102-4FDB-9B08-95698DFA5667}"/>
    <cellStyle name="Moneda 4 3 2 2 2 2 2 3" xfId="5880" xr:uid="{4AF93F6A-74FD-46DC-AACA-0EB5FF3233B2}"/>
    <cellStyle name="Moneda 4 3 2 2 2 2 3" xfId="2994" xr:uid="{0AB25E15-FA23-4AAE-AE27-EB9D13D8167D}"/>
    <cellStyle name="Moneda 4 3 2 2 2 2 3 2" xfId="6842" xr:uid="{2DB1A40B-39E5-409B-950E-9FAFB8B8AF15}"/>
    <cellStyle name="Moneda 4 3 2 2 2 2 4" xfId="4918" xr:uid="{B9DF190E-51B9-4CCD-AB28-52709C73A715}"/>
    <cellStyle name="Moneda 4 3 2 2 2 3" xfId="1551" xr:uid="{DEFADDC5-D117-4F18-9FB6-BAA5B0954D31}"/>
    <cellStyle name="Moneda 4 3 2 2 2 3 2" xfId="3475" xr:uid="{C214B45B-29C6-4C10-BB94-F42B923D1854}"/>
    <cellStyle name="Moneda 4 3 2 2 2 3 2 2" xfId="7323" xr:uid="{87057896-5E85-4F20-8414-B9A3BCF1E81D}"/>
    <cellStyle name="Moneda 4 3 2 2 2 3 3" xfId="5399" xr:uid="{470795AD-C693-41D7-AF77-711FD3631863}"/>
    <cellStyle name="Moneda 4 3 2 2 2 4" xfId="2513" xr:uid="{BC5DDBD1-A871-4D0D-9DEF-4EDAAC24331A}"/>
    <cellStyle name="Moneda 4 3 2 2 2 4 2" xfId="6361" xr:uid="{3AF7668D-0060-4DEA-A0A0-13621CC90A8D}"/>
    <cellStyle name="Moneda 4 3 2 2 2 5" xfId="4437" xr:uid="{40343455-EED0-41FB-9CA4-FB9C7CD2B091}"/>
    <cellStyle name="Moneda 4 3 2 2 3" xfId="830" xr:uid="{010159B8-7747-44E0-AE96-CE3B90B4A477}"/>
    <cellStyle name="Moneda 4 3 2 2 3 2" xfId="1792" xr:uid="{14B155E1-8797-435B-B595-B4628715E6E9}"/>
    <cellStyle name="Moneda 4 3 2 2 3 2 2" xfId="3716" xr:uid="{EA49FF74-7555-4B95-859C-B9761A3F355B}"/>
    <cellStyle name="Moneda 4 3 2 2 3 2 2 2" xfId="7564" xr:uid="{68007F23-7316-4AF5-8DD9-6AB8F050DDE1}"/>
    <cellStyle name="Moneda 4 3 2 2 3 2 3" xfId="5640" xr:uid="{731E98A4-D11C-4941-83EB-9DC0559253C4}"/>
    <cellStyle name="Moneda 4 3 2 2 3 3" xfId="2754" xr:uid="{C0020CE8-8CD9-4923-930C-B63F31737EE8}"/>
    <cellStyle name="Moneda 4 3 2 2 3 3 2" xfId="6602" xr:uid="{0ABFDB93-F6C2-4249-B1EC-82735EBB04BF}"/>
    <cellStyle name="Moneda 4 3 2 2 3 4" xfId="4678" xr:uid="{ADE80CFF-BB32-49E3-8AAF-84938F4175EB}"/>
    <cellStyle name="Moneda 4 3 2 2 4" xfId="1311" xr:uid="{0D6C17EC-CD85-49AE-BB6C-64A8C2F1C468}"/>
    <cellStyle name="Moneda 4 3 2 2 4 2" xfId="3235" xr:uid="{B4072EF5-635C-4220-8918-8B5747362CF7}"/>
    <cellStyle name="Moneda 4 3 2 2 4 2 2" xfId="7083" xr:uid="{A32D596D-4B7D-4E5C-930E-B6CAC0F0C943}"/>
    <cellStyle name="Moneda 4 3 2 2 4 3" xfId="5159" xr:uid="{90716BE6-873A-45C6-9FBE-918C7A922013}"/>
    <cellStyle name="Moneda 4 3 2 2 5" xfId="2273" xr:uid="{FDA49D3D-6FF9-4933-89A9-EBBE38B33F53}"/>
    <cellStyle name="Moneda 4 3 2 2 5 2" xfId="6121" xr:uid="{2DB9EA88-8615-4ADD-B2DC-456E862A7236}"/>
    <cellStyle name="Moneda 4 3 2 2 6" xfId="4197" xr:uid="{8437C8C2-AD60-41E3-B7CA-3A7032BDDC3D}"/>
    <cellStyle name="Moneda 4 3 2 3" xfId="457" xr:uid="{5BEB288B-8C4C-4DEF-A775-8C7E2CFC8E98}"/>
    <cellStyle name="Moneda 4 3 2 3 2" xfId="938" xr:uid="{B932954E-C5A7-46EA-BBEB-8174AAC08AC2}"/>
    <cellStyle name="Moneda 4 3 2 3 2 2" xfId="1900" xr:uid="{33F36C1A-51AF-45E3-BFFC-A2415A924B10}"/>
    <cellStyle name="Moneda 4 3 2 3 2 2 2" xfId="3824" xr:uid="{BB098137-7495-4BD3-838C-71DC4AD0E369}"/>
    <cellStyle name="Moneda 4 3 2 3 2 2 2 2" xfId="7672" xr:uid="{F5243315-92F9-4F5B-8A77-BFE1578F778D}"/>
    <cellStyle name="Moneda 4 3 2 3 2 2 3" xfId="5748" xr:uid="{7C3B57B8-F8FB-4091-9A69-884D0B362FDD}"/>
    <cellStyle name="Moneda 4 3 2 3 2 3" xfId="2862" xr:uid="{EF8193B3-D23C-4C5D-BFC4-A89CC893C22F}"/>
    <cellStyle name="Moneda 4 3 2 3 2 3 2" xfId="6710" xr:uid="{3CDEEF36-21FD-4CDE-B40A-F862099D4D95}"/>
    <cellStyle name="Moneda 4 3 2 3 2 4" xfId="4786" xr:uid="{8730D5FF-EBBF-48B8-A878-F47014FB2C4A}"/>
    <cellStyle name="Moneda 4 3 2 3 3" xfId="1419" xr:uid="{A6007D32-2479-4564-B46E-9B54A64B69E9}"/>
    <cellStyle name="Moneda 4 3 2 3 3 2" xfId="3343" xr:uid="{6257B095-E4CF-43D6-A2E6-DB4A4D0DD0F5}"/>
    <cellStyle name="Moneda 4 3 2 3 3 2 2" xfId="7191" xr:uid="{D8969B25-45F4-4941-84CD-1B8E9DD9AF8F}"/>
    <cellStyle name="Moneda 4 3 2 3 3 3" xfId="5267" xr:uid="{1A635731-E35E-4FE1-836E-1759BE7438A7}"/>
    <cellStyle name="Moneda 4 3 2 3 4" xfId="2381" xr:uid="{C4103A00-A4A1-42D1-86E3-74B572122402}"/>
    <cellStyle name="Moneda 4 3 2 3 4 2" xfId="6229" xr:uid="{B1B7D607-E6DB-46A2-A9DF-F1B60DCBFC69}"/>
    <cellStyle name="Moneda 4 3 2 3 5" xfId="4305" xr:uid="{02F883FE-9E32-4921-924C-9607DB698265}"/>
    <cellStyle name="Moneda 4 3 2 4" xfId="698" xr:uid="{87901783-5E31-4E5B-9DEF-1D9FCBC96CB6}"/>
    <cellStyle name="Moneda 4 3 2 4 2" xfId="1660" xr:uid="{F378025B-CBE5-4DF8-B147-FCDD4B421187}"/>
    <cellStyle name="Moneda 4 3 2 4 2 2" xfId="3584" xr:uid="{BFA3ABB7-2EA2-44B2-BDE5-6869FB4548C7}"/>
    <cellStyle name="Moneda 4 3 2 4 2 2 2" xfId="7432" xr:uid="{86F0BD0F-99EE-437B-A52E-9BB2A4258692}"/>
    <cellStyle name="Moneda 4 3 2 4 2 3" xfId="5508" xr:uid="{42ABB92D-2B41-43C8-AED7-7E60286928ED}"/>
    <cellStyle name="Moneda 4 3 2 4 3" xfId="2622" xr:uid="{FE6FB830-739B-4094-8EC3-3D2073682637}"/>
    <cellStyle name="Moneda 4 3 2 4 3 2" xfId="6470" xr:uid="{3D4C0A92-5DB3-4EF9-8FB6-3DF0F53EEC24}"/>
    <cellStyle name="Moneda 4 3 2 4 4" xfId="4546" xr:uid="{D3832050-62BA-46A5-9BD0-3F25CCEEBAE0}"/>
    <cellStyle name="Moneda 4 3 2 5" xfId="1179" xr:uid="{8B719285-E491-4BEB-BA2F-B10C3BF32535}"/>
    <cellStyle name="Moneda 4 3 2 5 2" xfId="3103" xr:uid="{0F38BF21-E5F1-417B-B9DF-CC90DC9D7D45}"/>
    <cellStyle name="Moneda 4 3 2 5 2 2" xfId="6951" xr:uid="{45596541-51FD-43E8-8A1B-07CECC0B5A19}"/>
    <cellStyle name="Moneda 4 3 2 5 3" xfId="5027" xr:uid="{EEA7A37B-45DB-4750-A364-04F6666782A1}"/>
    <cellStyle name="Moneda 4 3 2 6" xfId="2141" xr:uid="{27A54724-58D7-458C-92A6-DBF5A93883E7}"/>
    <cellStyle name="Moneda 4 3 2 6 2" xfId="5989" xr:uid="{0E3AC8FF-7C2D-4615-B4B2-95D4756FDC9C}"/>
    <cellStyle name="Moneda 4 3 2 7" xfId="4065" xr:uid="{0039C07B-90D6-429A-9527-A03E9196EEB1}"/>
    <cellStyle name="Moneda 4 3 3" xfId="305" xr:uid="{17100C46-061E-49B9-ABEF-28AE7A4D6897}"/>
    <cellStyle name="Moneda 4 3 3 2" xfId="556" xr:uid="{DCB36A99-0E16-49D1-974F-3EB5BD0246D9}"/>
    <cellStyle name="Moneda 4 3 3 2 2" xfId="1037" xr:uid="{66570867-FC1F-4634-AED5-E60B4675E70D}"/>
    <cellStyle name="Moneda 4 3 3 2 2 2" xfId="1999" xr:uid="{FE5DB7A7-DE49-49B8-A7CF-361E9233B765}"/>
    <cellStyle name="Moneda 4 3 3 2 2 2 2" xfId="3923" xr:uid="{0689780F-80CF-4AC6-9E87-720445015ACF}"/>
    <cellStyle name="Moneda 4 3 3 2 2 2 2 2" xfId="7771" xr:uid="{19946278-C4D2-4A4C-B116-B542D598F4DC}"/>
    <cellStyle name="Moneda 4 3 3 2 2 2 3" xfId="5847" xr:uid="{FC68C0E8-679A-44CA-B528-2EAEA9C976ED}"/>
    <cellStyle name="Moneda 4 3 3 2 2 3" xfId="2961" xr:uid="{C0CBDF5C-C1AE-44A5-ADF2-617001657F7F}"/>
    <cellStyle name="Moneda 4 3 3 2 2 3 2" xfId="6809" xr:uid="{312F9776-4F43-4903-8BA8-8041F84A5B5B}"/>
    <cellStyle name="Moneda 4 3 3 2 2 4" xfId="4885" xr:uid="{5606476F-2B6E-4F47-95BD-1E04A599F3D6}"/>
    <cellStyle name="Moneda 4 3 3 2 3" xfId="1518" xr:uid="{EE289D03-38AF-4DDF-A7B9-9B69D865C2ED}"/>
    <cellStyle name="Moneda 4 3 3 2 3 2" xfId="3442" xr:uid="{C4A9A3B6-837E-417F-9BD8-EDBCD64F95FA}"/>
    <cellStyle name="Moneda 4 3 3 2 3 2 2" xfId="7290" xr:uid="{CC7B2E23-9D31-411C-9995-8E90E713DAC2}"/>
    <cellStyle name="Moneda 4 3 3 2 3 3" xfId="5366" xr:uid="{211A7EF6-5F46-47D1-9C92-00103DEF77FE}"/>
    <cellStyle name="Moneda 4 3 3 2 4" xfId="2480" xr:uid="{30EAB602-0EE1-4520-A57E-5138FA439C25}"/>
    <cellStyle name="Moneda 4 3 3 2 4 2" xfId="6328" xr:uid="{C80D7056-9F0F-4F0C-A5B1-B76F1438FD22}"/>
    <cellStyle name="Moneda 4 3 3 2 5" xfId="4404" xr:uid="{AA9ED696-79E4-4A51-B242-4E026E2CE722}"/>
    <cellStyle name="Moneda 4 3 3 3" xfId="797" xr:uid="{42F76E8F-12AE-4FF6-9E08-3943744762FD}"/>
    <cellStyle name="Moneda 4 3 3 3 2" xfId="1759" xr:uid="{EA7DD7FB-58F9-4EBC-8A20-50B3EAE46804}"/>
    <cellStyle name="Moneda 4 3 3 3 2 2" xfId="3683" xr:uid="{2BA84BBD-1379-45E4-AE05-B429DCB4C8DF}"/>
    <cellStyle name="Moneda 4 3 3 3 2 2 2" xfId="7531" xr:uid="{90FC3260-F135-404F-BC01-78EE1EA3BCD0}"/>
    <cellStyle name="Moneda 4 3 3 3 2 3" xfId="5607" xr:uid="{DA8DA989-6B9A-4296-9942-A5E1D8779FF3}"/>
    <cellStyle name="Moneda 4 3 3 3 3" xfId="2721" xr:uid="{384309CB-A6F0-48CE-96EB-4FBDFC28A238}"/>
    <cellStyle name="Moneda 4 3 3 3 3 2" xfId="6569" xr:uid="{D883A0F3-1B00-484D-A2DB-39289E1C9432}"/>
    <cellStyle name="Moneda 4 3 3 3 4" xfId="4645" xr:uid="{F1B8BCC5-F6F7-41C1-ABE9-67342660E6A5}"/>
    <cellStyle name="Moneda 4 3 3 4" xfId="1278" xr:uid="{6B7CF6B5-C0B7-4F30-A3F0-4E2FC0B6A989}"/>
    <cellStyle name="Moneda 4 3 3 4 2" xfId="3202" xr:uid="{6EC6ED89-9870-416B-9123-C20EC99257D8}"/>
    <cellStyle name="Moneda 4 3 3 4 2 2" xfId="7050" xr:uid="{AD712917-38DD-4E59-B22F-0FB83945EAA3}"/>
    <cellStyle name="Moneda 4 3 3 4 3" xfId="5126" xr:uid="{9A9C9EC1-800F-4321-A12B-79482946BCB1}"/>
    <cellStyle name="Moneda 4 3 3 5" xfId="2240" xr:uid="{9019DEF6-7168-475E-8CEB-9C071DE55F5F}"/>
    <cellStyle name="Moneda 4 3 3 5 2" xfId="6088" xr:uid="{A1158F4A-596D-454F-9D48-9BE591B1AEEA}"/>
    <cellStyle name="Moneda 4 3 3 6" xfId="4164" xr:uid="{1A4109B8-F1CD-41CA-90D4-38FEFE2B7453}"/>
    <cellStyle name="Moneda 4 3 4" xfId="238" xr:uid="{79DA11DD-BD88-4FBC-9092-A25F78430F27}"/>
    <cellStyle name="Moneda 4 3 4 2" xfId="490" xr:uid="{273F245C-7ED7-4C51-A4A5-8A2D068532ED}"/>
    <cellStyle name="Moneda 4 3 4 2 2" xfId="971" xr:uid="{848FAE9F-4C91-46F5-9C30-ADBDC02B72B0}"/>
    <cellStyle name="Moneda 4 3 4 2 2 2" xfId="1933" xr:uid="{E77A5512-DC99-4AE0-AB8D-62221DB5527B}"/>
    <cellStyle name="Moneda 4 3 4 2 2 2 2" xfId="3857" xr:uid="{6A91D471-ECDD-4BC6-B687-C515FA79CA03}"/>
    <cellStyle name="Moneda 4 3 4 2 2 2 2 2" xfId="7705" xr:uid="{0E6E5E8B-0607-434D-BFB8-8D46BC2E93DC}"/>
    <cellStyle name="Moneda 4 3 4 2 2 2 3" xfId="5781" xr:uid="{FE4373C7-6B5A-4E4C-AC81-A3FCF8C57DA5}"/>
    <cellStyle name="Moneda 4 3 4 2 2 3" xfId="2895" xr:uid="{8951F515-F7EB-48BF-B934-849888335D44}"/>
    <cellStyle name="Moneda 4 3 4 2 2 3 2" xfId="6743" xr:uid="{16C4CC96-60C8-4F63-9A78-AD8EDEBB4BF6}"/>
    <cellStyle name="Moneda 4 3 4 2 2 4" xfId="4819" xr:uid="{DC8EC5ED-D360-4C43-9296-0D2FCBC283E9}"/>
    <cellStyle name="Moneda 4 3 4 2 3" xfId="1452" xr:uid="{A8990B3D-1C5D-4DFE-98E2-F276A775CFC8}"/>
    <cellStyle name="Moneda 4 3 4 2 3 2" xfId="3376" xr:uid="{CC50C886-16D5-4751-A8A4-438D67A40C0D}"/>
    <cellStyle name="Moneda 4 3 4 2 3 2 2" xfId="7224" xr:uid="{3ECE7920-7110-46F6-A7AC-B49781B48301}"/>
    <cellStyle name="Moneda 4 3 4 2 3 3" xfId="5300" xr:uid="{A530B469-3803-4703-9E1A-43D4A8CC22EB}"/>
    <cellStyle name="Moneda 4 3 4 2 4" xfId="2414" xr:uid="{5C1F6F4D-ECF1-4CF0-8A28-20AC1FD98D49}"/>
    <cellStyle name="Moneda 4 3 4 2 4 2" xfId="6262" xr:uid="{CDBB9436-BCA7-4814-B415-3104E0310FEF}"/>
    <cellStyle name="Moneda 4 3 4 2 5" xfId="4338" xr:uid="{EC293D7F-E39C-4ECE-874F-C8A3A2117D3B}"/>
    <cellStyle name="Moneda 4 3 4 3" xfId="731" xr:uid="{DC6FAC17-62BA-4CDD-9F9D-8B79A4F07A5F}"/>
    <cellStyle name="Moneda 4 3 4 3 2" xfId="1693" xr:uid="{5B8645FD-9369-4D49-8503-7443935B9567}"/>
    <cellStyle name="Moneda 4 3 4 3 2 2" xfId="3617" xr:uid="{0A2036D2-C272-4F5A-AD05-FDA00E5B5C8C}"/>
    <cellStyle name="Moneda 4 3 4 3 2 2 2" xfId="7465" xr:uid="{20C6F07B-5FE0-467D-B131-3FD8D0CE5DD9}"/>
    <cellStyle name="Moneda 4 3 4 3 2 3" xfId="5541" xr:uid="{EA2148CD-421A-43EB-89D2-245E085E26E8}"/>
    <cellStyle name="Moneda 4 3 4 3 3" xfId="2655" xr:uid="{57A6861C-8055-4B34-AB08-B0B097C61D3F}"/>
    <cellStyle name="Moneda 4 3 4 3 3 2" xfId="6503" xr:uid="{90EAE388-7C02-4AC3-9D2F-9A336CA7B482}"/>
    <cellStyle name="Moneda 4 3 4 3 4" xfId="4579" xr:uid="{0A928045-915A-40C4-9CC9-07271A7B35C3}"/>
    <cellStyle name="Moneda 4 3 4 4" xfId="1212" xr:uid="{C7C4F8DC-F357-4904-97E7-3BDD441EA610}"/>
    <cellStyle name="Moneda 4 3 4 4 2" xfId="3136" xr:uid="{61B0242B-74AA-4CA4-8A0B-C95AAA85A854}"/>
    <cellStyle name="Moneda 4 3 4 4 2 2" xfId="6984" xr:uid="{7A8FA8E2-11EE-4FE3-A578-12AB14AB6B6A}"/>
    <cellStyle name="Moneda 4 3 4 4 3" xfId="5060" xr:uid="{EC893BDF-2045-48D5-9C55-E6A5C123020F}"/>
    <cellStyle name="Moneda 4 3 4 5" xfId="2174" xr:uid="{0680D57E-8024-40AE-B554-50CD94402463}"/>
    <cellStyle name="Moneda 4 3 4 5 2" xfId="6022" xr:uid="{09A6DDD8-0C3C-4DC3-8A9A-3BDBF753114F}"/>
    <cellStyle name="Moneda 4 3 4 6" xfId="4098" xr:uid="{AF4CE5FB-6C39-4BB3-837E-A171863BE697}"/>
    <cellStyle name="Moneda 4 3 5" xfId="424" xr:uid="{945C2C9E-AC50-4EFA-BD21-0FCDFA66F4E8}"/>
    <cellStyle name="Moneda 4 3 5 2" xfId="905" xr:uid="{E643613F-29C5-4EA4-908A-2F6CEFEC3FDD}"/>
    <cellStyle name="Moneda 4 3 5 2 2" xfId="1867" xr:uid="{1FAF0C89-D08B-4692-8E33-3B1809E778CD}"/>
    <cellStyle name="Moneda 4 3 5 2 2 2" xfId="3791" xr:uid="{444B4BF0-16A1-4D6B-8537-4DA383577D6C}"/>
    <cellStyle name="Moneda 4 3 5 2 2 2 2" xfId="7639" xr:uid="{073016F3-9404-4723-83C9-A50FB49DB81E}"/>
    <cellStyle name="Moneda 4 3 5 2 2 3" xfId="5715" xr:uid="{AC757645-7416-42CF-957F-2985B9FB914F}"/>
    <cellStyle name="Moneda 4 3 5 2 3" xfId="2829" xr:uid="{282EEDA1-48F1-40FB-A7ED-9C7B002E9337}"/>
    <cellStyle name="Moneda 4 3 5 2 3 2" xfId="6677" xr:uid="{CF7C2AD3-AA33-4107-8FC4-BDEBAD1E8D12}"/>
    <cellStyle name="Moneda 4 3 5 2 4" xfId="4753" xr:uid="{1D9BFE6F-7767-46CB-821A-8724FC67A379}"/>
    <cellStyle name="Moneda 4 3 5 3" xfId="1386" xr:uid="{36F28BA5-0C18-4DEE-8082-50E2C1D9AC19}"/>
    <cellStyle name="Moneda 4 3 5 3 2" xfId="3310" xr:uid="{A2251F63-7BB5-4C0F-8596-44D8DB310BC2}"/>
    <cellStyle name="Moneda 4 3 5 3 2 2" xfId="7158" xr:uid="{F6A58ED4-6DE5-4A3C-9202-DCE2CD0E8203}"/>
    <cellStyle name="Moneda 4 3 5 3 3" xfId="5234" xr:uid="{3F79518F-15FE-4917-AFAE-382C283611EC}"/>
    <cellStyle name="Moneda 4 3 5 4" xfId="2348" xr:uid="{4FD50944-9ECA-4D1B-BDFC-1F36730295BB}"/>
    <cellStyle name="Moneda 4 3 5 4 2" xfId="6196" xr:uid="{7A8867F4-5DF2-4C3C-8417-6504BE2FA688}"/>
    <cellStyle name="Moneda 4 3 5 5" xfId="4272" xr:uid="{7A9A27BF-206F-496C-9CEB-9AC411A2BC68}"/>
    <cellStyle name="Moneda 4 3 6" xfId="665" xr:uid="{66FD9526-009E-4618-A544-9741474AB283}"/>
    <cellStyle name="Moneda 4 3 6 2" xfId="1627" xr:uid="{6BE5AEC6-09F9-4BEC-8DB9-8FB8D38B46BA}"/>
    <cellStyle name="Moneda 4 3 6 2 2" xfId="3551" xr:uid="{7379053A-B61B-41A3-A97C-DE087B51694B}"/>
    <cellStyle name="Moneda 4 3 6 2 2 2" xfId="7399" xr:uid="{542BE269-CAF6-440A-817E-222C5378767F}"/>
    <cellStyle name="Moneda 4 3 6 2 3" xfId="5475" xr:uid="{05EFA05A-67DB-42E7-8280-8C91AD64C0E1}"/>
    <cellStyle name="Moneda 4 3 6 3" xfId="2589" xr:uid="{1A868818-42A2-4A6A-A6C7-D27148872FD3}"/>
    <cellStyle name="Moneda 4 3 6 3 2" xfId="6437" xr:uid="{A7AA75CE-DDBB-43C7-B34A-A4C9986FF75D}"/>
    <cellStyle name="Moneda 4 3 6 4" xfId="4513" xr:uid="{E0D825E5-504F-429B-AE87-D25B4D808AAA}"/>
    <cellStyle name="Moneda 4 3 7" xfId="1146" xr:uid="{0C9A2063-BF65-4AE1-A1F3-B70B74CC134F}"/>
    <cellStyle name="Moneda 4 3 7 2" xfId="3070" xr:uid="{670E1E13-2622-406F-9A7B-F39F572F51E7}"/>
    <cellStyle name="Moneda 4 3 7 2 2" xfId="6918" xr:uid="{DC777EBE-13D1-4FB5-B986-E9B682AB5FC8}"/>
    <cellStyle name="Moneda 4 3 7 3" xfId="4994" xr:uid="{1D00E5D9-D8C5-4F16-9048-F5FB51C4F63A}"/>
    <cellStyle name="Moneda 4 3 8" xfId="2108" xr:uid="{7BE7ADDE-2E9F-44D5-8A87-32C340A2B392}"/>
    <cellStyle name="Moneda 4 3 8 2" xfId="5956" xr:uid="{620CB6A4-7DBB-4352-AB2C-6DE1BF6B587F}"/>
    <cellStyle name="Moneda 4 3 9" xfId="4032" xr:uid="{CD58BCA1-41DE-4BF2-9019-8959CA9BA3F4}"/>
    <cellStyle name="Moneda 4 4" xfId="136" xr:uid="{2C3FE1AC-0478-468B-B268-D8E4D2A842DB}"/>
    <cellStyle name="Moneda 4 4 2" xfId="284" xr:uid="{7CD123E5-9C5B-43CD-A207-E79E9EE273F7}"/>
    <cellStyle name="Moneda 4 4 2 2" xfId="535" xr:uid="{B25BA9B4-F682-41F9-A618-8DFDCF03D0BB}"/>
    <cellStyle name="Moneda 4 4 2 2 2" xfId="1016" xr:uid="{590A0625-8254-482E-8C3B-3E1F976524C5}"/>
    <cellStyle name="Moneda 4 4 2 2 2 2" xfId="1978" xr:uid="{8142FC7F-BD77-4303-A3B4-9AA3B49D2DF6}"/>
    <cellStyle name="Moneda 4 4 2 2 2 2 2" xfId="3902" xr:uid="{002E4282-D7DA-4BF1-B236-E7E3859695FC}"/>
    <cellStyle name="Moneda 4 4 2 2 2 2 2 2" xfId="7750" xr:uid="{8B965ACF-CF8F-4E62-9729-5EF8C05ADA63}"/>
    <cellStyle name="Moneda 4 4 2 2 2 2 3" xfId="5826" xr:uid="{EA25B202-2345-4A92-B764-EE63BC24C278}"/>
    <cellStyle name="Moneda 4 4 2 2 2 3" xfId="2940" xr:uid="{306F950B-B059-4D0B-AF1E-26EBEEF7C735}"/>
    <cellStyle name="Moneda 4 4 2 2 2 3 2" xfId="6788" xr:uid="{35CA7B59-1366-4EE6-8ABC-6EFCA1CD2536}"/>
    <cellStyle name="Moneda 4 4 2 2 2 4" xfId="4864" xr:uid="{1D992DAA-DD89-43C6-8A87-8B61C036CBA7}"/>
    <cellStyle name="Moneda 4 4 2 2 3" xfId="1497" xr:uid="{52EFB85E-037C-4DAB-8E2B-B2AFA07C6084}"/>
    <cellStyle name="Moneda 4 4 2 2 3 2" xfId="3421" xr:uid="{8BC59126-9769-4124-90F8-CBF1EFEB6F21}"/>
    <cellStyle name="Moneda 4 4 2 2 3 2 2" xfId="7269" xr:uid="{2F57355D-BF15-4D0A-84D5-CDEB204A87CB}"/>
    <cellStyle name="Moneda 4 4 2 2 3 3" xfId="5345" xr:uid="{402FF2BB-CA42-4344-94C3-424C8119E24E}"/>
    <cellStyle name="Moneda 4 4 2 2 4" xfId="2459" xr:uid="{5781B902-CD00-4E32-965F-B9B2805C17E6}"/>
    <cellStyle name="Moneda 4 4 2 2 4 2" xfId="6307" xr:uid="{28B12DD8-0194-4B38-B38C-E17CC32F17D7}"/>
    <cellStyle name="Moneda 4 4 2 2 5" xfId="4383" xr:uid="{D358B02F-2FC8-4FC2-B2EA-0C892CE74468}"/>
    <cellStyle name="Moneda 4 4 2 3" xfId="776" xr:uid="{8CECAB92-36BA-45FD-801C-A417498CC488}"/>
    <cellStyle name="Moneda 4 4 2 3 2" xfId="1738" xr:uid="{5DD084D1-27B5-426A-B825-A6B5E58CE3EA}"/>
    <cellStyle name="Moneda 4 4 2 3 2 2" xfId="3662" xr:uid="{5CDFF404-79F7-4C7A-AD95-81DD5D196BB7}"/>
    <cellStyle name="Moneda 4 4 2 3 2 2 2" xfId="7510" xr:uid="{6EA94152-5567-4AB9-9F6D-A5385355190A}"/>
    <cellStyle name="Moneda 4 4 2 3 2 3" xfId="5586" xr:uid="{26866BD6-A5A8-4B3D-8180-CC8B4B2B9BC7}"/>
    <cellStyle name="Moneda 4 4 2 3 3" xfId="2700" xr:uid="{2C0064A3-E454-441E-997F-68070290BADB}"/>
    <cellStyle name="Moneda 4 4 2 3 3 2" xfId="6548" xr:uid="{7287A170-E98D-4638-8BCA-F2DDE704B679}"/>
    <cellStyle name="Moneda 4 4 2 3 4" xfId="4624" xr:uid="{5FA50CE1-7F22-4804-A768-7420B5A41BA4}"/>
    <cellStyle name="Moneda 4 4 2 4" xfId="1257" xr:uid="{9E6AE3A2-BF81-416E-92C8-5E3BD5909349}"/>
    <cellStyle name="Moneda 4 4 2 4 2" xfId="3181" xr:uid="{3D2762A0-A37C-4FC9-A31B-0E2DB59E96AF}"/>
    <cellStyle name="Moneda 4 4 2 4 2 2" xfId="7029" xr:uid="{CAFEEAC8-5E5B-445D-B717-285E8B6E7FC0}"/>
    <cellStyle name="Moneda 4 4 2 4 3" xfId="5105" xr:uid="{BA0C7819-CA68-40A9-BE09-6908E8ACB94B}"/>
    <cellStyle name="Moneda 4 4 2 5" xfId="2219" xr:uid="{170AB1ED-4AA8-47CA-A963-DD9DF6350137}"/>
    <cellStyle name="Moneda 4 4 2 5 2" xfId="6067" xr:uid="{CCEA9435-0B47-4E5D-9F25-1DFCB2D4633E}"/>
    <cellStyle name="Moneda 4 4 2 6" xfId="4143" xr:uid="{A9500B2E-F71B-45AE-8166-8E3B1CFEDDEB}"/>
    <cellStyle name="Moneda 4 4 3" xfId="403" xr:uid="{E350DB2B-3FCF-4E8A-9BD3-65BED217E185}"/>
    <cellStyle name="Moneda 4 4 3 2" xfId="884" xr:uid="{3B655852-CDCA-4187-A114-53B0FDE9A988}"/>
    <cellStyle name="Moneda 4 4 3 2 2" xfId="1846" xr:uid="{D8DFEF5C-D802-431D-A948-65A4B0EB3D25}"/>
    <cellStyle name="Moneda 4 4 3 2 2 2" xfId="3770" xr:uid="{AD72B1D0-D83F-4708-AE95-E2CDC1D10607}"/>
    <cellStyle name="Moneda 4 4 3 2 2 2 2" xfId="7618" xr:uid="{72B52915-0580-4009-8A2D-2B122DA68A29}"/>
    <cellStyle name="Moneda 4 4 3 2 2 3" xfId="5694" xr:uid="{4B1315B2-3415-44A0-9069-E9AC449C7A8C}"/>
    <cellStyle name="Moneda 4 4 3 2 3" xfId="2808" xr:uid="{E2DE4D5E-BE95-4C75-A1A2-2240E51BE476}"/>
    <cellStyle name="Moneda 4 4 3 2 3 2" xfId="6656" xr:uid="{B038BB32-0B83-42FC-A2BF-7C7D8ADDBF9F}"/>
    <cellStyle name="Moneda 4 4 3 2 4" xfId="4732" xr:uid="{EED2D00A-EBAC-44FA-877D-0AFD452FD747}"/>
    <cellStyle name="Moneda 4 4 3 3" xfId="1365" xr:uid="{ACA37268-6B12-47BB-AF8F-31C15F43BE28}"/>
    <cellStyle name="Moneda 4 4 3 3 2" xfId="3289" xr:uid="{2150C826-AE80-4228-A113-6DCF33D2E0CA}"/>
    <cellStyle name="Moneda 4 4 3 3 2 2" xfId="7137" xr:uid="{B26C5ED8-5C69-4E99-8D4D-33399F7BDDBA}"/>
    <cellStyle name="Moneda 4 4 3 3 3" xfId="5213" xr:uid="{5B235ABA-057A-4FDC-A20D-02BAC349C9CC}"/>
    <cellStyle name="Moneda 4 4 3 4" xfId="2327" xr:uid="{2B39B69B-1D0D-48AC-82A2-861F6A41E68D}"/>
    <cellStyle name="Moneda 4 4 3 4 2" xfId="6175" xr:uid="{53441E36-65BB-4153-A919-4C9F153A83E7}"/>
    <cellStyle name="Moneda 4 4 3 5" xfId="4251" xr:uid="{055AFEF8-F0EA-4F9E-B7AA-EE6D9AA10876}"/>
    <cellStyle name="Moneda 4 4 4" xfId="644" xr:uid="{3E6F4265-53ED-40D7-8A06-D57D6DD88F31}"/>
    <cellStyle name="Moneda 4 4 4 2" xfId="1606" xr:uid="{4FC26BB0-F6CA-442B-AC46-3569D40DE2F0}"/>
    <cellStyle name="Moneda 4 4 4 2 2" xfId="3530" xr:uid="{F8124394-2AD3-435D-8A97-E0E150C64823}"/>
    <cellStyle name="Moneda 4 4 4 2 2 2" xfId="7378" xr:uid="{3FCCCAA9-53C0-4A86-A5DC-5D40653E4545}"/>
    <cellStyle name="Moneda 4 4 4 2 3" xfId="5454" xr:uid="{74F6697D-9022-4FA9-A2FA-F5FC7BF78C9D}"/>
    <cellStyle name="Moneda 4 4 4 3" xfId="2568" xr:uid="{69A42C50-2C52-4D53-8A5F-AD1D2975BF38}"/>
    <cellStyle name="Moneda 4 4 4 3 2" xfId="6416" xr:uid="{C097DB43-D854-48D3-AED0-CC7096156DB9}"/>
    <cellStyle name="Moneda 4 4 4 4" xfId="4492" xr:uid="{EB15F60A-154A-40E4-AA6B-7DC3879269CC}"/>
    <cellStyle name="Moneda 4 4 5" xfId="1125" xr:uid="{D05AA1FE-8BDA-41C9-8B19-3D77BA2B97FC}"/>
    <cellStyle name="Moneda 4 4 5 2" xfId="3049" xr:uid="{34D070E3-53C9-445F-ADA6-F27C4F28BB5D}"/>
    <cellStyle name="Moneda 4 4 5 2 2" xfId="6897" xr:uid="{BCB35ADA-48B1-461A-9AF3-7EB164B45E5B}"/>
    <cellStyle name="Moneda 4 4 5 3" xfId="4973" xr:uid="{7F9E87B2-C8E8-48E8-B241-A62FD77A040E}"/>
    <cellStyle name="Moneda 4 4 6" xfId="2087" xr:uid="{E74988CF-458C-4329-A115-A7CD8F0A0F14}"/>
    <cellStyle name="Moneda 4 4 6 2" xfId="5935" xr:uid="{4A805DA8-9A12-480F-8AEB-498FA104FE28}"/>
    <cellStyle name="Moneda 4 4 7" xfId="4011" xr:uid="{16476979-BF67-493C-B7B2-6D02E98D66B5}"/>
    <cellStyle name="Moneda 4 5" xfId="259" xr:uid="{9DD0C192-370A-45F6-91DD-B02FB18009C1}"/>
    <cellStyle name="Moneda 4 5 2" xfId="511" xr:uid="{D1385D13-CFF2-495D-943A-74A818B4FBBC}"/>
    <cellStyle name="Moneda 4 5 2 2" xfId="992" xr:uid="{36108A66-2980-43DB-AB21-3F84CB15CE74}"/>
    <cellStyle name="Moneda 4 5 2 2 2" xfId="1954" xr:uid="{3C64E307-A81D-4A7C-B9B7-393D6BBBDE1E}"/>
    <cellStyle name="Moneda 4 5 2 2 2 2" xfId="3878" xr:uid="{4A47C4DA-0F85-45C4-B8D1-092AC953764B}"/>
    <cellStyle name="Moneda 4 5 2 2 2 2 2" xfId="7726" xr:uid="{96AB9B3A-016B-4E8E-872B-3E1F87F73937}"/>
    <cellStyle name="Moneda 4 5 2 2 2 3" xfId="5802" xr:uid="{6EFC05E9-A288-44F8-839F-38D57171FDD7}"/>
    <cellStyle name="Moneda 4 5 2 2 3" xfId="2916" xr:uid="{E779619B-9C37-4028-AEE5-5E55BFAA10C3}"/>
    <cellStyle name="Moneda 4 5 2 2 3 2" xfId="6764" xr:uid="{16494C4E-416F-4671-92DD-CED4836588CA}"/>
    <cellStyle name="Moneda 4 5 2 2 4" xfId="4840" xr:uid="{37C6EAB5-EAC9-4958-A44D-32AEB6F61C3C}"/>
    <cellStyle name="Moneda 4 5 2 3" xfId="1473" xr:uid="{9F2CE699-5911-4B35-B075-76A378D1D2BE}"/>
    <cellStyle name="Moneda 4 5 2 3 2" xfId="3397" xr:uid="{1C785D01-443B-4390-8054-E3FBD754782C}"/>
    <cellStyle name="Moneda 4 5 2 3 2 2" xfId="7245" xr:uid="{A9463EBC-4619-4810-9133-23E14C29AADC}"/>
    <cellStyle name="Moneda 4 5 2 3 3" xfId="5321" xr:uid="{746135BD-3C3C-4D51-94B5-D0930015A659}"/>
    <cellStyle name="Moneda 4 5 2 4" xfId="2435" xr:uid="{ABD542FE-57CF-41E2-A9E8-427E820187A6}"/>
    <cellStyle name="Moneda 4 5 2 4 2" xfId="6283" xr:uid="{928C9CAA-A4F3-4D0E-8C64-D38E87BF434E}"/>
    <cellStyle name="Moneda 4 5 2 5" xfId="4359" xr:uid="{C0F9F419-58D4-4DD4-BB8D-B280F42AE5DA}"/>
    <cellStyle name="Moneda 4 5 3" xfId="752" xr:uid="{1049BB2D-C0F8-46BA-8F48-D581FC7736C4}"/>
    <cellStyle name="Moneda 4 5 3 2" xfId="1714" xr:uid="{5C199C91-905F-40F2-AD81-AC9325A52661}"/>
    <cellStyle name="Moneda 4 5 3 2 2" xfId="3638" xr:uid="{8A99D649-392D-470A-80FE-10269FEE8A6C}"/>
    <cellStyle name="Moneda 4 5 3 2 2 2" xfId="7486" xr:uid="{5BB3CB24-FB52-4188-904D-95D765C2155A}"/>
    <cellStyle name="Moneda 4 5 3 2 3" xfId="5562" xr:uid="{AF255AF2-1F73-4CAB-A9C4-919D59B06293}"/>
    <cellStyle name="Moneda 4 5 3 3" xfId="2676" xr:uid="{609B17D3-C23B-4F83-B02A-0F62FD16C928}"/>
    <cellStyle name="Moneda 4 5 3 3 2" xfId="6524" xr:uid="{CCCAB966-3550-4D76-87F8-498294BB17B3}"/>
    <cellStyle name="Moneda 4 5 3 4" xfId="4600" xr:uid="{0544F4C6-377A-4C2D-B52C-40E879936A28}"/>
    <cellStyle name="Moneda 4 5 4" xfId="1233" xr:uid="{40BE12C0-E4F5-43DC-AB82-19764AB34DF9}"/>
    <cellStyle name="Moneda 4 5 4 2" xfId="3157" xr:uid="{A5C7549E-308D-4123-B575-88D7298D5040}"/>
    <cellStyle name="Moneda 4 5 4 2 2" xfId="7005" xr:uid="{72439148-818F-48A9-8CBE-B8581A04204A}"/>
    <cellStyle name="Moneda 4 5 4 3" xfId="5081" xr:uid="{60818966-D7FA-4D66-ADCC-A516ECF78366}"/>
    <cellStyle name="Moneda 4 5 5" xfId="2195" xr:uid="{E929B123-4FB7-4121-9EC2-35D87D032AE3}"/>
    <cellStyle name="Moneda 4 5 5 2" xfId="6043" xr:uid="{8E06B809-BA88-4577-AABA-D4BDE4AD3FB0}"/>
    <cellStyle name="Moneda 4 5 6" xfId="4119" xr:uid="{15683B6F-B607-4E1A-B2D3-D59E9E3E6FE0}"/>
    <cellStyle name="Moneda 4 6" xfId="378" xr:uid="{1E83C80E-A1B1-4959-A5EE-E519D0D8D838}"/>
    <cellStyle name="Moneda 4 6 2" xfId="859" xr:uid="{056AC9F5-82E9-423B-806D-AD5A5B0E8C84}"/>
    <cellStyle name="Moneda 4 6 2 2" xfId="1821" xr:uid="{CEDED9C5-5327-4B2C-9CF0-BAA4E101C43B}"/>
    <cellStyle name="Moneda 4 6 2 2 2" xfId="3745" xr:uid="{801B46BF-38A1-4404-8320-4DE794AE0745}"/>
    <cellStyle name="Moneda 4 6 2 2 2 2" xfId="7593" xr:uid="{25A1E83B-E3C4-45B6-98C6-ADFF82C70F49}"/>
    <cellStyle name="Moneda 4 6 2 2 3" xfId="5669" xr:uid="{01298E4E-13D8-4A2E-A922-457355EA1CA0}"/>
    <cellStyle name="Moneda 4 6 2 3" xfId="2783" xr:uid="{FFEC1012-CD43-4D23-A3EA-B59153F9B563}"/>
    <cellStyle name="Moneda 4 6 2 3 2" xfId="6631" xr:uid="{A042D69B-AE54-450C-AEC1-7D0C0DC5A270}"/>
    <cellStyle name="Moneda 4 6 2 4" xfId="4707" xr:uid="{C2E1473F-B366-4602-B034-6DAFEC7C1ED0}"/>
    <cellStyle name="Moneda 4 6 3" xfId="1340" xr:uid="{2228F74F-A369-48B4-956B-7329EF54E0D0}"/>
    <cellStyle name="Moneda 4 6 3 2" xfId="3264" xr:uid="{A6DB22E6-FC94-4FDC-BB8E-7EA2B01E5008}"/>
    <cellStyle name="Moneda 4 6 3 2 2" xfId="7112" xr:uid="{3857C0BB-1C47-4553-9B54-A11A3CE32E86}"/>
    <cellStyle name="Moneda 4 6 3 3" xfId="5188" xr:uid="{BCC3AD67-30E6-463F-98BA-4A2A47AA87AF}"/>
    <cellStyle name="Moneda 4 6 4" xfId="2302" xr:uid="{104150EB-BD54-404B-A1F5-9D633C11FE64}"/>
    <cellStyle name="Moneda 4 6 4 2" xfId="6150" xr:uid="{FF595546-E1B6-43EB-9118-DAC0D0B460E4}"/>
    <cellStyle name="Moneda 4 6 5" xfId="4226" xr:uid="{902ED25C-DD8D-438E-A655-3DD7B5187DF0}"/>
    <cellStyle name="Moneda 4 7" xfId="619" xr:uid="{DA7CBD51-095C-4A87-A3C2-7D55BA4BFD19}"/>
    <cellStyle name="Moneda 4 7 2" xfId="1581" xr:uid="{98C21D86-0790-48C6-A200-93AE1F70A4F2}"/>
    <cellStyle name="Moneda 4 7 2 2" xfId="3505" xr:uid="{A8DD099F-3211-45C9-888D-ACD72C6CA473}"/>
    <cellStyle name="Moneda 4 7 2 2 2" xfId="7353" xr:uid="{B030E4D8-DC16-476F-8BD2-E89ED99A98D9}"/>
    <cellStyle name="Moneda 4 7 2 3" xfId="5429" xr:uid="{BD000A8B-B8DC-4600-873A-15E8E18609F1}"/>
    <cellStyle name="Moneda 4 7 3" xfId="2543" xr:uid="{1EFBE9C5-D813-4E6D-9F65-4397504DA845}"/>
    <cellStyle name="Moneda 4 7 3 2" xfId="6391" xr:uid="{71B6C82B-F31A-46DC-AE11-E94A06E53F49}"/>
    <cellStyle name="Moneda 4 7 4" xfId="4467" xr:uid="{0F59D797-E9E0-4074-B4B0-3053C81FB35E}"/>
    <cellStyle name="Moneda 4 8" xfId="1100" xr:uid="{183F0636-C1BD-493A-8573-D791550705F5}"/>
    <cellStyle name="Moneda 4 8 2" xfId="3024" xr:uid="{F2203977-4E0E-495F-8A70-8A4E5724E556}"/>
    <cellStyle name="Moneda 4 8 2 2" xfId="6872" xr:uid="{96786FC1-AAA2-4171-B543-217F81C10942}"/>
    <cellStyle name="Moneda 4 8 3" xfId="4948" xr:uid="{7C613472-0232-4EC8-940A-6C7AC703183F}"/>
    <cellStyle name="Moneda 4 9" xfId="2062" xr:uid="{E5D00582-C44B-4F03-A73C-B7683AAF5EC2}"/>
    <cellStyle name="Moneda 4 9 2" xfId="5910" xr:uid="{C5C82A28-313C-47B9-A3B7-9DCDC7E97553}"/>
    <cellStyle name="Moneda 5" xfId="99" xr:uid="{0BE74FDA-647F-4CB4-A5F3-8610BAEBFF55}"/>
    <cellStyle name="Moneda 5 10" xfId="3988" xr:uid="{EB38DD13-E51D-4B45-9EF1-9AD25D1A7ED1}"/>
    <cellStyle name="Moneda 5 11" xfId="7850" xr:uid="{10BBA3E6-2CC1-4CB2-AD28-D787FCC8AFDD}"/>
    <cellStyle name="Moneda 5 2" xfId="161" xr:uid="{D5E6F3E3-D43E-4F8E-9069-18B7A42EE9E8}"/>
    <cellStyle name="Moneda 5 2 10" xfId="7937" xr:uid="{43E1D2BB-16CF-4F7D-9495-F8E08AB310E4}"/>
    <cellStyle name="Moneda 5 2 2" xfId="198" xr:uid="{C11B0763-0EB0-4B08-A608-2971E85E7903}"/>
    <cellStyle name="Moneda 5 2 2 2" xfId="332" xr:uid="{4070A6DF-73B1-4E31-9F7B-D79EB447E2CC}"/>
    <cellStyle name="Moneda 5 2 2 2 2" xfId="583" xr:uid="{E5CC181F-8482-4405-82E0-8E600EBFF1E1}"/>
    <cellStyle name="Moneda 5 2 2 2 2 2" xfId="1064" xr:uid="{67FF1DCD-059C-4B25-AFD9-97042709FBA8}"/>
    <cellStyle name="Moneda 5 2 2 2 2 2 2" xfId="2026" xr:uid="{8D31F7C0-B4C0-4A61-A519-8720EC4C740E}"/>
    <cellStyle name="Moneda 5 2 2 2 2 2 2 2" xfId="3950" xr:uid="{50599FDD-AE1A-4BF1-AA27-26219CFE22ED}"/>
    <cellStyle name="Moneda 5 2 2 2 2 2 2 2 2" xfId="7798" xr:uid="{1E40D29F-D480-4735-BDB2-FC3971060D84}"/>
    <cellStyle name="Moneda 5 2 2 2 2 2 2 3" xfId="5874" xr:uid="{794603C1-AB11-49A9-A186-A65B53ABD62F}"/>
    <cellStyle name="Moneda 5 2 2 2 2 2 3" xfId="2988" xr:uid="{20E4ABD3-B70B-49D2-806B-A171E31366E6}"/>
    <cellStyle name="Moneda 5 2 2 2 2 2 3 2" xfId="6836" xr:uid="{688D4734-262D-4BBE-ADC0-440D7C241021}"/>
    <cellStyle name="Moneda 5 2 2 2 2 2 4" xfId="4912" xr:uid="{06F8B4F8-3DB9-47F9-8A5A-2322B38C3AD7}"/>
    <cellStyle name="Moneda 5 2 2 2 2 3" xfId="1545" xr:uid="{A707C2BB-D60B-4874-AA61-B1C05926BD97}"/>
    <cellStyle name="Moneda 5 2 2 2 2 3 2" xfId="3469" xr:uid="{6DD3A1E0-2990-4EE3-889B-8805334956CA}"/>
    <cellStyle name="Moneda 5 2 2 2 2 3 2 2" xfId="7317" xr:uid="{A122EA02-E790-420F-B532-E9328EF7EA6B}"/>
    <cellStyle name="Moneda 5 2 2 2 2 3 3" xfId="5393" xr:uid="{E4144CEC-6A09-4B54-9767-252850C7E6A1}"/>
    <cellStyle name="Moneda 5 2 2 2 2 4" xfId="2507" xr:uid="{DD9E785A-05C4-4351-87FD-D891633DA5E4}"/>
    <cellStyle name="Moneda 5 2 2 2 2 4 2" xfId="6355" xr:uid="{D5699BBA-0BC4-426E-BF72-19E040F2E552}"/>
    <cellStyle name="Moneda 5 2 2 2 2 5" xfId="4431" xr:uid="{29AAC43B-5BE5-4743-B514-ED8515C42135}"/>
    <cellStyle name="Moneda 5 2 2 2 3" xfId="824" xr:uid="{744EC032-EC78-40BF-BDC6-76670E95BC83}"/>
    <cellStyle name="Moneda 5 2 2 2 3 2" xfId="1786" xr:uid="{183D296B-CA48-40C5-B9CE-FF3BAB55A1A7}"/>
    <cellStyle name="Moneda 5 2 2 2 3 2 2" xfId="3710" xr:uid="{6F8EE41F-5CD7-4B8B-A9D3-5F87A8A09C7A}"/>
    <cellStyle name="Moneda 5 2 2 2 3 2 2 2" xfId="7558" xr:uid="{49A484DE-11EF-4E46-B798-35E4DB067535}"/>
    <cellStyle name="Moneda 5 2 2 2 3 2 3" xfId="5634" xr:uid="{091B169D-A6BC-4E84-AB57-AAF790815F0A}"/>
    <cellStyle name="Moneda 5 2 2 2 3 3" xfId="2748" xr:uid="{B5FF942C-D89A-479C-879E-69C2768AA912}"/>
    <cellStyle name="Moneda 5 2 2 2 3 3 2" xfId="6596" xr:uid="{181A292F-AD65-441A-AF60-32E60838F047}"/>
    <cellStyle name="Moneda 5 2 2 2 3 4" xfId="4672" xr:uid="{3428698B-49CA-44D2-AB40-EA84960CB795}"/>
    <cellStyle name="Moneda 5 2 2 2 4" xfId="1305" xr:uid="{9E45CAD8-BEF2-472B-8A28-53559FAC0F10}"/>
    <cellStyle name="Moneda 5 2 2 2 4 2" xfId="3229" xr:uid="{B5A8F73A-9626-484F-843F-76AD6AAEC655}"/>
    <cellStyle name="Moneda 5 2 2 2 4 2 2" xfId="7077" xr:uid="{8138F34D-EBF4-475D-9E2A-FFCB5754EB27}"/>
    <cellStyle name="Moneda 5 2 2 2 4 3" xfId="5153" xr:uid="{0A6D7956-1D84-4BE3-B10E-2DA2DD062F39}"/>
    <cellStyle name="Moneda 5 2 2 2 5" xfId="2267" xr:uid="{9F9DF44C-2495-4CF3-A66A-B9DA11B4914C}"/>
    <cellStyle name="Moneda 5 2 2 2 5 2" xfId="6115" xr:uid="{BD46A644-E623-48B0-B234-1214E249ADA8}"/>
    <cellStyle name="Moneda 5 2 2 2 6" xfId="4191" xr:uid="{5B5D8AF7-730A-4701-85E1-C14248B270D1}"/>
    <cellStyle name="Moneda 5 2 2 3" xfId="451" xr:uid="{CAF46159-480A-4E9B-9101-0DD476BB3D96}"/>
    <cellStyle name="Moneda 5 2 2 3 2" xfId="932" xr:uid="{9092109B-F740-470E-ADD1-B16FE8DE2C09}"/>
    <cellStyle name="Moneda 5 2 2 3 2 2" xfId="1894" xr:uid="{6CBBBF63-3C7D-4A7D-8B8C-6B93A8BCC4D2}"/>
    <cellStyle name="Moneda 5 2 2 3 2 2 2" xfId="3818" xr:uid="{ABF97FEA-99B4-4953-BAA9-F99EA8140919}"/>
    <cellStyle name="Moneda 5 2 2 3 2 2 2 2" xfId="7666" xr:uid="{5D5B0242-3725-4D41-8DE1-3B0A8532A18D}"/>
    <cellStyle name="Moneda 5 2 2 3 2 2 3" xfId="5742" xr:uid="{66EA7881-AADF-4051-8594-B0063F9C4F2C}"/>
    <cellStyle name="Moneda 5 2 2 3 2 3" xfId="2856" xr:uid="{0D5D5226-D96B-4F16-9BBB-FB1964D83B98}"/>
    <cellStyle name="Moneda 5 2 2 3 2 3 2" xfId="6704" xr:uid="{0646EDC5-571D-4E07-960B-B55F488CCF47}"/>
    <cellStyle name="Moneda 5 2 2 3 2 4" xfId="4780" xr:uid="{E51323CE-C5E4-4A8F-866F-DFA3A4311F9D}"/>
    <cellStyle name="Moneda 5 2 2 3 3" xfId="1413" xr:uid="{38697C0C-BEDD-4A79-9AB2-8571AC2BE47A}"/>
    <cellStyle name="Moneda 5 2 2 3 3 2" xfId="3337" xr:uid="{151B0F42-3871-432B-8B76-3D27730A0AA6}"/>
    <cellStyle name="Moneda 5 2 2 3 3 2 2" xfId="7185" xr:uid="{1B51947A-3553-463A-8DFE-BD2937943D64}"/>
    <cellStyle name="Moneda 5 2 2 3 3 3" xfId="5261" xr:uid="{5C28949F-A0AE-4EA7-AD3E-83448697EF25}"/>
    <cellStyle name="Moneda 5 2 2 3 4" xfId="2375" xr:uid="{4CCDC2E6-66A0-40D2-AE41-E97617B48E68}"/>
    <cellStyle name="Moneda 5 2 2 3 4 2" xfId="6223" xr:uid="{AD0D3F12-A43C-4AF6-A044-7DD72F9CC449}"/>
    <cellStyle name="Moneda 5 2 2 3 5" xfId="4299" xr:uid="{3B1EE4E1-16B7-4E97-A651-23BE8DA79669}"/>
    <cellStyle name="Moneda 5 2 2 4" xfId="692" xr:uid="{3468124B-C884-4CD6-AEB0-1C57CDBAD2EC}"/>
    <cellStyle name="Moneda 5 2 2 4 2" xfId="1654" xr:uid="{F52D95B6-696D-4464-82CA-1D653840F30A}"/>
    <cellStyle name="Moneda 5 2 2 4 2 2" xfId="3578" xr:uid="{83BDB5ED-D932-47FC-8B5F-E6A98FF97CDC}"/>
    <cellStyle name="Moneda 5 2 2 4 2 2 2" xfId="7426" xr:uid="{1C980004-0310-4CA9-AFEA-728FB9C46E84}"/>
    <cellStyle name="Moneda 5 2 2 4 2 3" xfId="5502" xr:uid="{89040B5C-4D88-4396-8DAA-1E34C2ED82B6}"/>
    <cellStyle name="Moneda 5 2 2 4 3" xfId="2616" xr:uid="{7A756158-9855-4FB4-993D-98DC0B3A2149}"/>
    <cellStyle name="Moneda 5 2 2 4 3 2" xfId="6464" xr:uid="{9841CC84-B82D-49C0-BD92-82B55449A581}"/>
    <cellStyle name="Moneda 5 2 2 4 4" xfId="4540" xr:uid="{B5BD22A3-F2E8-47A6-BB47-D366BACBC705}"/>
    <cellStyle name="Moneda 5 2 2 5" xfId="1173" xr:uid="{0619BCE9-B097-4082-9655-127ABD8078CD}"/>
    <cellStyle name="Moneda 5 2 2 5 2" xfId="3097" xr:uid="{C423236E-E43C-4D79-9A50-FC47EAE4310A}"/>
    <cellStyle name="Moneda 5 2 2 5 2 2" xfId="6945" xr:uid="{550AEC2E-8283-499C-A958-D852A745235B}"/>
    <cellStyle name="Moneda 5 2 2 5 3" xfId="5021" xr:uid="{366743C3-6FB4-440A-8151-431ABC759518}"/>
    <cellStyle name="Moneda 5 2 2 6" xfId="2135" xr:uid="{A2FFC4F7-B2D0-453B-9E25-F5837CC800CE}"/>
    <cellStyle name="Moneda 5 2 2 6 2" xfId="5983" xr:uid="{F6E27325-2BE9-4931-9152-E78BBAE0D718}"/>
    <cellStyle name="Moneda 5 2 2 7" xfId="4059" xr:uid="{4AEA6E23-D6BE-4B0C-B787-1548FD2E8CFA}"/>
    <cellStyle name="Moneda 5 2 3" xfId="299" xr:uid="{474743CF-531C-494F-9485-EF5D272F32DB}"/>
    <cellStyle name="Moneda 5 2 3 2" xfId="550" xr:uid="{66FA0454-789C-4A4C-8CF5-FFE69A2548A4}"/>
    <cellStyle name="Moneda 5 2 3 2 2" xfId="1031" xr:uid="{754C2D9B-E2A7-4B3F-A69A-B56897479E44}"/>
    <cellStyle name="Moneda 5 2 3 2 2 2" xfId="1993" xr:uid="{9448BFC9-3BF4-4F04-83D5-1FB0EC473CB4}"/>
    <cellStyle name="Moneda 5 2 3 2 2 2 2" xfId="3917" xr:uid="{1C63ABBA-9E37-4A25-BF54-A3578B8B1319}"/>
    <cellStyle name="Moneda 5 2 3 2 2 2 2 2" xfId="7765" xr:uid="{6AA3A255-04C1-47CF-B030-4A17DD0FAE57}"/>
    <cellStyle name="Moneda 5 2 3 2 2 2 3" xfId="5841" xr:uid="{B1E41271-D092-47A1-9016-10A345468D8F}"/>
    <cellStyle name="Moneda 5 2 3 2 2 3" xfId="2955" xr:uid="{58535856-E763-4AE8-A519-9D9D8ACDD246}"/>
    <cellStyle name="Moneda 5 2 3 2 2 3 2" xfId="6803" xr:uid="{F28C3859-64F5-4B92-A7FC-ABAED27FD904}"/>
    <cellStyle name="Moneda 5 2 3 2 2 4" xfId="4879" xr:uid="{55A502EF-8A7D-4BF1-B751-533B4AD6B8A2}"/>
    <cellStyle name="Moneda 5 2 3 2 3" xfId="1512" xr:uid="{9367495D-8DA0-4607-B04F-9771491DBC6D}"/>
    <cellStyle name="Moneda 5 2 3 2 3 2" xfId="3436" xr:uid="{677C5565-401F-4898-8520-AA212700931A}"/>
    <cellStyle name="Moneda 5 2 3 2 3 2 2" xfId="7284" xr:uid="{CF34C8F1-3DE0-47C2-8AEC-2BCA413B42A6}"/>
    <cellStyle name="Moneda 5 2 3 2 3 3" xfId="5360" xr:uid="{133CEE4A-2A33-44B8-9079-09135CB66740}"/>
    <cellStyle name="Moneda 5 2 3 2 4" xfId="2474" xr:uid="{F501A6FA-FEB2-40F3-85DB-BF6F71A07CD5}"/>
    <cellStyle name="Moneda 5 2 3 2 4 2" xfId="6322" xr:uid="{F9E855BC-26B9-4BF1-A07B-AFE2F4F45023}"/>
    <cellStyle name="Moneda 5 2 3 2 5" xfId="4398" xr:uid="{1F0573CB-5B3F-47D5-93F8-569F92D70859}"/>
    <cellStyle name="Moneda 5 2 3 3" xfId="791" xr:uid="{C85C93F1-4567-4AB9-BD1B-4EE692CE3683}"/>
    <cellStyle name="Moneda 5 2 3 3 2" xfId="1753" xr:uid="{8A7B10EF-907B-4596-91F5-8163228BBAF2}"/>
    <cellStyle name="Moneda 5 2 3 3 2 2" xfId="3677" xr:uid="{7FC6A144-18FC-4703-BC5B-427AE9BB88F6}"/>
    <cellStyle name="Moneda 5 2 3 3 2 2 2" xfId="7525" xr:uid="{A0988CB1-23AE-4BA3-BF74-DD0FA73B6124}"/>
    <cellStyle name="Moneda 5 2 3 3 2 3" xfId="5601" xr:uid="{6930B46A-F981-48F6-8DA4-371760AD7C76}"/>
    <cellStyle name="Moneda 5 2 3 3 3" xfId="2715" xr:uid="{43A8285A-630D-45F0-B061-2971C02BABCC}"/>
    <cellStyle name="Moneda 5 2 3 3 3 2" xfId="6563" xr:uid="{BAFD6313-FFCC-429A-B616-5349F7FAB247}"/>
    <cellStyle name="Moneda 5 2 3 3 4" xfId="4639" xr:uid="{1F330B9C-2BA5-46BD-8EFC-7A1263C157AD}"/>
    <cellStyle name="Moneda 5 2 3 4" xfId="1272" xr:uid="{8EAA00AD-1F22-4CFA-827E-D7545ED1D1D6}"/>
    <cellStyle name="Moneda 5 2 3 4 2" xfId="3196" xr:uid="{9C10C21F-2ECE-4D5B-93D6-DAF2C80E961A}"/>
    <cellStyle name="Moneda 5 2 3 4 2 2" xfId="7044" xr:uid="{F8C7B9D8-DA9C-4004-B61A-FCA156298DF5}"/>
    <cellStyle name="Moneda 5 2 3 4 3" xfId="5120" xr:uid="{F85E10B7-D1A2-48D7-8AE4-F23138AC0BE8}"/>
    <cellStyle name="Moneda 5 2 3 5" xfId="2234" xr:uid="{550141A2-4891-47C8-8E60-32F27B1ECCA8}"/>
    <cellStyle name="Moneda 5 2 3 5 2" xfId="6082" xr:uid="{94F6DC50-E695-4F95-ACB7-7F767E30FD1F}"/>
    <cellStyle name="Moneda 5 2 3 6" xfId="4158" xr:uid="{83C0A8B9-19BE-44BB-86D3-BCA2C1671F6F}"/>
    <cellStyle name="Moneda 5 2 4" xfId="232" xr:uid="{22FC4942-27A9-4F34-8372-591CF08A4970}"/>
    <cellStyle name="Moneda 5 2 4 2" xfId="484" xr:uid="{1C38814F-2D7C-4976-BF53-E3395DE93229}"/>
    <cellStyle name="Moneda 5 2 4 2 2" xfId="965" xr:uid="{968BE363-385F-4DBD-A151-E7799001D99D}"/>
    <cellStyle name="Moneda 5 2 4 2 2 2" xfId="1927" xr:uid="{CB4236F0-8085-41F0-8199-FFEF6CE6507A}"/>
    <cellStyle name="Moneda 5 2 4 2 2 2 2" xfId="3851" xr:uid="{AD8CA7E2-229B-4AD8-A2FC-A0D2DA6E685D}"/>
    <cellStyle name="Moneda 5 2 4 2 2 2 2 2" xfId="7699" xr:uid="{D11D207B-542F-42BF-A39B-35FF2F10285C}"/>
    <cellStyle name="Moneda 5 2 4 2 2 2 3" xfId="5775" xr:uid="{030189F7-B3F9-47B3-9E97-4EA0AE382C5D}"/>
    <cellStyle name="Moneda 5 2 4 2 2 3" xfId="2889" xr:uid="{6F0A4F15-36A4-44C7-BBC9-CD9E59BA103D}"/>
    <cellStyle name="Moneda 5 2 4 2 2 3 2" xfId="6737" xr:uid="{CAACCFFE-0B30-4C4D-8113-72DBBCE3B529}"/>
    <cellStyle name="Moneda 5 2 4 2 2 4" xfId="4813" xr:uid="{AEAA4981-8397-47E5-9103-FE4E3B8BA48F}"/>
    <cellStyle name="Moneda 5 2 4 2 3" xfId="1446" xr:uid="{B4B1E01D-1F72-4AF7-8D61-392718A071ED}"/>
    <cellStyle name="Moneda 5 2 4 2 3 2" xfId="3370" xr:uid="{4BF8D789-B893-4F32-BEE0-E0B6C4957476}"/>
    <cellStyle name="Moneda 5 2 4 2 3 2 2" xfId="7218" xr:uid="{9FF8FD38-9CBC-4206-8316-3FE9E873374C}"/>
    <cellStyle name="Moneda 5 2 4 2 3 3" xfId="5294" xr:uid="{F92A86D1-516E-4AB5-AC90-2DE7C0C6FEEC}"/>
    <cellStyle name="Moneda 5 2 4 2 4" xfId="2408" xr:uid="{58989932-DEC1-4EE0-ABC6-9FF522283C86}"/>
    <cellStyle name="Moneda 5 2 4 2 4 2" xfId="6256" xr:uid="{0BEE716D-AC66-4282-9EAF-DB4A13C3E570}"/>
    <cellStyle name="Moneda 5 2 4 2 5" xfId="4332" xr:uid="{A81F04E6-5D80-4C47-B1E4-64405D01E6DD}"/>
    <cellStyle name="Moneda 5 2 4 3" xfId="725" xr:uid="{44C7A968-3E73-4708-8DF8-B910970CC04A}"/>
    <cellStyle name="Moneda 5 2 4 3 2" xfId="1687" xr:uid="{E2B3B4C8-1334-4EA8-BB23-1C109A38040F}"/>
    <cellStyle name="Moneda 5 2 4 3 2 2" xfId="3611" xr:uid="{F2AA27C0-BE4C-4B2A-B5E7-F4CABC7A9618}"/>
    <cellStyle name="Moneda 5 2 4 3 2 2 2" xfId="7459" xr:uid="{76F32E57-54C0-429B-A469-BDC04D408220}"/>
    <cellStyle name="Moneda 5 2 4 3 2 3" xfId="5535" xr:uid="{8247EEA9-81C6-4D6B-9345-4F0A6565BE45}"/>
    <cellStyle name="Moneda 5 2 4 3 3" xfId="2649" xr:uid="{F916A74C-0012-47B6-BB55-5F01EA63E6F8}"/>
    <cellStyle name="Moneda 5 2 4 3 3 2" xfId="6497" xr:uid="{7D62C812-400B-493C-80B5-4517BBDF55EC}"/>
    <cellStyle name="Moneda 5 2 4 3 4" xfId="4573" xr:uid="{431A8E89-5EA9-4376-8D02-41E1B54C0FF0}"/>
    <cellStyle name="Moneda 5 2 4 4" xfId="1206" xr:uid="{B6809F8D-55A5-4F9C-AD09-D60FF29CA213}"/>
    <cellStyle name="Moneda 5 2 4 4 2" xfId="3130" xr:uid="{AF5A47ED-2852-4F5F-B024-F1EC3062992B}"/>
    <cellStyle name="Moneda 5 2 4 4 2 2" xfId="6978" xr:uid="{D0FF9059-E6D7-478E-9AEF-DA81C04E1265}"/>
    <cellStyle name="Moneda 5 2 4 4 3" xfId="5054" xr:uid="{D112F542-0042-4AD3-8FBD-C60440414A32}"/>
    <cellStyle name="Moneda 5 2 4 5" xfId="2168" xr:uid="{0C62C0DE-41FB-4AA8-A86A-4884546C1E51}"/>
    <cellStyle name="Moneda 5 2 4 5 2" xfId="6016" xr:uid="{351924E4-9732-49EF-AE89-763A3571BDDE}"/>
    <cellStyle name="Moneda 5 2 4 6" xfId="4092" xr:uid="{DC59C518-7061-4D43-A80C-82749D77C3A9}"/>
    <cellStyle name="Moneda 5 2 5" xfId="418" xr:uid="{B1AE11B0-76A9-49C1-A2C4-8270369BF44D}"/>
    <cellStyle name="Moneda 5 2 5 2" xfId="899" xr:uid="{C5AF44BE-533B-4986-9F88-ACF3A3A1ACCD}"/>
    <cellStyle name="Moneda 5 2 5 2 2" xfId="1861" xr:uid="{B99BC0C5-D5DA-4299-8851-DE71F6B62047}"/>
    <cellStyle name="Moneda 5 2 5 2 2 2" xfId="3785" xr:uid="{2D890723-7223-4B95-8782-0040E724CB01}"/>
    <cellStyle name="Moneda 5 2 5 2 2 2 2" xfId="7633" xr:uid="{BA039BE8-D908-4C94-9D36-1800E013B012}"/>
    <cellStyle name="Moneda 5 2 5 2 2 3" xfId="5709" xr:uid="{BABBC445-2E49-4422-B55D-D911F35E9DDE}"/>
    <cellStyle name="Moneda 5 2 5 2 3" xfId="2823" xr:uid="{F85AFFE5-DAA6-47A4-BF00-DBC87A21D2A2}"/>
    <cellStyle name="Moneda 5 2 5 2 3 2" xfId="6671" xr:uid="{BF37E1E4-6000-487C-B14D-9B4179A90AA2}"/>
    <cellStyle name="Moneda 5 2 5 2 4" xfId="4747" xr:uid="{AB64C56B-FA24-4E6C-A66E-6093988A6273}"/>
    <cellStyle name="Moneda 5 2 5 3" xfId="1380" xr:uid="{D7E7DAF2-5290-4A48-B1E1-6DC0DA2F46D2}"/>
    <cellStyle name="Moneda 5 2 5 3 2" xfId="3304" xr:uid="{C9D3411F-7722-4DA4-8A8C-71EBDA535C8A}"/>
    <cellStyle name="Moneda 5 2 5 3 2 2" xfId="7152" xr:uid="{073E2A3F-ADBB-44F5-9F67-35C03C7F1760}"/>
    <cellStyle name="Moneda 5 2 5 3 3" xfId="5228" xr:uid="{3720696B-1A5A-48B4-857C-F35A857A4111}"/>
    <cellStyle name="Moneda 5 2 5 4" xfId="2342" xr:uid="{E169FC2E-6427-471B-AFC0-B419EC617074}"/>
    <cellStyle name="Moneda 5 2 5 4 2" xfId="6190" xr:uid="{39593D4D-E790-4C2F-B90E-B310769BC7BD}"/>
    <cellStyle name="Moneda 5 2 5 5" xfId="4266" xr:uid="{D5F91D93-35BB-404D-ACEF-054AD2C9D9A0}"/>
    <cellStyle name="Moneda 5 2 6" xfId="659" xr:uid="{27D81A3A-13CB-4471-9122-CE8032EB9105}"/>
    <cellStyle name="Moneda 5 2 6 2" xfId="1621" xr:uid="{851C0041-80FF-4B7D-81DD-E8346E2C97CB}"/>
    <cellStyle name="Moneda 5 2 6 2 2" xfId="3545" xr:uid="{E68BAB69-645D-40BE-8D57-4C09502A3559}"/>
    <cellStyle name="Moneda 5 2 6 2 2 2" xfId="7393" xr:uid="{4CBC0820-56E0-452E-897B-83285D0DA04F}"/>
    <cellStyle name="Moneda 5 2 6 2 3" xfId="5469" xr:uid="{2A20B478-FF67-43EA-AF0C-7F7DE4767CB8}"/>
    <cellStyle name="Moneda 5 2 6 3" xfId="2583" xr:uid="{8A98BA4D-B9EB-42D2-A736-B883998717CF}"/>
    <cellStyle name="Moneda 5 2 6 3 2" xfId="6431" xr:uid="{829BD253-42BC-43F8-94EE-5B27E5B2CB97}"/>
    <cellStyle name="Moneda 5 2 6 4" xfId="4507" xr:uid="{B4C6C23F-E1BF-402D-970C-F9FD67359783}"/>
    <cellStyle name="Moneda 5 2 7" xfId="1140" xr:uid="{BFA2E220-991C-46DF-92D6-D02A4B435D67}"/>
    <cellStyle name="Moneda 5 2 7 2" xfId="3064" xr:uid="{D7F86F89-A5ED-4B0C-8F26-F2F3973C23C7}"/>
    <cellStyle name="Moneda 5 2 7 2 2" xfId="6912" xr:uid="{A9B0AA1E-594F-4535-873E-19C3650D47DF}"/>
    <cellStyle name="Moneda 5 2 7 3" xfId="4988" xr:uid="{8F03B1C8-52DE-4913-9B21-A7AFFE78F891}"/>
    <cellStyle name="Moneda 5 2 8" xfId="2102" xr:uid="{61715622-5D60-4013-A88A-4FCF18AC0124}"/>
    <cellStyle name="Moneda 5 2 8 2" xfId="5950" xr:uid="{908D40B3-5646-4220-8B4C-DC83A3E7946D}"/>
    <cellStyle name="Moneda 5 2 9" xfId="4026" xr:uid="{1347AFCF-9218-4130-AFEF-F89EC0EC2B3D}"/>
    <cellStyle name="Moneda 5 3" xfId="170" xr:uid="{AEE31DAD-C4BC-4BAF-B8E2-4C56045984DA}"/>
    <cellStyle name="Moneda 5 3 2" xfId="206" xr:uid="{D71DF0A1-3E13-444E-85EC-7751F65830CC}"/>
    <cellStyle name="Moneda 5 3 2 2" xfId="340" xr:uid="{3B725FBE-65D0-4D82-9224-D8C5A7E6AC14}"/>
    <cellStyle name="Moneda 5 3 2 2 2" xfId="591" xr:uid="{A1374AA0-A5FB-4CF7-B552-47538BFF2656}"/>
    <cellStyle name="Moneda 5 3 2 2 2 2" xfId="1072" xr:uid="{F31E5CD2-43A7-400B-B403-4847B1ADEAFC}"/>
    <cellStyle name="Moneda 5 3 2 2 2 2 2" xfId="2034" xr:uid="{7EB491F5-F218-4386-B3D9-60E9228D869F}"/>
    <cellStyle name="Moneda 5 3 2 2 2 2 2 2" xfId="3958" xr:uid="{385CFA02-7BE3-4780-A4F1-0F0CD0A7A67D}"/>
    <cellStyle name="Moneda 5 3 2 2 2 2 2 2 2" xfId="7806" xr:uid="{43F97498-A886-4AE1-A763-71407B5D1CF9}"/>
    <cellStyle name="Moneda 5 3 2 2 2 2 2 3" xfId="5882" xr:uid="{4F3E1943-206C-4868-A321-99DDD09819C2}"/>
    <cellStyle name="Moneda 5 3 2 2 2 2 3" xfId="2996" xr:uid="{504692D2-B56A-49EC-A4C5-F75E3BF83BC3}"/>
    <cellStyle name="Moneda 5 3 2 2 2 2 3 2" xfId="6844" xr:uid="{F28A1B55-61CD-43EE-A0B1-7A87F8762780}"/>
    <cellStyle name="Moneda 5 3 2 2 2 2 4" xfId="4920" xr:uid="{29423938-915B-43F1-B80D-27E95AD6EB75}"/>
    <cellStyle name="Moneda 5 3 2 2 2 3" xfId="1553" xr:uid="{5D22CE3F-4570-4E24-814C-E9CA033F37DD}"/>
    <cellStyle name="Moneda 5 3 2 2 2 3 2" xfId="3477" xr:uid="{07930BE8-2CF1-4229-89A4-F01E37D1CB37}"/>
    <cellStyle name="Moneda 5 3 2 2 2 3 2 2" xfId="7325" xr:uid="{7FB77816-6B04-4564-B591-94BB82329088}"/>
    <cellStyle name="Moneda 5 3 2 2 2 3 3" xfId="5401" xr:uid="{7A8984C4-9EC4-4388-AF22-0B8B70E14BC0}"/>
    <cellStyle name="Moneda 5 3 2 2 2 4" xfId="2515" xr:uid="{E292A91A-83C2-4318-8120-9FDB6F2A67D0}"/>
    <cellStyle name="Moneda 5 3 2 2 2 4 2" xfId="6363" xr:uid="{DA9603CC-00E3-4182-B8A0-5CCBE37FDF45}"/>
    <cellStyle name="Moneda 5 3 2 2 2 5" xfId="4439" xr:uid="{4191B0B2-87A1-4A9D-8E34-8F28D7A780BE}"/>
    <cellStyle name="Moneda 5 3 2 2 3" xfId="832" xr:uid="{E686F605-A5F0-4D13-8538-EC7D8A29137A}"/>
    <cellStyle name="Moneda 5 3 2 2 3 2" xfId="1794" xr:uid="{39E1EF07-F9A2-4EE0-8F69-76E4F6648063}"/>
    <cellStyle name="Moneda 5 3 2 2 3 2 2" xfId="3718" xr:uid="{5E44832D-3DB1-4DDA-8EC5-7233DEFE44F0}"/>
    <cellStyle name="Moneda 5 3 2 2 3 2 2 2" xfId="7566" xr:uid="{8A519C7F-27AB-4344-BF0A-5706131B21CF}"/>
    <cellStyle name="Moneda 5 3 2 2 3 2 3" xfId="5642" xr:uid="{A561DBCB-5BA5-4358-B995-4753971954B4}"/>
    <cellStyle name="Moneda 5 3 2 2 3 3" xfId="2756" xr:uid="{2163BCB9-0B94-417C-B021-269B141B3649}"/>
    <cellStyle name="Moneda 5 3 2 2 3 3 2" xfId="6604" xr:uid="{BCEA201F-5610-4BD0-865E-49BDABD9918B}"/>
    <cellStyle name="Moneda 5 3 2 2 3 4" xfId="4680" xr:uid="{EF76822E-A945-4DE7-B3C9-77E569AFBA2C}"/>
    <cellStyle name="Moneda 5 3 2 2 4" xfId="1313" xr:uid="{7432A099-FD37-452A-AE0E-38424CBB5D94}"/>
    <cellStyle name="Moneda 5 3 2 2 4 2" xfId="3237" xr:uid="{5154AD59-417D-41E2-8804-E7F094CDC292}"/>
    <cellStyle name="Moneda 5 3 2 2 4 2 2" xfId="7085" xr:uid="{8A6C8A01-F91C-42A9-82E4-E326D84C6020}"/>
    <cellStyle name="Moneda 5 3 2 2 4 3" xfId="5161" xr:uid="{E96080CD-C369-4120-8A6B-A9233FFA435B}"/>
    <cellStyle name="Moneda 5 3 2 2 5" xfId="2275" xr:uid="{02A6DB20-92C7-4B22-89C8-5BA1DD99832A}"/>
    <cellStyle name="Moneda 5 3 2 2 5 2" xfId="6123" xr:uid="{277E60D1-7338-4D53-A742-78C3161715A2}"/>
    <cellStyle name="Moneda 5 3 2 2 6" xfId="4199" xr:uid="{54C8B55D-6573-4472-A66E-4606648BF6FB}"/>
    <cellStyle name="Moneda 5 3 2 3" xfId="459" xr:uid="{C8DF39D0-5B2C-49D8-AE86-5942F7C21C77}"/>
    <cellStyle name="Moneda 5 3 2 3 2" xfId="940" xr:uid="{DA933C9A-7E03-43A0-B1D8-B39489EC6ADE}"/>
    <cellStyle name="Moneda 5 3 2 3 2 2" xfId="1902" xr:uid="{D170A234-1BAA-45C6-A0A8-0ACF4F360A55}"/>
    <cellStyle name="Moneda 5 3 2 3 2 2 2" xfId="3826" xr:uid="{3167EF3F-216C-428A-AC61-0070A57196CC}"/>
    <cellStyle name="Moneda 5 3 2 3 2 2 2 2" xfId="7674" xr:uid="{1C980EB5-2D08-4EA2-8245-68D3ACF49B30}"/>
    <cellStyle name="Moneda 5 3 2 3 2 2 3" xfId="5750" xr:uid="{6D876AFF-5452-4A27-B03D-CDEF915E5CF0}"/>
    <cellStyle name="Moneda 5 3 2 3 2 3" xfId="2864" xr:uid="{E3E2A885-CADD-4A9D-80C8-A7D177C2BA75}"/>
    <cellStyle name="Moneda 5 3 2 3 2 3 2" xfId="6712" xr:uid="{9FFB675E-5C9C-4311-B748-EDA745C9055F}"/>
    <cellStyle name="Moneda 5 3 2 3 2 4" xfId="4788" xr:uid="{28B306E5-821E-44DD-AFC0-2F3DC8B624BE}"/>
    <cellStyle name="Moneda 5 3 2 3 3" xfId="1421" xr:uid="{1A38D0FB-EFE9-4B01-946F-2FA2A3D06455}"/>
    <cellStyle name="Moneda 5 3 2 3 3 2" xfId="3345" xr:uid="{705D6009-3720-423F-BD5A-88D2DAC44EAE}"/>
    <cellStyle name="Moneda 5 3 2 3 3 2 2" xfId="7193" xr:uid="{BFD9C926-B856-47F8-B8B9-06A18573C2C0}"/>
    <cellStyle name="Moneda 5 3 2 3 3 3" xfId="5269" xr:uid="{E97DB2D3-6F3B-4D58-AA38-CEA1D62C453E}"/>
    <cellStyle name="Moneda 5 3 2 3 4" xfId="2383" xr:uid="{901A51F6-5FCA-4DBD-AD1B-F09E79697706}"/>
    <cellStyle name="Moneda 5 3 2 3 4 2" xfId="6231" xr:uid="{5EBD4F5E-F254-458D-BA37-2B67E3DCE6AD}"/>
    <cellStyle name="Moneda 5 3 2 3 5" xfId="4307" xr:uid="{9B39E5F4-1124-46D2-ABA6-D0B291805A4D}"/>
    <cellStyle name="Moneda 5 3 2 4" xfId="700" xr:uid="{50FEFE03-CFE4-4B90-936E-7E0DA929273C}"/>
    <cellStyle name="Moneda 5 3 2 4 2" xfId="1662" xr:uid="{88A4A6CA-EB3A-4DF3-A777-DE204C7A1D2A}"/>
    <cellStyle name="Moneda 5 3 2 4 2 2" xfId="3586" xr:uid="{71412692-A18A-4048-B32F-E53BDC3468B6}"/>
    <cellStyle name="Moneda 5 3 2 4 2 2 2" xfId="7434" xr:uid="{9F39E46D-3844-4290-81FD-388C27994AFA}"/>
    <cellStyle name="Moneda 5 3 2 4 2 3" xfId="5510" xr:uid="{8F63A003-E991-496F-BC34-47EDAF25CFCC}"/>
    <cellStyle name="Moneda 5 3 2 4 3" xfId="2624" xr:uid="{EB4E6FD2-7E2C-47F8-A5DA-35FF27897523}"/>
    <cellStyle name="Moneda 5 3 2 4 3 2" xfId="6472" xr:uid="{ECCA0CD5-9A4B-478A-944C-0297A7F51266}"/>
    <cellStyle name="Moneda 5 3 2 4 4" xfId="4548" xr:uid="{654A564B-E1A2-4531-894E-1D6CFEA5D2DC}"/>
    <cellStyle name="Moneda 5 3 2 5" xfId="1181" xr:uid="{BE627007-AD28-4486-AA0C-5B6BC90F6177}"/>
    <cellStyle name="Moneda 5 3 2 5 2" xfId="3105" xr:uid="{3EE91EC0-0C46-4DAF-AF28-C4F25637C0AF}"/>
    <cellStyle name="Moneda 5 3 2 5 2 2" xfId="6953" xr:uid="{CF7C135B-18E3-427D-A428-395EDA992EEE}"/>
    <cellStyle name="Moneda 5 3 2 5 3" xfId="5029" xr:uid="{08463C37-8AD2-47D9-AE75-350F5241E7F1}"/>
    <cellStyle name="Moneda 5 3 2 6" xfId="2143" xr:uid="{E8020433-E287-4FE4-A7E7-7CDF581CC966}"/>
    <cellStyle name="Moneda 5 3 2 6 2" xfId="5991" xr:uid="{28949C56-9D22-4D19-8084-8103BD054FD9}"/>
    <cellStyle name="Moneda 5 3 2 7" xfId="4067" xr:uid="{4EAC708A-7E98-4B26-915F-F2BBA24663A9}"/>
    <cellStyle name="Moneda 5 3 3" xfId="307" xr:uid="{47C8CEE8-864B-466F-84D7-412B3E426E17}"/>
    <cellStyle name="Moneda 5 3 3 2" xfId="558" xr:uid="{A846DC90-5F6E-46D5-A338-D7E595C2B880}"/>
    <cellStyle name="Moneda 5 3 3 2 2" xfId="1039" xr:uid="{CFCDBA3E-AB17-48EA-999E-F88E25AC8FB8}"/>
    <cellStyle name="Moneda 5 3 3 2 2 2" xfId="2001" xr:uid="{62505FE5-E8B2-4EB9-95CC-852DBBA7CE00}"/>
    <cellStyle name="Moneda 5 3 3 2 2 2 2" xfId="3925" xr:uid="{13511D4F-8149-4BE2-A12E-697D68E655BA}"/>
    <cellStyle name="Moneda 5 3 3 2 2 2 2 2" xfId="7773" xr:uid="{FFB892B7-FD71-490B-A6B5-6C61447EF37C}"/>
    <cellStyle name="Moneda 5 3 3 2 2 2 3" xfId="5849" xr:uid="{5FC5942D-376F-4A72-B68E-40D9DA10BE33}"/>
    <cellStyle name="Moneda 5 3 3 2 2 3" xfId="2963" xr:uid="{184765DC-DEDB-4E05-A944-E75B47E1C327}"/>
    <cellStyle name="Moneda 5 3 3 2 2 3 2" xfId="6811" xr:uid="{57036B3F-9760-4062-8375-46D794528A57}"/>
    <cellStyle name="Moneda 5 3 3 2 2 4" xfId="4887" xr:uid="{8BA48BD8-01DA-400A-8478-EEBA6A426706}"/>
    <cellStyle name="Moneda 5 3 3 2 3" xfId="1520" xr:uid="{F9BB8201-1AFB-4EDC-96B4-BE5578835493}"/>
    <cellStyle name="Moneda 5 3 3 2 3 2" xfId="3444" xr:uid="{251F7BA5-3CFE-4DF3-908A-BF1203B5DF4F}"/>
    <cellStyle name="Moneda 5 3 3 2 3 2 2" xfId="7292" xr:uid="{3F9E6D47-30D6-43EA-89F5-2155D5DAC212}"/>
    <cellStyle name="Moneda 5 3 3 2 3 3" xfId="5368" xr:uid="{08DFFD38-A561-49DF-A1BE-082CC8EF4EFA}"/>
    <cellStyle name="Moneda 5 3 3 2 4" xfId="2482" xr:uid="{32BD6B44-7366-4A7D-9DFE-09096306F227}"/>
    <cellStyle name="Moneda 5 3 3 2 4 2" xfId="6330" xr:uid="{007B64FE-5066-48FC-8205-3E42101C190A}"/>
    <cellStyle name="Moneda 5 3 3 2 5" xfId="4406" xr:uid="{DF69481A-8FA9-42BD-9B58-3C079F4782D0}"/>
    <cellStyle name="Moneda 5 3 3 3" xfId="799" xr:uid="{4E822C30-C43D-4695-9D05-0885941C0DEA}"/>
    <cellStyle name="Moneda 5 3 3 3 2" xfId="1761" xr:uid="{7AD9BCC9-2547-4568-A57D-28B07D4DC01F}"/>
    <cellStyle name="Moneda 5 3 3 3 2 2" xfId="3685" xr:uid="{5F2A2F33-37FF-4097-AF54-BBE426CC0F54}"/>
    <cellStyle name="Moneda 5 3 3 3 2 2 2" xfId="7533" xr:uid="{3CEB4851-9BFF-44C3-BDF1-A943BB84D155}"/>
    <cellStyle name="Moneda 5 3 3 3 2 3" xfId="5609" xr:uid="{8C39892F-E6F8-443A-87DD-1ABC1A3C6ABB}"/>
    <cellStyle name="Moneda 5 3 3 3 3" xfId="2723" xr:uid="{C3A98B46-92DB-4AB3-92A9-EEE05FDC0A06}"/>
    <cellStyle name="Moneda 5 3 3 3 3 2" xfId="6571" xr:uid="{688635EA-F84F-408D-B113-45649A40FC1D}"/>
    <cellStyle name="Moneda 5 3 3 3 4" xfId="4647" xr:uid="{BC8D5538-7C77-4F3C-BC9B-93A0E01FB24F}"/>
    <cellStyle name="Moneda 5 3 3 4" xfId="1280" xr:uid="{1ADE7328-0588-4E4E-A121-271A08549360}"/>
    <cellStyle name="Moneda 5 3 3 4 2" xfId="3204" xr:uid="{476CB832-E1F9-4E08-9063-B8A17C21291F}"/>
    <cellStyle name="Moneda 5 3 3 4 2 2" xfId="7052" xr:uid="{DF726887-5C02-4EF6-91E8-60CFE7908975}"/>
    <cellStyle name="Moneda 5 3 3 4 3" xfId="5128" xr:uid="{2412EA6F-3BF8-4E8B-8F1F-528F40BD8C88}"/>
    <cellStyle name="Moneda 5 3 3 5" xfId="2242" xr:uid="{0337B855-8326-44D8-BD87-6C2FF2CC882B}"/>
    <cellStyle name="Moneda 5 3 3 5 2" xfId="6090" xr:uid="{A8963562-BD4A-4CCD-8968-669163B3FC6C}"/>
    <cellStyle name="Moneda 5 3 3 6" xfId="4166" xr:uid="{7298D5C0-F776-4643-B9DE-EF17A3A3746B}"/>
    <cellStyle name="Moneda 5 3 4" xfId="240" xr:uid="{63631178-0F02-4DED-8A46-36B9A34BCC52}"/>
    <cellStyle name="Moneda 5 3 4 2" xfId="492" xr:uid="{65514936-11C7-4B4B-B001-9EC9DBF2A3F3}"/>
    <cellStyle name="Moneda 5 3 4 2 2" xfId="973" xr:uid="{C6413686-E2A8-4635-838B-5693F69EF1C2}"/>
    <cellStyle name="Moneda 5 3 4 2 2 2" xfId="1935" xr:uid="{D4316EF4-F60B-4D59-B5BA-AF347DA4C1F6}"/>
    <cellStyle name="Moneda 5 3 4 2 2 2 2" xfId="3859" xr:uid="{F490E050-BDB0-4675-B9E8-DB18EBDE5DE1}"/>
    <cellStyle name="Moneda 5 3 4 2 2 2 2 2" xfId="7707" xr:uid="{D46D889C-7AF0-4ACF-BA45-85D853ADC1C4}"/>
    <cellStyle name="Moneda 5 3 4 2 2 2 3" xfId="5783" xr:uid="{880B76D4-0DDF-4B59-8A73-D3C79A9926FA}"/>
    <cellStyle name="Moneda 5 3 4 2 2 3" xfId="2897" xr:uid="{3266E865-CB20-4306-B2C4-BB5C466983AD}"/>
    <cellStyle name="Moneda 5 3 4 2 2 3 2" xfId="6745" xr:uid="{F70989B4-1D39-4B9C-B811-30129B26041A}"/>
    <cellStyle name="Moneda 5 3 4 2 2 4" xfId="4821" xr:uid="{54FFB8CE-C592-4A05-BC15-A8C669183960}"/>
    <cellStyle name="Moneda 5 3 4 2 3" xfId="1454" xr:uid="{07A27AED-1E96-4D86-8BAC-56CA16D1F5C7}"/>
    <cellStyle name="Moneda 5 3 4 2 3 2" xfId="3378" xr:uid="{6E021F59-892A-47DE-B25B-EA73C51FDF8E}"/>
    <cellStyle name="Moneda 5 3 4 2 3 2 2" xfId="7226" xr:uid="{3E781885-07DA-40D2-A631-D6C27B54F390}"/>
    <cellStyle name="Moneda 5 3 4 2 3 3" xfId="5302" xr:uid="{5E669329-3E1E-4874-9DC8-057685E7D4FF}"/>
    <cellStyle name="Moneda 5 3 4 2 4" xfId="2416" xr:uid="{CDA9BC40-EB26-4962-8A76-FC9B28AB8A6F}"/>
    <cellStyle name="Moneda 5 3 4 2 4 2" xfId="6264" xr:uid="{131DDA26-10D7-4655-B6C6-BEB4E4C9AF77}"/>
    <cellStyle name="Moneda 5 3 4 2 5" xfId="4340" xr:uid="{2ED9BD87-1634-4D3B-B854-83DF38F5164B}"/>
    <cellStyle name="Moneda 5 3 4 3" xfId="733" xr:uid="{B3AC682F-9E87-494E-B97B-B94DBE10D67A}"/>
    <cellStyle name="Moneda 5 3 4 3 2" xfId="1695" xr:uid="{E9A267BA-59BD-465C-A4A6-13B9E32722B0}"/>
    <cellStyle name="Moneda 5 3 4 3 2 2" xfId="3619" xr:uid="{F3C4951B-7DB9-474D-B8C9-FBA1EB282FA7}"/>
    <cellStyle name="Moneda 5 3 4 3 2 2 2" xfId="7467" xr:uid="{EF0F5817-23E9-44C2-B30B-9C3F815DED71}"/>
    <cellStyle name="Moneda 5 3 4 3 2 3" xfId="5543" xr:uid="{AAFFF4A2-0A33-4D22-B84D-6752F5EA7E6A}"/>
    <cellStyle name="Moneda 5 3 4 3 3" xfId="2657" xr:uid="{1DABC32B-A079-4C9D-B0D6-441811EC4C86}"/>
    <cellStyle name="Moneda 5 3 4 3 3 2" xfId="6505" xr:uid="{82589FDC-3BF6-4C70-B8B2-A67CDA336CCC}"/>
    <cellStyle name="Moneda 5 3 4 3 4" xfId="4581" xr:uid="{D63A432A-896C-43EC-B748-EF13EDC80021}"/>
    <cellStyle name="Moneda 5 3 4 4" xfId="1214" xr:uid="{F8375DF4-1C1F-46CC-BA95-39C3DA51EF78}"/>
    <cellStyle name="Moneda 5 3 4 4 2" xfId="3138" xr:uid="{36CFBA42-913C-49A3-97AF-F8590A2473CD}"/>
    <cellStyle name="Moneda 5 3 4 4 2 2" xfId="6986" xr:uid="{57B10630-54C2-401F-AA49-E310E252CE74}"/>
    <cellStyle name="Moneda 5 3 4 4 3" xfId="5062" xr:uid="{123F36F8-AF9C-4D1E-A1D8-4F3F4D9DA830}"/>
    <cellStyle name="Moneda 5 3 4 5" xfId="2176" xr:uid="{50937083-2AC5-46CD-8F45-722C35907EA9}"/>
    <cellStyle name="Moneda 5 3 4 5 2" xfId="6024" xr:uid="{F89E8E8F-935D-4A8F-AC9C-D236CF04F67D}"/>
    <cellStyle name="Moneda 5 3 4 6" xfId="4100" xr:uid="{27B96040-5B28-4E15-A423-DA32BACE6204}"/>
    <cellStyle name="Moneda 5 3 5" xfId="426" xr:uid="{901757E7-50A1-4265-B6A4-64FD918CF9E1}"/>
    <cellStyle name="Moneda 5 3 5 2" xfId="907" xr:uid="{1434FCBE-A21C-409E-AD6B-5CB3E30166EE}"/>
    <cellStyle name="Moneda 5 3 5 2 2" xfId="1869" xr:uid="{E47228FA-8613-413D-A6F8-1516605941B9}"/>
    <cellStyle name="Moneda 5 3 5 2 2 2" xfId="3793" xr:uid="{C196E278-DAA4-498E-A667-2769A0D1691F}"/>
    <cellStyle name="Moneda 5 3 5 2 2 2 2" xfId="7641" xr:uid="{251C67D1-ACB7-4679-995E-13D3A8D4C390}"/>
    <cellStyle name="Moneda 5 3 5 2 2 3" xfId="5717" xr:uid="{335428FF-D0B2-4215-A887-97675919B019}"/>
    <cellStyle name="Moneda 5 3 5 2 3" xfId="2831" xr:uid="{0A762C3A-329F-466C-BB61-F61EDDCBDBF1}"/>
    <cellStyle name="Moneda 5 3 5 2 3 2" xfId="6679" xr:uid="{F91FB629-6EF5-4F2B-9C06-52DE36D6D81D}"/>
    <cellStyle name="Moneda 5 3 5 2 4" xfId="4755" xr:uid="{B4092F11-7413-4A8B-9E30-9F439C40D5DB}"/>
    <cellStyle name="Moneda 5 3 5 3" xfId="1388" xr:uid="{D377A330-6044-4841-A8C7-8077D88CF42A}"/>
    <cellStyle name="Moneda 5 3 5 3 2" xfId="3312" xr:uid="{F54C51BD-2C9E-4396-9104-E3F86E62908D}"/>
    <cellStyle name="Moneda 5 3 5 3 2 2" xfId="7160" xr:uid="{10511BEE-9598-452B-A995-C30784630F8D}"/>
    <cellStyle name="Moneda 5 3 5 3 3" xfId="5236" xr:uid="{3612F808-EFD8-457C-AE58-1EC06678211A}"/>
    <cellStyle name="Moneda 5 3 5 4" xfId="2350" xr:uid="{8F498C68-4253-4768-B3ED-B95A5F8C028A}"/>
    <cellStyle name="Moneda 5 3 5 4 2" xfId="6198" xr:uid="{6EF1FD68-EAD7-49D5-A794-ED6C784132B1}"/>
    <cellStyle name="Moneda 5 3 5 5" xfId="4274" xr:uid="{3135CF5A-40F2-4D5A-8C9A-3D4B3E2D2A25}"/>
    <cellStyle name="Moneda 5 3 6" xfId="667" xr:uid="{1A4F42F2-40DA-467D-8330-FF81FBB650E9}"/>
    <cellStyle name="Moneda 5 3 6 2" xfId="1629" xr:uid="{E1AB7EBD-423E-4CAA-BFDD-5E5C65AE037D}"/>
    <cellStyle name="Moneda 5 3 6 2 2" xfId="3553" xr:uid="{509EC44F-834C-407F-87ED-2AF7812E1869}"/>
    <cellStyle name="Moneda 5 3 6 2 2 2" xfId="7401" xr:uid="{CA66753C-1539-424A-A7F9-7DEDD0C8F7F0}"/>
    <cellStyle name="Moneda 5 3 6 2 3" xfId="5477" xr:uid="{24CF3375-0D3D-467E-8082-DBED0F71D38A}"/>
    <cellStyle name="Moneda 5 3 6 3" xfId="2591" xr:uid="{5EBD00BF-18F6-4330-9293-C407FABDBA27}"/>
    <cellStyle name="Moneda 5 3 6 3 2" xfId="6439" xr:uid="{1F52E24B-10DE-4573-95BB-D78DD73E2F60}"/>
    <cellStyle name="Moneda 5 3 6 4" xfId="4515" xr:uid="{CEC5D615-6502-40FE-8F70-A91510884520}"/>
    <cellStyle name="Moneda 5 3 7" xfId="1148" xr:uid="{34A89604-8686-456A-9310-3C1A16449CEB}"/>
    <cellStyle name="Moneda 5 3 7 2" xfId="3072" xr:uid="{35A6DF76-ED23-4938-81AA-B09226492A13}"/>
    <cellStyle name="Moneda 5 3 7 2 2" xfId="6920" xr:uid="{8E61CE98-FE31-4C3F-AB22-FF718517B8EC}"/>
    <cellStyle name="Moneda 5 3 7 3" xfId="4996" xr:uid="{2ABDFB7F-6943-48E7-B6E6-05E87344C340}"/>
    <cellStyle name="Moneda 5 3 8" xfId="2110" xr:uid="{9C8858A7-B0D8-495E-8B52-D8D4681B9755}"/>
    <cellStyle name="Moneda 5 3 8 2" xfId="5958" xr:uid="{4FA0271F-E118-4535-A2C1-21FA890EAD98}"/>
    <cellStyle name="Moneda 5 3 9" xfId="4034" xr:uid="{D32F3DD2-407C-462E-AA1D-3A3DB5296B06}"/>
    <cellStyle name="Moneda 5 4" xfId="139" xr:uid="{C7513DF0-21CC-43C0-AC31-62C6102AFB3C}"/>
    <cellStyle name="Moneda 5 4 2" xfId="287" xr:uid="{32B91EB5-9771-44EC-BA5F-6CA5C09ADA0C}"/>
    <cellStyle name="Moneda 5 4 2 2" xfId="538" xr:uid="{E4227BD2-05E8-4D94-A558-108CC76C6083}"/>
    <cellStyle name="Moneda 5 4 2 2 2" xfId="1019" xr:uid="{A98BDA86-5693-4B7C-9CB5-6D9E7CF0088B}"/>
    <cellStyle name="Moneda 5 4 2 2 2 2" xfId="1981" xr:uid="{5F18A6C0-B150-4B6E-AD8E-987F40B757DE}"/>
    <cellStyle name="Moneda 5 4 2 2 2 2 2" xfId="3905" xr:uid="{CDBA1520-F7B9-4DB4-AEF7-4081A91EBAA1}"/>
    <cellStyle name="Moneda 5 4 2 2 2 2 2 2" xfId="7753" xr:uid="{8DBC7358-61AD-4EAE-908D-8FB488C9620E}"/>
    <cellStyle name="Moneda 5 4 2 2 2 2 3" xfId="5829" xr:uid="{FFC800BA-0776-4412-8C4C-06DD00D933D8}"/>
    <cellStyle name="Moneda 5 4 2 2 2 3" xfId="2943" xr:uid="{520374D6-BF20-4356-901E-E6822013A83D}"/>
    <cellStyle name="Moneda 5 4 2 2 2 3 2" xfId="6791" xr:uid="{2BE2EA2F-FAFA-4349-BEB5-87994283736F}"/>
    <cellStyle name="Moneda 5 4 2 2 2 4" xfId="4867" xr:uid="{9BE38F5D-F0E4-4242-A1A3-2630DA141E82}"/>
    <cellStyle name="Moneda 5 4 2 2 3" xfId="1500" xr:uid="{D24D43F7-68D6-429F-8A8A-4FD9D5E30404}"/>
    <cellStyle name="Moneda 5 4 2 2 3 2" xfId="3424" xr:uid="{07DA7D99-D30C-4D51-8436-8C1ADCCE7AD2}"/>
    <cellStyle name="Moneda 5 4 2 2 3 2 2" xfId="7272" xr:uid="{EDBDBA76-820D-4096-B932-3237CBB1B0E2}"/>
    <cellStyle name="Moneda 5 4 2 2 3 3" xfId="5348" xr:uid="{D45D367C-28B0-4CEF-B3F9-00B23A5320C4}"/>
    <cellStyle name="Moneda 5 4 2 2 4" xfId="2462" xr:uid="{CDAD1724-1FCA-4C3F-9D55-88468160AA25}"/>
    <cellStyle name="Moneda 5 4 2 2 4 2" xfId="6310" xr:uid="{118EBEF9-49E3-4217-868A-0AF00CAE2D89}"/>
    <cellStyle name="Moneda 5 4 2 2 5" xfId="4386" xr:uid="{B20E242C-4BC3-4553-9DF7-E0705794E13D}"/>
    <cellStyle name="Moneda 5 4 2 3" xfId="779" xr:uid="{6163CDCD-A33A-46FE-9A55-D23741CB5247}"/>
    <cellStyle name="Moneda 5 4 2 3 2" xfId="1741" xr:uid="{358A6E1D-66B7-41BE-A0A2-5DFCE4B99F8C}"/>
    <cellStyle name="Moneda 5 4 2 3 2 2" xfId="3665" xr:uid="{C5125275-A449-4070-832E-D6DC4C6377A6}"/>
    <cellStyle name="Moneda 5 4 2 3 2 2 2" xfId="7513" xr:uid="{02CFA42E-5E9F-4DA6-90D4-DE7DBCBFD289}"/>
    <cellStyle name="Moneda 5 4 2 3 2 3" xfId="5589" xr:uid="{27D3F12F-C725-4B37-85AE-5C6E7FC723D1}"/>
    <cellStyle name="Moneda 5 4 2 3 3" xfId="2703" xr:uid="{D3DAD674-A243-46E5-A619-9A401A763D2D}"/>
    <cellStyle name="Moneda 5 4 2 3 3 2" xfId="6551" xr:uid="{CE7F4D6C-CAB8-49EB-8878-E2D60ABB45EB}"/>
    <cellStyle name="Moneda 5 4 2 3 4" xfId="4627" xr:uid="{C60FD92D-1137-4C91-9148-F518B9F20D58}"/>
    <cellStyle name="Moneda 5 4 2 4" xfId="1260" xr:uid="{12FC833E-FC00-4E21-A734-9D8AF5CBE228}"/>
    <cellStyle name="Moneda 5 4 2 4 2" xfId="3184" xr:uid="{15850197-974A-4BFB-AA74-7DCC883C2C98}"/>
    <cellStyle name="Moneda 5 4 2 4 2 2" xfId="7032" xr:uid="{0727AA89-735B-4830-871B-ABF57ABD470E}"/>
    <cellStyle name="Moneda 5 4 2 4 3" xfId="5108" xr:uid="{5422B366-41C6-478F-982D-F43DBC92A7C1}"/>
    <cellStyle name="Moneda 5 4 2 5" xfId="2222" xr:uid="{CC3C5A69-8127-4421-8C7E-4A309EDBFB3B}"/>
    <cellStyle name="Moneda 5 4 2 5 2" xfId="6070" xr:uid="{B4290B4A-60AA-4AC3-A69F-5B9C4EB1A36B}"/>
    <cellStyle name="Moneda 5 4 2 6" xfId="4146" xr:uid="{B917A517-95F1-433C-AEDC-A216EF5C17E6}"/>
    <cellStyle name="Moneda 5 4 3" xfId="406" xr:uid="{5CAC8770-6EA0-44CF-B073-73A2DECF28E2}"/>
    <cellStyle name="Moneda 5 4 3 2" xfId="887" xr:uid="{E272E10A-C149-4734-AB0F-D3EAB58B8D54}"/>
    <cellStyle name="Moneda 5 4 3 2 2" xfId="1849" xr:uid="{0BBB2E16-C949-46B1-B2AE-51EAEF5FAA0F}"/>
    <cellStyle name="Moneda 5 4 3 2 2 2" xfId="3773" xr:uid="{26B0ABAD-6D08-47D3-BDCB-BBDDD245130C}"/>
    <cellStyle name="Moneda 5 4 3 2 2 2 2" xfId="7621" xr:uid="{86FCD503-2DB0-432C-BB7F-EC3BC5D5A286}"/>
    <cellStyle name="Moneda 5 4 3 2 2 3" xfId="5697" xr:uid="{9490C80C-BBD6-4906-B3CA-8F17F705D86E}"/>
    <cellStyle name="Moneda 5 4 3 2 3" xfId="2811" xr:uid="{6B89B88A-FE96-4FC0-908D-4245D3269337}"/>
    <cellStyle name="Moneda 5 4 3 2 3 2" xfId="6659" xr:uid="{4AB93946-B987-4211-84F8-D4C3C0A4BE61}"/>
    <cellStyle name="Moneda 5 4 3 2 4" xfId="4735" xr:uid="{5066AB23-89C4-4A0D-9FCA-3FCEC34BE307}"/>
    <cellStyle name="Moneda 5 4 3 3" xfId="1368" xr:uid="{A5AEBD83-5736-4993-A25D-90C7D2BEEDFE}"/>
    <cellStyle name="Moneda 5 4 3 3 2" xfId="3292" xr:uid="{DF9EB300-8B01-4F81-BC6B-BA2294196BDF}"/>
    <cellStyle name="Moneda 5 4 3 3 2 2" xfId="7140" xr:uid="{7BE25319-4168-4C72-AB2D-5C21D303CC1C}"/>
    <cellStyle name="Moneda 5 4 3 3 3" xfId="5216" xr:uid="{D7858123-D052-432E-AFBC-8DEACCE1D531}"/>
    <cellStyle name="Moneda 5 4 3 4" xfId="2330" xr:uid="{7803F4A5-F192-4BAB-997B-835A8D49E4E4}"/>
    <cellStyle name="Moneda 5 4 3 4 2" xfId="6178" xr:uid="{2565FD40-74B0-4AA7-B363-80F9B3ED8BA3}"/>
    <cellStyle name="Moneda 5 4 3 5" xfId="4254" xr:uid="{77817E84-A5C7-44A6-B055-7B85A6B1808C}"/>
    <cellStyle name="Moneda 5 4 4" xfId="647" xr:uid="{974CB6F1-E2FE-47AD-B9E2-122F7E2C9190}"/>
    <cellStyle name="Moneda 5 4 4 2" xfId="1609" xr:uid="{FE901397-9D15-49D1-BB8A-E648BE1EB3F6}"/>
    <cellStyle name="Moneda 5 4 4 2 2" xfId="3533" xr:uid="{347150DB-483A-43E7-B348-656F0870A4CC}"/>
    <cellStyle name="Moneda 5 4 4 2 2 2" xfId="7381" xr:uid="{F68A2FC0-993F-4E2C-A5DA-D96A3513864A}"/>
    <cellStyle name="Moneda 5 4 4 2 3" xfId="5457" xr:uid="{5A3FF5F7-FE79-4B32-8F6B-AE774DFAB61F}"/>
    <cellStyle name="Moneda 5 4 4 3" xfId="2571" xr:uid="{88C08A81-E516-40F1-87C7-CBB70E235AFD}"/>
    <cellStyle name="Moneda 5 4 4 3 2" xfId="6419" xr:uid="{FA331941-9FFE-40F7-84B1-DACD170F4087}"/>
    <cellStyle name="Moneda 5 4 4 4" xfId="4495" xr:uid="{2CFF47DE-653D-4E96-AEE2-3EC7528D0F68}"/>
    <cellStyle name="Moneda 5 4 5" xfId="1128" xr:uid="{DF6DF789-036D-4996-B882-C5538D55ECE7}"/>
    <cellStyle name="Moneda 5 4 5 2" xfId="3052" xr:uid="{7D1760D3-9440-41B0-921B-623C178212C8}"/>
    <cellStyle name="Moneda 5 4 5 2 2" xfId="6900" xr:uid="{6059E9E1-6E1F-4EF0-AC63-4EA8744CD294}"/>
    <cellStyle name="Moneda 5 4 5 3" xfId="4976" xr:uid="{F07A5435-A268-4067-AE5D-A2ADABC00587}"/>
    <cellStyle name="Moneda 5 4 6" xfId="2090" xr:uid="{5D263F0E-7CE5-4C81-91F7-B6A6D6DE17BB}"/>
    <cellStyle name="Moneda 5 4 6 2" xfId="5938" xr:uid="{904293D2-A789-48EE-AC50-6D25A67DDD2F}"/>
    <cellStyle name="Moneda 5 4 7" xfId="4014" xr:uid="{0B688685-6953-4C80-A6F8-EC7529618131}"/>
    <cellStyle name="Moneda 5 5" xfId="261" xr:uid="{F8F18330-1D07-4891-9904-6BC7315A9163}"/>
    <cellStyle name="Moneda 5 5 2" xfId="513" xr:uid="{FBB799F7-C201-4F6E-B2E8-F0E7293E772D}"/>
    <cellStyle name="Moneda 5 5 2 2" xfId="994" xr:uid="{523BB5C1-FE7A-4E71-96BE-34D830F11760}"/>
    <cellStyle name="Moneda 5 5 2 2 2" xfId="1956" xr:uid="{B4504E70-19A6-4623-AA95-8B7F8C218415}"/>
    <cellStyle name="Moneda 5 5 2 2 2 2" xfId="3880" xr:uid="{59A95637-B561-429F-AE13-4F78339ADC85}"/>
    <cellStyle name="Moneda 5 5 2 2 2 2 2" xfId="7728" xr:uid="{C9EE79C7-2D2F-416C-90C8-864CDA62F678}"/>
    <cellStyle name="Moneda 5 5 2 2 2 3" xfId="5804" xr:uid="{E21B35E8-BE7B-45B3-95F6-73C3309A6E21}"/>
    <cellStyle name="Moneda 5 5 2 2 3" xfId="2918" xr:uid="{4A8627D4-CEA4-46E9-A251-08EAD348A047}"/>
    <cellStyle name="Moneda 5 5 2 2 3 2" xfId="6766" xr:uid="{05DE4A41-292B-4738-A59E-DB69FD2CD638}"/>
    <cellStyle name="Moneda 5 5 2 2 4" xfId="4842" xr:uid="{2AD76266-C772-426A-BC3F-2D0C1A5D5DB1}"/>
    <cellStyle name="Moneda 5 5 2 3" xfId="1475" xr:uid="{E9ADC018-DE5E-4C60-9ED9-63F146019365}"/>
    <cellStyle name="Moneda 5 5 2 3 2" xfId="3399" xr:uid="{5C0C6F2A-3462-42C2-A577-914EA4A53396}"/>
    <cellStyle name="Moneda 5 5 2 3 2 2" xfId="7247" xr:uid="{E18232C4-63F4-433D-967F-B6BC4C07C7B9}"/>
    <cellStyle name="Moneda 5 5 2 3 3" xfId="5323" xr:uid="{D8C17AE9-0295-4842-8BEB-E13F783E93A5}"/>
    <cellStyle name="Moneda 5 5 2 4" xfId="2437" xr:uid="{D2BE3969-B45C-407F-9CD7-071724A24B06}"/>
    <cellStyle name="Moneda 5 5 2 4 2" xfId="6285" xr:uid="{EC69A82D-D32F-4EF1-8C5A-B0EFE295F46E}"/>
    <cellStyle name="Moneda 5 5 2 5" xfId="4361" xr:uid="{E1DA200C-5006-4290-AB8C-D20DCFDF98E5}"/>
    <cellStyle name="Moneda 5 5 3" xfId="754" xr:uid="{341A73F9-496A-4437-91D2-25F67E6FF08E}"/>
    <cellStyle name="Moneda 5 5 3 2" xfId="1716" xr:uid="{090CA017-A994-432B-9E7B-8D685F492BE7}"/>
    <cellStyle name="Moneda 5 5 3 2 2" xfId="3640" xr:uid="{F57C318A-ED8B-406E-8AEC-08242E98D11B}"/>
    <cellStyle name="Moneda 5 5 3 2 2 2" xfId="7488" xr:uid="{1CFC5D2D-7D76-4D38-A62D-F29BEA8F18AD}"/>
    <cellStyle name="Moneda 5 5 3 2 3" xfId="5564" xr:uid="{D3CE0DD1-EDED-4E74-8198-C124199676D4}"/>
    <cellStyle name="Moneda 5 5 3 3" xfId="2678" xr:uid="{8BE42A06-F781-415D-9244-9F3152D86844}"/>
    <cellStyle name="Moneda 5 5 3 3 2" xfId="6526" xr:uid="{CBB6B5F8-3C78-47CF-9618-6E1397AB7B14}"/>
    <cellStyle name="Moneda 5 5 3 4" xfId="4602" xr:uid="{BA9C100F-CBD0-4697-96C7-9E40CCBAAAF3}"/>
    <cellStyle name="Moneda 5 5 4" xfId="1235" xr:uid="{BBA5DCAF-512E-49D5-AB21-46FAC0730B24}"/>
    <cellStyle name="Moneda 5 5 4 2" xfId="3159" xr:uid="{DF5EF3D5-3AED-4B4D-8CFB-8706FBB9027D}"/>
    <cellStyle name="Moneda 5 5 4 2 2" xfId="7007" xr:uid="{3879E4E6-06AD-4F3F-AD9C-7519376FE5E4}"/>
    <cellStyle name="Moneda 5 5 4 3" xfId="5083" xr:uid="{BD6DA1BE-64ED-4E65-A698-6D1436052DC7}"/>
    <cellStyle name="Moneda 5 5 5" xfId="2197" xr:uid="{2AE86C8E-CF6E-4516-BE6F-62EA42A2CEB0}"/>
    <cellStyle name="Moneda 5 5 5 2" xfId="6045" xr:uid="{B3FB766C-D0BC-4949-A166-C8EA8B7A94EB}"/>
    <cellStyle name="Moneda 5 5 6" xfId="4121" xr:uid="{8B00A6A0-6ED2-4EB0-88D4-D730F3AB7696}"/>
    <cellStyle name="Moneda 5 6" xfId="380" xr:uid="{A4F569CF-3EA6-4A49-9565-A5CE27540B34}"/>
    <cellStyle name="Moneda 5 6 2" xfId="861" xr:uid="{CB81BEF1-1A52-43B8-B85B-DC3A2F91B934}"/>
    <cellStyle name="Moneda 5 6 2 2" xfId="1823" xr:uid="{56FD6AAD-7425-4413-B26F-9FE7FA5D6CC9}"/>
    <cellStyle name="Moneda 5 6 2 2 2" xfId="3747" xr:uid="{C0B881F8-2C11-40F0-98B3-6381C42645A7}"/>
    <cellStyle name="Moneda 5 6 2 2 2 2" xfId="7595" xr:uid="{F7C5151A-D7DD-4F53-9755-E606B740DDA4}"/>
    <cellStyle name="Moneda 5 6 2 2 3" xfId="5671" xr:uid="{792D3FA8-39CA-4AA9-BE67-76E62AD2A025}"/>
    <cellStyle name="Moneda 5 6 2 3" xfId="2785" xr:uid="{3BF4B167-FAEE-4806-865E-360689F09904}"/>
    <cellStyle name="Moneda 5 6 2 3 2" xfId="6633" xr:uid="{666B3A49-5FB9-4AE6-BD33-D1E5438BE66D}"/>
    <cellStyle name="Moneda 5 6 2 4" xfId="4709" xr:uid="{7A1CB1B6-1832-44E4-9682-9FCA704D44D2}"/>
    <cellStyle name="Moneda 5 6 3" xfId="1342" xr:uid="{A79E546B-06DA-4F44-A6A8-25E9B8BFB0F7}"/>
    <cellStyle name="Moneda 5 6 3 2" xfId="3266" xr:uid="{ACF3FF07-2B24-4F5F-96CF-7384971037E9}"/>
    <cellStyle name="Moneda 5 6 3 2 2" xfId="7114" xr:uid="{0C33F1D8-A5EC-4E0B-B2EE-410AA6F97286}"/>
    <cellStyle name="Moneda 5 6 3 3" xfId="5190" xr:uid="{D6D9BF45-5BC8-4199-AB94-7AC2A786DD3B}"/>
    <cellStyle name="Moneda 5 6 4" xfId="2304" xr:uid="{6713D5C0-CFB8-4372-B524-AEF4A288DCEE}"/>
    <cellStyle name="Moneda 5 6 4 2" xfId="6152" xr:uid="{E47D5DB0-122E-402E-8957-E5402FFF389E}"/>
    <cellStyle name="Moneda 5 6 5" xfId="4228" xr:uid="{F5A5B8F5-6D85-43A2-9872-311BC8EF1D5D}"/>
    <cellStyle name="Moneda 5 7" xfId="621" xr:uid="{51255E1E-116D-4038-85B3-04FEC4A6EA9D}"/>
    <cellStyle name="Moneda 5 7 2" xfId="1583" xr:uid="{010BC781-46F0-46EA-B966-58B7BECFA1AC}"/>
    <cellStyle name="Moneda 5 7 2 2" xfId="3507" xr:uid="{4A2150C7-B089-487C-89F1-2660244604F0}"/>
    <cellStyle name="Moneda 5 7 2 2 2" xfId="7355" xr:uid="{F8CDF522-7F74-42FA-90B3-45170B77BE42}"/>
    <cellStyle name="Moneda 5 7 2 3" xfId="5431" xr:uid="{52ED9DCC-7C6E-4DEC-8ED4-99E263806999}"/>
    <cellStyle name="Moneda 5 7 3" xfId="2545" xr:uid="{7579C437-B40C-499A-A868-37371239E2E7}"/>
    <cellStyle name="Moneda 5 7 3 2" xfId="6393" xr:uid="{3B988879-F8E0-45C7-9ED9-883B908A9540}"/>
    <cellStyle name="Moneda 5 7 4" xfId="4469" xr:uid="{7F6ADA4E-9295-4416-B866-6327683856B7}"/>
    <cellStyle name="Moneda 5 8" xfId="1102" xr:uid="{2E03247A-B1A9-49D5-94E4-F45EC99C3805}"/>
    <cellStyle name="Moneda 5 8 2" xfId="3026" xr:uid="{04D3B85A-21AF-49E8-94FF-2F504749074C}"/>
    <cellStyle name="Moneda 5 8 2 2" xfId="6874" xr:uid="{2E228F89-FDE6-4ED3-AF82-9615EB0CC11C}"/>
    <cellStyle name="Moneda 5 8 3" xfId="4950" xr:uid="{9E16D809-91F2-4308-A752-058F3D4D2E22}"/>
    <cellStyle name="Moneda 5 9" xfId="2064" xr:uid="{0B97701F-E710-4BA7-BD4E-B947271AB2B7}"/>
    <cellStyle name="Moneda 5 9 2" xfId="5912" xr:uid="{3B24DA62-475B-4B9A-8F9D-C10FB4E5A604}"/>
    <cellStyle name="Moneda 6" xfId="84" xr:uid="{130B49C7-4026-4954-9AEF-BFD17B316FD9}"/>
    <cellStyle name="Moneda 6 2" xfId="149" xr:uid="{8AC6935B-D943-41A4-8204-6BA844FBBACA}"/>
    <cellStyle name="Moneda 6 2 2" xfId="7943" xr:uid="{17946FD3-25CA-4F76-8037-8268BC633B70}"/>
    <cellStyle name="Moneda 6 3" xfId="7856" xr:uid="{23835CA8-7119-4B9C-A23F-FF813223C466}"/>
    <cellStyle name="Moneda 7" xfId="87" xr:uid="{39302423-1FA0-4028-A0B5-CDAF0BDDBBC5}"/>
    <cellStyle name="Moneda 7 2" xfId="106" xr:uid="{4C1B04AA-7F46-4EE7-88CD-16F31782C7E0}"/>
    <cellStyle name="Moneda 7 2 2" xfId="7946" xr:uid="{05F50F42-6E3A-46C0-9253-C871C3C6C88D}"/>
    <cellStyle name="Moneda 7 3" xfId="7859" xr:uid="{EAD0E89E-5591-4089-A1A6-8E1BE0546028}"/>
    <cellStyle name="Moneda 8" xfId="102" xr:uid="{DA57BECF-E6D4-44A9-BF04-45D3C33FFB97}"/>
    <cellStyle name="Moneda 8 2" xfId="172" xr:uid="{9C2F1F60-10CE-4897-A00E-02D53C216DC0}"/>
    <cellStyle name="Moneda 8 3" xfId="143" xr:uid="{3F34A30C-88CB-46E6-901C-A493860FFD28}"/>
    <cellStyle name="Moneda 9" xfId="366" xr:uid="{69C9A941-4882-4E03-9826-B9C751EBD9DF}"/>
    <cellStyle name="Moneda 9 2" xfId="609" xr:uid="{50162B59-2A8B-45F8-879C-24175D6726AE}"/>
    <cellStyle name="Moneda 9 2 2" xfId="1090" xr:uid="{A5484717-4645-4545-A732-9D6053B677A2}"/>
    <cellStyle name="Moneda 9 2 2 2" xfId="2052" xr:uid="{7153D09B-5100-4E88-8FC3-579C3A53AFEB}"/>
    <cellStyle name="Moneda 9 2 2 2 2" xfId="3976" xr:uid="{A5FD8AA0-7430-4A8D-813F-489C4458BFB0}"/>
    <cellStyle name="Moneda 9 2 2 2 2 2" xfId="7824" xr:uid="{D24C7EC3-4C91-4084-B6BB-C445FA7841CD}"/>
    <cellStyle name="Moneda 9 2 2 2 3" xfId="5900" xr:uid="{B72690F0-C959-41B8-B988-90C05F6C4B67}"/>
    <cellStyle name="Moneda 9 2 2 3" xfId="3014" xr:uid="{8BA32275-5116-43EF-B013-BE1962D826AC}"/>
    <cellStyle name="Moneda 9 2 2 3 2" xfId="6862" xr:uid="{6220C252-D725-4225-939B-8AA18271481C}"/>
    <cellStyle name="Moneda 9 2 2 4" xfId="4938" xr:uid="{E8F702B3-C0CB-4837-9713-D6F466B2B7E2}"/>
    <cellStyle name="Moneda 9 2 3" xfId="1571" xr:uid="{3E166F02-55F2-4F51-8DEF-0986F2217C5C}"/>
    <cellStyle name="Moneda 9 2 3 2" xfId="3495" xr:uid="{9611AEE4-4611-43DE-9703-418B140ADA2B}"/>
    <cellStyle name="Moneda 9 2 3 2 2" xfId="7343" xr:uid="{38D85319-6E4E-4741-9EEA-B245AB21AAC9}"/>
    <cellStyle name="Moneda 9 2 3 3" xfId="5419" xr:uid="{223E7847-A331-4962-9912-9C45ACBF21DE}"/>
    <cellStyle name="Moneda 9 2 4" xfId="2533" xr:uid="{6CFC86EB-49D5-448E-95AC-160C20028959}"/>
    <cellStyle name="Moneda 9 2 4 2" xfId="6381" xr:uid="{00EBE44D-5138-4C2D-923B-1A2655EF0B7D}"/>
    <cellStyle name="Moneda 9 2 5" xfId="4457" xr:uid="{4CFDDF72-EBCF-4CE1-9DE6-E3D1381B20E8}"/>
    <cellStyle name="Moneda 9 3" xfId="850" xr:uid="{4233EF3F-FE62-4C7B-9F21-3A8EFC502787}"/>
    <cellStyle name="Moneda 9 3 2" xfId="1812" xr:uid="{D296283B-ABC4-4C5A-BBB5-28E4477CD86B}"/>
    <cellStyle name="Moneda 9 3 2 2" xfId="3736" xr:uid="{B09D2CB7-DE94-4CF7-8DC1-46312C6CF773}"/>
    <cellStyle name="Moneda 9 3 2 2 2" xfId="7584" xr:uid="{035C133E-95B6-4C09-AB03-74F7D6C42331}"/>
    <cellStyle name="Moneda 9 3 2 3" xfId="5660" xr:uid="{5B10F1D7-6FE2-48EC-B762-D225A2FBA720}"/>
    <cellStyle name="Moneda 9 3 3" xfId="2774" xr:uid="{09BE90DC-8EC4-4D3C-A1A8-902017C668D3}"/>
    <cellStyle name="Moneda 9 3 3 2" xfId="6622" xr:uid="{FF0D36A1-C247-4935-90C7-FDCE24BFF3DE}"/>
    <cellStyle name="Moneda 9 3 4" xfId="4698" xr:uid="{3D46A345-279C-4731-8346-6ED25B80869B}"/>
    <cellStyle name="Moneda 9 4" xfId="1331" xr:uid="{0B380A2F-CD10-4297-870F-2269F13814E6}"/>
    <cellStyle name="Moneda 9 4 2" xfId="3255" xr:uid="{AA3FB51C-4FBA-4B91-96EA-0DAEB1CEF4E4}"/>
    <cellStyle name="Moneda 9 4 2 2" xfId="7103" xr:uid="{DE939672-E89A-4803-AF29-C4FE14517575}"/>
    <cellStyle name="Moneda 9 4 3" xfId="5179" xr:uid="{0CF32A15-2300-4616-9511-BB71101EF4B7}"/>
    <cellStyle name="Moneda 9 5" xfId="2293" xr:uid="{B4A75C6E-F6DA-4188-8492-9462586ACF4A}"/>
    <cellStyle name="Moneda 9 5 2" xfId="6141" xr:uid="{75836F45-3818-48DD-8248-5E69E9A9ADA4}"/>
    <cellStyle name="Moneda 9 6" xfId="4217" xr:uid="{41676A72-FF26-421F-B8CC-090B53BC9261}"/>
    <cellStyle name="Neutral" xfId="10" builtinId="28" customBuiltin="1"/>
    <cellStyle name="Neutral 2" xfId="7830" xr:uid="{F3A5737E-24C8-400F-BB36-EBAEDF179C09}"/>
    <cellStyle name="Normal" xfId="0" builtinId="0"/>
    <cellStyle name="Normal 10" xfId="77" xr:uid="{9F9809CA-C5A2-4F8F-8080-68CFE14A1E0F}"/>
    <cellStyle name="Normal 10 2" xfId="105" xr:uid="{BF608DEB-2179-4236-810A-7E1E79158CBD}"/>
    <cellStyle name="Normal 10 3" xfId="7879" xr:uid="{47CFBEBA-19AB-49A3-BF45-F53553FFF651}"/>
    <cellStyle name="Normal 11" xfId="78" xr:uid="{AF30F5F7-F94E-4F63-B3F1-928A77758A26}"/>
    <cellStyle name="Normal 11 2" xfId="108" xr:uid="{A092825C-2731-4BC3-A13A-FB362F1F7825}"/>
    <cellStyle name="Normal 11 3" xfId="7881" xr:uid="{8F75611B-4E89-4AE9-90B3-EE1A842A2298}"/>
    <cellStyle name="Normal 12" xfId="79" xr:uid="{5066D3D4-5A09-4AC8-AF75-F52CA4B21982}"/>
    <cellStyle name="Normal 12 2" xfId="109" xr:uid="{CEEC18E5-A843-4DC2-93D7-D7E954581198}"/>
    <cellStyle name="Normal 12 3" xfId="7883" xr:uid="{B91CC78E-2621-4BDC-A59A-428A480FD3C5}"/>
    <cellStyle name="Normal 13" xfId="80" xr:uid="{296E320D-E4B3-4248-8436-ED9672078BBC}"/>
    <cellStyle name="Normal 13 2" xfId="110" xr:uid="{D6A17681-B955-4FBB-BC4C-E28FE3375CD7}"/>
    <cellStyle name="Normal 13 3" xfId="7885" xr:uid="{4A56B7AF-4600-46F0-B782-2E6615239CF9}"/>
    <cellStyle name="Normal 14" xfId="81" xr:uid="{E8BACB37-8596-4487-858E-5AF9ED756D94}"/>
    <cellStyle name="Normal 14 2" xfId="111" xr:uid="{1119BAB3-DC44-4BC1-B628-B9B7EF093929}"/>
    <cellStyle name="Normal 14 3" xfId="7887" xr:uid="{0DD26691-71DE-41D3-B759-163990C939B7}"/>
    <cellStyle name="Normal 15" xfId="82" xr:uid="{F74DA324-7AB4-4F17-8597-A170E128AC6A}"/>
    <cellStyle name="Normal 15 2" xfId="112" xr:uid="{2936D46E-4194-4B13-B0A9-508A88202DA3}"/>
    <cellStyle name="Normal 15 3" xfId="7889" xr:uid="{218BC8B4-736D-4699-8731-4E766D9AA589}"/>
    <cellStyle name="Normal 16" xfId="83" xr:uid="{A5D0770F-9B03-4C76-A8B3-B303F6C63027}"/>
    <cellStyle name="Normal 16 2" xfId="113" xr:uid="{DF455B36-6830-4766-B67F-65F7AEB388E9}"/>
    <cellStyle name="Normal 16 3" xfId="7891" xr:uid="{B4A1505C-28F4-4E3D-AEF4-0ABCA8F70AA6}"/>
    <cellStyle name="Normal 17" xfId="88" xr:uid="{F7480750-658D-4B43-99AE-FD88C3BAEDE7}"/>
    <cellStyle name="Normal 17 2" xfId="114" xr:uid="{644DF9EC-5B24-42E5-8A0F-A517D394A96F}"/>
    <cellStyle name="Normal 17 3" xfId="7893" xr:uid="{2296DAC9-4B02-41AD-8615-A6646596DD58}"/>
    <cellStyle name="Normal 18" xfId="89" xr:uid="{2A07EBDE-21D5-49AB-8D2E-F30D4732F5F0}"/>
    <cellStyle name="Normal 18 2" xfId="115" xr:uid="{F45DFC22-8E00-427C-A06F-05739FED96E4}"/>
    <cellStyle name="Normal 18 3" xfId="7895" xr:uid="{9202E6AD-07A1-4DBC-AF66-1E0658BF40FF}"/>
    <cellStyle name="Normal 19" xfId="90" xr:uid="{0AD53EB3-FB4A-430D-B492-46824EF96D03}"/>
    <cellStyle name="Normal 19 2" xfId="151" xr:uid="{81320BC7-02E8-4644-9C66-70149A1A02A9}"/>
    <cellStyle name="Normal 19 3" xfId="7897" xr:uid="{B33D86AA-BAF7-4511-876A-6FCAB0282D03}"/>
    <cellStyle name="Normal 2" xfId="48" xr:uid="{D3FEEFB5-3589-46F7-8FB4-5B6D34EDFF2A}"/>
    <cellStyle name="Normal 2 2" xfId="104" xr:uid="{05C1BB7C-43AE-41F6-9399-2CEDD5E37D57}"/>
    <cellStyle name="Normal 2 2 2" xfId="174" xr:uid="{A3C23416-8F93-4AC2-B98D-5F18F9BCB5C6}"/>
    <cellStyle name="Normal 2 2 2 2" xfId="7934" xr:uid="{BF9088B8-2D12-4B08-BACF-3166B35AF75F}"/>
    <cellStyle name="Normal 2 2 3" xfId="144" xr:uid="{6945A69A-B5B9-41A1-9144-C093FDD5479C}"/>
    <cellStyle name="Normal 2 3" xfId="64" xr:uid="{64C4ADDC-C08B-457D-A8C7-789B375B3C37}"/>
    <cellStyle name="Normal 20" xfId="91" xr:uid="{7FB0953A-203C-4999-8EC2-791160109E15}"/>
    <cellStyle name="Normal 20 2" xfId="152" xr:uid="{523DB1C8-991F-4153-A500-98757EE535F5}"/>
    <cellStyle name="Normal 20 3" xfId="7899" xr:uid="{E9731091-89D6-4F9F-822B-4E1D1DCA4922}"/>
    <cellStyle name="Normal 21" xfId="101" xr:uid="{9FD35EF7-8632-4FBD-B1C0-BA335C091C33}"/>
    <cellStyle name="Normal 21 2" xfId="164" xr:uid="{A368380C-0B40-442B-AED8-FF40881FF3FC}"/>
    <cellStyle name="Normal 21 3" xfId="7901" xr:uid="{575C50D7-D046-48C1-86D8-0E3F3C994737}"/>
    <cellStyle name="Normal 22" xfId="128" xr:uid="{E0C92791-A8B0-4CEC-9260-B2E29DC49427}"/>
    <cellStyle name="Normal 22 2" xfId="188" xr:uid="{6D8D1E65-2914-435F-AB7B-C6D503B0A3BE}"/>
    <cellStyle name="Normal 22 3" xfId="276" xr:uid="{8281EDF0-8D85-43A0-915B-0F2DB478BD1D}"/>
    <cellStyle name="Normal 22 4" xfId="7903" xr:uid="{008C794D-FFD5-4A1B-A614-31E793F2DC47}"/>
    <cellStyle name="Normal 23" xfId="222" xr:uid="{48B8783C-F011-41F2-BFDD-F636E12F9E71}"/>
    <cellStyle name="Normal 23 2" xfId="7905" xr:uid="{A46FB677-B64C-4E16-8647-70E6D32E4FD4}"/>
    <cellStyle name="Normal 24" xfId="356" xr:uid="{CFB42120-ED80-4261-99E1-41BC21CB15E9}"/>
    <cellStyle name="Normal 25" xfId="358" xr:uid="{04B8356F-1B1B-4DE3-8454-E14A1D1D4D90}"/>
    <cellStyle name="Normal 26" xfId="360" xr:uid="{98DD6EA9-8334-435A-91AB-CEBDCFE02160}"/>
    <cellStyle name="Normal 27" xfId="361" xr:uid="{31A0FD71-5FCA-43C9-9E65-39842DD2D8CC}"/>
    <cellStyle name="Normal 28" xfId="368" xr:uid="{698D8157-9A09-4B22-A62F-F35A564DC515}"/>
    <cellStyle name="Normal 29" xfId="369" xr:uid="{9F72BC27-F7B2-4F75-8A7E-5F8B2A65388F}"/>
    <cellStyle name="Normal 3" xfId="49" xr:uid="{2534890F-2273-498C-9B60-CFE662BDA13D}"/>
    <cellStyle name="Normal 3 2" xfId="56" xr:uid="{246CEC42-F9E9-46E6-B79D-DD4D1307E8DC}"/>
    <cellStyle name="Normal 3 3" xfId="72" xr:uid="{457AA5E1-B367-4D0E-9D66-5ECC0BBA8E0C}"/>
    <cellStyle name="Normal 3 3 2" xfId="7868" xr:uid="{8F9663C1-A297-4900-A96F-274D35109FF8}"/>
    <cellStyle name="Normal 3 4" xfId="94" xr:uid="{B880E0F7-DC76-482E-B4B7-64EC656CABF2}"/>
    <cellStyle name="Normal 3 5" xfId="69" xr:uid="{CFE3DE5B-E9B3-425C-A48A-1B7FAAA3957C}"/>
    <cellStyle name="Normal 3 6" xfId="7838" xr:uid="{0DA92AAB-8BEC-4493-8FD3-D18B3E550F98}"/>
    <cellStyle name="Normal 30" xfId="371" xr:uid="{6AFA623A-2769-4189-9E5A-E5EEFE36EEBB}"/>
    <cellStyle name="Normal 4" xfId="50" xr:uid="{C103124B-4B60-4F5D-A84F-75CB76D480F2}"/>
    <cellStyle name="Normal 4 2" xfId="363" xr:uid="{0E082530-8198-41C1-81E9-8FE9E8D69384}"/>
    <cellStyle name="Normal 4 3" xfId="7870" xr:uid="{EE9A85E4-E5E0-4653-8FCF-DFDBC1C08112}"/>
    <cellStyle name="Normal 42" xfId="7847" xr:uid="{C866B560-19C5-4E30-B3AA-39C94BB32F17}"/>
    <cellStyle name="Normal 5" xfId="51" xr:uid="{B8B66C7E-61FE-4730-ACF7-EF610D275EDA}"/>
    <cellStyle name="Normal 5 2" xfId="364" xr:uid="{7616C651-4A2E-4C7C-8E58-BD74118B6C3C}"/>
    <cellStyle name="Normal 6" xfId="52" xr:uid="{806A888F-B27D-4F23-A9BB-4BDC0BD9D2E7}"/>
    <cellStyle name="Normal 7" xfId="53" xr:uid="{704CCCA0-E07C-4D7D-ABD0-F18B9ACBB42E}"/>
    <cellStyle name="Normal 7 2" xfId="7874" xr:uid="{E34753C6-D22C-436F-A7E1-BAC2DE3E9DF2}"/>
    <cellStyle name="Normal 8" xfId="71" xr:uid="{C5C6A75E-AD1D-400B-8B6D-AAF6E69DBA56}"/>
    <cellStyle name="Normal 9" xfId="76" xr:uid="{7C8CC59F-86DD-4BF1-AFF2-8DEE2B02F5A1}"/>
    <cellStyle name="Normal 9 2" xfId="148" xr:uid="{93C828E6-74AA-4911-B0C8-336012B342FC}"/>
    <cellStyle name="Normal 9 3" xfId="7877" xr:uid="{83D5A965-7074-4FAF-BD93-D1269964BDBF}"/>
    <cellStyle name="Notas" xfId="17" builtinId="10" customBuiltin="1"/>
    <cellStyle name="Notas 2" xfId="54" xr:uid="{00266515-A1CF-4451-9D2E-C3F08DC97998}"/>
    <cellStyle name="Notas 2 2" xfId="7910" xr:uid="{467A03F6-9C8F-4E53-8B68-153DCE0BEFB1}"/>
    <cellStyle name="Notas 2 3" xfId="7866" xr:uid="{F4F65000-1B03-4A89-AB5F-86159B7D1323}"/>
    <cellStyle name="Notas 3" xfId="7861" xr:uid="{C0683AC1-1D14-4A53-A954-225A1ADF653C}"/>
    <cellStyle name="Notas 4" xfId="7908" xr:uid="{83E3DBC9-9EF0-4181-911B-72C7266AA7E3}"/>
    <cellStyle name="Porcentaje 2" xfId="55" xr:uid="{B8AD2F24-4FE2-4EE8-ACBA-B4FB0C7D2A17}"/>
    <cellStyle name="Porcentaje 2 2" xfId="57" xr:uid="{F87DD697-E02B-4DC6-9158-751D7FBC68FB}"/>
    <cellStyle name="Porcentaje 2 2 2" xfId="7911" xr:uid="{5BDA2F90-ACC3-47B8-AC2F-3002D29516D2}"/>
    <cellStyle name="Porcentaje 2 3" xfId="145" xr:uid="{4405CD49-DBB2-4D77-BBB0-CA27E164FEDE}"/>
    <cellStyle name="Porcentaje 2 4" xfId="365" xr:uid="{5BB2EE4B-AB32-46E8-8298-C751A2044048}"/>
    <cellStyle name="Porcentaje 2 5" xfId="65" xr:uid="{F2B458A7-1341-460D-80C8-3EE694B10A0E}"/>
    <cellStyle name="Porcentaje 3" xfId="75" xr:uid="{6A202A2C-F73A-424F-BA49-5CD5279F39F8}"/>
    <cellStyle name="Porcentaje 4" xfId="85" xr:uid="{315D53CF-6EE2-4E74-A9EE-2FC91D42A188}"/>
    <cellStyle name="Porcentaje 4 2" xfId="150" xr:uid="{EC32525A-03C1-4920-B289-FAC1ED98C7FF}"/>
    <cellStyle name="Porcentaje 5" xfId="92" xr:uid="{C0B40660-D131-43F2-B7C6-69510128DAD7}"/>
    <cellStyle name="Porcentaje 6" xfId="147" xr:uid="{51F7BED6-DA7E-4965-88C4-1F1F0C94F0E0}"/>
    <cellStyle name="Porcentaje 7" xfId="68" xr:uid="{FF412CC5-F976-4CF5-8436-0C6A9B50A1BC}"/>
    <cellStyle name="Salida" xfId="12" builtinId="21" customBuiltin="1"/>
    <cellStyle name="Texto de advertencia" xfId="16" builtinId="11" customBuiltin="1"/>
    <cellStyle name="Texto explicativo" xfId="18" builtinId="53" customBuiltin="1"/>
    <cellStyle name="Título" xfId="3" builtinId="15" customBuiltin="1"/>
    <cellStyle name="Título 2" xfId="5" builtinId="17" customBuiltin="1"/>
    <cellStyle name="Título 3" xfId="6" builtinId="18" customBuiltin="1"/>
    <cellStyle name="Título 4" xfId="7837" xr:uid="{81C4422B-96C7-4ED6-8C78-F44751D87170}"/>
    <cellStyle name="Total" xfId="19" builtinId="25" customBuiltin="1"/>
  </cellStyles>
  <dxfs count="86">
    <dxf>
      <font>
        <color rgb="FFFF0000"/>
      </font>
      <fill>
        <patternFill>
          <bgColor rgb="FFFFFF00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19" formatCode="d/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/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fill>
        <patternFill patternType="solid">
          <bgColor rgb="FF0099FF"/>
        </patternFill>
      </fill>
    </dxf>
    <dxf>
      <numFmt numFmtId="0" formatCode="General"/>
    </dxf>
    <dxf>
      <numFmt numFmtId="35" formatCode="_-* #,##0.00_-;\-* #,##0.00_-;_-* &quot;-&quot;??_-;_-@_-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3" formatCode="#,##0"/>
    </dxf>
    <dxf>
      <numFmt numFmtId="164" formatCode="_-* #,##0_-;\-* #,##0_-;_-* &quot;-&quot;??_-;_-@_-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FFFFFF"/>
        <name val="Times New Roman"/>
        <family val="2"/>
        <scheme val="none"/>
      </font>
      <numFmt numFmtId="13" formatCode="0%"/>
      <fill>
        <patternFill patternType="solid">
          <fgColor indexed="64"/>
          <bgColor rgb="FF808080"/>
        </patternFill>
      </fill>
      <alignment horizontal="center" vertical="center" textRotation="0" wrapText="1" indent="0" justifyLastLine="0" shrinkToFit="0" readingOrder="1"/>
    </dxf>
    <dxf>
      <font>
        <b/>
        <i val="0"/>
      </font>
      <fill>
        <patternFill>
          <bgColor theme="4" tint="0.39994506668294322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/>
        <sz val="11"/>
        <color theme="1"/>
      </font>
      <border>
        <vertical/>
        <horizontal/>
      </border>
    </dxf>
    <dxf>
      <font>
        <color theme="1"/>
      </font>
      <fill>
        <patternFill patternType="solid">
          <bgColor theme="4" tint="0.79998168889431442"/>
        </patternFill>
      </fill>
      <border diagonalUp="0" diagonalDown="0">
        <left/>
        <right/>
        <top/>
        <bottom/>
        <vertical/>
        <horizontal/>
      </border>
    </dxf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6" defaultTableStyle="TableStyleMedium2" defaultPivotStyle="PivotStyleLight16">
    <tableStyle name="MySqlDefault" pivot="0" table="0" count="2" xr9:uid="{DD0035BF-D02B-4EF2-A5BB-83D47600242A}">
      <tableStyleElement type="wholeTable" dxfId="85"/>
      <tableStyleElement type="headerRow" dxfId="84"/>
    </tableStyle>
    <tableStyle name="TimeSlicerStyleLight1 2" pivot="0" table="0" count="2" xr9:uid="{933ECFD9-502E-4A77-B4D8-856D163FAA11}">
      <tableStyleElement type="wholeTable" dxfId="83"/>
      <tableStyleElement type="headerRow" dxfId="82"/>
    </tableStyle>
    <tableStyle name="Invisible" pivot="0" table="0" count="0" xr9:uid="{BD751F2F-2DD0-4EA1-BE4A-5D2726C07D48}"/>
    <tableStyle name="Estilo de tabla dinámica 1" table="0" count="1" xr9:uid="{D9D9DEC1-1F21-4B7B-A98F-599F9EC5F7FA}">
      <tableStyleElement type="wholeTable" dxfId="81"/>
    </tableStyle>
    <tableStyle name="Estilo de tabla dinámica 2" table="0" count="2" xr9:uid="{C1F63719-F508-452D-95BD-28387B139599}">
      <tableStyleElement type="wholeTable" dxfId="80"/>
      <tableStyleElement type="totalRow" dxfId="79"/>
    </tableStyle>
    <tableStyle name="Estilo de segmentación de datos 1" pivot="0" table="0" count="0" xr9:uid="{5351EAD3-86B3-4B2B-BA45-DA57087D42D9}"/>
  </tableStyles>
  <colors>
    <mruColors>
      <color rgb="FF0099FF"/>
      <color rgb="FFB5E6A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pivotCacheDefinition" Target="pivotCache/pivotCacheDefinition3.xml"/><Relationship Id="rId26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pivotCacheDefinition" Target="pivotCache/pivotCacheDefinition2.xml"/><Relationship Id="rId25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1.xml"/><Relationship Id="rId20" Type="http://schemas.openxmlformats.org/officeDocument/2006/relationships/connections" Target="connection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609600</xdr:colOff>
      <xdr:row>0</xdr:row>
      <xdr:rowOff>53340</xdr:rowOff>
    </xdr:from>
    <xdr:to>
      <xdr:col>14</xdr:col>
      <xdr:colOff>132080</xdr:colOff>
      <xdr:row>1</xdr:row>
      <xdr:rowOff>154940</xdr:rowOff>
    </xdr:to>
    <xdr:sp macro="" textlink="">
      <xdr:nvSpPr>
        <xdr:cNvPr id="3" name="Rectángulo: esquinas redondeadas 2">
          <a:extLst>
            <a:ext uri="{FF2B5EF4-FFF2-40B4-BE49-F238E27FC236}">
              <a16:creationId xmlns:a16="http://schemas.microsoft.com/office/drawing/2014/main" id="{F4319348-8C29-4037-858E-056EAC3CD4AD}"/>
            </a:ext>
            <a:ext uri="{6ECC49D1-AA05-4338-93AA-15A1B29DFB0A}">
              <asl:scriptLink xmlns:asl="http://schemas.microsoft.com/office/drawing/2021/scriptlink" val="{&quot;shareId&quot;:&quot;ms-officescript%3A%2F%2Fonedrive_business_sharinglink%2Fu!aHR0cHM6Ly9meW8tbXkuc2hhcmVwb2ludC5jb20vOnU6L3AvZnphbmN6dWsvRVJxWFRXLXY1STlQZy1qVEozX2dSUndCNWF0dElNMWNMY3NsT0VhWDZDTzV1QQ&quot;}"/>
            </a:ext>
          </a:extLst>
        </xdr:cNvPr>
        <xdr:cNvSpPr/>
      </xdr:nvSpPr>
      <xdr:spPr>
        <a:xfrm>
          <a:off x="10363200" y="53340"/>
          <a:ext cx="3081020" cy="292100"/>
        </a:xfrm>
        <a:prstGeom prst="roundRect">
          <a:avLst/>
        </a:prstGeom>
        <a:solidFill>
          <a:srgbClr val="107C41"/>
        </a:solidFill>
        <a:ln w="19050" cap="flat" cmpd="sng" algn="ctr">
          <a:solidFill>
            <a:schemeClr val="accent1">
              <a:shade val="15000"/>
            </a:schemeClr>
          </a:solidFill>
          <a:prstDash val="solid"/>
          <a:miter lim="800000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ES"/>
            <a:t>Ejecutar Actualizar Tablas dinámicas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323850</xdr:colOff>
      <xdr:row>0</xdr:row>
      <xdr:rowOff>25400</xdr:rowOff>
    </xdr:from>
    <xdr:to>
      <xdr:col>3</xdr:col>
      <xdr:colOff>501650</xdr:colOff>
      <xdr:row>0</xdr:row>
      <xdr:rowOff>158750</xdr:rowOff>
    </xdr:to>
    <xdr:sp macro="" textlink="">
      <xdr:nvSpPr>
        <xdr:cNvPr id="2" name="Flecha: hacia abajo 1">
          <a:extLst>
            <a:ext uri="{FF2B5EF4-FFF2-40B4-BE49-F238E27FC236}">
              <a16:creationId xmlns:a16="http://schemas.microsoft.com/office/drawing/2014/main" id="{E34913F7-0C53-4A65-BD9B-0D0A6021159E}"/>
            </a:ext>
          </a:extLst>
        </xdr:cNvPr>
        <xdr:cNvSpPr/>
      </xdr:nvSpPr>
      <xdr:spPr>
        <a:xfrm>
          <a:off x="2609850" y="25400"/>
          <a:ext cx="177800" cy="317500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rancisco Zanczuk" refreshedDate="46000.649604050923" createdVersion="8" refreshedVersion="8" minRefreshableVersion="3" recordCount="65" xr:uid="{2D64A715-AE46-4DCE-9B69-5FD9F325CB1F}">
  <cacheSource type="worksheet">
    <worksheetSource ref="E2:X1048576" sheet="Cartera clientes"/>
  </cacheSource>
  <cacheFields count="20">
    <cacheField name="Account Number" numFmtId="0">
      <sharedItems containsBlank="1" containsMixedTypes="1" containsNumber="1" containsInteger="1" minValue="13006" maxValue="20176" count="11">
        <s v="13005"/>
        <s v="13006"/>
        <s v="13007"/>
        <s v="13009"/>
        <s v="13010"/>
        <s v="20176"/>
        <m/>
        <n v="13007" u="1"/>
        <n v="13006" u="1"/>
        <n v="13009" u="1"/>
        <n v="20176" u="1"/>
      </sharedItems>
    </cacheField>
    <cacheField name="Account Class Code" numFmtId="0">
      <sharedItems containsBlank="1"/>
    </cacheField>
    <cacheField name="Account Subclass Code" numFmtId="0">
      <sharedItems containsBlank="1"/>
    </cacheField>
    <cacheField name="Account Type Code" numFmtId="0">
      <sharedItems containsBlank="1"/>
    </cacheField>
    <cacheField name="Cusip Code" numFmtId="0">
      <sharedItems containsBlank="1"/>
    </cacheField>
    <cacheField name="Card Number" numFmtId="0">
      <sharedItems containsString="0" containsBlank="1" containsNumber="1" containsInteger="1" minValue="0" maxValue="9710"/>
    </cacheField>
    <cacheField name="Buy Sell Code" numFmtId="0">
      <sharedItems containsString="0" containsBlank="1" containsNumber="1" containsInteger="1" minValue="1" maxValue="2"/>
    </cacheField>
    <cacheField name="Quantity" numFmtId="0">
      <sharedItems containsString="0" containsBlank="1" containsNumber="1" containsInteger="1" minValue="10000" maxValue="2500000000"/>
    </cacheField>
    <cacheField name="Security Desc Line 1" numFmtId="0">
      <sharedItems containsBlank="1"/>
    </cacheField>
    <cacheField name="Formatted Trade Price" numFmtId="0">
      <sharedItems containsBlank="1"/>
    </cacheField>
    <cacheField name="Trade Date" numFmtId="0">
      <sharedItems containsString="0" containsBlank="1" containsNumber="1" containsInteger="1" minValue="20250911" maxValue="20251205"/>
    </cacheField>
    <cacheField name="Open Close Code" numFmtId="0">
      <sharedItems containsBlank="1"/>
    </cacheField>
    <cacheField name="Contract Month" numFmtId="0">
      <sharedItems containsString="0" containsBlank="1" containsNumber="1" containsInteger="1" minValue="0" maxValue="202607"/>
    </cacheField>
    <cacheField name="Contract Day" numFmtId="0">
      <sharedItems containsBlank="1"/>
    </cacheField>
    <cacheField name="Security Type Code" numFmtId="0">
      <sharedItems containsBlank="1"/>
    </cacheField>
    <cacheField name="Security Subtype Code" numFmtId="0">
      <sharedItems containsBlank="1"/>
    </cacheField>
    <cacheField name="Option Strike Price" numFmtId="0">
      <sharedItems containsString="0" containsBlank="1" containsNumber="1" containsInteger="1" minValue="0" maxValue="1220000000"/>
    </cacheField>
    <cacheField name="Option Expire Date" numFmtId="0">
      <sharedItems containsString="0" containsBlank="1" containsNumber="1" containsInteger="1" minValue="0" maxValue="20260424"/>
    </cacheField>
    <cacheField name="Spread Code" numFmtId="0">
      <sharedItems containsBlank="1"/>
    </cacheField>
    <cacheField name="Account Name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rancisco Zanczuk" refreshedDate="46000.649605092593" createdVersion="8" refreshedVersion="8" minRefreshableVersion="3" recordCount="65" xr:uid="{343E986D-829D-4862-9FBC-CBFB86902F5E}">
  <cacheSource type="worksheet">
    <worksheetSource ref="E2:CK1048576" sheet="Cartera clientes"/>
  </cacheSource>
  <cacheFields count="85">
    <cacheField name="Account Number" numFmtId="0">
      <sharedItems containsBlank="1" containsMixedTypes="1" containsNumber="1" containsInteger="1" minValue="13006" maxValue="20176" count="11">
        <s v="13005"/>
        <s v="13006"/>
        <s v="13007"/>
        <s v="13009"/>
        <s v="13010"/>
        <s v="20176"/>
        <m/>
        <n v="13007" u="1"/>
        <n v="13006" u="1"/>
        <n v="13009" u="1"/>
        <n v="20176" u="1"/>
      </sharedItems>
    </cacheField>
    <cacheField name="Account Class Code" numFmtId="0">
      <sharedItems containsBlank="1"/>
    </cacheField>
    <cacheField name="Account Subclass Code" numFmtId="0">
      <sharedItems containsBlank="1"/>
    </cacheField>
    <cacheField name="Account Type Code" numFmtId="0">
      <sharedItems containsBlank="1"/>
    </cacheField>
    <cacheField name="Cusip Code" numFmtId="0">
      <sharedItems containsBlank="1"/>
    </cacheField>
    <cacheField name="Card Number" numFmtId="0">
      <sharedItems containsString="0" containsBlank="1" containsNumber="1" containsInteger="1" minValue="0" maxValue="9710"/>
    </cacheField>
    <cacheField name="Buy Sell Code" numFmtId="0">
      <sharedItems containsString="0" containsBlank="1" containsNumber="1" containsInteger="1" minValue="1" maxValue="2"/>
    </cacheField>
    <cacheField name="Quantity" numFmtId="0">
      <sharedItems containsString="0" containsBlank="1" containsNumber="1" containsInteger="1" minValue="10000" maxValue="2500000000"/>
    </cacheField>
    <cacheField name="Security Desc Line 1" numFmtId="0">
      <sharedItems containsBlank="1"/>
    </cacheField>
    <cacheField name="Formatted Trade Price" numFmtId="0">
      <sharedItems containsBlank="1"/>
    </cacheField>
    <cacheField name="Trade Date" numFmtId="0">
      <sharedItems containsString="0" containsBlank="1" containsNumber="1" containsInteger="1" minValue="20250911" maxValue="20251205"/>
    </cacheField>
    <cacheField name="Open Close Code" numFmtId="0">
      <sharedItems containsBlank="1"/>
    </cacheField>
    <cacheField name="Contract Month" numFmtId="0">
      <sharedItems containsString="0" containsBlank="1" containsNumber="1" containsInteger="1" minValue="0" maxValue="202607"/>
    </cacheField>
    <cacheField name="Contract Day" numFmtId="0">
      <sharedItems containsBlank="1"/>
    </cacheField>
    <cacheField name="Security Type Code" numFmtId="0">
      <sharedItems containsBlank="1"/>
    </cacheField>
    <cacheField name="Security Subtype Code" numFmtId="0">
      <sharedItems containsBlank="1"/>
    </cacheField>
    <cacheField name="Option Strike Price" numFmtId="0">
      <sharedItems containsString="0" containsBlank="1" containsNumber="1" containsInteger="1" minValue="0" maxValue="1220000000"/>
    </cacheField>
    <cacheField name="Option Expire Date" numFmtId="0">
      <sharedItems containsString="0" containsBlank="1" containsNumber="1" containsInteger="1" minValue="0" maxValue="20260424"/>
    </cacheField>
    <cacheField name="Spread Code" numFmtId="0">
      <sharedItems containsBlank="1"/>
    </cacheField>
    <cacheField name="Account Name" numFmtId="0">
      <sharedItems containsBlank="1"/>
    </cacheField>
    <cacheField name="Source Account Number" numFmtId="0">
      <sharedItems containsBlank="1"/>
    </cacheField>
    <cacheField name="Settlement Date" numFmtId="0">
      <sharedItems containsString="0" containsBlank="1" containsNumber="1" containsInteger="1" minValue="20250911" maxValue="20251205"/>
    </cacheField>
    <cacheField name="Exchange Code" numFmtId="0">
      <sharedItems containsString="0" containsBlank="1" containsNumber="1" containsInteger="1" minValue="0" maxValue="1"/>
    </cacheField>
    <cacheField name="Trade Exchange Code" numFmtId="0">
      <sharedItems containsBlank="1"/>
    </cacheField>
    <cacheField name="Contract Code" numFmtId="0">
      <sharedItems containsBlank="1"/>
    </cacheField>
    <cacheField name="Contract Symbol" numFmtId="0">
      <sharedItems containsBlank="1"/>
    </cacheField>
    <cacheField name="Product Type Code" numFmtId="0">
      <sharedItems containsBlank="1"/>
    </cacheField>
    <cacheField name="Trade Price" numFmtId="0">
      <sharedItems containsBlank="1"/>
    </cacheField>
    <cacheField name="Trade Calc Control Code" numFmtId="0">
      <sharedItems containsBlank="1"/>
    </cacheField>
    <cacheField name="Comment Code 1" numFmtId="0">
      <sharedItems containsBlank="1"/>
    </cacheField>
    <cacheField name="Comment Code 2" numFmtId="0">
      <sharedItems containsBlank="1"/>
    </cacheField>
    <cacheField name="Give Up Code" numFmtId="0">
      <sharedItems containsBlank="1"/>
    </cacheField>
    <cacheField name="Give Up Firm Code" numFmtId="0">
      <sharedItems containsBlank="1"/>
    </cacheField>
    <cacheField name="Buy Side Quantity" numFmtId="0">
      <sharedItems containsString="0" containsBlank="1" containsNumber="1" containsInteger="1" minValue="0" maxValue="2500000000"/>
    </cacheField>
    <cacheField name="Sell Side Quantity" numFmtId="0">
      <sharedItems containsBlank="1"/>
    </cacheField>
    <cacheField name="Account Type Currency Symbol" numFmtId="0">
      <sharedItems containsBlank="1"/>
    </cacheField>
    <cacheField name="Market Value" numFmtId="0">
      <sharedItems containsString="0" containsBlank="1" containsNumber="1" containsInteger="1" minValue="-6693750" maxValue="23750000"/>
    </cacheField>
    <cacheField name="Close Price" numFmtId="0">
      <sharedItems containsString="0" containsBlank="1" containsNumber="1" containsInteger="1" minValue="0" maxValue="9500000000"/>
    </cacheField>
    <cacheField name="Underlying Close Price" numFmtId="0">
      <sharedItems containsString="0" containsBlank="1" containsNumber="1" containsInteger="1" minValue="0" maxValue="1116750000"/>
    </cacheField>
    <cacheField name="Multiplication Factor" numFmtId="0">
      <sharedItems containsString="0" containsBlank="1" containsNumber="1" containsInteger="1" minValue="0" maxValue="50000"/>
    </cacheField>
    <cacheField name="Tracer Number" numFmtId="0">
      <sharedItems containsBlank="1"/>
    </cacheField>
    <cacheField name="Order Number" numFmtId="0">
      <sharedItems containsString="0" containsBlank="1" containsNumber="1" containsInteger="1" minValue="0" maxValue="116429710"/>
    </cacheField>
    <cacheField name="Delta Factor" numFmtId="0">
      <sharedItems containsBlank="1"/>
    </cacheField>
    <cacheField name="Bloomberg Root" numFmtId="0">
      <sharedItems containsBlank="1"/>
    </cacheField>
    <cacheField name="Bloomberg Exch Code" numFmtId="0">
      <sharedItems containsBlank="1"/>
    </cacheField>
    <cacheField name="Bloomberg Market Sector" numFmtId="0">
      <sharedItems containsBlank="1"/>
    </cacheField>
    <cacheField name="Producto" numFmtId="0">
      <sharedItems containsBlank="1"/>
    </cacheField>
    <cacheField name="Coversor precio" numFmtId="0">
      <sharedItems containsString="0" containsBlank="1" containsNumber="1" minValue="0.36742999999999998" maxValue="0.39369999999999999"/>
    </cacheField>
    <cacheField name="Conversor tns" numFmtId="0">
      <sharedItems containsString="0" containsBlank="1" containsNumber="1" containsInteger="1" minValue="-74" maxValue="95"/>
    </cacheField>
    <cacheField name="Precio" numFmtId="0">
      <sharedItems containsString="0" containsBlank="1" containsNumber="1" minValue="174.704375" maxValue="413.6343225"/>
    </cacheField>
    <cacheField name="Strike" numFmtId="0">
      <sharedItems containsString="0" containsBlank="1" containsNumber="1" minValue="0" maxValue="448.26459999999997"/>
    </cacheField>
    <cacheField name="Tns" numFmtId="0">
      <sharedItems containsString="0" containsBlank="1" containsNumber="1" minValue="-10069.92" maxValue="12065.475"/>
    </cacheField>
    <cacheField name="Tipo" numFmtId="0">
      <sharedItems containsBlank="1"/>
    </cacheField>
    <cacheField name="Opcion??" numFmtId="0">
      <sharedItems containsBlank="1"/>
    </cacheField>
    <cacheField name="Lado" numFmtId="0">
      <sharedItems containsBlank="1"/>
    </cacheField>
    <cacheField name="Cat opcion" numFmtId="0">
      <sharedItems containsBlank="1"/>
    </cacheField>
    <cacheField name="-30%" numFmtId="0">
      <sharedItems containsString="0" containsBlank="1" containsNumber="1" minValue="122.29306249999999" maxValue="289.54402575"/>
    </cacheField>
    <cacheField name="-20%" numFmtId="0">
      <sharedItems containsString="0" containsBlank="1" containsNumber="1" minValue="139.76349999999999" maxValue="330.90745800000002"/>
    </cacheField>
    <cacheField name="-10%" numFmtId="0">
      <sharedItems containsString="0" containsBlank="1" containsNumber="1" minValue="157.2339375" maxValue="372.27089024999998"/>
    </cacheField>
    <cacheField name="0%" numFmtId="0">
      <sharedItems containsString="0" containsBlank="1" containsNumber="1" minValue="174.704375" maxValue="413.6343225"/>
    </cacheField>
    <cacheField name="10%" numFmtId="0">
      <sharedItems containsString="0" containsBlank="1" containsNumber="1" minValue="192.1748125" maxValue="454.99775475000001"/>
    </cacheField>
    <cacheField name="20%" numFmtId="0">
      <sharedItems containsString="0" containsBlank="1" containsNumber="1" minValue="209.64525" maxValue="496.36118699999997"/>
    </cacheField>
    <cacheField name="30%" numFmtId="0">
      <sharedItems containsString="0" containsBlank="1" containsNumber="1" minValue="227.11568750000001" maxValue="537.72461925000005"/>
    </cacheField>
    <cacheField name="DF -30%" numFmtId="0">
      <sharedItems containsString="0" containsBlank="1" containsNumber="1" minValue="-632367.38068593759" maxValue="1239589.3861436401"/>
    </cacheField>
    <cacheField name="DF -20%" numFmtId="0">
      <sharedItems containsString="0" containsBlank="1" containsNumber="1" minValue="-421578.25379062508" maxValue="826392.92409575952"/>
    </cacheField>
    <cacheField name="DF -10%" numFmtId="0">
      <sharedItems containsString="0" containsBlank="1" containsNumber="1" minValue="-210789.12689531254" maxValue="413196.46204788005"/>
    </cacheField>
    <cacheField name="DF 0%" numFmtId="0">
      <sharedItems containsString="0" containsBlank="1" containsNumber="1" containsInteger="1" minValue="0" maxValue="0"/>
    </cacheField>
    <cacheField name="DF 10%" numFmtId="0">
      <sharedItems containsString="0" containsBlank="1" containsNumber="1" minValue="-413196.46204788063" maxValue="210789.12689531254"/>
    </cacheField>
    <cacheField name="DF 20%" numFmtId="0">
      <sharedItems containsString="0" containsBlank="1" containsNumber="1" minValue="-826392.92409575952" maxValue="421578.25379062508"/>
    </cacheField>
    <cacheField name="DF 30%" numFmtId="0">
      <sharedItems containsString="0" containsBlank="1" containsNumber="1" minValue="-1239589.3861436401" maxValue="632367.38068593759"/>
    </cacheField>
    <cacheField name="-30%2" numFmtId="0">
      <sharedItems containsString="0" containsBlank="1" containsNumber="1" containsInteger="1" minValue="0" maxValue="0"/>
    </cacheField>
    <cacheField name="-20%3" numFmtId="0">
      <sharedItems containsString="0" containsBlank="1" containsNumber="1" containsInteger="1" minValue="0" maxValue="0"/>
    </cacheField>
    <cacheField name="-10%4" numFmtId="0">
      <sharedItems containsString="0" containsBlank="1" containsNumber="1" containsInteger="1" minValue="0" maxValue="0"/>
    </cacheField>
    <cacheField name="0%5" numFmtId="0">
      <sharedItems containsString="0" containsBlank="1" containsNumber="1" containsInteger="1" minValue="0" maxValue="0"/>
    </cacheField>
    <cacheField name="10%6" numFmtId="0">
      <sharedItems containsString="0" containsBlank="1" containsNumber="1" minValue="-33162.416695800057" maxValue="52582.367912760266"/>
    </cacheField>
    <cacheField name="20%7" numFmtId="0">
      <sharedItems containsString="0" containsBlank="1" containsNumber="1" minValue="-88449.777813599969" maxValue="153089.61543792"/>
    </cacheField>
    <cacheField name="30%8" numFmtId="0">
      <sharedItems containsString="0" containsBlank="1" containsNumber="1" minValue="-150653.37155778008" maxValue="253596.86296308014"/>
    </cacheField>
    <cacheField name="-30%22" numFmtId="0">
      <sharedItems containsString="0" containsBlank="1" containsNumber="1" containsInteger="1" minValue="0" maxValue="0"/>
    </cacheField>
    <cacheField name="-20%33" numFmtId="0">
      <sharedItems containsString="0" containsBlank="1" containsNumber="1" containsInteger="1" minValue="0" maxValue="0"/>
    </cacheField>
    <cacheField name="-10%44" numFmtId="0">
      <sharedItems containsString="0" containsBlank="1" containsNumber="1" containsInteger="1" minValue="0" maxValue="0"/>
    </cacheField>
    <cacheField name="0%55" numFmtId="0">
      <sharedItems containsString="0" containsBlank="1" containsNumber="1" containsInteger="1" minValue="0" maxValue="0"/>
    </cacheField>
    <cacheField name="10%66" numFmtId="0">
      <sharedItems containsString="0" containsBlank="1" containsNumber="1" minValue="-1769.0400000000002" maxValue="2449.44"/>
    </cacheField>
    <cacheField name="20%77" numFmtId="0">
      <sharedItems containsString="0" containsBlank="1" containsNumber="1" minValue="-1769.0400000000002" maxValue="2449.44"/>
    </cacheField>
    <cacheField name="30%88" numFmtId="0">
      <sharedItems containsString="0" containsBlank="1" containsNumber="1" minValue="-1769.0400000000002" maxValue="2449.44"/>
    </cacheField>
    <cacheField name="delta teorico " numFmtId="43">
      <sharedItems containsString="0" containsBlank="1" containsNumber="1" minValue="-10069.92" maxValue="12065.47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rancisco Zanczuk" refreshedDate="46000.649606712963" createdVersion="8" refreshedVersion="8" minRefreshableVersion="3" recordCount="1081" xr:uid="{524FC266-F99F-4EE7-8079-B55C29791D6C}">
  <cacheSource type="worksheet">
    <worksheetSource ref="A3:G1084" sheet="CC vb"/>
  </cacheSource>
  <cacheFields count="7">
    <cacheField name="Comitente (Número)" numFmtId="0">
      <sharedItems containsSemiMixedTypes="0" containsString="0" containsNumber="1" containsInteger="1" minValue="4" maxValue="9003"/>
    </cacheField>
    <cacheField name="Comitente (Denominación)" numFmtId="0">
      <sharedItems count="527">
        <s v="Satus Ager SA"/>
        <s v="COMAFI BURSATIL SA"/>
        <s v="GALICIA SECURITIES SAU"/>
        <s v="ENRIQUE R. ZENI Y CIA SACIAFEI"/>
        <s v="TRANSATLANTICA SA BURSATIL"/>
        <s v="BACS SA SG TT TORONTO TRUST"/>
        <s v="ADCAP SECURITIES ARGENTINA SA"/>
        <s v="COHEN SA"/>
        <s v="MAX CAPITAL SA"/>
        <s v="BACS SA SG TORONTO TRUST RENTA FIJA FCI"/>
        <s v="LA MINGA SRL"/>
        <s v="BCSA SD GALILEO ABIERTO PYMES"/>
        <s v="GERMINAGRO S.A"/>
        <s v="VALO SECURITIES SAU"/>
        <s v="CONFIDAS CAPITAL S.A."/>
        <s v="ALLARIA LEDESMA &amp; CÍA S.A."/>
        <s v="AR PARTNERS S.A."/>
        <s v="BACS BANCO DE CRÉDITO Y SECURITIZACIÓN S.A."/>
        <s v="BALANZ CAPITAL VALORES S.A.U."/>
        <s v="LBO S.A."/>
        <s v="PETRINI VALORES S.A."/>
        <s v="AGUSTI LEANDRO MARCELO"/>
        <s v="BLUELAKE CAPITAL S.A."/>
        <s v="SUSMAN ADA"/>
        <s v="EL GUAYACAN SRL"/>
        <s v="NICOLA FEDERICO GASPAR"/>
        <s v="Pharos Capital S.A."/>
        <s v="COOPERATIVA AGRICOLA GANADERA LEON SOLA LTDA"/>
        <s v="DON CAPITAL SA"/>
        <s v="TRIEL S.A."/>
        <s v="GALVEZ CEREALES S. A."/>
        <s v="EL MALINCHE S.A.S"/>
        <s v="ALBERTO CROSSETTI SA"/>
        <s v="ESTABLECIMIENTO DO#A JULIA SOCIEDAD ANONIMA"/>
        <s v="LA TROJA AGRO SOCIEDAD ANONIMA"/>
        <s v="MARCOS ALEJANDRO NOYA"/>
        <s v="FIWIND CAPITAL SA"/>
        <s v="ARMENDARIZ GUSTAVO GABRIEL JESU"/>
        <s v="LANOLEC INVERSIONES SA"/>
        <s v="NICOLA IGNACIO MARTIN"/>
        <s v="LUIS DODERO AGRO SA"/>
        <s v="GRUPO EL JAQUE S.A."/>
        <s v="TAZZIOLI PATRICIA, BIOLATO LUCIANA"/>
        <s v="FUERTES RAQUEL P DE Y OTROS SOC.CAPI SECC IV"/>
        <s v="DA VALORES S.A."/>
        <s v="CONO SUR INVERSIONES SA"/>
        <s v="INDUSTRIAL VALORES SA"/>
        <s v="BCSA SD GALILEO ARGENTINA"/>
        <s v="BACS SA SG TT RENTA FIJA PLUS"/>
        <s v="BACS SA SG TT ABIERTO PYMES"/>
        <s v="BACS SA SG TT GLOBAL CAPITAL"/>
        <s v="CRITERIA AN SA"/>
        <s v="PUENTE HNOS SA"/>
        <s v="ROSENTAL SA"/>
        <s v="ROSARIO VALORES SA"/>
        <s v="CUCCHIARA Y CIA. S.A."/>
        <s v="BANCO COMAFI SA"/>
        <s v="MURATURE SOFIA"/>
        <s v="ROCIO VICENTIN"/>
        <s v="NASINI SA"/>
        <s v="BCSA SD GALILEO EVENT DRIVEN"/>
        <s v="LOGRANDO AMIGOS SRL"/>
        <s v="SALORT FERNANDO GABRIEL"/>
        <s v="SILAJES SAS"/>
        <s v="CHIARAVIGLIO HNOS SRL"/>
        <s v="TRA SAS"/>
        <s v="TISCORNIA NOEL VICTORIA"/>
        <s v="JJST SAS"/>
        <s v="PAREDES CEREALES SOCIEDAD ANONIMA"/>
        <s v="CORONEL ROBERTO EDUARDO"/>
        <s v="HERMIDA ZAPIOLA SANTIAGO"/>
        <s v="DIORSEM SA"/>
        <s v="LINEUP GRAIN SA"/>
        <s v="AGROPEMAR SRL"/>
        <s v="AGRONASAJA SRL"/>
        <s v="FIDECAL SRL"/>
        <s v="LA LUCILA SA"/>
        <s v="JALA LA JUANITA SA"/>
        <s v="LACAU Y CIA SA"/>
        <s v="AGERAUSTRAL SA"/>
        <s v="COMERCIAL Y GANADERA DEL NIRIHUAU SA"/>
        <s v="AGUIRRE JOSE MARIA"/>
        <s v="Aguirre Luis Felipe Bernardo"/>
        <s v="MARIO A BERISSO SOC EN COM POR ACCIONES"/>
        <s v="CERVIGNI MARCELO RAUL"/>
        <s v="CERVIGNI CLAUDIA ELIZABETH"/>
        <s v="CERVIGNI NATALIA ANDREA"/>
        <s v="IZCO SAS"/>
        <s v="DESARROLLOS AGRICOLAS DEL SUR SRL"/>
        <s v="PETROAGRO SOCIEDAD ANONIMA"/>
        <s v="GRIVEO SA"/>
        <s v="INDUSTRIAS RURALES SRL"/>
        <s v="ARECO SEMILLAS SA"/>
        <s v="COSECHAS ARGENTINAS SA"/>
        <s v="FIORE HERNAN"/>
        <s v="SPECIAL GRAINS S A"/>
        <s v="CENTRO INTEGRAL DE TRANSFORMACION AGROPECUARIA SRL"/>
        <s v="TATAT Agroservicios SA"/>
        <s v="CERVIGNI HNOS SA"/>
        <s v="EZCURRA MIGUEL MARTIN"/>
        <s v="MARCHI LUIS MIGUEL"/>
        <s v="LA CHAMPA SA"/>
        <s v="Fideicomiso Bonterra I"/>
        <s v="ROUSPIL S.A."/>
        <s v="FERRERO ALDO ROBERTO"/>
        <s v="OILCO SA"/>
        <s v="BETA SCA"/>
        <s v="AGROPECUARIA LAS COLORADAS SA"/>
        <s v="AGUIRRE JOSE MARIA FRANCISCO (CERA)"/>
        <s v="AGUIRRE LUIS FELIPE BERNARDO (CERA)"/>
        <s v="SALSA SA"/>
        <s v="AGRIJO SOCIEDAD ANONIMA"/>
        <s v="EDUARDO BERAZA SA"/>
        <s v="EL PICAFLOR SRL"/>
        <s v="CARRETTONI JULIO ALBERTO"/>
        <s v="AGROPECUARIA EL CALI SOCIEDAD ANONIMA"/>
        <s v="CALABRIA ANDRES AGUSTIN"/>
        <s v="CINCO DE JUNIO SA"/>
        <s v="AGROPECUARIA EL SALADO SA"/>
        <s v="LOS MEDANOS SCA"/>
        <s v="SAN PEDRO AGROPECUARIA SA"/>
        <s v="CANTON SUIZO SA"/>
        <s v="EL PRETEXTO SA"/>
        <s v="Dieciocho de Agosto Sociedad Anonima"/>
        <s v="CDM AGROPECUARIA SA"/>
        <s v="MONTE OVEJERO SCA"/>
        <s v="Agronoble SA"/>
        <s v="Ninci Aguero S.A."/>
        <s v="TRES ESTRELLAS SA"/>
        <s v="SOLFANELLI Y CRAGNOLINI PABLO GUILLERMO"/>
        <s v="ARGEO SRL"/>
        <s v="MIRU AGROPECUARIA SRL"/>
        <s v="SARTORI MILAGROS"/>
        <s v="SARTORI ALBERTO FRANCISCO"/>
        <s v="AGROMIX SA"/>
        <s v="DOMINGUEZ JORGE MARCELO"/>
        <s v="GIACUZZI MARTIN GABRIEL"/>
        <s v="JERILDERIE SA"/>
        <s v="LABAQUE AGROPECUARIA SA"/>
        <s v="ESTANCIAS DEL TOTORAL SA"/>
        <s v="GRASSINO JUAN CARLOS"/>
        <s v="HAYKE SA"/>
        <s v="ROMERO OSCAR GUSTAVO"/>
        <s v="AGRO COLIBRI SRL"/>
        <s v="YERUTI SA"/>
        <s v="EL TATA S.R.L"/>
        <s v="DOMAGRO SA"/>
        <s v="S.V.T. EMPRENDIMIENTOS S.A."/>
        <s v="MIOTTI LORENA ALEJANDRA"/>
        <s v="MAS AGRO CENTRO SAS"/>
        <s v="GUAYACAN DE ANTA SA"/>
        <s v="MAGNANO PABLO FABIAN"/>
        <s v="FLOOD ANDRES"/>
        <s v="TAY MARIA TERESA"/>
        <s v="MURATURE ONCATIVO SA"/>
        <s v="PRONOR SA"/>
        <s v="Puerto Arroyo Seco SA"/>
        <s v="Riboldi S.A."/>
        <s v="HECTOR A. BERTONE S.A"/>
        <s v="Conci SRL"/>
        <s v="TOMAS HNOS Y CIA SA"/>
        <s v="LA RURAL S.R.L."/>
        <s v="DIVISION AGROPECUARIA S.A."/>
        <s v="MAIOCCO CEREALES SA"/>
        <s v="PAGO VIEJO SOCIEDAD ANONIMA"/>
        <s v="LIAG ARGENTINA SAU"/>
        <s v="PRIGIONI AGRO SRL"/>
        <s v="AGRO PRECISA SA"/>
        <s v="AHC SA"/>
        <s v="LA ZULEMA SA"/>
        <s v="H &amp; H OUTFITTERS SA"/>
        <s v="El Barrial SA"/>
        <s v="ESTANCIA LA MADRUGADA SA"/>
        <s v="SAN LORENZO SA"/>
        <s v="AGROPECUARIA LA COSECHA SA"/>
        <s v="EL NORTE CORDOBES SRL"/>
        <s v="DUTTO OSCAR HECTOR LUIS"/>
        <s v="RODRIGUEZ LUIS MARIA"/>
        <s v="SURI YACO S.R.L."/>
        <s v="VILUCO SA"/>
        <s v="CULTIVOS SERI SA"/>
        <s v="RCM SA"/>
        <s v="JUAMARITA SA"/>
        <s v="LIPSA SRL"/>
        <s v="REMIS NICOLAS"/>
        <s v="AGROSUDESTE SA"/>
        <s v="Menzio S.R.L."/>
        <s v="LA UNION DEL SUR S A"/>
        <s v="RUBIO MANUEL EDUARDO"/>
        <s v="ESTACION 226 AGRO SRL"/>
        <s v="AGRO IN SRL"/>
        <s v="ANIBAL MOSCHEN HERMANOS SA"/>
        <s v="GP AGRO SA"/>
        <s v="MELCHIORI HNOS SA"/>
        <s v="INNOVACION ONCATIVO S.A."/>
        <s v="ESTANCIAS SAN AGUSTIN SCA"/>
        <s v="SPEEDAGRO SRL"/>
        <s v="DIAZ OMAR FABIAN"/>
        <s v="LOS TACURUCES SA"/>
        <s v="PONCE MICINO RENE ARNALDO LEONEL"/>
        <s v="Martin Rafael Raimundo"/>
        <s v="FIORDANI RENZI CEREALES S.A."/>
        <s v="ESTABLECIMIENTO AGRICOLA GANADERO SAN IGNACIO SRL"/>
        <s v="TAGUAY SA"/>
        <s v="GARMAT SA"/>
        <s v="RUAS AGROPECUARIA S A"/>
        <s v="UDS AGRO SRL"/>
        <s v="GARAGRO SOCIEDAD ANONIMA"/>
        <s v="AMBROGIO MARTIN"/>
        <s v="GEOBIOS SRL"/>
        <s v="HARAS LA QUEBRADA SA"/>
        <s v="CIGORRAGA NICOLAS"/>
        <s v="CIGORRAGA ANDRES"/>
        <s v="BERNARD RAUL PABLO"/>
        <s v="NUIC GUILLERMO Y CRISTIAN SA"/>
        <s v="AGROPECUARIA GUATAN SA"/>
        <s v="DOMINGO BLAS ALEJANDRO"/>
        <s v="GRACAGRO SA"/>
        <s v="AGROINVERSIONES ALS S.A.S."/>
        <s v="GALARCE GASTON"/>
        <s v="TINAREN SA"/>
        <s v="MONTANARI ROMAN"/>
        <s v="CAYOL MARCOS"/>
        <s v="CARMAN JUAN CRUZ"/>
        <s v="LOS BAGUALITOS SRL"/>
        <s v="PRIOTTI NANCY MARIA"/>
        <s v="BERNARD RAUL PABLO y BERNARD PABLO APARICIO"/>
        <s v="TILO PAMPA SA"/>
        <s v="MSU SA"/>
        <s v="MARCHESI JUAN CARLOS"/>
        <s v="VITERRA ARGENTINA SA"/>
        <s v="GEAR SAAICFEI"/>
        <s v="LARTIRIGOYEN Y CIA. SA"/>
        <s v="Terrapampa S.A."/>
        <s v="PLUMA DE PATO S.A."/>
        <s v="ADMINISTRACION AGRICOLA S. A."/>
        <s v="INVERSIONES FINANCIERAS DEL SUR S.A."/>
        <s v="AGROPECUARIA CATRILO SA"/>
        <s v="MUCHIUT VIVIANA MILENA, MUCHIUT CECILIA MARIA"/>
        <s v="UNION AGRICOLA DE AVELLANEDA COOP LTDA"/>
        <s v="LARTIRIGOYEN IGNACIO"/>
        <s v="ALFREDO S. MONDINO CEREALES SRL"/>
        <s v="BERNARD RAUL PABLO (SCOUT)"/>
        <s v="MURATURE DIEGO, SYLVESTRE BEGNIS CRISTINA"/>
        <s v="ATS AGRO S.A."/>
        <s v="PARAKEET CAPITAL SA"/>
        <s v="SYNGENTA AGRO SA"/>
        <s v="NUÑEZ GIORGETTI MARIANO ENRIQUE"/>
        <s v="LATTUGA GISELLE JAQUELINA"/>
        <s v="SIECON SA"/>
        <s v="FYOFOODS SAU"/>
        <s v="CN AGRO SA"/>
        <s v="BOIX JUAN ESTEBAN"/>
        <s v="CGM AGRO SAS"/>
        <s v="FUTUROS Y OPCIONES.COM SA"/>
        <s v="LARTIRIGOYEN &amp; OROMI SA"/>
        <s v="EL TEGUA SAS"/>
        <s v="FYO ACOPIO S.A."/>
        <s v="SEDMAK PABLO MIGUEL"/>
        <s v="CASANOVA RICARDO"/>
        <s v="FALABELLA JUAN GUILLERMO"/>
        <s v="SANTIAGO HUMBERTO HUGO"/>
        <s v="POTENCIAR SGR"/>
        <s v="MACCAGNO AGUSTIN DANIEL"/>
        <s v="MACCAGNO NICOLAS"/>
        <s v="SOBRERO JUAN MIGUEL"/>
        <s v="MAIOCCO ALEJANDRO EZEQUIEL"/>
        <s v="BERNARD BLANCA BEATRIZ"/>
        <s v="IMOLA ABEL ELILIO ANTONIO"/>
        <s v="BANCO INDUSTRIAL SA IAM RENTA BALANCEADA"/>
        <s v="COTELLA JUAN CARLOS"/>
        <s v="MSU SERVICIOS SA"/>
        <s v="Capital Markets Argentina SA"/>
        <s v="EL BAGRE SRL"/>
        <s v="FRIGORIFICO DE AVES SOYCHU SAICFIA"/>
        <s v="BELOTTINI GUILLERMO LUIS"/>
        <s v="GOMEZ EZEQUIEL MATIAS"/>
        <s v="MEINERO ALFREDO"/>
        <s v="GMC VALORES SA"/>
        <s v="OVALLE MARIA BEATRIZ"/>
        <s v="MURATURE YARI"/>
        <s v="WIN SECURITIES SA"/>
        <s v="STONEX SECURITIES SA"/>
        <s v="INVERTIR EN BOLSA SA"/>
        <s v="GDM ARGENTINA SA"/>
        <s v="AYERZA ALEJANDRO"/>
        <s v="BELAUSTEGUI RICARDO CRISTIAN"/>
        <s v="BELLAMAR ESTANCIAS SA"/>
        <s v="ROTAMAR AGRICOLA GANADERA SA"/>
        <s v="AGROPECUARIA LA CELINA SA"/>
        <s v="IRSA INVERSIONES Y REPRESENTACIONES SA"/>
        <s v="AGROFY GLOBAL SOCIEDAD LIMITADA POR ACCIONES"/>
        <s v="CARLOS BOERO ROMANO SAIC"/>
        <s v="GRANERO SRL"/>
        <s v="Agrofy SAU"/>
        <s v="Los Bayos SA"/>
        <s v="AGROPECUARIA LOS TRES VASCOS SA"/>
        <s v="GRUPO CONSTRUCTOR BUENOS AIRES ROSARIO SA"/>
        <s v="OPTION SECURITIES SA"/>
        <s v="CORTONDO SERGIO DANIEL"/>
        <s v="SANTANGELO CLAUDIO ROBERTO"/>
        <s v="SANTANGELO FRANCISCO VICTOR"/>
        <s v="BORLA ULDERICO CARLOS"/>
        <s v="Agro Ganadera Vicen SRL"/>
        <s v="EL CHELFORO SRL"/>
        <s v="FIDEICOMISO AGROPECUARIO PEYRANO"/>
        <s v="CEREALES DEC SA"/>
        <s v="CABAÑA LA PASTORAL S A"/>
        <s v="GARCIA NICOLAS"/>
        <s v="FUMISEM SA"/>
        <s v="DOLCINI SUSANA LIDIA"/>
        <s v="SOJAS ARGENTINAS SRL"/>
        <s v="THE COMPUTER SRL"/>
        <s v="INMAGAR SA"/>
        <s v="AGROVERAZ S.A."/>
        <s v="MATIAS AYERZA SAS"/>
        <s v="EL AZAR SA"/>
        <s v="Semillero Catriel SA"/>
        <s v="LA TAJADA SAACEI"/>
        <s v="YABITO SA"/>
        <s v="A &amp; T Y ASOCIADOS SA"/>
        <s v="FELIPE CROSETTI SA"/>
        <s v="CAVAGLIA MAURICIO GUSTAVO"/>
        <s v="GESAGRO SA"/>
        <s v="GRANOS Y SEMILLAS SA"/>
        <s v="El Mirador de Lincoln SA"/>
        <s v="TERRA VERDE AGRO INSUMOS S.A."/>
        <s v="GRANOS DEL PLATA SRL"/>
        <s v="FERIAS DEL NORTE SACIA"/>
        <s v="FLOR DEL CARDO SRL"/>
        <s v="GALEAZZI SA"/>
        <s v="ESTANCIA TRES BONETES SAU"/>
        <s v="BALDUCCHI JUAN JOSE"/>
        <s v="Balducchi MIguel Angel"/>
        <s v="CAMPO ALEGRE SA"/>
        <s v="MOLINO CHABAS SA"/>
        <s v="FAIN HECTOR E Y GUSTAVO RICARDO Y SERGIO DANIEL SA"/>
        <s v="MAN AGRO SA"/>
        <s v="TOSQUITA CEREALES S.A"/>
        <s v="VILLA MARIA CEREALES SRL"/>
        <s v="PRO DE MAN SA"/>
        <s v="SURSUNCORSA SAS"/>
        <s v="TRANSAGRO SA"/>
        <s v="BIOLATO LUCIANA EDITH"/>
        <s v="BIOLATO LEANDRO MARTIN"/>
        <s v="TAZZIOLI PATRICIA MONICA"/>
        <s v="MANASSERO HNOS SRL"/>
        <s v="GLYCINEMAX SA"/>
        <s v="EL ESTERO SA"/>
        <s v="MATILDE Y ALICIA CAMUYRANO SA"/>
        <s v="CAMUYRANO ALICIA"/>
        <s v="VIDAL CARLOS ALFREDO"/>
        <s v="GL SEMILLAS SA"/>
        <s v="AGRO COTTON SA"/>
        <s v="LEDESMA SAAI"/>
        <s v="ZANOY AGRO &amp; SERVICIOS SA"/>
        <s v="MYMSA AGRONEGOCIOS SA"/>
        <s v="SIMIENTE S.A."/>
        <s v="KELYMAR SA"/>
        <s v="BEARZOTTI LELIO ALFREDO"/>
        <s v="ESKEL SA"/>
        <s v="SIGMA AGRO SA"/>
        <s v="ESTABLECIMIENTOS LA NEGRA SA"/>
        <s v="GARINO FABIAN JORGE"/>
        <s v="GARINO CEREALES SRL"/>
        <s v="ESTELA DELLAROSSA SA"/>
        <s v="FONTANELLAS WALTER ARIEL"/>
        <s v="PM ORIGEN SA"/>
        <s v="GDEA SA"/>
        <s v="MERLO Y MANAVELLA SA"/>
        <s v="CINGOLANI FERNANDO LUIS"/>
        <s v="TACUAREMBO SA"/>
        <s v="MIL SOLES SRL"/>
        <s v="GRUPO DEL SUR SRL"/>
        <s v="BC SA SD ZOFINGEN DOLLAR LINKED"/>
        <s v="BC SA SD ZOFINGEN FACTORING ABIERTO PYME"/>
        <s v="CRESUD S A COMERCIAL INMOBILIARIA FINANCIERA Y AGROPECUARIA"/>
        <s v="ARG DE GRAAF SA"/>
        <s v="BCSA SD GALILEO FCI MULTIMERCADO II"/>
        <s v="BCSA SD ZOFINGEN PESOS 24"/>
        <s v="ZOFINGEN INFRAESTRUCTURA FCI ABIERTO"/>
        <s v="MANTRA SA"/>
        <s v="FCI GALILEO AHORRO"/>
        <s v="FCI GALILEO AHORRO PLUS"/>
        <s v="DESVIO FUNKE SRL"/>
        <s v="AGRICULTORES GANADEROS VILLA CANAS SRL"/>
        <s v="MONTE DEL GATO SA"/>
        <s v="ALEA Y CIA SOCIEDAD ANONIMA"/>
        <s v="MARTIN LUCAS HORACIO"/>
        <s v="ATANOR SOCIEDAD EN COMANDITA POR ACCIONES"/>
        <s v="BULL MARKET BROKERS SA"/>
        <s v="MORIXE HERMANOS SACI"/>
        <s v="FIRST CAPITAL MARKET SA"/>
        <s v="MANEXA S.A"/>
        <s v="ZAMPIERI RAUL"/>
        <s v="TECNO AIRE SRL"/>
        <s v="INSUMOS DEL CENTRO SA"/>
        <s v="FIORDANI DOUGLAS"/>
        <s v="CEREALES 25 DE MAYO SA"/>
        <s v="INTEGRAL ACOPIO SRL"/>
        <s v="AGRO LEBEN SRL"/>
        <s v="ESPINDOLA RAUL RAMON"/>
        <s v="PONZIO JOSE ADRIAN"/>
        <s v="ESPARTINA SA"/>
        <s v="GMA CAPITAL SA"/>
        <s v="BVSA SD PARAKEET RENTA PESOS FCI"/>
        <s v="S&amp;C INVERSIONES SA"/>
        <s v="PORTFOLIO INVESTMENT SA"/>
        <s v="BANCO DE VALORES SA"/>
        <s v="PAMPA BIO SA"/>
        <s v="RURAL CERES SA"/>
        <s v="RUBEN ANTONIO GHERGO SRL"/>
        <s v="INVIU SAU"/>
        <s v="COCOS CAPITAL SA"/>
        <s v="LEON RABEY E HIJOS SRL"/>
        <s v="BVSA SD ST PYMES FCI ABIERTO PYME"/>
        <s v="LALLI MIGUEL ANGEL"/>
        <s v="BVSA SD SMSV RENTA EN PESOS FCI"/>
        <s v="BEARZOTTI GABRIEL CRISTIAN"/>
        <s v="PEREZ BRUGIAFREDDO ALEXIS"/>
        <s v="COLOMBATTO BERNARDO VALENTIN"/>
        <s v="COFCO INTERNATIONAL ARGENTINA SA"/>
        <s v="GARCIA JOSE LUIS"/>
        <s v="OBRING SA"/>
        <s v="FOGANTE GERMAN ARIEL"/>
        <s v="PELAYO AGRONOMIA SA"/>
        <s v="GIMBATTI FERNANDO DIEGO"/>
        <s v="GALLEANO GUSTAVO EDUARDO"/>
        <s v="ELORZA AGRO SRL"/>
        <s v="MANIAGRO SA"/>
        <s v="BEARZOTTI DELFINA"/>
        <s v="PROLIP SRL"/>
        <s v="R J GAGLIARDO S A"/>
        <s v="COOPERATIVA DE TAMBEROS LA TORDILLA LTDA"/>
        <s v="SANTA MORENA SA"/>
        <s v="CAIO BIBILONI Y CIA S.R.L."/>
        <s v="FIDEICOMISO BENEVENTO"/>
        <s v="FIORDANI CAROLA"/>
        <s v="GUAZZARONI GRECO SA"/>
        <s v="CEREALISTA MOLDES SA"/>
        <s v="VG SA"/>
        <s v="RUBIO AGUIRRE MANUEL JULIÁN"/>
        <s v="ACOPIO BALCARCE SA"/>
        <s v="CUSILLOS SRL"/>
        <s v="AGRO URANGA SA"/>
        <s v="DON OSVALDO SA"/>
        <s v="GAGLIARDO AGRICOLA GANADERA S.A."/>
        <s v="DOMINGO R Y NESTOR SCIOLI SA"/>
        <s v="SOUTHERN SEEDS PRODUCTION SA (CERA)"/>
        <s v="AVANZAR  S. A."/>
        <s v="BUFI JORGE DOMINGO"/>
        <s v="AGROPECUARIA CARPEDIEM S.A"/>
        <s v="SOUTHERN SEEDS PRODUCTION S.A."/>
        <s v="MARTINEZ MARCELO DANIEL"/>
        <s v="RATTO OSCAR EDUARDO, LOSINNO BEATRIZ NORMA"/>
        <s v="COOPERATIVA AGRICOLA GANADERA Y DE SERVICIOS PUBLICOS ARANGUREN LTDA. (COOPAR)"/>
        <s v="AGROPECUARIA CARPEDIEM SA (CERA)"/>
        <s v="PERONI JUAN CARLOS"/>
        <s v="S.L.AGRO NECOCHEA SRL"/>
        <s v="DON ISIDRO SA"/>
        <s v="AGROLAM SA"/>
        <s v="GAVIÑA GOMEZ VALENTIN"/>
        <s v="AGROPECUARIA SUR SA"/>
        <s v="SEMILLERA FUERTES S A"/>
        <s v="LAS LAGUNAS Y ASOCIADOS SA"/>
        <s v="FIDEICOMISO CHACRAS DE LA VANGUARDIA" u="1"/>
        <s v="ZORZON MARCELO" u="1"/>
        <s v="BRUERA Y SUSMAN S.R.L." u="1"/>
        <s v="AGROIDEAS S A" u="1"/>
        <s v="BINDU SRL" u="1"/>
        <s v="MENTUCCI RAFAEL DARIO" u="1"/>
        <s v="AGROTORRESI SA" u="1"/>
        <s v="ESTANCIA LA CARRETA SA" u="1"/>
        <s v="FRIGORIFICO ENTRERRIANO DE PRODUCTORES AVICOLAS SA" u="1"/>
        <s v="METALFOR SA" u="1"/>
        <s v="BIOMAGNA SA" u="1"/>
        <s v="LUNALAND S.R.L." u="1"/>
        <s v="MASSOUD JORGE ELIAS" u="1"/>
        <s v="AGL SA" u="1"/>
        <s v="CONO SA" u="1"/>
        <s v="ESTABLECIMIENTO DON AVELINO SRL" u="1"/>
        <s v="BERTOSSI DIEGO RUBEN" u="1"/>
        <s v="BRIACCHI MARTINA BETIANA" u="1"/>
        <s v="LARROQUE CEREALES SRL" u="1"/>
        <s v="ACOPIO AREQUITO SA" u="1"/>
        <s v="BCSA SD ZOFINGEN Pesos24" u="1"/>
        <s v="BVSA SD SMSV RENTA EN PesosFCI" u="1"/>
        <s v="BUNGE ARGENTINA SA" u="1"/>
        <s v="CERROS SERVICIOS AGRICOLAS S.A." u="1"/>
        <s v="DON PONCIANO SA" u="1"/>
        <s v="AGROTECNOLOGIA Y SERVICIOS SA" u="1"/>
        <s v="AMAUTA AGRO S.A." u="1"/>
        <s v="ADECO AGROPECUARIA SA" u="1"/>
        <s v="BASF ARGENTINA SA" u="1"/>
        <s v="PLANISFERIO SAU" u="1"/>
        <s v="CAMPO FERTIL SRL" u="1"/>
        <s v="M.H. CEREALES S.R.L." u="1"/>
        <s v="VITERRA ACOPIO SA" u="1"/>
        <s v="Centro Agropecuario Modelo S.A." u="1"/>
        <s v="AGROSERVICIOS HUMBOLDT SA" u="1"/>
        <s v="CHIAMBRETTO DANIEL ARGENTINO Y SCHNEIDER GERARDO LUIS SH" u="1"/>
        <s v="CLAUDIO PEREZ CEREALES SA" u="1"/>
        <s v="BIOLATO CEREALES SC" u="1"/>
        <s v="DON OSVALDO Y ASOCIADOS SRL" u="1"/>
        <s v="ZONA RURAL SRL" u="1"/>
        <s v="DON ENRIQUE SRL" u="1"/>
        <s v="TRUCAGRO SRL" u="1"/>
        <s v="RURALCO SOLUCIONES SA" u="1"/>
        <s v="DEL FABRO HNOS Y CIA SA" u="1"/>
        <s v="REALICO AGROSOLUCIONES SRL" u="1"/>
        <s v="FULL AGRO SA" u="1"/>
        <s v="BIOCERES SA" u="1"/>
        <s v="GAVIGLIO COMERCIAL SA" u="1"/>
        <s v="AGROPECUARIA RIO DEL VALLE SA" u="1"/>
        <s v="BCSA SD MAX DINAMICO I FCI" u="1"/>
        <s v="BCSA SD MAX COBERTURA FCI" u="1"/>
        <s v="SCORZIELLO Y GALELLA S.A." u="1"/>
        <s v="DON ITALO S.A." u="1"/>
        <s v="AGROFY PAY S. A. U." u="1"/>
        <s v="SEMENTERAS &amp; CEREALES SA" u="1"/>
        <s v="ALBRECHT AGROPECUARIA S.R.L." u="1"/>
        <s v="PONZIO GUILLERMO DANIEL" u="1"/>
        <s v="SOCIEDAD ANONIMA DE CUATRO" u="1"/>
        <s v="AGRICOM DEPETRIS S.A." u="1"/>
        <s v="HECTOR VIDAL Y ASOC S R L" u="1"/>
        <s v="SOLUCIONES ALDEBARAN AGRO SRL" u="1"/>
        <s v="OPIMUS AGRO S.A." u="1"/>
      </sharedItems>
    </cacheField>
    <cacheField name="Saldo Disponible" numFmtId="43">
      <sharedItems containsSemiMixedTypes="0" containsString="0" containsNumber="1" minValue="-6679786947.5699997" maxValue="475865822"/>
    </cacheField>
    <cacheField name="Saldo No Disponible" numFmtId="43">
      <sharedItems containsSemiMixedTypes="0" containsString="0" containsNumber="1" minValue="-77263106.859999999" maxValue="207457211"/>
    </cacheField>
    <cacheField name="Moneda (Descripción)" numFmtId="0">
      <sharedItems/>
    </cacheField>
    <cacheField name="Moneda (Símbolo)" numFmtId="0">
      <sharedItems/>
    </cacheField>
    <cacheField name="Cuenta mercado" numFmtId="0">
      <sharedItems containsMixedTypes="1" containsNumber="1" containsInteger="1" minValue="13002" maxValue="2017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5">
  <r>
    <x v="0"/>
    <s v="C"/>
    <s v="O"/>
    <s v="F1"/>
    <s v=".AS-0117026E"/>
    <n v="2786"/>
    <n v="1"/>
    <n v="180000"/>
    <s v="CALL MAY 26 SOYBEANS   1170"/>
    <s v=".15 3/8"/>
    <n v="20250925"/>
    <s v=""/>
    <n v="202605"/>
    <s v=""/>
    <s v="F"/>
    <s v="C"/>
    <n v="1170000000"/>
    <n v="20260424"/>
    <s v=""/>
    <s v="FUTUROS Y OPCIONES.C"/>
  </r>
  <r>
    <x v="1"/>
    <s v="C"/>
    <s v="O"/>
    <s v="F1"/>
    <s v=".AS-0115026C"/>
    <n v="9702"/>
    <n v="2"/>
    <n v="100000"/>
    <s v="CALL MAR 26 SOYBEANS   1150"/>
    <s v=".17 1/8"/>
    <n v="20251205"/>
    <s v=""/>
    <n v="202603"/>
    <s v=""/>
    <s v="F"/>
    <s v="C"/>
    <n v="1150000000"/>
    <n v="20260220"/>
    <s v=""/>
    <s v="FUTUROS Y OPCIONES.C"/>
  </r>
  <r>
    <x v="1"/>
    <s v="C"/>
    <s v="O"/>
    <s v="F1"/>
    <s v=".AS-0118026E"/>
    <n v="3793"/>
    <n v="2"/>
    <n v="100000"/>
    <s v="CALL MAY 26 SOYBEANS   1180"/>
    <s v=".13 3/4"/>
    <n v="20251009"/>
    <s v=""/>
    <n v="202605"/>
    <s v=""/>
    <s v="F"/>
    <s v="C"/>
    <n v="1180000000"/>
    <n v="20260424"/>
    <s v=""/>
    <s v="FUTUROS Y OPCIONES.C"/>
  </r>
  <r>
    <x v="1"/>
    <s v="C"/>
    <s v="O"/>
    <s v="F1"/>
    <s v=".AS-0118026E"/>
    <n v="7368"/>
    <n v="2"/>
    <n v="50000"/>
    <s v="CALL MAY 26 SOYBEANS   1180"/>
    <s v=".16 3/4"/>
    <n v="20251023"/>
    <s v=""/>
    <n v="202605"/>
    <s v=""/>
    <s v="F"/>
    <s v="C"/>
    <n v="1180000000"/>
    <n v="20260424"/>
    <s v=""/>
    <s v="FUTUROS Y OPCIONES.C"/>
  </r>
  <r>
    <x v="1"/>
    <s v="C"/>
    <s v="O"/>
    <s v="F1"/>
    <s v=".AS-0120026E"/>
    <n v="3836"/>
    <n v="2"/>
    <n v="100000"/>
    <s v="CALL MAY 26 SOYBEANS   1200"/>
    <s v=".11 1/8"/>
    <n v="20251009"/>
    <s v=""/>
    <n v="202605"/>
    <s v=""/>
    <s v="F"/>
    <s v="C"/>
    <n v="1200000000"/>
    <n v="20260424"/>
    <s v=""/>
    <s v="FUTUROS Y OPCIONES.C"/>
  </r>
  <r>
    <x v="1"/>
    <s v="C"/>
    <s v="O"/>
    <s v="F1"/>
    <s v=".AS-0120026E"/>
    <n v="7394"/>
    <n v="2"/>
    <n v="50000"/>
    <s v="CALL MAY 26 SOYBEANS   1200"/>
    <s v=".13 3/4"/>
    <n v="20251023"/>
    <s v=""/>
    <n v="202605"/>
    <s v=""/>
    <s v="F"/>
    <s v="C"/>
    <n v="1200000000"/>
    <n v="20260424"/>
    <s v=""/>
    <s v="FUTUROS Y OPCIONES.C"/>
  </r>
  <r>
    <x v="1"/>
    <s v="C"/>
    <s v="O"/>
    <s v="F1"/>
    <s v=".AS-0122026E"/>
    <n v="8416"/>
    <n v="2"/>
    <n v="130000"/>
    <s v="CALL MAY 26 SOYBEANS   1220"/>
    <s v=".30 1/2"/>
    <n v="20251118"/>
    <s v=""/>
    <n v="202605"/>
    <s v=""/>
    <s v="F"/>
    <s v="C"/>
    <n v="1220000000"/>
    <n v="20260424"/>
    <s v=""/>
    <s v="FUTUROS Y OPCIONES.C"/>
  </r>
  <r>
    <x v="1"/>
    <s v="C"/>
    <s v="O"/>
    <s v="F1"/>
    <s v=".AS-0122026E"/>
    <n v="4956"/>
    <n v="2"/>
    <n v="100000"/>
    <s v="CALL MAY 26 SOYBEANS   1220"/>
    <s v=".31"/>
    <n v="20251118"/>
    <s v=""/>
    <n v="202605"/>
    <s v=""/>
    <s v="F"/>
    <s v="C"/>
    <n v="1220000000"/>
    <n v="20260424"/>
    <s v=""/>
    <s v="FUTUROS Y OPCIONES.C"/>
  </r>
  <r>
    <x v="2"/>
    <s v="C"/>
    <s v="O"/>
    <s v="F1"/>
    <s v=".AS-0115026C"/>
    <n v="9710"/>
    <n v="2"/>
    <n v="100000"/>
    <s v="CALL MAR 26 SOYBEANS   1150"/>
    <s v=".17 1/8"/>
    <n v="20251205"/>
    <s v=""/>
    <n v="202603"/>
    <s v=""/>
    <s v="F"/>
    <s v="C"/>
    <n v="1150000000"/>
    <n v="20260220"/>
    <s v=""/>
    <s v="FUTUROS Y OPCIONES.C"/>
  </r>
  <r>
    <x v="2"/>
    <s v="C"/>
    <s v="O"/>
    <s v="F1"/>
    <s v=".AS-0118026E"/>
    <n v="3802"/>
    <n v="2"/>
    <n v="100000"/>
    <s v="CALL MAY 26 SOYBEANS   1180"/>
    <s v=".13 1/2"/>
    <n v="20251009"/>
    <s v=""/>
    <n v="202605"/>
    <s v=""/>
    <s v="F"/>
    <s v="C"/>
    <n v="1180000000"/>
    <n v="20260424"/>
    <s v=""/>
    <s v="FUTUROS Y OPCIONES.C"/>
  </r>
  <r>
    <x v="2"/>
    <s v="C"/>
    <s v="O"/>
    <s v="F1"/>
    <s v=".AS-0118026E"/>
    <n v="7379"/>
    <n v="2"/>
    <n v="50000"/>
    <s v="CALL MAY 26 SOYBEANS   1180"/>
    <s v=".16 3/4"/>
    <n v="20251023"/>
    <s v=""/>
    <n v="202605"/>
    <s v=""/>
    <s v="F"/>
    <s v="C"/>
    <n v="1180000000"/>
    <n v="20260424"/>
    <s v=""/>
    <s v="FUTUROS Y OPCIONES.C"/>
  </r>
  <r>
    <x v="2"/>
    <s v="C"/>
    <s v="O"/>
    <s v="F1"/>
    <s v=".AS-0120026E"/>
    <n v="3846"/>
    <n v="2"/>
    <n v="100000"/>
    <s v="CALL MAY 26 SOYBEANS   1200"/>
    <s v=".11 1/8"/>
    <n v="20251009"/>
    <s v=""/>
    <n v="202605"/>
    <s v=""/>
    <s v="F"/>
    <s v="C"/>
    <n v="1200000000"/>
    <n v="20260424"/>
    <s v=""/>
    <s v="FUTUROS Y OPCIONES.C"/>
  </r>
  <r>
    <x v="2"/>
    <s v="C"/>
    <s v="O"/>
    <s v="F1"/>
    <s v=".AS-0120026E"/>
    <n v="7398"/>
    <n v="2"/>
    <n v="50000"/>
    <s v="CALL MAY 26 SOYBEANS   1200"/>
    <s v=".13 3/4"/>
    <n v="20251023"/>
    <s v=""/>
    <n v="202605"/>
    <s v=""/>
    <s v="F"/>
    <s v="C"/>
    <n v="1200000000"/>
    <n v="20260424"/>
    <s v=""/>
    <s v="FUTUROS Y OPCIONES.C"/>
  </r>
  <r>
    <x v="2"/>
    <s v="C"/>
    <s v="O"/>
    <s v="F1"/>
    <s v=".AS-0122026E"/>
    <n v="8421"/>
    <n v="2"/>
    <n v="130000"/>
    <s v="CALL MAY 26 SOYBEANS   1220"/>
    <s v=".30 1/2"/>
    <n v="20251118"/>
    <s v=""/>
    <n v="202605"/>
    <s v=""/>
    <s v="F"/>
    <s v="C"/>
    <n v="1220000000"/>
    <n v="20260424"/>
    <s v=""/>
    <s v="FUTUROS Y OPCIONES.C"/>
  </r>
  <r>
    <x v="2"/>
    <s v="C"/>
    <s v="O"/>
    <s v="F1"/>
    <s v=".AS-0122026E"/>
    <n v="4964"/>
    <n v="2"/>
    <n v="100000"/>
    <s v="CALL MAY 26 SOYBEANS   1220"/>
    <s v=".31"/>
    <n v="20251118"/>
    <s v=""/>
    <n v="202605"/>
    <s v=""/>
    <s v="F"/>
    <s v="C"/>
    <n v="1220000000"/>
    <n v="20260424"/>
    <s v=""/>
    <s v="FUTUROS Y OPCIONES.C"/>
  </r>
  <r>
    <x v="3"/>
    <s v="C"/>
    <s v="O"/>
    <s v="F1"/>
    <s v=".AS-0118026E"/>
    <n v="3809"/>
    <n v="2"/>
    <n v="100000"/>
    <s v="CALL MAY 26 SOYBEANS   1180"/>
    <s v=".13 1/2"/>
    <n v="20251009"/>
    <s v=""/>
    <n v="202605"/>
    <s v=""/>
    <s v="F"/>
    <s v="C"/>
    <n v="1180000000"/>
    <n v="20260424"/>
    <s v=""/>
    <s v="FUTUROS Y OPCIONES.C"/>
  </r>
  <r>
    <x v="3"/>
    <s v="C"/>
    <s v="O"/>
    <s v="F1"/>
    <s v=".AS-0118026E"/>
    <n v="7384"/>
    <n v="2"/>
    <n v="50000"/>
    <s v="CALL MAY 26 SOYBEANS   1180"/>
    <s v=".16 3/4"/>
    <n v="20251023"/>
    <s v=""/>
    <n v="202605"/>
    <s v=""/>
    <s v="F"/>
    <s v="C"/>
    <n v="1180000000"/>
    <n v="20260424"/>
    <s v=""/>
    <s v="FUTUROS Y OPCIONES.C"/>
  </r>
  <r>
    <x v="3"/>
    <s v="C"/>
    <s v="O"/>
    <s v="F1"/>
    <s v=".AS-0120026E"/>
    <n v="3852"/>
    <n v="2"/>
    <n v="100000"/>
    <s v="CALL MAY 26 SOYBEANS   1200"/>
    <s v=".11 1/8"/>
    <n v="20251009"/>
    <s v=""/>
    <n v="202605"/>
    <s v=""/>
    <s v="F"/>
    <s v="C"/>
    <n v="1200000000"/>
    <n v="20260424"/>
    <s v=""/>
    <s v="FUTUROS Y OPCIONES.C"/>
  </r>
  <r>
    <x v="3"/>
    <s v="C"/>
    <s v="O"/>
    <s v="F1"/>
    <s v=".AS-0120026E"/>
    <n v="7406"/>
    <n v="2"/>
    <n v="50000"/>
    <s v="CALL MAY 26 SOYBEANS   1200"/>
    <s v=".13 3/4"/>
    <n v="20251023"/>
    <s v=""/>
    <n v="202605"/>
    <s v=""/>
    <s v="F"/>
    <s v="C"/>
    <n v="1200000000"/>
    <n v="20260424"/>
    <s v=""/>
    <s v="FUTUROS Y OPCIONES.C"/>
  </r>
  <r>
    <x v="4"/>
    <s v="C"/>
    <s v="O"/>
    <s v="F1"/>
    <s v=".AS-0119026C"/>
    <n v="2559"/>
    <n v="1"/>
    <n v="40000"/>
    <s v="CALL MAR 26 SOYBEANS   1190"/>
    <s v=".14 7/8"/>
    <n v="20251028"/>
    <s v=""/>
    <n v="202603"/>
    <s v=""/>
    <s v="F"/>
    <s v="C"/>
    <n v="1190000000"/>
    <n v="20260220"/>
    <s v=""/>
    <s v="FUTUROS Y OPCIONES.C"/>
  </r>
  <r>
    <x v="4"/>
    <s v="C"/>
    <s v="O"/>
    <s v="F1"/>
    <s v=".AS-0119026C"/>
    <n v="6085"/>
    <n v="1"/>
    <n v="40000"/>
    <s v="CALL MAR 26 SOYBEANS   1190"/>
    <s v=".13"/>
    <n v="20251030"/>
    <s v=""/>
    <n v="202603"/>
    <s v=""/>
    <s v="F"/>
    <s v="C"/>
    <n v="1190000000"/>
    <n v="20260220"/>
    <s v=""/>
    <s v="FUTUROS Y OPCIONES.C"/>
  </r>
  <r>
    <x v="4"/>
    <s v="C"/>
    <s v="O"/>
    <s v="F1"/>
    <s v=".AS-0120026C"/>
    <n v="1715"/>
    <n v="1"/>
    <n v="40000"/>
    <s v="CALL MAR 26 SOYBEANS   1200"/>
    <s v=".13 1/2"/>
    <n v="20251104"/>
    <s v=""/>
    <n v="202603"/>
    <s v=""/>
    <s v="F"/>
    <s v="C"/>
    <n v="1200000000"/>
    <n v="20260220"/>
    <s v=""/>
    <s v="FUTUROS Y OPCIONES.C"/>
  </r>
  <r>
    <x v="5"/>
    <s v="C"/>
    <s v=""/>
    <s v="F1"/>
    <s v=".AC-0000026C"/>
    <n v="1477"/>
    <n v="1"/>
    <n v="920000"/>
    <s v="MAR 26 CORN"/>
    <s v="4.45 1/2"/>
    <n v="20251030"/>
    <s v=""/>
    <n v="202603"/>
    <s v=""/>
    <s v="F"/>
    <s v=""/>
    <n v="0"/>
    <n v="0"/>
    <s v=""/>
    <s v="FYO ACOPIO SA"/>
  </r>
  <r>
    <x v="5"/>
    <s v="C"/>
    <s v=""/>
    <s v="F1"/>
    <s v=".AC-0000026C"/>
    <n v="3966"/>
    <n v="1"/>
    <n v="950000"/>
    <s v="MAR 26 CORN"/>
    <s v="4.49 3/4"/>
    <n v="20251117"/>
    <s v=""/>
    <n v="202603"/>
    <s v=""/>
    <s v="F"/>
    <s v=""/>
    <n v="0"/>
    <n v="0"/>
    <s v=""/>
    <s v="FYO ACOPIO SA"/>
  </r>
  <r>
    <x v="5"/>
    <s v="C"/>
    <s v=""/>
    <s v="F1"/>
    <s v=".AC-0000026E"/>
    <n v="5040"/>
    <n v="1"/>
    <n v="230000"/>
    <s v="MAY 26 CORN"/>
    <s v="4.48 1/2"/>
    <n v="20250911"/>
    <s v=""/>
    <n v="202605"/>
    <s v=""/>
    <s v="F"/>
    <s v=""/>
    <n v="0"/>
    <n v="0"/>
    <s v=""/>
    <s v="FYO ACOPIO SA"/>
  </r>
  <r>
    <x v="5"/>
    <s v="C"/>
    <s v=""/>
    <s v="F1"/>
    <s v=".AC-0000026G"/>
    <n v="4946"/>
    <n v="1"/>
    <n v="230000"/>
    <s v="JUL 26 CORN"/>
    <s v="4.57"/>
    <n v="20251119"/>
    <s v=""/>
    <n v="202607"/>
    <s v=""/>
    <s v="F"/>
    <s v=""/>
    <n v="0"/>
    <n v="0"/>
    <s v=""/>
    <s v="FYO ACOPIO SA"/>
  </r>
  <r>
    <x v="5"/>
    <s v="C"/>
    <s v=""/>
    <s v="F1"/>
    <s v=".AS-0000026A"/>
    <n v="1276"/>
    <n v="2"/>
    <n v="370000"/>
    <s v="JAN 26 SOYBEANS"/>
    <s v="11.08"/>
    <n v="20251030"/>
    <s v=""/>
    <n v="202601"/>
    <s v=""/>
    <s v="F"/>
    <s v=""/>
    <n v="0"/>
    <n v="0"/>
    <s v=""/>
    <s v="FYO ACOPIO SA"/>
  </r>
  <r>
    <x v="5"/>
    <s v="C"/>
    <s v=""/>
    <s v="F1"/>
    <s v=".AS-0000026A"/>
    <n v="3899"/>
    <n v="2"/>
    <n v="370000"/>
    <s v="JAN 26 SOYBEANS"/>
    <s v="11.55"/>
    <n v="20251117"/>
    <s v=""/>
    <n v="202601"/>
    <s v=""/>
    <s v="F"/>
    <s v=""/>
    <n v="0"/>
    <n v="0"/>
    <s v=""/>
    <s v="FYO ACOPIO SA"/>
  </r>
  <r>
    <x v="5"/>
    <s v="C"/>
    <s v=""/>
    <s v="F1"/>
    <s v=".AS-0000026E"/>
    <n v="7780"/>
    <n v="2"/>
    <n v="200000"/>
    <s v="MAY 26 SOYBEANS"/>
    <s v="10.85 3/4"/>
    <n v="20251023"/>
    <s v=""/>
    <n v="202605"/>
    <s v=""/>
    <s v="F"/>
    <s v=""/>
    <n v="0"/>
    <n v="0"/>
    <s v=""/>
    <s v="FYO ACOPIO SA"/>
  </r>
  <r>
    <x v="5"/>
    <s v="C"/>
    <s v=""/>
    <s v="F1"/>
    <s v=".AS-0000026E"/>
    <n v="8107"/>
    <n v="2"/>
    <n v="450000"/>
    <s v="MAY 26 SOYBEANS"/>
    <s v="10.87"/>
    <n v="20251023"/>
    <s v=""/>
    <n v="202605"/>
    <s v=""/>
    <s v="F"/>
    <s v=""/>
    <n v="0"/>
    <n v="0"/>
    <s v=""/>
    <s v="FYO ACOPIO SA"/>
  </r>
  <r>
    <x v="5"/>
    <s v="C"/>
    <s v=""/>
    <s v="F1"/>
    <s v=".AS-0000026E"/>
    <n v="7453"/>
    <n v="2"/>
    <n v="120000"/>
    <s v="MAY 26 SOYBEANS"/>
    <s v="10.86 1/2"/>
    <n v="20251024"/>
    <s v=""/>
    <n v="202605"/>
    <s v=""/>
    <s v="F"/>
    <s v=""/>
    <n v="0"/>
    <n v="0"/>
    <s v=""/>
    <s v="FYO ACOPIO SA"/>
  </r>
  <r>
    <x v="5"/>
    <s v="C"/>
    <s v=""/>
    <s v="F1"/>
    <s v=".AS-0000026E"/>
    <n v="5595"/>
    <n v="2"/>
    <n v="40000"/>
    <s v="MAY 26 SOYBEANS"/>
    <s v="10.87"/>
    <n v="20251024"/>
    <s v=""/>
    <n v="202605"/>
    <s v=""/>
    <s v="F"/>
    <s v=""/>
    <n v="0"/>
    <n v="0"/>
    <s v=""/>
    <s v="FYO ACOPIO SA"/>
  </r>
  <r>
    <x v="5"/>
    <s v="C"/>
    <s v=""/>
    <s v="F1"/>
    <s v=".AS-0000026E"/>
    <n v="6142"/>
    <n v="2"/>
    <n v="180000"/>
    <s v="MAY 26 SOYBEANS"/>
    <s v="11.09"/>
    <n v="20251027"/>
    <s v=""/>
    <n v="202605"/>
    <s v=""/>
    <s v="F"/>
    <s v=""/>
    <n v="0"/>
    <n v="0"/>
    <s v=""/>
    <s v="FYO ACOPIO SA"/>
  </r>
  <r>
    <x v="5"/>
    <s v="C"/>
    <s v=""/>
    <s v="F1"/>
    <s v=".AS-0000026E"/>
    <n v="3128"/>
    <n v="2"/>
    <n v="20000"/>
    <s v="MAY 26 SOYBEANS"/>
    <s v="11.14"/>
    <n v="20251028"/>
    <s v=""/>
    <n v="202605"/>
    <s v=""/>
    <s v="F"/>
    <s v=""/>
    <n v="0"/>
    <n v="0"/>
    <s v=""/>
    <s v="FYO ACOPIO SA"/>
  </r>
  <r>
    <x v="5"/>
    <s v="C"/>
    <s v=""/>
    <s v="F1"/>
    <s v=".AS-0000026E"/>
    <n v="2217"/>
    <n v="2"/>
    <n v="30000"/>
    <s v="MAY 26 SOYBEANS"/>
    <s v="11.18"/>
    <n v="20251028"/>
    <s v=""/>
    <n v="202605"/>
    <s v=""/>
    <s v="F"/>
    <s v=""/>
    <n v="0"/>
    <n v="0"/>
    <s v=""/>
    <s v="FYO ACOPIO SA"/>
  </r>
  <r>
    <x v="5"/>
    <s v="C"/>
    <s v=""/>
    <s v="F1"/>
    <s v=".AS-0000026E"/>
    <n v="2378"/>
    <n v="2"/>
    <n v="60000"/>
    <s v="MAY 26 SOYBEANS"/>
    <s v="11.18 1/4"/>
    <n v="20251028"/>
    <s v=""/>
    <n v="202605"/>
    <s v=""/>
    <s v="F"/>
    <s v=""/>
    <n v="0"/>
    <n v="0"/>
    <s v=""/>
    <s v="FYO ACOPIO SA"/>
  </r>
  <r>
    <x v="5"/>
    <s v="C"/>
    <s v=""/>
    <s v="F1"/>
    <s v=".AS-0000026E"/>
    <n v="4277"/>
    <n v="2"/>
    <n v="30000"/>
    <s v="MAY 26 SOYBEANS"/>
    <s v="11.20 3/4"/>
    <n v="20251028"/>
    <s v=""/>
    <n v="202605"/>
    <s v=""/>
    <s v="F"/>
    <s v=""/>
    <n v="0"/>
    <n v="0"/>
    <s v=""/>
    <s v="FYO ACOPIO SA"/>
  </r>
  <r>
    <x v="5"/>
    <s v="C"/>
    <s v=""/>
    <s v="F1"/>
    <s v=".AS-0000026E"/>
    <n v="5114"/>
    <n v="2"/>
    <n v="30000"/>
    <s v="MAY 26 SOYBEANS"/>
    <s v="11.18 1/4"/>
    <n v="20251030"/>
    <s v=""/>
    <n v="202605"/>
    <s v=""/>
    <s v="F"/>
    <s v=""/>
    <n v="0"/>
    <n v="0"/>
    <s v=""/>
    <s v="FYO ACOPIO SA"/>
  </r>
  <r>
    <x v="5"/>
    <s v="C"/>
    <s v=""/>
    <s v="F1"/>
    <s v=".AS-0000026E"/>
    <n v="2920"/>
    <n v="2"/>
    <n v="30000"/>
    <s v="MAY 26 SOYBEANS"/>
    <s v="11.30 3/4"/>
    <n v="20251031"/>
    <s v=""/>
    <n v="202605"/>
    <s v=""/>
    <s v="F"/>
    <s v=""/>
    <n v="0"/>
    <n v="0"/>
    <s v=""/>
    <s v="FYO ACOPIO SA"/>
  </r>
  <r>
    <x v="5"/>
    <s v="C"/>
    <s v=""/>
    <s v="F1"/>
    <s v=".AS-0000026E"/>
    <n v="69"/>
    <n v="2"/>
    <n v="370000"/>
    <s v="MAY 26 SOYBEANS"/>
    <s v="11.35 3/4"/>
    <n v="20251103"/>
    <s v=""/>
    <n v="202605"/>
    <s v=""/>
    <s v="F"/>
    <s v=""/>
    <n v="0"/>
    <n v="0"/>
    <s v=""/>
    <s v="FYO ACOPIO SA"/>
  </r>
  <r>
    <x v="5"/>
    <s v="C"/>
    <s v=""/>
    <s v="F1"/>
    <s v=".AS-0000026E"/>
    <n v="444"/>
    <n v="2"/>
    <n v="740000"/>
    <s v="MAY 26 SOYBEANS"/>
    <s v="11.38 1/2"/>
    <n v="20251103"/>
    <s v=""/>
    <n v="202605"/>
    <s v=""/>
    <s v="F"/>
    <s v=""/>
    <n v="0"/>
    <n v="0"/>
    <s v=""/>
    <s v="FYO ACOPIO SA"/>
  </r>
  <r>
    <x v="5"/>
    <s v="C"/>
    <s v=""/>
    <s v="F1"/>
    <s v=".AS-0000026E"/>
    <n v="3938"/>
    <n v="2"/>
    <n v="30000"/>
    <s v="MAY 26 SOYBEANS"/>
    <s v="11.49"/>
    <n v="20251103"/>
    <s v=""/>
    <n v="202605"/>
    <s v=""/>
    <s v="F"/>
    <s v=""/>
    <n v="0"/>
    <n v="0"/>
    <s v=""/>
    <s v="FYO ACOPIO SA"/>
  </r>
  <r>
    <x v="5"/>
    <s v="C"/>
    <s v=""/>
    <s v="F1"/>
    <s v=".AS-0000026E"/>
    <n v="3449"/>
    <n v="2"/>
    <n v="150000"/>
    <s v="MAY 26 SOYBEANS"/>
    <s v="11.33"/>
    <n v="20251104"/>
    <s v=""/>
    <n v="202605"/>
    <s v=""/>
    <s v="F"/>
    <s v=""/>
    <n v="0"/>
    <n v="0"/>
    <s v=""/>
    <s v="FYO ACOPIO SA"/>
  </r>
  <r>
    <x v="5"/>
    <s v="C"/>
    <s v=""/>
    <s v="F1"/>
    <s v=".AS-0000026E"/>
    <n v="3862"/>
    <n v="2"/>
    <n v="370000"/>
    <s v="MAY 26 SOYBEANS"/>
    <s v="11.71"/>
    <n v="20251117"/>
    <s v=""/>
    <n v="202605"/>
    <s v=""/>
    <s v="F"/>
    <s v=""/>
    <n v="0"/>
    <n v="0"/>
    <s v=""/>
    <s v="FYO ACOPIO SA"/>
  </r>
  <r>
    <x v="5"/>
    <s v="C"/>
    <s v=""/>
    <s v="F1"/>
    <s v=".AS-0000026E"/>
    <n v="6895"/>
    <n v="2"/>
    <n v="150000"/>
    <s v="MAY 26 SOYBEANS"/>
    <s v="11.68"/>
    <n v="20251118"/>
    <s v=""/>
    <n v="202605"/>
    <s v=""/>
    <s v="F"/>
    <s v=""/>
    <n v="0"/>
    <n v="0"/>
    <s v=""/>
    <s v="FYO ACOPIO SA"/>
  </r>
  <r>
    <x v="5"/>
    <s v="C"/>
    <s v=""/>
    <s v="F1"/>
    <s v=".AS-0000026G"/>
    <n v="7940"/>
    <n v="2"/>
    <n v="220000"/>
    <s v="JUL 26 SOYBEANS"/>
    <s v="11.38"/>
    <n v="20251106"/>
    <s v=""/>
    <n v="202607"/>
    <s v=""/>
    <s v="F"/>
    <s v=""/>
    <n v="0"/>
    <n v="0"/>
    <s v=""/>
    <s v="FYO ACOPIO SA"/>
  </r>
  <r>
    <x v="5"/>
    <s v="C"/>
    <s v=""/>
    <s v="F1"/>
    <s v=".AW-0000026C"/>
    <n v="3585"/>
    <n v="2"/>
    <n v="40000"/>
    <s v="MAR 26 WHEAT"/>
    <s v="5.40 1/4"/>
    <n v="20251126"/>
    <s v=""/>
    <n v="202603"/>
    <s v=""/>
    <s v="F"/>
    <s v=""/>
    <n v="0"/>
    <n v="0"/>
    <s v=""/>
    <s v="FYO ACOPIO SA"/>
  </r>
  <r>
    <x v="5"/>
    <s v="C"/>
    <s v=""/>
    <s v="F1"/>
    <s v=".AW-0000026C"/>
    <n v="3585"/>
    <n v="2"/>
    <n v="10000"/>
    <s v="MAR 26 WHEAT"/>
    <s v="5.41"/>
    <n v="20251126"/>
    <s v=""/>
    <n v="202603"/>
    <s v=""/>
    <s v="F"/>
    <s v=""/>
    <n v="0"/>
    <n v="0"/>
    <s v=""/>
    <s v="FYO ACOPIO SA"/>
  </r>
  <r>
    <x v="5"/>
    <s v="C"/>
    <s v=""/>
    <s v="F1"/>
    <s v=".AW-0000026C"/>
    <n v="3585"/>
    <n v="2"/>
    <n v="170000"/>
    <s v="MAR 26 WHEAT"/>
    <s v="5.42"/>
    <n v="20251126"/>
    <s v=""/>
    <n v="202603"/>
    <s v=""/>
    <s v="F"/>
    <s v=""/>
    <n v="0"/>
    <n v="0"/>
    <s v=""/>
    <s v="FYO ACOPIO SA"/>
  </r>
  <r>
    <x v="5"/>
    <s v="C"/>
    <s v=""/>
    <s v="F1"/>
    <s v="912797RK5"/>
    <n v="0"/>
    <n v="1"/>
    <n v="2500000000"/>
    <s v="US TREASURY BILL 01/29/2026"/>
    <s v=""/>
    <n v="20251030"/>
    <s v=""/>
    <n v="0"/>
    <s v=""/>
    <s v="B"/>
    <s v=""/>
    <n v="0"/>
    <n v="20260129"/>
    <s v=""/>
    <s v="FYO ACOPIO SA"/>
  </r>
  <r>
    <x v="5"/>
    <s v="C"/>
    <s v=""/>
    <s v="F1"/>
    <s v="912797SR9"/>
    <n v="0"/>
    <n v="1"/>
    <n v="2500000000"/>
    <s v="US TREASURY BILL 02/17/2026"/>
    <s v=""/>
    <n v="20251113"/>
    <s v=""/>
    <n v="0"/>
    <s v=""/>
    <s v="B"/>
    <s v=""/>
    <n v="0"/>
    <n v="20260217"/>
    <s v=""/>
    <s v="FYO ACOPIO SA"/>
  </r>
  <r>
    <x v="6"/>
    <m/>
    <m/>
    <m/>
    <m/>
    <m/>
    <m/>
    <m/>
    <m/>
    <m/>
    <m/>
    <m/>
    <m/>
    <m/>
    <m/>
    <m/>
    <m/>
    <m/>
    <m/>
    <m/>
  </r>
  <r>
    <x v="6"/>
    <m/>
    <m/>
    <m/>
    <m/>
    <m/>
    <m/>
    <m/>
    <m/>
    <m/>
    <m/>
    <m/>
    <m/>
    <m/>
    <m/>
    <m/>
    <m/>
    <m/>
    <m/>
    <m/>
  </r>
  <r>
    <x v="6"/>
    <m/>
    <m/>
    <m/>
    <m/>
    <m/>
    <m/>
    <m/>
    <m/>
    <m/>
    <m/>
    <m/>
    <m/>
    <m/>
    <m/>
    <m/>
    <m/>
    <m/>
    <m/>
    <m/>
  </r>
  <r>
    <x v="6"/>
    <m/>
    <m/>
    <m/>
    <m/>
    <m/>
    <m/>
    <m/>
    <m/>
    <m/>
    <m/>
    <m/>
    <m/>
    <m/>
    <m/>
    <m/>
    <m/>
    <m/>
    <m/>
    <m/>
  </r>
  <r>
    <x v="6"/>
    <m/>
    <m/>
    <m/>
    <m/>
    <m/>
    <m/>
    <m/>
    <m/>
    <m/>
    <m/>
    <m/>
    <m/>
    <m/>
    <m/>
    <m/>
    <m/>
    <m/>
    <m/>
    <m/>
  </r>
  <r>
    <x v="6"/>
    <m/>
    <m/>
    <m/>
    <m/>
    <m/>
    <m/>
    <m/>
    <m/>
    <m/>
    <m/>
    <m/>
    <m/>
    <m/>
    <m/>
    <m/>
    <m/>
    <m/>
    <m/>
    <m/>
  </r>
  <r>
    <x v="6"/>
    <m/>
    <m/>
    <m/>
    <m/>
    <m/>
    <m/>
    <m/>
    <m/>
    <m/>
    <m/>
    <m/>
    <m/>
    <m/>
    <m/>
    <m/>
    <m/>
    <m/>
    <m/>
    <m/>
  </r>
  <r>
    <x v="6"/>
    <m/>
    <m/>
    <m/>
    <m/>
    <m/>
    <m/>
    <m/>
    <m/>
    <m/>
    <m/>
    <m/>
    <m/>
    <m/>
    <m/>
    <m/>
    <m/>
    <m/>
    <m/>
    <m/>
  </r>
  <r>
    <x v="6"/>
    <m/>
    <m/>
    <m/>
    <m/>
    <m/>
    <m/>
    <m/>
    <m/>
    <m/>
    <m/>
    <m/>
    <m/>
    <m/>
    <m/>
    <m/>
    <m/>
    <m/>
    <m/>
    <m/>
  </r>
  <r>
    <x v="6"/>
    <m/>
    <m/>
    <m/>
    <m/>
    <m/>
    <m/>
    <m/>
    <m/>
    <m/>
    <m/>
    <m/>
    <m/>
    <m/>
    <m/>
    <m/>
    <m/>
    <m/>
    <m/>
    <m/>
  </r>
  <r>
    <x v="6"/>
    <m/>
    <m/>
    <m/>
    <m/>
    <m/>
    <m/>
    <m/>
    <m/>
    <m/>
    <m/>
    <m/>
    <m/>
    <m/>
    <m/>
    <m/>
    <m/>
    <m/>
    <m/>
    <m/>
  </r>
  <r>
    <x v="6"/>
    <m/>
    <m/>
    <m/>
    <m/>
    <m/>
    <m/>
    <m/>
    <m/>
    <m/>
    <m/>
    <m/>
    <m/>
    <m/>
    <m/>
    <m/>
    <m/>
    <m/>
    <m/>
    <m/>
  </r>
  <r>
    <x v="6"/>
    <m/>
    <m/>
    <m/>
    <m/>
    <m/>
    <m/>
    <m/>
    <m/>
    <m/>
    <m/>
    <m/>
    <m/>
    <m/>
    <m/>
    <m/>
    <m/>
    <m/>
    <m/>
    <m/>
  </r>
  <r>
    <x v="6"/>
    <m/>
    <m/>
    <m/>
    <m/>
    <m/>
    <m/>
    <m/>
    <m/>
    <m/>
    <m/>
    <m/>
    <m/>
    <m/>
    <m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5">
  <r>
    <x v="0"/>
    <s v="C"/>
    <s v="O"/>
    <s v="F1"/>
    <s v=".AS-0117026E"/>
    <n v="2786"/>
    <n v="1"/>
    <n v="180000"/>
    <s v="CALL MAY 26 SOYBEANS   1170"/>
    <s v=".15 3/8"/>
    <n v="20250925"/>
    <s v=""/>
    <n v="202605"/>
    <s v=""/>
    <s v="F"/>
    <s v="C"/>
    <n v="1170000000"/>
    <n v="20260424"/>
    <s v=""/>
    <s v="FUTUROS Y OPCIONES.C"/>
    <s v=""/>
    <n v="20250925"/>
    <n v="1"/>
    <s v="1A"/>
    <s v="S-"/>
    <s v=""/>
    <s v=""/>
    <s v=".15375000"/>
    <s v=""/>
    <s v=""/>
    <s v=""/>
    <s v=""/>
    <s v=""/>
    <n v="180000"/>
    <s v=".0000"/>
    <s v="USD"/>
    <n v="1788750"/>
    <n v="0"/>
    <n v="1116750000"/>
    <n v="50000"/>
    <s v="5I25 zLB0"/>
    <n v="115852786"/>
    <s v="0,3160"/>
    <s v="S"/>
    <s v="CBT"/>
    <s v="Comdty"/>
    <s v="Soja"/>
    <n v="0.36742999999999998"/>
    <n v="18"/>
    <n v="410.32745249999999"/>
    <n v="429.89309999999995"/>
    <n v="2449.44"/>
    <s v="Call"/>
    <s v="si"/>
    <s v="C"/>
    <s v="CC"/>
    <n v="287.22921674999998"/>
    <n v="328.26196200000004"/>
    <n v="369.29470724999999"/>
    <n v="410.32745249999999"/>
    <n v="451.36019775000005"/>
    <n v="492.39294299999995"/>
    <n v="533.42568825000001"/>
    <n v="0"/>
    <n v="0"/>
    <n v="0"/>
    <n v="0"/>
    <n v="0"/>
    <n v="0"/>
    <n v="0"/>
    <n v="0"/>
    <n v="0"/>
    <n v="0"/>
    <n v="0"/>
    <n v="52582.367912760266"/>
    <n v="153089.61543792"/>
    <n v="253596.86296308014"/>
    <n v="0"/>
    <n v="0"/>
    <n v="0"/>
    <n v="0"/>
    <n v="2449.44"/>
    <n v="2449.44"/>
    <n v="2449.44"/>
    <n v="2449.44"/>
  </r>
  <r>
    <x v="1"/>
    <s v="C"/>
    <s v="O"/>
    <s v="F1"/>
    <s v=".AS-0115026C"/>
    <n v="9702"/>
    <n v="2"/>
    <n v="100000"/>
    <s v="CALL MAR 26 SOYBEANS   1150"/>
    <s v=".17 1/8"/>
    <n v="20251205"/>
    <s v=""/>
    <n v="202603"/>
    <s v=""/>
    <s v="F"/>
    <s v="C"/>
    <n v="1150000000"/>
    <n v="20260220"/>
    <s v=""/>
    <s v="FUTUROS Y OPCIONES.C"/>
    <s v=""/>
    <n v="20251205"/>
    <n v="1"/>
    <s v="1A"/>
    <s v="S-"/>
    <s v=""/>
    <s v=""/>
    <s v=".17125000"/>
    <s v=""/>
    <s v=""/>
    <s v=""/>
    <s v=""/>
    <s v=""/>
    <n v="0"/>
    <s v="10.0000"/>
    <s v="USD"/>
    <n v="-637500"/>
    <n v="0"/>
    <n v="1105750000"/>
    <n v="50000"/>
    <s v="5L05 G9l0"/>
    <n v="116429702"/>
    <s v="0,2870"/>
    <s v="S"/>
    <s v="CBT"/>
    <s v="Comdty"/>
    <s v="Soja"/>
    <n v="0.36742999999999998"/>
    <n v="-10"/>
    <n v="406.28572249999996"/>
    <n v="422.54449999999997"/>
    <n v="-1360.8000000000002"/>
    <s v="Call"/>
    <s v="si"/>
    <s v="V"/>
    <s v="VC"/>
    <n v="284.40000574999993"/>
    <n v="325.02857799999998"/>
    <n v="365.65715024999997"/>
    <n v="406.28572249999996"/>
    <n v="446.91429475000001"/>
    <n v="487.54286699999994"/>
    <n v="528.17143924999993"/>
    <n v="0"/>
    <n v="0"/>
    <n v="0"/>
    <n v="0"/>
    <n v="0"/>
    <n v="0"/>
    <n v="0"/>
    <n v="0"/>
    <n v="0"/>
    <n v="0"/>
    <n v="0"/>
    <n v="-33162.416695800057"/>
    <n v="-88449.777813599969"/>
    <n v="-143737.13893139997"/>
    <n v="0"/>
    <n v="0"/>
    <n v="0"/>
    <n v="0"/>
    <n v="-1360.8000000000002"/>
    <n v="-1360.8000000000002"/>
    <n v="-1360.8000000000002"/>
    <n v="-1360.8000000000002"/>
  </r>
  <r>
    <x v="1"/>
    <s v="C"/>
    <s v="O"/>
    <s v="F1"/>
    <s v=".AS-0118026E"/>
    <n v="3793"/>
    <n v="2"/>
    <n v="100000"/>
    <s v="CALL MAY 26 SOYBEANS   1180"/>
    <s v=".13 3/4"/>
    <n v="20251009"/>
    <s v=""/>
    <n v="202605"/>
    <s v=""/>
    <s v="F"/>
    <s v="C"/>
    <n v="1180000000"/>
    <n v="20260424"/>
    <s v=""/>
    <s v="FUTUROS Y OPCIONES.C"/>
    <s v=""/>
    <n v="20251009"/>
    <n v="1"/>
    <s v="1A"/>
    <s v="S-"/>
    <s v=""/>
    <s v=""/>
    <s v=".13750000"/>
    <s v=""/>
    <s v=""/>
    <s v=""/>
    <s v=""/>
    <s v=""/>
    <n v="0"/>
    <s v="10.0000"/>
    <s v="USD"/>
    <n v="-868750"/>
    <n v="0"/>
    <n v="1116750000"/>
    <n v="50000"/>
    <s v="5J09 LRx0"/>
    <n v="115953793"/>
    <s v="0,2860"/>
    <s v="S"/>
    <s v="CBT"/>
    <s v="Comdty"/>
    <s v="Soja"/>
    <n v="0.36742999999999998"/>
    <n v="-10"/>
    <n v="410.32745249999999"/>
    <n v="433.56739999999996"/>
    <n v="-1360.8000000000002"/>
    <s v="Call"/>
    <s v="si"/>
    <s v="V"/>
    <s v="VC"/>
    <n v="287.22921674999998"/>
    <n v="328.26196200000004"/>
    <n v="369.29470724999999"/>
    <n v="410.32745249999999"/>
    <n v="451.36019775000005"/>
    <n v="492.39294299999995"/>
    <n v="533.42568825000001"/>
    <n v="0"/>
    <n v="0"/>
    <n v="0"/>
    <n v="0"/>
    <n v="0"/>
    <n v="0"/>
    <n v="0"/>
    <n v="0"/>
    <n v="0"/>
    <n v="0"/>
    <n v="0"/>
    <n v="-24212.439178200126"/>
    <n v="-80049.798914399988"/>
    <n v="-135887.15865060009"/>
    <n v="0"/>
    <n v="0"/>
    <n v="0"/>
    <n v="0"/>
    <n v="-1360.8000000000002"/>
    <n v="-1360.8000000000002"/>
    <n v="-1360.8000000000002"/>
    <n v="-1360.8000000000002"/>
  </r>
  <r>
    <x v="1"/>
    <s v="C"/>
    <s v="O"/>
    <s v="F1"/>
    <s v=".AS-0118026E"/>
    <n v="7368"/>
    <n v="2"/>
    <n v="50000"/>
    <s v="CALL MAY 26 SOYBEANS   1180"/>
    <s v=".16 3/4"/>
    <n v="20251023"/>
    <s v=""/>
    <n v="202605"/>
    <s v=""/>
    <s v="F"/>
    <s v="C"/>
    <n v="1180000000"/>
    <n v="20260424"/>
    <s v=""/>
    <s v="FUTUROS Y OPCIONES.C"/>
    <s v=""/>
    <n v="20251023"/>
    <n v="1"/>
    <s v="1A"/>
    <s v="S-"/>
    <s v=""/>
    <s v=""/>
    <s v=".16750000"/>
    <s v=""/>
    <s v=""/>
    <s v=""/>
    <s v=""/>
    <s v=""/>
    <n v="0"/>
    <s v="5.0000"/>
    <s v="USD"/>
    <n v="-434375"/>
    <n v="0"/>
    <n v="1116750000"/>
    <n v="50000"/>
    <s v="5J23 YPc0"/>
    <n v="116067368"/>
    <s v="0,2860"/>
    <s v="S"/>
    <s v="CBT"/>
    <s v="Comdty"/>
    <s v="Soja"/>
    <n v="0.36742999999999998"/>
    <n v="-5"/>
    <n v="410.32745249999999"/>
    <n v="433.56739999999996"/>
    <n v="-680.40000000000009"/>
    <s v="Call"/>
    <s v="si"/>
    <s v="V"/>
    <s v="VC"/>
    <n v="287.22921674999998"/>
    <n v="328.26196200000004"/>
    <n v="369.29470724999999"/>
    <n v="410.32745249999999"/>
    <n v="451.36019775000005"/>
    <n v="492.39294299999995"/>
    <n v="533.42568825000001"/>
    <n v="0"/>
    <n v="0"/>
    <n v="0"/>
    <n v="0"/>
    <n v="0"/>
    <n v="0"/>
    <n v="0"/>
    <n v="0"/>
    <n v="0"/>
    <n v="0"/>
    <n v="0"/>
    <n v="-12106.219589100063"/>
    <n v="-40024.899457199994"/>
    <n v="-67943.579325300045"/>
    <n v="0"/>
    <n v="0"/>
    <n v="0"/>
    <n v="0"/>
    <n v="-680.40000000000009"/>
    <n v="-680.40000000000009"/>
    <n v="-680.40000000000009"/>
    <n v="-680.40000000000009"/>
  </r>
  <r>
    <x v="1"/>
    <s v="C"/>
    <s v="O"/>
    <s v="F1"/>
    <s v=".AS-0120026E"/>
    <n v="3836"/>
    <n v="2"/>
    <n v="100000"/>
    <s v="CALL MAY 26 SOYBEANS   1200"/>
    <s v=".11 1/8"/>
    <n v="20251009"/>
    <s v=""/>
    <n v="202605"/>
    <s v=""/>
    <s v="F"/>
    <s v="C"/>
    <n v="1200000000"/>
    <n v="20260424"/>
    <s v=""/>
    <s v="FUTUROS Y OPCIONES.C"/>
    <s v=""/>
    <n v="20251009"/>
    <n v="1"/>
    <s v="1A"/>
    <s v="S-"/>
    <s v=""/>
    <s v=""/>
    <s v=".11125000"/>
    <s v=""/>
    <s v=""/>
    <s v=""/>
    <s v=""/>
    <s v=""/>
    <n v="0"/>
    <s v="10.0000"/>
    <s v="USD"/>
    <n v="-668750"/>
    <n v="0"/>
    <n v="1116750000"/>
    <n v="50000"/>
    <s v="5J09 L0h0"/>
    <n v="115953836"/>
    <s v="0,2310"/>
    <s v="S"/>
    <s v="CBT"/>
    <s v="Comdty"/>
    <s v="Soja"/>
    <n v="0.36742999999999998"/>
    <n v="-10"/>
    <n v="410.32745249999999"/>
    <n v="440.916"/>
    <n v="-1360.8000000000002"/>
    <s v="Call"/>
    <s v="si"/>
    <s v="V"/>
    <s v="VC"/>
    <n v="287.22921674999998"/>
    <n v="328.26196200000004"/>
    <n v="369.29470724999999"/>
    <n v="410.32745249999999"/>
    <n v="451.36019775000005"/>
    <n v="492.39294299999995"/>
    <n v="533.42568825000001"/>
    <n v="0"/>
    <n v="0"/>
    <n v="0"/>
    <n v="0"/>
    <n v="0"/>
    <n v="0"/>
    <n v="0"/>
    <n v="0"/>
    <n v="0"/>
    <n v="0"/>
    <n v="0"/>
    <n v="-14212.464298200081"/>
    <n v="-70049.824034399935"/>
    <n v="-125887.18377060004"/>
    <n v="0"/>
    <n v="0"/>
    <n v="0"/>
    <n v="0"/>
    <n v="-1360.8000000000002"/>
    <n v="-1360.8000000000002"/>
    <n v="-1360.8000000000002"/>
    <n v="-1360.8000000000002"/>
  </r>
  <r>
    <x v="1"/>
    <s v="C"/>
    <s v="O"/>
    <s v="F1"/>
    <s v=".AS-0120026E"/>
    <n v="7394"/>
    <n v="2"/>
    <n v="50000"/>
    <s v="CALL MAY 26 SOYBEANS   1200"/>
    <s v=".13 3/4"/>
    <n v="20251023"/>
    <s v=""/>
    <n v="202605"/>
    <s v=""/>
    <s v="F"/>
    <s v="C"/>
    <n v="1200000000"/>
    <n v="20260424"/>
    <s v=""/>
    <s v="FUTUROS Y OPCIONES.C"/>
    <s v=""/>
    <n v="20251023"/>
    <n v="1"/>
    <s v="1A"/>
    <s v="S-"/>
    <s v=""/>
    <s v=""/>
    <s v=".13750000"/>
    <s v=""/>
    <s v=""/>
    <s v=""/>
    <s v=""/>
    <s v=""/>
    <n v="0"/>
    <s v="5.0000"/>
    <s v="USD"/>
    <n v="-334375"/>
    <n v="0"/>
    <n v="1116750000"/>
    <n v="50000"/>
    <s v="5J23 YVn0"/>
    <n v="116067394"/>
    <s v="0,2310"/>
    <s v="S"/>
    <s v="CBT"/>
    <s v="Comdty"/>
    <s v="Soja"/>
    <n v="0.36742999999999998"/>
    <n v="-5"/>
    <n v="410.32745249999999"/>
    <n v="440.916"/>
    <n v="-680.40000000000009"/>
    <s v="Call"/>
    <s v="si"/>
    <s v="V"/>
    <s v="VC"/>
    <n v="287.22921674999998"/>
    <n v="328.26196200000004"/>
    <n v="369.29470724999999"/>
    <n v="410.32745249999999"/>
    <n v="451.36019775000005"/>
    <n v="492.39294299999995"/>
    <n v="533.42568825000001"/>
    <n v="0"/>
    <n v="0"/>
    <n v="0"/>
    <n v="0"/>
    <n v="0"/>
    <n v="0"/>
    <n v="0"/>
    <n v="0"/>
    <n v="0"/>
    <n v="0"/>
    <n v="0"/>
    <n v="-7106.2321491000403"/>
    <n v="-35024.912017199968"/>
    <n v="-62943.591885300018"/>
    <n v="0"/>
    <n v="0"/>
    <n v="0"/>
    <n v="0"/>
    <n v="-680.40000000000009"/>
    <n v="-680.40000000000009"/>
    <n v="-680.40000000000009"/>
    <n v="-680.40000000000009"/>
  </r>
  <r>
    <x v="1"/>
    <s v="C"/>
    <s v="O"/>
    <s v="F1"/>
    <s v=".AS-0122026E"/>
    <n v="8416"/>
    <n v="2"/>
    <n v="130000"/>
    <s v="CALL MAY 26 SOYBEANS   1220"/>
    <s v=".30 1/2"/>
    <n v="20251118"/>
    <s v=""/>
    <n v="202605"/>
    <s v=""/>
    <s v="F"/>
    <s v="C"/>
    <n v="1220000000"/>
    <n v="20260424"/>
    <s v=""/>
    <s v="FUTUROS Y OPCIONES.C"/>
    <s v=""/>
    <n v="20251118"/>
    <n v="1"/>
    <s v="1A"/>
    <s v="S-"/>
    <s v=""/>
    <s v=""/>
    <s v=".30500000"/>
    <s v=""/>
    <s v=""/>
    <s v=""/>
    <s v=""/>
    <s v=""/>
    <n v="0"/>
    <s v="13.0000"/>
    <s v="USD"/>
    <n v="-674375"/>
    <n v="0"/>
    <n v="1116750000"/>
    <n v="50000"/>
    <s v="5K18 WeL0"/>
    <n v="116298416"/>
    <s v="0,1860"/>
    <s v="S"/>
    <s v="CBT"/>
    <s v="Comdty"/>
    <s v="Soja"/>
    <n v="0.36742999999999998"/>
    <n v="-13"/>
    <n v="410.32745249999999"/>
    <n v="448.26459999999997"/>
    <n v="-1769.0400000000002"/>
    <s v="Call"/>
    <s v="si"/>
    <s v="V"/>
    <s v="VC"/>
    <n v="287.22921674999998"/>
    <n v="328.26196200000004"/>
    <n v="369.29470724999999"/>
    <n v="410.32745249999999"/>
    <n v="451.36019775000005"/>
    <n v="492.39294299999995"/>
    <n v="533.42568825000001"/>
    <n v="0"/>
    <n v="0"/>
    <n v="0"/>
    <n v="0"/>
    <n v="0"/>
    <n v="0"/>
    <n v="0"/>
    <n v="0"/>
    <n v="0"/>
    <n v="0"/>
    <n v="0"/>
    <n v="-5476.2362436601443"/>
    <n v="-78064.803900719955"/>
    <n v="-150653.37155778008"/>
    <n v="0"/>
    <n v="0"/>
    <n v="0"/>
    <n v="0"/>
    <n v="-1769.0400000000002"/>
    <n v="-1769.0400000000002"/>
    <n v="-1769.0400000000002"/>
    <n v="-1769.0400000000002"/>
  </r>
  <r>
    <x v="1"/>
    <s v="C"/>
    <s v="O"/>
    <s v="F1"/>
    <s v=".AS-0122026E"/>
    <n v="4956"/>
    <n v="2"/>
    <n v="100000"/>
    <s v="CALL MAY 26 SOYBEANS   1220"/>
    <s v=".31"/>
    <n v="20251118"/>
    <s v=""/>
    <n v="202605"/>
    <s v=""/>
    <s v="F"/>
    <s v="C"/>
    <n v="1220000000"/>
    <n v="20260424"/>
    <s v=""/>
    <s v="FUTUROS Y OPCIONES.C"/>
    <s v=""/>
    <n v="20251118"/>
    <n v="1"/>
    <s v="1A"/>
    <s v="S-"/>
    <s v=""/>
    <s v=""/>
    <s v=".31000000"/>
    <s v=""/>
    <s v=""/>
    <s v=""/>
    <s v=""/>
    <s v=""/>
    <n v="0"/>
    <s v="10.0000"/>
    <s v="USD"/>
    <n v="-518750"/>
    <n v="0"/>
    <n v="1116750000"/>
    <n v="50000"/>
    <s v="5K18 JH90"/>
    <n v="116294956"/>
    <s v="0,1860"/>
    <s v="S"/>
    <s v="CBT"/>
    <s v="Comdty"/>
    <s v="Soja"/>
    <n v="0.36742999999999998"/>
    <n v="-10"/>
    <n v="410.32745249999999"/>
    <n v="448.26459999999997"/>
    <n v="-1360.8000000000002"/>
    <s v="Call"/>
    <s v="si"/>
    <s v="V"/>
    <s v="VC"/>
    <n v="287.22921674999998"/>
    <n v="328.26196200000004"/>
    <n v="369.29470724999999"/>
    <n v="410.32745249999999"/>
    <n v="451.36019775000005"/>
    <n v="492.39294299999995"/>
    <n v="533.42568825000001"/>
    <n v="0"/>
    <n v="0"/>
    <n v="0"/>
    <n v="0"/>
    <n v="0"/>
    <n v="0"/>
    <n v="0"/>
    <n v="0"/>
    <n v="0"/>
    <n v="0"/>
    <n v="0"/>
    <n v="-4212.4894182001108"/>
    <n v="-60049.84915439997"/>
    <n v="-115887.20889060006"/>
    <n v="0"/>
    <n v="0"/>
    <n v="0"/>
    <n v="0"/>
    <n v="-1360.8000000000002"/>
    <n v="-1360.8000000000002"/>
    <n v="-1360.8000000000002"/>
    <n v="-1360.8000000000002"/>
  </r>
  <r>
    <x v="2"/>
    <s v="C"/>
    <s v="O"/>
    <s v="F1"/>
    <s v=".AS-0115026C"/>
    <n v="9710"/>
    <n v="2"/>
    <n v="100000"/>
    <s v="CALL MAR 26 SOYBEANS   1150"/>
    <s v=".17 1/8"/>
    <n v="20251205"/>
    <s v=""/>
    <n v="202603"/>
    <s v=""/>
    <s v="F"/>
    <s v="C"/>
    <n v="1150000000"/>
    <n v="20260220"/>
    <s v=""/>
    <s v="FUTUROS Y OPCIONES.C"/>
    <s v=""/>
    <n v="20251205"/>
    <n v="1"/>
    <s v="1A"/>
    <s v="S-"/>
    <s v=""/>
    <s v=""/>
    <s v=".17125000"/>
    <s v=""/>
    <s v=""/>
    <s v=""/>
    <s v=""/>
    <s v=""/>
    <n v="0"/>
    <s v="10.0000"/>
    <s v="USD"/>
    <n v="-637500"/>
    <n v="0"/>
    <n v="1105750000"/>
    <n v="50000"/>
    <s v="5L05 G9k0"/>
    <n v="116429710"/>
    <s v="0,2870"/>
    <s v="S"/>
    <s v="CBT"/>
    <s v="Comdty"/>
    <s v="Soja"/>
    <n v="0.36742999999999998"/>
    <n v="-10"/>
    <n v="406.28572249999996"/>
    <n v="422.54449999999997"/>
    <n v="-1360.8000000000002"/>
    <s v="Call"/>
    <s v="si"/>
    <s v="V"/>
    <s v="VC"/>
    <n v="284.40000574999993"/>
    <n v="325.02857799999998"/>
    <n v="365.65715024999997"/>
    <n v="406.28572249999996"/>
    <n v="446.91429475000001"/>
    <n v="487.54286699999994"/>
    <n v="528.17143924999993"/>
    <n v="0"/>
    <n v="0"/>
    <n v="0"/>
    <n v="0"/>
    <n v="0"/>
    <n v="0"/>
    <n v="0"/>
    <n v="0"/>
    <n v="0"/>
    <n v="0"/>
    <n v="0"/>
    <n v="-33162.416695800057"/>
    <n v="-88449.777813599969"/>
    <n v="-143737.13893139997"/>
    <n v="0"/>
    <n v="0"/>
    <n v="0"/>
    <n v="0"/>
    <n v="-1360.8000000000002"/>
    <n v="-1360.8000000000002"/>
    <n v="-1360.8000000000002"/>
    <n v="-1360.8000000000002"/>
  </r>
  <r>
    <x v="2"/>
    <s v="C"/>
    <s v="O"/>
    <s v="F1"/>
    <s v=".AS-0118026E"/>
    <n v="3802"/>
    <n v="2"/>
    <n v="100000"/>
    <s v="CALL MAY 26 SOYBEANS   1180"/>
    <s v=".13 1/2"/>
    <n v="20251009"/>
    <s v=""/>
    <n v="202605"/>
    <s v=""/>
    <s v="F"/>
    <s v="C"/>
    <n v="1180000000"/>
    <n v="20260424"/>
    <s v=""/>
    <s v="FUTUROS Y OPCIONES.C"/>
    <s v=""/>
    <n v="20251009"/>
    <n v="1"/>
    <s v="1A"/>
    <s v="S-"/>
    <s v=""/>
    <s v=""/>
    <s v=".13500000"/>
    <s v=""/>
    <s v=""/>
    <s v=""/>
    <s v=""/>
    <s v=""/>
    <n v="0"/>
    <s v="10.0000"/>
    <s v="USD"/>
    <n v="-868750"/>
    <n v="0"/>
    <n v="1116750000"/>
    <n v="50000"/>
    <s v="5J09 MKX0"/>
    <n v="115953802"/>
    <s v="0,2860"/>
    <s v="S"/>
    <s v="CBT"/>
    <s v="Comdty"/>
    <s v="Soja"/>
    <n v="0.36742999999999998"/>
    <n v="-10"/>
    <n v="410.32745249999999"/>
    <n v="433.56739999999996"/>
    <n v="-1360.8000000000002"/>
    <s v="Call"/>
    <s v="si"/>
    <s v="V"/>
    <s v="VC"/>
    <n v="287.22921674999998"/>
    <n v="328.26196200000004"/>
    <n v="369.29470724999999"/>
    <n v="410.32745249999999"/>
    <n v="451.36019775000005"/>
    <n v="492.39294299999995"/>
    <n v="533.42568825000001"/>
    <n v="0"/>
    <n v="0"/>
    <n v="0"/>
    <n v="0"/>
    <n v="0"/>
    <n v="0"/>
    <n v="0"/>
    <n v="0"/>
    <n v="0"/>
    <n v="0"/>
    <n v="0"/>
    <n v="-24212.439178200126"/>
    <n v="-80049.798914399988"/>
    <n v="-135887.15865060009"/>
    <n v="0"/>
    <n v="0"/>
    <n v="0"/>
    <n v="0"/>
    <n v="-1360.8000000000002"/>
    <n v="-1360.8000000000002"/>
    <n v="-1360.8000000000002"/>
    <n v="-1360.8000000000002"/>
  </r>
  <r>
    <x v="2"/>
    <s v="C"/>
    <s v="O"/>
    <s v="F1"/>
    <s v=".AS-0118026E"/>
    <n v="7379"/>
    <n v="2"/>
    <n v="50000"/>
    <s v="CALL MAY 26 SOYBEANS   1180"/>
    <s v=".16 3/4"/>
    <n v="20251023"/>
    <s v=""/>
    <n v="202605"/>
    <s v=""/>
    <s v="F"/>
    <s v="C"/>
    <n v="1180000000"/>
    <n v="20260424"/>
    <s v=""/>
    <s v="FUTUROS Y OPCIONES.C"/>
    <s v=""/>
    <n v="20251023"/>
    <n v="1"/>
    <s v="1A"/>
    <s v="S-"/>
    <s v=""/>
    <s v=""/>
    <s v=".16750000"/>
    <s v=""/>
    <s v=""/>
    <s v=""/>
    <s v=""/>
    <s v=""/>
    <n v="0"/>
    <s v="5.0000"/>
    <s v="USD"/>
    <n v="-434375"/>
    <n v="0"/>
    <n v="1116750000"/>
    <n v="50000"/>
    <s v="5J23 YP20"/>
    <n v="116067379"/>
    <s v="0,2860"/>
    <s v="S"/>
    <s v="CBT"/>
    <s v="Comdty"/>
    <s v="Soja"/>
    <n v="0.36742999999999998"/>
    <n v="-5"/>
    <n v="410.32745249999999"/>
    <n v="433.56739999999996"/>
    <n v="-680.40000000000009"/>
    <s v="Call"/>
    <s v="si"/>
    <s v="V"/>
    <s v="VC"/>
    <n v="287.22921674999998"/>
    <n v="328.26196200000004"/>
    <n v="369.29470724999999"/>
    <n v="410.32745249999999"/>
    <n v="451.36019775000005"/>
    <n v="492.39294299999995"/>
    <n v="533.42568825000001"/>
    <n v="0"/>
    <n v="0"/>
    <n v="0"/>
    <n v="0"/>
    <n v="0"/>
    <n v="0"/>
    <n v="0"/>
    <n v="0"/>
    <n v="0"/>
    <n v="0"/>
    <n v="0"/>
    <n v="-12106.219589100063"/>
    <n v="-40024.899457199994"/>
    <n v="-67943.579325300045"/>
    <n v="0"/>
    <n v="0"/>
    <n v="0"/>
    <n v="0"/>
    <n v="-680.40000000000009"/>
    <n v="-680.40000000000009"/>
    <n v="-680.40000000000009"/>
    <n v="-680.40000000000009"/>
  </r>
  <r>
    <x v="2"/>
    <s v="C"/>
    <s v="O"/>
    <s v="F1"/>
    <s v=".AS-0120026E"/>
    <n v="3846"/>
    <n v="2"/>
    <n v="100000"/>
    <s v="CALL MAY 26 SOYBEANS   1200"/>
    <s v=".11 1/8"/>
    <n v="20251009"/>
    <s v=""/>
    <n v="202605"/>
    <s v=""/>
    <s v="F"/>
    <s v="C"/>
    <n v="1200000000"/>
    <n v="20260424"/>
    <s v=""/>
    <s v="FUTUROS Y OPCIONES.C"/>
    <s v=""/>
    <n v="20251009"/>
    <n v="1"/>
    <s v="1A"/>
    <s v="S-"/>
    <s v=""/>
    <s v=""/>
    <s v=".11125000"/>
    <s v=""/>
    <s v=""/>
    <s v=""/>
    <s v=""/>
    <s v=""/>
    <n v="0"/>
    <s v="10.0000"/>
    <s v="USD"/>
    <n v="-668750"/>
    <n v="0"/>
    <n v="1116750000"/>
    <n v="50000"/>
    <s v="5J09 L0k0"/>
    <n v="115953846"/>
    <s v="0,2310"/>
    <s v="S"/>
    <s v="CBT"/>
    <s v="Comdty"/>
    <s v="Soja"/>
    <n v="0.36742999999999998"/>
    <n v="-10"/>
    <n v="410.32745249999999"/>
    <n v="440.916"/>
    <n v="-1360.8000000000002"/>
    <s v="Call"/>
    <s v="si"/>
    <s v="V"/>
    <s v="VC"/>
    <n v="287.22921674999998"/>
    <n v="328.26196200000004"/>
    <n v="369.29470724999999"/>
    <n v="410.32745249999999"/>
    <n v="451.36019775000005"/>
    <n v="492.39294299999995"/>
    <n v="533.42568825000001"/>
    <n v="0"/>
    <n v="0"/>
    <n v="0"/>
    <n v="0"/>
    <n v="0"/>
    <n v="0"/>
    <n v="0"/>
    <n v="0"/>
    <n v="0"/>
    <n v="0"/>
    <n v="0"/>
    <n v="-14212.464298200081"/>
    <n v="-70049.824034399935"/>
    <n v="-125887.18377060004"/>
    <n v="0"/>
    <n v="0"/>
    <n v="0"/>
    <n v="0"/>
    <n v="-1360.8000000000002"/>
    <n v="-1360.8000000000002"/>
    <n v="-1360.8000000000002"/>
    <n v="-1360.8000000000002"/>
  </r>
  <r>
    <x v="2"/>
    <s v="C"/>
    <s v="O"/>
    <s v="F1"/>
    <s v=".AS-0120026E"/>
    <n v="7398"/>
    <n v="2"/>
    <n v="50000"/>
    <s v="CALL MAY 26 SOYBEANS   1200"/>
    <s v=".13 3/4"/>
    <n v="20251023"/>
    <s v=""/>
    <n v="202605"/>
    <s v=""/>
    <s v="F"/>
    <s v="C"/>
    <n v="1200000000"/>
    <n v="20260424"/>
    <s v=""/>
    <s v="FUTUROS Y OPCIONES.C"/>
    <s v=""/>
    <n v="20251023"/>
    <n v="1"/>
    <s v="1A"/>
    <s v="S-"/>
    <s v=""/>
    <s v=""/>
    <s v=".13750000"/>
    <s v=""/>
    <s v=""/>
    <s v=""/>
    <s v=""/>
    <s v=""/>
    <n v="0"/>
    <s v="5.0000"/>
    <s v="USD"/>
    <n v="-334375"/>
    <n v="0"/>
    <n v="1116750000"/>
    <n v="50000"/>
    <s v="5J23 YWb0"/>
    <n v="116067398"/>
    <s v="0,2310"/>
    <s v="S"/>
    <s v="CBT"/>
    <s v="Comdty"/>
    <s v="Soja"/>
    <n v="0.36742999999999998"/>
    <n v="-5"/>
    <n v="410.32745249999999"/>
    <n v="440.916"/>
    <n v="-680.40000000000009"/>
    <s v="Call"/>
    <s v="si"/>
    <s v="V"/>
    <s v="VC"/>
    <n v="287.22921674999998"/>
    <n v="328.26196200000004"/>
    <n v="369.29470724999999"/>
    <n v="410.32745249999999"/>
    <n v="451.36019775000005"/>
    <n v="492.39294299999995"/>
    <n v="533.42568825000001"/>
    <n v="0"/>
    <n v="0"/>
    <n v="0"/>
    <n v="0"/>
    <n v="0"/>
    <n v="0"/>
    <n v="0"/>
    <n v="0"/>
    <n v="0"/>
    <n v="0"/>
    <n v="0"/>
    <n v="-7106.2321491000403"/>
    <n v="-35024.912017199968"/>
    <n v="-62943.591885300018"/>
    <n v="0"/>
    <n v="0"/>
    <n v="0"/>
    <n v="0"/>
    <n v="-680.40000000000009"/>
    <n v="-680.40000000000009"/>
    <n v="-680.40000000000009"/>
    <n v="-680.40000000000009"/>
  </r>
  <r>
    <x v="2"/>
    <s v="C"/>
    <s v="O"/>
    <s v="F1"/>
    <s v=".AS-0122026E"/>
    <n v="8421"/>
    <n v="2"/>
    <n v="130000"/>
    <s v="CALL MAY 26 SOYBEANS   1220"/>
    <s v=".30 1/2"/>
    <n v="20251118"/>
    <s v=""/>
    <n v="202605"/>
    <s v=""/>
    <s v="F"/>
    <s v="C"/>
    <n v="1220000000"/>
    <n v="20260424"/>
    <s v=""/>
    <s v="FUTUROS Y OPCIONES.C"/>
    <s v=""/>
    <n v="20251118"/>
    <n v="1"/>
    <s v="1A"/>
    <s v="S-"/>
    <s v=""/>
    <s v=""/>
    <s v=".30500000"/>
    <s v=""/>
    <s v=""/>
    <s v=""/>
    <s v=""/>
    <s v=""/>
    <n v="0"/>
    <s v="13.0000"/>
    <s v="USD"/>
    <n v="-674375"/>
    <n v="0"/>
    <n v="1116750000"/>
    <n v="50000"/>
    <s v="5K18 WeL0"/>
    <n v="116298421"/>
    <s v="0,1860"/>
    <s v="S"/>
    <s v="CBT"/>
    <s v="Comdty"/>
    <s v="Soja"/>
    <n v="0.36742999999999998"/>
    <n v="-13"/>
    <n v="410.32745249999999"/>
    <n v="448.26459999999997"/>
    <n v="-1769.0400000000002"/>
    <s v="Call"/>
    <s v="si"/>
    <s v="V"/>
    <s v="VC"/>
    <n v="287.22921674999998"/>
    <n v="328.26196200000004"/>
    <n v="369.29470724999999"/>
    <n v="410.32745249999999"/>
    <n v="451.36019775000005"/>
    <n v="492.39294299999995"/>
    <n v="533.42568825000001"/>
    <n v="0"/>
    <n v="0"/>
    <n v="0"/>
    <n v="0"/>
    <n v="0"/>
    <n v="0"/>
    <n v="0"/>
    <n v="0"/>
    <n v="0"/>
    <n v="0"/>
    <n v="0"/>
    <n v="-5476.2362436601443"/>
    <n v="-78064.803900719955"/>
    <n v="-150653.37155778008"/>
    <n v="0"/>
    <n v="0"/>
    <n v="0"/>
    <n v="0"/>
    <n v="-1769.0400000000002"/>
    <n v="-1769.0400000000002"/>
    <n v="-1769.0400000000002"/>
    <n v="-1769.0400000000002"/>
  </r>
  <r>
    <x v="2"/>
    <s v="C"/>
    <s v="O"/>
    <s v="F1"/>
    <s v=".AS-0122026E"/>
    <n v="4964"/>
    <n v="2"/>
    <n v="100000"/>
    <s v="CALL MAY 26 SOYBEANS   1220"/>
    <s v=".31"/>
    <n v="20251118"/>
    <s v=""/>
    <n v="202605"/>
    <s v=""/>
    <s v="F"/>
    <s v="C"/>
    <n v="1220000000"/>
    <n v="20260424"/>
    <s v=""/>
    <s v="FUTUROS Y OPCIONES.C"/>
    <s v=""/>
    <n v="20251118"/>
    <n v="1"/>
    <s v="1A"/>
    <s v="S-"/>
    <s v=""/>
    <s v=""/>
    <s v=".31000000"/>
    <s v=""/>
    <s v=""/>
    <s v=""/>
    <s v=""/>
    <s v=""/>
    <n v="0"/>
    <s v="10.0000"/>
    <s v="USD"/>
    <n v="-518750"/>
    <n v="0"/>
    <n v="1116750000"/>
    <n v="50000"/>
    <s v="5K18 JH80"/>
    <n v="116294964"/>
    <s v="0,1860"/>
    <s v="S"/>
    <s v="CBT"/>
    <s v="Comdty"/>
    <s v="Soja"/>
    <n v="0.36742999999999998"/>
    <n v="-10"/>
    <n v="410.32745249999999"/>
    <n v="448.26459999999997"/>
    <n v="-1360.8000000000002"/>
    <s v="Call"/>
    <s v="si"/>
    <s v="V"/>
    <s v="VC"/>
    <n v="287.22921674999998"/>
    <n v="328.26196200000004"/>
    <n v="369.29470724999999"/>
    <n v="410.32745249999999"/>
    <n v="451.36019775000005"/>
    <n v="492.39294299999995"/>
    <n v="533.42568825000001"/>
    <n v="0"/>
    <n v="0"/>
    <n v="0"/>
    <n v="0"/>
    <n v="0"/>
    <n v="0"/>
    <n v="0"/>
    <n v="0"/>
    <n v="0"/>
    <n v="0"/>
    <n v="0"/>
    <n v="-4212.4894182001108"/>
    <n v="-60049.84915439997"/>
    <n v="-115887.20889060006"/>
    <n v="0"/>
    <n v="0"/>
    <n v="0"/>
    <n v="0"/>
    <n v="-1360.8000000000002"/>
    <n v="-1360.8000000000002"/>
    <n v="-1360.8000000000002"/>
    <n v="-1360.8000000000002"/>
  </r>
  <r>
    <x v="3"/>
    <s v="C"/>
    <s v="O"/>
    <s v="F1"/>
    <s v=".AS-0118026E"/>
    <n v="3809"/>
    <n v="2"/>
    <n v="100000"/>
    <s v="CALL MAY 26 SOYBEANS   1180"/>
    <s v=".13 1/2"/>
    <n v="20251009"/>
    <s v=""/>
    <n v="202605"/>
    <s v=""/>
    <s v="F"/>
    <s v="C"/>
    <n v="1180000000"/>
    <n v="20260424"/>
    <s v=""/>
    <s v="FUTUROS Y OPCIONES.C"/>
    <s v=""/>
    <n v="20251009"/>
    <n v="1"/>
    <s v="1A"/>
    <s v="S-"/>
    <s v=""/>
    <s v=""/>
    <s v=".13500000"/>
    <s v=""/>
    <s v=""/>
    <s v=""/>
    <s v=""/>
    <s v=""/>
    <n v="0"/>
    <s v="10.0000"/>
    <s v="USD"/>
    <n v="-868750"/>
    <n v="0"/>
    <n v="1116750000"/>
    <n v="50000"/>
    <s v="5J09 MKZ0"/>
    <n v="115953809"/>
    <s v="0,2860"/>
    <s v="S"/>
    <s v="CBT"/>
    <s v="Comdty"/>
    <s v="Soja"/>
    <n v="0.36742999999999998"/>
    <n v="-10"/>
    <n v="410.32745249999999"/>
    <n v="433.56739999999996"/>
    <n v="-1360.8000000000002"/>
    <s v="Call"/>
    <s v="si"/>
    <s v="V"/>
    <s v="VC"/>
    <n v="287.22921674999998"/>
    <n v="328.26196200000004"/>
    <n v="369.29470724999999"/>
    <n v="410.32745249999999"/>
    <n v="451.36019775000005"/>
    <n v="492.39294299999995"/>
    <n v="533.42568825000001"/>
    <n v="0"/>
    <n v="0"/>
    <n v="0"/>
    <n v="0"/>
    <n v="0"/>
    <n v="0"/>
    <n v="0"/>
    <n v="0"/>
    <n v="0"/>
    <n v="0"/>
    <n v="0"/>
    <n v="-24212.439178200126"/>
    <n v="-80049.798914399988"/>
    <n v="-135887.15865060009"/>
    <n v="0"/>
    <n v="0"/>
    <n v="0"/>
    <n v="0"/>
    <n v="-1360.8000000000002"/>
    <n v="-1360.8000000000002"/>
    <n v="-1360.8000000000002"/>
    <n v="-1360.8000000000002"/>
  </r>
  <r>
    <x v="3"/>
    <s v="C"/>
    <s v="O"/>
    <s v="F1"/>
    <s v=".AS-0118026E"/>
    <n v="7384"/>
    <n v="2"/>
    <n v="50000"/>
    <s v="CALL MAY 26 SOYBEANS   1180"/>
    <s v=".16 3/4"/>
    <n v="20251023"/>
    <s v=""/>
    <n v="202605"/>
    <s v=""/>
    <s v="F"/>
    <s v="C"/>
    <n v="1180000000"/>
    <n v="20260424"/>
    <s v=""/>
    <s v="FUTUROS Y OPCIONES.C"/>
    <s v=""/>
    <n v="20251023"/>
    <n v="1"/>
    <s v="1A"/>
    <s v="S-"/>
    <s v=""/>
    <s v=""/>
    <s v=".16750000"/>
    <s v=""/>
    <s v=""/>
    <s v=""/>
    <s v=""/>
    <s v=""/>
    <n v="0"/>
    <s v="5.0000"/>
    <s v="USD"/>
    <n v="-434375"/>
    <n v="0"/>
    <n v="1116750000"/>
    <n v="50000"/>
    <s v="5J23 YQL0"/>
    <n v="116067384"/>
    <s v="0,2860"/>
    <s v="S"/>
    <s v="CBT"/>
    <s v="Comdty"/>
    <s v="Soja"/>
    <n v="0.36742999999999998"/>
    <n v="-5"/>
    <n v="410.32745249999999"/>
    <n v="433.56739999999996"/>
    <n v="-680.40000000000009"/>
    <s v="Call"/>
    <s v="si"/>
    <s v="V"/>
    <s v="VC"/>
    <n v="287.22921674999998"/>
    <n v="328.26196200000004"/>
    <n v="369.29470724999999"/>
    <n v="410.32745249999999"/>
    <n v="451.36019775000005"/>
    <n v="492.39294299999995"/>
    <n v="533.42568825000001"/>
    <n v="0"/>
    <n v="0"/>
    <n v="0"/>
    <n v="0"/>
    <n v="0"/>
    <n v="0"/>
    <n v="0"/>
    <n v="0"/>
    <n v="0"/>
    <n v="0"/>
    <n v="0"/>
    <n v="-12106.219589100063"/>
    <n v="-40024.899457199994"/>
    <n v="-67943.579325300045"/>
    <n v="0"/>
    <n v="0"/>
    <n v="0"/>
    <n v="0"/>
    <n v="-680.40000000000009"/>
    <n v="-680.40000000000009"/>
    <n v="-680.40000000000009"/>
    <n v="-680.40000000000009"/>
  </r>
  <r>
    <x v="3"/>
    <s v="C"/>
    <s v="O"/>
    <s v="F1"/>
    <s v=".AS-0120026E"/>
    <n v="3852"/>
    <n v="2"/>
    <n v="100000"/>
    <s v="CALL MAY 26 SOYBEANS   1200"/>
    <s v=".11 1/8"/>
    <n v="20251009"/>
    <s v=""/>
    <n v="202605"/>
    <s v=""/>
    <s v="F"/>
    <s v="C"/>
    <n v="1200000000"/>
    <n v="20260424"/>
    <s v=""/>
    <s v="FUTUROS Y OPCIONES.C"/>
    <s v=""/>
    <n v="20251009"/>
    <n v="1"/>
    <s v="1A"/>
    <s v="S-"/>
    <s v=""/>
    <s v=""/>
    <s v=".11125000"/>
    <s v=""/>
    <s v=""/>
    <s v=""/>
    <s v=""/>
    <s v=""/>
    <n v="0"/>
    <s v="10.0000"/>
    <s v="USD"/>
    <n v="-668750"/>
    <n v="0"/>
    <n v="1116750000"/>
    <n v="50000"/>
    <s v="5J09 Mb60"/>
    <n v="115953852"/>
    <s v="0,2310"/>
    <s v="S"/>
    <s v="CBT"/>
    <s v="Comdty"/>
    <s v="Soja"/>
    <n v="0.36742999999999998"/>
    <n v="-10"/>
    <n v="410.32745249999999"/>
    <n v="440.916"/>
    <n v="-1360.8000000000002"/>
    <s v="Call"/>
    <s v="si"/>
    <s v="V"/>
    <s v="VC"/>
    <n v="287.22921674999998"/>
    <n v="328.26196200000004"/>
    <n v="369.29470724999999"/>
    <n v="410.32745249999999"/>
    <n v="451.36019775000005"/>
    <n v="492.39294299999995"/>
    <n v="533.42568825000001"/>
    <n v="0"/>
    <n v="0"/>
    <n v="0"/>
    <n v="0"/>
    <n v="0"/>
    <n v="0"/>
    <n v="0"/>
    <n v="0"/>
    <n v="0"/>
    <n v="0"/>
    <n v="0"/>
    <n v="-14212.464298200081"/>
    <n v="-70049.824034399935"/>
    <n v="-125887.18377060004"/>
    <n v="0"/>
    <n v="0"/>
    <n v="0"/>
    <n v="0"/>
    <n v="-1360.8000000000002"/>
    <n v="-1360.8000000000002"/>
    <n v="-1360.8000000000002"/>
    <n v="-1360.8000000000002"/>
  </r>
  <r>
    <x v="3"/>
    <s v="C"/>
    <s v="O"/>
    <s v="F1"/>
    <s v=".AS-0120026E"/>
    <n v="7406"/>
    <n v="2"/>
    <n v="50000"/>
    <s v="CALL MAY 26 SOYBEANS   1200"/>
    <s v=".13 3/4"/>
    <n v="20251023"/>
    <s v=""/>
    <n v="202605"/>
    <s v=""/>
    <s v="F"/>
    <s v="C"/>
    <n v="1200000000"/>
    <n v="20260424"/>
    <s v=""/>
    <s v="FUTUROS Y OPCIONES.C"/>
    <s v=""/>
    <n v="20251023"/>
    <n v="1"/>
    <s v="1A"/>
    <s v="S-"/>
    <s v=""/>
    <s v=""/>
    <s v=".13750000"/>
    <s v=""/>
    <s v=""/>
    <s v=""/>
    <s v=""/>
    <s v=""/>
    <n v="0"/>
    <s v="5.0000"/>
    <s v="USD"/>
    <n v="-334375"/>
    <n v="0"/>
    <n v="1116750000"/>
    <n v="50000"/>
    <s v="5J23 YX10"/>
    <n v="116067406"/>
    <s v="0,2310"/>
    <s v="S"/>
    <s v="CBT"/>
    <s v="Comdty"/>
    <s v="Soja"/>
    <n v="0.36742999999999998"/>
    <n v="-5"/>
    <n v="410.32745249999999"/>
    <n v="440.916"/>
    <n v="-680.40000000000009"/>
    <s v="Call"/>
    <s v="si"/>
    <s v="V"/>
    <s v="VC"/>
    <n v="287.22921674999998"/>
    <n v="328.26196200000004"/>
    <n v="369.29470724999999"/>
    <n v="410.32745249999999"/>
    <n v="451.36019775000005"/>
    <n v="492.39294299999995"/>
    <n v="533.42568825000001"/>
    <n v="0"/>
    <n v="0"/>
    <n v="0"/>
    <n v="0"/>
    <n v="0"/>
    <n v="0"/>
    <n v="0"/>
    <n v="0"/>
    <n v="0"/>
    <n v="0"/>
    <n v="0"/>
    <n v="-7106.2321491000403"/>
    <n v="-35024.912017199968"/>
    <n v="-62943.591885300018"/>
    <n v="0"/>
    <n v="0"/>
    <n v="0"/>
    <n v="0"/>
    <n v="-680.40000000000009"/>
    <n v="-680.40000000000009"/>
    <n v="-680.40000000000009"/>
    <n v="-680.40000000000009"/>
  </r>
  <r>
    <x v="4"/>
    <s v="C"/>
    <s v="O"/>
    <s v="F1"/>
    <s v=".AS-0119026C"/>
    <n v="2559"/>
    <n v="1"/>
    <n v="40000"/>
    <s v="CALL MAR 26 SOYBEANS   1190"/>
    <s v=".14 7/8"/>
    <n v="20251028"/>
    <s v=""/>
    <n v="202603"/>
    <s v=""/>
    <s v="F"/>
    <s v="C"/>
    <n v="1190000000"/>
    <n v="20260220"/>
    <s v=""/>
    <s v="FUTUROS Y OPCIONES.C"/>
    <s v=""/>
    <n v="20251028"/>
    <n v="1"/>
    <s v="1A"/>
    <s v="S-"/>
    <s v=""/>
    <s v=""/>
    <s v=".14875000"/>
    <s v=""/>
    <s v=""/>
    <s v=""/>
    <s v=""/>
    <s v=""/>
    <n v="40000"/>
    <s v=".0000"/>
    <s v="USD"/>
    <n v="120000"/>
    <n v="0"/>
    <n v="1105750000"/>
    <n v="50000"/>
    <s v="5J28 QUD0"/>
    <n v="116112559"/>
    <s v="0,1540"/>
    <s v="S"/>
    <s v="CBT"/>
    <s v="Comdty"/>
    <s v="Soja"/>
    <n v="0.36742999999999998"/>
    <n v="4"/>
    <n v="406.28572249999996"/>
    <n v="437.24169999999998"/>
    <n v="544.32000000000005"/>
    <s v="Call"/>
    <s v="si"/>
    <s v="C"/>
    <s v="CC"/>
    <n v="284.40000574999993"/>
    <n v="325.02857799999998"/>
    <n v="365.65715024999997"/>
    <n v="406.28572249999996"/>
    <n v="446.91429475000001"/>
    <n v="487.54286699999994"/>
    <n v="528.17143924999993"/>
    <n v="0"/>
    <n v="0"/>
    <n v="0"/>
    <n v="0"/>
    <n v="0"/>
    <n v="0"/>
    <n v="0"/>
    <n v="0"/>
    <n v="0"/>
    <n v="0"/>
    <n v="0"/>
    <n v="5264.9867743200166"/>
    <n v="27379.931221439983"/>
    <n v="49494.87566855998"/>
    <n v="0"/>
    <n v="0"/>
    <n v="0"/>
    <n v="0"/>
    <n v="544.32000000000005"/>
    <n v="544.32000000000005"/>
    <n v="544.32000000000005"/>
    <n v="544.32000000000005"/>
  </r>
  <r>
    <x v="4"/>
    <s v="C"/>
    <s v="O"/>
    <s v="F1"/>
    <s v=".AS-0119026C"/>
    <n v="6085"/>
    <n v="1"/>
    <n v="40000"/>
    <s v="CALL MAR 26 SOYBEANS   1190"/>
    <s v=".13"/>
    <n v="20251030"/>
    <s v=""/>
    <n v="202603"/>
    <s v=""/>
    <s v="F"/>
    <s v="C"/>
    <n v="1190000000"/>
    <n v="20260220"/>
    <s v=""/>
    <s v="FUTUROS Y OPCIONES.C"/>
    <s v=""/>
    <n v="20251030"/>
    <n v="1"/>
    <s v="1A"/>
    <s v="S-"/>
    <s v=""/>
    <s v=""/>
    <s v=".13000000"/>
    <s v=""/>
    <s v=""/>
    <s v=""/>
    <s v=""/>
    <s v=""/>
    <n v="40000"/>
    <s v=".0000"/>
    <s v="USD"/>
    <n v="120000"/>
    <n v="0"/>
    <n v="1105750000"/>
    <n v="50000"/>
    <s v="5J30 Doh0"/>
    <n v="116136085"/>
    <s v="0,1540"/>
    <s v="S"/>
    <s v="CBT"/>
    <s v="Comdty"/>
    <s v="Soja"/>
    <n v="0.36742999999999998"/>
    <n v="4"/>
    <n v="406.28572249999996"/>
    <n v="437.24169999999998"/>
    <n v="544.32000000000005"/>
    <s v="Call"/>
    <s v="si"/>
    <s v="C"/>
    <s v="CC"/>
    <n v="284.40000574999993"/>
    <n v="325.02857799999998"/>
    <n v="365.65715024999997"/>
    <n v="406.28572249999996"/>
    <n v="446.91429475000001"/>
    <n v="487.54286699999994"/>
    <n v="528.17143924999993"/>
    <n v="0"/>
    <n v="0"/>
    <n v="0"/>
    <n v="0"/>
    <n v="0"/>
    <n v="0"/>
    <n v="0"/>
    <n v="0"/>
    <n v="0"/>
    <n v="0"/>
    <n v="0"/>
    <n v="5264.9867743200166"/>
    <n v="27379.931221439983"/>
    <n v="49494.87566855998"/>
    <n v="0"/>
    <n v="0"/>
    <n v="0"/>
    <n v="0"/>
    <n v="544.32000000000005"/>
    <n v="544.32000000000005"/>
    <n v="544.32000000000005"/>
    <n v="544.32000000000005"/>
  </r>
  <r>
    <x v="4"/>
    <s v="C"/>
    <s v="O"/>
    <s v="F1"/>
    <s v=".AS-0120026C"/>
    <n v="1715"/>
    <n v="1"/>
    <n v="40000"/>
    <s v="CALL MAR 26 SOYBEANS   1200"/>
    <s v=".13 1/2"/>
    <n v="20251104"/>
    <s v=""/>
    <n v="202603"/>
    <s v=""/>
    <s v="F"/>
    <s v="C"/>
    <n v="1200000000"/>
    <n v="20260220"/>
    <s v=""/>
    <s v="FUTUROS Y OPCIONES.C"/>
    <s v=""/>
    <n v="20251104"/>
    <n v="1"/>
    <s v="1A"/>
    <s v="S-"/>
    <s v=""/>
    <s v=""/>
    <s v=".13500000"/>
    <s v=""/>
    <s v=""/>
    <s v=""/>
    <s v=""/>
    <s v=""/>
    <n v="40000"/>
    <s v=".0000"/>
    <s v="USD"/>
    <n v="100000"/>
    <n v="0"/>
    <n v="1105750000"/>
    <n v="50000"/>
    <s v="5K04 EJP0"/>
    <n v="116171715"/>
    <s v="0,1320"/>
    <s v="S"/>
    <s v="CBT"/>
    <s v="Comdty"/>
    <s v="Soja"/>
    <n v="0.36742999999999998"/>
    <n v="4"/>
    <n v="406.28572249999996"/>
    <n v="440.916"/>
    <n v="544.32000000000005"/>
    <s v="Call"/>
    <s v="si"/>
    <s v="C"/>
    <s v="CC"/>
    <n v="284.40000574999993"/>
    <n v="325.02857799999998"/>
    <n v="365.65715024999997"/>
    <n v="406.28572249999996"/>
    <n v="446.91429475000001"/>
    <n v="487.54286699999994"/>
    <n v="528.17143924999993"/>
    <n v="0"/>
    <n v="0"/>
    <n v="0"/>
    <n v="0"/>
    <n v="0"/>
    <n v="0"/>
    <n v="0"/>
    <n v="0"/>
    <n v="0"/>
    <n v="0"/>
    <n v="0"/>
    <n v="3264.9917983200075"/>
    <n v="25379.936245439974"/>
    <n v="47494.880692559971"/>
    <n v="0"/>
    <n v="0"/>
    <n v="0"/>
    <n v="0"/>
    <n v="544.32000000000005"/>
    <n v="544.32000000000005"/>
    <n v="544.32000000000005"/>
    <n v="544.32000000000005"/>
  </r>
  <r>
    <x v="5"/>
    <s v="C"/>
    <s v=""/>
    <s v="F1"/>
    <s v=".AC-0000026C"/>
    <n v="1477"/>
    <n v="1"/>
    <n v="920000"/>
    <s v="MAR 26 CORN"/>
    <s v="4.45 1/2"/>
    <n v="20251030"/>
    <s v=""/>
    <n v="202603"/>
    <s v=""/>
    <s v="F"/>
    <s v=""/>
    <n v="0"/>
    <n v="0"/>
    <s v=""/>
    <s v="FYO ACOPIO SA"/>
    <s v=""/>
    <n v="20251030"/>
    <n v="1"/>
    <s v="1A"/>
    <s v="C-"/>
    <s v=""/>
    <s v=""/>
    <s v="4.45500000"/>
    <s v=""/>
    <s v=""/>
    <s v=""/>
    <s v=""/>
    <s v=""/>
    <n v="920000"/>
    <s v=".0000"/>
    <s v="USD"/>
    <n v="-805000"/>
    <n v="443750000"/>
    <n v="0"/>
    <n v="50000"/>
    <s v="5J30 PNI0"/>
    <n v="116141477"/>
    <s v="0,0000"/>
    <s v="C"/>
    <s v="CBT"/>
    <s v="Comdty"/>
    <s v="Maíz"/>
    <n v="0.39369999999999999"/>
    <n v="92"/>
    <n v="174.704375"/>
    <n v="0"/>
    <n v="11684.46"/>
    <s v="Futuro"/>
    <s v="no"/>
    <s v="C"/>
    <s v=""/>
    <n v="122.29306249999999"/>
    <n v="139.76349999999999"/>
    <n v="157.2339375"/>
    <n v="174.704375"/>
    <n v="192.1748125"/>
    <n v="209.64525"/>
    <n v="227.11568750000001"/>
    <n v="-612397.8844537501"/>
    <n v="-408265.25630250003"/>
    <n v="-204132.62815125001"/>
    <n v="0"/>
    <n v="204132.62815125001"/>
    <n v="408265.25630250003"/>
    <n v="612397.8844537501"/>
    <n v="0"/>
    <n v="0"/>
    <n v="0"/>
    <n v="0"/>
    <n v="0"/>
    <n v="0"/>
    <n v="0"/>
    <n v="0"/>
    <n v="0"/>
    <n v="0"/>
    <n v="0"/>
    <n v="0"/>
    <n v="0"/>
    <n v="0"/>
    <n v="11684.46"/>
  </r>
  <r>
    <x v="5"/>
    <s v="C"/>
    <s v=""/>
    <s v="F1"/>
    <s v=".AC-0000026C"/>
    <n v="3966"/>
    <n v="1"/>
    <n v="950000"/>
    <s v="MAR 26 CORN"/>
    <s v="4.49 3/4"/>
    <n v="20251117"/>
    <s v=""/>
    <n v="202603"/>
    <s v=""/>
    <s v="F"/>
    <s v=""/>
    <n v="0"/>
    <n v="0"/>
    <s v=""/>
    <s v="FYO ACOPIO SA"/>
    <s v=""/>
    <n v="20251117"/>
    <n v="1"/>
    <s v="1A"/>
    <s v="C-"/>
    <s v=""/>
    <s v=""/>
    <s v="4.49750000"/>
    <s v=""/>
    <s v=""/>
    <s v=""/>
    <s v=""/>
    <s v=""/>
    <n v="950000"/>
    <s v=".0000"/>
    <s v="USD"/>
    <n v="-2850000"/>
    <n v="443750000"/>
    <n v="0"/>
    <n v="50000"/>
    <s v="5K17 GcE0"/>
    <n v="116283966"/>
    <s v="0,0000"/>
    <s v="C"/>
    <s v="CBT"/>
    <s v="Comdty"/>
    <s v="Maíz"/>
    <n v="0.39369999999999999"/>
    <n v="95"/>
    <n v="174.704375"/>
    <n v="0"/>
    <n v="12065.475"/>
    <s v="Futuro"/>
    <s v="no"/>
    <s v="C"/>
    <s v=""/>
    <n v="122.29306249999999"/>
    <n v="139.76349999999999"/>
    <n v="157.2339375"/>
    <n v="174.704375"/>
    <n v="192.1748125"/>
    <n v="209.64525"/>
    <n v="227.11568750000001"/>
    <n v="-632367.38068593759"/>
    <n v="-421578.25379062508"/>
    <n v="-210789.12689531254"/>
    <n v="0"/>
    <n v="210789.12689531254"/>
    <n v="421578.25379062508"/>
    <n v="632367.38068593759"/>
    <n v="0"/>
    <n v="0"/>
    <n v="0"/>
    <n v="0"/>
    <n v="0"/>
    <n v="0"/>
    <n v="0"/>
    <n v="0"/>
    <n v="0"/>
    <n v="0"/>
    <n v="0"/>
    <n v="0"/>
    <n v="0"/>
    <n v="0"/>
    <n v="12065.475"/>
  </r>
  <r>
    <x v="5"/>
    <s v="C"/>
    <s v=""/>
    <s v="F1"/>
    <s v=".AC-0000026E"/>
    <n v="5040"/>
    <n v="1"/>
    <n v="230000"/>
    <s v="MAY 26 CORN"/>
    <s v="4.48 1/2"/>
    <n v="20250911"/>
    <s v=""/>
    <n v="202605"/>
    <s v=""/>
    <s v="F"/>
    <s v=""/>
    <n v="0"/>
    <n v="0"/>
    <s v=""/>
    <s v="FYO ACOPIO SA"/>
    <s v=""/>
    <n v="20250911"/>
    <n v="1"/>
    <s v="1A"/>
    <s v="C-"/>
    <s v=""/>
    <s v=""/>
    <s v="4.48500000"/>
    <s v=""/>
    <s v=""/>
    <s v=""/>
    <s v=""/>
    <s v=""/>
    <n v="230000"/>
    <s v=".0000"/>
    <s v="USD"/>
    <n v="316250"/>
    <n v="451250000"/>
    <n v="0"/>
    <n v="50000"/>
    <s v="5I11 EMM0"/>
    <n v="115755040"/>
    <s v="0,0000"/>
    <s v="C"/>
    <s v="CBT"/>
    <s v="Comdty"/>
    <s v="Maíz"/>
    <n v="0.39369999999999999"/>
    <n v="23"/>
    <n v="177.65712500000001"/>
    <n v="0"/>
    <n v="2921.1149999999998"/>
    <s v="Futuro"/>
    <s v="no"/>
    <s v="C"/>
    <s v=""/>
    <n v="124.3599875"/>
    <n v="142.12570000000002"/>
    <n v="159.8914125"/>
    <n v="177.65712500000001"/>
    <n v="195.42283750000001"/>
    <n v="213.18854999999999"/>
    <n v="230.95426250000003"/>
    <n v="-155687.06780831251"/>
    <n v="-103791.37853887495"/>
    <n v="-51895.689269437513"/>
    <n v="0"/>
    <n v="51895.689269437513"/>
    <n v="103791.37853887495"/>
    <n v="155687.06780831254"/>
    <n v="0"/>
    <n v="0"/>
    <n v="0"/>
    <n v="0"/>
    <n v="0"/>
    <n v="0"/>
    <n v="0"/>
    <n v="0"/>
    <n v="0"/>
    <n v="0"/>
    <n v="0"/>
    <n v="0"/>
    <n v="0"/>
    <n v="0"/>
    <n v="2921.1149999999998"/>
  </r>
  <r>
    <x v="5"/>
    <s v="C"/>
    <s v=""/>
    <s v="F1"/>
    <s v=".AC-0000026G"/>
    <n v="4946"/>
    <n v="1"/>
    <n v="230000"/>
    <s v="JUL 26 CORN"/>
    <s v="4.57"/>
    <n v="20251119"/>
    <s v=""/>
    <n v="202607"/>
    <s v=""/>
    <s v="F"/>
    <s v=""/>
    <n v="0"/>
    <n v="0"/>
    <s v=""/>
    <s v="FYO ACOPIO SA"/>
    <s v=""/>
    <n v="20251119"/>
    <n v="1"/>
    <s v="1A"/>
    <s v="C-"/>
    <s v=""/>
    <s v=""/>
    <s v="4.57000000"/>
    <s v=""/>
    <s v=""/>
    <s v=""/>
    <s v=""/>
    <s v=""/>
    <n v="230000"/>
    <s v=".0000"/>
    <s v="USD"/>
    <n v="0"/>
    <n v="457000000"/>
    <n v="0"/>
    <n v="50000"/>
    <s v="5K19 AP00"/>
    <n v="116304946"/>
    <s v="0,0000"/>
    <s v="C"/>
    <s v="CBT"/>
    <s v="Comdty"/>
    <s v="Maíz"/>
    <n v="0.39369999999999999"/>
    <n v="23"/>
    <n v="179.92089999999999"/>
    <n v="0"/>
    <n v="2921.1149999999998"/>
    <s v="Futuro"/>
    <s v="no"/>
    <s v="C"/>
    <s v=""/>
    <n v="125.94462999999999"/>
    <n v="143.93672000000001"/>
    <n v="161.92881"/>
    <n v="179.92089999999999"/>
    <n v="197.91299000000001"/>
    <n v="215.90507999999997"/>
    <n v="233.89716999999999"/>
    <n v="-157670.89194104998"/>
    <n v="-105113.92796069993"/>
    <n v="-52556.963980349967"/>
    <n v="0"/>
    <n v="52556.963980350054"/>
    <n v="105113.92796069993"/>
    <n v="157670.89194104998"/>
    <n v="0"/>
    <n v="0"/>
    <n v="0"/>
    <n v="0"/>
    <n v="0"/>
    <n v="0"/>
    <n v="0"/>
    <n v="0"/>
    <n v="0"/>
    <n v="0"/>
    <n v="0"/>
    <n v="0"/>
    <n v="0"/>
    <n v="0"/>
    <n v="2921.1149999999998"/>
  </r>
  <r>
    <x v="5"/>
    <s v="C"/>
    <s v=""/>
    <s v="F1"/>
    <s v=".AS-0000026A"/>
    <n v="1276"/>
    <n v="2"/>
    <n v="370000"/>
    <s v="JAN 26 SOYBEANS"/>
    <s v="11.08"/>
    <n v="20251030"/>
    <s v=""/>
    <n v="202601"/>
    <s v=""/>
    <s v="F"/>
    <s v=""/>
    <n v="0"/>
    <n v="0"/>
    <s v=""/>
    <s v="FYO ACOPIO SA"/>
    <s v=""/>
    <n v="20251030"/>
    <n v="1"/>
    <s v="1A"/>
    <s v="S-"/>
    <s v=""/>
    <s v=""/>
    <s v="11.08000000"/>
    <s v=""/>
    <s v=""/>
    <s v=""/>
    <s v=""/>
    <s v=""/>
    <n v="0"/>
    <s v="37.0000"/>
    <s v="USD"/>
    <n v="2636250"/>
    <n v="1093750000"/>
    <n v="0"/>
    <n v="50000"/>
    <s v="5J30 Pva0"/>
    <n v="116141276"/>
    <s v="0,0000"/>
    <s v="S"/>
    <s v="CBT"/>
    <s v="Comdty"/>
    <s v="Soja"/>
    <n v="0.36742999999999998"/>
    <n v="-37"/>
    <n v="401.87656249999998"/>
    <n v="0"/>
    <n v="-5034.96"/>
    <s v="Futuro"/>
    <s v="no"/>
    <s v="V"/>
    <s v=""/>
    <n v="281.31359374999994"/>
    <n v="321.50125000000003"/>
    <n v="361.68890625"/>
    <n v="401.87656249999998"/>
    <n v="442.06421875000001"/>
    <n v="482.25187499999993"/>
    <n v="522.43953124999996"/>
    <n v="607029.72513750021"/>
    <n v="404686.48342499975"/>
    <n v="202343.24171249988"/>
    <n v="0"/>
    <n v="-202343.24171250017"/>
    <n v="-404686.48342499975"/>
    <n v="-607029.72513749986"/>
    <n v="0"/>
    <n v="0"/>
    <n v="0"/>
    <n v="0"/>
    <n v="0"/>
    <n v="0"/>
    <n v="0"/>
    <n v="0"/>
    <n v="0"/>
    <n v="0"/>
    <n v="0"/>
    <n v="0"/>
    <n v="0"/>
    <n v="0"/>
    <n v="-5034.96"/>
  </r>
  <r>
    <x v="5"/>
    <s v="C"/>
    <s v=""/>
    <s v="F1"/>
    <s v=".AS-0000026A"/>
    <n v="3899"/>
    <n v="2"/>
    <n v="370000"/>
    <s v="JAN 26 SOYBEANS"/>
    <s v="11.55"/>
    <n v="20251117"/>
    <s v=""/>
    <n v="202601"/>
    <s v=""/>
    <s v="F"/>
    <s v=""/>
    <n v="0"/>
    <n v="0"/>
    <s v=""/>
    <s v="FYO ACOPIO SA"/>
    <s v=""/>
    <n v="20251117"/>
    <n v="1"/>
    <s v="1A"/>
    <s v="S-"/>
    <s v=""/>
    <s v=""/>
    <s v="11.55000000"/>
    <s v=""/>
    <s v=""/>
    <s v=""/>
    <s v=""/>
    <s v=""/>
    <n v="0"/>
    <s v="37.0000"/>
    <s v="USD"/>
    <n v="11331250"/>
    <n v="1093750000"/>
    <n v="0"/>
    <n v="50000"/>
    <s v="5K17 FNb0"/>
    <n v="116283899"/>
    <s v="0,0000"/>
    <s v="S"/>
    <s v="CBT"/>
    <s v="Comdty"/>
    <s v="Soja"/>
    <n v="0.36742999999999998"/>
    <n v="-37"/>
    <n v="401.87656249999998"/>
    <n v="0"/>
    <n v="-5034.96"/>
    <s v="Futuro"/>
    <s v="no"/>
    <s v="V"/>
    <s v=""/>
    <n v="281.31359374999994"/>
    <n v="321.50125000000003"/>
    <n v="361.68890625"/>
    <n v="401.87656249999998"/>
    <n v="442.06421875000001"/>
    <n v="482.25187499999993"/>
    <n v="522.43953124999996"/>
    <n v="607029.72513750021"/>
    <n v="404686.48342499975"/>
    <n v="202343.24171249988"/>
    <n v="0"/>
    <n v="-202343.24171250017"/>
    <n v="-404686.48342499975"/>
    <n v="-607029.72513749986"/>
    <n v="0"/>
    <n v="0"/>
    <n v="0"/>
    <n v="0"/>
    <n v="0"/>
    <n v="0"/>
    <n v="0"/>
    <n v="0"/>
    <n v="0"/>
    <n v="0"/>
    <n v="0"/>
    <n v="0"/>
    <n v="0"/>
    <n v="0"/>
    <n v="-5034.96"/>
  </r>
  <r>
    <x v="5"/>
    <s v="C"/>
    <s v=""/>
    <s v="F1"/>
    <s v=".AS-0000026E"/>
    <n v="7780"/>
    <n v="2"/>
    <n v="200000"/>
    <s v="MAY 26 SOYBEANS"/>
    <s v="10.85 3/4"/>
    <n v="20251023"/>
    <s v=""/>
    <n v="202605"/>
    <s v=""/>
    <s v="F"/>
    <s v=""/>
    <n v="0"/>
    <n v="0"/>
    <s v=""/>
    <s v="FYO ACOPIO SA"/>
    <s v=""/>
    <n v="20251023"/>
    <n v="1"/>
    <s v="1A"/>
    <s v="S-"/>
    <s v=""/>
    <s v=""/>
    <s v="10.85750000"/>
    <s v=""/>
    <s v=""/>
    <s v=""/>
    <s v=""/>
    <s v=""/>
    <n v="0"/>
    <s v="20.0000"/>
    <s v="USD"/>
    <n v="-3100000"/>
    <n v="1116750000"/>
    <n v="0"/>
    <n v="50000"/>
    <s v="5J23 ZMz0"/>
    <n v="116067780"/>
    <s v="0,0000"/>
    <s v="S"/>
    <s v="CBT"/>
    <s v="Comdty"/>
    <s v="Soja"/>
    <n v="0.36742999999999998"/>
    <n v="-20"/>
    <n v="410.32745249999999"/>
    <n v="0"/>
    <n v="-2721.6000000000004"/>
    <s v="Futuro"/>
    <s v="no"/>
    <s v="V"/>
    <s v=""/>
    <n v="287.22921674999998"/>
    <n v="328.26196200000004"/>
    <n v="369.29470724999999"/>
    <n v="410.32745249999999"/>
    <n v="451.36019775000005"/>
    <n v="492.39294299999995"/>
    <n v="533.42568825000001"/>
    <n v="335024.15841720009"/>
    <n v="223349.43894479991"/>
    <n v="111674.71947240003"/>
    <n v="0"/>
    <n v="-111674.71947240019"/>
    <n v="-223349.43894479991"/>
    <n v="-335024.15841720009"/>
    <n v="0"/>
    <n v="0"/>
    <n v="0"/>
    <n v="0"/>
    <n v="0"/>
    <n v="0"/>
    <n v="0"/>
    <n v="0"/>
    <n v="0"/>
    <n v="0"/>
    <n v="0"/>
    <n v="0"/>
    <n v="0"/>
    <n v="0"/>
    <n v="-2721.6000000000004"/>
  </r>
  <r>
    <x v="5"/>
    <s v="C"/>
    <s v=""/>
    <s v="F1"/>
    <s v=".AS-0000026E"/>
    <n v="8107"/>
    <n v="2"/>
    <n v="450000"/>
    <s v="MAY 26 SOYBEANS"/>
    <s v="10.87"/>
    <n v="20251023"/>
    <s v=""/>
    <n v="202605"/>
    <s v=""/>
    <s v="F"/>
    <s v=""/>
    <n v="0"/>
    <n v="0"/>
    <s v=""/>
    <s v="FYO ACOPIO SA"/>
    <s v=""/>
    <n v="20251023"/>
    <n v="1"/>
    <s v="1A"/>
    <s v="S-"/>
    <s v=""/>
    <s v=""/>
    <s v="10.87000000"/>
    <s v=""/>
    <s v=""/>
    <s v=""/>
    <s v=""/>
    <s v=""/>
    <n v="0"/>
    <s v="45.0000"/>
    <s v="USD"/>
    <n v="-6693750"/>
    <n v="1116750000"/>
    <n v="0"/>
    <n v="50000"/>
    <s v="5J23 0qs0"/>
    <n v="116068107"/>
    <s v="0,0000"/>
    <s v="S"/>
    <s v="CBT"/>
    <s v="Comdty"/>
    <s v="Soja"/>
    <n v="0.36742999999999998"/>
    <n v="-45"/>
    <n v="410.32745249999999"/>
    <n v="0"/>
    <n v="-6123.6"/>
    <s v="Futuro"/>
    <s v="no"/>
    <s v="V"/>
    <s v=""/>
    <n v="287.22921674999998"/>
    <n v="328.26196200000004"/>
    <n v="369.29470724999999"/>
    <n v="410.32745249999999"/>
    <n v="451.36019775000005"/>
    <n v="492.39294299999995"/>
    <n v="533.42568825000001"/>
    <n v="753804.35643870011"/>
    <n v="502536.23762579972"/>
    <n v="251268.11881290004"/>
    <n v="0"/>
    <n v="-251268.11881290039"/>
    <n v="-502536.23762579972"/>
    <n v="-753804.35643870011"/>
    <n v="0"/>
    <n v="0"/>
    <n v="0"/>
    <n v="0"/>
    <n v="0"/>
    <n v="0"/>
    <n v="0"/>
    <n v="0"/>
    <n v="0"/>
    <n v="0"/>
    <n v="0"/>
    <n v="0"/>
    <n v="0"/>
    <n v="0"/>
    <n v="-6123.6"/>
  </r>
  <r>
    <x v="5"/>
    <s v="C"/>
    <s v=""/>
    <s v="F1"/>
    <s v=".AS-0000026E"/>
    <n v="7453"/>
    <n v="2"/>
    <n v="120000"/>
    <s v="MAY 26 SOYBEANS"/>
    <s v="10.86 1/2"/>
    <n v="20251024"/>
    <s v=""/>
    <n v="202605"/>
    <s v=""/>
    <s v="F"/>
    <s v=""/>
    <n v="0"/>
    <n v="0"/>
    <s v=""/>
    <s v="FYO ACOPIO SA"/>
    <s v=""/>
    <n v="20251024"/>
    <n v="1"/>
    <s v="1A"/>
    <s v="S-"/>
    <s v=""/>
    <s v=""/>
    <s v="10.86500000"/>
    <s v=""/>
    <s v=""/>
    <s v=""/>
    <s v=""/>
    <s v=""/>
    <n v="0"/>
    <s v="12.0000"/>
    <s v="USD"/>
    <n v="-1815000"/>
    <n v="1116750000"/>
    <n v="0"/>
    <n v="50000"/>
    <s v="5J24 JnG0"/>
    <n v="116077453"/>
    <s v="0,0000"/>
    <s v="S"/>
    <s v="CBT"/>
    <s v="Comdty"/>
    <s v="Soja"/>
    <n v="0.36742999999999998"/>
    <n v="-12"/>
    <n v="410.32745249999999"/>
    <n v="0"/>
    <n v="-1632.96"/>
    <s v="Futuro"/>
    <s v="no"/>
    <s v="V"/>
    <s v=""/>
    <n v="287.22921674999998"/>
    <n v="328.26196200000004"/>
    <n v="369.29470724999999"/>
    <n v="410.32745249999999"/>
    <n v="451.36019775000005"/>
    <n v="492.39294299999995"/>
    <n v="533.42568825000001"/>
    <n v="201014.49505032002"/>
    <n v="134009.66336687992"/>
    <n v="67004.831683440003"/>
    <n v="0"/>
    <n v="-67004.831683440105"/>
    <n v="-134009.66336687992"/>
    <n v="-201014.49505032002"/>
    <n v="0"/>
    <n v="0"/>
    <n v="0"/>
    <n v="0"/>
    <n v="0"/>
    <n v="0"/>
    <n v="0"/>
    <n v="0"/>
    <n v="0"/>
    <n v="0"/>
    <n v="0"/>
    <n v="0"/>
    <n v="0"/>
    <n v="0"/>
    <n v="-1632.96"/>
  </r>
  <r>
    <x v="5"/>
    <s v="C"/>
    <s v=""/>
    <s v="F1"/>
    <s v=".AS-0000026E"/>
    <n v="5595"/>
    <n v="2"/>
    <n v="40000"/>
    <s v="MAY 26 SOYBEANS"/>
    <s v="10.87"/>
    <n v="20251024"/>
    <s v=""/>
    <n v="202605"/>
    <s v=""/>
    <s v="F"/>
    <s v=""/>
    <n v="0"/>
    <n v="0"/>
    <s v=""/>
    <s v="FYO ACOPIO SA"/>
    <s v=""/>
    <n v="20251024"/>
    <n v="1"/>
    <s v="1A"/>
    <s v="S-"/>
    <s v=""/>
    <s v=""/>
    <s v="10.87000000"/>
    <s v=""/>
    <s v=""/>
    <s v=""/>
    <s v=""/>
    <s v=""/>
    <n v="0"/>
    <s v="4.0000"/>
    <s v="USD"/>
    <n v="-595000"/>
    <n v="1116750000"/>
    <n v="0"/>
    <n v="50000"/>
    <s v="5J24 Es50"/>
    <n v="116075595"/>
    <s v="0,0000"/>
    <s v="S"/>
    <s v="CBT"/>
    <s v="Comdty"/>
    <s v="Soja"/>
    <n v="0.36742999999999998"/>
    <n v="-4"/>
    <n v="410.32745249999999"/>
    <n v="0"/>
    <n v="-544.32000000000005"/>
    <s v="Futuro"/>
    <s v="no"/>
    <s v="V"/>
    <s v=""/>
    <n v="287.22921674999998"/>
    <n v="328.26196200000004"/>
    <n v="369.29470724999999"/>
    <n v="410.32745249999999"/>
    <n v="451.36019775000005"/>
    <n v="492.39294299999995"/>
    <n v="533.42568825000001"/>
    <n v="67004.831683440018"/>
    <n v="44669.887788959975"/>
    <n v="22334.943894480006"/>
    <n v="0"/>
    <n v="-22334.943894480035"/>
    <n v="-44669.887788959975"/>
    <n v="-67004.831683440018"/>
    <n v="0"/>
    <n v="0"/>
    <n v="0"/>
    <n v="0"/>
    <n v="0"/>
    <n v="0"/>
    <n v="0"/>
    <n v="0"/>
    <n v="0"/>
    <n v="0"/>
    <n v="0"/>
    <n v="0"/>
    <n v="0"/>
    <n v="0"/>
    <n v="-544.32000000000005"/>
  </r>
  <r>
    <x v="5"/>
    <s v="C"/>
    <s v=""/>
    <s v="F1"/>
    <s v=".AS-0000026E"/>
    <n v="6142"/>
    <n v="2"/>
    <n v="180000"/>
    <s v="MAY 26 SOYBEANS"/>
    <s v="11.09"/>
    <n v="20251027"/>
    <s v=""/>
    <n v="202605"/>
    <s v=""/>
    <s v="F"/>
    <s v=""/>
    <n v="0"/>
    <n v="0"/>
    <s v=""/>
    <s v="FYO ACOPIO SA"/>
    <s v=""/>
    <n v="20251027"/>
    <n v="1"/>
    <s v="1A"/>
    <s v="S-"/>
    <s v=""/>
    <s v=""/>
    <s v="11.09000000"/>
    <s v=""/>
    <s v=""/>
    <s v=""/>
    <s v=""/>
    <s v=""/>
    <n v="0"/>
    <s v="18.0000"/>
    <s v="USD"/>
    <n v="-697500"/>
    <n v="1116750000"/>
    <n v="0"/>
    <n v="50000"/>
    <s v="5J27 Q8g0"/>
    <n v="116096142"/>
    <s v="0,0000"/>
    <s v="S"/>
    <s v="CBT"/>
    <s v="Comdty"/>
    <s v="Soja"/>
    <n v="0.36742999999999998"/>
    <n v="-18"/>
    <n v="410.32745249999999"/>
    <n v="0"/>
    <n v="-2449.44"/>
    <s v="Futuro"/>
    <s v="no"/>
    <s v="V"/>
    <s v=""/>
    <n v="287.22921674999998"/>
    <n v="328.26196200000004"/>
    <n v="369.29470724999999"/>
    <n v="410.32745249999999"/>
    <n v="451.36019775000005"/>
    <n v="492.39294299999995"/>
    <n v="533.42568825000001"/>
    <n v="301521.74257548002"/>
    <n v="201014.49505031988"/>
    <n v="100507.24752516001"/>
    <n v="0"/>
    <n v="-100507.24752516016"/>
    <n v="-201014.49505031988"/>
    <n v="-301521.74257548002"/>
    <n v="0"/>
    <n v="0"/>
    <n v="0"/>
    <n v="0"/>
    <n v="0"/>
    <n v="0"/>
    <n v="0"/>
    <n v="0"/>
    <n v="0"/>
    <n v="0"/>
    <n v="0"/>
    <n v="0"/>
    <n v="0"/>
    <n v="0"/>
    <n v="-2449.44"/>
  </r>
  <r>
    <x v="5"/>
    <s v="C"/>
    <s v=""/>
    <s v="F1"/>
    <s v=".AS-0000026E"/>
    <n v="3128"/>
    <n v="2"/>
    <n v="20000"/>
    <s v="MAY 26 SOYBEANS"/>
    <s v="11.14"/>
    <n v="20251028"/>
    <s v=""/>
    <n v="202605"/>
    <s v=""/>
    <s v="F"/>
    <s v=""/>
    <n v="0"/>
    <n v="0"/>
    <s v=""/>
    <s v="FYO ACOPIO SA"/>
    <s v=""/>
    <n v="20251028"/>
    <n v="1"/>
    <s v="1A"/>
    <s v="S-"/>
    <s v=""/>
    <s v=""/>
    <s v="11.14000000"/>
    <s v=""/>
    <s v=""/>
    <s v=""/>
    <s v=""/>
    <s v=""/>
    <n v="0"/>
    <s v="2.0000"/>
    <s v="USD"/>
    <n v="-27500"/>
    <n v="1116750000"/>
    <n v="0"/>
    <n v="50000"/>
    <s v="5J28 RNo0"/>
    <n v="116113128"/>
    <s v="0,0000"/>
    <s v="S"/>
    <s v="CBT"/>
    <s v="Comdty"/>
    <s v="Soja"/>
    <n v="0.36742999999999998"/>
    <n v="-2"/>
    <n v="410.32745249999999"/>
    <n v="0"/>
    <n v="-272.16000000000003"/>
    <s v="Futuro"/>
    <s v="no"/>
    <s v="V"/>
    <s v=""/>
    <n v="287.22921674999998"/>
    <n v="328.26196200000004"/>
    <n v="369.29470724999999"/>
    <n v="410.32745249999999"/>
    <n v="451.36019775000005"/>
    <n v="492.39294299999995"/>
    <n v="533.42568825000001"/>
    <n v="33502.415841720009"/>
    <n v="22334.943894479988"/>
    <n v="11167.471947240003"/>
    <n v="0"/>
    <n v="-11167.471947240017"/>
    <n v="-22334.943894479988"/>
    <n v="-33502.415841720009"/>
    <n v="0"/>
    <n v="0"/>
    <n v="0"/>
    <n v="0"/>
    <n v="0"/>
    <n v="0"/>
    <n v="0"/>
    <n v="0"/>
    <n v="0"/>
    <n v="0"/>
    <n v="0"/>
    <n v="0"/>
    <n v="0"/>
    <n v="0"/>
    <n v="-272.16000000000003"/>
  </r>
  <r>
    <x v="5"/>
    <s v="C"/>
    <s v=""/>
    <s v="F1"/>
    <s v=".AS-0000026E"/>
    <n v="2217"/>
    <n v="2"/>
    <n v="30000"/>
    <s v="MAY 26 SOYBEANS"/>
    <s v="11.18"/>
    <n v="20251028"/>
    <s v=""/>
    <n v="202605"/>
    <s v=""/>
    <s v="F"/>
    <s v=""/>
    <n v="0"/>
    <n v="0"/>
    <s v=""/>
    <s v="FYO ACOPIO SA"/>
    <s v=""/>
    <n v="20251028"/>
    <n v="1"/>
    <s v="1A"/>
    <s v="S-"/>
    <s v=""/>
    <s v=""/>
    <s v="11.18000000"/>
    <s v=""/>
    <s v=""/>
    <s v=""/>
    <s v=""/>
    <s v=""/>
    <n v="0"/>
    <s v="3.0000"/>
    <s v="USD"/>
    <n v="18750"/>
    <n v="1116750000"/>
    <n v="0"/>
    <n v="50000"/>
    <s v="5J28 PNj0"/>
    <n v="116112217"/>
    <s v="0,0000"/>
    <s v="S"/>
    <s v="CBT"/>
    <s v="Comdty"/>
    <s v="Soja"/>
    <n v="0.36742999999999998"/>
    <n v="-3"/>
    <n v="410.32745249999999"/>
    <n v="0"/>
    <n v="-408.24"/>
    <s v="Futuro"/>
    <s v="no"/>
    <s v="V"/>
    <s v=""/>
    <n v="287.22921674999998"/>
    <n v="328.26196200000004"/>
    <n v="369.29470724999999"/>
    <n v="410.32745249999999"/>
    <n v="451.36019775000005"/>
    <n v="492.39294299999995"/>
    <n v="533.42568825000001"/>
    <n v="50253.623762580006"/>
    <n v="33502.41584171998"/>
    <n v="16751.207920860001"/>
    <n v="0"/>
    <n v="-16751.207920860026"/>
    <n v="-33502.41584171998"/>
    <n v="-50253.623762580006"/>
    <n v="0"/>
    <n v="0"/>
    <n v="0"/>
    <n v="0"/>
    <n v="0"/>
    <n v="0"/>
    <n v="0"/>
    <n v="0"/>
    <n v="0"/>
    <n v="0"/>
    <n v="0"/>
    <n v="0"/>
    <n v="0"/>
    <n v="0"/>
    <n v="-408.24"/>
  </r>
  <r>
    <x v="5"/>
    <s v="C"/>
    <s v=""/>
    <s v="F1"/>
    <s v=".AS-0000026E"/>
    <n v="2378"/>
    <n v="2"/>
    <n v="60000"/>
    <s v="MAY 26 SOYBEANS"/>
    <s v="11.18 1/4"/>
    <n v="20251028"/>
    <s v=""/>
    <n v="202605"/>
    <s v=""/>
    <s v="F"/>
    <s v=""/>
    <n v="0"/>
    <n v="0"/>
    <s v=""/>
    <s v="FYO ACOPIO SA"/>
    <s v=""/>
    <n v="20251028"/>
    <n v="1"/>
    <s v="1A"/>
    <s v="S-"/>
    <s v=""/>
    <s v=""/>
    <s v="11.18250000"/>
    <s v=""/>
    <s v=""/>
    <s v=""/>
    <s v=""/>
    <s v=""/>
    <n v="0"/>
    <s v="6.0000"/>
    <s v="USD"/>
    <n v="45000"/>
    <n v="1116750000"/>
    <n v="0"/>
    <n v="50000"/>
    <s v="5J28 P7C0"/>
    <n v="116112378"/>
    <s v="0,0000"/>
    <s v="S"/>
    <s v="CBT"/>
    <s v="Comdty"/>
    <s v="Soja"/>
    <n v="0.36742999999999998"/>
    <n v="-6"/>
    <n v="410.32745249999999"/>
    <n v="0"/>
    <n v="-816.48"/>
    <s v="Futuro"/>
    <s v="no"/>
    <s v="V"/>
    <s v=""/>
    <n v="287.22921674999998"/>
    <n v="328.26196200000004"/>
    <n v="369.29470724999999"/>
    <n v="410.32745249999999"/>
    <n v="451.36019775000005"/>
    <n v="492.39294299999995"/>
    <n v="533.42568825000001"/>
    <n v="100507.24752516001"/>
    <n v="67004.831683439959"/>
    <n v="33502.415841720001"/>
    <n v="0"/>
    <n v="-33502.415841720052"/>
    <n v="-67004.831683439959"/>
    <n v="-100507.24752516001"/>
    <n v="0"/>
    <n v="0"/>
    <n v="0"/>
    <n v="0"/>
    <n v="0"/>
    <n v="0"/>
    <n v="0"/>
    <n v="0"/>
    <n v="0"/>
    <n v="0"/>
    <n v="0"/>
    <n v="0"/>
    <n v="0"/>
    <n v="0"/>
    <n v="-816.48"/>
  </r>
  <r>
    <x v="5"/>
    <s v="C"/>
    <s v=""/>
    <s v="F1"/>
    <s v=".AS-0000026E"/>
    <n v="4277"/>
    <n v="2"/>
    <n v="30000"/>
    <s v="MAY 26 SOYBEANS"/>
    <s v="11.20 3/4"/>
    <n v="20251028"/>
    <s v=""/>
    <n v="202605"/>
    <s v=""/>
    <s v="F"/>
    <s v=""/>
    <n v="0"/>
    <n v="0"/>
    <s v=""/>
    <s v="FYO ACOPIO SA"/>
    <s v=""/>
    <n v="20251028"/>
    <n v="1"/>
    <s v="1A"/>
    <s v="S-"/>
    <s v=""/>
    <s v=""/>
    <s v="11.20750000"/>
    <s v=""/>
    <s v=""/>
    <s v=""/>
    <s v=""/>
    <s v=""/>
    <n v="0"/>
    <s v="3.0000"/>
    <s v="USD"/>
    <n v="60000"/>
    <n v="1116750000"/>
    <n v="0"/>
    <n v="50000"/>
    <s v="5J28 z9S0"/>
    <n v="116104277"/>
    <s v="0,0000"/>
    <s v="S"/>
    <s v="CBT"/>
    <s v="Comdty"/>
    <s v="Soja"/>
    <n v="0.36742999999999998"/>
    <n v="-3"/>
    <n v="410.32745249999999"/>
    <n v="0"/>
    <n v="-408.24"/>
    <s v="Futuro"/>
    <s v="no"/>
    <s v="V"/>
    <s v=""/>
    <n v="287.22921674999998"/>
    <n v="328.26196200000004"/>
    <n v="369.29470724999999"/>
    <n v="410.32745249999999"/>
    <n v="451.36019775000005"/>
    <n v="492.39294299999995"/>
    <n v="533.42568825000001"/>
    <n v="50253.623762580006"/>
    <n v="33502.41584171998"/>
    <n v="16751.207920860001"/>
    <n v="0"/>
    <n v="-16751.207920860026"/>
    <n v="-33502.41584171998"/>
    <n v="-50253.623762580006"/>
    <n v="0"/>
    <n v="0"/>
    <n v="0"/>
    <n v="0"/>
    <n v="0"/>
    <n v="0"/>
    <n v="0"/>
    <n v="0"/>
    <n v="0"/>
    <n v="0"/>
    <n v="0"/>
    <n v="0"/>
    <n v="0"/>
    <n v="0"/>
    <n v="-408.24"/>
  </r>
  <r>
    <x v="5"/>
    <s v="C"/>
    <s v=""/>
    <s v="F1"/>
    <s v=".AS-0000026E"/>
    <n v="5114"/>
    <n v="2"/>
    <n v="30000"/>
    <s v="MAY 26 SOYBEANS"/>
    <s v="11.18 1/4"/>
    <n v="20251030"/>
    <s v=""/>
    <n v="202605"/>
    <s v=""/>
    <s v="F"/>
    <s v=""/>
    <n v="0"/>
    <n v="0"/>
    <s v=""/>
    <s v="FYO ACOPIO SA"/>
    <s v=""/>
    <n v="20251030"/>
    <n v="1"/>
    <s v="1A"/>
    <s v="S-"/>
    <s v=""/>
    <s v=""/>
    <s v="11.18250000"/>
    <s v=""/>
    <s v=""/>
    <s v=""/>
    <s v=""/>
    <s v=""/>
    <n v="0"/>
    <s v="3.0000"/>
    <s v="USD"/>
    <n v="22500"/>
    <n v="1116750000"/>
    <n v="0"/>
    <n v="50000"/>
    <s v="5J30 Apn0"/>
    <n v="116135114"/>
    <s v="0,0000"/>
    <s v="S"/>
    <s v="CBT"/>
    <s v="Comdty"/>
    <s v="Soja"/>
    <n v="0.36742999999999998"/>
    <n v="-3"/>
    <n v="410.32745249999999"/>
    <n v="0"/>
    <n v="-408.24"/>
    <s v="Futuro"/>
    <s v="no"/>
    <s v="V"/>
    <s v=""/>
    <n v="287.22921674999998"/>
    <n v="328.26196200000004"/>
    <n v="369.29470724999999"/>
    <n v="410.32745249999999"/>
    <n v="451.36019775000005"/>
    <n v="492.39294299999995"/>
    <n v="533.42568825000001"/>
    <n v="50253.623762580006"/>
    <n v="33502.41584171998"/>
    <n v="16751.207920860001"/>
    <n v="0"/>
    <n v="-16751.207920860026"/>
    <n v="-33502.41584171998"/>
    <n v="-50253.623762580006"/>
    <n v="0"/>
    <n v="0"/>
    <n v="0"/>
    <n v="0"/>
    <n v="0"/>
    <n v="0"/>
    <n v="0"/>
    <n v="0"/>
    <n v="0"/>
    <n v="0"/>
    <n v="0"/>
    <n v="0"/>
    <n v="0"/>
    <n v="0"/>
    <n v="-408.24"/>
  </r>
  <r>
    <x v="5"/>
    <s v="C"/>
    <s v=""/>
    <s v="F1"/>
    <s v=".AS-0000026E"/>
    <n v="2920"/>
    <n v="2"/>
    <n v="30000"/>
    <s v="MAY 26 SOYBEANS"/>
    <s v="11.30 3/4"/>
    <n v="20251031"/>
    <s v=""/>
    <n v="202605"/>
    <s v=""/>
    <s v="F"/>
    <s v=""/>
    <n v="0"/>
    <n v="0"/>
    <s v=""/>
    <s v="FYO ACOPIO SA"/>
    <s v=""/>
    <n v="20251031"/>
    <n v="1"/>
    <s v="1A"/>
    <s v="S-"/>
    <s v=""/>
    <s v=""/>
    <s v="11.30750000"/>
    <s v=""/>
    <s v=""/>
    <s v=""/>
    <s v=""/>
    <s v=""/>
    <n v="0"/>
    <s v="3.0000"/>
    <s v="USD"/>
    <n v="210000"/>
    <n v="1116750000"/>
    <n v="0"/>
    <n v="50000"/>
    <s v="5J31 I5E0"/>
    <n v="116152920"/>
    <s v="0,0000"/>
    <s v="S"/>
    <s v="CBT"/>
    <s v="Comdty"/>
    <s v="Soja"/>
    <n v="0.36742999999999998"/>
    <n v="-3"/>
    <n v="410.32745249999999"/>
    <n v="0"/>
    <n v="-408.24"/>
    <s v="Futuro"/>
    <s v="no"/>
    <s v="V"/>
    <s v=""/>
    <n v="287.22921674999998"/>
    <n v="328.26196200000004"/>
    <n v="369.29470724999999"/>
    <n v="410.32745249999999"/>
    <n v="451.36019775000005"/>
    <n v="492.39294299999995"/>
    <n v="533.42568825000001"/>
    <n v="50253.623762580006"/>
    <n v="33502.41584171998"/>
    <n v="16751.207920860001"/>
    <n v="0"/>
    <n v="-16751.207920860026"/>
    <n v="-33502.41584171998"/>
    <n v="-50253.623762580006"/>
    <n v="0"/>
    <n v="0"/>
    <n v="0"/>
    <n v="0"/>
    <n v="0"/>
    <n v="0"/>
    <n v="0"/>
    <n v="0"/>
    <n v="0"/>
    <n v="0"/>
    <n v="0"/>
    <n v="0"/>
    <n v="0"/>
    <n v="0"/>
    <n v="-408.24"/>
  </r>
  <r>
    <x v="5"/>
    <s v="C"/>
    <s v=""/>
    <s v="F1"/>
    <s v=".AS-0000026E"/>
    <n v="69"/>
    <n v="2"/>
    <n v="370000"/>
    <s v="MAY 26 SOYBEANS"/>
    <s v="11.35 3/4"/>
    <n v="20251103"/>
    <s v=""/>
    <n v="202605"/>
    <s v=""/>
    <s v="F"/>
    <s v=""/>
    <n v="0"/>
    <n v="0"/>
    <s v=""/>
    <s v="FYO ACOPIO SA"/>
    <s v=""/>
    <n v="20251103"/>
    <n v="1"/>
    <s v="1A"/>
    <s v="S-"/>
    <s v=""/>
    <s v=""/>
    <s v="11.35750000"/>
    <s v=""/>
    <s v=""/>
    <s v=""/>
    <s v=""/>
    <s v=""/>
    <n v="0"/>
    <s v="37.0000"/>
    <s v="USD"/>
    <n v="3515000"/>
    <n v="1116750000"/>
    <n v="0"/>
    <n v="50000"/>
    <s v="5K03 BS90"/>
    <n v="116160069"/>
    <s v="0,0000"/>
    <s v="S"/>
    <s v="CBT"/>
    <s v="Comdty"/>
    <s v="Soja"/>
    <n v="0.36742999999999998"/>
    <n v="-37"/>
    <n v="410.32745249999999"/>
    <n v="0"/>
    <n v="-5034.96"/>
    <s v="Futuro"/>
    <s v="no"/>
    <s v="V"/>
    <s v=""/>
    <n v="287.22921674999998"/>
    <n v="328.26196200000004"/>
    <n v="369.29470724999999"/>
    <n v="410.32745249999999"/>
    <n v="451.36019775000005"/>
    <n v="492.39294299999995"/>
    <n v="533.42568825000001"/>
    <n v="619794.69307182007"/>
    <n v="413196.46204787976"/>
    <n v="206598.23102394002"/>
    <n v="0"/>
    <n v="-206598.23102394032"/>
    <n v="-413196.46204787976"/>
    <n v="-619794.69307182007"/>
    <n v="0"/>
    <n v="0"/>
    <n v="0"/>
    <n v="0"/>
    <n v="0"/>
    <n v="0"/>
    <n v="0"/>
    <n v="0"/>
    <n v="0"/>
    <n v="0"/>
    <n v="0"/>
    <n v="0"/>
    <n v="0"/>
    <n v="0"/>
    <n v="-5034.96"/>
  </r>
  <r>
    <x v="5"/>
    <s v="C"/>
    <s v=""/>
    <s v="F1"/>
    <s v=".AS-0000026E"/>
    <n v="444"/>
    <n v="2"/>
    <n v="740000"/>
    <s v="MAY 26 SOYBEANS"/>
    <s v="11.38 1/2"/>
    <n v="20251103"/>
    <s v=""/>
    <n v="202605"/>
    <s v=""/>
    <s v="F"/>
    <s v=""/>
    <n v="0"/>
    <n v="0"/>
    <s v=""/>
    <s v="FYO ACOPIO SA"/>
    <s v=""/>
    <n v="20251103"/>
    <n v="1"/>
    <s v="1A"/>
    <s v="S-"/>
    <s v=""/>
    <s v=""/>
    <s v="11.38500000"/>
    <s v=""/>
    <s v=""/>
    <s v=""/>
    <s v=""/>
    <s v=""/>
    <n v="0"/>
    <s v="74.0000"/>
    <s v="USD"/>
    <n v="8047500"/>
    <n v="1116750000"/>
    <n v="0"/>
    <n v="50000"/>
    <s v="5K03 CYE0"/>
    <n v="116160444"/>
    <s v="0,0000"/>
    <s v="S"/>
    <s v="CBT"/>
    <s v="Comdty"/>
    <s v="Soja"/>
    <n v="0.36742999999999998"/>
    <n v="-74"/>
    <n v="410.32745249999999"/>
    <n v="0"/>
    <n v="-10069.92"/>
    <s v="Futuro"/>
    <s v="no"/>
    <s v="V"/>
    <s v=""/>
    <n v="287.22921674999998"/>
    <n v="328.26196200000004"/>
    <n v="369.29470724999999"/>
    <n v="410.32745249999999"/>
    <n v="451.36019775000005"/>
    <n v="492.39294299999995"/>
    <n v="533.42568825000001"/>
    <n v="1239589.3861436401"/>
    <n v="826392.92409575952"/>
    <n v="413196.46204788005"/>
    <n v="0"/>
    <n v="-413196.46204788063"/>
    <n v="-826392.92409575952"/>
    <n v="-1239589.3861436401"/>
    <n v="0"/>
    <n v="0"/>
    <n v="0"/>
    <n v="0"/>
    <n v="0"/>
    <n v="0"/>
    <n v="0"/>
    <n v="0"/>
    <n v="0"/>
    <n v="0"/>
    <n v="0"/>
    <n v="0"/>
    <n v="0"/>
    <n v="0"/>
    <n v="-10069.92"/>
  </r>
  <r>
    <x v="5"/>
    <s v="C"/>
    <s v=""/>
    <s v="F1"/>
    <s v=".AS-0000026E"/>
    <n v="3938"/>
    <n v="2"/>
    <n v="30000"/>
    <s v="MAY 26 SOYBEANS"/>
    <s v="11.49"/>
    <n v="20251103"/>
    <s v=""/>
    <n v="202605"/>
    <s v=""/>
    <s v="F"/>
    <s v=""/>
    <n v="0"/>
    <n v="0"/>
    <s v=""/>
    <s v="FYO ACOPIO SA"/>
    <s v=""/>
    <n v="20251103"/>
    <n v="1"/>
    <s v="1A"/>
    <s v="S-"/>
    <s v=""/>
    <s v=""/>
    <s v="11.49000000"/>
    <s v=""/>
    <s v=""/>
    <s v=""/>
    <s v=""/>
    <s v=""/>
    <n v="0"/>
    <s v="3.0000"/>
    <s v="USD"/>
    <n v="483750"/>
    <n v="1116750000"/>
    <n v="0"/>
    <n v="50000"/>
    <s v="5K03 MrD0"/>
    <n v="116163938"/>
    <s v="0,0000"/>
    <s v="S"/>
    <s v="CBT"/>
    <s v="Comdty"/>
    <s v="Soja"/>
    <n v="0.36742999999999998"/>
    <n v="-3"/>
    <n v="410.32745249999999"/>
    <n v="0"/>
    <n v="-408.24"/>
    <s v="Futuro"/>
    <s v="no"/>
    <s v="V"/>
    <s v=""/>
    <n v="287.22921674999998"/>
    <n v="328.26196200000004"/>
    <n v="369.29470724999999"/>
    <n v="410.32745249999999"/>
    <n v="451.36019775000005"/>
    <n v="492.39294299999995"/>
    <n v="533.42568825000001"/>
    <n v="50253.623762580006"/>
    <n v="33502.41584171998"/>
    <n v="16751.207920860001"/>
    <n v="0"/>
    <n v="-16751.207920860026"/>
    <n v="-33502.41584171998"/>
    <n v="-50253.623762580006"/>
    <n v="0"/>
    <n v="0"/>
    <n v="0"/>
    <n v="0"/>
    <n v="0"/>
    <n v="0"/>
    <n v="0"/>
    <n v="0"/>
    <n v="0"/>
    <n v="0"/>
    <n v="0"/>
    <n v="0"/>
    <n v="0"/>
    <n v="0"/>
    <n v="-408.24"/>
  </r>
  <r>
    <x v="5"/>
    <s v="C"/>
    <s v=""/>
    <s v="F1"/>
    <s v=".AS-0000026E"/>
    <n v="3449"/>
    <n v="2"/>
    <n v="150000"/>
    <s v="MAY 26 SOYBEANS"/>
    <s v="11.33"/>
    <n v="20251104"/>
    <s v=""/>
    <n v="202605"/>
    <s v=""/>
    <s v="F"/>
    <s v=""/>
    <n v="0"/>
    <n v="0"/>
    <s v=""/>
    <s v="FYO ACOPIO SA"/>
    <s v=""/>
    <n v="20251104"/>
    <n v="1"/>
    <s v="1A"/>
    <s v="S-"/>
    <s v=""/>
    <s v=""/>
    <s v="11.33000000"/>
    <s v=""/>
    <s v=""/>
    <s v=""/>
    <s v=""/>
    <s v=""/>
    <n v="0"/>
    <s v="15.0000"/>
    <s v="USD"/>
    <n v="1218750"/>
    <n v="1116750000"/>
    <n v="0"/>
    <n v="50000"/>
    <s v="5K04 J560"/>
    <n v="116173449"/>
    <s v="0,0000"/>
    <s v="S"/>
    <s v="CBT"/>
    <s v="Comdty"/>
    <s v="Soja"/>
    <n v="0.36742999999999998"/>
    <n v="-15"/>
    <n v="410.32745249999999"/>
    <n v="0"/>
    <n v="-2041.2000000000003"/>
    <s v="Futuro"/>
    <s v="no"/>
    <s v="V"/>
    <s v=""/>
    <n v="287.22921674999998"/>
    <n v="328.26196200000004"/>
    <n v="369.29470724999999"/>
    <n v="410.32745249999999"/>
    <n v="451.36019775000005"/>
    <n v="492.39294299999995"/>
    <n v="533.42568825000001"/>
    <n v="251268.11881290007"/>
    <n v="167512.07920859993"/>
    <n v="83756.039604300022"/>
    <n v="0"/>
    <n v="-83756.039604300138"/>
    <n v="-167512.07920859993"/>
    <n v="-251268.11881290007"/>
    <n v="0"/>
    <n v="0"/>
    <n v="0"/>
    <n v="0"/>
    <n v="0"/>
    <n v="0"/>
    <n v="0"/>
    <n v="0"/>
    <n v="0"/>
    <n v="0"/>
    <n v="0"/>
    <n v="0"/>
    <n v="0"/>
    <n v="0"/>
    <n v="-2041.2000000000003"/>
  </r>
  <r>
    <x v="5"/>
    <s v="C"/>
    <s v=""/>
    <s v="F1"/>
    <s v=".AS-0000026E"/>
    <n v="3862"/>
    <n v="2"/>
    <n v="370000"/>
    <s v="MAY 26 SOYBEANS"/>
    <s v="11.71"/>
    <n v="20251117"/>
    <s v=""/>
    <n v="202605"/>
    <s v=""/>
    <s v="F"/>
    <s v=""/>
    <n v="0"/>
    <n v="0"/>
    <s v=""/>
    <s v="FYO ACOPIO SA"/>
    <s v=""/>
    <n v="20251117"/>
    <n v="1"/>
    <s v="1A"/>
    <s v="S-"/>
    <s v=""/>
    <s v=""/>
    <s v="11.71000000"/>
    <s v=""/>
    <s v=""/>
    <s v=""/>
    <s v=""/>
    <s v=""/>
    <n v="0"/>
    <s v="37.0000"/>
    <s v="USD"/>
    <n v="10036250"/>
    <n v="1116750000"/>
    <n v="0"/>
    <n v="50000"/>
    <s v="5K17 FFT0"/>
    <n v="116283862"/>
    <s v="0,0000"/>
    <s v="S"/>
    <s v="CBT"/>
    <s v="Comdty"/>
    <s v="Soja"/>
    <n v="0.36742999999999998"/>
    <n v="-37"/>
    <n v="410.32745249999999"/>
    <n v="0"/>
    <n v="-5034.96"/>
    <s v="Futuro"/>
    <s v="no"/>
    <s v="V"/>
    <s v=""/>
    <n v="287.22921674999998"/>
    <n v="328.26196200000004"/>
    <n v="369.29470724999999"/>
    <n v="410.32745249999999"/>
    <n v="451.36019775000005"/>
    <n v="492.39294299999995"/>
    <n v="533.42568825000001"/>
    <n v="619794.69307182007"/>
    <n v="413196.46204787976"/>
    <n v="206598.23102394002"/>
    <n v="0"/>
    <n v="-206598.23102394032"/>
    <n v="-413196.46204787976"/>
    <n v="-619794.69307182007"/>
    <n v="0"/>
    <n v="0"/>
    <n v="0"/>
    <n v="0"/>
    <n v="0"/>
    <n v="0"/>
    <n v="0"/>
    <n v="0"/>
    <n v="0"/>
    <n v="0"/>
    <n v="0"/>
    <n v="0"/>
    <n v="0"/>
    <n v="0"/>
    <n v="-5034.96"/>
  </r>
  <r>
    <x v="5"/>
    <s v="C"/>
    <s v=""/>
    <s v="F1"/>
    <s v=".AS-0000026E"/>
    <n v="6895"/>
    <n v="2"/>
    <n v="150000"/>
    <s v="MAY 26 SOYBEANS"/>
    <s v="11.68"/>
    <n v="20251118"/>
    <s v=""/>
    <n v="202605"/>
    <s v=""/>
    <s v="F"/>
    <s v=""/>
    <n v="0"/>
    <n v="0"/>
    <s v=""/>
    <s v="FYO ACOPIO SA"/>
    <s v=""/>
    <n v="20251118"/>
    <n v="1"/>
    <s v="1A"/>
    <s v="S-"/>
    <s v=""/>
    <s v=""/>
    <s v="11.68000000"/>
    <s v=""/>
    <s v=""/>
    <s v=""/>
    <s v=""/>
    <s v=""/>
    <n v="0"/>
    <s v="15.0000"/>
    <s v="USD"/>
    <n v="3843750"/>
    <n v="1116750000"/>
    <n v="0"/>
    <n v="50000"/>
    <s v="5K18 P410"/>
    <n v="116296895"/>
    <s v="0,0000"/>
    <s v="S"/>
    <s v="CBT"/>
    <s v="Comdty"/>
    <s v="Soja"/>
    <n v="0.36742999999999998"/>
    <n v="-15"/>
    <n v="410.32745249999999"/>
    <n v="0"/>
    <n v="-2041.2000000000003"/>
    <s v="Futuro"/>
    <s v="no"/>
    <s v="V"/>
    <s v=""/>
    <n v="287.22921674999998"/>
    <n v="328.26196200000004"/>
    <n v="369.29470724999999"/>
    <n v="410.32745249999999"/>
    <n v="451.36019775000005"/>
    <n v="492.39294299999995"/>
    <n v="533.42568825000001"/>
    <n v="251268.11881290007"/>
    <n v="167512.07920859993"/>
    <n v="83756.039604300022"/>
    <n v="0"/>
    <n v="-83756.039604300138"/>
    <n v="-167512.07920859993"/>
    <n v="-251268.11881290007"/>
    <n v="0"/>
    <n v="0"/>
    <n v="0"/>
    <n v="0"/>
    <n v="0"/>
    <n v="0"/>
    <n v="0"/>
    <n v="0"/>
    <n v="0"/>
    <n v="0"/>
    <n v="0"/>
    <n v="0"/>
    <n v="0"/>
    <n v="0"/>
    <n v="-2041.2000000000003"/>
  </r>
  <r>
    <x v="5"/>
    <s v="C"/>
    <s v=""/>
    <s v="F1"/>
    <s v=".AS-0000026G"/>
    <n v="7940"/>
    <n v="2"/>
    <n v="220000"/>
    <s v="JUL 26 SOYBEANS"/>
    <s v="11.38"/>
    <n v="20251106"/>
    <s v=""/>
    <n v="202607"/>
    <s v=""/>
    <s v="F"/>
    <s v=""/>
    <n v="0"/>
    <n v="0"/>
    <s v=""/>
    <s v="FYO ACOPIO SA"/>
    <s v=""/>
    <n v="20251106"/>
    <n v="1"/>
    <s v="1A"/>
    <s v="S-"/>
    <s v=""/>
    <s v=""/>
    <s v="11.38000000"/>
    <s v=""/>
    <s v=""/>
    <s v=""/>
    <s v=""/>
    <s v=""/>
    <n v="0"/>
    <s v="22.0000"/>
    <s v="USD"/>
    <n v="1347500"/>
    <n v="1125750000"/>
    <n v="0"/>
    <n v="50000"/>
    <s v="5K06 L5D0"/>
    <n v="116197940"/>
    <s v="0,0000"/>
    <s v="S"/>
    <s v="CBT"/>
    <s v="Comdty"/>
    <s v="Soja"/>
    <n v="0.36742999999999998"/>
    <n v="-22"/>
    <n v="413.6343225"/>
    <n v="0"/>
    <n v="-2993.76"/>
    <s v="Futuro"/>
    <s v="no"/>
    <s v="V"/>
    <s v=""/>
    <n v="289.54402575"/>
    <n v="330.90745800000002"/>
    <n v="372.27089024999998"/>
    <n v="413.6343225"/>
    <n v="454.99775475000001"/>
    <n v="496.36118699999997"/>
    <n v="537.72461925000005"/>
    <n v="371496.56679827999"/>
    <n v="247664.37786551996"/>
    <n v="123832.18893276007"/>
    <n v="0"/>
    <n v="-123832.18893276007"/>
    <n v="-247664.37786551996"/>
    <n v="-371496.56679828017"/>
    <n v="0"/>
    <n v="0"/>
    <n v="0"/>
    <n v="0"/>
    <n v="0"/>
    <n v="0"/>
    <n v="0"/>
    <n v="0"/>
    <n v="0"/>
    <n v="0"/>
    <n v="0"/>
    <n v="0"/>
    <n v="0"/>
    <n v="0"/>
    <n v="-2993.76"/>
  </r>
  <r>
    <x v="5"/>
    <s v="C"/>
    <s v=""/>
    <s v="F1"/>
    <s v=".AW-0000026C"/>
    <n v="3585"/>
    <n v="2"/>
    <n v="40000"/>
    <s v="MAR 26 WHEAT"/>
    <s v="5.40 1/4"/>
    <n v="20251126"/>
    <s v=""/>
    <n v="202603"/>
    <s v=""/>
    <s v="F"/>
    <s v=""/>
    <n v="0"/>
    <n v="0"/>
    <s v=""/>
    <s v="FYO ACOPIO SA"/>
    <s v=""/>
    <n v="20251126"/>
    <n v="1"/>
    <s v="1A"/>
    <s v="W-"/>
    <s v=""/>
    <s v=""/>
    <s v="5.40250000"/>
    <s v=""/>
    <s v=""/>
    <s v=""/>
    <s v=""/>
    <s v=""/>
    <n v="0"/>
    <s v="4.0000"/>
    <s v="USD"/>
    <n v="110000"/>
    <n v="534750000"/>
    <n v="0"/>
    <n v="50000"/>
    <s v="5K26 OWv0"/>
    <n v="116373585"/>
    <s v="0,0000"/>
    <s v="W"/>
    <s v="CBT"/>
    <s v="Comdty"/>
    <s v="Trigo"/>
    <n v="0.36742999999999998"/>
    <n v="-4"/>
    <n v="196.4831925"/>
    <n v="0"/>
    <n v="-544.32000000000005"/>
    <s v="Futuro"/>
    <s v="no"/>
    <s v="V"/>
    <s v=""/>
    <n v="137.53823474999999"/>
    <n v="157.186554"/>
    <n v="176.83487325000002"/>
    <n v="196.4831925"/>
    <n v="216.13151175000002"/>
    <n v="235.779831"/>
    <n v="255.42815025000002"/>
    <n v="32084.919402480013"/>
    <n v="21389.946268320004"/>
    <n v="10694.973134159993"/>
    <n v="0"/>
    <n v="-10694.973134160009"/>
    <n v="-21389.946268320004"/>
    <n v="-32084.919402480013"/>
    <n v="0"/>
    <n v="0"/>
    <n v="0"/>
    <n v="0"/>
    <n v="0"/>
    <n v="0"/>
    <n v="0"/>
    <n v="0"/>
    <n v="0"/>
    <n v="0"/>
    <n v="0"/>
    <n v="0"/>
    <n v="0"/>
    <n v="0"/>
    <n v="-544.32000000000005"/>
  </r>
  <r>
    <x v="5"/>
    <s v="C"/>
    <s v=""/>
    <s v="F1"/>
    <s v=".AW-0000026C"/>
    <n v="3585"/>
    <n v="2"/>
    <n v="10000"/>
    <s v="MAR 26 WHEAT"/>
    <s v="5.41"/>
    <n v="20251126"/>
    <s v=""/>
    <n v="202603"/>
    <s v=""/>
    <s v="F"/>
    <s v=""/>
    <n v="0"/>
    <n v="0"/>
    <s v=""/>
    <s v="FYO ACOPIO SA"/>
    <s v=""/>
    <n v="20251126"/>
    <n v="1"/>
    <s v="1A"/>
    <s v="W-"/>
    <s v=""/>
    <s v=""/>
    <s v="5.41000000"/>
    <s v=""/>
    <s v=""/>
    <s v=""/>
    <s v=""/>
    <s v=""/>
    <n v="0"/>
    <s v="1.0000"/>
    <s v="USD"/>
    <n v="31250"/>
    <n v="534750000"/>
    <n v="0"/>
    <n v="50000"/>
    <s v="5K26 OHh0"/>
    <n v="116373585"/>
    <s v="0,0000"/>
    <s v="W"/>
    <s v="CBT"/>
    <s v="Comdty"/>
    <s v="Trigo"/>
    <n v="0.36742999999999998"/>
    <n v="-1"/>
    <n v="196.4831925"/>
    <n v="0"/>
    <n v="-136.08000000000001"/>
    <s v="Futuro"/>
    <s v="no"/>
    <s v="V"/>
    <s v=""/>
    <n v="137.53823474999999"/>
    <n v="157.186554"/>
    <n v="176.83487325000002"/>
    <n v="196.4831925"/>
    <n v="216.13151175000002"/>
    <n v="235.779831"/>
    <n v="255.42815025000002"/>
    <n v="8021.2298506200032"/>
    <n v="5347.4865670800009"/>
    <n v="2673.7432835399982"/>
    <n v="0"/>
    <n v="-2673.7432835400023"/>
    <n v="-5347.4865670800009"/>
    <n v="-8021.2298506200032"/>
    <n v="0"/>
    <n v="0"/>
    <n v="0"/>
    <n v="0"/>
    <n v="0"/>
    <n v="0"/>
    <n v="0"/>
    <n v="0"/>
    <n v="0"/>
    <n v="0"/>
    <n v="0"/>
    <n v="0"/>
    <n v="0"/>
    <n v="0"/>
    <n v="-136.08000000000001"/>
  </r>
  <r>
    <x v="5"/>
    <s v="C"/>
    <s v=""/>
    <s v="F1"/>
    <s v=".AW-0000026C"/>
    <n v="3585"/>
    <n v="2"/>
    <n v="170000"/>
    <s v="MAR 26 WHEAT"/>
    <s v="5.42"/>
    <n v="20251126"/>
    <s v=""/>
    <n v="202603"/>
    <s v=""/>
    <s v="F"/>
    <s v=""/>
    <n v="0"/>
    <n v="0"/>
    <s v=""/>
    <s v="FYO ACOPIO SA"/>
    <s v=""/>
    <n v="20251126"/>
    <n v="1"/>
    <s v="1A"/>
    <s v="W-"/>
    <s v=""/>
    <s v=""/>
    <s v="5.42000000"/>
    <s v=""/>
    <s v=""/>
    <s v=""/>
    <s v=""/>
    <s v=""/>
    <n v="0"/>
    <s v="17.0000"/>
    <s v="USD"/>
    <n v="616250"/>
    <n v="534750000"/>
    <n v="0"/>
    <n v="50000"/>
    <s v="5K26 NUM0"/>
    <n v="116373585"/>
    <s v="0,0000"/>
    <s v="W"/>
    <s v="CBT"/>
    <s v="Comdty"/>
    <s v="Trigo"/>
    <n v="0.36742999999999998"/>
    <n v="-17"/>
    <n v="196.4831925"/>
    <n v="0"/>
    <n v="-2313.36"/>
    <s v="Futuro"/>
    <s v="no"/>
    <s v="V"/>
    <s v=""/>
    <n v="137.53823474999999"/>
    <n v="157.186554"/>
    <n v="176.83487325000002"/>
    <n v="196.4831925"/>
    <n v="216.13151175000002"/>
    <n v="235.779831"/>
    <n v="255.42815025000002"/>
    <n v="136360.90746054004"/>
    <n v="90907.271640360006"/>
    <n v="45453.635820179967"/>
    <n v="0"/>
    <n v="-45453.635820180032"/>
    <n v="-90907.271640360006"/>
    <n v="-136360.90746054004"/>
    <n v="0"/>
    <n v="0"/>
    <n v="0"/>
    <n v="0"/>
    <n v="0"/>
    <n v="0"/>
    <n v="0"/>
    <n v="0"/>
    <n v="0"/>
    <n v="0"/>
    <n v="0"/>
    <n v="0"/>
    <n v="0"/>
    <n v="0"/>
    <n v="-2313.36"/>
  </r>
  <r>
    <x v="5"/>
    <s v="C"/>
    <s v=""/>
    <s v="F1"/>
    <s v="912797RK5"/>
    <n v="0"/>
    <n v="1"/>
    <n v="2500000000"/>
    <s v="US TREASURY BILL 01/29/2026"/>
    <s v=""/>
    <n v="20251030"/>
    <s v=""/>
    <n v="0"/>
    <s v=""/>
    <s v="B"/>
    <s v=""/>
    <n v="0"/>
    <n v="20260129"/>
    <s v=""/>
    <s v="FYO ACOPIO SA"/>
    <s v=""/>
    <n v="20251030"/>
    <n v="0"/>
    <s v=""/>
    <s v=""/>
    <s v=""/>
    <s v="L"/>
    <s v=".99080904"/>
    <s v=""/>
    <s v=""/>
    <s v=""/>
    <s v=""/>
    <s v=""/>
    <n v="2500000000"/>
    <s v=".0000"/>
    <s v="USD"/>
    <n v="23750000"/>
    <n v="9500000000"/>
    <n v="0"/>
    <n v="0"/>
    <s v="5J30 MY30"/>
    <n v="0"/>
    <s v="0,0000"/>
    <s v=""/>
    <s v=""/>
    <s v=""/>
    <s v="T-BILL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5"/>
    <s v="C"/>
    <s v=""/>
    <s v="F1"/>
    <s v="912797SR9"/>
    <n v="0"/>
    <n v="1"/>
    <n v="2500000000"/>
    <s v="US TREASURY BILL 02/17/2026"/>
    <s v=""/>
    <n v="20251113"/>
    <s v=""/>
    <n v="0"/>
    <s v=""/>
    <s v="B"/>
    <s v=""/>
    <n v="0"/>
    <n v="20260217"/>
    <s v=""/>
    <s v="FYO ACOPIO SA"/>
    <s v=""/>
    <n v="20251113"/>
    <n v="0"/>
    <s v=""/>
    <s v=""/>
    <s v=""/>
    <s v="L"/>
    <s v=".99036988"/>
    <s v=""/>
    <s v=""/>
    <s v=""/>
    <s v=""/>
    <s v=""/>
    <n v="2500000000"/>
    <s v=".0000"/>
    <s v="USD"/>
    <n v="23750000"/>
    <n v="9500000000"/>
    <n v="0"/>
    <n v="0"/>
    <s v="5K13 FWD0"/>
    <n v="0"/>
    <s v="0,0000"/>
    <s v=""/>
    <s v=""/>
    <s v=""/>
    <s v="T-BILL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81">
  <r>
    <n v="66"/>
    <x v="0"/>
    <n v="2099.92"/>
    <n v="0"/>
    <s v="Pesos"/>
    <s v=" $"/>
    <s v="Satus Ager SA"/>
  </r>
  <r>
    <n v="5100"/>
    <x v="1"/>
    <n v="0"/>
    <n v="0"/>
    <s v="Pesos"/>
    <s v=" $"/>
    <s v="COMAFI BURSATIL SA"/>
  </r>
  <r>
    <n v="5263"/>
    <x v="2"/>
    <n v="0"/>
    <n v="0"/>
    <s v="Pesos"/>
    <s v=" $"/>
    <s v="GALICIA SECURITIES SAU"/>
  </r>
  <r>
    <n v="5194"/>
    <x v="3"/>
    <n v="0"/>
    <n v="0"/>
    <s v="Pesos"/>
    <s v=" $"/>
    <s v="ENRIQUE R. ZENI Y CIA SACIAFEI"/>
  </r>
  <r>
    <n v="5202"/>
    <x v="4"/>
    <n v="0"/>
    <n v="0"/>
    <s v="Pesos"/>
    <s v=" $"/>
    <s v="TRANSATLANTICA SA BURSATIL"/>
  </r>
  <r>
    <n v="1019"/>
    <x v="5"/>
    <n v="0"/>
    <n v="0"/>
    <s v="Pesos"/>
    <s v=" $"/>
    <s v="BACS SA SG TT TORONTO TRUST"/>
  </r>
  <r>
    <n v="5097"/>
    <x v="6"/>
    <n v="-90804.33"/>
    <n v="0"/>
    <s v="Pesos"/>
    <s v=" $"/>
    <s v="ADCAP SECURITIES ARGENTINA SA"/>
  </r>
  <r>
    <n v="5046"/>
    <x v="7"/>
    <n v="0"/>
    <n v="0"/>
    <s v="Pesos"/>
    <s v=" $"/>
    <s v="COHEN SA"/>
  </r>
  <r>
    <n v="5120"/>
    <x v="8"/>
    <n v="0"/>
    <n v="0"/>
    <s v="Pesos"/>
    <s v=" $"/>
    <s v="MAX CAPITAL SA"/>
  </r>
  <r>
    <n v="1027"/>
    <x v="9"/>
    <n v="-56515.05"/>
    <n v="0"/>
    <s v="Pesos"/>
    <s v=" $"/>
    <s v="BACS SA SG TORONTO TRUST RENTA FIJA FCI"/>
  </r>
  <r>
    <n v="121"/>
    <x v="10"/>
    <n v="-110.77"/>
    <n v="0"/>
    <s v="Pesos"/>
    <s v=" $"/>
    <s v="LA MINGA SRL"/>
  </r>
  <r>
    <n v="1002"/>
    <x v="11"/>
    <n v="0"/>
    <n v="0"/>
    <s v="Pesos"/>
    <s v=" $"/>
    <s v="BCSA SD GALILEO ABIERTO PYMES"/>
  </r>
  <r>
    <n v="6012"/>
    <x v="12"/>
    <n v="-275706583.43000001"/>
    <n v="0.01"/>
    <s v="Pesos"/>
    <s v=" $"/>
    <s v="GERMINAGRO S.A"/>
  </r>
  <r>
    <n v="5850"/>
    <x v="13"/>
    <n v="0"/>
    <n v="0"/>
    <s v="Pesos"/>
    <s v=" $"/>
    <s v="VALO SECURITIES SAU"/>
  </r>
  <r>
    <n v="5021"/>
    <x v="14"/>
    <n v="0"/>
    <n v="0"/>
    <s v="Pesos"/>
    <s v=" $"/>
    <s v="CONFIDAS CAPITAL S.A."/>
  </r>
  <r>
    <n v="5006"/>
    <x v="15"/>
    <n v="0"/>
    <n v="0"/>
    <s v="Pesos"/>
    <s v=" $"/>
    <s v="ALLARIA LEDESMA &amp; CÍA S.A."/>
  </r>
  <r>
    <n v="5035"/>
    <x v="16"/>
    <n v="0"/>
    <n v="0"/>
    <s v="Pesos"/>
    <s v=" $"/>
    <s v="AR PARTNERS S.A."/>
  </r>
  <r>
    <n v="5179"/>
    <x v="17"/>
    <n v="20960.78"/>
    <n v="0"/>
    <s v="Pesos"/>
    <s v=" $"/>
    <s v="BACS BANCO DE CRÉDITO Y SECURITIZACIÓN S.A."/>
  </r>
  <r>
    <n v="5238"/>
    <x v="18"/>
    <n v="611.52"/>
    <n v="0"/>
    <s v="Pesos"/>
    <s v=" $"/>
    <s v="BALANZ CAPITAL VALORES S.A.U."/>
  </r>
  <r>
    <n v="5067"/>
    <x v="19"/>
    <n v="0"/>
    <n v="0"/>
    <s v="Pesos"/>
    <s v=" $"/>
    <s v="LBO S.A."/>
  </r>
  <r>
    <n v="5101"/>
    <x v="20"/>
    <n v="0"/>
    <n v="0"/>
    <s v="Pesos"/>
    <s v=" $"/>
    <s v="PETRINI VALORES S.A."/>
  </r>
  <r>
    <n v="264"/>
    <x v="21"/>
    <n v="1337.25"/>
    <n v="0"/>
    <s v="Pesos"/>
    <s v=" $"/>
    <s v="AGUSTI LEANDRO MARCELO"/>
  </r>
  <r>
    <n v="5223"/>
    <x v="22"/>
    <n v="0"/>
    <n v="0"/>
    <s v="Pesos"/>
    <s v=" $"/>
    <s v="BLUELAKE CAPITAL S.A."/>
  </r>
  <r>
    <n v="6089"/>
    <x v="23"/>
    <n v="16118.39"/>
    <n v="0"/>
    <s v="Pesos"/>
    <s v=" $"/>
    <s v="SUSMAN ADA"/>
  </r>
  <r>
    <n v="6090"/>
    <x v="24"/>
    <n v="0.8"/>
    <n v="0"/>
    <s v="Pesos"/>
    <s v=" $"/>
    <s v="EL GUAYACAN SRL"/>
  </r>
  <r>
    <n v="6095"/>
    <x v="25"/>
    <n v="0"/>
    <n v="0"/>
    <s v="Pesos"/>
    <s v=" $"/>
    <s v="NICOLA FEDERICO GASPAR"/>
  </r>
  <r>
    <n v="5096"/>
    <x v="26"/>
    <n v="0"/>
    <n v="0"/>
    <s v="Pesos"/>
    <s v=" $"/>
    <s v="Pharos Capital S.A."/>
  </r>
  <r>
    <n v="6096"/>
    <x v="27"/>
    <n v="40481.03"/>
    <n v="0"/>
    <s v="Pesos"/>
    <s v=" $"/>
    <s v="COOPERATIVA AGRICOLA GANADERA LEON SOLA LTDA"/>
  </r>
  <r>
    <n v="5297"/>
    <x v="28"/>
    <n v="0"/>
    <n v="0"/>
    <s v="Pesos"/>
    <s v=" $"/>
    <s v="DON CAPITAL SA"/>
  </r>
  <r>
    <n v="6097"/>
    <x v="29"/>
    <n v="962.32"/>
    <n v="0"/>
    <s v="Pesos"/>
    <s v=" $"/>
    <s v="TRIEL S.A."/>
  </r>
  <r>
    <n v="6098"/>
    <x v="30"/>
    <n v="2016.77"/>
    <n v="0"/>
    <s v="Pesos"/>
    <s v=" $"/>
    <s v="GALVEZ CEREALES S. A."/>
  </r>
  <r>
    <n v="6100"/>
    <x v="31"/>
    <n v="0"/>
    <n v="0"/>
    <s v="Pesos"/>
    <s v=" $"/>
    <s v="EL MALINCHE S.A.S"/>
  </r>
  <r>
    <n v="6101"/>
    <x v="32"/>
    <n v="26231699.420000002"/>
    <n v="0"/>
    <s v="Pesos"/>
    <s v=" $"/>
    <s v="ALBERTO CROSSETTI SA"/>
  </r>
  <r>
    <n v="6105"/>
    <x v="33"/>
    <n v="0"/>
    <n v="0"/>
    <s v="Pesos"/>
    <s v=" $"/>
    <s v="ESTABLECIMIENTO DO#A JULIA SOCIEDAD ANONIMA"/>
  </r>
  <r>
    <n v="6106"/>
    <x v="34"/>
    <n v="40.950000000000003"/>
    <n v="0"/>
    <s v="Pesos"/>
    <s v=" $"/>
    <s v="LA TROJA AGRO SOCIEDAD ANONIMA"/>
  </r>
  <r>
    <n v="6107"/>
    <x v="35"/>
    <n v="0.28999999999999998"/>
    <n v="0"/>
    <s v="Pesos"/>
    <s v=" $"/>
    <s v="MARCOS ALEJANDRO NOYA"/>
  </r>
  <r>
    <n v="5845"/>
    <x v="36"/>
    <n v="0"/>
    <n v="0"/>
    <s v="Pesos"/>
    <s v=" $"/>
    <s v="FIWIND CAPITAL SA"/>
  </r>
  <r>
    <n v="6108"/>
    <x v="37"/>
    <n v="13213.02"/>
    <n v="0"/>
    <s v="Pesos"/>
    <s v=" $"/>
    <s v="ARMENDARIZ GUSTAVO GABRIEL JESU"/>
  </r>
  <r>
    <n v="6110"/>
    <x v="38"/>
    <n v="-70162.16"/>
    <n v="0"/>
    <s v="Pesos"/>
    <s v=" $"/>
    <s v="LANOLEC INVERSIONES SA"/>
  </r>
  <r>
    <n v="6112"/>
    <x v="39"/>
    <n v="0"/>
    <n v="0"/>
    <s v="Pesos"/>
    <s v=" $"/>
    <s v="NICOLA IGNACIO MARTIN"/>
  </r>
  <r>
    <n v="6114"/>
    <x v="40"/>
    <n v="0"/>
    <n v="0"/>
    <s v="Pesos"/>
    <s v=" $"/>
    <s v="LUIS DODERO AGRO SA"/>
  </r>
  <r>
    <n v="6115"/>
    <x v="41"/>
    <n v="0"/>
    <n v="0"/>
    <s v="Pesos"/>
    <s v=" $"/>
    <s v="GRUPO EL JAQUE S.A."/>
  </r>
  <r>
    <n v="6118"/>
    <x v="42"/>
    <n v="-55688.87"/>
    <n v="0"/>
    <s v="Pesos"/>
    <s v=" $"/>
    <s v="TAZZIOLI PATRICIA, BIOLATO LUCIANA"/>
  </r>
  <r>
    <n v="6116"/>
    <x v="43"/>
    <n v="226522.9"/>
    <n v="0"/>
    <s v="Pesos"/>
    <s v=" $"/>
    <s v="FUERTES RAQUEL P DE Y OTROS SOC.CAPI SECC IV"/>
  </r>
  <r>
    <n v="5285"/>
    <x v="44"/>
    <n v="0"/>
    <n v="0"/>
    <s v="Pesos"/>
    <s v=" $"/>
    <s v="DA VALORES S.A."/>
  </r>
  <r>
    <n v="5227"/>
    <x v="45"/>
    <n v="0"/>
    <n v="0"/>
    <s v="Pesos"/>
    <s v=" $"/>
    <s v="CONO SUR INVERSIONES SA"/>
  </r>
  <r>
    <n v="5122"/>
    <x v="46"/>
    <n v="0"/>
    <n v="0"/>
    <s v="Pesos"/>
    <s v=" $"/>
    <s v="INDUSTRIAL VALORES SA"/>
  </r>
  <r>
    <n v="1006"/>
    <x v="47"/>
    <n v="0"/>
    <n v="0"/>
    <s v="Pesos"/>
    <s v=" $"/>
    <s v="BCSA SD GALILEO ARGENTINA"/>
  </r>
  <r>
    <n v="1007"/>
    <x v="48"/>
    <n v="-129388.89"/>
    <n v="0"/>
    <s v="Pesos"/>
    <s v=" $"/>
    <s v="BACS SA SG TT RENTA FIJA PLUS"/>
  </r>
  <r>
    <n v="1010"/>
    <x v="49"/>
    <n v="-32613.17"/>
    <n v="0"/>
    <s v="Pesos"/>
    <s v=" $"/>
    <s v="BACS SA SG TT ABIERTO PYMES"/>
  </r>
  <r>
    <n v="1011"/>
    <x v="50"/>
    <n v="0"/>
    <n v="0"/>
    <s v="Pesos"/>
    <s v=" $"/>
    <s v="BACS SA SG TT GLOBAL CAPITAL"/>
  </r>
  <r>
    <n v="5235"/>
    <x v="51"/>
    <n v="0"/>
    <n v="0"/>
    <s v="Pesos"/>
    <s v=" $"/>
    <s v="CRITERIA AN SA"/>
  </r>
  <r>
    <n v="5040"/>
    <x v="52"/>
    <n v="0"/>
    <n v="0"/>
    <s v="Pesos"/>
    <s v=" $"/>
    <s v="PUENTE HNOS SA"/>
  </r>
  <r>
    <n v="5213"/>
    <x v="53"/>
    <n v="0"/>
    <n v="0"/>
    <s v="Pesos"/>
    <s v=" $"/>
    <s v="ROSENTAL SA"/>
  </r>
  <r>
    <n v="5114"/>
    <x v="54"/>
    <n v="0"/>
    <n v="0"/>
    <s v="Pesos"/>
    <s v=" $"/>
    <s v="ROSARIO VALORES SA"/>
  </r>
  <r>
    <n v="5018"/>
    <x v="55"/>
    <n v="0"/>
    <n v="0"/>
    <s v="Pesos"/>
    <s v=" $"/>
    <s v="CUCCHIARA Y CIA. S.A."/>
  </r>
  <r>
    <n v="5052"/>
    <x v="56"/>
    <n v="0"/>
    <n v="0"/>
    <s v="Pesos"/>
    <s v=" $"/>
    <s v="BANCO COMAFI SA"/>
  </r>
  <r>
    <n v="5052"/>
    <x v="56"/>
    <n v="0"/>
    <n v="0"/>
    <s v="Dólar "/>
    <s v=" U$S"/>
    <s v="BANCO COMAFI SA"/>
  </r>
  <r>
    <n v="5018"/>
    <x v="55"/>
    <n v="0"/>
    <n v="0"/>
    <s v="Dólar "/>
    <s v=" U$S"/>
    <s v="CUCCHIARA Y CIA. S.A."/>
  </r>
  <r>
    <n v="5114"/>
    <x v="54"/>
    <n v="0"/>
    <n v="0"/>
    <s v="Dólar "/>
    <s v=" U$S"/>
    <s v="ROSARIO VALORES SA"/>
  </r>
  <r>
    <n v="5213"/>
    <x v="53"/>
    <n v="0"/>
    <n v="0"/>
    <s v="Dólar "/>
    <s v=" U$S"/>
    <s v="ROSENTAL SA"/>
  </r>
  <r>
    <n v="5040"/>
    <x v="52"/>
    <n v="0"/>
    <n v="0"/>
    <s v="Dólar "/>
    <s v=" U$S"/>
    <s v="PUENTE HNOS SA"/>
  </r>
  <r>
    <n v="5235"/>
    <x v="51"/>
    <n v="0"/>
    <n v="0"/>
    <s v="Dólar "/>
    <s v=" U$S"/>
    <s v="CRITERIA AN SA"/>
  </r>
  <r>
    <n v="5122"/>
    <x v="46"/>
    <n v="0"/>
    <n v="0"/>
    <s v="Dólar "/>
    <s v=" U$S"/>
    <s v="INDUSTRIAL VALORES SA"/>
  </r>
  <r>
    <n v="5227"/>
    <x v="45"/>
    <n v="0"/>
    <n v="0"/>
    <s v="Dólar "/>
    <s v=" U$S"/>
    <s v="CONO SUR INVERSIONES SA"/>
  </r>
  <r>
    <n v="6116"/>
    <x v="43"/>
    <n v="202146.74"/>
    <n v="0"/>
    <s v="Dólar "/>
    <s v=" U$S"/>
    <s v="FUERTES RAQUEL P DE Y OTROS SOC.CAPI SECC IV"/>
  </r>
  <r>
    <n v="6118"/>
    <x v="42"/>
    <n v="92.2"/>
    <n v="0"/>
    <s v="Dólar "/>
    <s v=" U$S"/>
    <s v="TAZZIOLI PATRICIA, BIOLATO LUCIANA"/>
  </r>
  <r>
    <n v="6120"/>
    <x v="57"/>
    <n v="0"/>
    <n v="0"/>
    <s v="Dólar "/>
    <s v=" U$S"/>
    <s v="MURATURE SOFIA"/>
  </r>
  <r>
    <n v="6123"/>
    <x v="58"/>
    <n v="2000"/>
    <n v="0"/>
    <s v="Dólar "/>
    <s v=" U$S"/>
    <s v="ROCIO VICENTIN"/>
  </r>
  <r>
    <n v="6115"/>
    <x v="41"/>
    <n v="0.2"/>
    <n v="0"/>
    <s v="Dólar "/>
    <s v=" U$S"/>
    <s v="GRUPO EL JAQUE S.A."/>
  </r>
  <r>
    <n v="6110"/>
    <x v="38"/>
    <n v="8800"/>
    <n v="0"/>
    <s v="Dólar "/>
    <s v=" U$S"/>
    <s v="LANOLEC INVERSIONES SA"/>
  </r>
  <r>
    <n v="6108"/>
    <x v="37"/>
    <n v="81.650000000000006"/>
    <n v="0"/>
    <s v="Dólar "/>
    <s v=" U$S"/>
    <s v="ARMENDARIZ GUSTAVO GABRIEL JESU"/>
  </r>
  <r>
    <n v="6106"/>
    <x v="34"/>
    <n v="0"/>
    <n v="0"/>
    <s v="Dólar "/>
    <s v=" U$S"/>
    <s v="LA TROJA AGRO SOCIEDAD ANONIMA"/>
  </r>
  <r>
    <n v="5297"/>
    <x v="28"/>
    <n v="0"/>
    <n v="0"/>
    <s v="Dólar "/>
    <s v=" U$S"/>
    <s v="DON CAPITAL SA"/>
  </r>
  <r>
    <n v="5062"/>
    <x v="59"/>
    <n v="0"/>
    <n v="0"/>
    <s v="Dólar "/>
    <s v=" U$S"/>
    <s v="NASINI SA"/>
  </r>
  <r>
    <n v="264"/>
    <x v="21"/>
    <n v="0"/>
    <n v="0"/>
    <s v="Dólar "/>
    <s v=" U$S"/>
    <s v="AGUSTI LEANDRO MARCELO"/>
  </r>
  <r>
    <n v="5101"/>
    <x v="20"/>
    <n v="0"/>
    <n v="0"/>
    <s v="Dólar "/>
    <s v=" U$S"/>
    <s v="PETRINI VALORES S.A."/>
  </r>
  <r>
    <n v="5067"/>
    <x v="19"/>
    <n v="0"/>
    <n v="0"/>
    <s v="Dólar "/>
    <s v=" U$S"/>
    <s v="LBO S.A."/>
  </r>
  <r>
    <n v="5238"/>
    <x v="18"/>
    <n v="0"/>
    <n v="0"/>
    <s v="Dólar "/>
    <s v=" U$S"/>
    <s v="BALANZ CAPITAL VALORES S.A.U."/>
  </r>
  <r>
    <n v="5035"/>
    <x v="16"/>
    <n v="0"/>
    <n v="0"/>
    <s v="Dólar "/>
    <s v=" U$S"/>
    <s v="AR PARTNERS S.A."/>
  </r>
  <r>
    <n v="5006"/>
    <x v="15"/>
    <n v="0"/>
    <n v="0"/>
    <s v="Dólar "/>
    <s v=" U$S"/>
    <s v="ALLARIA LEDESMA &amp; CÍA S.A."/>
  </r>
  <r>
    <n v="5021"/>
    <x v="14"/>
    <n v="0"/>
    <n v="0"/>
    <s v="Dólar "/>
    <s v=" U$S"/>
    <s v="CONFIDAS CAPITAL S.A."/>
  </r>
  <r>
    <n v="121"/>
    <x v="10"/>
    <n v="0"/>
    <n v="0"/>
    <s v="Dólar "/>
    <s v=" U$S"/>
    <s v="LA MINGA SRL"/>
  </r>
  <r>
    <n v="5120"/>
    <x v="8"/>
    <n v="0"/>
    <n v="0"/>
    <s v="Dólar "/>
    <s v=" U$S"/>
    <s v="MAX CAPITAL SA"/>
  </r>
  <r>
    <n v="5097"/>
    <x v="6"/>
    <n v="0"/>
    <n v="0"/>
    <s v="Dólar "/>
    <s v=" U$S"/>
    <s v="ADCAP SECURITIES ARGENTINA SA"/>
  </r>
  <r>
    <n v="1013"/>
    <x v="60"/>
    <n v="0"/>
    <n v="0"/>
    <s v="Dólar "/>
    <s v=" U$S"/>
    <s v="BCSA SD GALILEO EVENT DRIVEN"/>
  </r>
  <r>
    <n v="5100"/>
    <x v="1"/>
    <n v="0"/>
    <n v="0"/>
    <s v="Dólar "/>
    <s v=" U$S"/>
    <s v="COMAFI BURSATIL SA"/>
  </r>
  <r>
    <n v="5100"/>
    <x v="1"/>
    <n v="0"/>
    <n v="0"/>
    <s v="Dólar Cable"/>
    <s v=" U$S TT"/>
    <s v="COMAFI BURSATIL SA"/>
  </r>
  <r>
    <n v="5097"/>
    <x v="6"/>
    <n v="0"/>
    <n v="0"/>
    <s v="Dólar Cable"/>
    <s v=" U$S TT"/>
    <s v="ADCAP SECURITIES ARGENTINA SA"/>
  </r>
  <r>
    <n v="5120"/>
    <x v="8"/>
    <n v="0"/>
    <n v="0"/>
    <s v="Dólar Cable"/>
    <s v=" U$S TT"/>
    <s v="MAX CAPITAL SA"/>
  </r>
  <r>
    <n v="5006"/>
    <x v="15"/>
    <n v="0"/>
    <n v="0"/>
    <s v="Dólar Cable"/>
    <s v=" U$S TT"/>
    <s v="ALLARIA LEDESMA &amp; CÍA S.A."/>
  </r>
  <r>
    <n v="5035"/>
    <x v="16"/>
    <n v="0"/>
    <n v="0"/>
    <s v="Dólar Cable"/>
    <s v=" U$S TT"/>
    <s v="AR PARTNERS S.A."/>
  </r>
  <r>
    <n v="5238"/>
    <x v="18"/>
    <n v="0"/>
    <n v="0"/>
    <s v="Dólar Cable"/>
    <s v=" U$S TT"/>
    <s v="BALANZ CAPITAL VALORES S.A.U."/>
  </r>
  <r>
    <n v="5067"/>
    <x v="19"/>
    <n v="0"/>
    <n v="0"/>
    <s v="Dólar Cable"/>
    <s v=" U$S TT"/>
    <s v="LBO S.A."/>
  </r>
  <r>
    <n v="5297"/>
    <x v="28"/>
    <n v="0"/>
    <n v="0"/>
    <s v="Dólar Cable"/>
    <s v=" U$S TT"/>
    <s v="DON CAPITAL SA"/>
  </r>
  <r>
    <n v="5285"/>
    <x v="44"/>
    <n v="0"/>
    <n v="0"/>
    <s v="Dólar Cable"/>
    <s v=" U$S TT"/>
    <s v="DA VALORES S.A."/>
  </r>
  <r>
    <n v="5227"/>
    <x v="45"/>
    <n v="0"/>
    <n v="0"/>
    <s v="Dólar Cable"/>
    <s v=" U$S TT"/>
    <s v="CONO SUR INVERSIONES SA"/>
  </r>
  <r>
    <n v="5122"/>
    <x v="46"/>
    <n v="0"/>
    <n v="0"/>
    <s v="Dólar Cable"/>
    <s v=" U$S TT"/>
    <s v="INDUSTRIAL VALORES SA"/>
  </r>
  <r>
    <n v="5235"/>
    <x v="51"/>
    <n v="0"/>
    <n v="0"/>
    <s v="Dólar Cable"/>
    <s v=" U$S TT"/>
    <s v="CRITERIA AN SA"/>
  </r>
  <r>
    <n v="5040"/>
    <x v="52"/>
    <n v="0"/>
    <n v="0"/>
    <s v="Dólar Cable"/>
    <s v=" U$S TT"/>
    <s v="PUENTE HNOS SA"/>
  </r>
  <r>
    <n v="5213"/>
    <x v="53"/>
    <n v="0"/>
    <n v="0"/>
    <s v="Dólar Cable"/>
    <s v=" U$S TT"/>
    <s v="ROSENTAL SA"/>
  </r>
  <r>
    <n v="5114"/>
    <x v="54"/>
    <n v="0"/>
    <n v="0"/>
    <s v="Dólar Cable"/>
    <s v=" U$S TT"/>
    <s v="ROSARIO VALORES SA"/>
  </r>
  <r>
    <n v="6012"/>
    <x v="12"/>
    <n v="-59803.09"/>
    <n v="224689.66"/>
    <s v="Dólar Matba Rofex"/>
    <s v=" U$S MR"/>
    <s v="GERMINAGRO S.A"/>
  </r>
  <r>
    <n v="66"/>
    <x v="0"/>
    <n v="0"/>
    <n v="0"/>
    <s v="Dólar Matba Rofex"/>
    <s v=" U$S MR"/>
    <s v="Satus Ager SA"/>
  </r>
  <r>
    <n v="6"/>
    <x v="61"/>
    <n v="398963.75"/>
    <n v="0.01"/>
    <s v="Pesos"/>
    <s v=" $"/>
    <s v="LOGRANDO AMIGOS SRL"/>
  </r>
  <r>
    <n v="64"/>
    <x v="62"/>
    <n v="0"/>
    <n v="0.01"/>
    <s v="Pesos"/>
    <s v=" $"/>
    <s v="SALORT FERNANDO GABRIEL"/>
  </r>
  <r>
    <n v="117"/>
    <x v="63"/>
    <n v="2462.54"/>
    <n v="0"/>
    <s v="Pesos"/>
    <s v=" $"/>
    <s v="SILAJES SAS"/>
  </r>
  <r>
    <n v="125"/>
    <x v="64"/>
    <n v="4.16"/>
    <n v="0.02"/>
    <s v="Pesos"/>
    <s v=" $"/>
    <s v="CHIARAVIGLIO HNOS SRL"/>
  </r>
  <r>
    <n v="137"/>
    <x v="65"/>
    <n v="0"/>
    <n v="0"/>
    <s v="Pesos"/>
    <s v=" $"/>
    <s v="TRA SAS"/>
  </r>
  <r>
    <n v="145"/>
    <x v="66"/>
    <n v="0"/>
    <n v="0"/>
    <s v="Pesos"/>
    <s v=" $"/>
    <s v="TISCORNIA NOEL VICTORIA"/>
  </r>
  <r>
    <n v="521"/>
    <x v="67"/>
    <n v="0"/>
    <n v="0"/>
    <s v="Pesos"/>
    <s v=" $"/>
    <s v="JJST SAS"/>
  </r>
  <r>
    <n v="320"/>
    <x v="68"/>
    <n v="0"/>
    <n v="0"/>
    <s v="Pesos"/>
    <s v=" $"/>
    <s v="PAREDES CEREALES SOCIEDAD ANONIMA"/>
  </r>
  <r>
    <n v="145"/>
    <x v="66"/>
    <n v="0"/>
    <n v="0"/>
    <s v="Dólar "/>
    <s v=" U$S"/>
    <s v="TISCORNIA NOEL VICTORIA"/>
  </r>
  <r>
    <n v="137"/>
    <x v="65"/>
    <n v="0"/>
    <n v="0"/>
    <s v="Dólar "/>
    <s v=" U$S"/>
    <s v="TRA SAS"/>
  </r>
  <r>
    <n v="117"/>
    <x v="63"/>
    <n v="0"/>
    <n v="0"/>
    <s v="Dólar "/>
    <s v=" U$S"/>
    <s v="SILAJES SAS"/>
  </r>
  <r>
    <n v="64"/>
    <x v="62"/>
    <n v="22.74"/>
    <n v="0"/>
    <s v="Dólar "/>
    <s v=" U$S"/>
    <s v="SALORT FERNANDO GABRIEL"/>
  </r>
  <r>
    <n v="6"/>
    <x v="61"/>
    <n v="76.2"/>
    <n v="0"/>
    <s v="Dólar "/>
    <s v=" U$S"/>
    <s v="LOGRANDO AMIGOS SRL"/>
  </r>
  <r>
    <n v="64"/>
    <x v="62"/>
    <n v="18.29"/>
    <n v="0"/>
    <s v="Dólar Cable"/>
    <s v=" U$S TT"/>
    <s v="SALORT FERNANDO GABRIEL"/>
  </r>
  <r>
    <n v="137"/>
    <x v="65"/>
    <n v="0"/>
    <n v="0"/>
    <s v="Dólar Cable"/>
    <s v=" U$S TT"/>
    <s v="TRA SAS"/>
  </r>
  <r>
    <n v="137"/>
    <x v="65"/>
    <n v="0"/>
    <n v="0"/>
    <s v="Dólar Matba Rofex"/>
    <s v=" U$S MR"/>
    <s v="TRA SAS"/>
  </r>
  <r>
    <n v="125"/>
    <x v="64"/>
    <n v="0"/>
    <n v="0"/>
    <s v="Dólar Matba Rofex"/>
    <s v=" U$S MR"/>
    <s v="CHIARAVIGLIO HNOS SRL"/>
  </r>
  <r>
    <n v="117"/>
    <x v="63"/>
    <n v="0"/>
    <n v="0"/>
    <s v="Dólar Matba Rofex"/>
    <s v=" U$S MR"/>
    <s v="SILAJES SAS"/>
  </r>
  <r>
    <n v="64"/>
    <x v="62"/>
    <n v="0"/>
    <n v="0"/>
    <s v="Dólar Matba Rofex"/>
    <s v=" U$S MR"/>
    <s v="SALORT FERNANDO GABRIEL"/>
  </r>
  <r>
    <n v="6"/>
    <x v="61"/>
    <n v="2700"/>
    <n v="3207.88"/>
    <s v="Dólar Matba Rofex"/>
    <s v=" U$S MR"/>
    <s v="LOGRANDO AMIGOS SRL"/>
  </r>
  <r>
    <n v="320"/>
    <x v="68"/>
    <n v="0"/>
    <n v="0"/>
    <s v="Dólar Matba Rofex"/>
    <s v=" U$S MR"/>
    <s v="PAREDES CEREALES SOCIEDAD ANONIMA"/>
  </r>
  <r>
    <n v="323"/>
    <x v="69"/>
    <n v="0"/>
    <n v="0.04"/>
    <s v="Pesos"/>
    <s v=" $"/>
    <s v="CORONEL ROBERTO EDUARDO"/>
  </r>
  <r>
    <n v="306"/>
    <x v="70"/>
    <n v="107.63"/>
    <n v="0.01"/>
    <s v="Pesos"/>
    <s v=" $"/>
    <s v="HERMIDA ZAPIOLA SANTIAGO"/>
  </r>
  <r>
    <n v="267"/>
    <x v="71"/>
    <n v="0"/>
    <n v="0.06"/>
    <s v="Pesos"/>
    <s v=" $"/>
    <s v="DIORSEM SA"/>
  </r>
  <r>
    <n v="273"/>
    <x v="72"/>
    <n v="0"/>
    <n v="0"/>
    <s v="Pesos"/>
    <s v=" $"/>
    <s v="LINEUP GRAIN SA"/>
  </r>
  <r>
    <n v="341"/>
    <x v="73"/>
    <n v="-13319424.199999999"/>
    <n v="0.03"/>
    <s v="Pesos"/>
    <s v=" $"/>
    <s v="AGROPEMAR SRL"/>
  </r>
  <r>
    <n v="347"/>
    <x v="74"/>
    <n v="0"/>
    <n v="0.01"/>
    <s v="Pesos"/>
    <s v=" $"/>
    <s v="AGRONASAJA SRL"/>
  </r>
  <r>
    <n v="346"/>
    <x v="75"/>
    <n v="22.53"/>
    <n v="0"/>
    <s v="Pesos"/>
    <s v=" $"/>
    <s v="FIDECAL SRL"/>
  </r>
  <r>
    <n v="360"/>
    <x v="76"/>
    <n v="0"/>
    <n v="0.02"/>
    <s v="Pesos"/>
    <s v=" $"/>
    <s v="LA LUCILA SA"/>
  </r>
  <r>
    <n v="559"/>
    <x v="77"/>
    <n v="-10737.38"/>
    <n v="0"/>
    <s v="Pesos"/>
    <s v=" $"/>
    <s v="JALA LA JUANITA SA"/>
  </r>
  <r>
    <n v="569"/>
    <x v="78"/>
    <n v="0"/>
    <n v="0"/>
    <s v="Pesos"/>
    <s v=" $"/>
    <s v="LACAU Y CIA SA"/>
  </r>
  <r>
    <n v="571"/>
    <x v="79"/>
    <n v="0"/>
    <n v="0"/>
    <s v="Pesos"/>
    <s v=" $"/>
    <s v="AGERAUSTRAL SA"/>
  </r>
  <r>
    <n v="6053"/>
    <x v="80"/>
    <n v="-10913162.789999999"/>
    <n v="0"/>
    <s v="Pesos"/>
    <s v=" $"/>
    <s v="COMERCIAL Y GANADERA DEL NIRIHUAU SA"/>
  </r>
  <r>
    <n v="6023"/>
    <x v="81"/>
    <n v="2765.88"/>
    <n v="0"/>
    <s v="Pesos"/>
    <s v=" $"/>
    <s v="AGUIRRE JOSE MARIA"/>
  </r>
  <r>
    <n v="6024"/>
    <x v="82"/>
    <n v="0.28000000000000003"/>
    <n v="0"/>
    <s v="Pesos"/>
    <s v=" $"/>
    <s v="Aguirre Luis Felipe Bernardo"/>
  </r>
  <r>
    <n v="6027"/>
    <x v="83"/>
    <n v="-7000000"/>
    <n v="0"/>
    <s v="Pesos"/>
    <s v=" $"/>
    <s v="MARIO A BERISSO SOC EN COM POR ACCIONES"/>
  </r>
  <r>
    <n v="223"/>
    <x v="84"/>
    <n v="-113.33"/>
    <n v="-0.16"/>
    <s v="Pesos"/>
    <s v=" $"/>
    <s v="CERVIGNI MARCELO RAUL"/>
  </r>
  <r>
    <n v="224"/>
    <x v="85"/>
    <n v="-24801.07"/>
    <n v="0"/>
    <s v="Pesos"/>
    <s v=" $"/>
    <s v="CERVIGNI CLAUDIA ELIZABETH"/>
  </r>
  <r>
    <n v="225"/>
    <x v="86"/>
    <n v="-28315.1"/>
    <n v="0.01"/>
    <s v="Pesos"/>
    <s v=" $"/>
    <s v="CERVIGNI NATALIA ANDREA"/>
  </r>
  <r>
    <n v="234"/>
    <x v="87"/>
    <n v="-112303644.98"/>
    <n v="0.01"/>
    <s v="Pesos"/>
    <s v=" $"/>
    <s v="IZCO SAS"/>
  </r>
  <r>
    <n v="256"/>
    <x v="88"/>
    <n v="0"/>
    <n v="0"/>
    <s v="Pesos"/>
    <s v=" $"/>
    <s v="DESARROLLOS AGRICOLAS DEL SUR SRL"/>
  </r>
  <r>
    <n v="58"/>
    <x v="89"/>
    <n v="144.99"/>
    <n v="0"/>
    <s v="Pesos"/>
    <s v=" $"/>
    <s v="PETROAGRO SOCIEDAD ANONIMA"/>
  </r>
  <r>
    <n v="44"/>
    <x v="90"/>
    <n v="-759.72"/>
    <n v="0.05"/>
    <s v="Pesos"/>
    <s v=" $"/>
    <s v="GRIVEO SA"/>
  </r>
  <r>
    <n v="48"/>
    <x v="91"/>
    <n v="-2208000"/>
    <n v="0.22"/>
    <s v="Pesos"/>
    <s v=" $"/>
    <s v="INDUSTRIAS RURALES SRL"/>
  </r>
  <r>
    <n v="51"/>
    <x v="72"/>
    <n v="-72843636.030000001"/>
    <n v="-77263106.859999999"/>
    <s v="Pesos"/>
    <s v=" $"/>
    <s v="LINEUP GRAIN SA"/>
  </r>
  <r>
    <n v="37"/>
    <x v="92"/>
    <n v="0"/>
    <n v="0.01"/>
    <s v="Pesos"/>
    <s v=" $"/>
    <s v="ARECO SEMILLAS SA"/>
  </r>
  <r>
    <n v="18"/>
    <x v="93"/>
    <n v="0"/>
    <n v="0.03"/>
    <s v="Pesos"/>
    <s v=" $"/>
    <s v="COSECHAS ARGENTINAS SA"/>
  </r>
  <r>
    <n v="35"/>
    <x v="94"/>
    <n v="-19296.5"/>
    <n v="7.0000000000000007E-2"/>
    <s v="Pesos"/>
    <s v=" $"/>
    <s v="FIORE HERNAN"/>
  </r>
  <r>
    <n v="1000"/>
    <x v="95"/>
    <n v="24.74"/>
    <n v="0"/>
    <s v="Pesos"/>
    <s v=" $"/>
    <s v="SPECIAL GRAINS S A"/>
  </r>
  <r>
    <n v="454"/>
    <x v="96"/>
    <n v="-4491768.5599999996"/>
    <n v="0.02"/>
    <s v="Pesos"/>
    <s v=" $"/>
    <s v="CENTRO INTEGRAL DE TRANSFORMACION AGROPECUARIA SRL"/>
  </r>
  <r>
    <n v="474"/>
    <x v="97"/>
    <n v="0"/>
    <n v="-0.03"/>
    <s v="Pesos"/>
    <s v=" $"/>
    <s v="TATAT Agroservicios SA"/>
  </r>
  <r>
    <n v="107"/>
    <x v="98"/>
    <n v="0"/>
    <n v="-0.15"/>
    <s v="Pesos"/>
    <s v=" $"/>
    <s v="CERVIGNI HNOS SA"/>
  </r>
  <r>
    <n v="78"/>
    <x v="99"/>
    <n v="0"/>
    <n v="0"/>
    <s v="Pesos"/>
    <s v=" $"/>
    <s v="EZCURRA MIGUEL MARTIN"/>
  </r>
  <r>
    <n v="514"/>
    <x v="100"/>
    <n v="-1651560"/>
    <n v="-0.01"/>
    <s v="Pesos"/>
    <s v=" $"/>
    <s v="MARCHI LUIS MIGUEL"/>
  </r>
  <r>
    <n v="89"/>
    <x v="101"/>
    <n v="0"/>
    <n v="0.06"/>
    <s v="Pesos"/>
    <s v=" $"/>
    <s v="LA CHAMPA SA"/>
  </r>
  <r>
    <n v="92"/>
    <x v="102"/>
    <n v="0"/>
    <n v="-0.01"/>
    <s v="Pesos"/>
    <s v=" $"/>
    <s v="Fideicomiso Bonterra I"/>
  </r>
  <r>
    <n v="141"/>
    <x v="103"/>
    <n v="26655.66"/>
    <n v="0"/>
    <s v="Pesos"/>
    <s v=" $"/>
    <s v="ROUSPIL S.A."/>
  </r>
  <r>
    <n v="143"/>
    <x v="104"/>
    <n v="-12900000"/>
    <n v="7.0000000000000007E-2"/>
    <s v="Pesos"/>
    <s v=" $"/>
    <s v="FERRERO ALDO ROBERTO"/>
  </r>
  <r>
    <n v="156"/>
    <x v="105"/>
    <n v="-15045875.65"/>
    <n v="0"/>
    <s v="Pesos"/>
    <s v=" $"/>
    <s v="OILCO SA"/>
  </r>
  <r>
    <n v="162"/>
    <x v="106"/>
    <n v="0.4"/>
    <n v="0.01"/>
    <s v="Pesos"/>
    <s v=" $"/>
    <s v="BETA SCA"/>
  </r>
  <r>
    <n v="542"/>
    <x v="107"/>
    <n v="0"/>
    <n v="-0.01"/>
    <s v="Pesos"/>
    <s v=" $"/>
    <s v="AGROPECUARIA LAS COLORADAS SA"/>
  </r>
  <r>
    <n v="542"/>
    <x v="107"/>
    <n v="0"/>
    <n v="0"/>
    <s v="Dólar "/>
    <s v=" U$S"/>
    <s v="AGROPECUARIA LAS COLORADAS SA"/>
  </r>
  <r>
    <n v="143"/>
    <x v="104"/>
    <n v="2905.66"/>
    <n v="0"/>
    <s v="Dólar "/>
    <s v=" U$S"/>
    <s v="FERRERO ALDO ROBERTO"/>
  </r>
  <r>
    <n v="141"/>
    <x v="103"/>
    <n v="0.54"/>
    <n v="0"/>
    <s v="Dólar "/>
    <s v=" U$S"/>
    <s v="ROUSPIL S.A."/>
  </r>
  <r>
    <n v="92"/>
    <x v="102"/>
    <n v="0.84"/>
    <n v="0"/>
    <s v="Dólar "/>
    <s v=" U$S"/>
    <s v="Fideicomiso Bonterra I"/>
  </r>
  <r>
    <n v="89"/>
    <x v="101"/>
    <n v="0"/>
    <n v="0"/>
    <s v="Dólar "/>
    <s v=" U$S"/>
    <s v="LA CHAMPA SA"/>
  </r>
  <r>
    <n v="78"/>
    <x v="99"/>
    <n v="483.88"/>
    <n v="0"/>
    <s v="Dólar "/>
    <s v=" U$S"/>
    <s v="EZCURRA MIGUEL MARTIN"/>
  </r>
  <r>
    <n v="107"/>
    <x v="98"/>
    <n v="921.89"/>
    <n v="0"/>
    <s v="Dólar "/>
    <s v=" U$S"/>
    <s v="CERVIGNI HNOS SA"/>
  </r>
  <r>
    <n v="1000"/>
    <x v="95"/>
    <n v="0"/>
    <n v="0"/>
    <s v="Dólar "/>
    <s v=" U$S"/>
    <s v="SPECIAL GRAINS S A"/>
  </r>
  <r>
    <n v="35"/>
    <x v="94"/>
    <n v="11999.06"/>
    <n v="0"/>
    <s v="Dólar "/>
    <s v=" U$S"/>
    <s v="FIORE HERNAN"/>
  </r>
  <r>
    <n v="51"/>
    <x v="72"/>
    <n v="82359.649999999994"/>
    <n v="0"/>
    <s v="Dólar "/>
    <s v=" U$S"/>
    <s v="LINEUP GRAIN SA"/>
  </r>
  <r>
    <n v="48"/>
    <x v="91"/>
    <n v="1.06"/>
    <n v="0"/>
    <s v="Dólar "/>
    <s v=" U$S"/>
    <s v="INDUSTRIAS RURALES SRL"/>
  </r>
  <r>
    <n v="44"/>
    <x v="90"/>
    <n v="0"/>
    <n v="0"/>
    <s v="Dólar "/>
    <s v=" U$S"/>
    <s v="GRIVEO SA"/>
  </r>
  <r>
    <n v="234"/>
    <x v="87"/>
    <n v="960.15"/>
    <n v="0"/>
    <s v="Dólar "/>
    <s v=" U$S"/>
    <s v="IZCO SAS"/>
  </r>
  <r>
    <n v="225"/>
    <x v="86"/>
    <n v="0"/>
    <n v="0"/>
    <s v="Dólar "/>
    <s v=" U$S"/>
    <s v="CERVIGNI NATALIA ANDREA"/>
  </r>
  <r>
    <n v="224"/>
    <x v="85"/>
    <n v="4835.66"/>
    <n v="0"/>
    <s v="Dólar "/>
    <s v=" U$S"/>
    <s v="CERVIGNI CLAUDIA ELIZABETH"/>
  </r>
  <r>
    <n v="223"/>
    <x v="84"/>
    <n v="-5"/>
    <n v="0"/>
    <s v="Dólar "/>
    <s v=" U$S"/>
    <s v="CERVIGNI MARCELO RAUL"/>
  </r>
  <r>
    <n v="6024"/>
    <x v="82"/>
    <n v="51.63"/>
    <n v="0"/>
    <s v="Dólar "/>
    <s v=" U$S"/>
    <s v="Aguirre Luis Felipe Bernardo"/>
  </r>
  <r>
    <n v="9002"/>
    <x v="108"/>
    <n v="0"/>
    <n v="0"/>
    <s v="Dólar "/>
    <s v=" U$S"/>
    <s v="AGUIRRE JOSE MARIA FRANCISCO (CERA)"/>
  </r>
  <r>
    <n v="9003"/>
    <x v="109"/>
    <n v="0"/>
    <n v="0"/>
    <s v="Dólar "/>
    <s v=" U$S"/>
    <s v="AGUIRRE LUIS FELIPE BERNARDO (CERA)"/>
  </r>
  <r>
    <n v="559"/>
    <x v="77"/>
    <n v="0"/>
    <n v="0"/>
    <s v="Dólar "/>
    <s v=" U$S"/>
    <s v="JALA LA JUANITA SA"/>
  </r>
  <r>
    <n v="6018"/>
    <x v="110"/>
    <n v="0"/>
    <n v="0"/>
    <s v="Dólar "/>
    <s v=" U$S"/>
    <s v="SALSA SA"/>
  </r>
  <r>
    <n v="6021"/>
    <x v="111"/>
    <n v="0"/>
    <n v="0"/>
    <s v="Dólar "/>
    <s v=" U$S"/>
    <s v="AGRIJO SOCIEDAD ANONIMA"/>
  </r>
  <r>
    <n v="360"/>
    <x v="76"/>
    <n v="0"/>
    <n v="0"/>
    <s v="Dólar "/>
    <s v=" U$S"/>
    <s v="LA LUCILA SA"/>
  </r>
  <r>
    <n v="341"/>
    <x v="73"/>
    <n v="0"/>
    <n v="0"/>
    <s v="Dólar "/>
    <s v=" U$S"/>
    <s v="AGROPEMAR SRL"/>
  </r>
  <r>
    <n v="306"/>
    <x v="70"/>
    <n v="0.05"/>
    <n v="0"/>
    <s v="Dólar "/>
    <s v=" U$S"/>
    <s v="HERMIDA ZAPIOLA SANTIAGO"/>
  </r>
  <r>
    <n v="323"/>
    <x v="69"/>
    <n v="0"/>
    <n v="0"/>
    <s v="Dólar "/>
    <s v=" U$S"/>
    <s v="CORONEL ROBERTO EDUARDO"/>
  </r>
  <r>
    <n v="223"/>
    <x v="84"/>
    <n v="359.96"/>
    <n v="0"/>
    <s v="Dólar Cable"/>
    <s v=" U$S TT"/>
    <s v="CERVIGNI MARCELO RAUL"/>
  </r>
  <r>
    <n v="224"/>
    <x v="85"/>
    <n v="25.34"/>
    <n v="0"/>
    <s v="Dólar Cable"/>
    <s v=" U$S TT"/>
    <s v="CERVIGNI CLAUDIA ELIZABETH"/>
  </r>
  <r>
    <n v="225"/>
    <x v="86"/>
    <n v="20.23"/>
    <n v="0"/>
    <s v="Dólar Cable"/>
    <s v=" U$S TT"/>
    <s v="CERVIGNI NATALIA ANDREA"/>
  </r>
  <r>
    <n v="48"/>
    <x v="91"/>
    <n v="0"/>
    <n v="0"/>
    <s v="Dólar Cable"/>
    <s v=" U$S TT"/>
    <s v="INDUSTRIAS RURALES SRL"/>
  </r>
  <r>
    <n v="51"/>
    <x v="72"/>
    <n v="7.0000000000000007E-2"/>
    <n v="0"/>
    <s v="Dólar Cable"/>
    <s v=" U$S TT"/>
    <s v="LINEUP GRAIN SA"/>
  </r>
  <r>
    <n v="35"/>
    <x v="94"/>
    <n v="35.61"/>
    <n v="0"/>
    <s v="Dólar Cable"/>
    <s v=" U$S TT"/>
    <s v="FIORE HERNAN"/>
  </r>
  <r>
    <n v="107"/>
    <x v="98"/>
    <n v="0"/>
    <n v="0"/>
    <s v="Dólar Cable"/>
    <s v=" U$S TT"/>
    <s v="CERVIGNI HNOS SA"/>
  </r>
  <r>
    <n v="78"/>
    <x v="99"/>
    <n v="247.75"/>
    <n v="0"/>
    <s v="Dólar Cable"/>
    <s v=" U$S TT"/>
    <s v="EZCURRA MIGUEL MARTIN"/>
  </r>
  <r>
    <n v="89"/>
    <x v="101"/>
    <n v="0"/>
    <n v="4440"/>
    <s v="Dólar Matba Rofex"/>
    <s v=" U$S MR"/>
    <s v="LA CHAMPA SA"/>
  </r>
  <r>
    <n v="107"/>
    <x v="98"/>
    <n v="6157.59"/>
    <n v="0"/>
    <s v="Dólar Matba Rofex"/>
    <s v=" U$S MR"/>
    <s v="CERVIGNI HNOS SA"/>
  </r>
  <r>
    <n v="143"/>
    <x v="104"/>
    <n v="0"/>
    <n v="0"/>
    <s v="Dólar Matba Rofex"/>
    <s v=" U$S MR"/>
    <s v="FERRERO ALDO ROBERTO"/>
  </r>
  <r>
    <n v="35"/>
    <x v="94"/>
    <n v="0"/>
    <n v="0"/>
    <s v="Dólar Matba Rofex"/>
    <s v=" U$S MR"/>
    <s v="FIORE HERNAN"/>
  </r>
  <r>
    <n v="18"/>
    <x v="93"/>
    <n v="0"/>
    <n v="0"/>
    <s v="Dólar Matba Rofex"/>
    <s v=" U$S MR"/>
    <s v="COSECHAS ARGENTINAS SA"/>
  </r>
  <r>
    <n v="37"/>
    <x v="92"/>
    <n v="0"/>
    <n v="0"/>
    <s v="Dólar Matba Rofex"/>
    <s v=" U$S MR"/>
    <s v="ARECO SEMILLAS SA"/>
  </r>
  <r>
    <n v="51"/>
    <x v="72"/>
    <n v="-322.36"/>
    <n v="22233.279999999999"/>
    <s v="Dólar Matba Rofex"/>
    <s v=" U$S MR"/>
    <s v="LINEUP GRAIN SA"/>
  </r>
  <r>
    <n v="48"/>
    <x v="91"/>
    <n v="0"/>
    <n v="0"/>
    <s v="Dólar Matba Rofex"/>
    <s v=" U$S MR"/>
    <s v="INDUSTRIAS RURALES SRL"/>
  </r>
  <r>
    <n v="44"/>
    <x v="90"/>
    <n v="0"/>
    <n v="0"/>
    <s v="Dólar Matba Rofex"/>
    <s v=" U$S MR"/>
    <s v="GRIVEO SA"/>
  </r>
  <r>
    <n v="58"/>
    <x v="89"/>
    <n v="0"/>
    <n v="0"/>
    <s v="Dólar Matba Rofex"/>
    <s v=" U$S MR"/>
    <s v="PETROAGRO SOCIEDAD ANONIMA"/>
  </r>
  <r>
    <n v="1000"/>
    <x v="95"/>
    <n v="0"/>
    <n v="0"/>
    <s v="Dólar Matba Rofex"/>
    <s v=" U$S MR"/>
    <s v="SPECIAL GRAINS S A"/>
  </r>
  <r>
    <n v="474"/>
    <x v="97"/>
    <n v="0"/>
    <n v="0"/>
    <s v="Dólar Matba Rofex"/>
    <s v=" U$S MR"/>
    <s v="TATAT Agroservicios SA"/>
  </r>
  <r>
    <n v="223"/>
    <x v="84"/>
    <n v="0"/>
    <n v="0"/>
    <s v="Dólar Matba Rofex"/>
    <s v=" U$S MR"/>
    <s v="CERVIGNI MARCELO RAUL"/>
  </r>
  <r>
    <n v="234"/>
    <x v="87"/>
    <n v="0"/>
    <n v="14492.31"/>
    <s v="Dólar Matba Rofex"/>
    <s v=" U$S MR"/>
    <s v="IZCO SAS"/>
  </r>
  <r>
    <n v="256"/>
    <x v="88"/>
    <n v="0"/>
    <n v="0"/>
    <s v="Dólar Matba Rofex"/>
    <s v=" U$S MR"/>
    <s v="DESARROLLOS AGRICOLAS DEL SUR SRL"/>
  </r>
  <r>
    <n v="6053"/>
    <x v="80"/>
    <n v="-25434.66"/>
    <n v="44450.07"/>
    <s v="Dólar Matba Rofex"/>
    <s v=" U$S MR"/>
    <s v="COMERCIAL Y GANADERA DEL NIRIHUAU SA"/>
  </r>
  <r>
    <n v="323"/>
    <x v="69"/>
    <n v="0"/>
    <n v="0"/>
    <s v="Dólar Matba Rofex"/>
    <s v=" U$S MR"/>
    <s v="CORONEL ROBERTO EDUARDO"/>
  </r>
  <r>
    <n v="306"/>
    <x v="70"/>
    <n v="0"/>
    <n v="0"/>
    <s v="Dólar Matba Rofex"/>
    <s v=" U$S MR"/>
    <s v="HERMIDA ZAPIOLA SANTIAGO"/>
  </r>
  <r>
    <n v="273"/>
    <x v="72"/>
    <n v="0"/>
    <n v="0"/>
    <s v="Dólar Matba Rofex"/>
    <s v=" U$S MR"/>
    <s v="LINEUP GRAIN SA"/>
  </r>
  <r>
    <n v="267"/>
    <x v="71"/>
    <n v="0"/>
    <n v="0"/>
    <s v="Dólar Matba Rofex"/>
    <s v=" U$S MR"/>
    <s v="DIORSEM SA"/>
  </r>
  <r>
    <n v="341"/>
    <x v="73"/>
    <n v="0"/>
    <n v="0"/>
    <s v="Dólar Matba Rofex"/>
    <s v=" U$S MR"/>
    <s v="AGROPEMAR SRL"/>
  </r>
  <r>
    <n v="346"/>
    <x v="75"/>
    <n v="0"/>
    <n v="0"/>
    <s v="Dólar Matba Rofex"/>
    <s v=" U$S MR"/>
    <s v="FIDECAL SRL"/>
  </r>
  <r>
    <n v="360"/>
    <x v="76"/>
    <n v="0"/>
    <n v="0"/>
    <s v="Dólar Matba Rofex"/>
    <s v=" U$S MR"/>
    <s v="LA LUCILA SA"/>
  </r>
  <r>
    <n v="337"/>
    <x v="112"/>
    <n v="1287.43"/>
    <n v="0"/>
    <s v="Pesos"/>
    <s v=" $"/>
    <s v="EDUARDO BERAZA SA"/>
  </r>
  <r>
    <n v="383"/>
    <x v="113"/>
    <n v="-18279.740000000002"/>
    <n v="-0.02"/>
    <s v="Pesos"/>
    <s v=" $"/>
    <s v="EL PICAFLOR SRL"/>
  </r>
  <r>
    <n v="276"/>
    <x v="114"/>
    <n v="2353.91"/>
    <n v="0"/>
    <s v="Pesos"/>
    <s v=" $"/>
    <s v="CARRETTONI JULIO ALBERTO"/>
  </r>
  <r>
    <n v="326"/>
    <x v="115"/>
    <n v="3928.97"/>
    <n v="0"/>
    <s v="Pesos"/>
    <s v=" $"/>
    <s v="AGROPECUARIA EL CALI SOCIEDAD ANONIMA"/>
  </r>
  <r>
    <n v="327"/>
    <x v="116"/>
    <n v="-1209.19"/>
    <n v="0.11"/>
    <s v="Pesos"/>
    <s v=" $"/>
    <s v="CALABRIA ANDRES AGUSTIN"/>
  </r>
  <r>
    <n v="292"/>
    <x v="117"/>
    <n v="0"/>
    <n v="0.02"/>
    <s v="Pesos"/>
    <s v=" $"/>
    <s v="CINCO DE JUNIO SA"/>
  </r>
  <r>
    <n v="468"/>
    <x v="118"/>
    <n v="0"/>
    <n v="0"/>
    <s v="Pesos"/>
    <s v=" $"/>
    <s v="AGROPECUARIA EL SALADO SA"/>
  </r>
  <r>
    <n v="453"/>
    <x v="119"/>
    <n v="-5904.19"/>
    <n v="-0.01"/>
    <s v="Pesos"/>
    <s v=" $"/>
    <s v="LOS MEDANOS SCA"/>
  </r>
  <r>
    <n v="65"/>
    <x v="120"/>
    <n v="-189752.5"/>
    <n v="0.01"/>
    <s v="Pesos"/>
    <s v=" $"/>
    <s v="SAN PEDRO AGROPECUARIA SA"/>
  </r>
  <r>
    <n v="13"/>
    <x v="121"/>
    <n v="2.34"/>
    <n v="0.01"/>
    <s v="Pesos"/>
    <s v=" $"/>
    <s v="CANTON SUIZO SA"/>
  </r>
  <r>
    <n v="29"/>
    <x v="122"/>
    <n v="-3017.56"/>
    <n v="0"/>
    <s v="Pesos"/>
    <s v=" $"/>
    <s v="EL PRETEXTO SA"/>
  </r>
  <r>
    <n v="21"/>
    <x v="123"/>
    <n v="0"/>
    <n v="0.04"/>
    <s v="Pesos"/>
    <s v=" $"/>
    <s v="Dieciocho de Agosto Sociedad Anonima"/>
  </r>
  <r>
    <n v="91"/>
    <x v="124"/>
    <n v="-526093.80000000005"/>
    <n v="0.05"/>
    <s v="Pesos"/>
    <s v=" $"/>
    <s v="CDM AGROPECUARIA SA"/>
  </r>
  <r>
    <n v="94"/>
    <x v="125"/>
    <n v="98793901.980000004"/>
    <n v="0.13"/>
    <s v="Pesos"/>
    <s v=" $"/>
    <s v="MONTE OVEJERO SCA"/>
  </r>
  <r>
    <n v="76"/>
    <x v="126"/>
    <n v="0"/>
    <n v="0"/>
    <s v="Pesos"/>
    <s v=" $"/>
    <s v="Agronoble SA"/>
  </r>
  <r>
    <n v="76"/>
    <x v="126"/>
    <n v="3.19"/>
    <n v="0"/>
    <s v="Dólar "/>
    <s v=" U$S"/>
    <s v="Agronoble SA"/>
  </r>
  <r>
    <n v="94"/>
    <x v="125"/>
    <n v="75204.61"/>
    <n v="0"/>
    <s v="Dólar "/>
    <s v=" U$S"/>
    <s v="MONTE OVEJERO SCA"/>
  </r>
  <r>
    <n v="91"/>
    <x v="124"/>
    <n v="10036.02"/>
    <n v="0"/>
    <s v="Dólar "/>
    <s v=" U$S"/>
    <s v="CDM AGROPECUARIA SA"/>
  </r>
  <r>
    <n v="21"/>
    <x v="123"/>
    <n v="0"/>
    <n v="0"/>
    <s v="Dólar "/>
    <s v=" U$S"/>
    <s v="Dieciocho de Agosto Sociedad Anonima"/>
  </r>
  <r>
    <n v="29"/>
    <x v="122"/>
    <n v="2303.31"/>
    <n v="0"/>
    <s v="Dólar "/>
    <s v=" U$S"/>
    <s v="EL PRETEXTO SA"/>
  </r>
  <r>
    <n v="13"/>
    <x v="121"/>
    <n v="0"/>
    <n v="0"/>
    <s v="Dólar "/>
    <s v=" U$S"/>
    <s v="CANTON SUIZO SA"/>
  </r>
  <r>
    <n v="65"/>
    <x v="120"/>
    <n v="0"/>
    <n v="0"/>
    <s v="Dólar "/>
    <s v=" U$S"/>
    <s v="SAN PEDRO AGROPECUARIA SA"/>
  </r>
  <r>
    <n v="453"/>
    <x v="119"/>
    <n v="0"/>
    <n v="0"/>
    <s v="Dólar "/>
    <s v=" U$S"/>
    <s v="LOS MEDANOS SCA"/>
  </r>
  <r>
    <n v="292"/>
    <x v="117"/>
    <n v="0"/>
    <n v="0"/>
    <s v="Dólar "/>
    <s v=" U$S"/>
    <s v="CINCO DE JUNIO SA"/>
  </r>
  <r>
    <n v="327"/>
    <x v="116"/>
    <n v="0"/>
    <n v="0"/>
    <s v="Dólar "/>
    <s v=" U$S"/>
    <s v="CALABRIA ANDRES AGUSTIN"/>
  </r>
  <r>
    <n v="326"/>
    <x v="115"/>
    <n v="0"/>
    <n v="0"/>
    <s v="Dólar "/>
    <s v=" U$S"/>
    <s v="AGROPECUARIA EL CALI SOCIEDAD ANONIMA"/>
  </r>
  <r>
    <n v="276"/>
    <x v="114"/>
    <n v="0"/>
    <n v="0"/>
    <s v="Dólar "/>
    <s v=" U$S"/>
    <s v="CARRETTONI JULIO ALBERTO"/>
  </r>
  <r>
    <n v="383"/>
    <x v="113"/>
    <n v="0.37"/>
    <n v="0"/>
    <s v="Dólar "/>
    <s v=" U$S"/>
    <s v="EL PICAFLOR SRL"/>
  </r>
  <r>
    <n v="337"/>
    <x v="112"/>
    <n v="0"/>
    <n v="0"/>
    <s v="Dólar "/>
    <s v=" U$S"/>
    <s v="EDUARDO BERAZA SA"/>
  </r>
  <r>
    <n v="29"/>
    <x v="122"/>
    <n v="141.08000000000001"/>
    <n v="0"/>
    <s v="Dólar Cable"/>
    <s v=" U$S TT"/>
    <s v="EL PRETEXTO SA"/>
  </r>
  <r>
    <n v="29"/>
    <x v="122"/>
    <n v="0"/>
    <n v="0"/>
    <s v="Dólar Matba Rofex"/>
    <s v=" U$S MR"/>
    <s v="EL PRETEXTO SA"/>
  </r>
  <r>
    <n v="21"/>
    <x v="123"/>
    <n v="0"/>
    <n v="0"/>
    <s v="Dólar Matba Rofex"/>
    <s v=" U$S MR"/>
    <s v="Dieciocho de Agosto Sociedad Anonima"/>
  </r>
  <r>
    <n v="13"/>
    <x v="121"/>
    <n v="0"/>
    <n v="0"/>
    <s v="Dólar Matba Rofex"/>
    <s v=" U$S MR"/>
    <s v="CANTON SUIZO SA"/>
  </r>
  <r>
    <n v="91"/>
    <x v="124"/>
    <n v="0"/>
    <n v="0"/>
    <s v="Dólar Matba Rofex"/>
    <s v=" U$S MR"/>
    <s v="CDM AGROPECUARIA SA"/>
  </r>
  <r>
    <n v="94"/>
    <x v="125"/>
    <n v="0"/>
    <n v="0"/>
    <s v="Dólar Matba Rofex"/>
    <s v=" U$S MR"/>
    <s v="MONTE OVEJERO SCA"/>
  </r>
  <r>
    <n v="77"/>
    <x v="127"/>
    <n v="1723.07"/>
    <n v="0"/>
    <s v="Pesos"/>
    <s v=" $"/>
    <s v="Ninci Aguero S.A."/>
  </r>
  <r>
    <n v="105"/>
    <x v="128"/>
    <n v="1007.7"/>
    <n v="0"/>
    <s v="Pesos"/>
    <s v=" $"/>
    <s v="TRES ESTRELLAS SA"/>
  </r>
  <r>
    <n v="502"/>
    <x v="129"/>
    <n v="15.15"/>
    <n v="0"/>
    <s v="Pesos"/>
    <s v=" $"/>
    <s v="SOLFANELLI Y CRAGNOLINI PABLO GUILLERMO"/>
  </r>
  <r>
    <n v="512"/>
    <x v="130"/>
    <n v="-27960.15"/>
    <n v="0"/>
    <s v="Pesos"/>
    <s v=" $"/>
    <s v="ARGEO SRL"/>
  </r>
  <r>
    <n v="159"/>
    <x v="131"/>
    <n v="-1651.09"/>
    <n v="-0.02"/>
    <s v="Pesos"/>
    <s v=" $"/>
    <s v="MIRU AGROPECUARIA SRL"/>
  </r>
  <r>
    <n v="531"/>
    <x v="132"/>
    <n v="0"/>
    <n v="0"/>
    <s v="Pesos"/>
    <s v=" $"/>
    <s v="SARTORI MILAGROS"/>
  </r>
  <r>
    <n v="165"/>
    <x v="133"/>
    <n v="-3184.83"/>
    <n v="0"/>
    <s v="Pesos"/>
    <s v=" $"/>
    <s v="SARTORI ALBERTO FRANCISCO"/>
  </r>
  <r>
    <n v="171"/>
    <x v="134"/>
    <n v="0"/>
    <n v="0.03"/>
    <s v="Pesos"/>
    <s v=" $"/>
    <s v="AGROMIX SA"/>
  </r>
  <r>
    <n v="23"/>
    <x v="135"/>
    <n v="-11724.9"/>
    <n v="0.04"/>
    <s v="Pesos"/>
    <s v=" $"/>
    <s v="DOMINGUEZ JORGE MARCELO"/>
  </r>
  <r>
    <n v="41"/>
    <x v="136"/>
    <n v="-10086292.039999999"/>
    <n v="-0.06"/>
    <s v="Pesos"/>
    <s v=" $"/>
    <s v="GIACUZZI MARTIN GABRIEL"/>
  </r>
  <r>
    <n v="430"/>
    <x v="137"/>
    <n v="0.01"/>
    <n v="0"/>
    <s v="Pesos"/>
    <s v=" $"/>
    <s v="JERILDERIE SA"/>
  </r>
  <r>
    <n v="342"/>
    <x v="138"/>
    <n v="0"/>
    <n v="0"/>
    <s v="Pesos"/>
    <s v=" $"/>
    <s v="LABAQUE AGROPECUARIA SA"/>
  </r>
  <r>
    <n v="354"/>
    <x v="139"/>
    <n v="502652.89"/>
    <n v="0"/>
    <s v="Pesos"/>
    <s v=" $"/>
    <s v="ESTANCIAS DEL TOTORAL SA"/>
  </r>
  <r>
    <n v="406"/>
    <x v="140"/>
    <n v="1751.56"/>
    <n v="0"/>
    <s v="Pesos"/>
    <s v=" $"/>
    <s v="GRASSINO JUAN CARLOS"/>
  </r>
  <r>
    <n v="414"/>
    <x v="141"/>
    <n v="6762.49"/>
    <n v="0"/>
    <s v="Pesos"/>
    <s v=" $"/>
    <s v="HAYKE SA"/>
  </r>
  <r>
    <n v="402"/>
    <x v="142"/>
    <n v="0"/>
    <n v="0"/>
    <s v="Pesos"/>
    <s v=" $"/>
    <s v="ROMERO OSCAR GUSTAVO"/>
  </r>
  <r>
    <n v="266"/>
    <x v="143"/>
    <n v="0"/>
    <n v="0.03"/>
    <s v="Pesos"/>
    <s v=" $"/>
    <s v="AGRO COLIBRI SRL"/>
  </r>
  <r>
    <n v="281"/>
    <x v="144"/>
    <n v="0"/>
    <n v="0"/>
    <s v="Pesos"/>
    <s v=" $"/>
    <s v="YERUTI SA"/>
  </r>
  <r>
    <n v="325"/>
    <x v="145"/>
    <n v="0"/>
    <n v="0.2"/>
    <s v="Pesos"/>
    <s v=" $"/>
    <s v="EL TATA S.R.L"/>
  </r>
  <r>
    <n v="6058"/>
    <x v="146"/>
    <n v="0"/>
    <n v="0"/>
    <s v="Pesos"/>
    <s v=" $"/>
    <s v="DOMAGRO SA"/>
  </r>
  <r>
    <n v="6040"/>
    <x v="147"/>
    <n v="-4.32"/>
    <n v="0"/>
    <s v="Pesos"/>
    <s v=" $"/>
    <s v="S.V.T. EMPRENDIMIENTOS S.A."/>
  </r>
  <r>
    <n v="221"/>
    <x v="148"/>
    <n v="2463.3000000000002"/>
    <n v="0"/>
    <s v="Pesos"/>
    <s v=" $"/>
    <s v="MIOTTI LORENA ALEJANDRA"/>
  </r>
  <r>
    <n v="231"/>
    <x v="149"/>
    <n v="5487197.46"/>
    <n v="0.76"/>
    <s v="Pesos"/>
    <s v=" $"/>
    <s v="MAS AGRO CENTRO SAS"/>
  </r>
  <r>
    <n v="210"/>
    <x v="150"/>
    <n v="0"/>
    <n v="0"/>
    <s v="Pesos"/>
    <s v=" $"/>
    <s v="GUAYACAN DE ANTA SA"/>
  </r>
  <r>
    <n v="213"/>
    <x v="151"/>
    <n v="0"/>
    <n v="0"/>
    <s v="Pesos"/>
    <s v=" $"/>
    <s v="MAGNANO PABLO FABIAN"/>
  </r>
  <r>
    <n v="200"/>
    <x v="152"/>
    <n v="0"/>
    <n v="0.03"/>
    <s v="Pesos"/>
    <s v=" $"/>
    <s v="FLOOD ANDRES"/>
  </r>
  <r>
    <n v="417"/>
    <x v="153"/>
    <n v="-45.84"/>
    <n v="-0.01"/>
    <s v="Pesos"/>
    <s v=" $"/>
    <s v="TAY MARIA TERESA"/>
  </r>
  <r>
    <n v="417"/>
    <x v="153"/>
    <n v="8.8800000000000008"/>
    <n v="0"/>
    <s v="Dólar "/>
    <s v=" U$S"/>
    <s v="TAY MARIA TERESA"/>
  </r>
  <r>
    <n v="200"/>
    <x v="152"/>
    <n v="0"/>
    <n v="0"/>
    <s v="Dólar "/>
    <s v=" U$S"/>
    <s v="FLOOD ANDRES"/>
  </r>
  <r>
    <n v="210"/>
    <x v="150"/>
    <n v="0"/>
    <n v="0"/>
    <s v="Dólar "/>
    <s v=" U$S"/>
    <s v="GUAYACAN DE ANTA SA"/>
  </r>
  <r>
    <n v="221"/>
    <x v="148"/>
    <n v="0"/>
    <n v="0"/>
    <s v="Dólar "/>
    <s v=" U$S"/>
    <s v="MIOTTI LORENA ALEJANDRA"/>
  </r>
  <r>
    <n v="6040"/>
    <x v="147"/>
    <n v="1.86"/>
    <n v="0"/>
    <s v="Dólar "/>
    <s v=" U$S"/>
    <s v="S.V.T. EMPRENDIMIENTOS S.A."/>
  </r>
  <r>
    <n v="325"/>
    <x v="145"/>
    <n v="-0.01"/>
    <n v="0"/>
    <s v="Dólar "/>
    <s v=" U$S"/>
    <s v="EL TATA S.R.L"/>
  </r>
  <r>
    <n v="266"/>
    <x v="143"/>
    <n v="0"/>
    <n v="0"/>
    <s v="Dólar "/>
    <s v=" U$S"/>
    <s v="AGRO COLIBRI SRL"/>
  </r>
  <r>
    <n v="402"/>
    <x v="142"/>
    <n v="0"/>
    <n v="0"/>
    <s v="Dólar "/>
    <s v=" U$S"/>
    <s v="ROMERO OSCAR GUSTAVO"/>
  </r>
  <r>
    <n v="414"/>
    <x v="141"/>
    <n v="0"/>
    <n v="0"/>
    <s v="Dólar "/>
    <s v=" U$S"/>
    <s v="HAYKE SA"/>
  </r>
  <r>
    <n v="406"/>
    <x v="140"/>
    <n v="0"/>
    <n v="0"/>
    <s v="Dólar "/>
    <s v=" U$S"/>
    <s v="GRASSINO JUAN CARLOS"/>
  </r>
  <r>
    <n v="354"/>
    <x v="139"/>
    <n v="0"/>
    <n v="0"/>
    <s v="Dólar "/>
    <s v=" U$S"/>
    <s v="ESTANCIAS DEL TOTORAL SA"/>
  </r>
  <r>
    <n v="41"/>
    <x v="136"/>
    <n v="0"/>
    <n v="0"/>
    <s v="Dólar "/>
    <s v=" U$S"/>
    <s v="GIACUZZI MARTIN GABRIEL"/>
  </r>
  <r>
    <n v="23"/>
    <x v="135"/>
    <n v="0"/>
    <n v="0"/>
    <s v="Dólar "/>
    <s v=" U$S"/>
    <s v="DOMINGUEZ JORGE MARCELO"/>
  </r>
  <r>
    <n v="171"/>
    <x v="134"/>
    <n v="0"/>
    <n v="0"/>
    <s v="Dólar "/>
    <s v=" U$S"/>
    <s v="AGROMIX SA"/>
  </r>
  <r>
    <n v="165"/>
    <x v="133"/>
    <n v="0"/>
    <n v="0"/>
    <s v="Dólar "/>
    <s v=" U$S"/>
    <s v="SARTORI ALBERTO FRANCISCO"/>
  </r>
  <r>
    <n v="159"/>
    <x v="131"/>
    <n v="0"/>
    <n v="0"/>
    <s v="Dólar "/>
    <s v=" U$S"/>
    <s v="MIRU AGROPECUARIA SRL"/>
  </r>
  <r>
    <n v="512"/>
    <x v="130"/>
    <n v="0"/>
    <n v="0"/>
    <s v="Dólar "/>
    <s v=" U$S"/>
    <s v="ARGEO SRL"/>
  </r>
  <r>
    <n v="105"/>
    <x v="128"/>
    <n v="0"/>
    <n v="0"/>
    <s v="Dólar "/>
    <s v=" U$S"/>
    <s v="TRES ESTRELLAS SA"/>
  </r>
  <r>
    <n v="77"/>
    <x v="127"/>
    <n v="0"/>
    <n v="0"/>
    <s v="Dólar "/>
    <s v=" U$S"/>
    <s v="Ninci Aguero S.A."/>
  </r>
  <r>
    <n v="23"/>
    <x v="135"/>
    <n v="0.01"/>
    <n v="0"/>
    <s v="Dólar Cable"/>
    <s v=" U$S TT"/>
    <s v="DOMINGUEZ JORGE MARCELO"/>
  </r>
  <r>
    <n v="41"/>
    <x v="136"/>
    <n v="2.6"/>
    <n v="0"/>
    <s v="Dólar Cable"/>
    <s v=" U$S TT"/>
    <s v="GIACUZZI MARTIN GABRIEL"/>
  </r>
  <r>
    <n v="213"/>
    <x v="151"/>
    <n v="0"/>
    <n v="0"/>
    <s v="Dólar Cable"/>
    <s v=" U$S TT"/>
    <s v="MAGNANO PABLO FABIAN"/>
  </r>
  <r>
    <n v="417"/>
    <x v="153"/>
    <n v="0.39"/>
    <n v="0"/>
    <s v="Dólar Cable"/>
    <s v=" U$S TT"/>
    <s v="TAY MARIA TERESA"/>
  </r>
  <r>
    <n v="213"/>
    <x v="151"/>
    <n v="0"/>
    <n v="0"/>
    <s v="Dólar Matba Rofex"/>
    <s v=" U$S MR"/>
    <s v="MAGNANO PABLO FABIAN"/>
  </r>
  <r>
    <n v="210"/>
    <x v="150"/>
    <n v="0"/>
    <n v="0"/>
    <s v="Dólar Matba Rofex"/>
    <s v=" U$S MR"/>
    <s v="GUAYACAN DE ANTA SA"/>
  </r>
  <r>
    <n v="231"/>
    <x v="149"/>
    <n v="0"/>
    <n v="0"/>
    <s v="Dólar Matba Rofex"/>
    <s v=" U$S MR"/>
    <s v="MAS AGRO CENTRO SAS"/>
  </r>
  <r>
    <n v="354"/>
    <x v="139"/>
    <n v="0"/>
    <n v="0"/>
    <s v="Dólar Matba Rofex"/>
    <s v=" U$S MR"/>
    <s v="ESTANCIAS DEL TOTORAL SA"/>
  </r>
  <r>
    <n v="342"/>
    <x v="138"/>
    <n v="0"/>
    <n v="0"/>
    <s v="Dólar Matba Rofex"/>
    <s v=" U$S MR"/>
    <s v="LABAQUE AGROPECUARIA SA"/>
  </r>
  <r>
    <n v="41"/>
    <x v="136"/>
    <n v="0"/>
    <n v="0"/>
    <s v="Dólar Matba Rofex"/>
    <s v=" U$S MR"/>
    <s v="GIACUZZI MARTIN GABRIEL"/>
  </r>
  <r>
    <n v="23"/>
    <x v="135"/>
    <n v="0"/>
    <n v="0"/>
    <s v="Dólar Matba Rofex"/>
    <s v=" U$S MR"/>
    <s v="DOMINGUEZ JORGE MARCELO"/>
  </r>
  <r>
    <n v="430"/>
    <x v="137"/>
    <n v="0"/>
    <n v="0"/>
    <s v="Dólar Matba Rofex"/>
    <s v=" U$S MR"/>
    <s v="JERILDERIE SA"/>
  </r>
  <r>
    <n v="77"/>
    <x v="127"/>
    <n v="0"/>
    <n v="0"/>
    <s v="Dólar Matba Rofex"/>
    <s v=" U$S MR"/>
    <s v="Ninci Aguero S.A."/>
  </r>
  <r>
    <n v="512"/>
    <x v="130"/>
    <n v="0"/>
    <n v="0"/>
    <s v="Dólar Matba Rofex"/>
    <s v=" U$S MR"/>
    <s v="ARGEO SRL"/>
  </r>
  <r>
    <n v="502"/>
    <x v="129"/>
    <n v="0"/>
    <n v="0"/>
    <s v="Dólar Matba Rofex"/>
    <s v=" U$S MR"/>
    <s v="SOLFANELLI Y CRAGNOLINI PABLO GUILLERMO"/>
  </r>
  <r>
    <n v="165"/>
    <x v="133"/>
    <n v="0"/>
    <n v="0"/>
    <s v="Dólar Matba Rofex"/>
    <s v=" U$S MR"/>
    <s v="SARTORI ALBERTO FRANCISCO"/>
  </r>
  <r>
    <n v="140"/>
    <x v="154"/>
    <n v="0"/>
    <n v="0.05"/>
    <s v="Pesos"/>
    <s v=" $"/>
    <s v="MURATURE ONCATIVO SA"/>
  </r>
  <r>
    <n v="59"/>
    <x v="155"/>
    <n v="0"/>
    <n v="0"/>
    <s v="Pesos"/>
    <s v=" $"/>
    <n v="13016"/>
  </r>
  <r>
    <n v="60"/>
    <x v="156"/>
    <n v="0"/>
    <n v="-0.01"/>
    <s v="Pesos"/>
    <s v=" $"/>
    <s v="Puerto Arroyo Seco SA"/>
  </r>
  <r>
    <n v="190"/>
    <x v="155"/>
    <n v="0"/>
    <n v="0"/>
    <s v="Pesos"/>
    <s v=" $"/>
    <s v="PRONOR SA"/>
  </r>
  <r>
    <n v="60"/>
    <x v="156"/>
    <n v="0"/>
    <n v="0"/>
    <s v="Dólar "/>
    <s v=" U$S"/>
    <s v="Puerto Arroyo Seco SA"/>
  </r>
  <r>
    <n v="140"/>
    <x v="154"/>
    <n v="0"/>
    <n v="0"/>
    <s v="Dólar "/>
    <s v=" U$S"/>
    <s v="MURATURE ONCATIVO SA"/>
  </r>
  <r>
    <n v="59"/>
    <x v="155"/>
    <n v="5682.4"/>
    <n v="0"/>
    <s v="Dólar Cable"/>
    <s v=" U$S TT"/>
    <n v="13016"/>
  </r>
  <r>
    <n v="59"/>
    <x v="155"/>
    <n v="0"/>
    <n v="0"/>
    <s v="Dólar Matba Rofex"/>
    <s v=" U$S MR"/>
    <n v="13016"/>
  </r>
  <r>
    <n v="60"/>
    <x v="156"/>
    <n v="0"/>
    <n v="0"/>
    <s v="Dólar Matba Rofex"/>
    <s v=" U$S MR"/>
    <s v="Puerto Arroyo Seco SA"/>
  </r>
  <r>
    <n v="190"/>
    <x v="155"/>
    <n v="0"/>
    <n v="0"/>
    <s v="Dólar Matba Rofex"/>
    <s v=" U$S MR"/>
    <s v="PRONOR SA"/>
  </r>
  <r>
    <n v="61"/>
    <x v="157"/>
    <n v="75774949.560000002"/>
    <n v="16484967.359999999"/>
    <s v="Pesos"/>
    <s v=" $"/>
    <s v="Riboldi S.A."/>
  </r>
  <r>
    <n v="47"/>
    <x v="158"/>
    <n v="10982876.59"/>
    <n v="0"/>
    <s v="Pesos"/>
    <s v=" $"/>
    <s v="HECTOR A. BERTONE S.A"/>
  </r>
  <r>
    <n v="478"/>
    <x v="158"/>
    <n v="-43732911.270000003"/>
    <n v="0"/>
    <s v="Pesos"/>
    <s v=" $"/>
    <s v="HECTOR A. BERTONE S.A"/>
  </r>
  <r>
    <n v="111"/>
    <x v="159"/>
    <n v="-57.56"/>
    <n v="0"/>
    <s v="Pesos"/>
    <s v=" $"/>
    <s v="Conci SRL"/>
  </r>
  <r>
    <n v="111"/>
    <x v="159"/>
    <n v="1898.06"/>
    <n v="0"/>
    <s v="Dólar "/>
    <s v=" U$S"/>
    <s v="Conci SRL"/>
  </r>
  <r>
    <n v="47"/>
    <x v="158"/>
    <n v="1099.55"/>
    <n v="0"/>
    <s v="Dólar "/>
    <s v=" U$S"/>
    <s v="HECTOR A. BERTONE S.A"/>
  </r>
  <r>
    <n v="61"/>
    <x v="157"/>
    <n v="37920.949999999997"/>
    <n v="0"/>
    <s v="Dólar "/>
    <s v=" U$S"/>
    <s v="Riboldi S.A."/>
  </r>
  <r>
    <n v="61"/>
    <x v="157"/>
    <n v="-0.96"/>
    <n v="0"/>
    <s v="Dólar Cable"/>
    <s v=" U$S TT"/>
    <s v="Riboldi S.A."/>
  </r>
  <r>
    <n v="47"/>
    <x v="158"/>
    <n v="27.79"/>
    <n v="0"/>
    <s v="Dólar Cable"/>
    <s v=" U$S TT"/>
    <s v="HECTOR A. BERTONE S.A"/>
  </r>
  <r>
    <n v="47"/>
    <x v="158"/>
    <n v="-155250.69"/>
    <n v="0"/>
    <s v="Dólar Matba Rofex"/>
    <s v=" U$S MR"/>
    <s v="HECTOR A. BERTONE S.A"/>
  </r>
  <r>
    <n v="61"/>
    <x v="157"/>
    <n v="-210"/>
    <n v="0"/>
    <s v="Dólar Matba Rofex"/>
    <s v=" U$S MR"/>
    <s v="Riboldi S.A."/>
  </r>
  <r>
    <n v="478"/>
    <x v="158"/>
    <n v="-85478.33"/>
    <n v="0"/>
    <s v="Dólar Matba Rofex"/>
    <s v=" U$S MR"/>
    <s v="HECTOR A. BERTONE S.A"/>
  </r>
  <r>
    <n v="101"/>
    <x v="160"/>
    <n v="-743232.29"/>
    <n v="-1.53"/>
    <s v="Pesos"/>
    <s v=" $"/>
    <s v="TOMAS HNOS Y CIA SA"/>
  </r>
  <r>
    <n v="88"/>
    <x v="161"/>
    <n v="527.37"/>
    <n v="0.02"/>
    <s v="Pesos"/>
    <s v=" $"/>
    <s v="LA RURAL S.R.L."/>
  </r>
  <r>
    <n v="173"/>
    <x v="160"/>
    <n v="0"/>
    <n v="0"/>
    <s v="Pesos"/>
    <s v=" $"/>
    <s v="TOMAS HNOS Y CIA SA"/>
  </r>
  <r>
    <n v="88"/>
    <x v="161"/>
    <n v="44.14"/>
    <n v="23.31"/>
    <s v="Dólar "/>
    <s v=" U$S"/>
    <s v="LA RURAL S.R.L."/>
  </r>
  <r>
    <n v="101"/>
    <x v="160"/>
    <n v="231725.53"/>
    <n v="0"/>
    <s v="Dólar "/>
    <s v=" U$S"/>
    <s v="TOMAS HNOS Y CIA SA"/>
  </r>
  <r>
    <n v="101"/>
    <x v="160"/>
    <n v="-33.97"/>
    <n v="0"/>
    <s v="Dólar Cable"/>
    <s v=" U$S TT"/>
    <s v="TOMAS HNOS Y CIA SA"/>
  </r>
  <r>
    <n v="88"/>
    <x v="161"/>
    <n v="17.95"/>
    <n v="0"/>
    <s v="Dólar Cable"/>
    <s v=" U$S TT"/>
    <s v="LA RURAL S.R.L."/>
  </r>
  <r>
    <n v="88"/>
    <x v="161"/>
    <n v="25869.1"/>
    <n v="94592.26"/>
    <s v="Dólar Matba Rofex"/>
    <s v=" U$S MR"/>
    <s v="LA RURAL S.R.L."/>
  </r>
  <r>
    <n v="101"/>
    <x v="160"/>
    <n v="0"/>
    <n v="0"/>
    <s v="Dólar Matba Rofex"/>
    <s v=" U$S MR"/>
    <s v="TOMAS HNOS Y CIA SA"/>
  </r>
  <r>
    <n v="173"/>
    <x v="160"/>
    <n v="0"/>
    <n v="0"/>
    <s v="Dólar Matba Rofex"/>
    <s v=" U$S MR"/>
    <s v="TOMAS HNOS Y CIA SA"/>
  </r>
  <r>
    <n v="22"/>
    <x v="162"/>
    <n v="0"/>
    <n v="0.02"/>
    <s v="Pesos"/>
    <s v=" $"/>
    <s v="DIVISION AGROPECUARIA S.A."/>
  </r>
  <r>
    <n v="22"/>
    <x v="162"/>
    <n v="-0.08"/>
    <n v="0"/>
    <s v="Dólar "/>
    <s v=" U$S"/>
    <s v="DIVISION AGROPECUARIA S.A."/>
  </r>
  <r>
    <n v="22"/>
    <x v="162"/>
    <n v="0"/>
    <n v="0"/>
    <s v="Dólar Matba Rofex"/>
    <s v=" U$S MR"/>
    <s v="DIVISION AGROPECUARIA S.A."/>
  </r>
  <r>
    <n v="53"/>
    <x v="163"/>
    <n v="-88800553.299999997"/>
    <n v="0.04"/>
    <s v="Pesos"/>
    <s v=" $"/>
    <s v="MAIOCCO CEREALES SA"/>
  </r>
  <r>
    <n v="57"/>
    <x v="164"/>
    <n v="393.97"/>
    <n v="0"/>
    <s v="Pesos"/>
    <s v=" $"/>
    <s v="PAGO VIEJO SOCIEDAD ANONIMA"/>
  </r>
  <r>
    <n v="169"/>
    <x v="165"/>
    <n v="2875000"/>
    <n v="0"/>
    <s v="Pesos"/>
    <s v=" $"/>
    <s v="LIAG ARGENTINA SAU"/>
  </r>
  <r>
    <n v="99"/>
    <x v="166"/>
    <n v="0"/>
    <n v="-0.01"/>
    <s v="Pesos"/>
    <s v=" $"/>
    <s v="PRIGIONI AGRO SRL"/>
  </r>
  <r>
    <n v="362"/>
    <x v="167"/>
    <n v="12810.93"/>
    <n v="-0.01"/>
    <s v="Pesos"/>
    <s v=" $"/>
    <s v="AGRO PRECISA SA"/>
  </r>
  <r>
    <n v="362"/>
    <x v="167"/>
    <n v="0"/>
    <n v="0"/>
    <s v="Dólar "/>
    <s v=" U$S"/>
    <s v="AGRO PRECISA SA"/>
  </r>
  <r>
    <n v="57"/>
    <x v="164"/>
    <n v="97243.5"/>
    <n v="0"/>
    <s v="Dólar "/>
    <s v=" U$S"/>
    <s v="PAGO VIEJO SOCIEDAD ANONIMA"/>
  </r>
  <r>
    <n v="53"/>
    <x v="163"/>
    <n v="15958.14"/>
    <n v="0"/>
    <s v="Dólar "/>
    <s v=" U$S"/>
    <s v="MAIOCCO CEREALES SA"/>
  </r>
  <r>
    <n v="57"/>
    <x v="164"/>
    <n v="10000.14"/>
    <n v="0"/>
    <s v="Dólar Cable"/>
    <s v=" U$S TT"/>
    <s v="PAGO VIEJO SOCIEDAD ANONIMA"/>
  </r>
  <r>
    <n v="57"/>
    <x v="164"/>
    <n v="5580"/>
    <n v="5854"/>
    <s v="Dólar Matba Rofex"/>
    <s v=" U$S MR"/>
    <s v="PAGO VIEJO SOCIEDAD ANONIMA"/>
  </r>
  <r>
    <n v="53"/>
    <x v="163"/>
    <n v="-2900"/>
    <n v="0"/>
    <s v="Dólar Matba Rofex"/>
    <s v=" U$S MR"/>
    <s v="MAIOCCO CEREALES SA"/>
  </r>
  <r>
    <n v="99"/>
    <x v="166"/>
    <n v="0"/>
    <n v="0"/>
    <s v="Dólar Matba Rofex"/>
    <s v=" U$S MR"/>
    <s v="PRIGIONI AGRO SRL"/>
  </r>
  <r>
    <n v="169"/>
    <x v="165"/>
    <n v="0"/>
    <n v="18750"/>
    <s v="Dólar Matba Rofex"/>
    <s v=" U$S MR"/>
    <s v="LIAG ARGENTINA SAU"/>
  </r>
  <r>
    <n v="362"/>
    <x v="167"/>
    <n v="0"/>
    <n v="0"/>
    <s v="Dólar Matba Rofex"/>
    <s v=" U$S MR"/>
    <s v="AGRO PRECISA SA"/>
  </r>
  <r>
    <n v="211"/>
    <x v="168"/>
    <n v="0"/>
    <n v="0"/>
    <s v="Pesos"/>
    <s v=" $"/>
    <s v="AHC SA"/>
  </r>
  <r>
    <n v="133"/>
    <x v="169"/>
    <n v="-50145276.049999997"/>
    <n v="0.01"/>
    <s v="Pesos"/>
    <s v=" $"/>
    <s v="LA ZULEMA SA"/>
  </r>
  <r>
    <n v="45"/>
    <x v="170"/>
    <n v="143629199.25999999"/>
    <n v="0.02"/>
    <s v="Pesos"/>
    <s v=" $"/>
    <s v="H &amp; H OUTFITTERS SA"/>
  </r>
  <r>
    <n v="26"/>
    <x v="171"/>
    <n v="-290724.40000000002"/>
    <n v="0"/>
    <s v="Pesos"/>
    <s v=" $"/>
    <s v="El Barrial SA"/>
  </r>
  <r>
    <n v="30"/>
    <x v="172"/>
    <n v="-71223199.180000007"/>
    <n v="-0.03"/>
    <s v="Pesos"/>
    <s v=" $"/>
    <s v="ESTANCIA LA MADRUGADA SA"/>
  </r>
  <r>
    <n v="449"/>
    <x v="173"/>
    <n v="0"/>
    <n v="0"/>
    <s v="Pesos"/>
    <s v=" $"/>
    <s v="SAN LORENZO SA"/>
  </r>
  <r>
    <n v="30"/>
    <x v="172"/>
    <n v="-5.29"/>
    <n v="0"/>
    <s v="Dólar "/>
    <s v=" U$S"/>
    <s v="ESTANCIA LA MADRUGADA SA"/>
  </r>
  <r>
    <n v="45"/>
    <x v="170"/>
    <n v="0.6"/>
    <n v="0"/>
    <s v="Dólar "/>
    <s v=" U$S"/>
    <s v="H &amp; H OUTFITTERS SA"/>
  </r>
  <r>
    <n v="133"/>
    <x v="169"/>
    <n v="-50705.04"/>
    <n v="0"/>
    <s v="Dólar "/>
    <s v=" U$S"/>
    <s v="LA ZULEMA SA"/>
  </r>
  <r>
    <n v="133"/>
    <x v="169"/>
    <n v="-0.06"/>
    <n v="0"/>
    <s v="Dólar Cable"/>
    <s v=" U$S TT"/>
    <s v="LA ZULEMA SA"/>
  </r>
  <r>
    <n v="30"/>
    <x v="172"/>
    <n v="0"/>
    <n v="0"/>
    <s v="Dólar Cable"/>
    <s v=" U$S TT"/>
    <s v="ESTANCIA LA MADRUGADA SA"/>
  </r>
  <r>
    <n v="26"/>
    <x v="171"/>
    <n v="-503.4"/>
    <n v="0"/>
    <s v="Dólar Matba Rofex"/>
    <s v=" U$S MR"/>
    <s v="El Barrial SA"/>
  </r>
  <r>
    <n v="45"/>
    <x v="170"/>
    <n v="0"/>
    <n v="0"/>
    <s v="Dólar Matba Rofex"/>
    <s v=" U$S MR"/>
    <s v="H &amp; H OUTFITTERS SA"/>
  </r>
  <r>
    <n v="449"/>
    <x v="173"/>
    <n v="0"/>
    <n v="0"/>
    <s v="Dólar Matba Rofex"/>
    <s v=" U$S MR"/>
    <s v="SAN LORENZO SA"/>
  </r>
  <r>
    <n v="133"/>
    <x v="169"/>
    <n v="-2882.82"/>
    <n v="3184.9"/>
    <s v="Dólar Matba Rofex"/>
    <s v=" U$S MR"/>
    <s v="LA ZULEMA SA"/>
  </r>
  <r>
    <n v="211"/>
    <x v="168"/>
    <n v="0"/>
    <n v="0"/>
    <s v="Dólar Matba Rofex"/>
    <s v=" U$S MR"/>
    <s v="AHC SA"/>
  </r>
  <r>
    <n v="249"/>
    <x v="174"/>
    <n v="-0.01"/>
    <n v="-0.01"/>
    <s v="Pesos"/>
    <s v=" $"/>
    <s v="AGROPECUARIA LA COSECHA SA"/>
  </r>
  <r>
    <n v="352"/>
    <x v="175"/>
    <n v="0"/>
    <n v="0"/>
    <s v="Pesos"/>
    <s v=" $"/>
    <s v="EL NORTE CORDOBES SRL"/>
  </r>
  <r>
    <n v="367"/>
    <x v="176"/>
    <n v="12069.81"/>
    <n v="0"/>
    <s v="Pesos"/>
    <s v=" $"/>
    <s v="DUTTO OSCAR HECTOR LUIS"/>
  </r>
  <r>
    <n v="280"/>
    <x v="177"/>
    <n v="0"/>
    <n v="0.02"/>
    <s v="Pesos"/>
    <s v=" $"/>
    <s v="RODRIGUEZ LUIS MARIA"/>
  </r>
  <r>
    <n v="286"/>
    <x v="178"/>
    <n v="-48742764.600000001"/>
    <n v="-0.06"/>
    <s v="Pesos"/>
    <s v=" $"/>
    <s v="SURI YACO S.R.L."/>
  </r>
  <r>
    <n v="128"/>
    <x v="179"/>
    <n v="-101.21"/>
    <n v="0"/>
    <s v="Pesos"/>
    <s v=" $"/>
    <s v="VILUCO SA"/>
  </r>
  <r>
    <n v="506"/>
    <x v="180"/>
    <n v="-7698.88"/>
    <n v="0"/>
    <s v="Pesos"/>
    <s v=" $"/>
    <s v="CULTIVOS SERI SA"/>
  </r>
  <r>
    <n v="450"/>
    <x v="181"/>
    <n v="1869.56"/>
    <n v="0"/>
    <s v="Pesos"/>
    <s v=" $"/>
    <s v="RCM SA"/>
  </r>
  <r>
    <n v="455"/>
    <x v="182"/>
    <n v="488750"/>
    <n v="0.01"/>
    <s v="Pesos"/>
    <s v=" $"/>
    <s v="JUAMARITA SA"/>
  </r>
  <r>
    <n v="444"/>
    <x v="183"/>
    <n v="-9002.11"/>
    <n v="0.04"/>
    <s v="Pesos"/>
    <s v=" $"/>
    <s v="LIPSA SRL"/>
  </r>
  <r>
    <n v="467"/>
    <x v="184"/>
    <n v="-164030.39999999999"/>
    <n v="0"/>
    <s v="Pesos"/>
    <s v=" $"/>
    <s v="REMIS NICOLAS"/>
  </r>
  <r>
    <n v="467"/>
    <x v="184"/>
    <n v="120260.66"/>
    <n v="0"/>
    <s v="Dólar "/>
    <s v=" U$S"/>
    <s v="REMIS NICOLAS"/>
  </r>
  <r>
    <n v="444"/>
    <x v="183"/>
    <n v="0.05"/>
    <n v="0"/>
    <s v="Dólar "/>
    <s v=" U$S"/>
    <s v="LIPSA SRL"/>
  </r>
  <r>
    <n v="455"/>
    <x v="182"/>
    <n v="0"/>
    <n v="0"/>
    <s v="Dólar "/>
    <s v=" U$S"/>
    <s v="JUAMARITA SA"/>
  </r>
  <r>
    <n v="450"/>
    <x v="181"/>
    <n v="0"/>
    <n v="0"/>
    <s v="Dólar "/>
    <s v=" U$S"/>
    <s v="RCM SA"/>
  </r>
  <r>
    <n v="286"/>
    <x v="178"/>
    <n v="3.72"/>
    <n v="0"/>
    <s v="Dólar "/>
    <s v=" U$S"/>
    <s v="SURI YACO S.R.L."/>
  </r>
  <r>
    <n v="455"/>
    <x v="182"/>
    <n v="898.52"/>
    <n v="0"/>
    <s v="Dólar Cable"/>
    <s v=" U$S TT"/>
    <s v="JUAMARITA SA"/>
  </r>
  <r>
    <n v="444"/>
    <x v="183"/>
    <n v="0"/>
    <n v="0"/>
    <s v="Dólar Cable"/>
    <s v=" U$S TT"/>
    <s v="LIPSA SRL"/>
  </r>
  <r>
    <n v="444"/>
    <x v="183"/>
    <n v="0"/>
    <n v="0"/>
    <s v="Dólar Matba Rofex"/>
    <s v=" U$S MR"/>
    <s v="LIPSA SRL"/>
  </r>
  <r>
    <n v="455"/>
    <x v="182"/>
    <n v="0"/>
    <n v="0"/>
    <s v="Dólar Matba Rofex"/>
    <s v=" U$S MR"/>
    <s v="JUAMARITA SA"/>
  </r>
  <r>
    <n v="506"/>
    <x v="180"/>
    <n v="0"/>
    <n v="0"/>
    <s v="Dólar Matba Rofex"/>
    <s v=" U$S MR"/>
    <s v="CULTIVOS SERI SA"/>
  </r>
  <r>
    <n v="128"/>
    <x v="179"/>
    <n v="0"/>
    <n v="112322.38"/>
    <s v="Dólar Matba Rofex"/>
    <s v=" U$S MR"/>
    <s v="VILUCO SA"/>
  </r>
  <r>
    <n v="286"/>
    <x v="178"/>
    <n v="0"/>
    <n v="18322.78"/>
    <s v="Dólar Matba Rofex"/>
    <s v=" U$S MR"/>
    <s v="SURI YACO S.R.L."/>
  </r>
  <r>
    <n v="280"/>
    <x v="177"/>
    <n v="0"/>
    <n v="0"/>
    <s v="Dólar Matba Rofex"/>
    <s v=" U$S MR"/>
    <s v="RODRIGUEZ LUIS MARIA"/>
  </r>
  <r>
    <n v="367"/>
    <x v="176"/>
    <n v="0"/>
    <n v="0"/>
    <s v="Dólar Matba Rofex"/>
    <s v=" U$S MR"/>
    <s v="DUTTO OSCAR HECTOR LUIS"/>
  </r>
  <r>
    <n v="352"/>
    <x v="175"/>
    <n v="0"/>
    <n v="0"/>
    <s v="Dólar Matba Rofex"/>
    <s v=" U$S MR"/>
    <s v="EL NORTE CORDOBES SRL"/>
  </r>
  <r>
    <n v="249"/>
    <x v="174"/>
    <n v="0"/>
    <n v="0"/>
    <s v="Dólar Matba Rofex"/>
    <s v=" U$S MR"/>
    <s v="AGROPECUARIA LA COSECHA SA"/>
  </r>
  <r>
    <n v="232"/>
    <x v="185"/>
    <n v="-19176.89"/>
    <n v="0.02"/>
    <s v="Pesos"/>
    <s v=" $"/>
    <s v="AGROSUDESTE SA"/>
  </r>
  <r>
    <n v="55"/>
    <x v="186"/>
    <n v="-0.37"/>
    <n v="0"/>
    <s v="Pesos"/>
    <s v=" $"/>
    <s v="Menzio S.R.L."/>
  </r>
  <r>
    <n v="55"/>
    <x v="186"/>
    <n v="59.35"/>
    <n v="0"/>
    <s v="Dólar "/>
    <s v=" U$S"/>
    <s v="Menzio S.R.L."/>
  </r>
  <r>
    <n v="232"/>
    <x v="185"/>
    <n v="0"/>
    <n v="0"/>
    <s v="Dólar "/>
    <s v=" U$S"/>
    <s v="AGROSUDESTE SA"/>
  </r>
  <r>
    <n v="232"/>
    <x v="185"/>
    <n v="166.28"/>
    <n v="0"/>
    <s v="Dólar Cable"/>
    <s v=" U$S TT"/>
    <s v="AGROSUDESTE SA"/>
  </r>
  <r>
    <n v="55"/>
    <x v="186"/>
    <n v="0"/>
    <n v="0"/>
    <s v="Dólar Cable"/>
    <s v=" U$S TT"/>
    <s v="Menzio S.R.L."/>
  </r>
  <r>
    <n v="55"/>
    <x v="186"/>
    <n v="0"/>
    <n v="0"/>
    <s v="Dólar Matba Rofex"/>
    <s v=" U$S MR"/>
    <s v="Menzio S.R.L."/>
  </r>
  <r>
    <n v="232"/>
    <x v="185"/>
    <n v="0"/>
    <n v="0"/>
    <s v="Dólar Matba Rofex"/>
    <s v=" U$S MR"/>
    <s v="AGROSUDESTE SA"/>
  </r>
  <r>
    <n v="303"/>
    <x v="187"/>
    <n v="0"/>
    <n v="-0.02"/>
    <s v="Pesos"/>
    <s v=" $"/>
    <s v="LA UNION DEL SUR S A"/>
  </r>
  <r>
    <n v="464"/>
    <x v="188"/>
    <n v="-551.88"/>
    <n v="0"/>
    <s v="Pesos"/>
    <s v=" $"/>
    <s v="RUBIO MANUEL EDUARDO"/>
  </r>
  <r>
    <n v="465"/>
    <x v="189"/>
    <n v="0"/>
    <n v="0.01"/>
    <s v="Pesos"/>
    <s v=" $"/>
    <s v="ESTACION 226 AGRO SRL"/>
  </r>
  <r>
    <n v="465"/>
    <x v="189"/>
    <n v="49.28"/>
    <n v="0"/>
    <s v="Dólar "/>
    <s v=" U$S"/>
    <s v="ESTACION 226 AGRO SRL"/>
  </r>
  <r>
    <n v="464"/>
    <x v="188"/>
    <n v="0"/>
    <n v="0"/>
    <s v="Dólar "/>
    <s v=" U$S"/>
    <s v="RUBIO MANUEL EDUARDO"/>
  </r>
  <r>
    <n v="303"/>
    <x v="187"/>
    <n v="-0.16"/>
    <n v="0"/>
    <s v="Dólar "/>
    <s v=" U$S"/>
    <s v="LA UNION DEL SUR S A"/>
  </r>
  <r>
    <n v="303"/>
    <x v="187"/>
    <n v="0"/>
    <n v="0"/>
    <s v="Dólar Matba Rofex"/>
    <s v=" U$S MR"/>
    <s v="LA UNION DEL SUR S A"/>
  </r>
  <r>
    <n v="338"/>
    <x v="190"/>
    <n v="0"/>
    <n v="0"/>
    <s v="Pesos"/>
    <s v=" $"/>
    <s v="AGRO IN SRL"/>
  </r>
  <r>
    <n v="393"/>
    <x v="191"/>
    <n v="0"/>
    <n v="0.01"/>
    <s v="Pesos"/>
    <s v=" $"/>
    <s v="ANIBAL MOSCHEN HERMANOS SA"/>
  </r>
  <r>
    <n v="247"/>
    <x v="192"/>
    <n v="13.56"/>
    <n v="0"/>
    <s v="Pesos"/>
    <s v=" $"/>
    <s v="GP AGRO SA"/>
  </r>
  <r>
    <n v="466"/>
    <x v="193"/>
    <n v="-5000000"/>
    <n v="0.01"/>
    <s v="Pesos"/>
    <s v=" $"/>
    <s v="MELCHIORI HNOS SA"/>
  </r>
  <r>
    <n v="49"/>
    <x v="194"/>
    <n v="-109727.71"/>
    <n v="0"/>
    <s v="Pesos"/>
    <s v=" $"/>
    <s v="INNOVACION ONCATIVO S.A."/>
  </r>
  <r>
    <n v="31"/>
    <x v="195"/>
    <n v="230.99"/>
    <n v="207457211"/>
    <s v="Pesos"/>
    <s v=" $"/>
    <s v="ESTANCIAS SAN AGUSTIN SCA"/>
  </r>
  <r>
    <n v="136"/>
    <x v="196"/>
    <n v="0"/>
    <n v="0.02"/>
    <s v="Pesos"/>
    <s v=" $"/>
    <s v="SPEEDAGRO SRL"/>
  </r>
  <r>
    <n v="158"/>
    <x v="197"/>
    <n v="0"/>
    <n v="0"/>
    <s v="Pesos"/>
    <s v=" $"/>
    <s v="DIAZ OMAR FABIAN"/>
  </r>
  <r>
    <n v="109"/>
    <x v="198"/>
    <n v="-1350582.37"/>
    <n v="0.57999999999999996"/>
    <s v="Pesos"/>
    <s v=" $"/>
    <s v="LOS TACURUCES SA"/>
  </r>
  <r>
    <n v="115"/>
    <x v="199"/>
    <n v="-6679786947.5699997"/>
    <n v="-3.97"/>
    <s v="Pesos"/>
    <s v=" $"/>
    <s v="PONCE MICINO RENE ARNALDO LEONEL"/>
  </r>
  <r>
    <n v="115"/>
    <x v="199"/>
    <n v="-3715303.85"/>
    <n v="0"/>
    <s v="Dólar "/>
    <s v=" U$S"/>
    <s v="PONCE MICINO RENE ARNALDO LEONEL"/>
  </r>
  <r>
    <n v="109"/>
    <x v="198"/>
    <n v="2.2400000000000002"/>
    <n v="6600"/>
    <s v="Dólar "/>
    <s v=" U$S"/>
    <s v="LOS TACURUCES SA"/>
  </r>
  <r>
    <n v="31"/>
    <x v="195"/>
    <n v="5610.79"/>
    <n v="0"/>
    <s v="Dólar "/>
    <s v=" U$S"/>
    <s v="ESTANCIAS SAN AGUSTIN SCA"/>
  </r>
  <r>
    <n v="49"/>
    <x v="194"/>
    <n v="0"/>
    <n v="0"/>
    <s v="Dólar "/>
    <s v=" U$S"/>
    <s v="INNOVACION ONCATIVO S.A."/>
  </r>
  <r>
    <n v="466"/>
    <x v="193"/>
    <n v="10.58"/>
    <n v="0"/>
    <s v="Dólar "/>
    <s v=" U$S"/>
    <s v="MELCHIORI HNOS SA"/>
  </r>
  <r>
    <n v="247"/>
    <x v="192"/>
    <n v="0"/>
    <n v="0"/>
    <s v="Dólar "/>
    <s v=" U$S"/>
    <s v="GP AGRO SA"/>
  </r>
  <r>
    <n v="49"/>
    <x v="194"/>
    <n v="285.83999999999997"/>
    <n v="0"/>
    <s v="Dólar Cable"/>
    <s v=" U$S TT"/>
    <s v="INNOVACION ONCATIVO S.A."/>
  </r>
  <r>
    <n v="31"/>
    <x v="195"/>
    <n v="412.17"/>
    <n v="0"/>
    <s v="Dólar Cable"/>
    <s v=" U$S TT"/>
    <s v="ESTANCIAS SAN AGUSTIN SCA"/>
  </r>
  <r>
    <n v="109"/>
    <x v="198"/>
    <n v="44.69"/>
    <n v="0"/>
    <s v="Dólar Cable"/>
    <s v=" U$S TT"/>
    <s v="LOS TACURUCES SA"/>
  </r>
  <r>
    <n v="115"/>
    <x v="199"/>
    <n v="443.35"/>
    <n v="0"/>
    <s v="Dólar Cable"/>
    <s v=" U$S TT"/>
    <s v="PONCE MICINO RENE ARNALDO LEONEL"/>
  </r>
  <r>
    <n v="115"/>
    <x v="199"/>
    <n v="0"/>
    <n v="0"/>
    <s v="Dólar Matba Rofex"/>
    <s v=" U$S MR"/>
    <s v="PONCE MICINO RENE ARNALDO LEONEL"/>
  </r>
  <r>
    <n v="109"/>
    <x v="198"/>
    <n v="750"/>
    <n v="2936.74"/>
    <s v="Dólar Matba Rofex"/>
    <s v=" U$S MR"/>
    <s v="LOS TACURUCES SA"/>
  </r>
  <r>
    <n v="136"/>
    <x v="196"/>
    <n v="0"/>
    <n v="0"/>
    <s v="Dólar Matba Rofex"/>
    <s v=" U$S MR"/>
    <s v="SPEEDAGRO SRL"/>
  </r>
  <r>
    <n v="31"/>
    <x v="195"/>
    <n v="0"/>
    <n v="10558.14"/>
    <s v="Dólar Matba Rofex"/>
    <s v=" U$S MR"/>
    <s v="ESTANCIAS SAN AGUSTIN SCA"/>
  </r>
  <r>
    <n v="49"/>
    <x v="194"/>
    <n v="-5670.99"/>
    <n v="906.69"/>
    <s v="Dólar Matba Rofex"/>
    <s v=" U$S MR"/>
    <s v="INNOVACION ONCATIVO S.A."/>
  </r>
  <r>
    <n v="466"/>
    <x v="193"/>
    <n v="0"/>
    <n v="0"/>
    <s v="Dólar Matba Rofex"/>
    <s v=" U$S MR"/>
    <s v="MELCHIORI HNOS SA"/>
  </r>
  <r>
    <n v="247"/>
    <x v="192"/>
    <n v="-0.01"/>
    <n v="0"/>
    <s v="Dólar Matba Rofex"/>
    <s v=" U$S MR"/>
    <s v="GP AGRO SA"/>
  </r>
  <r>
    <n v="338"/>
    <x v="190"/>
    <n v="0"/>
    <n v="0"/>
    <s v="Dólar Matba Rofex"/>
    <s v=" U$S MR"/>
    <s v="AGRO IN SRL"/>
  </r>
  <r>
    <n v="356"/>
    <x v="200"/>
    <n v="0.84"/>
    <n v="0"/>
    <s v="Pesos"/>
    <s v=" $"/>
    <s v="Martin Rafael Raimundo"/>
  </r>
  <r>
    <n v="301"/>
    <x v="201"/>
    <n v="-107293314.05"/>
    <n v="0"/>
    <s v="Pesos"/>
    <s v=" $"/>
    <s v="FIORDANI RENZI CEREALES S.A."/>
  </r>
  <r>
    <n v="288"/>
    <x v="202"/>
    <n v="-1878.28"/>
    <n v="0.05"/>
    <s v="Pesos"/>
    <s v=" $"/>
    <s v="ESTABLECIMIENTO AGRICOLA GANADERO SAN IGNACIO SRL"/>
  </r>
  <r>
    <n v="68"/>
    <x v="203"/>
    <n v="-96696.94"/>
    <n v="-0.01"/>
    <s v="Pesos"/>
    <s v=" $"/>
    <s v="TAGUAY SA"/>
  </r>
  <r>
    <n v="39"/>
    <x v="204"/>
    <n v="-6226.22"/>
    <n v="0"/>
    <s v="Pesos"/>
    <s v=" $"/>
    <s v="GARMAT SA"/>
  </r>
  <r>
    <n v="63"/>
    <x v="205"/>
    <n v="-15250.77"/>
    <n v="0"/>
    <s v="Pesos"/>
    <s v=" $"/>
    <s v="RUAS AGROPECUARIA S A"/>
  </r>
  <r>
    <n v="63"/>
    <x v="205"/>
    <n v="0"/>
    <n v="0"/>
    <s v="Dólar "/>
    <s v=" U$S"/>
    <s v="RUAS AGROPECUARIA S A"/>
  </r>
  <r>
    <n v="39"/>
    <x v="204"/>
    <n v="4112.05"/>
    <n v="0"/>
    <s v="Dólar "/>
    <s v=" U$S"/>
    <s v="GARMAT SA"/>
  </r>
  <r>
    <n v="68"/>
    <x v="203"/>
    <n v="286.27999999999997"/>
    <n v="0"/>
    <s v="Dólar "/>
    <s v=" U$S"/>
    <s v="TAGUAY SA"/>
  </r>
  <r>
    <n v="301"/>
    <x v="201"/>
    <n v="9.86"/>
    <n v="0"/>
    <s v="Dólar "/>
    <s v=" U$S"/>
    <s v="FIORDANI RENZI CEREALES S.A."/>
  </r>
  <r>
    <n v="356"/>
    <x v="200"/>
    <n v="0"/>
    <n v="0"/>
    <s v="Dólar "/>
    <s v=" U$S"/>
    <s v="Martin Rafael Raimundo"/>
  </r>
  <r>
    <n v="288"/>
    <x v="202"/>
    <n v="0"/>
    <n v="0"/>
    <s v="Dólar Cable"/>
    <s v=" U$S TT"/>
    <s v="ESTABLECIMIENTO AGRICOLA GANADERO SAN IGNACIO SRL"/>
  </r>
  <r>
    <n v="68"/>
    <x v="203"/>
    <n v="1076.2"/>
    <n v="0"/>
    <s v="Dólar Cable"/>
    <s v=" U$S TT"/>
    <s v="TAGUAY SA"/>
  </r>
  <r>
    <n v="39"/>
    <x v="204"/>
    <n v="-7.0000000000000007E-2"/>
    <n v="0"/>
    <s v="Dólar Cable"/>
    <s v=" U$S TT"/>
    <s v="GARMAT SA"/>
  </r>
  <r>
    <n v="39"/>
    <x v="204"/>
    <n v="-0.01"/>
    <n v="0"/>
    <s v="Dólar Matba Rofex"/>
    <s v=" U$S MR"/>
    <s v="GARMAT SA"/>
  </r>
  <r>
    <n v="63"/>
    <x v="205"/>
    <n v="-0.01"/>
    <n v="0"/>
    <s v="Dólar Matba Rofex"/>
    <s v=" U$S MR"/>
    <s v="RUAS AGROPECUARIA S A"/>
  </r>
  <r>
    <n v="68"/>
    <x v="203"/>
    <n v="-2823.84"/>
    <n v="5136.97"/>
    <s v="Dólar Matba Rofex"/>
    <s v=" U$S MR"/>
    <s v="TAGUAY SA"/>
  </r>
  <r>
    <n v="301"/>
    <x v="201"/>
    <n v="-7489.13"/>
    <n v="142102.42000000001"/>
    <s v="Dólar Matba Rofex"/>
    <s v=" U$S MR"/>
    <s v="FIORDANI RENZI CEREALES S.A."/>
  </r>
  <r>
    <n v="302"/>
    <x v="206"/>
    <n v="2820.94"/>
    <n v="0"/>
    <s v="Pesos"/>
    <s v=" $"/>
    <s v="UDS AGRO SRL"/>
  </r>
  <r>
    <n v="209"/>
    <x v="207"/>
    <n v="0"/>
    <n v="0"/>
    <s v="Pesos"/>
    <s v=" $"/>
    <s v="GARAGRO SOCIEDAD ANONIMA"/>
  </r>
  <r>
    <n v="279"/>
    <x v="208"/>
    <n v="1780.96"/>
    <n v="0"/>
    <s v="Pesos"/>
    <s v=" $"/>
    <s v="AMBROGIO MARTIN"/>
  </r>
  <r>
    <n v="274"/>
    <x v="209"/>
    <n v="0"/>
    <n v="0"/>
    <s v="Pesos"/>
    <s v=" $"/>
    <n v="13035"/>
  </r>
  <r>
    <n v="357"/>
    <x v="210"/>
    <n v="0.98"/>
    <n v="0.01"/>
    <s v="Pesos"/>
    <s v=" $"/>
    <s v="HARAS LA QUEBRADA SA"/>
  </r>
  <r>
    <n v="403"/>
    <x v="211"/>
    <n v="13.42"/>
    <n v="0"/>
    <s v="Pesos"/>
    <s v=" $"/>
    <s v="CIGORRAGA NICOLAS"/>
  </r>
  <r>
    <n v="404"/>
    <x v="212"/>
    <n v="-17.21"/>
    <n v="0"/>
    <s v="Pesos"/>
    <s v=" $"/>
    <s v="CIGORRAGA ANDRES"/>
  </r>
  <r>
    <n v="400"/>
    <x v="213"/>
    <n v="-2022.72"/>
    <n v="0.01"/>
    <s v="Pesos"/>
    <s v=" $"/>
    <s v="BERNARD RAUL PABLO"/>
  </r>
  <r>
    <n v="253"/>
    <x v="214"/>
    <n v="0"/>
    <n v="0"/>
    <s v="Pesos"/>
    <s v=" $"/>
    <n v="13036"/>
  </r>
  <r>
    <n v="237"/>
    <x v="215"/>
    <n v="0.28999999999999998"/>
    <n v="0"/>
    <s v="Pesos"/>
    <s v=" $"/>
    <s v="AGROPECUARIA GUATAN SA"/>
  </r>
  <r>
    <n v="243"/>
    <x v="216"/>
    <n v="0"/>
    <n v="0"/>
    <s v="Pesos"/>
    <s v=" $"/>
    <s v="DOMINGO BLAS ALEJANDRO"/>
  </r>
  <r>
    <n v="208"/>
    <x v="217"/>
    <n v="3889.56"/>
    <n v="0"/>
    <s v="Pesos"/>
    <s v=" $"/>
    <s v="GRACAGRO SA"/>
  </r>
  <r>
    <n v="217"/>
    <x v="218"/>
    <n v="0"/>
    <n v="0.03"/>
    <s v="Pesos"/>
    <s v=" $"/>
    <s v="AGROINVERSIONES ALS S.A.S."/>
  </r>
  <r>
    <n v="203"/>
    <x v="219"/>
    <n v="0"/>
    <n v="-0.01"/>
    <s v="Pesos"/>
    <s v=" $"/>
    <s v="GALARCE GASTON"/>
  </r>
  <r>
    <n v="205"/>
    <x v="220"/>
    <n v="11.88"/>
    <n v="0"/>
    <s v="Pesos"/>
    <s v=" $"/>
    <s v="TINAREN SA"/>
  </r>
  <r>
    <n v="206"/>
    <x v="221"/>
    <n v="0"/>
    <n v="-0.01"/>
    <s v="Pesos"/>
    <s v=" $"/>
    <s v="MONTANARI ROMAN"/>
  </r>
  <r>
    <n v="198"/>
    <x v="222"/>
    <n v="1656.4"/>
    <n v="0"/>
    <s v="Pesos"/>
    <s v=" $"/>
    <s v="CAYOL MARCOS"/>
  </r>
  <r>
    <n v="152"/>
    <x v="223"/>
    <n v="0"/>
    <n v="0"/>
    <s v="Pesos"/>
    <s v=" $"/>
    <s v="CARMAN JUAN CRUZ"/>
  </r>
  <r>
    <n v="166"/>
    <x v="224"/>
    <n v="0"/>
    <n v="0"/>
    <s v="Pesos"/>
    <s v=" $"/>
    <n v="13033"/>
  </r>
  <r>
    <n v="518"/>
    <x v="225"/>
    <n v="561.80999999999995"/>
    <n v="0"/>
    <s v="Pesos"/>
    <s v=" $"/>
    <s v="PRIOTTI NANCY MARIA"/>
  </r>
  <r>
    <n v="528"/>
    <x v="226"/>
    <n v="-10112.27"/>
    <n v="0"/>
    <s v="Pesos"/>
    <s v=" $"/>
    <s v="BERNARD RAUL PABLO y BERNARD PABLO APARICIO"/>
  </r>
  <r>
    <n v="377"/>
    <x v="227"/>
    <n v="-0.01"/>
    <n v="0"/>
    <s v="Pesos"/>
    <s v=" $"/>
    <s v="TILO PAMPA SA"/>
  </r>
  <r>
    <n v="528"/>
    <x v="226"/>
    <n v="177.1"/>
    <n v="0"/>
    <s v="Dólar "/>
    <s v=" U$S"/>
    <s v="BERNARD RAUL PABLO y BERNARD PABLO APARICIO"/>
  </r>
  <r>
    <n v="166"/>
    <x v="224"/>
    <n v="0"/>
    <n v="0"/>
    <s v="Dólar "/>
    <s v=" U$S"/>
    <n v="13033"/>
  </r>
  <r>
    <n v="152"/>
    <x v="223"/>
    <n v="0"/>
    <n v="0"/>
    <s v="Dólar "/>
    <s v=" U$S"/>
    <s v="CARMAN JUAN CRUZ"/>
  </r>
  <r>
    <n v="198"/>
    <x v="222"/>
    <n v="0"/>
    <n v="0"/>
    <s v="Dólar "/>
    <s v=" U$S"/>
    <s v="CAYOL MARCOS"/>
  </r>
  <r>
    <n v="206"/>
    <x v="221"/>
    <n v="0"/>
    <n v="0"/>
    <s v="Dólar "/>
    <s v=" U$S"/>
    <s v="MONTANARI ROMAN"/>
  </r>
  <r>
    <n v="203"/>
    <x v="219"/>
    <n v="0"/>
    <n v="0"/>
    <s v="Dólar "/>
    <s v=" U$S"/>
    <s v="GALARCE GASTON"/>
  </r>
  <r>
    <n v="217"/>
    <x v="218"/>
    <n v="7.0000000000000007E-2"/>
    <n v="0"/>
    <s v="Dólar "/>
    <s v=" U$S"/>
    <s v="AGROINVERSIONES ALS S.A.S."/>
  </r>
  <r>
    <n v="208"/>
    <x v="217"/>
    <n v="50.32"/>
    <n v="0"/>
    <s v="Dólar "/>
    <s v=" U$S"/>
    <s v="GRACAGRO SA"/>
  </r>
  <r>
    <n v="243"/>
    <x v="216"/>
    <n v="0"/>
    <n v="0"/>
    <s v="Dólar "/>
    <s v=" U$S"/>
    <s v="DOMINGO BLAS ALEJANDRO"/>
  </r>
  <r>
    <n v="237"/>
    <x v="215"/>
    <n v="0"/>
    <n v="0"/>
    <s v="Dólar "/>
    <s v=" U$S"/>
    <s v="AGROPECUARIA GUATAN SA"/>
  </r>
  <r>
    <n v="253"/>
    <x v="214"/>
    <n v="0"/>
    <n v="0"/>
    <s v="Dólar "/>
    <s v=" U$S"/>
    <n v="13036"/>
  </r>
  <r>
    <n v="400"/>
    <x v="213"/>
    <n v="-15266.91"/>
    <n v="0"/>
    <s v="Dólar "/>
    <s v=" U$S"/>
    <s v="BERNARD RAUL PABLO"/>
  </r>
  <r>
    <n v="404"/>
    <x v="212"/>
    <n v="0"/>
    <n v="0"/>
    <s v="Dólar "/>
    <s v=" U$S"/>
    <s v="CIGORRAGA ANDRES"/>
  </r>
  <r>
    <n v="403"/>
    <x v="211"/>
    <n v="-0.02"/>
    <n v="0"/>
    <s v="Dólar "/>
    <s v=" U$S"/>
    <s v="CIGORRAGA NICOLAS"/>
  </r>
  <r>
    <n v="274"/>
    <x v="209"/>
    <n v="0"/>
    <n v="0"/>
    <s v="Dólar "/>
    <s v=" U$S"/>
    <n v="13035"/>
  </r>
  <r>
    <n v="279"/>
    <x v="208"/>
    <n v="0"/>
    <n v="0"/>
    <s v="Dólar "/>
    <s v=" U$S"/>
    <s v="AMBROGIO MARTIN"/>
  </r>
  <r>
    <n v="302"/>
    <x v="206"/>
    <n v="0"/>
    <n v="0"/>
    <s v="Dólar "/>
    <s v=" U$S"/>
    <s v="UDS AGRO SRL"/>
  </r>
  <r>
    <n v="274"/>
    <x v="209"/>
    <n v="2519.52"/>
    <n v="0"/>
    <s v="Dólar Cable"/>
    <s v=" U$S TT"/>
    <n v="13035"/>
  </r>
  <r>
    <n v="400"/>
    <x v="213"/>
    <n v="107.79"/>
    <n v="0"/>
    <s v="Dólar Cable"/>
    <s v=" U$S TT"/>
    <s v="BERNARD RAUL PABLO"/>
  </r>
  <r>
    <n v="253"/>
    <x v="214"/>
    <n v="2392.9299999999998"/>
    <n v="0"/>
    <s v="Dólar Cable"/>
    <s v=" U$S TT"/>
    <n v="13036"/>
  </r>
  <r>
    <n v="152"/>
    <x v="223"/>
    <n v="0"/>
    <n v="0"/>
    <s v="Dólar Cable"/>
    <s v=" U$S TT"/>
    <s v="CARMAN JUAN CRUZ"/>
  </r>
  <r>
    <n v="166"/>
    <x v="224"/>
    <n v="30"/>
    <n v="0"/>
    <s v="Dólar Cable"/>
    <s v=" U$S TT"/>
    <n v="13033"/>
  </r>
  <r>
    <n v="528"/>
    <x v="226"/>
    <n v="33.950000000000003"/>
    <n v="0"/>
    <s v="Dólar Cable"/>
    <s v=" U$S TT"/>
    <s v="BERNARD RAUL PABLO y BERNARD PABLO APARICIO"/>
  </r>
  <r>
    <n v="528"/>
    <x v="226"/>
    <n v="0"/>
    <n v="0"/>
    <s v="Dólar Matba Rofex"/>
    <s v=" U$S MR"/>
    <s v="BERNARD RAUL PABLO y BERNARD PABLO APARICIO"/>
  </r>
  <r>
    <n v="166"/>
    <x v="224"/>
    <n v="0"/>
    <n v="0"/>
    <s v="Dólar Matba Rofex"/>
    <s v=" U$S MR"/>
    <n v="13033"/>
  </r>
  <r>
    <n v="518"/>
    <x v="225"/>
    <n v="0"/>
    <n v="0"/>
    <s v="Dólar Matba Rofex"/>
    <s v=" U$S MR"/>
    <s v="PRIOTTI NANCY MARIA"/>
  </r>
  <r>
    <n v="152"/>
    <x v="223"/>
    <n v="0"/>
    <n v="0"/>
    <s v="Dólar Matba Rofex"/>
    <s v=" U$S MR"/>
    <s v="CARMAN JUAN CRUZ"/>
  </r>
  <r>
    <n v="253"/>
    <x v="214"/>
    <n v="0"/>
    <n v="0"/>
    <s v="Dólar Matba Rofex"/>
    <s v=" U$S MR"/>
    <n v="13036"/>
  </r>
  <r>
    <n v="217"/>
    <x v="218"/>
    <n v="0"/>
    <n v="0"/>
    <s v="Dólar Matba Rofex"/>
    <s v=" U$S MR"/>
    <s v="AGROINVERSIONES ALS S.A.S."/>
  </r>
  <r>
    <n v="203"/>
    <x v="219"/>
    <n v="0"/>
    <n v="0"/>
    <s v="Dólar Matba Rofex"/>
    <s v=" U$S MR"/>
    <s v="GALARCE GASTON"/>
  </r>
  <r>
    <n v="205"/>
    <x v="220"/>
    <n v="0"/>
    <n v="0"/>
    <s v="Dólar Matba Rofex"/>
    <s v=" U$S MR"/>
    <s v="TINAREN SA"/>
  </r>
  <r>
    <n v="206"/>
    <x v="221"/>
    <n v="0"/>
    <n v="0"/>
    <s v="Dólar Matba Rofex"/>
    <s v=" U$S MR"/>
    <s v="MONTANARI ROMAN"/>
  </r>
  <r>
    <n v="198"/>
    <x v="222"/>
    <n v="0"/>
    <n v="0"/>
    <s v="Dólar Matba Rofex"/>
    <s v=" U$S MR"/>
    <s v="CAYOL MARCOS"/>
  </r>
  <r>
    <n v="400"/>
    <x v="213"/>
    <n v="0"/>
    <n v="0"/>
    <s v="Dólar Matba Rofex"/>
    <s v=" U$S MR"/>
    <s v="BERNARD RAUL PABLO"/>
  </r>
  <r>
    <n v="357"/>
    <x v="210"/>
    <n v="0"/>
    <n v="0"/>
    <s v="Dólar Matba Rofex"/>
    <s v=" U$S MR"/>
    <s v="HARAS LA QUEBRADA SA"/>
  </r>
  <r>
    <n v="274"/>
    <x v="209"/>
    <n v="0"/>
    <n v="0"/>
    <s v="Dólar Matba Rofex"/>
    <s v=" U$S MR"/>
    <n v="13035"/>
  </r>
  <r>
    <n v="291"/>
    <x v="228"/>
    <n v="0"/>
    <n v="0"/>
    <s v="Pesos"/>
    <s v=" $"/>
    <s v="MSU SA"/>
  </r>
  <r>
    <n v="150"/>
    <x v="229"/>
    <n v="0"/>
    <n v="0"/>
    <s v="Pesos"/>
    <s v=" $"/>
    <s v="MARCHESI JUAN CARLOS"/>
  </r>
  <r>
    <n v="150"/>
    <x v="229"/>
    <n v="0"/>
    <n v="0.02"/>
    <s v="Dólar "/>
    <s v=" U$S"/>
    <s v="MARCHESI JUAN CARLOS"/>
  </r>
  <r>
    <n v="150"/>
    <x v="229"/>
    <n v="6.87"/>
    <n v="0"/>
    <s v="Dólar Cable"/>
    <s v=" U$S TT"/>
    <s v="MARCHESI JUAN CARLOS"/>
  </r>
  <r>
    <n v="150"/>
    <x v="229"/>
    <n v="0"/>
    <n v="0"/>
    <s v="Dólar Matba Rofex"/>
    <s v=" U$S MR"/>
    <s v="MARCHESI JUAN CARLOS"/>
  </r>
  <r>
    <n v="291"/>
    <x v="228"/>
    <n v="0"/>
    <n v="0"/>
    <s v="Dólar Matba Rofex"/>
    <s v=" U$S MR"/>
    <s v="MSU SA"/>
  </r>
  <r>
    <n v="207"/>
    <x v="230"/>
    <n v="-208135.61"/>
    <n v="0"/>
    <s v="Pesos"/>
    <s v=" $"/>
    <s v="VITERRA ARGENTINA SA"/>
  </r>
  <r>
    <n v="207"/>
    <x v="230"/>
    <n v="-1001"/>
    <n v="0"/>
    <s v="Dólar Matba Rofex"/>
    <s v=" U$S MR"/>
    <s v="VITERRA ARGENTINA SA"/>
  </r>
  <r>
    <n v="199"/>
    <x v="231"/>
    <n v="133417305.67"/>
    <n v="0.02"/>
    <s v="Pesos"/>
    <s v=" $"/>
    <s v="GEAR SAAICFEI"/>
  </r>
  <r>
    <n v="172"/>
    <x v="232"/>
    <n v="-2472662.77"/>
    <n v="0"/>
    <s v="Pesos"/>
    <s v=" $"/>
    <s v="LARTIRIGOYEN Y CIA. SA"/>
  </r>
  <r>
    <n v="110"/>
    <x v="232"/>
    <n v="-3225027869.23"/>
    <n v="0.27"/>
    <s v="Pesos"/>
    <s v=" $"/>
    <s v="LARTIRIGOYEN Y CIA. SA"/>
  </r>
  <r>
    <n v="69"/>
    <x v="233"/>
    <n v="-193406135.87"/>
    <n v="0"/>
    <s v="Pesos"/>
    <s v=" $"/>
    <n v="13003"/>
  </r>
  <r>
    <n v="446"/>
    <x v="232"/>
    <n v="-736984.17"/>
    <n v="0"/>
    <s v="Pesos"/>
    <s v=" $"/>
    <s v="LARTIRIGOYEN Y CIA. SA"/>
  </r>
  <r>
    <n v="69"/>
    <x v="233"/>
    <n v="2031.54"/>
    <n v="25000"/>
    <s v="Dólar "/>
    <s v=" U$S"/>
    <n v="13003"/>
  </r>
  <r>
    <n v="110"/>
    <x v="232"/>
    <n v="768.48"/>
    <n v="0"/>
    <s v="Dólar "/>
    <s v=" U$S"/>
    <s v="LARTIRIGOYEN Y CIA. SA"/>
  </r>
  <r>
    <n v="199"/>
    <x v="231"/>
    <n v="26.49"/>
    <n v="-0.03"/>
    <s v="Dólar "/>
    <s v=" U$S"/>
    <s v="GEAR SAAICFEI"/>
  </r>
  <r>
    <n v="199"/>
    <x v="231"/>
    <n v="63.55"/>
    <n v="0"/>
    <s v="Dólar Cable"/>
    <s v=" U$S TT"/>
    <s v="GEAR SAAICFEI"/>
  </r>
  <r>
    <n v="110"/>
    <x v="232"/>
    <n v="0"/>
    <n v="0"/>
    <s v="Dólar Cable"/>
    <s v=" U$S TT"/>
    <s v="LARTIRIGOYEN Y CIA. SA"/>
  </r>
  <r>
    <n v="69"/>
    <x v="233"/>
    <n v="0"/>
    <n v="0"/>
    <s v="Dólar Cable"/>
    <s v=" U$S TT"/>
    <n v="13003"/>
  </r>
  <r>
    <n v="69"/>
    <x v="233"/>
    <n v="-200380.33"/>
    <n v="84406.58"/>
    <s v="Dólar Matba Rofex"/>
    <s v=" U$S MR"/>
    <n v="13003"/>
  </r>
  <r>
    <n v="110"/>
    <x v="232"/>
    <n v="826764.43"/>
    <n v="383383.74"/>
    <s v="Dólar Matba Rofex"/>
    <s v=" U$S MR"/>
    <s v="LARTIRIGOYEN Y CIA. SA"/>
  </r>
  <r>
    <n v="172"/>
    <x v="232"/>
    <n v="-366057.78"/>
    <n v="0"/>
    <s v="Dólar Matba Rofex"/>
    <s v=" U$S MR"/>
    <s v="LARTIRIGOYEN Y CIA. SA"/>
  </r>
  <r>
    <n v="446"/>
    <x v="232"/>
    <n v="-425706.65"/>
    <n v="0"/>
    <s v="Dólar Matba Rofex"/>
    <s v=" U$S MR"/>
    <s v="LARTIRIGOYEN Y CIA. SA"/>
  </r>
  <r>
    <n v="199"/>
    <x v="231"/>
    <n v="1900"/>
    <n v="800"/>
    <s v="Dólar Matba Rofex"/>
    <s v=" U$S MR"/>
    <s v="GEAR SAAICFEI"/>
  </r>
  <r>
    <n v="6072"/>
    <x v="234"/>
    <n v="-643.88"/>
    <n v="0"/>
    <s v="Pesos"/>
    <s v=" $"/>
    <s v="PLUMA DE PATO S.A."/>
  </r>
  <r>
    <n v="6077"/>
    <x v="235"/>
    <n v="-132968.09"/>
    <n v="0"/>
    <s v="Pesos"/>
    <s v=" $"/>
    <s v="ADMINISTRACION AGRICOLA S. A."/>
  </r>
  <r>
    <n v="178"/>
    <x v="236"/>
    <n v="675.98"/>
    <n v="-5.19"/>
    <s v="Pesos"/>
    <s v=" $"/>
    <s v="INVERSIONES FINANCIERAS DEL SUR S.A."/>
  </r>
  <r>
    <n v="236"/>
    <x v="237"/>
    <n v="0.48"/>
    <n v="-0.01"/>
    <s v="Pesos"/>
    <s v=" $"/>
    <n v="13002"/>
  </r>
  <r>
    <n v="6041"/>
    <x v="238"/>
    <n v="15585.52"/>
    <n v="0"/>
    <s v="Pesos"/>
    <s v=" $"/>
    <s v="MUCHIUT VIVIANA MILENA, MUCHIUT CECILIA MARIA"/>
  </r>
  <r>
    <n v="6039"/>
    <x v="239"/>
    <n v="4740875"/>
    <n v="0"/>
    <s v="Pesos"/>
    <s v=" $"/>
    <s v="UNION AGRICOLA DE AVELLANEDA COOP LTDA"/>
  </r>
  <r>
    <n v="6064"/>
    <x v="240"/>
    <n v="-136702.92000000001"/>
    <n v="0"/>
    <s v="Pesos"/>
    <s v=" $"/>
    <s v="LARTIRIGOYEN IGNACIO"/>
  </r>
  <r>
    <n v="6046"/>
    <x v="241"/>
    <n v="199.02"/>
    <n v="0"/>
    <s v="Pesos"/>
    <s v=" $"/>
    <s v="ALFREDO S. MONDINO CEREALES SRL"/>
  </r>
  <r>
    <n v="572"/>
    <x v="242"/>
    <n v="-86732.75"/>
    <n v="0"/>
    <s v="Pesos"/>
    <s v=" $"/>
    <s v="BERNARD RAUL PABLO (SCOUT)"/>
  </r>
  <r>
    <n v="6005"/>
    <x v="243"/>
    <n v="16519.03"/>
    <n v="-0.03"/>
    <s v="Pesos"/>
    <s v=" $"/>
    <s v="MURATURE DIEGO, SYLVESTRE BEGNIS CRISTINA"/>
  </r>
  <r>
    <n v="6007"/>
    <x v="244"/>
    <n v="0"/>
    <n v="0"/>
    <s v="Pesos"/>
    <s v=" $"/>
    <s v="ATS AGRO S.A."/>
  </r>
  <r>
    <n v="5089"/>
    <x v="245"/>
    <n v="0"/>
    <n v="0"/>
    <s v="Pesos"/>
    <s v=" $"/>
    <s v="PARAKEET CAPITAL SA"/>
  </r>
  <r>
    <n v="552"/>
    <x v="246"/>
    <n v="0.8"/>
    <n v="0"/>
    <s v="Pesos"/>
    <s v=" $"/>
    <s v="SYNGENTA AGRO SA"/>
  </r>
  <r>
    <n v="6001"/>
    <x v="247"/>
    <n v="-70169.210000000006"/>
    <n v="0"/>
    <s v="Pesos"/>
    <s v=" $"/>
    <s v="NUÑEZ GIORGETTI MARIANO ENRIQUE"/>
  </r>
  <r>
    <n v="6002"/>
    <x v="248"/>
    <n v="2892.72"/>
    <n v="0"/>
    <s v="Pesos"/>
    <s v=" $"/>
    <s v="LATTUGA GISELLE JAQUELINA"/>
  </r>
  <r>
    <n v="563"/>
    <x v="249"/>
    <n v="-0.02"/>
    <n v="0"/>
    <s v="Pesos"/>
    <s v=" $"/>
    <s v="SIECON SA"/>
  </r>
  <r>
    <n v="566"/>
    <x v="250"/>
    <n v="0"/>
    <n v="0"/>
    <s v="Pesos"/>
    <s v=" $"/>
    <s v="FYOFOODS SAU"/>
  </r>
  <r>
    <n v="568"/>
    <x v="251"/>
    <n v="0"/>
    <n v="0"/>
    <s v="Pesos"/>
    <s v=" $"/>
    <s v="CN AGRO SA"/>
  </r>
  <r>
    <n v="317"/>
    <x v="252"/>
    <n v="0"/>
    <n v="0"/>
    <s v="Pesos"/>
    <s v=" $"/>
    <s v="BOIX JUAN ESTEBAN"/>
  </r>
  <r>
    <n v="300"/>
    <x v="253"/>
    <n v="0"/>
    <n v="0.01"/>
    <s v="Pesos"/>
    <s v=" $"/>
    <s v="CGM AGRO SAS"/>
  </r>
  <r>
    <n v="308"/>
    <x v="254"/>
    <n v="0"/>
    <n v="0"/>
    <s v="Pesos"/>
    <s v=" $"/>
    <s v="FUTUROS Y OPCIONES.COM SA"/>
  </r>
  <r>
    <n v="309"/>
    <x v="254"/>
    <n v="0"/>
    <n v="0"/>
    <s v="Pesos"/>
    <s v=" $"/>
    <s v="FUTUROS Y OPCIONES.COM SA"/>
  </r>
  <r>
    <n v="265"/>
    <x v="255"/>
    <n v="0"/>
    <n v="0.01"/>
    <s v="Pesos"/>
    <s v=" $"/>
    <s v="LARTIRIGOYEN &amp; OROMI SA"/>
  </r>
  <r>
    <n v="368"/>
    <x v="256"/>
    <n v="-134.5"/>
    <n v="0"/>
    <s v="Pesos"/>
    <s v=" $"/>
    <s v="EL TEGUA SAS"/>
  </r>
  <r>
    <n v="375"/>
    <x v="257"/>
    <n v="-8369.89"/>
    <n v="0"/>
    <s v="Pesos"/>
    <s v=" $"/>
    <s v="FYO ACOPIO S.A."/>
  </r>
  <r>
    <n v="343"/>
    <x v="258"/>
    <n v="25851.39"/>
    <n v="0.03"/>
    <s v="Pesos"/>
    <s v=" $"/>
    <s v="SEDMAK PABLO MIGUEL"/>
  </r>
  <r>
    <n v="401"/>
    <x v="259"/>
    <n v="36692.06"/>
    <n v="0"/>
    <s v="Pesos"/>
    <s v=" $"/>
    <s v="CASANOVA RICARDO"/>
  </r>
  <r>
    <n v="408"/>
    <x v="260"/>
    <n v="3442.2"/>
    <n v="0"/>
    <s v="Pesos"/>
    <s v=" $"/>
    <s v="FALABELLA JUAN GUILLERMO"/>
  </r>
  <r>
    <n v="371"/>
    <x v="261"/>
    <n v="0"/>
    <n v="0"/>
    <s v="Pesos"/>
    <s v=" $"/>
    <s v="SANTIAGO HUMBERTO HUGO"/>
  </r>
  <r>
    <n v="386"/>
    <x v="262"/>
    <n v="0.28000000000000003"/>
    <n v="0"/>
    <s v="Pesos"/>
    <s v=" $"/>
    <s v="POTENCIAR SGR"/>
  </r>
  <r>
    <n v="447"/>
    <x v="263"/>
    <n v="991.75"/>
    <n v="0"/>
    <s v="Pesos"/>
    <s v=" $"/>
    <s v="MACCAGNO AGUSTIN DANIEL"/>
  </r>
  <r>
    <n v="445"/>
    <x v="264"/>
    <n v="1239.33"/>
    <n v="0"/>
    <s v="Pesos"/>
    <s v=" $"/>
    <s v="MACCAGNO NICOLAS"/>
  </r>
  <r>
    <n v="433"/>
    <x v="265"/>
    <n v="-49873320.380000003"/>
    <n v="0.01"/>
    <s v="Pesos"/>
    <s v=" $"/>
    <s v="SOBRERO JUAN MIGUEL"/>
  </r>
  <r>
    <n v="438"/>
    <x v="246"/>
    <n v="0"/>
    <n v="0"/>
    <s v="Pesos"/>
    <s v=" $"/>
    <s v="SYNGENTA AGRO SA"/>
  </r>
  <r>
    <n v="442"/>
    <x v="266"/>
    <n v="-748.86"/>
    <n v="0"/>
    <s v="Pesos"/>
    <s v=" $"/>
    <s v="MAIOCCO ALEJANDRO EZEQUIEL"/>
  </r>
  <r>
    <n v="422"/>
    <x v="267"/>
    <n v="8080.12"/>
    <n v="0"/>
    <s v="Pesos"/>
    <s v=" $"/>
    <s v="BERNARD BLANCA BEATRIZ"/>
  </r>
  <r>
    <n v="431"/>
    <x v="268"/>
    <n v="0"/>
    <n v="0"/>
    <s v="Pesos"/>
    <s v=" $"/>
    <s v="IMOLA ABEL ELILIO ANTONIO"/>
  </r>
  <r>
    <n v="1012"/>
    <x v="269"/>
    <n v="0"/>
    <n v="0"/>
    <s v="Pesos"/>
    <s v=" $"/>
    <s v="BANCO INDUSTRIAL SA IAM RENTA BALANCEADA"/>
  </r>
  <r>
    <n v="426"/>
    <x v="270"/>
    <n v="0"/>
    <n v="0"/>
    <s v="Pesos"/>
    <s v=" $"/>
    <s v="COTELLA JUAN CARLOS"/>
  </r>
  <r>
    <n v="427"/>
    <x v="271"/>
    <n v="0"/>
    <n v="0"/>
    <s v="Pesos"/>
    <s v=" $"/>
    <s v="MSU SERVICIOS SA"/>
  </r>
  <r>
    <n v="5038"/>
    <x v="272"/>
    <n v="0"/>
    <n v="0"/>
    <s v="Pesos"/>
    <s v=" $"/>
    <s v="Capital Markets Argentina SA"/>
  </r>
  <r>
    <n v="462"/>
    <x v="273"/>
    <n v="0"/>
    <n v="0"/>
    <s v="Pesos"/>
    <s v=" $"/>
    <s v="EL BAGRE SRL"/>
  </r>
  <r>
    <n v="458"/>
    <x v="274"/>
    <n v="0"/>
    <n v="0"/>
    <s v="Pesos"/>
    <s v=" $"/>
    <s v="FRIGORIFICO DE AVES SOYCHU SAICFIA"/>
  </r>
  <r>
    <n v="457"/>
    <x v="275"/>
    <n v="9927.4699999999993"/>
    <n v="-0.01"/>
    <s v="Pesos"/>
    <s v=" $"/>
    <s v="BELOTTINI GUILLERMO LUIS"/>
  </r>
  <r>
    <n v="479"/>
    <x v="276"/>
    <n v="0"/>
    <n v="0"/>
    <s v="Pesos"/>
    <s v=" $"/>
    <s v="GOMEZ EZEQUIEL MATIAS"/>
  </r>
  <r>
    <n v="477"/>
    <x v="277"/>
    <n v="0"/>
    <n v="0"/>
    <s v="Pesos"/>
    <s v=" $"/>
    <s v="MEINERO ALFREDO"/>
  </r>
  <r>
    <n v="5106"/>
    <x v="278"/>
    <n v="0"/>
    <n v="0"/>
    <s v="Pesos"/>
    <s v=" $"/>
    <s v="GMC VALORES SA"/>
  </r>
  <r>
    <n v="482"/>
    <x v="279"/>
    <n v="-3783.93"/>
    <n v="0.03"/>
    <s v="Pesos"/>
    <s v=" $"/>
    <s v="OVALLE MARIA BEATRIZ"/>
  </r>
  <r>
    <n v="485"/>
    <x v="280"/>
    <n v="-3470.54"/>
    <n v="0.1"/>
    <s v="Pesos"/>
    <s v=" $"/>
    <s v="MURATURE YARI"/>
  </r>
  <r>
    <n v="5118"/>
    <x v="281"/>
    <n v="0"/>
    <n v="0"/>
    <s v="Pesos"/>
    <s v=" $"/>
    <s v="WIN SECURITIES SA"/>
  </r>
  <r>
    <n v="5240"/>
    <x v="282"/>
    <n v="0"/>
    <n v="0"/>
    <s v="Pesos"/>
    <s v=" $"/>
    <s v="STONEX SECURITIES SA"/>
  </r>
  <r>
    <n v="5203"/>
    <x v="283"/>
    <n v="0"/>
    <n v="0"/>
    <s v="Pesos"/>
    <s v=" $"/>
    <s v="INVERTIR EN BOLSA SA"/>
  </r>
  <r>
    <n v="5"/>
    <x v="257"/>
    <n v="344142425.38"/>
    <n v="2.21"/>
    <s v="Pesos"/>
    <s v=" $"/>
    <n v="20176"/>
  </r>
  <r>
    <n v="4"/>
    <x v="254"/>
    <n v="-2818089.6"/>
    <n v="0"/>
    <s v="Pesos"/>
    <s v=" $"/>
    <s v="FUTUROS Y OPCIONES.COM SA"/>
  </r>
  <r>
    <n v="86"/>
    <x v="284"/>
    <n v="0"/>
    <n v="0"/>
    <s v="Pesos"/>
    <s v=" $"/>
    <s v="GDM ARGENTINA SA"/>
  </r>
  <r>
    <n v="7"/>
    <x v="285"/>
    <n v="-11548.88"/>
    <n v="-0.42"/>
    <s v="Pesos"/>
    <s v=" $"/>
    <s v="AYERZA ALEJANDRO"/>
  </r>
  <r>
    <n v="175"/>
    <x v="257"/>
    <n v="-44905180.43"/>
    <n v="0"/>
    <s v="Pesos"/>
    <s v=" $"/>
    <s v="FYO ACOPIO S.A."/>
  </r>
  <r>
    <n v="176"/>
    <x v="257"/>
    <n v="88654351.099999994"/>
    <n v="0"/>
    <s v="Pesos"/>
    <s v=" $"/>
    <s v="FYO ACOPIO S.A."/>
  </r>
  <r>
    <n v="533"/>
    <x v="286"/>
    <n v="-426965"/>
    <n v="0.01"/>
    <s v="Pesos"/>
    <s v=" $"/>
    <s v="BELAUSTEGUI RICARDO CRISTIAN"/>
  </r>
  <r>
    <n v="522"/>
    <x v="287"/>
    <n v="14.05"/>
    <n v="0"/>
    <s v="Pesos"/>
    <s v=" $"/>
    <s v="BELLAMAR ESTANCIAS SA"/>
  </r>
  <r>
    <n v="516"/>
    <x v="288"/>
    <n v="0"/>
    <n v="0"/>
    <s v="Pesos"/>
    <s v=" $"/>
    <s v="ROTAMAR AGRICOLA GANADERA SA"/>
  </r>
  <r>
    <n v="524"/>
    <x v="289"/>
    <n v="0"/>
    <n v="0"/>
    <s v="Pesos"/>
    <s v=" $"/>
    <s v="AGROPECUARIA LA CELINA SA"/>
  </r>
  <r>
    <n v="154"/>
    <x v="290"/>
    <n v="-30000000"/>
    <n v="0.03"/>
    <s v="Pesos"/>
    <s v=" $"/>
    <s v="IRSA INVERSIONES Y REPRESENTACIONES SA"/>
  </r>
  <r>
    <n v="120"/>
    <x v="291"/>
    <n v="2769.84"/>
    <n v="0"/>
    <s v="Pesos"/>
    <s v=" $"/>
    <s v="AGROFY GLOBAL SOCIEDAD LIMITADA POR ACCIONES"/>
  </r>
  <r>
    <n v="124"/>
    <x v="292"/>
    <n v="0"/>
    <n v="0"/>
    <s v="Pesos"/>
    <s v=" $"/>
    <s v="CARLOS BOERO ROMANO SAIC"/>
  </r>
  <r>
    <n v="123"/>
    <x v="254"/>
    <n v="-1174214.57"/>
    <n v="0"/>
    <s v="Pesos"/>
    <s v=" $"/>
    <s v="FUTUROS Y OPCIONES.COM SA"/>
  </r>
  <r>
    <n v="52"/>
    <x v="293"/>
    <n v="0"/>
    <n v="0"/>
    <s v="Pesos"/>
    <s v=" $"/>
    <s v="GRANERO SRL"/>
  </r>
  <r>
    <n v="119"/>
    <x v="294"/>
    <n v="0"/>
    <n v="0"/>
    <s v="Pesos"/>
    <s v=" $"/>
    <s v="Agrofy SAU"/>
  </r>
  <r>
    <n v="116"/>
    <x v="295"/>
    <n v="1125.07"/>
    <n v="-0.03"/>
    <s v="Pesos"/>
    <s v=" $"/>
    <s v="Los Bayos SA"/>
  </r>
  <r>
    <n v="515"/>
    <x v="296"/>
    <n v="0"/>
    <n v="0"/>
    <s v="Pesos"/>
    <s v=" $"/>
    <s v="AGROPECUARIA LOS TRES VASCOS SA"/>
  </r>
  <r>
    <n v="509"/>
    <x v="297"/>
    <n v="16376.3"/>
    <n v="0"/>
    <s v="Pesos"/>
    <s v=" $"/>
    <s v="GRUPO CONSTRUCTOR BUENOS AIRES ROSARIO SA"/>
  </r>
  <r>
    <n v="5065"/>
    <x v="298"/>
    <n v="0"/>
    <n v="0"/>
    <s v="Pesos"/>
    <s v=" $"/>
    <s v="OPTION SECURITIES SA"/>
  </r>
  <r>
    <n v="481"/>
    <x v="299"/>
    <n v="170006.99"/>
    <n v="0"/>
    <s v="Pesos"/>
    <s v=" $"/>
    <s v="CORTONDO SERGIO DANIEL"/>
  </r>
  <r>
    <n v="489"/>
    <x v="300"/>
    <n v="-45.47"/>
    <n v="0"/>
    <s v="Pesos"/>
    <s v=" $"/>
    <n v="13006"/>
  </r>
  <r>
    <n v="490"/>
    <x v="301"/>
    <n v="-45.48"/>
    <n v="0"/>
    <s v="Pesos"/>
    <s v=" $"/>
    <n v="13007"/>
  </r>
  <r>
    <n v="494"/>
    <x v="302"/>
    <n v="0"/>
    <n v="0"/>
    <s v="Pesos"/>
    <s v=" $"/>
    <s v="BORLA ULDERICO CARLOS"/>
  </r>
  <r>
    <n v="421"/>
    <x v="303"/>
    <n v="-52599.3"/>
    <n v="0.02"/>
    <s v="Pesos"/>
    <s v=" $"/>
    <s v="Agro Ganadera Vicen SRL"/>
  </r>
  <r>
    <n v="419"/>
    <x v="304"/>
    <n v="1647.53"/>
    <n v="0"/>
    <s v="Pesos"/>
    <s v=" $"/>
    <s v="EL CHELFORO SRL"/>
  </r>
  <r>
    <n v="419"/>
    <x v="304"/>
    <n v="-0.18"/>
    <n v="0"/>
    <s v="Dólar "/>
    <s v=" U$S"/>
    <s v="EL CHELFORO SRL"/>
  </r>
  <r>
    <n v="494"/>
    <x v="302"/>
    <n v="0"/>
    <n v="0"/>
    <s v="Dólar "/>
    <s v=" U$S"/>
    <s v="BORLA ULDERICO CARLOS"/>
  </r>
  <r>
    <n v="490"/>
    <x v="301"/>
    <n v="329.15"/>
    <n v="0"/>
    <s v="Dólar "/>
    <s v=" U$S"/>
    <n v="13007"/>
  </r>
  <r>
    <n v="489"/>
    <x v="300"/>
    <n v="3954.5"/>
    <n v="0"/>
    <s v="Dólar "/>
    <s v=" U$S"/>
    <n v="13006"/>
  </r>
  <r>
    <n v="481"/>
    <x v="299"/>
    <n v="0.8"/>
    <n v="0"/>
    <s v="Dólar "/>
    <s v=" U$S"/>
    <s v="CORTONDO SERGIO DANIEL"/>
  </r>
  <r>
    <n v="116"/>
    <x v="295"/>
    <n v="0"/>
    <n v="0"/>
    <s v="Dólar "/>
    <s v=" U$S"/>
    <s v="Los Bayos SA"/>
  </r>
  <r>
    <n v="119"/>
    <x v="294"/>
    <n v="0"/>
    <n v="0"/>
    <s v="Dólar "/>
    <s v=" U$S"/>
    <s v="Agrofy SAU"/>
  </r>
  <r>
    <n v="123"/>
    <x v="254"/>
    <n v="0"/>
    <n v="0"/>
    <s v="Dólar "/>
    <s v=" U$S"/>
    <s v="FUTUROS Y OPCIONES.COM SA"/>
  </r>
  <r>
    <n v="154"/>
    <x v="290"/>
    <n v="0.13"/>
    <n v="0"/>
    <s v="Dólar "/>
    <s v=" U$S"/>
    <s v="IRSA INVERSIONES Y REPRESENTACIONES SA"/>
  </r>
  <r>
    <n v="524"/>
    <x v="289"/>
    <n v="0"/>
    <n v="0"/>
    <s v="Dólar "/>
    <s v=" U$S"/>
    <s v="AGROPECUARIA LA CELINA SA"/>
  </r>
  <r>
    <n v="533"/>
    <x v="286"/>
    <n v="123.48"/>
    <n v="0"/>
    <s v="Dólar "/>
    <s v=" U$S"/>
    <s v="BELAUSTEGUI RICARDO CRISTIAN"/>
  </r>
  <r>
    <n v="7"/>
    <x v="285"/>
    <n v="0"/>
    <n v="0"/>
    <s v="Dólar "/>
    <s v=" U$S"/>
    <s v="AYERZA ALEJANDRO"/>
  </r>
  <r>
    <n v="4"/>
    <x v="254"/>
    <n v="0"/>
    <n v="0"/>
    <s v="Dólar "/>
    <s v=" U$S"/>
    <s v="FUTUROS Y OPCIONES.COM SA"/>
  </r>
  <r>
    <n v="5"/>
    <x v="257"/>
    <n v="0.01"/>
    <n v="0"/>
    <s v="Dólar "/>
    <s v=" U$S"/>
    <n v="20176"/>
  </r>
  <r>
    <n v="5203"/>
    <x v="283"/>
    <n v="0"/>
    <n v="0"/>
    <s v="Dólar "/>
    <s v=" U$S"/>
    <s v="INVERTIR EN BOLSA SA"/>
  </r>
  <r>
    <n v="5240"/>
    <x v="282"/>
    <n v="0"/>
    <n v="0"/>
    <s v="Dólar "/>
    <s v=" U$S"/>
    <s v="STONEX SECURITIES SA"/>
  </r>
  <r>
    <n v="485"/>
    <x v="280"/>
    <n v="0"/>
    <n v="0"/>
    <s v="Dólar "/>
    <s v=" U$S"/>
    <s v="MURATURE YARI"/>
  </r>
  <r>
    <n v="482"/>
    <x v="279"/>
    <n v="0"/>
    <n v="0"/>
    <s v="Dólar "/>
    <s v=" U$S"/>
    <s v="OVALLE MARIA BEATRIZ"/>
  </r>
  <r>
    <n v="5106"/>
    <x v="278"/>
    <n v="0"/>
    <n v="0"/>
    <s v="Dólar "/>
    <s v=" U$S"/>
    <s v="GMC VALORES SA"/>
  </r>
  <r>
    <n v="457"/>
    <x v="275"/>
    <n v="47.2"/>
    <n v="0"/>
    <s v="Dólar "/>
    <s v=" U$S"/>
    <s v="BELOTTINI GUILLERMO LUIS"/>
  </r>
  <r>
    <n v="5038"/>
    <x v="272"/>
    <n v="0"/>
    <n v="0"/>
    <s v="Dólar "/>
    <s v=" U$S"/>
    <s v="Capital Markets Argentina SA"/>
  </r>
  <r>
    <n v="426"/>
    <x v="270"/>
    <n v="50.45"/>
    <n v="0"/>
    <s v="Dólar "/>
    <s v=" U$S"/>
    <s v="COTELLA JUAN CARLOS"/>
  </r>
  <r>
    <n v="1012"/>
    <x v="269"/>
    <n v="0"/>
    <n v="0"/>
    <s v="Dólar "/>
    <s v=" U$S"/>
    <s v="BANCO INDUSTRIAL SA IAM RENTA BALANCEADA"/>
  </r>
  <r>
    <n v="431"/>
    <x v="268"/>
    <n v="0"/>
    <n v="0"/>
    <s v="Dólar "/>
    <s v=" U$S"/>
    <s v="IMOLA ABEL ELILIO ANTONIO"/>
  </r>
  <r>
    <n v="422"/>
    <x v="267"/>
    <n v="344.57"/>
    <n v="0"/>
    <s v="Dólar "/>
    <s v=" U$S"/>
    <s v="BERNARD BLANCA BEATRIZ"/>
  </r>
  <r>
    <n v="421"/>
    <x v="303"/>
    <n v="33.75"/>
    <n v="0"/>
    <s v="Dólar "/>
    <s v=" U$S"/>
    <s v="Agro Ganadera Vicen SRL"/>
  </r>
  <r>
    <n v="442"/>
    <x v="266"/>
    <n v="0"/>
    <n v="0"/>
    <s v="Dólar "/>
    <s v=" U$S"/>
    <s v="MAIOCCO ALEJANDRO EZEQUIEL"/>
  </r>
  <r>
    <n v="433"/>
    <x v="265"/>
    <n v="-1744393.64"/>
    <n v="0"/>
    <s v="Dólar "/>
    <s v=" U$S"/>
    <s v="SOBRERO JUAN MIGUEL"/>
  </r>
  <r>
    <n v="445"/>
    <x v="264"/>
    <n v="0"/>
    <n v="0"/>
    <s v="Dólar "/>
    <s v=" U$S"/>
    <s v="MACCAGNO NICOLAS"/>
  </r>
  <r>
    <n v="447"/>
    <x v="263"/>
    <n v="0"/>
    <n v="0"/>
    <s v="Dólar "/>
    <s v=" U$S"/>
    <s v="MACCAGNO AGUSTIN DANIEL"/>
  </r>
  <r>
    <n v="371"/>
    <x v="261"/>
    <n v="0"/>
    <n v="0"/>
    <s v="Dólar "/>
    <s v=" U$S"/>
    <s v="SANTIAGO HUMBERTO HUGO"/>
  </r>
  <r>
    <n v="408"/>
    <x v="260"/>
    <n v="0.44"/>
    <n v="0"/>
    <s v="Dólar "/>
    <s v=" U$S"/>
    <s v="FALABELLA JUAN GUILLERMO"/>
  </r>
  <r>
    <n v="343"/>
    <x v="258"/>
    <n v="-2.33"/>
    <n v="0"/>
    <s v="Dólar "/>
    <s v=" U$S"/>
    <s v="SEDMAK PABLO MIGUEL"/>
  </r>
  <r>
    <n v="317"/>
    <x v="252"/>
    <n v="2.4"/>
    <n v="0"/>
    <s v="Dólar "/>
    <s v=" U$S"/>
    <s v="BOIX JUAN ESTEBAN"/>
  </r>
  <r>
    <n v="566"/>
    <x v="250"/>
    <n v="0.39"/>
    <n v="0"/>
    <s v="Dólar "/>
    <s v=" U$S"/>
    <s v="FYOFOODS SAU"/>
  </r>
  <r>
    <n v="563"/>
    <x v="249"/>
    <n v="0"/>
    <n v="0"/>
    <s v="Dólar "/>
    <s v=" U$S"/>
    <s v="SIECON SA"/>
  </r>
  <r>
    <n v="6002"/>
    <x v="248"/>
    <n v="7.41"/>
    <n v="0"/>
    <s v="Dólar "/>
    <s v=" U$S"/>
    <s v="LATTUGA GISELLE JAQUELINA"/>
  </r>
  <r>
    <n v="6001"/>
    <x v="247"/>
    <n v="7.5"/>
    <n v="0"/>
    <s v="Dólar "/>
    <s v=" U$S"/>
    <s v="NUÑEZ GIORGETTI MARIANO ENRIQUE"/>
  </r>
  <r>
    <n v="6005"/>
    <x v="243"/>
    <n v="0"/>
    <n v="0"/>
    <s v="Dólar "/>
    <s v=" U$S"/>
    <s v="MURATURE DIEGO, SYLVESTRE BEGNIS CRISTINA"/>
  </r>
  <r>
    <n v="572"/>
    <x v="242"/>
    <n v="173.56"/>
    <n v="0"/>
    <s v="Dólar "/>
    <s v=" U$S"/>
    <s v="BERNARD RAUL PABLO (SCOUT)"/>
  </r>
  <r>
    <n v="6046"/>
    <x v="241"/>
    <n v="0"/>
    <n v="0"/>
    <s v="Dólar "/>
    <s v=" U$S"/>
    <s v="ALFREDO S. MONDINO CEREALES SRL"/>
  </r>
  <r>
    <n v="6041"/>
    <x v="238"/>
    <n v="13913.86"/>
    <n v="0"/>
    <s v="Dólar "/>
    <s v=" U$S"/>
    <s v="MUCHIUT VIVIANA MILENA, MUCHIUT CECILIA MARIA"/>
  </r>
  <r>
    <n v="236"/>
    <x v="237"/>
    <n v="0.66"/>
    <n v="-0.01"/>
    <s v="Dólar "/>
    <s v=" U$S"/>
    <n v="13002"/>
  </r>
  <r>
    <n v="236"/>
    <x v="237"/>
    <n v="1699.94"/>
    <n v="0"/>
    <s v="Dólar Cable"/>
    <s v=" U$S TT"/>
    <n v="13002"/>
  </r>
  <r>
    <n v="6077"/>
    <x v="235"/>
    <n v="-33211"/>
    <n v="0"/>
    <s v="Dólar Cable"/>
    <s v=" U$S TT"/>
    <s v="ADMINISTRACION AGRICOLA S. A."/>
  </r>
  <r>
    <n v="401"/>
    <x v="259"/>
    <n v="0"/>
    <n v="0"/>
    <s v="Dólar Cable"/>
    <s v=" U$S TT"/>
    <s v="CASANOVA RICARDO"/>
  </r>
  <r>
    <n v="433"/>
    <x v="265"/>
    <n v="274.08"/>
    <n v="0"/>
    <s v="Dólar Cable"/>
    <s v=" U$S TT"/>
    <s v="SOBRERO JUAN MIGUEL"/>
  </r>
  <r>
    <n v="422"/>
    <x v="267"/>
    <n v="0.5"/>
    <n v="0"/>
    <s v="Dólar Cable"/>
    <s v=" U$S TT"/>
    <s v="BERNARD BLANCA BEATRIZ"/>
  </r>
  <r>
    <n v="5106"/>
    <x v="278"/>
    <n v="0"/>
    <n v="0"/>
    <s v="Dólar Cable"/>
    <s v=" U$S TT"/>
    <s v="GMC VALORES SA"/>
  </r>
  <r>
    <n v="482"/>
    <x v="279"/>
    <n v="0"/>
    <n v="0"/>
    <s v="Dólar Cable"/>
    <s v=" U$S TT"/>
    <s v="OVALLE MARIA BEATRIZ"/>
  </r>
  <r>
    <n v="485"/>
    <x v="280"/>
    <n v="-0.22"/>
    <n v="0"/>
    <s v="Dólar Cable"/>
    <s v=" U$S TT"/>
    <s v="MURATURE YARI"/>
  </r>
  <r>
    <n v="5240"/>
    <x v="282"/>
    <n v="0"/>
    <n v="0"/>
    <s v="Dólar Cable"/>
    <s v=" U$S TT"/>
    <s v="STONEX SECURITIES SA"/>
  </r>
  <r>
    <n v="5118"/>
    <x v="281"/>
    <n v="0"/>
    <n v="0"/>
    <s v="Dólar Cable"/>
    <s v=" U$S TT"/>
    <s v="WIN SECURITIES SA"/>
  </r>
  <r>
    <n v="5203"/>
    <x v="283"/>
    <n v="0"/>
    <n v="0"/>
    <s v="Dólar Cable"/>
    <s v=" U$S TT"/>
    <s v="INVERTIR EN BOLSA SA"/>
  </r>
  <r>
    <n v="5"/>
    <x v="257"/>
    <n v="160003.04"/>
    <n v="0"/>
    <s v="Dólar Cable"/>
    <s v=" U$S TT"/>
    <n v="20176"/>
  </r>
  <r>
    <n v="4"/>
    <x v="254"/>
    <n v="0"/>
    <n v="0"/>
    <s v="Dólar Cable"/>
    <s v=" U$S TT"/>
    <s v="FUTUROS Y OPCIONES.COM SA"/>
  </r>
  <r>
    <n v="154"/>
    <x v="290"/>
    <n v="0"/>
    <n v="0"/>
    <s v="Dólar Cable"/>
    <s v=" U$S TT"/>
    <s v="IRSA INVERSIONES Y REPRESENTACIONES SA"/>
  </r>
  <r>
    <n v="123"/>
    <x v="254"/>
    <n v="-1055.24"/>
    <n v="0"/>
    <s v="Dólar Cable"/>
    <s v=" U$S TT"/>
    <s v="FUTUROS Y OPCIONES.COM SA"/>
  </r>
  <r>
    <n v="119"/>
    <x v="294"/>
    <n v="0"/>
    <n v="0"/>
    <s v="Dólar Cable"/>
    <s v=" U$S TT"/>
    <s v="Agrofy SAU"/>
  </r>
  <r>
    <n v="124"/>
    <x v="292"/>
    <n v="0"/>
    <n v="0"/>
    <s v="Dólar Cable"/>
    <s v=" U$S TT"/>
    <s v="CARLOS BOERO ROMANO SAIC"/>
  </r>
  <r>
    <n v="120"/>
    <x v="291"/>
    <n v="5.7"/>
    <n v="0"/>
    <s v="Dólar Cable"/>
    <s v=" U$S TT"/>
    <s v="AGROFY GLOBAL SOCIEDAD LIMITADA POR ACCIONES"/>
  </r>
  <r>
    <n v="489"/>
    <x v="300"/>
    <n v="246345.52"/>
    <n v="100011.75"/>
    <s v="Dólar Cable"/>
    <s v=" U$S TT"/>
    <n v="13006"/>
  </r>
  <r>
    <n v="490"/>
    <x v="301"/>
    <n v="142975.85"/>
    <n v="100011.75"/>
    <s v="Dólar Cable"/>
    <s v=" U$S TT"/>
    <n v="13007"/>
  </r>
  <r>
    <n v="494"/>
    <x v="302"/>
    <n v="0"/>
    <n v="0"/>
    <s v="Dólar Cable"/>
    <s v=" U$S TT"/>
    <s v="BORLA ULDERICO CARLOS"/>
  </r>
  <r>
    <n v="490"/>
    <x v="301"/>
    <n v="5650"/>
    <n v="11309.14"/>
    <s v="Dólar Matba Rofex"/>
    <s v=" U$S MR"/>
    <n v="13007"/>
  </r>
  <r>
    <n v="489"/>
    <x v="300"/>
    <n v="679.08"/>
    <n v="0"/>
    <s v="Dólar Matba Rofex"/>
    <s v=" U$S MR"/>
    <n v="13006"/>
  </r>
  <r>
    <n v="509"/>
    <x v="297"/>
    <n v="0"/>
    <n v="0"/>
    <s v="Dólar Matba Rofex"/>
    <s v=" U$S MR"/>
    <s v="GRUPO CONSTRUCTOR BUENOS AIRES ROSARIO SA"/>
  </r>
  <r>
    <n v="515"/>
    <x v="296"/>
    <n v="0"/>
    <n v="0"/>
    <s v="Dólar Matba Rofex"/>
    <s v=" U$S MR"/>
    <s v="AGROPECUARIA LOS TRES VASCOS SA"/>
  </r>
  <r>
    <n v="52"/>
    <x v="293"/>
    <n v="0"/>
    <n v="0"/>
    <s v="Dólar Matba Rofex"/>
    <s v=" U$S MR"/>
    <s v="GRANERO SRL"/>
  </r>
  <r>
    <n v="123"/>
    <x v="254"/>
    <n v="0"/>
    <n v="0"/>
    <s v="Dólar Matba Rofex"/>
    <s v=" U$S MR"/>
    <s v="FUTUROS Y OPCIONES.COM SA"/>
  </r>
  <r>
    <n v="154"/>
    <x v="290"/>
    <n v="0"/>
    <n v="0"/>
    <s v="Dólar Matba Rofex"/>
    <s v=" U$S MR"/>
    <s v="IRSA INVERSIONES Y REPRESENTACIONES SA"/>
  </r>
  <r>
    <n v="533"/>
    <x v="286"/>
    <n v="-2.11"/>
    <n v="0"/>
    <s v="Dólar Matba Rofex"/>
    <s v=" U$S MR"/>
    <s v="BELAUSTEGUI RICARDO CRISTIAN"/>
  </r>
  <r>
    <n v="522"/>
    <x v="287"/>
    <n v="-0.01"/>
    <n v="0"/>
    <s v="Dólar Matba Rofex"/>
    <s v=" U$S MR"/>
    <s v="BELLAMAR ESTANCIAS SA"/>
  </r>
  <r>
    <n v="516"/>
    <x v="288"/>
    <n v="0"/>
    <n v="0"/>
    <s v="Dólar Matba Rofex"/>
    <s v=" U$S MR"/>
    <s v="ROTAMAR AGRICOLA GANADERA SA"/>
  </r>
  <r>
    <n v="175"/>
    <x v="257"/>
    <n v="-17225395.079999998"/>
    <n v="0"/>
    <s v="Dólar Matba Rofex"/>
    <s v=" U$S MR"/>
    <s v="FYO ACOPIO S.A."/>
  </r>
  <r>
    <n v="4"/>
    <x v="254"/>
    <n v="0"/>
    <n v="0"/>
    <s v="Dólar Matba Rofex"/>
    <s v=" U$S MR"/>
    <s v="FUTUROS Y OPCIONES.COM SA"/>
  </r>
  <r>
    <n v="7"/>
    <x v="285"/>
    <n v="0"/>
    <n v="0"/>
    <s v="Dólar Matba Rofex"/>
    <s v=" U$S MR"/>
    <s v="AYERZA ALEJANDRO"/>
  </r>
  <r>
    <n v="86"/>
    <x v="284"/>
    <n v="0"/>
    <n v="0"/>
    <s v="Dólar Matba Rofex"/>
    <s v=" U$S MR"/>
    <s v="GDM ARGENTINA SA"/>
  </r>
  <r>
    <n v="5"/>
    <x v="257"/>
    <n v="17223295.079999998"/>
    <n v="0"/>
    <s v="Dólar Matba Rofex"/>
    <s v=" U$S MR"/>
    <n v="20176"/>
  </r>
  <r>
    <n v="485"/>
    <x v="280"/>
    <n v="0"/>
    <n v="0"/>
    <s v="Dólar Matba Rofex"/>
    <s v=" U$S MR"/>
    <s v="MURATURE YARI"/>
  </r>
  <r>
    <n v="477"/>
    <x v="277"/>
    <n v="0"/>
    <n v="0"/>
    <s v="Dólar Matba Rofex"/>
    <s v=" U$S MR"/>
    <s v="MEINERO ALFREDO"/>
  </r>
  <r>
    <n v="479"/>
    <x v="276"/>
    <n v="0"/>
    <n v="0"/>
    <s v="Dólar Matba Rofex"/>
    <s v=" U$S MR"/>
    <s v="GOMEZ EZEQUIEL MATIAS"/>
  </r>
  <r>
    <n v="457"/>
    <x v="275"/>
    <n v="0"/>
    <n v="0"/>
    <s v="Dólar Matba Rofex"/>
    <s v=" U$S MR"/>
    <s v="BELOTTINI GUILLERMO LUIS"/>
  </r>
  <r>
    <n v="458"/>
    <x v="274"/>
    <n v="0"/>
    <n v="10220.200000000001"/>
    <s v="Dólar Matba Rofex"/>
    <s v=" U$S MR"/>
    <s v="FRIGORIFICO DE AVES SOYCHU SAICFIA"/>
  </r>
  <r>
    <n v="422"/>
    <x v="267"/>
    <n v="0"/>
    <n v="0"/>
    <s v="Dólar Matba Rofex"/>
    <s v=" U$S MR"/>
    <s v="BERNARD BLANCA BEATRIZ"/>
  </r>
  <r>
    <n v="421"/>
    <x v="303"/>
    <n v="0"/>
    <n v="0"/>
    <s v="Dólar Matba Rofex"/>
    <s v=" U$S MR"/>
    <s v="Agro Ganadera Vicen SRL"/>
  </r>
  <r>
    <n v="427"/>
    <x v="271"/>
    <n v="0"/>
    <n v="0"/>
    <s v="Dólar Matba Rofex"/>
    <s v=" U$S MR"/>
    <s v="MSU SERVICIOS SA"/>
  </r>
  <r>
    <n v="433"/>
    <x v="265"/>
    <n v="0"/>
    <n v="0"/>
    <s v="Dólar Matba Rofex"/>
    <s v=" U$S MR"/>
    <s v="SOBRERO JUAN MIGUEL"/>
  </r>
  <r>
    <n v="375"/>
    <x v="257"/>
    <n v="2100"/>
    <n v="0"/>
    <s v="Dólar Matba Rofex"/>
    <s v=" U$S MR"/>
    <s v="FYO ACOPIO S.A."/>
  </r>
  <r>
    <n v="309"/>
    <x v="254"/>
    <n v="0"/>
    <n v="0"/>
    <s v="Dólar Matba Rofex"/>
    <s v=" U$S MR"/>
    <s v="FUTUROS Y OPCIONES.COM SA"/>
  </r>
  <r>
    <n v="308"/>
    <x v="254"/>
    <n v="0"/>
    <n v="0"/>
    <s v="Dólar Matba Rofex"/>
    <s v=" U$S MR"/>
    <s v="FUTUROS Y OPCIONES.COM SA"/>
  </r>
  <r>
    <n v="300"/>
    <x v="253"/>
    <n v="0"/>
    <n v="0"/>
    <s v="Dólar Matba Rofex"/>
    <s v=" U$S MR"/>
    <s v="CGM AGRO SAS"/>
  </r>
  <r>
    <n v="236"/>
    <x v="237"/>
    <n v="0"/>
    <n v="0"/>
    <s v="Dólar Matba Rofex"/>
    <s v=" U$S MR"/>
    <n v="13002"/>
  </r>
  <r>
    <n v="6072"/>
    <x v="234"/>
    <n v="0"/>
    <n v="0"/>
    <s v="Dólar Matba Rofex"/>
    <s v=" U$S MR"/>
    <s v="PLUMA DE PATO S.A."/>
  </r>
  <r>
    <n v="6039"/>
    <x v="239"/>
    <n v="0"/>
    <n v="19968"/>
    <s v="Dólar Matba Rofex"/>
    <s v=" U$S MR"/>
    <s v="UNION AGRICOLA DE AVELLANEDA COOP LTDA"/>
  </r>
  <r>
    <n v="6005"/>
    <x v="243"/>
    <n v="0"/>
    <n v="0"/>
    <s v="Dólar Matba Rofex"/>
    <s v=" U$S MR"/>
    <s v="MURATURE DIEGO, SYLVESTRE BEGNIS CRISTINA"/>
  </r>
  <r>
    <n v="6001"/>
    <x v="247"/>
    <n v="0"/>
    <n v="0"/>
    <s v="Dólar Matba Rofex"/>
    <s v=" U$S MR"/>
    <s v="NUÑEZ GIORGETTI MARIANO ENRIQUE"/>
  </r>
  <r>
    <n v="6002"/>
    <x v="248"/>
    <n v="0"/>
    <n v="0"/>
    <s v="Dólar Matba Rofex"/>
    <s v=" U$S MR"/>
    <s v="LATTUGA GISELLE JAQUELINA"/>
  </r>
  <r>
    <n v="568"/>
    <x v="251"/>
    <n v="0"/>
    <n v="0"/>
    <s v="Dólar Matba Rofex"/>
    <s v=" U$S MR"/>
    <s v="CN AGRO SA"/>
  </r>
  <r>
    <n v="305"/>
    <x v="305"/>
    <n v="5083.6499999999996"/>
    <n v="0"/>
    <s v="Pesos"/>
    <s v=" $"/>
    <s v="FIDEICOMISO AGROPECUARIO PEYRANO"/>
  </r>
  <r>
    <n v="269"/>
    <x v="306"/>
    <n v="-55407844.390000001"/>
    <n v="-0.04"/>
    <s v="Pesos"/>
    <s v=" $"/>
    <s v="CEREALES DEC SA"/>
  </r>
  <r>
    <n v="390"/>
    <x v="307"/>
    <n v="0"/>
    <n v="0"/>
    <s v="Pesos"/>
    <s v=" $"/>
    <s v="CABAÑA LA PASTORAL S A"/>
  </r>
  <r>
    <n v="269"/>
    <x v="306"/>
    <n v="37314.449999999997"/>
    <n v="0"/>
    <s v="Dólar "/>
    <s v=" U$S"/>
    <s v="CEREALES DEC SA"/>
  </r>
  <r>
    <n v="269"/>
    <x v="306"/>
    <n v="0"/>
    <n v="0"/>
    <s v="Dólar Matba Rofex"/>
    <s v=" U$S MR"/>
    <s v="CEREALES DEC SA"/>
  </r>
  <r>
    <n v="390"/>
    <x v="307"/>
    <n v="0"/>
    <n v="0"/>
    <s v="Dólar Matba Rofex"/>
    <s v=" U$S MR"/>
    <s v="CABAÑA LA PASTORAL S A"/>
  </r>
  <r>
    <n v="364"/>
    <x v="308"/>
    <n v="-3016.9"/>
    <n v="0"/>
    <s v="Pesos"/>
    <s v=" $"/>
    <s v="GARCIA NICOLAS"/>
  </r>
  <r>
    <n v="36"/>
    <x v="309"/>
    <n v="0"/>
    <n v="0"/>
    <s v="Pesos"/>
    <s v=" $"/>
    <s v="FUMISEM SA"/>
  </r>
  <r>
    <n v="36"/>
    <x v="309"/>
    <n v="0"/>
    <n v="0"/>
    <s v="Dólar Matba Rofex"/>
    <s v=" U$S MR"/>
    <s v="FUMISEM SA"/>
  </r>
  <r>
    <n v="364"/>
    <x v="308"/>
    <n v="0"/>
    <n v="0"/>
    <s v="Dólar Matba Rofex"/>
    <s v=" U$S MR"/>
    <s v="GARCIA NICOLAS"/>
  </r>
  <r>
    <n v="259"/>
    <x v="310"/>
    <n v="0"/>
    <n v="0"/>
    <s v="Pesos"/>
    <s v=" $"/>
    <s v="DOLCINI SUSANA LIDIA"/>
  </r>
  <r>
    <n v="259"/>
    <x v="310"/>
    <n v="0.52"/>
    <n v="0"/>
    <s v="Dólar "/>
    <s v=" U$S"/>
    <s v="DOLCINI SUSANA LIDIA"/>
  </r>
  <r>
    <n v="259"/>
    <x v="310"/>
    <n v="0"/>
    <n v="0"/>
    <s v="Dólar Matba Rofex"/>
    <s v=" U$S MR"/>
    <s v="DOLCINI SUSANA LIDIA"/>
  </r>
  <r>
    <n v="258"/>
    <x v="311"/>
    <n v="9.26"/>
    <n v="0.02"/>
    <s v="Pesos"/>
    <s v=" $"/>
    <s v="SOJAS ARGENTINAS SRL"/>
  </r>
  <r>
    <n v="235"/>
    <x v="312"/>
    <n v="0"/>
    <n v="0.01"/>
    <s v="Pesos"/>
    <s v=" $"/>
    <s v="THE COMPUTER SRL"/>
  </r>
  <r>
    <n v="215"/>
    <x v="313"/>
    <n v="10052.299999999999"/>
    <n v="0.02"/>
    <s v="Pesos"/>
    <s v=" $"/>
    <s v="INMAGAR SA"/>
  </r>
  <r>
    <n v="233"/>
    <x v="314"/>
    <n v="0"/>
    <n v="0"/>
    <s v="Pesos"/>
    <s v=" $"/>
    <s v="AGROVERAZ S.A."/>
  </r>
  <r>
    <n v="395"/>
    <x v="315"/>
    <n v="-67172164.640000001"/>
    <n v="0.01"/>
    <s v="Pesos"/>
    <s v=" $"/>
    <s v="MATIAS AYERZA SAS"/>
  </r>
  <r>
    <n v="396"/>
    <x v="316"/>
    <n v="0"/>
    <n v="0.02"/>
    <s v="Pesos"/>
    <s v=" $"/>
    <s v="EL AZAR SA"/>
  </r>
  <r>
    <n v="81"/>
    <x v="317"/>
    <n v="-5929903.1900000004"/>
    <n v="-1.52"/>
    <s v="Pesos"/>
    <s v=" $"/>
    <s v="Semillero Catriel SA"/>
  </r>
  <r>
    <n v="81"/>
    <x v="317"/>
    <n v="0"/>
    <n v="5010.62"/>
    <s v="Dólar "/>
    <s v=" U$S"/>
    <s v="Semillero Catriel SA"/>
  </r>
  <r>
    <n v="396"/>
    <x v="316"/>
    <n v="0"/>
    <n v="0"/>
    <s v="Dólar "/>
    <s v=" U$S"/>
    <s v="EL AZAR SA"/>
  </r>
  <r>
    <n v="395"/>
    <x v="315"/>
    <n v="0"/>
    <n v="0"/>
    <s v="Dólar "/>
    <s v=" U$S"/>
    <s v="MATIAS AYERZA SAS"/>
  </r>
  <r>
    <n v="235"/>
    <x v="312"/>
    <n v="1110.5"/>
    <n v="0"/>
    <s v="Dólar "/>
    <s v=" U$S"/>
    <s v="THE COMPUTER SRL"/>
  </r>
  <r>
    <n v="258"/>
    <x v="311"/>
    <n v="0"/>
    <n v="0"/>
    <s v="Dólar "/>
    <s v=" U$S"/>
    <s v="SOJAS ARGENTINAS SRL"/>
  </r>
  <r>
    <n v="235"/>
    <x v="312"/>
    <n v="0"/>
    <n v="0"/>
    <s v="Dólar Cable"/>
    <s v=" U$S TT"/>
    <s v="THE COMPUTER SRL"/>
  </r>
  <r>
    <n v="215"/>
    <x v="313"/>
    <n v="0"/>
    <n v="0"/>
    <s v="Dólar Cable"/>
    <s v=" U$S TT"/>
    <s v="INMAGAR SA"/>
  </r>
  <r>
    <n v="258"/>
    <x v="311"/>
    <n v="-1.1200000000000001"/>
    <n v="0"/>
    <s v="Dólar Matba Rofex"/>
    <s v=" U$S MR"/>
    <s v="SOJAS ARGENTINAS SRL"/>
  </r>
  <r>
    <n v="395"/>
    <x v="315"/>
    <n v="0"/>
    <n v="62549.74"/>
    <s v="Dólar Matba Rofex"/>
    <s v=" U$S MR"/>
    <s v="MATIAS AYERZA SAS"/>
  </r>
  <r>
    <n v="81"/>
    <x v="317"/>
    <n v="-58860.54"/>
    <n v="144044.82999999999"/>
    <s v="Dólar Matba Rofex"/>
    <s v=" U$S MR"/>
    <s v="Semillero Catriel SA"/>
  </r>
  <r>
    <n v="79"/>
    <x v="318"/>
    <n v="13.94"/>
    <n v="0.01"/>
    <s v="Pesos"/>
    <s v=" $"/>
    <s v="LA TAJADA SAACEI"/>
  </r>
  <r>
    <n v="73"/>
    <x v="319"/>
    <n v="4121420.53"/>
    <n v="0.01"/>
    <s v="Pesos"/>
    <s v=" $"/>
    <n v="13010"/>
  </r>
  <r>
    <n v="164"/>
    <x v="320"/>
    <n v="0"/>
    <n v="0"/>
    <s v="Pesos"/>
    <s v=" $"/>
    <s v="A &amp; T Y ASOCIADOS SA"/>
  </r>
  <r>
    <n v="127"/>
    <x v="321"/>
    <n v="22.56"/>
    <n v="0.71"/>
    <s v="Pesos"/>
    <s v=" $"/>
    <s v="FELIPE CROSETTI SA"/>
  </r>
  <r>
    <n v="460"/>
    <x v="322"/>
    <n v="228.23"/>
    <n v="0"/>
    <s v="Pesos"/>
    <s v=" $"/>
    <s v="CAVAGLIA MAURICIO GUSTAVO"/>
  </r>
  <r>
    <n v="472"/>
    <x v="323"/>
    <n v="-9901.48"/>
    <n v="0"/>
    <s v="Pesos"/>
    <s v=" $"/>
    <s v="GESAGRO SA"/>
  </r>
  <r>
    <n v="43"/>
    <x v="324"/>
    <n v="-5.69"/>
    <n v="0"/>
    <s v="Pesos"/>
    <s v=" $"/>
    <s v="GRANOS Y SEMILLAS SA"/>
  </r>
  <r>
    <n v="28"/>
    <x v="325"/>
    <n v="-1636358.28"/>
    <n v="0.22"/>
    <s v="Pesos"/>
    <s v=" $"/>
    <n v="13008"/>
  </r>
  <r>
    <n v="335"/>
    <x v="326"/>
    <n v="38573.760000000002"/>
    <n v="0.02"/>
    <s v="Pesos"/>
    <s v=" $"/>
    <s v="TERRA VERDE AGRO INSUMOS S.A."/>
  </r>
  <r>
    <n v="333"/>
    <x v="324"/>
    <n v="0"/>
    <n v="0"/>
    <s v="Pesos"/>
    <s v=" $"/>
    <s v="GRANOS Y SEMILLAS SA"/>
  </r>
  <r>
    <n v="242"/>
    <x v="324"/>
    <n v="0"/>
    <n v="0"/>
    <s v="Pesos"/>
    <s v=" $"/>
    <s v="GRANOS Y SEMILLAS SA"/>
  </r>
  <r>
    <n v="294"/>
    <x v="327"/>
    <n v="0"/>
    <n v="0"/>
    <s v="Pesos"/>
    <s v=" $"/>
    <s v="GRANOS DEL PLATA SRL"/>
  </r>
  <r>
    <n v="313"/>
    <x v="324"/>
    <n v="0"/>
    <n v="0"/>
    <s v="Pesos"/>
    <s v=" $"/>
    <s v="GRANOS Y SEMILLAS SA"/>
  </r>
  <r>
    <n v="312"/>
    <x v="324"/>
    <n v="5.69"/>
    <n v="0"/>
    <s v="Pesos"/>
    <s v=" $"/>
    <s v="GRANOS Y SEMILLAS SA"/>
  </r>
  <r>
    <n v="239"/>
    <x v="324"/>
    <n v="0"/>
    <n v="0"/>
    <s v="Pesos"/>
    <s v=" $"/>
    <s v="GRANOS Y SEMILLAS SA"/>
  </r>
  <r>
    <n v="245"/>
    <x v="328"/>
    <n v="0"/>
    <n v="0"/>
    <s v="Pesos"/>
    <s v=" $"/>
    <s v="FERIAS DEL NORTE SACIA"/>
  </r>
  <r>
    <n v="218"/>
    <x v="329"/>
    <n v="3362.98"/>
    <n v="0"/>
    <s v="Pesos"/>
    <s v=" $"/>
    <s v="FLOR DEL CARDO SRL"/>
  </r>
  <r>
    <n v="214"/>
    <x v="330"/>
    <n v="-165600.37"/>
    <n v="0"/>
    <s v="Pesos"/>
    <s v=" $"/>
    <s v="GALEAZZI SA"/>
  </r>
  <r>
    <n v="191"/>
    <x v="319"/>
    <n v="0"/>
    <n v="0"/>
    <s v="Pesos"/>
    <s v=" $"/>
    <s v="YABITO SA"/>
  </r>
  <r>
    <n v="192"/>
    <x v="319"/>
    <n v="0"/>
    <n v="0"/>
    <s v="Pesos"/>
    <s v=" $"/>
    <s v="YABITO SA"/>
  </r>
  <r>
    <n v="193"/>
    <x v="319"/>
    <n v="0"/>
    <n v="0"/>
    <s v="Pesos"/>
    <s v=" $"/>
    <s v="YABITO SA"/>
  </r>
  <r>
    <n v="192"/>
    <x v="319"/>
    <n v="0"/>
    <n v="0"/>
    <s v="Dólar "/>
    <s v=" U$S"/>
    <s v="YABITO SA"/>
  </r>
  <r>
    <n v="191"/>
    <x v="319"/>
    <n v="0"/>
    <n v="0"/>
    <s v="Dólar "/>
    <s v=" U$S"/>
    <s v="YABITO SA"/>
  </r>
  <r>
    <n v="335"/>
    <x v="326"/>
    <n v="301400"/>
    <n v="0"/>
    <s v="Dólar "/>
    <s v=" U$S"/>
    <s v="TERRA VERDE AGRO INSUMOS S.A."/>
  </r>
  <r>
    <n v="28"/>
    <x v="325"/>
    <n v="2193.7800000000002"/>
    <n v="0"/>
    <s v="Dólar "/>
    <s v=" U$S"/>
    <n v="13008"/>
  </r>
  <r>
    <n v="472"/>
    <x v="323"/>
    <n v="0"/>
    <n v="0"/>
    <s v="Dólar "/>
    <s v=" U$S"/>
    <s v="GESAGRO SA"/>
  </r>
  <r>
    <n v="460"/>
    <x v="322"/>
    <n v="0"/>
    <n v="0"/>
    <s v="Dólar "/>
    <s v=" U$S"/>
    <s v="CAVAGLIA MAURICIO GUSTAVO"/>
  </r>
  <r>
    <n v="127"/>
    <x v="321"/>
    <n v="0.13"/>
    <n v="0"/>
    <s v="Dólar "/>
    <s v=" U$S"/>
    <s v="FELIPE CROSETTI SA"/>
  </r>
  <r>
    <n v="73"/>
    <x v="319"/>
    <n v="0"/>
    <n v="28478.77"/>
    <s v="Dólar "/>
    <s v=" U$S"/>
    <n v="13010"/>
  </r>
  <r>
    <n v="79"/>
    <x v="318"/>
    <n v="0"/>
    <n v="0"/>
    <s v="Dólar "/>
    <s v=" U$S"/>
    <s v="LA TAJADA SAACEI"/>
  </r>
  <r>
    <n v="73"/>
    <x v="319"/>
    <n v="25235"/>
    <n v="0"/>
    <s v="Dólar Cable"/>
    <s v=" U$S TT"/>
    <n v="13010"/>
  </r>
  <r>
    <n v="28"/>
    <x v="325"/>
    <n v="7.32"/>
    <n v="0"/>
    <s v="Dólar Cable"/>
    <s v=" U$S TT"/>
    <n v="13008"/>
  </r>
  <r>
    <n v="28"/>
    <x v="325"/>
    <n v="0"/>
    <n v="0"/>
    <s v="Dólar Matba Rofex"/>
    <s v=" U$S MR"/>
    <n v="13008"/>
  </r>
  <r>
    <n v="43"/>
    <x v="324"/>
    <n v="0"/>
    <n v="1525"/>
    <s v="Dólar Matba Rofex"/>
    <s v=" U$S MR"/>
    <s v="GRANOS Y SEMILLAS SA"/>
  </r>
  <r>
    <n v="73"/>
    <x v="319"/>
    <n v="0"/>
    <n v="75237.960000000006"/>
    <s v="Dólar Matba Rofex"/>
    <s v=" U$S MR"/>
    <n v="13010"/>
  </r>
  <r>
    <n v="79"/>
    <x v="318"/>
    <n v="-0.01"/>
    <n v="0"/>
    <s v="Dólar Matba Rofex"/>
    <s v=" U$S MR"/>
    <s v="LA TAJADA SAACEI"/>
  </r>
  <r>
    <n v="164"/>
    <x v="320"/>
    <n v="0"/>
    <n v="0"/>
    <s v="Dólar Matba Rofex"/>
    <s v=" U$S MR"/>
    <s v="A &amp; T Y ASOCIADOS SA"/>
  </r>
  <r>
    <n v="335"/>
    <x v="326"/>
    <n v="0"/>
    <n v="0"/>
    <s v="Dólar Matba Rofex"/>
    <s v=" U$S MR"/>
    <s v="TERRA VERDE AGRO INSUMOS S.A."/>
  </r>
  <r>
    <n v="333"/>
    <x v="324"/>
    <n v="0"/>
    <n v="0"/>
    <s v="Dólar Matba Rofex"/>
    <s v=" U$S MR"/>
    <s v="GRANOS Y SEMILLAS SA"/>
  </r>
  <r>
    <n v="312"/>
    <x v="324"/>
    <n v="0"/>
    <n v="0"/>
    <s v="Dólar Matba Rofex"/>
    <s v=" U$S MR"/>
    <s v="GRANOS Y SEMILLAS SA"/>
  </r>
  <r>
    <n v="313"/>
    <x v="324"/>
    <n v="0"/>
    <n v="0"/>
    <s v="Dólar Matba Rofex"/>
    <s v=" U$S MR"/>
    <s v="GRANOS Y SEMILLAS SA"/>
  </r>
  <r>
    <n v="242"/>
    <x v="324"/>
    <n v="0"/>
    <n v="0"/>
    <s v="Dólar Matba Rofex"/>
    <s v=" U$S MR"/>
    <s v="GRANOS Y SEMILLAS SA"/>
  </r>
  <r>
    <n v="191"/>
    <x v="319"/>
    <n v="0"/>
    <n v="0"/>
    <s v="Dólar Matba Rofex"/>
    <s v=" U$S MR"/>
    <s v="YABITO SA"/>
  </r>
  <r>
    <n v="192"/>
    <x v="319"/>
    <n v="0"/>
    <n v="0"/>
    <s v="Dólar Matba Rofex"/>
    <s v=" U$S MR"/>
    <s v="YABITO SA"/>
  </r>
  <r>
    <n v="193"/>
    <x v="319"/>
    <n v="0"/>
    <n v="0"/>
    <s v="Dólar Matba Rofex"/>
    <s v=" U$S MR"/>
    <s v="YABITO SA"/>
  </r>
  <r>
    <n v="214"/>
    <x v="330"/>
    <n v="-8650"/>
    <n v="0"/>
    <s v="Dólar Matba Rofex"/>
    <s v=" U$S MR"/>
    <s v="GALEAZZI SA"/>
  </r>
  <r>
    <n v="218"/>
    <x v="329"/>
    <n v="0"/>
    <n v="0"/>
    <s v="Dólar Matba Rofex"/>
    <s v=" U$S MR"/>
    <s v="FLOR DEL CARDO SRL"/>
  </r>
  <r>
    <n v="245"/>
    <x v="328"/>
    <n v="0"/>
    <n v="0"/>
    <s v="Dólar Matba Rofex"/>
    <s v=" U$S MR"/>
    <s v="FERIAS DEL NORTE SACIA"/>
  </r>
  <r>
    <n v="239"/>
    <x v="324"/>
    <n v="0"/>
    <n v="0"/>
    <s v="Dólar Matba Rofex"/>
    <s v=" U$S MR"/>
    <s v="GRANOS Y SEMILLAS SA"/>
  </r>
  <r>
    <n v="380"/>
    <x v="331"/>
    <n v="0"/>
    <n v="0"/>
    <s v="Pesos"/>
    <s v=" $"/>
    <s v="ESTANCIA TRES BONETES SAU"/>
  </r>
  <r>
    <n v="8"/>
    <x v="332"/>
    <n v="0"/>
    <n v="0"/>
    <s v="Pesos"/>
    <s v=" $"/>
    <s v="BALDUCCHI JUAN JOSE"/>
  </r>
  <r>
    <n v="9"/>
    <x v="333"/>
    <n v="1.91"/>
    <n v="0"/>
    <s v="Pesos"/>
    <s v=" $"/>
    <s v="Balducchi MIguel Angel"/>
  </r>
  <r>
    <n v="435"/>
    <x v="334"/>
    <n v="-0.2"/>
    <n v="0"/>
    <s v="Pesos"/>
    <s v=" $"/>
    <s v="CAMPO ALEGRE SA"/>
  </r>
  <r>
    <n v="435"/>
    <x v="334"/>
    <n v="0"/>
    <n v="0"/>
    <s v="Dólar "/>
    <s v=" U$S"/>
    <s v="CAMPO ALEGRE SA"/>
  </r>
  <r>
    <n v="9"/>
    <x v="333"/>
    <n v="0"/>
    <n v="10328"/>
    <s v="Dólar "/>
    <s v=" U$S"/>
    <s v="Balducchi MIguel Angel"/>
  </r>
  <r>
    <n v="380"/>
    <x v="331"/>
    <n v="0"/>
    <n v="0"/>
    <s v="Dólar "/>
    <s v=" U$S"/>
    <s v="ESTANCIA TRES BONETES SAU"/>
  </r>
  <r>
    <n v="9"/>
    <x v="333"/>
    <n v="1248.5999999999999"/>
    <n v="0"/>
    <s v="Dólar Cable"/>
    <s v=" U$S TT"/>
    <s v="Balducchi MIguel Angel"/>
  </r>
  <r>
    <n v="8"/>
    <x v="332"/>
    <n v="1567.73"/>
    <n v="0"/>
    <s v="Dólar Cable"/>
    <s v=" U$S TT"/>
    <s v="BALDUCCHI JUAN JOSE"/>
  </r>
  <r>
    <n v="9"/>
    <x v="333"/>
    <n v="-2052.42"/>
    <n v="0"/>
    <s v="Dólar Matba Rofex"/>
    <s v=" U$S MR"/>
    <s v="Balducchi MIguel Angel"/>
  </r>
  <r>
    <n v="380"/>
    <x v="331"/>
    <n v="0"/>
    <n v="0"/>
    <s v="Dólar Matba Rofex"/>
    <s v=" U$S MR"/>
    <s v="ESTANCIA TRES BONETES SAU"/>
  </r>
  <r>
    <n v="358"/>
    <x v="335"/>
    <n v="0"/>
    <n v="-0.01"/>
    <s v="Pesos"/>
    <s v=" $"/>
    <s v="MOLINO CHABAS SA"/>
  </r>
  <r>
    <n v="358"/>
    <x v="335"/>
    <n v="0"/>
    <n v="0"/>
    <s v="Dólar Matba Rofex"/>
    <s v=" U$S MR"/>
    <s v="MOLINO CHABAS SA"/>
  </r>
  <r>
    <n v="353"/>
    <x v="336"/>
    <n v="-178127436.63999999"/>
    <n v="0"/>
    <s v="Pesos"/>
    <s v=" $"/>
    <s v="FAIN HECTOR E Y GUSTAVO RICARDO Y SERGIO DANIEL SA"/>
  </r>
  <r>
    <n v="353"/>
    <x v="336"/>
    <n v="0"/>
    <n v="0"/>
    <s v="Dólar "/>
    <s v=" U$S"/>
    <s v="FAIN HECTOR E Y GUSTAVO RICARDO Y SERGIO DANIEL SA"/>
  </r>
  <r>
    <n v="443"/>
    <x v="337"/>
    <n v="103904402.56999999"/>
    <n v="0"/>
    <s v="Pesos"/>
    <s v=" $"/>
    <s v="MAN AGRO SA"/>
  </r>
  <r>
    <n v="443"/>
    <x v="337"/>
    <n v="-10.85"/>
    <n v="0"/>
    <s v="Dólar "/>
    <s v=" U$S"/>
    <s v="MAN AGRO SA"/>
  </r>
  <r>
    <n v="443"/>
    <x v="337"/>
    <n v="9250"/>
    <n v="1784452.35"/>
    <s v="Dólar Matba Rofex"/>
    <s v=" U$S MR"/>
    <s v="MAN AGRO SA"/>
  </r>
  <r>
    <n v="151"/>
    <x v="338"/>
    <n v="0"/>
    <n v="0.44"/>
    <s v="Pesos"/>
    <s v=" $"/>
    <s v="TOSQUITA CEREALES S.A"/>
  </r>
  <r>
    <n v="151"/>
    <x v="338"/>
    <n v="0"/>
    <n v="0"/>
    <s v="Dólar Matba Rofex"/>
    <s v=" U$S MR"/>
    <s v="TOSQUITA CEREALES S.A"/>
  </r>
  <r>
    <n v="67"/>
    <x v="339"/>
    <n v="-19.23"/>
    <n v="0"/>
    <s v="Pesos"/>
    <s v=" $"/>
    <s v="VILLA MARIA CEREALES SRL"/>
  </r>
  <r>
    <n v="374"/>
    <x v="340"/>
    <n v="-10081250"/>
    <n v="44553.01"/>
    <s v="Pesos"/>
    <s v=" $"/>
    <s v="PRO DE MAN SA"/>
  </r>
  <r>
    <n v="394"/>
    <x v="341"/>
    <n v="0"/>
    <n v="0"/>
    <s v="Pesos"/>
    <s v=" $"/>
    <s v="SURSUNCORSA SAS"/>
  </r>
  <r>
    <n v="409"/>
    <x v="342"/>
    <n v="0"/>
    <n v="0"/>
    <s v="Pesos"/>
    <s v=" $"/>
    <s v="TRANSAGRO SA"/>
  </r>
  <r>
    <n v="374"/>
    <x v="340"/>
    <n v="23.57"/>
    <n v="0"/>
    <s v="Dólar "/>
    <s v=" U$S"/>
    <s v="PRO DE MAN SA"/>
  </r>
  <r>
    <n v="67"/>
    <x v="339"/>
    <n v="50.75"/>
    <n v="0"/>
    <s v="Dólar "/>
    <s v=" U$S"/>
    <s v="VILLA MARIA CEREALES SRL"/>
  </r>
  <r>
    <n v="374"/>
    <x v="340"/>
    <n v="-2.86"/>
    <n v="0"/>
    <s v="Dólar Cable"/>
    <s v=" U$S TT"/>
    <s v="PRO DE MAN SA"/>
  </r>
  <r>
    <n v="374"/>
    <x v="340"/>
    <n v="0"/>
    <n v="0"/>
    <s v="Dólar Matba Rofex"/>
    <s v=" U$S MR"/>
    <s v="PRO DE MAN SA"/>
  </r>
  <r>
    <n v="409"/>
    <x v="342"/>
    <n v="0"/>
    <n v="0"/>
    <s v="Dólar Matba Rofex"/>
    <s v=" U$S MR"/>
    <s v="TRANSAGRO SA"/>
  </r>
  <r>
    <n v="67"/>
    <x v="339"/>
    <n v="-1.92"/>
    <n v="0"/>
    <s v="Dólar Matba Rofex"/>
    <s v=" U$S MR"/>
    <s v="VILLA MARIA CEREALES SRL"/>
  </r>
  <r>
    <n v="495"/>
    <x v="343"/>
    <n v="506.14"/>
    <n v="0.01"/>
    <s v="Pesos"/>
    <s v=" $"/>
    <s v="BIOLATO LUCIANA EDITH"/>
  </r>
  <r>
    <n v="497"/>
    <x v="344"/>
    <n v="0"/>
    <n v="0"/>
    <s v="Pesos"/>
    <s v=" $"/>
    <s v="BIOLATO LEANDRO MARTIN"/>
  </r>
  <r>
    <n v="498"/>
    <x v="345"/>
    <n v="0"/>
    <n v="0"/>
    <s v="Pesos"/>
    <s v=" $"/>
    <s v="TAZZIOLI PATRICIA MONICA"/>
  </r>
  <r>
    <n v="130"/>
    <x v="346"/>
    <n v="-7331.22"/>
    <n v="-0.14000000000000001"/>
    <s v="Pesos"/>
    <s v=" $"/>
    <s v="MANASSERO HNOS SRL"/>
  </r>
  <r>
    <n v="429"/>
    <x v="347"/>
    <n v="-13212183.140000001"/>
    <n v="0"/>
    <s v="Pesos"/>
    <s v=" $"/>
    <s v="GLYCINEMAX SA"/>
  </r>
  <r>
    <n v="483"/>
    <x v="348"/>
    <n v="0"/>
    <n v="-0.01"/>
    <s v="Pesos"/>
    <s v=" $"/>
    <s v="EL ESTERO SA"/>
  </r>
  <r>
    <n v="54"/>
    <x v="349"/>
    <n v="-28057.75"/>
    <n v="0"/>
    <s v="Pesos"/>
    <s v=" $"/>
    <s v="MATILDE Y ALICIA CAMUYRANO SA"/>
  </r>
  <r>
    <n v="329"/>
    <x v="350"/>
    <n v="18942.95"/>
    <n v="0"/>
    <s v="Pesos"/>
    <s v=" $"/>
    <s v="CAMUYRANO ALICIA"/>
  </r>
  <r>
    <n v="330"/>
    <x v="351"/>
    <n v="59573.66"/>
    <n v="0"/>
    <s v="Pesos"/>
    <s v=" $"/>
    <s v="VIDAL CARLOS ALFREDO"/>
  </r>
  <r>
    <n v="322"/>
    <x v="352"/>
    <n v="0"/>
    <n v="0.09"/>
    <s v="Pesos"/>
    <s v=" $"/>
    <s v="GL SEMILLAS SA"/>
  </r>
  <r>
    <n v="321"/>
    <x v="353"/>
    <n v="0.37"/>
    <n v="0"/>
    <s v="Pesos"/>
    <s v=" $"/>
    <s v="AGRO COTTON SA"/>
  </r>
  <r>
    <n v="212"/>
    <x v="354"/>
    <n v="-1987.4"/>
    <n v="0"/>
    <s v="Pesos"/>
    <s v=" $"/>
    <s v="LEDESMA SAAI"/>
  </r>
  <r>
    <n v="330"/>
    <x v="351"/>
    <n v="-5.63"/>
    <n v="0"/>
    <s v="Dólar "/>
    <s v=" U$S"/>
    <s v="VIDAL CARLOS ALFREDO"/>
  </r>
  <r>
    <n v="329"/>
    <x v="350"/>
    <n v="-3.23"/>
    <n v="0"/>
    <s v="Dólar "/>
    <s v=" U$S"/>
    <s v="CAMUYRANO ALICIA"/>
  </r>
  <r>
    <n v="54"/>
    <x v="349"/>
    <n v="0"/>
    <n v="0"/>
    <s v="Dólar "/>
    <s v=" U$S"/>
    <s v="MATILDE Y ALICIA CAMUYRANO SA"/>
  </r>
  <r>
    <n v="130"/>
    <x v="346"/>
    <n v="-90015.6"/>
    <n v="0"/>
    <s v="Dólar "/>
    <s v=" U$S"/>
    <s v="MANASSERO HNOS SRL"/>
  </r>
  <r>
    <n v="498"/>
    <x v="345"/>
    <n v="0"/>
    <n v="0"/>
    <s v="Dólar "/>
    <s v=" U$S"/>
    <s v="TAZZIOLI PATRICIA MONICA"/>
  </r>
  <r>
    <n v="497"/>
    <x v="344"/>
    <n v="0"/>
    <n v="0"/>
    <s v="Dólar "/>
    <s v=" U$S"/>
    <s v="BIOLATO LEANDRO MARTIN"/>
  </r>
  <r>
    <n v="495"/>
    <x v="343"/>
    <n v="4.84"/>
    <n v="0"/>
    <s v="Dólar "/>
    <s v=" U$S"/>
    <s v="BIOLATO LUCIANA EDITH"/>
  </r>
  <r>
    <n v="130"/>
    <x v="346"/>
    <n v="1189.83"/>
    <n v="0"/>
    <s v="Dólar Cable"/>
    <s v=" U$S TT"/>
    <s v="MANASSERO HNOS SRL"/>
  </r>
  <r>
    <n v="54"/>
    <x v="349"/>
    <n v="109755.8"/>
    <n v="0"/>
    <s v="Dólar Cable"/>
    <s v=" U$S TT"/>
    <s v="MATILDE Y ALICIA CAMUYRANO SA"/>
  </r>
  <r>
    <n v="329"/>
    <x v="350"/>
    <n v="0.1"/>
    <n v="0"/>
    <s v="Dólar Cable"/>
    <s v=" U$S TT"/>
    <s v="CAMUYRANO ALICIA"/>
  </r>
  <r>
    <n v="330"/>
    <x v="351"/>
    <n v="2.25"/>
    <n v="0"/>
    <s v="Dólar Cable"/>
    <s v=" U$S TT"/>
    <s v="VIDAL CARLOS ALFREDO"/>
  </r>
  <r>
    <n v="330"/>
    <x v="351"/>
    <n v="0"/>
    <n v="0"/>
    <s v="Dólar Matba Rofex"/>
    <s v=" U$S MR"/>
    <s v="VIDAL CARLOS ALFREDO"/>
  </r>
  <r>
    <n v="321"/>
    <x v="353"/>
    <n v="0"/>
    <n v="11217.89"/>
    <s v="Dólar Matba Rofex"/>
    <s v=" U$S MR"/>
    <s v="AGRO COTTON SA"/>
  </r>
  <r>
    <n v="322"/>
    <x v="352"/>
    <n v="0"/>
    <n v="0"/>
    <s v="Dólar Matba Rofex"/>
    <s v=" U$S MR"/>
    <s v="GL SEMILLAS SA"/>
  </r>
  <r>
    <n v="212"/>
    <x v="354"/>
    <n v="0"/>
    <n v="0"/>
    <s v="Dólar Matba Rofex"/>
    <s v=" U$S MR"/>
    <s v="LEDESMA SAAI"/>
  </r>
  <r>
    <n v="54"/>
    <x v="349"/>
    <n v="0"/>
    <n v="0"/>
    <s v="Dólar Matba Rofex"/>
    <s v=" U$S MR"/>
    <s v="MATILDE Y ALICIA CAMUYRANO SA"/>
  </r>
  <r>
    <n v="429"/>
    <x v="347"/>
    <n v="0"/>
    <n v="53182.96"/>
    <s v="Dólar Matba Rofex"/>
    <s v=" U$S MR"/>
    <s v="GLYCINEMAX SA"/>
  </r>
  <r>
    <n v="130"/>
    <x v="346"/>
    <n v="-6"/>
    <n v="0"/>
    <s v="Dólar Matba Rofex"/>
    <s v=" U$S MR"/>
    <s v="MANASSERO HNOS SRL"/>
  </r>
  <r>
    <n v="74"/>
    <x v="355"/>
    <n v="25533.46"/>
    <n v="-61594818.960000001"/>
    <s v="Pesos"/>
    <s v=" $"/>
    <s v="ZANOY AGRO &amp; SERVICIOS SA"/>
  </r>
  <r>
    <n v="411"/>
    <x v="356"/>
    <n v="-0.2"/>
    <n v="0"/>
    <s v="Pesos"/>
    <s v=" $"/>
    <s v="MYMSA AGRONEGOCIOS SA"/>
  </r>
  <r>
    <n v="411"/>
    <x v="356"/>
    <n v="0"/>
    <n v="0"/>
    <s v="Dólar "/>
    <s v=" U$S"/>
    <s v="MYMSA AGRONEGOCIOS SA"/>
  </r>
  <r>
    <n v="74"/>
    <x v="355"/>
    <n v="1217.93"/>
    <n v="0"/>
    <s v="Dólar "/>
    <s v=" U$S"/>
    <s v="ZANOY AGRO &amp; SERVICIOS SA"/>
  </r>
  <r>
    <n v="74"/>
    <x v="355"/>
    <n v="7.85"/>
    <n v="0"/>
    <s v="Dólar Cable"/>
    <s v=" U$S TT"/>
    <s v="ZANOY AGRO &amp; SERVICIOS SA"/>
  </r>
  <r>
    <n v="74"/>
    <x v="355"/>
    <n v="0"/>
    <n v="9208.92"/>
    <s v="Dólar Matba Rofex"/>
    <s v=" U$S MR"/>
    <s v="ZANOY AGRO &amp; SERVICIOS SA"/>
  </r>
  <r>
    <n v="412"/>
    <x v="355"/>
    <n v="0"/>
    <n v="0"/>
    <s v="Dólar Matba Rofex"/>
    <s v=" U$S MR"/>
    <s v="ZANOY AGRO &amp; SERVICIOS SA"/>
  </r>
  <r>
    <n v="387"/>
    <x v="357"/>
    <n v="-0.01"/>
    <n v="0"/>
    <s v="Pesos"/>
    <s v=" $"/>
    <s v="SIMIENTE S.A."/>
  </r>
  <r>
    <n v="351"/>
    <x v="358"/>
    <n v="0"/>
    <n v="0.01"/>
    <s v="Pesos"/>
    <s v=" $"/>
    <s v="KELYMAR SA"/>
  </r>
  <r>
    <n v="499"/>
    <x v="359"/>
    <n v="2890.07"/>
    <n v="0"/>
    <s v="Pesos"/>
    <s v=" $"/>
    <s v="BEARZOTTI LELIO ALFREDO"/>
  </r>
  <r>
    <n v="142"/>
    <x v="360"/>
    <n v="0"/>
    <n v="0.06"/>
    <s v="Pesos"/>
    <s v=" $"/>
    <s v="ESKEL SA"/>
  </r>
  <r>
    <n v="476"/>
    <x v="361"/>
    <n v="0"/>
    <n v="0"/>
    <s v="Pesos"/>
    <s v=" $"/>
    <s v="SIGMA AGRO SA"/>
  </r>
  <r>
    <n v="142"/>
    <x v="360"/>
    <n v="0"/>
    <n v="0"/>
    <s v="Dólar "/>
    <s v=" U$S"/>
    <s v="ESKEL SA"/>
  </r>
  <r>
    <n v="499"/>
    <x v="359"/>
    <n v="0"/>
    <n v="0"/>
    <s v="Dólar "/>
    <s v=" U$S"/>
    <s v="BEARZOTTI LELIO ALFREDO"/>
  </r>
  <r>
    <n v="351"/>
    <x v="358"/>
    <n v="0"/>
    <n v="0"/>
    <s v="Dólar "/>
    <s v=" U$S"/>
    <s v="KELYMAR SA"/>
  </r>
  <r>
    <n v="351"/>
    <x v="358"/>
    <n v="0"/>
    <n v="0"/>
    <s v="Dólar Matba Rofex"/>
    <s v=" U$S MR"/>
    <s v="KELYMAR SA"/>
  </r>
  <r>
    <n v="387"/>
    <x v="357"/>
    <n v="0"/>
    <n v="0"/>
    <s v="Dólar Matba Rofex"/>
    <s v=" U$S MR"/>
    <s v="SIMIENTE S.A."/>
  </r>
  <r>
    <n v="142"/>
    <x v="360"/>
    <n v="0"/>
    <n v="0"/>
    <s v="Dólar Matba Rofex"/>
    <s v=" U$S MR"/>
    <s v="ESKEL SA"/>
  </r>
  <r>
    <n v="476"/>
    <x v="361"/>
    <n v="0"/>
    <n v="0"/>
    <s v="Dólar Matba Rofex"/>
    <s v=" U$S MR"/>
    <s v="SIGMA AGRO SA"/>
  </r>
  <r>
    <n v="473"/>
    <x v="362"/>
    <n v="0"/>
    <n v="0"/>
    <s v="Pesos"/>
    <s v=" $"/>
    <s v="ESTABLECIMIENTOS LA NEGRA SA"/>
  </r>
  <r>
    <n v="441"/>
    <x v="363"/>
    <n v="0"/>
    <n v="0"/>
    <s v="Pesos"/>
    <s v=" $"/>
    <s v="GARINO FABIAN JORGE"/>
  </r>
  <r>
    <n v="436"/>
    <x v="364"/>
    <n v="0"/>
    <n v="0.02"/>
    <s v="Pesos"/>
    <s v=" $"/>
    <s v="GARINO CEREALES SRL"/>
  </r>
  <r>
    <n v="163"/>
    <x v="365"/>
    <n v="0"/>
    <n v="0"/>
    <s v="Pesos"/>
    <s v=" $"/>
    <s v="ESTELA DELLAROSSA SA"/>
  </r>
  <r>
    <n v="488"/>
    <x v="366"/>
    <n v="14096.02"/>
    <n v="0.02"/>
    <s v="Pesos"/>
    <s v=" $"/>
    <s v="FONTANELLAS WALTER ARIEL"/>
  </r>
  <r>
    <n v="413"/>
    <x v="367"/>
    <n v="0.4"/>
    <n v="3695242.99"/>
    <s v="Pesos"/>
    <s v=" $"/>
    <s v="PM ORIGEN SA"/>
  </r>
  <r>
    <n v="398"/>
    <x v="368"/>
    <n v="31769.49"/>
    <n v="0"/>
    <s v="Pesos"/>
    <s v=" $"/>
    <s v="GDEA SA"/>
  </r>
  <r>
    <n v="369"/>
    <x v="369"/>
    <n v="-607940077.05999994"/>
    <n v="0"/>
    <s v="Pesos"/>
    <s v=" $"/>
    <s v="MERLO Y MANAVELLA SA"/>
  </r>
  <r>
    <n v="246"/>
    <x v="370"/>
    <n v="2599.1799999999998"/>
    <n v="0"/>
    <s v="Pesos"/>
    <s v=" $"/>
    <s v="CINGOLANI FERNANDO LUIS"/>
  </r>
  <r>
    <n v="246"/>
    <x v="370"/>
    <n v="0"/>
    <n v="0"/>
    <s v="Dólar "/>
    <s v=" U$S"/>
    <s v="CINGOLANI FERNANDO LUIS"/>
  </r>
  <r>
    <n v="369"/>
    <x v="369"/>
    <n v="1600.63"/>
    <n v="0"/>
    <s v="Dólar "/>
    <s v=" U$S"/>
    <s v="MERLO Y MANAVELLA SA"/>
  </r>
  <r>
    <n v="398"/>
    <x v="368"/>
    <n v="-0.21"/>
    <n v="0"/>
    <s v="Dólar "/>
    <s v=" U$S"/>
    <s v="GDEA SA"/>
  </r>
  <r>
    <n v="488"/>
    <x v="366"/>
    <n v="-0.09"/>
    <n v="0"/>
    <s v="Dólar "/>
    <s v=" U$S"/>
    <s v="FONTANELLAS WALTER ARIEL"/>
  </r>
  <r>
    <n v="163"/>
    <x v="365"/>
    <n v="0"/>
    <n v="0"/>
    <s v="Dólar "/>
    <s v=" U$S"/>
    <s v="ESTELA DELLAROSSA SA"/>
  </r>
  <r>
    <n v="441"/>
    <x v="363"/>
    <n v="2.02"/>
    <n v="0"/>
    <s v="Dólar "/>
    <s v=" U$S"/>
    <s v="GARINO FABIAN JORGE"/>
  </r>
  <r>
    <n v="473"/>
    <x v="362"/>
    <n v="0"/>
    <n v="0"/>
    <s v="Dólar "/>
    <s v=" U$S"/>
    <s v="ESTABLECIMIENTOS LA NEGRA SA"/>
  </r>
  <r>
    <n v="473"/>
    <x v="362"/>
    <n v="0"/>
    <n v="0"/>
    <s v="Dólar Matba Rofex"/>
    <s v=" U$S MR"/>
    <s v="ESTABLECIMIENTOS LA NEGRA SA"/>
  </r>
  <r>
    <n v="441"/>
    <x v="363"/>
    <n v="0"/>
    <n v="0"/>
    <s v="Dólar Matba Rofex"/>
    <s v=" U$S MR"/>
    <s v="GARINO FABIAN JORGE"/>
  </r>
  <r>
    <n v="436"/>
    <x v="364"/>
    <n v="0"/>
    <n v="0"/>
    <s v="Dólar Matba Rofex"/>
    <s v=" U$S MR"/>
    <s v="GARINO CEREALES SRL"/>
  </r>
  <r>
    <n v="488"/>
    <x v="366"/>
    <n v="0"/>
    <n v="0"/>
    <s v="Dólar Matba Rofex"/>
    <s v=" U$S MR"/>
    <s v="FONTANELLAS WALTER ARIEL"/>
  </r>
  <r>
    <n v="423"/>
    <x v="371"/>
    <n v="3567"/>
    <n v="0"/>
    <s v="Pesos"/>
    <s v=" $"/>
    <s v="TACUAREMBO SA"/>
  </r>
  <r>
    <n v="410"/>
    <x v="372"/>
    <n v="0"/>
    <n v="0"/>
    <s v="Pesos"/>
    <s v=" $"/>
    <s v="MIL SOLES SRL"/>
  </r>
  <r>
    <n v="410"/>
    <x v="372"/>
    <n v="0"/>
    <n v="0"/>
    <s v="Dólar "/>
    <s v=" U$S"/>
    <s v="MIL SOLES SRL"/>
  </r>
  <r>
    <n v="423"/>
    <x v="371"/>
    <n v="0"/>
    <n v="0"/>
    <s v="Dólar "/>
    <s v=" U$S"/>
    <s v="TACUAREMBO SA"/>
  </r>
  <r>
    <n v="452"/>
    <x v="373"/>
    <n v="0.39"/>
    <n v="0"/>
    <s v="Pesos"/>
    <s v=" $"/>
    <s v="GRUPO DEL SUR SRL"/>
  </r>
  <r>
    <n v="1020"/>
    <x v="374"/>
    <n v="0"/>
    <n v="0"/>
    <s v="Pesos"/>
    <s v=" $"/>
    <s v="BC SA SD ZOFINGEN DOLLAR LINKED"/>
  </r>
  <r>
    <n v="1021"/>
    <x v="375"/>
    <n v="-863.85"/>
    <n v="0"/>
    <s v="Pesos"/>
    <s v=" $"/>
    <s v="BC SA SD ZOFINGEN FACTORING ABIERTO PYME"/>
  </r>
  <r>
    <n v="19"/>
    <x v="376"/>
    <n v="-363363375.82999998"/>
    <n v="0"/>
    <s v="Pesos"/>
    <s v=" $"/>
    <s v="CRESUD S A COMERCIAL INMOBILIARIA FINANCIERA Y AGROPECUARIA"/>
  </r>
  <r>
    <n v="493"/>
    <x v="377"/>
    <n v="-0.1"/>
    <n v="0"/>
    <s v="Pesos"/>
    <s v=" $"/>
    <s v="ARG DE GRAAF SA"/>
  </r>
  <r>
    <n v="1022"/>
    <x v="378"/>
    <n v="0"/>
    <n v="0"/>
    <s v="Pesos"/>
    <s v=" $"/>
    <s v="BCSA SD GALILEO FCI MULTIMERCADO II"/>
  </r>
  <r>
    <n v="1024"/>
    <x v="379"/>
    <n v="0"/>
    <n v="0"/>
    <s v="Pesos"/>
    <s v=" $"/>
    <s v="BCSA SD ZOFINGEN PESOS 24"/>
  </r>
  <r>
    <n v="1023"/>
    <x v="380"/>
    <n v="0"/>
    <n v="0"/>
    <s v="Pesos"/>
    <s v=" $"/>
    <s v="ZOFINGEN INFRAESTRUCTURA FCI ABIERTO"/>
  </r>
  <r>
    <n v="155"/>
    <x v="376"/>
    <n v="-159703925.84999999"/>
    <n v="0"/>
    <s v="Pesos"/>
    <s v=" $"/>
    <s v="CRESUD S A COMERCIAL INMOBILIARIA FINANCIERA Y AGROPECUARIA"/>
  </r>
  <r>
    <n v="525"/>
    <x v="381"/>
    <n v="0"/>
    <n v="0"/>
    <s v="Pesos"/>
    <s v=" $"/>
    <s v="MANTRA SA"/>
  </r>
  <r>
    <n v="1028"/>
    <x v="382"/>
    <n v="0"/>
    <n v="0"/>
    <s v="Pesos"/>
    <s v=" $"/>
    <s v="FCI GALILEO AHORRO"/>
  </r>
  <r>
    <n v="1029"/>
    <x v="383"/>
    <n v="0"/>
    <n v="0"/>
    <s v="Pesos"/>
    <s v=" $"/>
    <s v="FCI GALILEO AHORRO PLUS"/>
  </r>
  <r>
    <n v="391"/>
    <x v="384"/>
    <n v="0.03"/>
    <n v="0"/>
    <s v="Pesos"/>
    <s v=" $"/>
    <s v="DESVIO FUNKE SRL"/>
  </r>
  <r>
    <n v="385"/>
    <x v="385"/>
    <n v="-369.19"/>
    <n v="0.04"/>
    <s v="Pesos"/>
    <s v=" $"/>
    <s v="AGRICULTORES GANADEROS VILLA CANAS SRL"/>
  </r>
  <r>
    <n v="376"/>
    <x v="386"/>
    <n v="2933.42"/>
    <n v="0"/>
    <s v="Pesos"/>
    <s v=" $"/>
    <s v="MONTE DEL GATO SA"/>
  </r>
  <r>
    <n v="272"/>
    <x v="387"/>
    <n v="-1477351938.0599999"/>
    <n v="0"/>
    <s v="Pesos"/>
    <s v=" $"/>
    <s v="ALEA Y CIA SOCIEDAD ANONIMA"/>
  </r>
  <r>
    <n v="194"/>
    <x v="376"/>
    <n v="475865822"/>
    <n v="0"/>
    <s v="Pesos"/>
    <s v=" $"/>
    <s v="CRESUD S A COMERCIAL INMOBILIARIA FINANCIERA Y AGROPECUARIA"/>
  </r>
  <r>
    <n v="195"/>
    <x v="376"/>
    <n v="18701479.48"/>
    <n v="0"/>
    <s v="Pesos"/>
    <s v=" $"/>
    <s v="CRESUD S A COMERCIAL INMOBILIARIA FINANCIERA Y AGROPECUARIA"/>
  </r>
  <r>
    <n v="564"/>
    <x v="388"/>
    <n v="-1306.4000000000001"/>
    <n v="0"/>
    <s v="Pesos"/>
    <s v=" $"/>
    <s v="MARTIN LUCAS HORACIO"/>
  </r>
  <r>
    <n v="6003"/>
    <x v="389"/>
    <n v="-0.65"/>
    <n v="0"/>
    <s v="Pesos"/>
    <s v=" $"/>
    <s v="ATANOR SOCIEDAD EN COMANDITA POR ACCIONES"/>
  </r>
  <r>
    <n v="5200"/>
    <x v="390"/>
    <n v="0"/>
    <n v="0"/>
    <s v="Pesos"/>
    <s v=" $"/>
    <s v="BULL MARKET BROKERS SA"/>
  </r>
  <r>
    <n v="560"/>
    <x v="391"/>
    <n v="-0.16"/>
    <n v="0"/>
    <s v="Pesos"/>
    <s v=" $"/>
    <s v="MORIXE HERMANOS SACI"/>
  </r>
  <r>
    <n v="5292"/>
    <x v="392"/>
    <n v="0"/>
    <n v="0"/>
    <s v="Pesos"/>
    <s v=" $"/>
    <s v="FIRST CAPITAL MARKET SA"/>
  </r>
  <r>
    <n v="6008"/>
    <x v="393"/>
    <n v="64182.97"/>
    <n v="0"/>
    <s v="Pesos"/>
    <s v=" $"/>
    <s v="MANEXA S.A"/>
  </r>
  <r>
    <n v="6016"/>
    <x v="394"/>
    <n v="0"/>
    <n v="0"/>
    <s v="Pesos"/>
    <s v=" $"/>
    <s v="ZAMPIERI RAUL"/>
  </r>
  <r>
    <n v="420"/>
    <x v="395"/>
    <n v="0.11"/>
    <n v="-0.01"/>
    <s v="Pesos"/>
    <s v=" $"/>
    <s v="TECNO AIRE SRL"/>
  </r>
  <r>
    <n v="420"/>
    <x v="395"/>
    <n v="0.86"/>
    <n v="0"/>
    <s v="Dólar "/>
    <s v=" U$S"/>
    <s v="TECNO AIRE SRL"/>
  </r>
  <r>
    <n v="6016"/>
    <x v="394"/>
    <n v="0.53"/>
    <n v="0"/>
    <s v="Dólar "/>
    <s v=" U$S"/>
    <s v="ZAMPIERI RAUL"/>
  </r>
  <r>
    <n v="6008"/>
    <x v="393"/>
    <n v="1.85"/>
    <n v="0"/>
    <s v="Dólar "/>
    <s v=" U$S"/>
    <s v="MANEXA S.A"/>
  </r>
  <r>
    <n v="272"/>
    <x v="387"/>
    <n v="517.5"/>
    <n v="0"/>
    <s v="Dólar "/>
    <s v=" U$S"/>
    <s v="ALEA Y CIA SOCIEDAD ANONIMA"/>
  </r>
  <r>
    <n v="376"/>
    <x v="386"/>
    <n v="0"/>
    <n v="0"/>
    <s v="Dólar "/>
    <s v=" U$S"/>
    <s v="MONTE DEL GATO SA"/>
  </r>
  <r>
    <n v="385"/>
    <x v="385"/>
    <n v="0"/>
    <n v="0"/>
    <s v="Dólar "/>
    <s v=" U$S"/>
    <s v="AGRICULTORES GANADEROS VILLA CANAS SRL"/>
  </r>
  <r>
    <n v="525"/>
    <x v="381"/>
    <n v="0"/>
    <n v="0"/>
    <s v="Dólar "/>
    <s v=" U$S"/>
    <s v="MANTRA SA"/>
  </r>
  <r>
    <n v="19"/>
    <x v="376"/>
    <n v="0"/>
    <n v="4387.6899999999996"/>
    <s v="Dólar "/>
    <s v=" U$S"/>
    <s v="CRESUD S A COMERCIAL INMOBILIARIA FINANCIERA Y AGROPECUARIA"/>
  </r>
  <r>
    <n v="452"/>
    <x v="373"/>
    <n v="430.68"/>
    <n v="0"/>
    <s v="Dólar "/>
    <s v=" U$S"/>
    <s v="GRUPO DEL SUR SRL"/>
  </r>
  <r>
    <n v="19"/>
    <x v="376"/>
    <n v="8465.24"/>
    <n v="491.23"/>
    <s v="Dólar Cable"/>
    <s v=" U$S TT"/>
    <s v="CRESUD S A COMERCIAL INMOBILIARIA FINANCIERA Y AGROPECUARIA"/>
  </r>
  <r>
    <n v="525"/>
    <x v="381"/>
    <n v="0"/>
    <n v="0"/>
    <s v="Dólar Cable"/>
    <s v=" U$S TT"/>
    <s v="MANTRA SA"/>
  </r>
  <r>
    <n v="493"/>
    <x v="377"/>
    <n v="-0.02"/>
    <n v="0"/>
    <s v="Dólar Cable"/>
    <s v=" U$S TT"/>
    <s v="ARG DE GRAAF SA"/>
  </r>
  <r>
    <n v="155"/>
    <x v="376"/>
    <n v="67788.67"/>
    <n v="0"/>
    <s v="Dólar Matba Rofex"/>
    <s v=" U$S MR"/>
    <s v="CRESUD S A COMERCIAL INMOBILIARIA FINANCIERA Y AGROPECUARIA"/>
  </r>
  <r>
    <n v="19"/>
    <x v="376"/>
    <n v="-1316274.0900000001"/>
    <n v="1445581.74"/>
    <s v="Dólar Matba Rofex"/>
    <s v=" U$S MR"/>
    <s v="CRESUD S A COMERCIAL INMOBILIARIA FINANCIERA Y AGROPECUARIA"/>
  </r>
  <r>
    <n v="391"/>
    <x v="384"/>
    <n v="0"/>
    <n v="0"/>
    <s v="Dólar Matba Rofex"/>
    <s v=" U$S MR"/>
    <s v="DESVIO FUNKE SRL"/>
  </r>
  <r>
    <n v="272"/>
    <x v="387"/>
    <n v="0"/>
    <n v="10625"/>
    <s v="Dólar Matba Rofex"/>
    <s v=" U$S MR"/>
    <s v="ALEA Y CIA SOCIEDAD ANONIMA"/>
  </r>
  <r>
    <n v="195"/>
    <x v="376"/>
    <n v="1129883.51"/>
    <n v="0"/>
    <s v="Dólar Matba Rofex"/>
    <s v=" U$S MR"/>
    <s v="CRESUD S A COMERCIAL INMOBILIARIA FINANCIERA Y AGROPECUARIA"/>
  </r>
  <r>
    <n v="194"/>
    <x v="376"/>
    <n v="126701.91"/>
    <n v="0"/>
    <s v="Dólar Matba Rofex"/>
    <s v=" U$S MR"/>
    <s v="CRESUD S A COMERCIAL INMOBILIARIA FINANCIERA Y AGROPECUARIA"/>
  </r>
  <r>
    <n v="424"/>
    <x v="396"/>
    <n v="0"/>
    <n v="0"/>
    <s v="Pesos"/>
    <s v=" $"/>
    <s v="INSUMOS DEL CENTRO SA"/>
  </r>
  <r>
    <n v="480"/>
    <x v="397"/>
    <n v="0.28000000000000003"/>
    <n v="-0.01"/>
    <s v="Pesos"/>
    <s v=" $"/>
    <s v="FIORDANI DOUGLAS"/>
  </r>
  <r>
    <n v="513"/>
    <x v="398"/>
    <n v="485.34"/>
    <n v="0"/>
    <s v="Pesos"/>
    <s v=" $"/>
    <s v="CEREALES 25 DE MAYO SA"/>
  </r>
  <r>
    <n v="480"/>
    <x v="397"/>
    <n v="-0.49"/>
    <n v="0"/>
    <s v="Dólar "/>
    <s v=" U$S"/>
    <s v="FIORDANI DOUGLAS"/>
  </r>
  <r>
    <n v="480"/>
    <x v="397"/>
    <n v="0"/>
    <n v="0"/>
    <s v="Dólar Matba Rofex"/>
    <s v=" U$S MR"/>
    <s v="FIORDANI DOUGLAS"/>
  </r>
  <r>
    <n v="424"/>
    <x v="396"/>
    <n v="0"/>
    <n v="0"/>
    <s v="Dólar Matba Rofex"/>
    <s v=" U$S MR"/>
    <s v="INSUMOS DEL CENTRO SA"/>
  </r>
  <r>
    <n v="293"/>
    <x v="399"/>
    <n v="7.23"/>
    <n v="0"/>
    <s v="Pesos"/>
    <s v=" $"/>
    <s v="INTEGRAL ACOPIO SRL"/>
  </r>
  <r>
    <n v="293"/>
    <x v="399"/>
    <n v="8032.42"/>
    <n v="0"/>
    <s v="Dólar "/>
    <s v=" U$S"/>
    <s v="INTEGRAL ACOPIO SRL"/>
  </r>
  <r>
    <n v="293"/>
    <x v="399"/>
    <n v="0"/>
    <n v="7946.19"/>
    <s v="Dólar Matba Rofex"/>
    <s v=" U$S MR"/>
    <s v="INTEGRAL ACOPIO SRL"/>
  </r>
  <r>
    <n v="392"/>
    <x v="400"/>
    <n v="0.45"/>
    <n v="0.12"/>
    <s v="Pesos"/>
    <s v=" $"/>
    <s v="AGRO LEBEN SRL"/>
  </r>
  <r>
    <n v="381"/>
    <x v="401"/>
    <n v="0"/>
    <n v="0"/>
    <s v="Pesos"/>
    <s v=" $"/>
    <s v="ESPINDOLA RAUL RAMON"/>
  </r>
  <r>
    <n v="6073"/>
    <x v="402"/>
    <n v="0.78"/>
    <n v="0"/>
    <s v="Pesos"/>
    <s v=" $"/>
    <s v="PONZIO JOSE ADRIAN"/>
  </r>
  <r>
    <n v="538"/>
    <x v="403"/>
    <n v="0"/>
    <n v="0"/>
    <s v="Pesos"/>
    <s v=" $"/>
    <s v="ESPARTINA SA"/>
  </r>
  <r>
    <n v="5022"/>
    <x v="404"/>
    <n v="0"/>
    <n v="0"/>
    <s v="Pesos"/>
    <s v=" $"/>
    <s v="GMA CAPITAL SA"/>
  </r>
  <r>
    <n v="1038"/>
    <x v="405"/>
    <n v="0"/>
    <n v="0"/>
    <s v="Pesos"/>
    <s v=" $"/>
    <s v="BVSA SD PARAKEET RENTA PESOS FCI"/>
  </r>
  <r>
    <n v="5105"/>
    <x v="406"/>
    <n v="0"/>
    <n v="0"/>
    <s v="Pesos"/>
    <s v=" $"/>
    <s v="S&amp;C INVERSIONES SA"/>
  </r>
  <r>
    <n v="5008"/>
    <x v="407"/>
    <n v="0"/>
    <n v="0"/>
    <s v="Pesos"/>
    <s v=" $"/>
    <s v="PORTFOLIO INVESTMENT SA"/>
  </r>
  <r>
    <n v="5070"/>
    <x v="408"/>
    <n v="0"/>
    <n v="0"/>
    <s v="Pesos"/>
    <s v=" $"/>
    <s v="BANCO DE VALORES SA"/>
  </r>
  <r>
    <n v="432"/>
    <x v="409"/>
    <n v="2315.31"/>
    <n v="0.01"/>
    <s v="Pesos"/>
    <s v=" $"/>
    <s v="PAMPA BIO SA"/>
  </r>
  <r>
    <n v="511"/>
    <x v="410"/>
    <n v="8873379.2899999991"/>
    <n v="5278819.92"/>
    <s v="Pesos"/>
    <s v=" $"/>
    <s v="RURAL CERES SA"/>
  </r>
  <r>
    <n v="501"/>
    <x v="411"/>
    <n v="0.44"/>
    <n v="0"/>
    <s v="Pesos"/>
    <s v=" $"/>
    <s v="RUBEN ANTONIO GHERGO SRL"/>
  </r>
  <r>
    <n v="5086"/>
    <x v="412"/>
    <n v="0"/>
    <n v="0"/>
    <s v="Pesos"/>
    <s v=" $"/>
    <s v="INVIU SAU"/>
  </r>
  <r>
    <n v="5265"/>
    <x v="413"/>
    <n v="0"/>
    <n v="0"/>
    <s v="Pesos"/>
    <s v=" $"/>
    <s v="COCOS CAPITAL SA"/>
  </r>
  <r>
    <n v="517"/>
    <x v="414"/>
    <n v="0"/>
    <n v="0"/>
    <s v="Pesos"/>
    <s v=" $"/>
    <s v="LEON RABEY E HIJOS SRL"/>
  </r>
  <r>
    <n v="5265"/>
    <x v="413"/>
    <n v="0"/>
    <n v="0"/>
    <s v="Dólar "/>
    <s v=" U$S"/>
    <s v="COCOS CAPITAL SA"/>
  </r>
  <r>
    <n v="511"/>
    <x v="410"/>
    <n v="0"/>
    <n v="0"/>
    <s v="Dólar "/>
    <s v=" U$S"/>
    <s v="RURAL CERES SA"/>
  </r>
  <r>
    <n v="432"/>
    <x v="409"/>
    <n v="0"/>
    <n v="0"/>
    <s v="Dólar "/>
    <s v=" U$S"/>
    <s v="PAMPA BIO SA"/>
  </r>
  <r>
    <n v="6073"/>
    <x v="402"/>
    <n v="0"/>
    <n v="0"/>
    <s v="Dólar "/>
    <s v=" U$S"/>
    <s v="PONZIO JOSE ADRIAN"/>
  </r>
  <r>
    <n v="381"/>
    <x v="401"/>
    <n v="237.8"/>
    <n v="0"/>
    <s v="Dólar "/>
    <s v=" U$S"/>
    <s v="ESPINDOLA RAUL RAMON"/>
  </r>
  <r>
    <n v="392"/>
    <x v="400"/>
    <n v="0"/>
    <n v="0"/>
    <s v="Dólar "/>
    <s v=" U$S"/>
    <s v="AGRO LEBEN SRL"/>
  </r>
  <r>
    <n v="5022"/>
    <x v="404"/>
    <n v="0"/>
    <n v="0"/>
    <s v="Dólar Cable"/>
    <s v=" U$S TT"/>
    <s v="GMA CAPITAL SA"/>
  </r>
  <r>
    <n v="381"/>
    <x v="401"/>
    <n v="0"/>
    <n v="0"/>
    <s v="Dólar Matba Rofex"/>
    <s v=" U$S MR"/>
    <s v="ESPINDOLA RAUL RAMON"/>
  </r>
  <r>
    <n v="511"/>
    <x v="410"/>
    <n v="0"/>
    <n v="206627.77"/>
    <s v="Dólar Matba Rofex"/>
    <s v=" U$S MR"/>
    <s v="RURAL CERES SA"/>
  </r>
  <r>
    <n v="517"/>
    <x v="414"/>
    <n v="0"/>
    <n v="0"/>
    <s v="Dólar Matba Rofex"/>
    <s v=" U$S MR"/>
    <s v="LEON RABEY E HIJOS SRL"/>
  </r>
  <r>
    <n v="1014"/>
    <x v="415"/>
    <n v="0"/>
    <n v="0"/>
    <s v="Pesos"/>
    <s v=" $"/>
    <s v="BVSA SD ST PYMES FCI ABIERTO PYME"/>
  </r>
  <r>
    <n v="437"/>
    <x v="416"/>
    <n v="0"/>
    <n v="0"/>
    <s v="Pesos"/>
    <s v=" $"/>
    <s v="LALLI MIGUEL ANGEL"/>
  </r>
  <r>
    <n v="1015"/>
    <x v="417"/>
    <n v="0.18"/>
    <n v="0"/>
    <s v="Pesos"/>
    <s v=" $"/>
    <s v="BVSA SD SMSV RENTA EN PESOS FCI"/>
  </r>
  <r>
    <n v="382"/>
    <x v="418"/>
    <n v="107.95"/>
    <n v="0"/>
    <s v="Pesos"/>
    <s v=" $"/>
    <s v="BEARZOTTI GABRIEL CRISTIAN"/>
  </r>
  <r>
    <n v="418"/>
    <x v="419"/>
    <n v="0"/>
    <n v="0"/>
    <s v="Pesos"/>
    <s v=" $"/>
    <s v="PEREZ BRUGIAFREDDO ALEXIS"/>
  </r>
  <r>
    <n v="382"/>
    <x v="418"/>
    <n v="0"/>
    <n v="0"/>
    <s v="Dólar "/>
    <s v=" U$S"/>
    <s v="BEARZOTTI GABRIEL CRISTIAN"/>
  </r>
  <r>
    <n v="1015"/>
    <x v="417"/>
    <n v="0"/>
    <n v="0"/>
    <s v="Dólar Matba Rofex"/>
    <s v=" U$S MR"/>
    <s v="BVSA SD SMSV RENTA EN PESOS FCI"/>
  </r>
  <r>
    <n v="437"/>
    <x v="416"/>
    <n v="0"/>
    <n v="0"/>
    <s v="Dólar Matba Rofex"/>
    <s v=" U$S MR"/>
    <s v="LALLI MIGUEL ANGEL"/>
  </r>
  <r>
    <n v="1014"/>
    <x v="415"/>
    <n v="0"/>
    <n v="0"/>
    <s v="Dólar Matba Rofex"/>
    <s v=" U$S MR"/>
    <s v="BVSA SD ST PYMES FCI ABIERTO PYME"/>
  </r>
  <r>
    <n v="418"/>
    <x v="419"/>
    <n v="0"/>
    <n v="0"/>
    <s v="Dólar Matba Rofex"/>
    <s v=" U$S MR"/>
    <s v="PEREZ BRUGIAFREDDO ALEXIS"/>
  </r>
  <r>
    <n v="268"/>
    <x v="420"/>
    <n v="-10014665.74"/>
    <n v="0"/>
    <s v="Pesos"/>
    <s v=" $"/>
    <s v="COLOMBATTO BERNARDO VALENTIN"/>
  </r>
  <r>
    <n v="268"/>
    <x v="420"/>
    <n v="81.72"/>
    <n v="0"/>
    <s v="Dólar "/>
    <s v=" U$S"/>
    <s v="COLOMBATTO BERNARDO VALENTIN"/>
  </r>
  <r>
    <n v="202"/>
    <x v="421"/>
    <n v="-129405.5"/>
    <n v="0"/>
    <s v="Pesos"/>
    <s v=" $"/>
    <s v="COFCO INTERNATIONAL ARGENTINA SA"/>
  </r>
  <r>
    <n v="202"/>
    <x v="421"/>
    <n v="-425"/>
    <n v="0"/>
    <s v="Dólar Matba Rofex"/>
    <s v=" U$S MR"/>
    <s v="COFCO INTERNATIONAL ARGENTINA SA"/>
  </r>
  <r>
    <n v="496"/>
    <x v="422"/>
    <n v="0"/>
    <n v="0"/>
    <s v="Pesos"/>
    <s v=" $"/>
    <s v="GARCIA JOSE LUIS"/>
  </r>
  <r>
    <n v="496"/>
    <x v="422"/>
    <n v="0"/>
    <n v="0"/>
    <s v="Dólar "/>
    <s v=" U$S"/>
    <s v="GARCIA JOSE LUIS"/>
  </r>
  <r>
    <n v="507"/>
    <x v="423"/>
    <n v="0"/>
    <n v="0.01"/>
    <s v="Pesos"/>
    <s v=" $"/>
    <s v="OBRING SA"/>
  </r>
  <r>
    <n v="519"/>
    <x v="424"/>
    <n v="-3132.63"/>
    <n v="0"/>
    <s v="Pesos"/>
    <s v=" $"/>
    <s v="FOGANTE GERMAN ARIEL"/>
  </r>
  <r>
    <n v="541"/>
    <x v="425"/>
    <n v="0"/>
    <n v="0"/>
    <s v="Pesos"/>
    <s v=" $"/>
    <s v="PELAYO AGRONOMIA SA"/>
  </r>
  <r>
    <n v="535"/>
    <x v="426"/>
    <n v="0"/>
    <n v="0"/>
    <s v="Pesos"/>
    <s v=" $"/>
    <s v="GIMBATTI FERNANDO DIEGO"/>
  </r>
  <r>
    <n v="543"/>
    <x v="427"/>
    <n v="-364517.22"/>
    <n v="-0.01"/>
    <s v="Pesos"/>
    <s v=" $"/>
    <s v="GALLEANO GUSTAVO EDUARDO"/>
  </r>
  <r>
    <n v="545"/>
    <x v="428"/>
    <n v="2576148.7799999998"/>
    <n v="-0.01"/>
    <s v="Pesos"/>
    <s v=" $"/>
    <s v="ELORZA AGRO SRL"/>
  </r>
  <r>
    <n v="520"/>
    <x v="429"/>
    <n v="-758.24"/>
    <n v="0"/>
    <s v="Pesos"/>
    <s v=" $"/>
    <s v="MANIAGRO SA"/>
  </r>
  <r>
    <n v="6004"/>
    <x v="430"/>
    <n v="0"/>
    <n v="0"/>
    <s v="Pesos"/>
    <s v=" $"/>
    <s v="BEARZOTTI DELFINA"/>
  </r>
  <r>
    <n v="551"/>
    <x v="431"/>
    <n v="-4391.26"/>
    <n v="0"/>
    <s v="Pesos"/>
    <s v=" $"/>
    <s v="PROLIP SRL"/>
  </r>
  <r>
    <n v="307"/>
    <x v="432"/>
    <n v="0"/>
    <n v="0.19"/>
    <s v="Pesos"/>
    <s v=" $"/>
    <s v="R J GAGLIARDO S A"/>
  </r>
  <r>
    <n v="372"/>
    <x v="433"/>
    <n v="0"/>
    <n v="49066560"/>
    <s v="Pesos"/>
    <s v=" $"/>
    <s v="COOPERATIVA DE TAMBEROS LA TORDILLA LTDA"/>
  </r>
  <r>
    <n v="6004"/>
    <x v="430"/>
    <n v="1.05"/>
    <n v="0"/>
    <s v="Dólar "/>
    <s v=" U$S"/>
    <s v="BEARZOTTI DELFINA"/>
  </r>
  <r>
    <n v="543"/>
    <x v="427"/>
    <n v="14444.73"/>
    <n v="0"/>
    <s v="Dólar "/>
    <s v=" U$S"/>
    <s v="GALLEANO GUSTAVO EDUARDO"/>
  </r>
  <r>
    <n v="535"/>
    <x v="426"/>
    <n v="0"/>
    <n v="0"/>
    <s v="Dólar "/>
    <s v=" U$S"/>
    <s v="GIMBATTI FERNANDO DIEGO"/>
  </r>
  <r>
    <n v="535"/>
    <x v="426"/>
    <n v="0.39"/>
    <n v="0"/>
    <s v="Dólar Cable"/>
    <s v=" U$S TT"/>
    <s v="GIMBATTI FERNANDO DIEGO"/>
  </r>
  <r>
    <n v="543"/>
    <x v="427"/>
    <n v="0.92"/>
    <n v="0"/>
    <s v="Dólar Cable"/>
    <s v=" U$S TT"/>
    <s v="GALLEANO GUSTAVO EDUARDO"/>
  </r>
  <r>
    <n v="519"/>
    <x v="424"/>
    <n v="0.04"/>
    <n v="0"/>
    <s v="Dólar Cable"/>
    <s v=" U$S TT"/>
    <s v="FOGANTE GERMAN ARIEL"/>
  </r>
  <r>
    <n v="545"/>
    <x v="428"/>
    <n v="0"/>
    <n v="0"/>
    <s v="Dólar Matba Rofex"/>
    <s v=" U$S MR"/>
    <s v="ELORZA AGRO SRL"/>
  </r>
  <r>
    <n v="546"/>
    <x v="434"/>
    <n v="0"/>
    <n v="0"/>
    <s v="Pesos"/>
    <s v=" $"/>
    <s v="SANTA MORENA SA"/>
  </r>
  <r>
    <n v="153"/>
    <x v="435"/>
    <n v="0.63"/>
    <n v="0"/>
    <s v="Pesos"/>
    <s v=" $"/>
    <s v="CAIO BIBILONI Y CIA S.R.L."/>
  </r>
  <r>
    <n v="508"/>
    <x v="436"/>
    <n v="-0.24"/>
    <n v="0"/>
    <s v="Pesos"/>
    <s v=" $"/>
    <s v="FIDEICOMISO BENEVENTO"/>
  </r>
  <r>
    <n v="510"/>
    <x v="437"/>
    <n v="0"/>
    <n v="0"/>
    <s v="Pesos"/>
    <s v=" $"/>
    <s v="FIORDANI CAROLA"/>
  </r>
  <r>
    <n v="505"/>
    <x v="438"/>
    <n v="-6134.13"/>
    <n v="0"/>
    <s v="Pesos"/>
    <s v=" $"/>
    <s v="GUAZZARONI GRECO SA"/>
  </r>
  <r>
    <n v="106"/>
    <x v="439"/>
    <n v="-129026784.33"/>
    <n v="0"/>
    <s v="Pesos"/>
    <s v=" $"/>
    <s v="CEREALISTA MOLDES SA"/>
  </r>
  <r>
    <n v="70"/>
    <x v="440"/>
    <n v="0"/>
    <n v="0"/>
    <s v="Pesos"/>
    <s v=" $"/>
    <s v="VG SA"/>
  </r>
  <r>
    <n v="463"/>
    <x v="441"/>
    <n v="-710.98"/>
    <n v="0"/>
    <s v="Pesos"/>
    <s v=" $"/>
    <s v="RUBIO AGUIRRE MANUEL JULIÁN"/>
  </r>
  <r>
    <n v="487"/>
    <x v="442"/>
    <n v="-2191.58"/>
    <n v="0"/>
    <s v="Pesos"/>
    <s v=" $"/>
    <s v="ACOPIO BALCARCE SA"/>
  </r>
  <r>
    <n v="20"/>
    <x v="443"/>
    <n v="0"/>
    <n v="-0.01"/>
    <s v="Pesos"/>
    <s v=" $"/>
    <s v="CUSILLOS SRL"/>
  </r>
  <r>
    <n v="83"/>
    <x v="444"/>
    <n v="8.69"/>
    <n v="0"/>
    <s v="Pesos"/>
    <s v=" $"/>
    <s v="AGRO URANGA SA"/>
  </r>
  <r>
    <n v="24"/>
    <x v="445"/>
    <n v="1508466.63"/>
    <n v="0.05"/>
    <s v="Pesos"/>
    <s v=" $"/>
    <s v="DON OSVALDO SA"/>
  </r>
  <r>
    <n v="38"/>
    <x v="446"/>
    <n v="-1885000"/>
    <n v="126000001.78"/>
    <s v="Pesos"/>
    <s v=" $"/>
    <s v="GAGLIARDO AGRICOLA GANADERA S.A."/>
  </r>
  <r>
    <n v="554"/>
    <x v="447"/>
    <n v="402898358.26999998"/>
    <n v="0"/>
    <s v="Pesos"/>
    <s v=" $"/>
    <s v="DOMINGO R Y NESTOR SCIOLI SA"/>
  </r>
  <r>
    <n v="9000"/>
    <x v="448"/>
    <n v="-17854.169999999998"/>
    <n v="0"/>
    <s v="Pesos"/>
    <s v=" $"/>
    <s v="SOUTHERN SEEDS PRODUCTION SA (CERA)"/>
  </r>
  <r>
    <n v="6014"/>
    <x v="449"/>
    <n v="5168.87"/>
    <n v="0"/>
    <s v="Pesos"/>
    <s v=" $"/>
    <s v="AVANZAR  S. A."/>
  </r>
  <r>
    <n v="6009"/>
    <x v="450"/>
    <n v="21423.599999999999"/>
    <n v="0"/>
    <s v="Pesos"/>
    <s v=" $"/>
    <s v="BUFI JORGE DOMINGO"/>
  </r>
  <r>
    <n v="6011"/>
    <x v="451"/>
    <n v="-162797280.74000001"/>
    <n v="0"/>
    <s v="Pesos"/>
    <s v=" $"/>
    <s v="AGROPECUARIA CARPEDIEM S.A"/>
  </r>
  <r>
    <n v="6013"/>
    <x v="452"/>
    <n v="-1013623410.11"/>
    <n v="0"/>
    <s v="Pesos"/>
    <s v=" $"/>
    <s v="SOUTHERN SEEDS PRODUCTION S.A."/>
  </r>
  <r>
    <n v="6048"/>
    <x v="453"/>
    <n v="0"/>
    <n v="0"/>
    <s v="Pesos"/>
    <s v=" $"/>
    <s v="MARTINEZ MARCELO DANIEL"/>
  </r>
  <r>
    <n v="6054"/>
    <x v="454"/>
    <n v="129819.79"/>
    <n v="0"/>
    <s v="Pesos"/>
    <s v=" $"/>
    <n v="13009"/>
  </r>
  <r>
    <n v="6051"/>
    <x v="455"/>
    <n v="-656727714.64999998"/>
    <n v="0"/>
    <s v="Pesos"/>
    <s v=" $"/>
    <s v="COOPERATIVA AGRICOLA GANADERA Y DE SERVICIOS PUBLICOS ARANGUREN LTDA. (COOPAR)"/>
  </r>
  <r>
    <n v="9001"/>
    <x v="456"/>
    <n v="-6813.76"/>
    <n v="0"/>
    <s v="Pesos"/>
    <s v=" $"/>
    <s v="AGROPECUARIA CARPEDIEM SA (CERA)"/>
  </r>
  <r>
    <n v="6033"/>
    <x v="457"/>
    <n v="-41639.89"/>
    <n v="0"/>
    <s v="Pesos"/>
    <s v=" $"/>
    <s v="PERONI JUAN CARLOS"/>
  </r>
  <r>
    <n v="185"/>
    <x v="439"/>
    <n v="29026784.329999998"/>
    <n v="0"/>
    <s v="Pesos"/>
    <s v=" $"/>
    <s v="CEREALISTA MOLDES SA"/>
  </r>
  <r>
    <n v="379"/>
    <x v="458"/>
    <n v="15256575.859999999"/>
    <n v="0.02"/>
    <s v="Pesos"/>
    <s v=" $"/>
    <s v="S.L.AGRO NECOCHEA SRL"/>
  </r>
  <r>
    <n v="415"/>
    <x v="459"/>
    <n v="0"/>
    <n v="0"/>
    <s v="Pesos"/>
    <s v=" $"/>
    <s v="DON ISIDRO SA"/>
  </r>
  <r>
    <n v="363"/>
    <x v="460"/>
    <n v="0"/>
    <n v="0.03"/>
    <s v="Pesos"/>
    <s v=" $"/>
    <s v="AGROLAM SA"/>
  </r>
  <r>
    <n v="6094"/>
    <x v="461"/>
    <n v="-2939.02"/>
    <n v="0"/>
    <s v="Pesos"/>
    <s v=" $"/>
    <s v="GAVIÑA GOMEZ VALENTIN"/>
  </r>
  <r>
    <n v="287"/>
    <x v="462"/>
    <n v="-645417561.41999996"/>
    <n v="9343749.9800000004"/>
    <s v="Pesos"/>
    <s v=" $"/>
    <s v="AGROPECUARIA SUR SA"/>
  </r>
  <r>
    <n v="6079"/>
    <x v="463"/>
    <n v="-586215.6"/>
    <n v="0"/>
    <s v="Pesos"/>
    <s v=" $"/>
    <s v="SEMILLERA FUERTES S A"/>
  </r>
  <r>
    <n v="6084"/>
    <x v="464"/>
    <n v="-45955.41"/>
    <n v="0"/>
    <s v="Pesos"/>
    <s v=" $"/>
    <s v="LAS LAGUNAS Y ASOCIADOS SA"/>
  </r>
  <r>
    <n v="6079"/>
    <x v="463"/>
    <n v="0"/>
    <n v="0"/>
    <s v="Dólar "/>
    <s v=" U$S"/>
    <s v="SEMILLERA FUERTES S A"/>
  </r>
  <r>
    <n v="287"/>
    <x v="462"/>
    <n v="1064.4000000000001"/>
    <n v="1604.01"/>
    <s v="Dólar "/>
    <s v=" U$S"/>
    <s v="AGROPECUARIA SUR SA"/>
  </r>
  <r>
    <n v="6094"/>
    <x v="461"/>
    <n v="19906.72"/>
    <n v="0"/>
    <s v="Dólar "/>
    <s v=" U$S"/>
    <s v="GAVIÑA GOMEZ VALENTIN"/>
  </r>
  <r>
    <n v="415"/>
    <x v="459"/>
    <n v="0.8"/>
    <n v="0"/>
    <s v="Dólar "/>
    <s v=" U$S"/>
    <s v="DON ISIDRO SA"/>
  </r>
  <r>
    <n v="379"/>
    <x v="458"/>
    <n v="45504.55"/>
    <n v="0"/>
    <s v="Dólar "/>
    <s v=" U$S"/>
    <s v="S.L.AGRO NECOCHEA SRL"/>
  </r>
  <r>
    <n v="185"/>
    <x v="439"/>
    <n v="0"/>
    <n v="0"/>
    <s v="Dólar "/>
    <s v=" U$S"/>
    <s v="CEREALISTA MOLDES SA"/>
  </r>
  <r>
    <n v="6033"/>
    <x v="457"/>
    <n v="480.68"/>
    <n v="0"/>
    <s v="Dólar "/>
    <s v=" U$S"/>
    <s v="PERONI JUAN CARLOS"/>
  </r>
  <r>
    <n v="9001"/>
    <x v="456"/>
    <n v="0"/>
    <n v="0"/>
    <s v="Dólar "/>
    <s v=" U$S"/>
    <s v="AGROPECUARIA CARPEDIEM SA (CERA)"/>
  </r>
  <r>
    <n v="6051"/>
    <x v="455"/>
    <n v="200.33"/>
    <n v="0"/>
    <s v="Dólar "/>
    <s v=" U$S"/>
    <s v="COOPERATIVA AGRICOLA GANADERA Y DE SERVICIOS PUBLICOS ARANGUREN LTDA. (COOPAR)"/>
  </r>
  <r>
    <n v="6013"/>
    <x v="452"/>
    <n v="0"/>
    <n v="0"/>
    <s v="Dólar "/>
    <s v=" U$S"/>
    <s v="SOUTHERN SEEDS PRODUCTION S.A."/>
  </r>
  <r>
    <n v="6011"/>
    <x v="451"/>
    <n v="3728.59"/>
    <n v="0"/>
    <s v="Dólar "/>
    <s v=" U$S"/>
    <s v="AGROPECUARIA CARPEDIEM S.A"/>
  </r>
  <r>
    <n v="6009"/>
    <x v="450"/>
    <n v="35.380000000000003"/>
    <n v="0"/>
    <s v="Dólar "/>
    <s v=" U$S"/>
    <s v="BUFI JORGE DOMINGO"/>
  </r>
  <r>
    <n v="9000"/>
    <x v="448"/>
    <n v="0"/>
    <n v="0"/>
    <s v="Dólar "/>
    <s v=" U$S"/>
    <s v="SOUTHERN SEEDS PRODUCTION SA (CERA)"/>
  </r>
  <r>
    <n v="554"/>
    <x v="447"/>
    <n v="0.48"/>
    <n v="0"/>
    <s v="Dólar "/>
    <s v=" U$S"/>
    <s v="DOMINGO R Y NESTOR SCIOLI SA"/>
  </r>
  <r>
    <n v="24"/>
    <x v="445"/>
    <n v="0"/>
    <n v="0"/>
    <s v="Dólar "/>
    <s v=" U$S"/>
    <s v="DON OSVALDO SA"/>
  </r>
  <r>
    <n v="20"/>
    <x v="443"/>
    <n v="3613.43"/>
    <n v="0"/>
    <s v="Dólar "/>
    <s v=" U$S"/>
    <s v="CUSILLOS SRL"/>
  </r>
  <r>
    <n v="487"/>
    <x v="442"/>
    <n v="0.25"/>
    <n v="0"/>
    <s v="Dólar "/>
    <s v=" U$S"/>
    <s v="ACOPIO BALCARCE SA"/>
  </r>
  <r>
    <n v="463"/>
    <x v="441"/>
    <n v="0"/>
    <n v="0"/>
    <s v="Dólar "/>
    <s v=" U$S"/>
    <s v="RUBIO AGUIRRE MANUEL JULIÁN"/>
  </r>
  <r>
    <n v="70"/>
    <x v="440"/>
    <n v="0"/>
    <n v="0"/>
    <s v="Dólar "/>
    <s v=" U$S"/>
    <s v="VG SA"/>
  </r>
  <r>
    <n v="106"/>
    <x v="439"/>
    <n v="0.17"/>
    <n v="0"/>
    <s v="Dólar "/>
    <s v=" U$S"/>
    <s v="CEREALISTA MOLDES SA"/>
  </r>
  <r>
    <n v="510"/>
    <x v="437"/>
    <n v="0"/>
    <n v="0"/>
    <s v="Dólar "/>
    <s v=" U$S"/>
    <s v="FIORDANI CAROLA"/>
  </r>
  <r>
    <n v="153"/>
    <x v="435"/>
    <n v="91.94"/>
    <n v="0"/>
    <s v="Dólar "/>
    <s v=" U$S"/>
    <s v="CAIO BIBILONI Y CIA S.R.L."/>
  </r>
  <r>
    <n v="20"/>
    <x v="443"/>
    <n v="3.64"/>
    <n v="0"/>
    <s v="Dólar Cable"/>
    <s v=" U$S TT"/>
    <s v="CUSILLOS SRL"/>
  </r>
  <r>
    <n v="83"/>
    <x v="444"/>
    <n v="0"/>
    <n v="0"/>
    <s v="Dólar Cable"/>
    <s v=" U$S TT"/>
    <s v="AGRO URANGA S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5CBA320-2A64-4000-9F2B-340A4CCF5287}" name="TablaDinámica1" cacheId="76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compact="0" compactData="0" multipleFieldFilters="0">
  <location ref="A2:A9" firstHeaderRow="1" firstDataRow="1" firstDataCol="1"/>
  <pivotFields count="20">
    <pivotField axis="axisRow" compact="0" outline="0" showAll="0" defaultSubtotal="0">
      <items count="11">
        <item x="6"/>
        <item m="1" x="7"/>
        <item m="1" x="8"/>
        <item m="1" x="9"/>
        <item m="1" x="10"/>
        <item x="1"/>
        <item x="2"/>
        <item x="3"/>
        <item x="5"/>
        <item x="0"/>
        <item x="4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</pivotFields>
  <rowFields count="1">
    <field x="0"/>
  </rowFields>
  <rowItems count="7">
    <i>
      <x/>
    </i>
    <i>
      <x v="5"/>
    </i>
    <i>
      <x v="6"/>
    </i>
    <i>
      <x v="7"/>
    </i>
    <i>
      <x v="8"/>
    </i>
    <i>
      <x v="9"/>
    </i>
    <i>
      <x v="10"/>
    </i>
  </rowItems>
  <colItems count="1">
    <i/>
  </colItems>
  <formats count="1">
    <format dxfId="58">
      <pivotArea field="0" type="button" dataOnly="0" labelOnly="1" outline="0" axis="axisRow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E93A903-A3DB-48A8-A3F6-5CD60DDDF479}" name="TablaDinámica2" cacheId="80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outline="1" outlineData="1" multipleFieldFilters="0">
  <location ref="A4:H10" firstHeaderRow="0" firstDataRow="1" firstDataCol="1"/>
  <pivotFields count="85">
    <pivotField axis="axisRow" showAll="0" defaultSubtotal="0">
      <items count="11">
        <item h="1" x="6"/>
        <item m="1" x="7"/>
        <item m="1" x="8"/>
        <item m="1" x="9"/>
        <item m="1" x="10"/>
        <item x="1"/>
        <item x="2"/>
        <item x="3"/>
        <item x="5"/>
        <item x="0"/>
        <item x="4"/>
      </items>
    </pivotField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</pivotFields>
  <rowFields count="1">
    <field x="0"/>
  </rowFields>
  <rowItems count="6">
    <i>
      <x v="5"/>
    </i>
    <i>
      <x v="6"/>
    </i>
    <i>
      <x v="7"/>
    </i>
    <i>
      <x v="8"/>
    </i>
    <i>
      <x v="9"/>
    </i>
    <i>
      <x v="10"/>
    </i>
  </rowItems>
  <colFields count="1">
    <field x="-2"/>
  </colFields>
  <colItems count="7">
    <i>
      <x/>
    </i>
    <i i="1">
      <x v="1"/>
    </i>
    <i i="2">
      <x v="2"/>
    </i>
    <i i="3">
      <x v="3"/>
    </i>
    <i i="4">
      <x v="4"/>
    </i>
    <i i="5">
      <x v="5"/>
    </i>
    <i i="6">
      <x v="6"/>
    </i>
  </colItems>
  <dataFields count="7">
    <dataField name="Suma de DF -30%" fld="63" baseField="0" baseItem="0"/>
    <dataField name="Suma de DF -20%" fld="64" baseField="0" baseItem="0"/>
    <dataField name="Suma de DF -10%" fld="65" baseField="0" baseItem="0"/>
    <dataField name="Suma de DF 0%" fld="66" baseField="0" baseItem="0"/>
    <dataField name="Suma de DF 10%" fld="67" baseField="0" baseItem="0"/>
    <dataField name="Suma de DF 20%" fld="68" baseField="0" baseItem="0"/>
    <dataField name="Suma de DF 30%" fld="69" baseField="0" baseItem="0"/>
  </dataFields>
  <formats count="1">
    <format dxfId="57">
      <pivotArea dataOnly="0" labelOnly="1" fieldPosition="0">
        <references count="1">
          <reference field="0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6CA984E-27F7-464F-ADDA-DF13B1A4F936}" name="TablaDinámica1" cacheId="8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M5:N471" firstHeaderRow="1" firstDataRow="1" firstDataCol="1"/>
  <pivotFields count="7">
    <pivotField showAll="0"/>
    <pivotField axis="axisRow" showAll="0">
      <items count="528">
        <item x="320"/>
        <item m="1" x="484"/>
        <item x="442"/>
        <item x="6"/>
        <item m="1" x="492"/>
        <item x="79"/>
        <item m="1" x="478"/>
        <item m="1" x="523"/>
        <item x="385"/>
        <item x="111"/>
        <item x="143"/>
        <item x="353"/>
        <item x="303"/>
        <item x="190"/>
        <item x="400"/>
        <item x="167"/>
        <item x="444"/>
        <item x="291"/>
        <item m="1" x="518"/>
        <item x="294"/>
        <item m="1" x="468"/>
        <item x="218"/>
        <item x="460"/>
        <item x="134"/>
        <item x="74"/>
        <item x="126"/>
        <item x="451"/>
        <item x="456"/>
        <item x="237"/>
        <item x="115"/>
        <item x="118"/>
        <item x="215"/>
        <item x="289"/>
        <item x="174"/>
        <item x="107"/>
        <item x="296"/>
        <item m="1" x="513"/>
        <item x="462"/>
        <item x="73"/>
        <item m="1" x="499"/>
        <item x="185"/>
        <item m="1" x="490"/>
        <item m="1" x="471"/>
        <item x="108"/>
        <item x="109"/>
        <item x="21"/>
        <item x="168"/>
        <item m="1" x="520"/>
        <item x="387"/>
        <item x="15"/>
        <item m="1" x="491"/>
        <item x="208"/>
        <item x="191"/>
        <item x="16"/>
        <item x="92"/>
        <item x="377"/>
        <item x="130"/>
        <item x="389"/>
        <item x="244"/>
        <item x="449"/>
        <item x="285"/>
        <item x="17"/>
        <item x="9"/>
        <item x="49"/>
        <item x="50"/>
        <item x="48"/>
        <item x="5"/>
        <item x="18"/>
        <item x="332"/>
        <item x="333"/>
        <item x="56"/>
        <item x="269"/>
        <item m="1" x="493"/>
        <item x="374"/>
        <item x="375"/>
        <item x="11"/>
        <item x="47"/>
        <item x="60"/>
        <item x="378"/>
        <item m="1" x="515"/>
        <item m="1" x="514"/>
        <item x="379"/>
        <item x="430"/>
        <item x="418"/>
        <item x="359"/>
        <item x="286"/>
        <item x="275"/>
        <item x="267"/>
        <item x="213"/>
        <item x="226"/>
        <item m="1" x="481"/>
        <item x="106"/>
        <item m="1" x="469"/>
        <item m="1" x="511"/>
        <item m="1" x="502"/>
        <item x="344"/>
        <item x="343"/>
        <item x="252"/>
        <item x="302"/>
        <item x="450"/>
        <item x="390"/>
        <item m="1" x="487"/>
        <item x="417"/>
        <item x="415"/>
        <item x="307"/>
        <item x="435"/>
        <item x="116"/>
        <item m="1" x="495"/>
        <item x="350"/>
        <item x="121"/>
        <item x="272"/>
        <item x="292"/>
        <item x="223"/>
        <item x="114"/>
        <item x="259"/>
        <item x="322"/>
        <item x="222"/>
        <item x="124"/>
        <item m="1" x="498"/>
        <item x="96"/>
        <item x="398"/>
        <item x="306"/>
        <item x="439"/>
        <item m="1" x="488"/>
        <item x="85"/>
        <item x="98"/>
        <item x="84"/>
        <item x="86"/>
        <item x="253"/>
        <item m="1" x="500"/>
        <item x="64"/>
        <item x="212"/>
        <item x="211"/>
        <item x="117"/>
        <item x="370"/>
        <item m="1" x="501"/>
        <item x="413"/>
        <item x="421"/>
        <item x="7"/>
        <item x="420"/>
        <item x="1"/>
        <item x="159"/>
        <item m="1" x="479"/>
        <item x="45"/>
        <item x="69"/>
        <item x="299"/>
        <item x="93"/>
        <item x="270"/>
        <item x="376"/>
        <item x="51"/>
        <item x="55"/>
        <item x="180"/>
        <item x="443"/>
        <item x="44"/>
        <item m="1" x="508"/>
        <item x="88"/>
        <item x="384"/>
        <item x="197"/>
        <item x="123"/>
        <item x="71"/>
        <item x="162"/>
        <item x="310"/>
        <item x="216"/>
        <item x="447"/>
        <item x="135"/>
        <item m="1" x="505"/>
        <item x="459"/>
        <item m="1" x="517"/>
        <item x="445"/>
        <item m="1" x="503"/>
        <item m="1" x="489"/>
        <item x="176"/>
        <item x="112"/>
        <item x="316"/>
        <item x="273"/>
        <item x="171"/>
        <item x="304"/>
        <item x="348"/>
        <item x="325"/>
        <item x="175"/>
        <item x="113"/>
        <item x="122"/>
        <item x="145"/>
        <item x="256"/>
        <item x="428"/>
        <item x="3"/>
        <item x="360"/>
        <item x="403"/>
        <item x="401"/>
        <item x="202"/>
        <item m="1" x="480"/>
        <item x="362"/>
        <item x="189"/>
        <item m="1" x="472"/>
        <item x="172"/>
        <item x="331"/>
        <item x="139"/>
        <item x="195"/>
        <item x="365"/>
        <item x="99"/>
        <item x="336"/>
        <item x="260"/>
        <item x="382"/>
        <item x="383"/>
        <item x="321"/>
        <item x="328"/>
        <item x="104"/>
        <item x="75"/>
        <item x="305"/>
        <item x="436"/>
        <item x="102"/>
        <item m="1" x="465"/>
        <item x="437"/>
        <item x="397"/>
        <item x="201"/>
        <item x="94"/>
        <item x="392"/>
        <item x="152"/>
        <item x="329"/>
        <item x="424"/>
        <item x="366"/>
        <item x="274"/>
        <item m="1" x="510"/>
        <item x="309"/>
        <item x="254"/>
        <item x="257"/>
        <item x="250"/>
        <item x="446"/>
        <item x="219"/>
        <item x="330"/>
        <item x="2"/>
        <item x="427"/>
        <item x="207"/>
        <item x="422"/>
        <item x="364"/>
        <item x="363"/>
        <item x="204"/>
        <item m="1" x="512"/>
        <item x="231"/>
        <item x="209"/>
        <item x="12"/>
        <item x="323"/>
        <item x="136"/>
        <item x="426"/>
        <item x="352"/>
        <item x="347"/>
        <item x="404"/>
        <item x="278"/>
        <item x="276"/>
        <item x="192"/>
        <item x="217"/>
        <item x="293"/>
        <item x="327"/>
        <item x="324"/>
        <item x="140"/>
        <item x="90"/>
        <item x="297"/>
        <item x="373"/>
        <item x="150"/>
        <item x="438"/>
        <item x="170"/>
        <item x="210"/>
        <item x="141"/>
        <item x="158"/>
        <item m="1" x="524"/>
        <item x="70"/>
        <item x="268"/>
        <item x="46"/>
        <item x="91"/>
        <item x="313"/>
        <item x="194"/>
        <item x="396"/>
        <item x="236"/>
        <item x="283"/>
        <item x="412"/>
        <item x="290"/>
        <item x="87"/>
        <item x="77"/>
        <item x="137"/>
        <item x="67"/>
        <item x="182"/>
        <item x="358"/>
        <item x="101"/>
        <item x="76"/>
        <item x="10"/>
        <item x="161"/>
        <item x="318"/>
        <item x="187"/>
        <item x="169"/>
        <item x="138"/>
        <item x="78"/>
        <item x="416"/>
        <item x="255"/>
        <item x="232"/>
        <item x="248"/>
        <item x="19"/>
        <item x="354"/>
        <item x="414"/>
        <item x="165"/>
        <item x="72"/>
        <item x="183"/>
        <item x="61"/>
        <item x="224"/>
        <item x="295"/>
        <item x="119"/>
        <item x="198"/>
        <item m="1" x="476"/>
        <item m="1" x="496"/>
        <item x="263"/>
        <item x="264"/>
        <item x="151"/>
        <item x="266"/>
        <item x="163"/>
        <item x="337"/>
        <item x="346"/>
        <item x="393"/>
        <item x="429"/>
        <item x="381"/>
        <item x="229"/>
        <item x="100"/>
        <item x="83"/>
        <item x="388"/>
        <item x="200"/>
        <item x="149"/>
        <item m="1" x="477"/>
        <item x="315"/>
        <item x="349"/>
        <item x="8"/>
        <item x="277"/>
        <item x="193"/>
        <item m="1" x="470"/>
        <item x="186"/>
        <item x="369"/>
        <item m="1" x="474"/>
        <item x="372"/>
        <item x="148"/>
        <item x="131"/>
        <item x="335"/>
        <item x="221"/>
        <item x="386"/>
        <item x="125"/>
        <item x="391"/>
        <item x="228"/>
        <item x="271"/>
        <item x="243"/>
        <item x="154"/>
        <item x="280"/>
        <item x="356"/>
        <item x="127"/>
        <item x="214"/>
        <item x="247"/>
        <item x="423"/>
        <item x="105"/>
        <item m="1" x="526"/>
        <item x="298"/>
        <item x="279"/>
        <item x="164"/>
        <item x="409"/>
        <item x="245"/>
        <item x="68"/>
        <item x="425"/>
        <item x="419"/>
        <item x="20"/>
        <item x="89"/>
        <item m="1" x="494"/>
        <item x="367"/>
        <item x="199"/>
        <item m="1" x="521"/>
        <item x="262"/>
        <item x="166"/>
        <item x="225"/>
        <item x="340"/>
        <item x="431"/>
        <item x="155"/>
        <item x="52"/>
        <item x="156"/>
        <item x="432"/>
        <item x="181"/>
        <item m="1" x="509"/>
        <item x="157"/>
        <item x="177"/>
        <item x="142"/>
        <item x="54"/>
        <item x="53"/>
        <item x="288"/>
        <item x="103"/>
        <item x="205"/>
        <item x="411"/>
        <item x="441"/>
        <item x="188"/>
        <item x="410"/>
        <item m="1" x="507"/>
        <item x="458"/>
        <item x="62"/>
        <item x="110"/>
        <item x="173"/>
        <item x="120"/>
        <item x="434"/>
        <item x="300"/>
        <item x="261"/>
        <item x="133"/>
        <item x="0"/>
        <item m="1" x="516"/>
        <item x="258"/>
        <item m="1" x="519"/>
        <item x="317"/>
        <item x="249"/>
        <item x="361"/>
        <item x="63"/>
        <item x="357"/>
        <item x="265"/>
        <item m="1" x="522"/>
        <item x="311"/>
        <item x="129"/>
        <item x="452"/>
        <item x="448"/>
        <item x="95"/>
        <item x="196"/>
        <item x="282"/>
        <item x="178"/>
        <item x="341"/>
        <item x="246"/>
        <item x="371"/>
        <item x="203"/>
        <item x="97"/>
        <item x="153"/>
        <item x="345"/>
        <item x="395"/>
        <item x="326"/>
        <item x="233"/>
        <item x="312"/>
        <item x="227"/>
        <item x="220"/>
        <item x="66"/>
        <item x="160"/>
        <item x="338"/>
        <item x="65"/>
        <item x="342"/>
        <item x="4"/>
        <item x="128"/>
        <item m="1" x="506"/>
        <item x="206"/>
        <item x="351"/>
        <item x="339"/>
        <item x="179"/>
        <item m="1" x="497"/>
        <item x="230"/>
        <item x="281"/>
        <item x="319"/>
        <item x="394"/>
        <item n="ZORZON" x="355"/>
        <item x="380"/>
        <item m="1" x="504"/>
        <item m="1" x="466"/>
        <item x="314"/>
        <item x="399"/>
        <item m="1" x="525"/>
        <item x="147"/>
        <item x="238"/>
        <item x="13"/>
        <item x="14"/>
        <item x="22"/>
        <item x="59"/>
        <item x="81"/>
        <item x="82"/>
        <item x="80"/>
        <item x="132"/>
        <item x="144"/>
        <item x="146"/>
        <item x="239"/>
        <item x="241"/>
        <item x="240"/>
        <item x="234"/>
        <item x="235"/>
        <item x="251"/>
        <item x="242"/>
        <item x="287"/>
        <item x="301"/>
        <item x="368"/>
        <item x="402"/>
        <item x="407"/>
        <item x="408"/>
        <item x="406"/>
        <item x="433"/>
        <item x="457"/>
        <item x="455"/>
        <item x="463"/>
        <item x="464"/>
        <item x="453"/>
        <item x="454"/>
        <item x="440"/>
        <item m="1" x="473"/>
        <item m="1" x="483"/>
        <item m="1" x="482"/>
        <item m="1" x="467"/>
        <item m="1" x="485"/>
        <item m="1" x="486"/>
        <item x="23"/>
        <item x="24"/>
        <item x="284"/>
        <item x="26"/>
        <item x="28"/>
        <item x="29"/>
        <item x="25"/>
        <item x="308"/>
        <item x="33"/>
        <item x="34"/>
        <item x="31"/>
        <item m="1" x="475"/>
        <item x="36"/>
        <item x="30"/>
        <item x="35"/>
        <item x="32"/>
        <item x="39"/>
        <item x="37"/>
        <item x="38"/>
        <item x="43"/>
        <item x="27"/>
        <item x="42"/>
        <item x="57"/>
        <item x="184"/>
        <item x="40"/>
        <item x="41"/>
        <item x="334"/>
        <item x="405"/>
        <item x="58"/>
        <item x="461"/>
        <item t="default"/>
      </items>
    </pivotField>
    <pivotField dataField="1" showAll="0"/>
    <pivotField showAll="0"/>
    <pivotField showAll="0"/>
    <pivotField showAll="0"/>
    <pivotField showAll="0"/>
  </pivotFields>
  <rowFields count="1">
    <field x="1"/>
  </rowFields>
  <rowItems count="466">
    <i>
      <x/>
    </i>
    <i>
      <x v="2"/>
    </i>
    <i>
      <x v="3"/>
    </i>
    <i>
      <x v="5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9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7"/>
    </i>
    <i>
      <x v="38"/>
    </i>
    <i>
      <x v="40"/>
    </i>
    <i>
      <x v="43"/>
    </i>
    <i>
      <x v="44"/>
    </i>
    <i>
      <x v="45"/>
    </i>
    <i>
      <x v="46"/>
    </i>
    <i>
      <x v="48"/>
    </i>
    <i>
      <x v="49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3"/>
    </i>
    <i>
      <x v="74"/>
    </i>
    <i>
      <x v="75"/>
    </i>
    <i>
      <x v="76"/>
    </i>
    <i>
      <x v="77"/>
    </i>
    <i>
      <x v="78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1"/>
    </i>
    <i>
      <x v="95"/>
    </i>
    <i>
      <x v="96"/>
    </i>
    <i>
      <x v="97"/>
    </i>
    <i>
      <x v="98"/>
    </i>
    <i>
      <x v="99"/>
    </i>
    <i>
      <x v="100"/>
    </i>
    <i>
      <x v="102"/>
    </i>
    <i>
      <x v="103"/>
    </i>
    <i>
      <x v="104"/>
    </i>
    <i>
      <x v="105"/>
    </i>
    <i>
      <x v="106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9"/>
    </i>
    <i>
      <x v="120"/>
    </i>
    <i>
      <x v="121"/>
    </i>
    <i>
      <x v="122"/>
    </i>
    <i>
      <x v="124"/>
    </i>
    <i>
      <x v="125"/>
    </i>
    <i>
      <x v="126"/>
    </i>
    <i>
      <x v="127"/>
    </i>
    <i>
      <x v="128"/>
    </i>
    <i>
      <x v="130"/>
    </i>
    <i>
      <x v="131"/>
    </i>
    <i>
      <x v="132"/>
    </i>
    <i>
      <x v="133"/>
    </i>
    <i>
      <x v="134"/>
    </i>
    <i>
      <x v="136"/>
    </i>
    <i>
      <x v="137"/>
    </i>
    <i>
      <x v="138"/>
    </i>
    <i>
      <x v="139"/>
    </i>
    <i>
      <x v="140"/>
    </i>
    <i>
      <x v="141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6"/>
    </i>
    <i>
      <x v="168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1"/>
    </i>
    <i>
      <x v="192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5"/>
    </i>
    <i>
      <x v="326"/>
    </i>
    <i>
      <x v="327"/>
    </i>
    <i>
      <x v="328"/>
    </i>
    <i>
      <x v="329"/>
    </i>
    <i>
      <x v="331"/>
    </i>
    <i>
      <x v="332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5"/>
    </i>
    <i>
      <x v="366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3"/>
    </i>
    <i>
      <x v="405"/>
    </i>
    <i>
      <x v="406"/>
    </i>
    <i>
      <x v="407"/>
    </i>
    <i>
      <x v="408"/>
    </i>
    <i>
      <x v="409"/>
    </i>
    <i>
      <x v="410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1"/>
    </i>
    <i>
      <x v="442"/>
    </i>
    <i>
      <x v="443"/>
    </i>
    <i>
      <x v="444"/>
    </i>
    <i>
      <x v="446"/>
    </i>
    <i>
      <x v="447"/>
    </i>
    <i>
      <x v="448"/>
    </i>
    <i>
      <x v="449"/>
    </i>
    <i>
      <x v="450"/>
    </i>
    <i>
      <x v="451"/>
    </i>
    <i>
      <x v="454"/>
    </i>
    <i>
      <x v="455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 t="grand">
      <x/>
    </i>
  </rowItems>
  <colItems count="1">
    <i/>
  </colItems>
  <dataFields count="1">
    <dataField name="Suma de Saldo Disponible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0E33054-4BEB-4B08-82FA-8F066D116CDB}" name="TablaDinámica1" cacheId="8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M5:N471" firstHeaderRow="1" firstDataRow="1" firstDataCol="1"/>
  <pivotFields count="7">
    <pivotField showAll="0"/>
    <pivotField axis="axisRow" showAll="0">
      <items count="528">
        <item x="320"/>
        <item m="1" x="484"/>
        <item x="442"/>
        <item x="6"/>
        <item m="1" x="492"/>
        <item x="79"/>
        <item m="1" x="478"/>
        <item m="1" x="523"/>
        <item x="385"/>
        <item x="111"/>
        <item x="143"/>
        <item x="353"/>
        <item x="303"/>
        <item x="190"/>
        <item x="400"/>
        <item x="167"/>
        <item x="444"/>
        <item x="291"/>
        <item m="1" x="518"/>
        <item x="294"/>
        <item m="1" x="468"/>
        <item x="218"/>
        <item x="460"/>
        <item x="134"/>
        <item x="74"/>
        <item x="126"/>
        <item x="451"/>
        <item x="456"/>
        <item x="237"/>
        <item x="115"/>
        <item x="118"/>
        <item x="215"/>
        <item x="289"/>
        <item x="174"/>
        <item x="107"/>
        <item x="296"/>
        <item m="1" x="513"/>
        <item x="462"/>
        <item x="73"/>
        <item m="1" x="499"/>
        <item x="185"/>
        <item m="1" x="490"/>
        <item m="1" x="471"/>
        <item x="108"/>
        <item x="109"/>
        <item x="21"/>
        <item x="168"/>
        <item m="1" x="520"/>
        <item x="387"/>
        <item x="15"/>
        <item m="1" x="491"/>
        <item x="208"/>
        <item x="191"/>
        <item x="16"/>
        <item x="92"/>
        <item x="377"/>
        <item x="130"/>
        <item x="389"/>
        <item x="244"/>
        <item x="449"/>
        <item x="285"/>
        <item x="17"/>
        <item x="9"/>
        <item x="49"/>
        <item x="50"/>
        <item x="48"/>
        <item x="5"/>
        <item x="18"/>
        <item x="332"/>
        <item x="333"/>
        <item x="56"/>
        <item x="269"/>
        <item m="1" x="493"/>
        <item x="374"/>
        <item x="375"/>
        <item x="11"/>
        <item x="47"/>
        <item x="60"/>
        <item x="378"/>
        <item m="1" x="515"/>
        <item m="1" x="514"/>
        <item n="BCSA SD ZOFINGEN Pesos24" x="379"/>
        <item x="430"/>
        <item x="418"/>
        <item x="359"/>
        <item x="286"/>
        <item x="275"/>
        <item x="267"/>
        <item x="213"/>
        <item x="226"/>
        <item m="1" x="481"/>
        <item x="106"/>
        <item m="1" x="469"/>
        <item m="1" x="511"/>
        <item m="1" x="502"/>
        <item x="344"/>
        <item x="343"/>
        <item x="252"/>
        <item x="302"/>
        <item x="450"/>
        <item x="390"/>
        <item m="1" x="487"/>
        <item n="BVSA SD SMSV RENTA EN PesosFCI" x="417"/>
        <item x="415"/>
        <item x="307"/>
        <item x="435"/>
        <item x="116"/>
        <item m="1" x="495"/>
        <item x="350"/>
        <item x="121"/>
        <item x="272"/>
        <item x="292"/>
        <item x="223"/>
        <item x="114"/>
        <item x="259"/>
        <item x="322"/>
        <item x="222"/>
        <item x="124"/>
        <item m="1" x="498"/>
        <item x="96"/>
        <item x="398"/>
        <item x="306"/>
        <item x="439"/>
        <item m="1" x="488"/>
        <item x="85"/>
        <item x="98"/>
        <item x="84"/>
        <item x="86"/>
        <item x="253"/>
        <item m="1" x="500"/>
        <item x="64"/>
        <item x="212"/>
        <item x="211"/>
        <item x="117"/>
        <item x="370"/>
        <item m="1" x="501"/>
        <item x="413"/>
        <item x="421"/>
        <item x="7"/>
        <item x="420"/>
        <item x="1"/>
        <item x="159"/>
        <item m="1" x="479"/>
        <item x="45"/>
        <item x="69"/>
        <item x="299"/>
        <item x="93"/>
        <item x="270"/>
        <item x="376"/>
        <item x="51"/>
        <item x="55"/>
        <item x="180"/>
        <item x="443"/>
        <item x="44"/>
        <item m="1" x="508"/>
        <item x="88"/>
        <item x="384"/>
        <item x="197"/>
        <item x="123"/>
        <item x="71"/>
        <item x="162"/>
        <item x="310"/>
        <item x="216"/>
        <item x="447"/>
        <item x="135"/>
        <item m="1" x="505"/>
        <item x="459"/>
        <item m="1" x="517"/>
        <item x="445"/>
        <item m="1" x="503"/>
        <item m="1" x="489"/>
        <item x="176"/>
        <item x="112"/>
        <item x="316"/>
        <item x="273"/>
        <item x="171"/>
        <item x="304"/>
        <item x="348"/>
        <item x="325"/>
        <item x="175"/>
        <item x="113"/>
        <item x="122"/>
        <item x="145"/>
        <item x="256"/>
        <item x="428"/>
        <item x="3"/>
        <item x="360"/>
        <item x="403"/>
        <item x="401"/>
        <item x="202"/>
        <item m="1" x="480"/>
        <item x="362"/>
        <item x="189"/>
        <item m="1" x="472"/>
        <item x="172"/>
        <item x="331"/>
        <item x="139"/>
        <item x="195"/>
        <item x="365"/>
        <item x="99"/>
        <item x="336"/>
        <item x="260"/>
        <item x="382"/>
        <item x="383"/>
        <item x="321"/>
        <item x="328"/>
        <item x="104"/>
        <item x="75"/>
        <item x="305"/>
        <item x="436"/>
        <item x="102"/>
        <item m="1" x="465"/>
        <item x="437"/>
        <item x="397"/>
        <item x="201"/>
        <item x="94"/>
        <item x="392"/>
        <item x="152"/>
        <item x="329"/>
        <item x="424"/>
        <item x="366"/>
        <item x="274"/>
        <item m="1" x="510"/>
        <item x="309"/>
        <item x="254"/>
        <item x="257"/>
        <item x="250"/>
        <item x="446"/>
        <item x="219"/>
        <item x="330"/>
        <item x="2"/>
        <item x="427"/>
        <item x="207"/>
        <item x="422"/>
        <item x="364"/>
        <item x="363"/>
        <item x="204"/>
        <item m="1" x="512"/>
        <item x="231"/>
        <item x="209"/>
        <item x="12"/>
        <item x="323"/>
        <item x="136"/>
        <item x="426"/>
        <item x="352"/>
        <item x="347"/>
        <item x="404"/>
        <item x="278"/>
        <item x="276"/>
        <item x="192"/>
        <item x="217"/>
        <item x="293"/>
        <item x="327"/>
        <item x="324"/>
        <item x="140"/>
        <item x="90"/>
        <item x="297"/>
        <item x="373"/>
        <item x="150"/>
        <item x="438"/>
        <item x="170"/>
        <item x="210"/>
        <item x="141"/>
        <item x="158"/>
        <item m="1" x="524"/>
        <item x="70"/>
        <item x="268"/>
        <item x="46"/>
        <item x="91"/>
        <item x="313"/>
        <item x="194"/>
        <item x="396"/>
        <item x="236"/>
        <item x="283"/>
        <item x="412"/>
        <item x="290"/>
        <item x="87"/>
        <item x="77"/>
        <item x="137"/>
        <item x="67"/>
        <item x="182"/>
        <item x="358"/>
        <item x="101"/>
        <item x="76"/>
        <item x="10"/>
        <item x="161"/>
        <item x="318"/>
        <item x="187"/>
        <item x="169"/>
        <item x="138"/>
        <item x="78"/>
        <item x="416"/>
        <item x="255"/>
        <item x="232"/>
        <item x="248"/>
        <item x="19"/>
        <item x="354"/>
        <item x="414"/>
        <item x="165"/>
        <item x="72"/>
        <item x="183"/>
        <item x="61"/>
        <item x="224"/>
        <item x="295"/>
        <item x="119"/>
        <item x="198"/>
        <item m="1" x="476"/>
        <item m="1" x="496"/>
        <item x="263"/>
        <item x="264"/>
        <item x="151"/>
        <item x="266"/>
        <item x="163"/>
        <item x="337"/>
        <item x="346"/>
        <item x="393"/>
        <item x="429"/>
        <item x="381"/>
        <item x="229"/>
        <item x="100"/>
        <item x="83"/>
        <item x="388"/>
        <item x="200"/>
        <item x="149"/>
        <item m="1" x="477"/>
        <item x="315"/>
        <item x="349"/>
        <item x="8"/>
        <item x="277"/>
        <item x="193"/>
        <item m="1" x="470"/>
        <item x="186"/>
        <item x="369"/>
        <item m="1" x="474"/>
        <item x="372"/>
        <item x="148"/>
        <item x="131"/>
        <item x="335"/>
        <item x="221"/>
        <item x="386"/>
        <item x="125"/>
        <item x="391"/>
        <item x="228"/>
        <item x="271"/>
        <item x="243"/>
        <item x="154"/>
        <item x="280"/>
        <item x="356"/>
        <item x="127"/>
        <item x="214"/>
        <item x="247"/>
        <item x="423"/>
        <item x="105"/>
        <item m="1" x="526"/>
        <item x="298"/>
        <item x="279"/>
        <item x="164"/>
        <item x="409"/>
        <item x="245"/>
        <item x="68"/>
        <item x="425"/>
        <item x="419"/>
        <item x="20"/>
        <item x="89"/>
        <item m="1" x="494"/>
        <item x="367"/>
        <item x="199"/>
        <item m="1" x="521"/>
        <item x="262"/>
        <item x="166"/>
        <item x="225"/>
        <item x="340"/>
        <item x="431"/>
        <item x="155"/>
        <item x="52"/>
        <item x="156"/>
        <item x="432"/>
        <item x="181"/>
        <item m="1" x="509"/>
        <item x="157"/>
        <item x="177"/>
        <item x="142"/>
        <item x="54"/>
        <item x="53"/>
        <item x="288"/>
        <item x="103"/>
        <item x="205"/>
        <item x="411"/>
        <item x="441"/>
        <item x="188"/>
        <item x="410"/>
        <item m="1" x="507"/>
        <item x="458"/>
        <item x="62"/>
        <item x="110"/>
        <item x="173"/>
        <item x="120"/>
        <item x="434"/>
        <item x="300"/>
        <item x="261"/>
        <item x="133"/>
        <item x="0"/>
        <item m="1" x="516"/>
        <item x="258"/>
        <item m="1" x="519"/>
        <item x="317"/>
        <item x="249"/>
        <item x="361"/>
        <item x="63"/>
        <item x="357"/>
        <item x="265"/>
        <item m="1" x="522"/>
        <item x="311"/>
        <item x="129"/>
        <item x="452"/>
        <item x="448"/>
        <item x="95"/>
        <item x="196"/>
        <item x="282"/>
        <item x="178"/>
        <item x="341"/>
        <item x="246"/>
        <item x="371"/>
        <item x="203"/>
        <item x="97"/>
        <item x="153"/>
        <item x="345"/>
        <item x="395"/>
        <item x="326"/>
        <item x="233"/>
        <item x="312"/>
        <item x="227"/>
        <item x="220"/>
        <item x="66"/>
        <item x="160"/>
        <item x="338"/>
        <item x="65"/>
        <item x="342"/>
        <item x="4"/>
        <item x="128"/>
        <item m="1" x="506"/>
        <item x="206"/>
        <item x="351"/>
        <item x="339"/>
        <item x="179"/>
        <item m="1" x="497"/>
        <item x="230"/>
        <item x="281"/>
        <item x="319"/>
        <item x="394"/>
        <item n="ZORZON" x="355"/>
        <item x="380"/>
        <item m="1" x="504"/>
        <item m="1" x="466"/>
        <item x="314"/>
        <item x="399"/>
        <item m="1" x="525"/>
        <item x="147"/>
        <item x="238"/>
        <item x="13"/>
        <item x="14"/>
        <item x="22"/>
        <item x="59"/>
        <item x="81"/>
        <item x="82"/>
        <item x="80"/>
        <item x="132"/>
        <item x="144"/>
        <item x="146"/>
        <item x="239"/>
        <item x="241"/>
        <item x="240"/>
        <item x="234"/>
        <item x="235"/>
        <item x="251"/>
        <item x="242"/>
        <item x="287"/>
        <item x="301"/>
        <item x="368"/>
        <item x="402"/>
        <item x="407"/>
        <item x="408"/>
        <item x="406"/>
        <item x="433"/>
        <item x="457"/>
        <item x="455"/>
        <item x="463"/>
        <item x="464"/>
        <item x="453"/>
        <item x="454"/>
        <item x="440"/>
        <item m="1" x="473"/>
        <item m="1" x="483"/>
        <item m="1" x="482"/>
        <item m="1" x="467"/>
        <item n="BCSA SD ZOFINGEN Pesos242" m="1" x="485"/>
        <item n="BVSA SD SMSV RENTA EN PesosFCI2" m="1" x="486"/>
        <item x="23"/>
        <item x="24"/>
        <item x="284"/>
        <item x="26"/>
        <item x="28"/>
        <item x="29"/>
        <item x="25"/>
        <item x="308"/>
        <item x="33"/>
        <item x="34"/>
        <item x="31"/>
        <item m="1" x="475"/>
        <item x="36"/>
        <item x="30"/>
        <item x="35"/>
        <item x="32"/>
        <item x="39"/>
        <item x="37"/>
        <item x="38"/>
        <item x="43"/>
        <item x="27"/>
        <item x="42"/>
        <item x="57"/>
        <item x="184"/>
        <item x="40"/>
        <item x="41"/>
        <item x="334"/>
        <item x="405"/>
        <item x="58"/>
        <item x="461"/>
        <item t="default"/>
      </items>
    </pivotField>
    <pivotField dataField="1" showAll="0"/>
    <pivotField showAll="0"/>
    <pivotField showAll="0"/>
    <pivotField showAll="0"/>
    <pivotField showAll="0"/>
  </pivotFields>
  <rowFields count="1">
    <field x="1"/>
  </rowFields>
  <rowItems count="466">
    <i>
      <x/>
    </i>
    <i>
      <x v="2"/>
    </i>
    <i>
      <x v="3"/>
    </i>
    <i>
      <x v="5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9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7"/>
    </i>
    <i>
      <x v="38"/>
    </i>
    <i>
      <x v="40"/>
    </i>
    <i>
      <x v="43"/>
    </i>
    <i>
      <x v="44"/>
    </i>
    <i>
      <x v="45"/>
    </i>
    <i>
      <x v="46"/>
    </i>
    <i>
      <x v="48"/>
    </i>
    <i>
      <x v="49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3"/>
    </i>
    <i>
      <x v="74"/>
    </i>
    <i>
      <x v="75"/>
    </i>
    <i>
      <x v="76"/>
    </i>
    <i>
      <x v="77"/>
    </i>
    <i>
      <x v="78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1"/>
    </i>
    <i>
      <x v="95"/>
    </i>
    <i>
      <x v="96"/>
    </i>
    <i>
      <x v="97"/>
    </i>
    <i>
      <x v="98"/>
    </i>
    <i>
      <x v="99"/>
    </i>
    <i>
      <x v="100"/>
    </i>
    <i>
      <x v="102"/>
    </i>
    <i>
      <x v="103"/>
    </i>
    <i>
      <x v="104"/>
    </i>
    <i>
      <x v="105"/>
    </i>
    <i>
      <x v="106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9"/>
    </i>
    <i>
      <x v="120"/>
    </i>
    <i>
      <x v="121"/>
    </i>
    <i>
      <x v="122"/>
    </i>
    <i>
      <x v="124"/>
    </i>
    <i>
      <x v="125"/>
    </i>
    <i>
      <x v="126"/>
    </i>
    <i>
      <x v="127"/>
    </i>
    <i>
      <x v="128"/>
    </i>
    <i>
      <x v="130"/>
    </i>
    <i>
      <x v="131"/>
    </i>
    <i>
      <x v="132"/>
    </i>
    <i>
      <x v="133"/>
    </i>
    <i>
      <x v="134"/>
    </i>
    <i>
      <x v="136"/>
    </i>
    <i>
      <x v="137"/>
    </i>
    <i>
      <x v="138"/>
    </i>
    <i>
      <x v="139"/>
    </i>
    <i>
      <x v="140"/>
    </i>
    <i>
      <x v="141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6"/>
    </i>
    <i>
      <x v="168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1"/>
    </i>
    <i>
      <x v="192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5"/>
    </i>
    <i>
      <x v="326"/>
    </i>
    <i>
      <x v="327"/>
    </i>
    <i>
      <x v="328"/>
    </i>
    <i>
      <x v="329"/>
    </i>
    <i>
      <x v="331"/>
    </i>
    <i>
      <x v="332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5"/>
    </i>
    <i>
      <x v="366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3"/>
    </i>
    <i>
      <x v="405"/>
    </i>
    <i>
      <x v="406"/>
    </i>
    <i>
      <x v="407"/>
    </i>
    <i>
      <x v="408"/>
    </i>
    <i>
      <x v="409"/>
    </i>
    <i>
      <x v="410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1"/>
    </i>
    <i>
      <x v="442"/>
    </i>
    <i>
      <x v="443"/>
    </i>
    <i>
      <x v="444"/>
    </i>
    <i>
      <x v="446"/>
    </i>
    <i>
      <x v="447"/>
    </i>
    <i>
      <x v="448"/>
    </i>
    <i>
      <x v="449"/>
    </i>
    <i>
      <x v="450"/>
    </i>
    <i>
      <x v="451"/>
    </i>
    <i>
      <x v="454"/>
    </i>
    <i>
      <x v="455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 t="grand">
      <x/>
    </i>
  </rowItems>
  <colItems count="1">
    <i/>
  </colItems>
  <dataFields count="1">
    <dataField name="Suma de Saldo Disponible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2" xr16:uid="{BF0CB8B8-6743-4BC3-96F0-A5FA379B5983}" autoFormatId="16" applyNumberFormats="0" applyBorderFormats="0" applyFontFormats="0" applyPatternFormats="0" applyAlignmentFormats="0" applyWidthHeightFormats="0">
  <queryTableRefresh nextId="41">
    <queryTableFields count="8">
      <queryTableField id="1" name="Comitente (Número)" tableColumnId="1"/>
      <queryTableField id="2" name="Comitente (Denominación)" tableColumnId="2"/>
      <queryTableField id="3" name="Saldo Disponible" tableColumnId="3"/>
      <queryTableField id="6" name="Saldo No Disponible" tableColumnId="6"/>
      <queryTableField id="9" name="Moneda (Descripción)" tableColumnId="4"/>
      <queryTableField id="10" name="Moneda (Símbolo)" tableColumnId="5"/>
      <queryTableField id="7" name="Saldo Total" tableColumnId="7"/>
      <queryTableField id="40" name="9/12/2025" tableColumnId="8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3" xr16:uid="{2CB08F1D-A7A8-463B-A5C8-C029E6F62F46}" autoFormatId="16" applyNumberFormats="0" applyBorderFormats="0" applyFontFormats="0" applyPatternFormats="0" applyAlignmentFormats="0" applyWidthHeightFormats="0">
  <queryTableRefresh nextId="55">
    <queryTableFields count="52">
      <queryTableField id="1" name="Source.Name" tableColumnId="1"/>
      <queryTableField id="2" name="Record Code" tableColumnId="2"/>
      <queryTableField id="3" name="Firm Code" tableColumnId="3"/>
      <queryTableField id="4" name="Office Code" tableColumnId="4"/>
      <queryTableField id="5" name="Sales Code" tableColumnId="5"/>
      <queryTableField id="6" name="Account Number" tableColumnId="6"/>
      <queryTableField id="7" name="Account Class Code" tableColumnId="7"/>
      <queryTableField id="8" name="Account Subclass Code" tableColumnId="8"/>
      <queryTableField id="9" name="Account Type Code" tableColumnId="9"/>
      <queryTableField id="10" name="Cusip Code" tableColumnId="10"/>
      <queryTableField id="11" name="Card Number" tableColumnId="11"/>
      <queryTableField id="12" name="Buy Sell Code" tableColumnId="12"/>
      <queryTableField id="13" name="Quantity" tableColumnId="13"/>
      <queryTableField id="14" name="Security Desc Line 1" tableColumnId="14"/>
      <queryTableField id="15" name="Formatted Trade Price" tableColumnId="15"/>
      <queryTableField id="16" name="Trade Date" tableColumnId="16"/>
      <queryTableField id="17" name="Open Close Code" tableColumnId="17"/>
      <queryTableField id="18" name="Contract Month" tableColumnId="18"/>
      <queryTableField id="19" name="Contract Day" tableColumnId="19"/>
      <queryTableField id="20" name="Security Type Code" tableColumnId="20"/>
      <queryTableField id="21" name="Security Subtype Code" tableColumnId="21"/>
      <queryTableField id="22" name="Option Strike Price" tableColumnId="22"/>
      <queryTableField id="23" name="Option Expire Date" tableColumnId="23"/>
      <queryTableField id="24" name="Spread Code" tableColumnId="24"/>
      <queryTableField id="25" name="Account Name" tableColumnId="25"/>
      <queryTableField id="26" name="Source Account Number" tableColumnId="26"/>
      <queryTableField id="27" name="Settlement Date" tableColumnId="27"/>
      <queryTableField id="28" name="Exchange Code" tableColumnId="28"/>
      <queryTableField id="29" name="Trade Exchange Code" tableColumnId="29"/>
      <queryTableField id="30" name="Contract Code" tableColumnId="30"/>
      <queryTableField id="31" name="Contract Symbol" tableColumnId="31"/>
      <queryTableField id="32" name="Product Type Code" tableColumnId="32"/>
      <queryTableField id="33" name="Trade Price" tableColumnId="33"/>
      <queryTableField id="34" name="Trade Calc Control Code" tableColumnId="34"/>
      <queryTableField id="35" name="Comment Code 1" tableColumnId="35"/>
      <queryTableField id="36" name="Comment Code 2" tableColumnId="36"/>
      <queryTableField id="37" name="Give Up Code" tableColumnId="37"/>
      <queryTableField id="38" name="Give Up Firm Code" tableColumnId="38"/>
      <queryTableField id="39" name="Buy Side Quantity" tableColumnId="39"/>
      <queryTableField id="40" name="Sell Side Quantity" tableColumnId="40"/>
      <queryTableField id="41" name="Account Type Currency Symbol" tableColumnId="41"/>
      <queryTableField id="42" name="Market Value" tableColumnId="42"/>
      <queryTableField id="43" name="Close Price" tableColumnId="43"/>
      <queryTableField id="44" name="Underlying Close Price" tableColumnId="44"/>
      <queryTableField id="45" name="Multiplication Factor" tableColumnId="45"/>
      <queryTableField id="46" name="Tracer Number" tableColumnId="46"/>
      <queryTableField id="47" name="Order Number" tableColumnId="47"/>
      <queryTableField id="48" name="Delta Factor" tableColumnId="48"/>
      <queryTableField id="49" name="Bloomberg Root" tableColumnId="49"/>
      <queryTableField id="50" name="Bloomberg Exch Code" tableColumnId="50"/>
      <queryTableField id="51" name="Bloomberg Market Sector" tableColumnId="51"/>
      <queryTableField id="54" name="Producto" tableColumnId="52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3" connectionId="8" xr16:uid="{BA54DF83-236A-4A80-A30E-8DD19F5C4FD2}" autoFormatId="16" applyNumberFormats="0" applyBorderFormats="0" applyFontFormats="0" applyPatternFormats="0" applyAlignmentFormats="0" applyWidthHeightFormats="0">
  <queryTableRefresh nextId="13">
    <queryTableFields count="12">
      <queryTableField id="1" name="Dim_Calendario.Fecha" tableColumnId="1"/>
      <queryTableField id="2" name="ID_Cliente" tableColumnId="2"/>
      <queryTableField id="3" name="MonedaOriginal" tableColumnId="3"/>
      <queryTableField id="4" name="Saldo_USD_Compra" tableColumnId="4"/>
      <queryTableField id="5" name="Saldo_MonedaOriginal" tableColumnId="5"/>
      <queryTableField id="6" name="Saldo_USD_Venta" tableColumnId="6"/>
      <queryTableField id="7" name="Signo_Moneda" tableColumnId="7"/>
      <queryTableField id="8" name="Dias_SaldoNegativo" tableColumnId="8"/>
      <queryTableField id="9" name="Dias_SaldoPositivo" tableColumnId="9"/>
      <queryTableField id="10" name="Dim_Empresas.Codigo_Empresa" tableColumnId="10"/>
      <queryTableField id="11" name="Dim_Empresas.Descripcion_Clientes" tableColumnId="11"/>
      <queryTableField id="12" name="Dim_Empresas.CUIT" tableColumnId="12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2" connectionId="7" xr16:uid="{1028D265-D4E9-475B-88CA-2A4B1797C4F6}" autoFormatId="16" applyNumberFormats="0" applyBorderFormats="0" applyFontFormats="0" applyPatternFormats="0" applyAlignmentFormats="0" applyWidthHeightFormats="0">
  <queryTableRefresh nextId="13" unboundColumnsRight="1">
    <queryTableFields count="12">
      <queryTableField id="1" name="ID_Transaccion" tableColumnId="1"/>
      <queryTableField id="2" name="ID_Calendario" tableColumnId="2"/>
      <queryTableField id="3" name="ID_Cliente" tableColumnId="3"/>
      <queryTableField id="4" name="AUM_USD" tableColumnId="4"/>
      <queryTableField id="5" name="Dim_AUM_FyoCapital.Tipo" tableColumnId="5"/>
      <queryTableField id="6" name="Dim_AUM_FyoCapital.Subtipo_1" tableColumnId="6"/>
      <queryTableField id="7" name="Dim_AUM_FyoCapital.Subtipo_2" tableColumnId="7"/>
      <queryTableField id="8" name="Dim_Calendario.Fecha" tableColumnId="8"/>
      <queryTableField id="9" name="Dim_Empresas.Codigo_Empresa" tableColumnId="9"/>
      <queryTableField id="10" name="Dim_Empresas.Descripcion_Clientes" tableColumnId="10"/>
      <queryTableField id="11" name="Dim_Empresas.CUIT" tableColumnId="11"/>
      <queryTableField id="12" dataBound="0" tableColumnId="12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2" connectionId="9" xr16:uid="{D77DBAEB-CC81-4423-8D92-181D410825EC}" autoFormatId="16" applyNumberFormats="0" applyBorderFormats="0" applyFontFormats="0" applyPatternFormats="0" applyAlignmentFormats="0" applyWidthHeightFormats="0">
  <queryTableRefresh nextId="50">
    <queryTableFields count="42">
      <queryTableField id="8" name="Record Code" tableColumnId="8"/>
      <queryTableField id="9" name="Firm Code" tableColumnId="9"/>
      <queryTableField id="10" name="Office Code" tableColumnId="10"/>
      <queryTableField id="11" name="Sales Code" tableColumnId="11"/>
      <queryTableField id="12" name="Account Number" tableColumnId="12"/>
      <queryTableField id="13" name="Account Class Code" tableColumnId="13"/>
      <queryTableField id="14" name="Account Subclass Code" tableColumnId="14"/>
      <queryTableField id="15" name="Account Type Code" tableColumnId="15"/>
      <queryTableField id="16" name="Account Type Currency Symbol" tableColumnId="16"/>
      <queryTableField id="17" name="Name Address Line 1" tableColumnId="17"/>
      <queryTableField id="18" name="Last Activity Date" tableColumnId="18"/>
      <queryTableField id="19" name="Related Office Code 1" tableColumnId="19"/>
      <queryTableField id="20" name="Related Account Number 1" tableColumnId="20"/>
      <queryTableField id="21" name="Account Balance" tableColumnId="21"/>
      <queryTableField id="22" name="Security Long Market Value" tableColumnId="22"/>
      <queryTableField id="23" name="Security Short Market Value" tableColumnId="23"/>
      <queryTableField id="24" name="Option Long Market Value" tableColumnId="24"/>
      <queryTableField id="25" name="Option Short Market Value" tableColumnId="25"/>
      <queryTableField id="26" name="Total Outstanding Margin Calls" tableColumnId="26"/>
      <queryTableField id="27" name="Account All Records" tableColumnId="27"/>
      <queryTableField id="28" name="Oldest Account Call Age" tableColumnId="28"/>
      <queryTableField id="29" name="Withdrawable Funds" tableColumnId="29"/>
      <queryTableField id="30" name="Future Margin Req Initial" tableColumnId="30"/>
      <queryTableField id="31" name="Future Margin Req Maint" tableColumnId="31"/>
      <queryTableField id="32" name="Margin Excess Deficit" tableColumnId="32"/>
      <queryTableField id="33" name="Future Open Trade Equity" tableColumnId="33"/>
      <queryTableField id="34" name="Mtd Commission" tableColumnId="34"/>
      <queryTableField id="35" name="Equities Margin Req Initial" tableColumnId="35"/>
      <queryTableField id="36" name="Equities Margin Req Maint" tableColumnId="36"/>
      <queryTableField id="37" name="Firm Base Currency Conv Rate" tableColumnId="37"/>
      <queryTableField id="38" name="Liquidating Value" tableColumnId="38"/>
      <queryTableField id="39" name="Margin Collat Value" tableColumnId="39"/>
      <queryTableField id="40" name="Option Premium Value" tableColumnId="40"/>
      <queryTableField id="41" name="Unsettled Unrealized Profit Loss" tableColumnId="41"/>
      <queryTableField id="42" name="Total Account Requirement" tableColumnId="42"/>
      <queryTableField id="43" name="Total Equity" tableColumnId="43"/>
      <queryTableField id="44" name="Total Current Calls" tableColumnId="44"/>
      <queryTableField id="45" name="Previous Account Balance" tableColumnId="45"/>
      <queryTableField id="46" name="Previous Open Trade Equity" tableColumnId="46"/>
      <queryTableField id="47" name="Previous Total Equity" tableColumnId="47"/>
      <queryTableField id="48" name="Previous Liquidating Value" tableColumnId="48"/>
      <queryTableField id="49" name="Source.Name" tableColumnId="1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DFA603B-18F8-4F13-B6B5-C12742549CE5}" name="Tabla3" displayName="Tabla3" ref="AZ2:CL51" totalsRowShown="0" headerRowDxfId="78">
  <autoFilter ref="AZ2:CL51" xr:uid="{4DFA603B-18F8-4F13-B6B5-C12742549CE5}"/>
  <tableColumns count="39">
    <tableColumn id="52" xr3:uid="{6E3C9C3D-81D3-46D7-B1B4-EB5C522E9B65}" name="Coversor precio" dataDxfId="77">
      <calculatedColumnFormula>IF(VLOOKUP(AY3,Conversor!B:C,2,0)="HS",0.01,VLOOKUP(AY3,Conversor!B:C,2,0))</calculatedColumnFormula>
    </tableColumn>
    <tableColumn id="53" xr3:uid="{9BD77C47-97B4-4449-8D8E-4FC22032F6A9}" name="Conversor tns">
      <calculatedColumnFormula>IF(BG3="v",-AM3/10000,AL3/10000)</calculatedColumnFormula>
    </tableColumn>
    <tableColumn id="54" xr3:uid="{2C20DCBC-46F6-4D51-9EB2-2D5DFA368C9D}" name="Precio" dataDxfId="76">
      <calculatedColumnFormula>IF(AQ3=0,AP3/1000000*AZ3,AQ3/1000000*AZ3)</calculatedColumnFormula>
    </tableColumn>
    <tableColumn id="55" xr3:uid="{98EF76F7-EE64-42FD-AD2A-5D9B24C282F4}" name="Strike">
      <calculatedColumnFormula>U3/1000000*AZ3</calculatedColumnFormula>
    </tableColumn>
    <tableColumn id="56" xr3:uid="{9852D939-4D1B-4EBF-9BD1-DD77738C7C3F}" name="Tns" dataDxfId="75">
      <calculatedColumnFormula>IF(OR(E3="FUTUR",E3="f20176"),0,VLOOKUP(AY3,Conversor!G:I,3,0)*BA3)</calculatedColumnFormula>
    </tableColumn>
    <tableColumn id="57" xr3:uid="{13C5CB13-38DF-4BEE-8277-009CF1352763}" name="Tipo">
      <calculatedColumnFormula>IF(LEFT(M3,4)="call","Call",IF(LEFT(M3,3)="put","Put","Futuro"))</calculatedColumnFormula>
    </tableColumn>
    <tableColumn id="58" xr3:uid="{AD24A186-E99F-49E9-8B59-12B439598E3F}" name="Opcion??">
      <calculatedColumnFormula>IF(BE3="futuro","no","si")</calculatedColumnFormula>
    </tableColumn>
    <tableColumn id="59" xr3:uid="{16074352-B8FC-4B24-9A39-F3DBC95954C8}" name="Lado">
      <calculatedColumnFormula>IF(AL3=0,"V","C")</calculatedColumnFormula>
    </tableColumn>
    <tableColumn id="60" xr3:uid="{47DF8DBF-9F9F-4DD0-8809-8C3A19B9FA53}" name="Cat opcion">
      <calculatedColumnFormula>IF(BE3="futuro","",CONCATENATE(BG3,LEFT(BE3,1)))</calculatedColumnFormula>
    </tableColumn>
    <tableColumn id="61" xr3:uid="{19EA7454-3274-45BD-BD59-A9BE09C5BA3B}" name="-30%">
      <calculatedColumnFormula>$BB3*(1+BI$2)</calculatedColumnFormula>
    </tableColumn>
    <tableColumn id="62" xr3:uid="{FD976E81-6DFF-498E-8BDB-0747E83B3490}" name="-20%">
      <calculatedColumnFormula>$BB3*(1+BJ$2)</calculatedColumnFormula>
    </tableColumn>
    <tableColumn id="63" xr3:uid="{5B2C3590-5712-4CC5-9324-3E8128862E4E}" name="-10%">
      <calculatedColumnFormula>$BB3*(1+BK$2)</calculatedColumnFormula>
    </tableColumn>
    <tableColumn id="64" xr3:uid="{F98064B6-6393-4590-B745-8B322645DD23}" name="0%">
      <calculatedColumnFormula>$BB3*(1+BL$2)</calculatedColumnFormula>
    </tableColumn>
    <tableColumn id="65" xr3:uid="{A442FAFE-74DD-429D-9E37-CE27069BBB05}" name="10%">
      <calculatedColumnFormula>$BB3*(1+BM$2)</calculatedColumnFormula>
    </tableColumn>
    <tableColumn id="66" xr3:uid="{C1D8E593-D2F5-4B16-A00C-A0A5F90A7D1C}" name="20%">
      <calculatedColumnFormula>$BB3*(1+BN$2)</calculatedColumnFormula>
    </tableColumn>
    <tableColumn id="67" xr3:uid="{B4BE0424-50E2-44A3-A12B-2E65AE584820}" name="30%">
      <calculatedColumnFormula>$BB3*(1+BO$2)</calculatedColumnFormula>
    </tableColumn>
    <tableColumn id="68" xr3:uid="{234F16DF-7A9A-4D7E-A722-632A6529094D}" name="DF -30%">
      <calculatedColumnFormula>IF($BE3="futuro",-($BL3-BI3)*$BD3,0)</calculatedColumnFormula>
    </tableColumn>
    <tableColumn id="69" xr3:uid="{76A2A3C2-44D1-4671-AF6D-629A804F4E1F}" name="DF -20%">
      <calculatedColumnFormula>IF($BE3="futuro",-($BL3-BJ3)*$BD3,0)</calculatedColumnFormula>
    </tableColumn>
    <tableColumn id="70" xr3:uid="{06C1F8F6-E58A-42A1-A1DF-B577D27A9CA8}" name="DF -10%">
      <calculatedColumnFormula>IF($BE3="futuro",-($BL3-BK3)*$BD3,0)</calculatedColumnFormula>
    </tableColumn>
    <tableColumn id="71" xr3:uid="{124EBDD9-BFA1-4AF4-972B-0CA253CDF49F}" name="DF 0%">
      <calculatedColumnFormula>IF($BE3="futuro",-($BL3-BL3)*$BD3,0)</calculatedColumnFormula>
    </tableColumn>
    <tableColumn id="72" xr3:uid="{B298DE03-F7CE-4D78-9E83-FF38E6755721}" name="DF 10%">
      <calculatedColumnFormula>IF($BE3="futuro",-($BL3-BM3)*$BD3,0)</calculatedColumnFormula>
    </tableColumn>
    <tableColumn id="73" xr3:uid="{04A43774-D469-4BE2-8218-E9B1605ABF63}" name="DF 20%">
      <calculatedColumnFormula>IF($BE3="futuro",-($BL3-BN3)*$BD3,0)</calculatedColumnFormula>
    </tableColumn>
    <tableColumn id="74" xr3:uid="{7C78E1F1-00E3-4241-8731-C7BB115D00BA}" name="DF 30%">
      <calculatedColumnFormula>IF($BE3="futuro",-($BL3-BO3)*$BD3,0)</calculatedColumnFormula>
    </tableColumn>
    <tableColumn id="75" xr3:uid="{AB082FFC-9DB0-426C-9C71-18BBF48AC6EE}" name="-30%2" dataDxfId="74">
      <calculatedColumnFormula>IF(AND($BH3="CC",($BC3-BI3)&lt;0),(BI3-$BC3)*$BD3,
 IF(AND($BH3="VC",($BC3-BI3)&lt;0),($BC3-BI3)*-$BD3,
 IF(AND($BH3="CP",($BC3-BI3)&gt;0),(BI3-$BC3)*$BD3*-1,
 IF(AND($BH3="VP",($BC3-BI3)&gt;0),(BI3-$BC3)*$BD3*-1,0))))</calculatedColumnFormula>
    </tableColumn>
    <tableColumn id="76" xr3:uid="{6976479F-912E-4B44-A81D-EBF5ABBA9F27}" name="-20%3" dataDxfId="73">
      <calculatedColumnFormula>IF(AND($BH3="CC",($BC3-BJ3)&lt;0),(BJ3-$BC3)*$BD3,
 IF(AND($BH3="VC",($BC3-BJ3)&lt;0),($BC3-BJ3)*-$BD3,
 IF(AND($BH3="CP",($BC3-BJ3)&gt;0),(BJ3-$BC3)*$BD3*-1,
 IF(AND($BH3="VP",($BC3-BJ3)&gt;0),(BJ3-$BC3)*$BD3*-1,0))))</calculatedColumnFormula>
    </tableColumn>
    <tableColumn id="77" xr3:uid="{C6575D6C-059A-48AA-900B-5CD38A3ADBAB}" name="-10%4" dataDxfId="72">
      <calculatedColumnFormula>IF(AND($BH3="CC",($BC3-BK3)&lt;0),(BK3-$BC3)*$BD3,
 IF(AND($BH3="VC",($BC3-BK3)&lt;0),($BC3-BK3)*-$BD3,
 IF(AND($BH3="CP",($BC3-BK3)&gt;0),(BK3-$BC3)*$BD3*-1,
 IF(AND($BH3="VP",($BC3-BK3)&gt;0),(BK3-$BC3)*$BD3*-1,0))))</calculatedColumnFormula>
    </tableColumn>
    <tableColumn id="78" xr3:uid="{E9387288-2157-413F-A8E6-16F7E09CAF28}" name="0%5" dataDxfId="71">
      <calculatedColumnFormula>IF(AND($BH3="CC",($BC3-BL3)&lt;0),(BL3-$BC3)*$BD3,
 IF(AND($BH3="VC",($BC3-BL3)&lt;0),($BC3-BL3)*-$BD3,
 IF(AND($BH3="CP",($BC3-BL3)&gt;0),(BL3-$BC3)*$BD3*-1,
 IF(AND($BH3="VP",($BC3-BL3)&gt;0),(BL3-$BC3)*$BD3*-1,0))))</calculatedColumnFormula>
    </tableColumn>
    <tableColumn id="79" xr3:uid="{A7ADF868-EF66-4BCE-BF14-CCD80843EF98}" name="10%6" dataDxfId="70">
      <calculatedColumnFormula>IF(AND($BH3="CC",($BC3-BM3)&lt;0),(BM3-$BC3)*$BD3,
 IF(AND($BH3="VC",($BC3-BM3)&lt;0),($BC3-BM3)*-$BD3,
 IF(AND($BH3="CP",($BC3-BM3)&gt;0),(BM3-$BC3)*$BD3*-1,
 IF(AND($BH3="VP",($BC3-BM3)&gt;0),(BM3-$BC3)*$BD3*-1,0))))</calculatedColumnFormula>
    </tableColumn>
    <tableColumn id="80" xr3:uid="{4DFDD487-E01C-45C3-B4F9-D9F4F279E0C6}" name="20%7" dataDxfId="69">
      <calculatedColumnFormula>IF(AND($BH3="CC",($BC3-BN3)&lt;0),(BN3-$BC3)*$BD3,
 IF(AND($BH3="VC",($BC3-BN3)&lt;0),($BC3-BN3)*-$BD3,
 IF(AND($BH3="CP",($BC3-BN3)&gt;0),(BN3-$BC3)*$BD3*-1,
 IF(AND($BH3="VP",($BC3-BN3)&gt;0),(BN3-$BC3)*$BD3*-1,0))))</calculatedColumnFormula>
    </tableColumn>
    <tableColumn id="81" xr3:uid="{97480823-E64B-458B-86AE-56726A84B5FA}" name="30%8" dataDxfId="68">
      <calculatedColumnFormula>IF(AND($BH3="CC",($BC3-BO3)&lt;0),(BO3-$BC3)*$BD3,
 IF(AND($BH3="VC",($BC3-BO3)&lt;0),($BC3-BO3)*-$BD3,
 IF(AND($BH3="CP",($BC3-BO3)&gt;0),(BO3-$BC3)*$BD3*-1,
 IF(AND($BH3="VP",($BC3-BO3)&gt;0),(BO3-$BC3)*$BD3*-1,0))))</calculatedColumnFormula>
    </tableColumn>
    <tableColumn id="82" xr3:uid="{FBF39641-33CA-4D53-BF2F-6EF2AE065C14}" name="-30%22" dataDxfId="67">
      <calculatedColumnFormula>IF(AND($BH3="CC",($BC3-BI3)&lt;0),$BD3*1,
 IF(AND($BH3="VC",($BC3-BI3)&lt;0),$BD3*1,
 IF(AND($BH3="CP",($BC3-BI3)&gt;0),$BD3*-1,
 IF(AND($BH3="VP",($BC3-BI3)&gt;0),$BD3*-1,0))))</calculatedColumnFormula>
    </tableColumn>
    <tableColumn id="83" xr3:uid="{78990BE0-69B9-4E4C-9387-6D928AE773D1}" name="-20%33" dataDxfId="66">
      <calculatedColumnFormula>IF(AND($BH3="CC",($BC3-BJ3)&lt;0),$BD3*1,
 IF(AND($BH3="VC",($BC3-BJ3)&lt;0),$BD3*1,
 IF(AND($BH3="CP",($BC3-BJ3)&gt;0),$BD3*-1,
 IF(AND($BH3="VP",($BC3-BJ3)&gt;0),$BD3*-1,0))))</calculatedColumnFormula>
    </tableColumn>
    <tableColumn id="84" xr3:uid="{09221433-DECB-44DF-B2B7-80F10A1AA260}" name="-10%44" dataDxfId="65">
      <calculatedColumnFormula>IF(AND($BH3="CC",($BC3-BK3)&lt;0),$BD3*1,
 IF(AND($BH3="VC",($BC3-BK3)&lt;0),$BD3*1,
 IF(AND($BH3="CP",($BC3-BK3)&gt;0),$BD3*-1,
 IF(AND($BH3="VP",($BC3-BK3)&gt;0),$BD3*-1,0))))</calculatedColumnFormula>
    </tableColumn>
    <tableColumn id="85" xr3:uid="{9833AD85-9104-4620-93B7-3D99190FBCBC}" name="0%55" dataDxfId="64">
      <calculatedColumnFormula>IF(AND($BH3="CC",($BC3-BL3)&lt;0),$BD3*1,
 IF(AND($BH3="VC",($BC3-BL3)&lt;0),$BD3*1,
 IF(AND($BH3="CP",($BC3-BL3)&gt;0),$BD3*-1,
 IF(AND($BH3="VP",($BC3-BL3)&gt;0),$BD3*-1,0))))</calculatedColumnFormula>
    </tableColumn>
    <tableColumn id="86" xr3:uid="{BC2AB503-C239-46B6-ADFA-74DFCBCB9DD2}" name="10%66" dataDxfId="63">
      <calculatedColumnFormula>IF(AND($BH3="CC",($BC3-BM3)&lt;0),$BD3*1,
 IF(AND($BH3="VC",($BC3-BM3)&lt;0),$BD3*1,
 IF(AND($BH3="CP",($BC3-BM3)&gt;0),$BD3*-1,
 IF(AND($BH3="VP",($BC3-BM3)&gt;0),$BD3*-1,0))))</calculatedColumnFormula>
    </tableColumn>
    <tableColumn id="87" xr3:uid="{807DAA92-6940-48EF-BD19-6EAF94FE3131}" name="20%77" dataDxfId="62">
      <calculatedColumnFormula>IF(AND($BH3="CC",($BC3-BN3)&lt;0),$BD3*1,
 IF(AND($BH3="VC",($BC3-BN3)&lt;0),$BD3*1,
 IF(AND($BH3="CP",($BC3-BN3)&gt;0),$BD3*-1,
 IF(AND($BH3="VP",($BC3-BN3)&gt;0),$BD3*-1,0))))</calculatedColumnFormula>
    </tableColumn>
    <tableColumn id="88" xr3:uid="{EFBF2739-688D-4990-964B-A42F3F45BE46}" name="30%88" dataDxfId="61">
      <calculatedColumnFormula>IF(AND($BH3="CC",($BC3-BO3)&lt;0),$BD3*1,
 IF(AND($BH3="VC",($BC3-BO3)&lt;0),$BD3*1,
 IF(AND($BH3="CP",($BC3-BO3)&gt;0),$BD3*-1,
 IF(AND($BH3="VP",($BC3-BO3)&gt;0),$BD3*-1,0))))</calculatedColumnFormula>
    </tableColumn>
    <tableColumn id="89" xr3:uid="{32D6EDE5-E8EA-4CC6-8708-83C3FC5AB589}" name="delta teorico " dataDxfId="60" dataCellStyle="Millares">
      <calculatedColumnFormula>Tabla3[[#This Row],[Tns]]</calculatedColumnFormula>
    </tableColumn>
    <tableColumn id="1" xr3:uid="{32C1CFA5-2FD5-4913-A15E-DC34A9FCED79}" name="Columna1" dataDxfId="59">
      <calculatedColumnFormula>IF(ISERROR(VLOOKUP(VALUE(E3),'Clientes CBOT'!A:A,1,0)),"VER","ok")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A3009B0-0C8A-4000-9CB5-C9D25EBB7B4B}" name="Saldo_CC" displayName="Saldo_CC" ref="A1:H1279" tableType="queryTable" totalsRowShown="0">
  <autoFilter ref="A1:H1279" xr:uid="{DA3009B0-0C8A-4000-9CB5-C9D25EBB7B4B}"/>
  <tableColumns count="8">
    <tableColumn id="1" xr3:uid="{CAE59FB3-913B-485E-AA84-9CC4F27BBD2E}" uniqueName="1" name="Comitente (Número)" queryTableFieldId="1"/>
    <tableColumn id="2" xr3:uid="{1EB94B05-0465-4B2A-9B74-D2FFAAEBC126}" uniqueName="2" name="Comitente (Denominación)" queryTableFieldId="2" dataDxfId="18"/>
    <tableColumn id="3" xr3:uid="{4E3BEC55-C3CB-477D-A206-EA9CADE40931}" uniqueName="3" name="Saldo Disponible" queryTableFieldId="3"/>
    <tableColumn id="6" xr3:uid="{24F2C25F-26E4-45C8-9676-46BFF4E40BE2}" uniqueName="6" name="Saldo No Disponible" queryTableFieldId="6"/>
    <tableColumn id="4" xr3:uid="{AF17D65A-47A0-4FD2-AADF-9CCCA71F3381}" uniqueName="4" name="Moneda (Descripción)" queryTableFieldId="9" dataDxfId="17"/>
    <tableColumn id="5" xr3:uid="{F17E6E1D-E366-4889-BFB3-581C56EDDDB4}" uniqueName="5" name="Moneda (Símbolo)" queryTableFieldId="10" dataDxfId="16"/>
    <tableColumn id="7" xr3:uid="{A7ACFD82-CCE9-4675-896D-D628F14C1516}" uniqueName="7" name="Saldo Total" queryTableFieldId="7"/>
    <tableColumn id="8" xr3:uid="{77EDCE26-9439-4F49-84E2-00CF6FF0A122}" uniqueName="8" name="9/12/2025" queryTableFieldId="40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CB5D9D5-6368-4E6E-A694-CCAB35D53369}" name="Colocaciones" displayName="Colocaciones" ref="A1:AZ52" tableType="queryTable" totalsRowShown="0">
  <autoFilter ref="A1:AZ52" xr:uid="{ACB5D9D5-6368-4E6E-A694-CCAB35D53369}"/>
  <tableColumns count="52">
    <tableColumn id="1" xr3:uid="{A1A1ED34-5DF1-4445-BCBE-E55182D3D8A9}" uniqueName="1" name="Source.Name" queryTableFieldId="1" dataDxfId="56"/>
    <tableColumn id="2" xr3:uid="{F3536A86-665F-4B93-9AF8-D2CE21C2B170}" uniqueName="2" name="Record Code" queryTableFieldId="2" dataDxfId="55"/>
    <tableColumn id="3" xr3:uid="{5346179A-5E18-4992-B880-10260D793143}" uniqueName="3" name="Firm Code" queryTableFieldId="3" dataDxfId="54"/>
    <tableColumn id="4" xr3:uid="{EE762818-6F7D-4BBB-9966-788880D3EC0B}" uniqueName="4" name="Office Code" queryTableFieldId="4"/>
    <tableColumn id="5" xr3:uid="{6547EF1C-E1C4-49D6-BF19-F8951C5CB17E}" uniqueName="5" name="Sales Code" queryTableFieldId="5"/>
    <tableColumn id="6" xr3:uid="{45137053-7E6B-4B1F-BAB5-F5B175A1AE74}" uniqueName="6" name="Account Number" queryTableFieldId="6" dataDxfId="53"/>
    <tableColumn id="7" xr3:uid="{526A071B-EDAC-46A6-9E06-D532A824A064}" uniqueName="7" name="Account Class Code" queryTableFieldId="7" dataDxfId="52"/>
    <tableColumn id="8" xr3:uid="{0932A9A4-459B-4367-82DD-04EB9C22E253}" uniqueName="8" name="Account Subclass Code" queryTableFieldId="8" dataDxfId="51"/>
    <tableColumn id="9" xr3:uid="{7C8F6EA1-1B50-4E8C-8DAC-BB5C8F3981D5}" uniqueName="9" name="Account Type Code" queryTableFieldId="9" dataDxfId="50"/>
    <tableColumn id="10" xr3:uid="{3FAC1B43-5E4A-4FAA-8B1E-09AD2A9189BF}" uniqueName="10" name="Cusip Code" queryTableFieldId="10" dataDxfId="49"/>
    <tableColumn id="11" xr3:uid="{7778F476-9A96-4DEA-837D-76632A117878}" uniqueName="11" name="Card Number" queryTableFieldId="11"/>
    <tableColumn id="12" xr3:uid="{CF9E41ED-9668-4629-99F0-B5455AED6DF9}" uniqueName="12" name="Buy Sell Code" queryTableFieldId="12"/>
    <tableColumn id="13" xr3:uid="{044DFF5F-0846-477C-A0B0-37DC939EBEE6}" uniqueName="13" name="Quantity" queryTableFieldId="13"/>
    <tableColumn id="14" xr3:uid="{A423A3A5-C1BE-4212-8EBF-87C677786D02}" uniqueName="14" name="Security Desc Line 1" queryTableFieldId="14" dataDxfId="48"/>
    <tableColumn id="15" xr3:uid="{1D67FE11-FDA2-4482-AAC0-277A777AA630}" uniqueName="15" name="Formatted Trade Price" queryTableFieldId="15" dataDxfId="47"/>
    <tableColumn id="16" xr3:uid="{03DBAB2C-29DE-40A8-A40E-34FE7B8FDA2F}" uniqueName="16" name="Trade Date" queryTableFieldId="16"/>
    <tableColumn id="17" xr3:uid="{C2D3CEC2-ADDB-4287-AAFD-14E24AE77172}" uniqueName="17" name="Open Close Code" queryTableFieldId="17"/>
    <tableColumn id="18" xr3:uid="{871AB00A-985C-4DA8-A2B8-AEC71DB20BA3}" uniqueName="18" name="Contract Month" queryTableFieldId="18"/>
    <tableColumn id="19" xr3:uid="{A1CC338D-D7B6-49A8-B8E3-64C7A44A1C8C}" uniqueName="19" name="Contract Day" queryTableFieldId="19"/>
    <tableColumn id="20" xr3:uid="{ADB19619-C1CE-43B9-800E-F3C4AAA25BE3}" uniqueName="20" name="Security Type Code" queryTableFieldId="20" dataDxfId="46"/>
    <tableColumn id="21" xr3:uid="{714AC775-3FC2-4427-AB87-304DD686BBAB}" uniqueName="21" name="Security Subtype Code" queryTableFieldId="21" dataDxfId="45"/>
    <tableColumn id="22" xr3:uid="{73E71AF2-C12E-4A42-8A62-140D2378C0BC}" uniqueName="22" name="Option Strike Price" queryTableFieldId="22"/>
    <tableColumn id="23" xr3:uid="{29F88F26-ED5C-4EF4-8FDE-39870E710FED}" uniqueName="23" name="Option Expire Date" queryTableFieldId="23"/>
    <tableColumn id="24" xr3:uid="{64C920C4-C84B-4C2C-909A-665FCCE20CC4}" uniqueName="24" name="Spread Code" queryTableFieldId="24" dataDxfId="44"/>
    <tableColumn id="25" xr3:uid="{09172B2A-C92B-4088-B882-D2A613EF800C}" uniqueName="25" name="Account Name" queryTableFieldId="25" dataDxfId="43"/>
    <tableColumn id="26" xr3:uid="{E36439F9-D535-4FF0-9F1F-16F2D2D752A3}" uniqueName="26" name="Source Account Number" queryTableFieldId="26"/>
    <tableColumn id="27" xr3:uid="{47B27CF8-1C65-4A81-8126-218E7FC8BDE5}" uniqueName="27" name="Settlement Date" queryTableFieldId="27"/>
    <tableColumn id="28" xr3:uid="{ACFD7918-BB88-4387-A048-D1EE3526643C}" uniqueName="28" name="Exchange Code" queryTableFieldId="28"/>
    <tableColumn id="29" xr3:uid="{9128B68E-450B-4B09-A089-3A7E670B23DB}" uniqueName="29" name="Trade Exchange Code" queryTableFieldId="29" dataDxfId="42"/>
    <tableColumn id="30" xr3:uid="{668651C2-DD63-45AC-8F6E-B0131BC2D041}" uniqueName="30" name="Contract Code" queryTableFieldId="30" dataDxfId="41"/>
    <tableColumn id="31" xr3:uid="{DD45629A-7ACE-49E7-ACED-F85BC2B96DB3}" uniqueName="31" name="Contract Symbol" queryTableFieldId="31"/>
    <tableColumn id="32" xr3:uid="{17726D16-7289-433F-B0DE-1E5639CF66C6}" uniqueName="32" name="Product Type Code" queryTableFieldId="32"/>
    <tableColumn id="33" xr3:uid="{480A28A1-4222-4830-990C-74D5D360CA3D}" uniqueName="33" name="Trade Price" queryTableFieldId="33" dataDxfId="40"/>
    <tableColumn id="34" xr3:uid="{C4807FC0-0137-46DD-8EF3-09FA531844A3}" uniqueName="34" name="Trade Calc Control Code" queryTableFieldId="34"/>
    <tableColumn id="35" xr3:uid="{AA14329D-0518-429E-9A4B-E27CAD59CEF8}" uniqueName="35" name="Comment Code 1" queryTableFieldId="35"/>
    <tableColumn id="36" xr3:uid="{BAB6549D-536F-4ABE-803F-9327B82CF622}" uniqueName="36" name="Comment Code 2" queryTableFieldId="36"/>
    <tableColumn id="37" xr3:uid="{8B5E0A55-FB0F-4A36-9DB4-03D310440D5B}" uniqueName="37" name="Give Up Code" queryTableFieldId="37"/>
    <tableColumn id="38" xr3:uid="{0E4448D3-B35E-43BA-9111-D874AB10C608}" uniqueName="38" name="Give Up Firm Code" queryTableFieldId="38"/>
    <tableColumn id="39" xr3:uid="{CA98D8BB-021A-4A74-9D66-1F8CA4A2C654}" uniqueName="39" name="Buy Side Quantity" queryTableFieldId="39" dataDxfId="39"/>
    <tableColumn id="40" xr3:uid="{CA93F2FF-C2D2-490E-97A5-F0158D25C3C2}" uniqueName="40" name="Sell Side Quantity" queryTableFieldId="40" dataDxfId="38"/>
    <tableColumn id="41" xr3:uid="{634FFBC8-CFF0-4C61-AA86-693F531B7186}" uniqueName="41" name="Account Type Currency Symbol" queryTableFieldId="41" dataDxfId="37"/>
    <tableColumn id="42" xr3:uid="{92C0BD14-84EE-476A-9910-1A0384D7BE37}" uniqueName="42" name="Market Value" queryTableFieldId="42"/>
    <tableColumn id="43" xr3:uid="{57226601-548B-4842-B6DA-5975BD12192C}" uniqueName="43" name="Close Price" queryTableFieldId="43"/>
    <tableColumn id="44" xr3:uid="{89198195-EFF5-4C8B-8F24-4595B6322372}" uniqueName="44" name="Underlying Close Price" queryTableFieldId="44"/>
    <tableColumn id="45" xr3:uid="{A05EA186-5ADD-4BB5-8424-9CEB52C3A8A1}" uniqueName="45" name="Multiplication Factor" queryTableFieldId="45"/>
    <tableColumn id="46" xr3:uid="{DCEF5F1B-EF28-454C-91C1-7EEA1B145B40}" uniqueName="46" name="Tracer Number" queryTableFieldId="46" dataDxfId="36"/>
    <tableColumn id="47" xr3:uid="{3053F599-EC19-4780-96BD-6DDA63CC440E}" uniqueName="47" name="Order Number" queryTableFieldId="47"/>
    <tableColumn id="48" xr3:uid="{C3C9F0C9-E91F-4D83-BEEC-5CD6FB99010B}" uniqueName="48" name="Delta Factor" queryTableFieldId="48" dataDxfId="35"/>
    <tableColumn id="49" xr3:uid="{BDB3FD6C-4F20-4E87-90CA-7E9BB6741762}" uniqueName="49" name="Bloomberg Root" queryTableFieldId="49" dataDxfId="34"/>
    <tableColumn id="50" xr3:uid="{E9EF47B7-5843-4092-9077-E0516F68580B}" uniqueName="50" name="Bloomberg Exch Code" queryTableFieldId="50" dataDxfId="33"/>
    <tableColumn id="51" xr3:uid="{12C904DF-D24C-47A5-9447-295509D8471A}" uniqueName="51" name="Bloomberg Market Sector" queryTableFieldId="51" dataDxfId="32"/>
    <tableColumn id="52" xr3:uid="{B6A7D22E-5EF2-4E9F-A664-5BB1651FAF06}" uniqueName="52" name="Producto" queryTableFieldId="54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985981F-A60A-4939-9019-44F6AA513995}" name="Fact_SaldosMonetarios_FyoCapital" displayName="Fact_SaldosMonetarios_FyoCapital" ref="A1:L577" tableType="queryTable" totalsRowShown="0">
  <autoFilter ref="A1:L577" xr:uid="{8985981F-A60A-4939-9019-44F6AA513995}"/>
  <tableColumns count="12">
    <tableColumn id="1" xr3:uid="{140F5B89-581B-4374-8E10-03A660FF24B7}" uniqueName="1" name="Dim_Calendario.Fecha" queryTableFieldId="1" dataDxfId="11"/>
    <tableColumn id="2" xr3:uid="{EA67C70F-1C7E-418B-BBCC-B113F05A03D1}" uniqueName="2" name="ID_Cliente" queryTableFieldId="2"/>
    <tableColumn id="3" xr3:uid="{2CE135FD-E814-45DE-86B1-1BF47B8C2342}" uniqueName="3" name="MonedaOriginal" queryTableFieldId="3" dataDxfId="10"/>
    <tableColumn id="4" xr3:uid="{379F7F6B-1B3F-4DA7-AE62-55477DED9BE0}" uniqueName="4" name="Saldo_USD_Compra" queryTableFieldId="4"/>
    <tableColumn id="5" xr3:uid="{D642A12A-3CB8-48AF-AE5C-466E0384ADA3}" uniqueName="5" name="Saldo_MonedaOriginal" queryTableFieldId="5"/>
    <tableColumn id="6" xr3:uid="{EB33DECF-199B-42DB-8EB4-59681E0E596E}" uniqueName="6" name="Saldo_USD_Venta" queryTableFieldId="6"/>
    <tableColumn id="7" xr3:uid="{A2D20C07-3217-4676-BE17-F525D12B3803}" uniqueName="7" name="Signo_Moneda" queryTableFieldId="7"/>
    <tableColumn id="8" xr3:uid="{3854878C-6406-42CB-AF0B-444EE0390751}" uniqueName="8" name="Dias_SaldoNegativo" queryTableFieldId="8"/>
    <tableColumn id="9" xr3:uid="{CF1232E3-1D88-4A42-A72A-A22352831521}" uniqueName="9" name="Dias_SaldoPositivo" queryTableFieldId="9"/>
    <tableColumn id="10" xr3:uid="{9EE69AA8-9673-459B-9B60-6A0999C82DAE}" uniqueName="10" name="Dim_Empresas.Codigo_Empresa" queryTableFieldId="10"/>
    <tableColumn id="11" xr3:uid="{D8E74663-8DC4-4F94-ACCC-E812CC9E2840}" uniqueName="11" name="Dim_Empresas.Descripcion_Clientes" queryTableFieldId="11" dataDxfId="9"/>
    <tableColumn id="12" xr3:uid="{A1060903-140A-42F4-9035-CB233C54FAAD}" uniqueName="12" name="Dim_Empresas.CUIT" queryTableFieldId="12" dataDxfId="8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4EA2AA8B-5160-44A5-8B8B-006926A748FA}" name="Fact_AUM_FyoCapital" displayName="Fact_AUM_FyoCapital" ref="A1:L2132" tableType="queryTable" totalsRowShown="0">
  <autoFilter ref="A1:L2132" xr:uid="{4EA2AA8B-5160-44A5-8B8B-006926A748FA}">
    <filterColumn colId="9">
      <filters>
        <filter val="SANTANGELO FRANCISCO VICTOR"/>
      </filters>
    </filterColumn>
  </autoFilter>
  <tableColumns count="12">
    <tableColumn id="1" xr3:uid="{3E53D117-F157-41AF-8BD9-0EECCE4BCC91}" uniqueName="1" name="ID_Transaccion" queryTableFieldId="1"/>
    <tableColumn id="2" xr3:uid="{87315A01-ED20-4D7B-B152-18DD19F14AF8}" uniqueName="2" name="ID_Calendario" queryTableFieldId="2"/>
    <tableColumn id="3" xr3:uid="{93ABD943-7774-4746-A717-085B932685BF}" uniqueName="3" name="ID_Cliente" queryTableFieldId="3"/>
    <tableColumn id="4" xr3:uid="{DCD81AEC-A5C2-45AB-BB42-7E9BBF0CF77A}" uniqueName="4" name="AUM_USD" queryTableFieldId="4"/>
    <tableColumn id="5" xr3:uid="{F9A7E78E-B255-47A2-B16A-53C1BCC47A40}" uniqueName="5" name="Dim_AUM_FyoCapital.Tipo" queryTableFieldId="5" dataDxfId="7"/>
    <tableColumn id="6" xr3:uid="{2D260E29-6B43-42CF-9F64-FB34A8A348E7}" uniqueName="6" name="Dim_AUM_FyoCapital.Subtipo_1" queryTableFieldId="6" dataDxfId="6"/>
    <tableColumn id="7" xr3:uid="{5BA9AA3F-32F1-4B82-9B52-AB97D77D17D4}" uniqueName="7" name="Dim_AUM_FyoCapital.Subtipo_2" queryTableFieldId="7" dataDxfId="5"/>
    <tableColumn id="8" xr3:uid="{9CE188A4-14BC-4D22-9C91-E5363B6238F2}" uniqueName="8" name="Dim_Calendario.Fecha" queryTableFieldId="8" dataDxfId="4"/>
    <tableColumn id="9" xr3:uid="{1B08FD27-1A0E-472F-B20F-BCB397D07E35}" uniqueName="9" name="Dim_Empresas.Codigo_Empresa" queryTableFieldId="9"/>
    <tableColumn id="10" xr3:uid="{EEA0177D-752F-43A9-BFFD-EB2701E8B656}" uniqueName="10" name="Dim_Empresas.Descripcion_Clientes" queryTableFieldId="10" dataDxfId="3"/>
    <tableColumn id="11" xr3:uid="{418D1472-4BF2-46CD-A40A-CE058F357F29}" uniqueName="11" name="Dim_Empresas.CUIT" queryTableFieldId="11" dataDxfId="2"/>
    <tableColumn id="12" xr3:uid="{91512952-F70E-44EA-8EDC-C7909D8635BE}" uniqueName="12" name="Nro asignado al mercado" queryTableFieldId="12" dataDxfId="1">
      <calculatedColumnFormula>VLOOKUP(Fact_AUM_FyoCapital[[#This Row],[Dim_Empresas.CUIT]],'clientes SQL'!C:D,2,0)</calculatedColumnFormula>
    </tableColumn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9C28E97-337B-4C2D-A579-7252E5A64B61}" name="nmny" displayName="nmny" ref="A1:AP112" tableType="queryTable" totalsRowShown="0">
  <autoFilter ref="A1:AP112" xr:uid="{F9C28E97-337B-4C2D-A579-7252E5A64B61}"/>
  <tableColumns count="42">
    <tableColumn id="8" xr3:uid="{C0769510-DCBD-4F1A-8C31-A8D58DC18DB9}" uniqueName="8" name="Record Code" queryTableFieldId="8" dataDxfId="31"/>
    <tableColumn id="9" xr3:uid="{D5E976AB-4AD6-4712-89D5-FEABFC46DEE0}" uniqueName="9" name="Firm Code" queryTableFieldId="9" dataDxfId="30"/>
    <tableColumn id="10" xr3:uid="{48F389C5-C4CF-437A-A7F9-1E9EBA246A12}" uniqueName="10" name="Office Code" queryTableFieldId="10"/>
    <tableColumn id="11" xr3:uid="{6C7B555D-4BC5-47E8-9A59-7CCE98EEF0E4}" uniqueName="11" name="Sales Code" queryTableFieldId="11"/>
    <tableColumn id="12" xr3:uid="{32420A65-86A4-4CB3-87A5-19D17B6838D3}" uniqueName="12" name="Account Number" queryTableFieldId="12" dataDxfId="29"/>
    <tableColumn id="13" xr3:uid="{A8AEE356-6B06-41D4-8405-2FEA2AE5DFF5}" uniqueName="13" name="Account Class Code" queryTableFieldId="13" dataDxfId="28"/>
    <tableColumn id="14" xr3:uid="{7C2C1A93-B3B2-4A2D-96C1-A06B6C8E81C0}" uniqueName="14" name="Account Subclass Code" queryTableFieldId="14" dataDxfId="27"/>
    <tableColumn id="15" xr3:uid="{B0777E88-3EEE-428C-AC41-2F0690E9B730}" uniqueName="15" name="Account Type Code" queryTableFieldId="15" dataDxfId="26"/>
    <tableColumn id="16" xr3:uid="{970532BF-7F99-4726-9B53-54F11DDA1A72}" uniqueName="16" name="Account Type Currency Symbol" queryTableFieldId="16" dataDxfId="25"/>
    <tableColumn id="17" xr3:uid="{33642C1F-3B81-4D07-89C7-84C5C0E74CDC}" uniqueName="17" name="Name Address Line 1" queryTableFieldId="17" dataDxfId="24"/>
    <tableColumn id="18" xr3:uid="{C84D22EE-7E92-4AAA-8E13-7EDFB4AB98DF}" uniqueName="18" name="Last Activity Date" queryTableFieldId="18"/>
    <tableColumn id="19" xr3:uid="{5D717C57-295D-4FBE-BDA7-D6FF300A5B42}" uniqueName="19" name="Related Office Code 1" queryTableFieldId="19"/>
    <tableColumn id="20" xr3:uid="{994DCA54-4A59-4E16-A26F-51B8B0F63AAA}" uniqueName="20" name="Related Account Number 1" queryTableFieldId="20" dataDxfId="23"/>
    <tableColumn id="21" xr3:uid="{2BC90A1C-E329-43F2-A3B4-98FDD9D86BD1}" uniqueName="21" name="Account Balance" queryTableFieldId="21" dataDxfId="15" dataCellStyle="Millares"/>
    <tableColumn id="22" xr3:uid="{4BC67AA5-4B0F-4DF1-873A-A361576D0786}" uniqueName="22" name="Security Long Market Value" queryTableFieldId="22" dataDxfId="22"/>
    <tableColumn id="23" xr3:uid="{422A0B58-CD3D-4A3B-BB77-028E2537F04A}" uniqueName="23" name="Security Short Market Value" queryTableFieldId="23" dataDxfId="21"/>
    <tableColumn id="24" xr3:uid="{8F7C592E-ABBA-4E1D-B692-64F8CCD59CC8}" uniqueName="24" name="Option Long Market Value" queryTableFieldId="24" dataDxfId="20"/>
    <tableColumn id="25" xr3:uid="{14BAF72C-51E4-4F00-B353-6CC6A16F0C30}" uniqueName="25" name="Option Short Market Value" queryTableFieldId="25"/>
    <tableColumn id="26" xr3:uid="{D0D45F4C-B666-4B7D-A5D7-1F40C08DBCFC}" uniqueName="26" name="Total Outstanding Margin Calls" queryTableFieldId="26"/>
    <tableColumn id="27" xr3:uid="{E2E9EC7F-575F-4D1D-B09B-2768FB1C034A}" uniqueName="27" name="Account All Records" queryTableFieldId="27"/>
    <tableColumn id="28" xr3:uid="{E759F6E2-8F9A-43A8-9A5F-DE14588440E2}" uniqueName="28" name="Oldest Account Call Age" queryTableFieldId="28"/>
    <tableColumn id="29" xr3:uid="{20A8E324-7AA9-41D0-A420-BE467E08A255}" uniqueName="29" name="Withdrawable Funds" queryTableFieldId="29"/>
    <tableColumn id="30" xr3:uid="{C6CCD232-0731-4FE6-A2E0-B4981BC66FED}" uniqueName="30" name="Future Margin Req Initial" queryTableFieldId="30" dataDxfId="14" dataCellStyle="Millares"/>
    <tableColumn id="31" xr3:uid="{2DF3CE67-1707-429D-BE4C-3684894888D7}" uniqueName="31" name="Future Margin Req Maint" queryTableFieldId="31"/>
    <tableColumn id="32" xr3:uid="{B3D4EEA8-E515-433F-AF81-49E17B6C9F3B}" uniqueName="32" name="Margin Excess Deficit" queryTableFieldId="32" dataDxfId="13" dataCellStyle="Millares"/>
    <tableColumn id="33" xr3:uid="{34F32EC3-2857-40AB-91F0-9D4542EB81C2}" uniqueName="33" name="Future Open Trade Equity" queryTableFieldId="33"/>
    <tableColumn id="34" xr3:uid="{56694496-3CBE-4FC9-A98D-E5FB913C5B5B}" uniqueName="34" name="Mtd Commission" queryTableFieldId="34"/>
    <tableColumn id="35" xr3:uid="{307C6F8A-E2BA-47FD-BB45-CBD90B90DE8D}" uniqueName="35" name="Equities Margin Req Initial" queryTableFieldId="35"/>
    <tableColumn id="36" xr3:uid="{6E93C80C-8867-4C1D-B418-2542605F3916}" uniqueName="36" name="Equities Margin Req Maint" queryTableFieldId="36"/>
    <tableColumn id="37" xr3:uid="{6EF0848E-9723-40EA-81C4-D22DE201AB87}" uniqueName="37" name="Firm Base Currency Conv Rate" queryTableFieldId="37"/>
    <tableColumn id="38" xr3:uid="{FB360849-AF82-4721-9749-65BF8288FC10}" uniqueName="38" name="Liquidating Value" queryTableFieldId="38" dataDxfId="12" dataCellStyle="Millares"/>
    <tableColumn id="39" xr3:uid="{6468DD33-C18E-458B-86E2-89FA9E081E01}" uniqueName="39" name="Margin Collat Value" queryTableFieldId="39"/>
    <tableColumn id="40" xr3:uid="{0AEC0550-BC91-42AB-8E62-CF03D3EE9522}" uniqueName="40" name="Option Premium Value" queryTableFieldId="40"/>
    <tableColumn id="41" xr3:uid="{7384E6D2-4092-4B4E-9D03-0C93D192DAA1}" uniqueName="41" name="Unsettled Unrealized Profit Loss" queryTableFieldId="41"/>
    <tableColumn id="42" xr3:uid="{EC88AF56-F886-43B9-AEC3-7E13CF739C84}" uniqueName="42" name="Total Account Requirement" queryTableFieldId="42"/>
    <tableColumn id="43" xr3:uid="{C0E7BF54-59E0-447E-8B0E-356E415BBCB8}" uniqueName="43" name="Total Equity" queryTableFieldId="43"/>
    <tableColumn id="44" xr3:uid="{A945AD73-7412-4FB3-80ED-56C45441A515}" uniqueName="44" name="Total Current Calls" queryTableFieldId="44"/>
    <tableColumn id="45" xr3:uid="{62BE2611-6A7E-4CC1-92B3-D2AFEAFCA08A}" uniqueName="45" name="Previous Account Balance" queryTableFieldId="45"/>
    <tableColumn id="46" xr3:uid="{37C2D263-D60E-4F20-9235-64DD971C860C}" uniqueName="46" name="Previous Open Trade Equity" queryTableFieldId="46"/>
    <tableColumn id="47" xr3:uid="{C72DA73C-5B0D-4F12-B60F-858B745153E0}" uniqueName="47" name="Previous Total Equity" queryTableFieldId="47"/>
    <tableColumn id="48" xr3:uid="{752D1CAC-4F13-4F0B-AF9E-9D312486B61F}" uniqueName="48" name="Previous Liquidating Value" queryTableFieldId="48"/>
    <tableColumn id="1" xr3:uid="{8454F52C-4C66-41B4-8B11-8B36AAC0A239}" uniqueName="1" name="Source.Name" queryTableFieldId="49" dataDxfId="19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8D3C69-0F66-465C-8ABE-A17FC4533AB8}">
  <sheetPr codeName="Hoja1">
    <tabColor theme="3" tint="0.499984740745262"/>
  </sheetPr>
  <dimension ref="B1:N22"/>
  <sheetViews>
    <sheetView tabSelected="1" workbookViewId="0">
      <selection activeCell="K20" sqref="K20"/>
    </sheetView>
  </sheetViews>
  <sheetFormatPr baseColWidth="10" defaultRowHeight="14.4" x14ac:dyDescent="0.3"/>
  <cols>
    <col min="2" max="2" width="27.77734375" customWidth="1"/>
    <col min="3" max="3" width="17.77734375" bestFit="1" customWidth="1"/>
    <col min="4" max="4" width="12.5546875" bestFit="1" customWidth="1"/>
    <col min="5" max="5" width="15.109375" bestFit="1" customWidth="1"/>
    <col min="6" max="6" width="13.77734375" customWidth="1"/>
    <col min="7" max="9" width="15.109375" bestFit="1" customWidth="1"/>
    <col min="11" max="11" width="29.44140625" bestFit="1" customWidth="1"/>
    <col min="12" max="12" width="10.109375" customWidth="1"/>
    <col min="13" max="13" width="24.44140625" bestFit="1" customWidth="1"/>
    <col min="14" max="14" width="25.33203125" bestFit="1" customWidth="1"/>
  </cols>
  <sheetData>
    <row r="1" spans="2:14" ht="15" thickBot="1" x14ac:dyDescent="0.35">
      <c r="B1" s="104" t="s">
        <v>94</v>
      </c>
      <c r="C1" s="105"/>
      <c r="D1" s="105"/>
      <c r="E1" s="105"/>
      <c r="F1" s="105"/>
      <c r="G1" s="105"/>
      <c r="H1" s="105"/>
      <c r="I1" s="106"/>
    </row>
    <row r="2" spans="2:14" ht="15" thickBot="1" x14ac:dyDescent="0.35">
      <c r="B2" s="9" t="s">
        <v>95</v>
      </c>
      <c r="C2" s="10">
        <f>+F5</f>
        <v>-27289.275000000009</v>
      </c>
      <c r="D2" s="11"/>
      <c r="E2" s="12"/>
      <c r="F2" s="12"/>
      <c r="G2" s="12"/>
      <c r="H2" s="12"/>
      <c r="I2" s="13"/>
    </row>
    <row r="3" spans="2:14" ht="15" thickBot="1" x14ac:dyDescent="0.35">
      <c r="B3" s="9" t="s">
        <v>96</v>
      </c>
      <c r="C3" s="14">
        <f>MIN(C5:I5)</f>
        <v>-44435.35500000001</v>
      </c>
      <c r="E3" s="15"/>
      <c r="F3" s="12"/>
      <c r="G3" s="12"/>
      <c r="H3" s="12"/>
      <c r="I3" s="13"/>
    </row>
    <row r="4" spans="2:14" ht="15" thickBot="1" x14ac:dyDescent="0.35">
      <c r="B4" s="16" t="s">
        <v>97</v>
      </c>
      <c r="C4" s="12"/>
      <c r="D4" s="12"/>
      <c r="E4" s="12"/>
      <c r="F4" s="12"/>
      <c r="G4" s="12"/>
      <c r="H4" s="12"/>
      <c r="I4" s="17"/>
      <c r="K4" s="107" t="s">
        <v>833</v>
      </c>
      <c r="L4" s="108"/>
      <c r="M4" s="109"/>
    </row>
    <row r="5" spans="2:14" x14ac:dyDescent="0.3">
      <c r="B5" s="16" t="s">
        <v>98</v>
      </c>
      <c r="C5" s="18"/>
      <c r="D5" s="18">
        <f t="shared" ref="D5:I5" si="0">+D9</f>
        <v>-27289.275000000009</v>
      </c>
      <c r="E5" s="18">
        <f t="shared" si="0"/>
        <v>-27289.275000000009</v>
      </c>
      <c r="F5" s="18">
        <f t="shared" si="0"/>
        <v>-27289.275000000009</v>
      </c>
      <c r="G5" s="18">
        <f t="shared" si="0"/>
        <v>-44435.35500000001</v>
      </c>
      <c r="H5" s="18">
        <f t="shared" si="0"/>
        <v>-44435.35500000001</v>
      </c>
      <c r="I5" s="19">
        <f t="shared" si="0"/>
        <v>-44435.35500000001</v>
      </c>
      <c r="K5" s="87"/>
      <c r="L5" s="91"/>
      <c r="M5" s="88"/>
    </row>
    <row r="6" spans="2:14" ht="15" thickBot="1" x14ac:dyDescent="0.35">
      <c r="B6" s="16"/>
      <c r="C6" s="12"/>
      <c r="D6" s="12"/>
      <c r="E6" s="12"/>
      <c r="F6" s="12"/>
      <c r="G6" s="12"/>
      <c r="H6" s="12"/>
      <c r="I6" s="65"/>
      <c r="K6" s="87"/>
      <c r="L6" s="91"/>
      <c r="M6" s="88"/>
    </row>
    <row r="7" spans="2:14" x14ac:dyDescent="0.3">
      <c r="B7" s="20" t="s">
        <v>99</v>
      </c>
      <c r="C7" s="68">
        <f>SUMIFS(Tabla3[[#All],[delta teorico ]],Tabla3[[#All],[Opcion??]],"no")</f>
        <v>-27289.275000000009</v>
      </c>
      <c r="D7" s="68">
        <f>C7</f>
        <v>-27289.275000000009</v>
      </c>
      <c r="E7" s="68">
        <f t="shared" ref="E7:I7" si="1">D7</f>
        <v>-27289.275000000009</v>
      </c>
      <c r="F7" s="68">
        <f t="shared" si="1"/>
        <v>-27289.275000000009</v>
      </c>
      <c r="G7" s="68">
        <f t="shared" si="1"/>
        <v>-27289.275000000009</v>
      </c>
      <c r="H7" s="68">
        <f t="shared" si="1"/>
        <v>-27289.275000000009</v>
      </c>
      <c r="I7" s="67">
        <f t="shared" si="1"/>
        <v>-27289.275000000009</v>
      </c>
      <c r="K7" s="87" t="s">
        <v>834</v>
      </c>
      <c r="L7" s="91" t="str">
        <f ca="1">IF((TODAY())-M7&gt;3,"Actualizar","")</f>
        <v/>
      </c>
      <c r="M7" s="88" t="str">
        <f ca="1">INDEX(INDIRECT("'Saldo CC'!H:H"),1)</f>
        <v>9/12/2025</v>
      </c>
    </row>
    <row r="8" spans="2:14" x14ac:dyDescent="0.3">
      <c r="B8" s="21" t="s">
        <v>100</v>
      </c>
      <c r="C8" s="22">
        <f>SUMIFS(Tabla3[[#All],[-30%22]],Tabla3[[#All],[Opcion??]],"si")</f>
        <v>0</v>
      </c>
      <c r="D8" s="22">
        <f>SUMIFS(Tabla3[[#All],[-20%33]],Tabla3[[#All],[Opcion??]],"si")</f>
        <v>0</v>
      </c>
      <c r="E8" s="22">
        <f>SUMIFS(Tabla3[[#All],[-10%44]],Tabla3[[#All],[Opcion??]],"si")</f>
        <v>0</v>
      </c>
      <c r="F8" s="22">
        <f>SUMIFS(Tabla3[[#All],[0%55]],Tabla3[[#All],[Opcion??]],"si")</f>
        <v>0</v>
      </c>
      <c r="G8" s="22">
        <f>SUMIFS(Tabla3[[#All],[10%66]],Tabla3[[#All],[Opcion??]],"si")</f>
        <v>-17146.080000000005</v>
      </c>
      <c r="H8" s="22">
        <f>SUMIFS(Tabla3[[#All],[20%77]],Tabla3[[#All],[Opcion??]],"si")</f>
        <v>-17146.080000000005</v>
      </c>
      <c r="I8" s="67">
        <f>SUMIFS(Tabla3[[#All],[30%88]],Tabla3[[#All],[Opcion??]],"si")</f>
        <v>-17146.080000000005</v>
      </c>
      <c r="K8" s="87" t="s">
        <v>839</v>
      </c>
      <c r="L8" s="91" t="str">
        <f ca="1">IF((TODAY())-M8&gt;3,"Actualizar","")</f>
        <v/>
      </c>
      <c r="M8" s="90">
        <f>DATE(
    LEFT(MID(N8,SEARCH("_",N8,SEARCH("_",N8)+1)+1,8),4),
    MID(MID(N8,SEARCH("_",N8,SEARCH("_",N8)+1)+1,8),5,2),
    RIGHT(MID(N8,SEARCH("_",N8,SEARCH("_",N8)+1)+1,8),2)
)</f>
        <v>45999</v>
      </c>
      <c r="N8" t="str">
        <f>'Colocaciones base'!A27</f>
        <v>csvnpos_npos_20251208.csv</v>
      </c>
    </row>
    <row r="9" spans="2:14" x14ac:dyDescent="0.3">
      <c r="B9" s="23" t="s">
        <v>101</v>
      </c>
      <c r="C9" s="24">
        <f>+C7+C8</f>
        <v>-27289.275000000009</v>
      </c>
      <c r="D9" s="24">
        <f>+D7+D8</f>
        <v>-27289.275000000009</v>
      </c>
      <c r="E9" s="24">
        <f t="shared" ref="E9:H9" si="2">+E7+E8</f>
        <v>-27289.275000000009</v>
      </c>
      <c r="F9" s="24">
        <f t="shared" si="2"/>
        <v>-27289.275000000009</v>
      </c>
      <c r="G9" s="24">
        <f t="shared" si="2"/>
        <v>-44435.35500000001</v>
      </c>
      <c r="H9" s="24">
        <f t="shared" si="2"/>
        <v>-44435.35500000001</v>
      </c>
      <c r="I9" s="25">
        <f>IFERROR(+I7+I8,1)</f>
        <v>-44435.35500000001</v>
      </c>
      <c r="K9" s="87" t="s">
        <v>835</v>
      </c>
      <c r="L9" s="91"/>
      <c r="M9" s="88" t="str">
        <f>IF(OR(I9=1,I13=1),"SI","NO")</f>
        <v>NO</v>
      </c>
    </row>
    <row r="10" spans="2:14" x14ac:dyDescent="0.3">
      <c r="B10" s="26" t="s">
        <v>102</v>
      </c>
      <c r="C10" s="34">
        <v>-0.3</v>
      </c>
      <c r="D10" s="34">
        <v>-0.2</v>
      </c>
      <c r="E10" s="34">
        <v>-0.1</v>
      </c>
      <c r="F10" s="34">
        <v>0</v>
      </c>
      <c r="G10" s="34">
        <v>0.1</v>
      </c>
      <c r="H10" s="34">
        <v>0.2</v>
      </c>
      <c r="I10" s="27">
        <v>0.3</v>
      </c>
      <c r="K10" s="87" t="s">
        <v>836</v>
      </c>
      <c r="L10" s="91"/>
      <c r="M10" s="88" t="str">
        <f>IF(COUNTIF(Tabla3[Columna1],"VER")&gt;=1,"SI","NO")</f>
        <v>NO</v>
      </c>
    </row>
    <row r="11" spans="2:14" x14ac:dyDescent="0.3">
      <c r="B11" s="26" t="s">
        <v>103</v>
      </c>
      <c r="C11" s="35">
        <f>(SUMIFS('Cartera clientes'!BW:BW,'Cartera clientes'!$BF:$BF,"si")-SUMIFS('Cartera clientes'!$BZ:$BZ,'Cartera clientes'!$BF:$BF,"si"))/2</f>
        <v>0</v>
      </c>
      <c r="D11" s="35">
        <f>(SUMIFS('Cartera clientes'!BX:BX,'Cartera clientes'!$BF:$BF,"si")-SUMIFS('Cartera clientes'!$BZ:$BZ,'Cartera clientes'!$BF:$BF,"si"))/2</f>
        <v>0</v>
      </c>
      <c r="E11" s="35">
        <f>(SUMIFS('Cartera clientes'!BY:BY,'Cartera clientes'!$BF:$BF,"si")-SUMIFS('Cartera clientes'!$BZ:$BZ,'Cartera clientes'!$BF:$BF,"si"))/2</f>
        <v>0</v>
      </c>
      <c r="F11" s="35">
        <f>(SUMIFS('Cartera clientes'!BZ:BZ,'Cartera clientes'!$BF:$BF,"si")-SUMIFS('Cartera clientes'!$BZ:$BZ,'Cartera clientes'!$BF:$BF,"si"))/2</f>
        <v>0</v>
      </c>
      <c r="G11" s="35">
        <f>(SUMIFS('Cartera clientes'!CA:CA,'Cartera clientes'!$BF:$BF,"si")-SUMIFS('Cartera clientes'!$BZ:$BZ,'Cartera clientes'!$BF:$BF,"si"))/2</f>
        <v>-96118.508549700622</v>
      </c>
      <c r="H11" s="35">
        <f>(SUMIFS('Cartera clientes'!CB:CB,'Cartera clientes'!$BF:$BF,"si")-SUMIFS('Cartera clientes'!$BZ:$BZ,'Cartera clientes'!$BF:$BF,"si"))/2</f>
        <v>-447673.8754403998</v>
      </c>
      <c r="I11" s="28">
        <f>(SUMIFS('Cartera clientes'!CC:CC,'Cartera clientes'!$BF:$BF,"si")-SUMIFS('Cartera clientes'!$BZ:$BZ,'Cartera clientes'!$BF:$BF,"si"))/2</f>
        <v>-799229.24233110039</v>
      </c>
      <c r="K11" s="87" t="s">
        <v>837</v>
      </c>
      <c r="L11" s="91"/>
      <c r="M11" s="88" t="str">
        <f>IF(COUNTIF('Stress test RJO'!AA4:AA13,"VER")&gt;=1,"SI","NO")</f>
        <v>NO</v>
      </c>
    </row>
    <row r="12" spans="2:14" x14ac:dyDescent="0.3">
      <c r="B12" s="26" t="s">
        <v>104</v>
      </c>
      <c r="C12" s="35">
        <f>SUMIFS('Cartera clientes'!BP:BP,'Cartera clientes'!$BE:$BE,"futuro")/2</f>
        <v>2614631.1125779352</v>
      </c>
      <c r="D12" s="35">
        <f>SUMIFS('Cartera clientes'!BQ:BQ,'Cartera clientes'!$BE:$BE,"futuro")/2</f>
        <v>1743087.4083852887</v>
      </c>
      <c r="E12" s="35">
        <f>SUMIFS('Cartera clientes'!BR:BR,'Cartera clientes'!$BE:$BE,"futuro")/2</f>
        <v>871543.70419264503</v>
      </c>
      <c r="F12" s="35">
        <f>SUMIFS('Cartera clientes'!BS:BS,'Cartera clientes'!$BE:$BE,"futuro")/2</f>
        <v>0</v>
      </c>
      <c r="G12" s="35">
        <f>SUMIFS('Cartera clientes'!BT:BT,'Cartera clientes'!$BE:$BE,"futuro")/2</f>
        <v>-871543.70419264643</v>
      </c>
      <c r="H12" s="35">
        <f>SUMIFS('Cartera clientes'!BU:BU,'Cartera clientes'!$BE:$BE,"futuro")/2</f>
        <v>-1743087.4083852887</v>
      </c>
      <c r="I12" s="28">
        <f>SUMIFS('Cartera clientes'!BV:BV,'Cartera clientes'!$BE:$BE,"futuro")/2</f>
        <v>-2614631.1125779352</v>
      </c>
      <c r="K12" s="87" t="s">
        <v>838</v>
      </c>
      <c r="L12" s="91"/>
      <c r="M12" s="88" t="str">
        <f>IF(H14+H15=H13,"NO","SI")</f>
        <v>NO</v>
      </c>
    </row>
    <row r="13" spans="2:14" x14ac:dyDescent="0.3">
      <c r="B13" s="29" t="s">
        <v>105</v>
      </c>
      <c r="C13" s="36">
        <f t="shared" ref="C13:H13" si="3">+C11+C12</f>
        <v>2614631.1125779352</v>
      </c>
      <c r="D13" s="36">
        <f t="shared" si="3"/>
        <v>1743087.4083852887</v>
      </c>
      <c r="E13" s="36">
        <f t="shared" si="3"/>
        <v>871543.70419264503</v>
      </c>
      <c r="F13" s="36">
        <f t="shared" si="3"/>
        <v>0</v>
      </c>
      <c r="G13" s="36">
        <f t="shared" si="3"/>
        <v>-967662.21274234704</v>
      </c>
      <c r="H13" s="36">
        <f t="shared" si="3"/>
        <v>-2190761.2838256885</v>
      </c>
      <c r="I13" s="30">
        <f>IFERROR(+I11+I12,1)</f>
        <v>-3413860.3549090354</v>
      </c>
      <c r="K13" s="87" t="s">
        <v>923</v>
      </c>
      <c r="L13" s="91" t="str">
        <f ca="1">IF((TODAY())-M13&gt;3,"Actualizar","")</f>
        <v/>
      </c>
      <c r="M13" s="90">
        <f>DATE(
    LEFT(MID(N13,SEARCH("_",N13,SEARCH("_",N13)+1)+1,8),4),
    MID(MID(N13,SEARCH("_",N13,SEARCH("_",N13)+1)+1,8),5,2),
    RIGHT(MID(N13,SEARCH("_",N13,SEARCH("_",N13)+1)+1,8),2)
)</f>
        <v>45999</v>
      </c>
      <c r="N13" t="str">
        <f>'Statement base'!AP2</f>
        <v>csvnmny_nmny_20251208.csv</v>
      </c>
    </row>
    <row r="14" spans="2:14" x14ac:dyDescent="0.3">
      <c r="B14" s="73" t="s">
        <v>809</v>
      </c>
      <c r="C14" s="74">
        <f>IF(C11&lt;0,MIN(Tabla!I22:J22)+C11,MIN(Tabla!I22:J22))</f>
        <v>0</v>
      </c>
      <c r="D14" s="74">
        <f>IF(D11&lt;0,MIN(Tabla!K22:L22)+D11,MIN(Tabla!K22:L22))</f>
        <v>0</v>
      </c>
      <c r="E14" s="74">
        <f>IF(E11&lt;0,MIN(Tabla!M22:N22)+E11,MIN(Tabla!M22:N22))</f>
        <v>0</v>
      </c>
      <c r="F14" s="74">
        <v>0</v>
      </c>
      <c r="G14" s="74">
        <f>IF(G11&lt;0,MIN(Tabla!O22:P22)+G11,MIN(Tabla!O22:P22))</f>
        <v>-967662.21274234704</v>
      </c>
      <c r="H14" s="74">
        <f>IF(H11&lt;0,MIN(Tabla!Q22:R22)+H11,MIN(Tabla!Q22:R22))</f>
        <v>-2190761.2838256885</v>
      </c>
      <c r="I14" s="75">
        <f>IF(I11&lt;0,MIN(Tabla!S22:T22)+I11,MIN(Tabla!S22:T22))</f>
        <v>-3413860.3549090354</v>
      </c>
      <c r="K14" s="87" t="s">
        <v>1449</v>
      </c>
      <c r="L14" s="91" t="str">
        <f ca="1">IF((TODAY())-M14&gt;3,"Actualizar","")</f>
        <v>Actualizar</v>
      </c>
      <c r="M14" s="90">
        <f>Fact_AUM_FyoCapital!H2</f>
        <v>45996</v>
      </c>
    </row>
    <row r="15" spans="2:14" x14ac:dyDescent="0.3">
      <c r="B15" s="73" t="s">
        <v>810</v>
      </c>
      <c r="C15" s="74">
        <f>IF(C11&gt;0,MAX(Tabla!I22:J22)+C11,MAX(Tabla!I22:J22))</f>
        <v>2614631.1125779352</v>
      </c>
      <c r="D15" s="74">
        <f>IF(D11&gt;0,MAX(Tabla!K22:L22)+D11,MAX(Tabla!K22:L22))</f>
        <v>1743087.4083852887</v>
      </c>
      <c r="E15" s="74">
        <f>IF(E11&gt;0,MAX(Tabla!M22:N22)+E11,MAX(Tabla!M22:N22))</f>
        <v>871543.70419264503</v>
      </c>
      <c r="F15" s="74">
        <v>0</v>
      </c>
      <c r="G15" s="74">
        <f>IF(G11&gt;0,MAX(Tabla!O22:P22)+G11,MAX(Tabla!O22:P22))</f>
        <v>0</v>
      </c>
      <c r="H15" s="74">
        <f>IF(H11&gt;0,MAX(Tabla!Q22:R22)+H11,MAX(Tabla!Q22:R22))</f>
        <v>0</v>
      </c>
      <c r="I15" s="75">
        <f>IF(I11&gt;0,MAX(Tabla!S22:T22)+I11,MAX(Tabla!S22:T22))</f>
        <v>0</v>
      </c>
      <c r="K15" s="87" t="s">
        <v>1539</v>
      </c>
      <c r="L15" s="91"/>
      <c r="M15" s="88" t="str">
        <f>IF(COUNTIF(Colocaciones[[#All],[Producto]],"VER")&gt;=1,"SI","NO")</f>
        <v>NO</v>
      </c>
    </row>
    <row r="16" spans="2:14" ht="15" thickBot="1" x14ac:dyDescent="0.35">
      <c r="B16" s="31" t="s">
        <v>106</v>
      </c>
      <c r="C16" s="32">
        <f>(C12+C11)/C9*-1</f>
        <v>95.811673728156364</v>
      </c>
      <c r="D16" s="32">
        <f t="shared" ref="D16:I16" si="4">(D12+D11)/D9*-1</f>
        <v>63.874449152104191</v>
      </c>
      <c r="E16" s="32">
        <f t="shared" si="4"/>
        <v>31.93722457605212</v>
      </c>
      <c r="F16" s="32">
        <f t="shared" si="4"/>
        <v>0</v>
      </c>
      <c r="G16" s="32">
        <f t="shared" si="4"/>
        <v>-21.776853425438972</v>
      </c>
      <c r="H16" s="32">
        <f t="shared" si="4"/>
        <v>-49.302211804669682</v>
      </c>
      <c r="I16" s="33">
        <f t="shared" si="4"/>
        <v>-76.827570183900519</v>
      </c>
      <c r="K16" s="87" t="s">
        <v>1540</v>
      </c>
      <c r="L16" s="91"/>
      <c r="M16" s="88" t="str">
        <f>IF(COUNTIF(Colocaciones[[#All],[Producto]],"Harina de soja")&gt;=1,"SI","NO")</f>
        <v>NO</v>
      </c>
    </row>
    <row r="17" spans="2:13" x14ac:dyDescent="0.3">
      <c r="B17" s="29" t="s">
        <v>1591</v>
      </c>
      <c r="C17" s="36">
        <f>C18+C19+C11</f>
        <v>0</v>
      </c>
      <c r="D17" s="36">
        <f t="shared" ref="D17:I17" si="5">D18+D19+D11</f>
        <v>0</v>
      </c>
      <c r="E17" s="36">
        <f t="shared" si="5"/>
        <v>0</v>
      </c>
      <c r="F17" s="36">
        <f t="shared" si="5"/>
        <v>0</v>
      </c>
      <c r="G17" s="36">
        <f t="shared" si="5"/>
        <v>-192237.01709940124</v>
      </c>
      <c r="H17" s="36">
        <f t="shared" si="5"/>
        <v>-895347.75088079961</v>
      </c>
      <c r="I17" s="30">
        <f t="shared" si="5"/>
        <v>-1598458.4846622008</v>
      </c>
      <c r="K17" s="87" t="s">
        <v>1538</v>
      </c>
      <c r="L17" s="91"/>
      <c r="M17" s="88" t="str">
        <f>IF(MAX(Tabla3[[#All],[Precio]])&gt;1000,"SI","NO")</f>
        <v>NO</v>
      </c>
    </row>
    <row r="18" spans="2:13" x14ac:dyDescent="0.3">
      <c r="B18" s="73" t="s">
        <v>1592</v>
      </c>
      <c r="C18" s="74">
        <f>IF(C11&lt;0,MIN(Tabla!I23:J23)+C11,MIN(Tabla!I23:J23))</f>
        <v>0</v>
      </c>
      <c r="D18" s="74">
        <f>IF(D11&lt;0,MIN(Tabla!K23:L23)+D11,MIN(Tabla!K23:L23))</f>
        <v>0</v>
      </c>
      <c r="E18" s="74">
        <f>IF(E11&lt;0,MIN(Tabla!M23:N23)+E11,MIN(Tabla!M23:N23))</f>
        <v>0</v>
      </c>
      <c r="F18" s="74">
        <v>0</v>
      </c>
      <c r="G18" s="74">
        <f>IF(G11&lt;0,MIN(Tabla!O23:P25)+G11,MIN(Tabla!O23:P25))</f>
        <v>-96118.508549700622</v>
      </c>
      <c r="H18" s="74">
        <f>IF(H11&lt;0,MIN(Tabla!Q23:R25)+H11,MIN(Tabla!Q23:R25))</f>
        <v>-447673.8754403998</v>
      </c>
      <c r="I18" s="75">
        <f>IF(I11&lt;0,MIN(Tabla!S23:T25)+I11,MIN(Tabla!S23:T25))</f>
        <v>-799229.24233110039</v>
      </c>
    </row>
    <row r="19" spans="2:13" ht="15" thickBot="1" x14ac:dyDescent="0.35">
      <c r="B19" s="101" t="s">
        <v>1593</v>
      </c>
      <c r="C19" s="102">
        <f>IF(C11&gt;0,MAX(Tabla!I23:J23)+C11,MAX(Tabla!I23:J23))</f>
        <v>0</v>
      </c>
      <c r="D19" s="102">
        <f>IF(D11&gt;0,MAX(Tabla!K23:L23)+D11,MAX(Tabla!K23:L23))</f>
        <v>0</v>
      </c>
      <c r="E19" s="102">
        <f>IF(E11&gt;0,MAX(Tabla!M23:N23)+E11,MAX(Tabla!M23:N23))</f>
        <v>0</v>
      </c>
      <c r="F19" s="102">
        <v>0</v>
      </c>
      <c r="G19" s="102">
        <f>IF(G11&gt;0,MAX(Tabla!O23:P25)+G11,MAX(Tabla!O23:P25))</f>
        <v>0</v>
      </c>
      <c r="H19" s="102">
        <f>IF(H11&gt;0,MAX(Tabla!Q23:R25)+H11,MAX(Tabla!Q23:R25))</f>
        <v>0</v>
      </c>
      <c r="I19" s="103">
        <f>IF(I11&gt;0,MAX(Tabla!S23:T25)+I11,MAX(Tabla!S23:T25))</f>
        <v>0</v>
      </c>
    </row>
    <row r="20" spans="2:13" x14ac:dyDescent="0.3">
      <c r="B20" s="29" t="s">
        <v>1596</v>
      </c>
      <c r="C20" s="36">
        <f>C13-C17</f>
        <v>2614631.1125779352</v>
      </c>
      <c r="D20" s="36">
        <f t="shared" ref="D20:I20" si="6">D13-D17</f>
        <v>1743087.4083852887</v>
      </c>
      <c r="E20" s="36">
        <f t="shared" si="6"/>
        <v>871543.70419264503</v>
      </c>
      <c r="F20" s="36">
        <f t="shared" si="6"/>
        <v>0</v>
      </c>
      <c r="G20" s="36">
        <f t="shared" si="6"/>
        <v>-775425.19564294582</v>
      </c>
      <c r="H20" s="36">
        <f t="shared" si="6"/>
        <v>-1295413.5329448888</v>
      </c>
      <c r="I20" s="30">
        <f t="shared" si="6"/>
        <v>-1815401.8702468346</v>
      </c>
    </row>
    <row r="21" spans="2:13" x14ac:dyDescent="0.3">
      <c r="B21" s="73" t="s">
        <v>1597</v>
      </c>
      <c r="C21" s="74">
        <f>C14-C18-C11</f>
        <v>0</v>
      </c>
      <c r="D21" s="74">
        <f t="shared" ref="D21:I21" si="7">D14-D18-D11</f>
        <v>0</v>
      </c>
      <c r="E21" s="74">
        <f t="shared" si="7"/>
        <v>0</v>
      </c>
      <c r="F21" s="74">
        <f t="shared" si="7"/>
        <v>0</v>
      </c>
      <c r="G21" s="74">
        <f t="shared" si="7"/>
        <v>-775425.19564294582</v>
      </c>
      <c r="H21" s="74">
        <f t="shared" si="7"/>
        <v>-1295413.5329448888</v>
      </c>
      <c r="I21" s="75">
        <f t="shared" si="7"/>
        <v>-1815401.8702468344</v>
      </c>
    </row>
    <row r="22" spans="2:13" ht="15" thickBot="1" x14ac:dyDescent="0.35">
      <c r="B22" s="101" t="s">
        <v>1598</v>
      </c>
      <c r="C22" s="102">
        <f>C15-C19</f>
        <v>2614631.1125779352</v>
      </c>
      <c r="D22" s="102">
        <f t="shared" ref="D22:I22" si="8">D15-D19</f>
        <v>1743087.4083852887</v>
      </c>
      <c r="E22" s="102">
        <f t="shared" si="8"/>
        <v>871543.70419264503</v>
      </c>
      <c r="F22" s="102">
        <f t="shared" si="8"/>
        <v>0</v>
      </c>
      <c r="G22" s="102">
        <f t="shared" si="8"/>
        <v>0</v>
      </c>
      <c r="H22" s="102">
        <f t="shared" si="8"/>
        <v>0</v>
      </c>
      <c r="I22" s="103">
        <f t="shared" si="8"/>
        <v>0</v>
      </c>
      <c r="K22" s="89"/>
      <c r="L22" s="89"/>
    </row>
  </sheetData>
  <mergeCells count="2">
    <mergeCell ref="B1:I1"/>
    <mergeCell ref="K4:M4"/>
  </mergeCells>
  <conditionalFormatting sqref="M5:M17">
    <cfRule type="containsText" dxfId="0" priority="3" operator="containsText" text="SI">
      <formula>NOT(ISERROR(SEARCH("SI",M5)))</formula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52D721-A2DC-4194-B036-E8CFCE4CDDFF}">
  <sheetPr codeName="Hoja2" filterMode="1">
    <tabColor theme="5" tint="-0.249977111117893"/>
  </sheetPr>
  <dimension ref="A1:CL63"/>
  <sheetViews>
    <sheetView topLeftCell="BT1" zoomScale="85" zoomScaleNormal="85" workbookViewId="0">
      <selection activeCell="CH34" sqref="CH34"/>
    </sheetView>
  </sheetViews>
  <sheetFormatPr baseColWidth="10" defaultRowHeight="14.4" x14ac:dyDescent="0.3"/>
  <cols>
    <col min="1" max="1" width="13.44140625" customWidth="1"/>
    <col min="3" max="3" width="12.5546875" customWidth="1"/>
    <col min="4" max="4" width="12.109375" customWidth="1"/>
    <col min="5" max="5" width="16.77734375" customWidth="1"/>
    <col min="6" max="6" width="19.21875" customWidth="1"/>
    <col min="7" max="7" width="22.21875" customWidth="1"/>
    <col min="8" max="8" width="18.5546875" customWidth="1"/>
    <col min="9" max="9" width="13" bestFit="1" customWidth="1"/>
    <col min="10" max="10" width="14" customWidth="1"/>
    <col min="11" max="11" width="14.109375" customWidth="1"/>
    <col min="13" max="13" width="27.44140625" bestFit="1" customWidth="1"/>
    <col min="14" max="14" width="21.33203125" customWidth="1"/>
    <col min="15" max="15" width="11.77734375" customWidth="1"/>
    <col min="16" max="16" width="17" customWidth="1"/>
    <col min="17" max="17" width="15.5546875" customWidth="1"/>
    <col min="18" max="18" width="13.5546875" customWidth="1"/>
    <col min="19" max="19" width="18.6640625" customWidth="1"/>
    <col min="20" max="20" width="21.6640625" customWidth="1"/>
    <col min="21" max="21" width="18.5546875" customWidth="1"/>
    <col min="22" max="22" width="18.33203125" customWidth="1"/>
    <col min="23" max="23" width="13.5546875" customWidth="1"/>
    <col min="24" max="24" width="27.6640625" customWidth="1"/>
    <col min="25" max="25" width="22.88671875" customWidth="1"/>
    <col min="26" max="26" width="16.44140625" customWidth="1"/>
    <col min="27" max="27" width="15.33203125" customWidth="1"/>
    <col min="28" max="28" width="20.33203125" customWidth="1"/>
    <col min="29" max="29" width="14.77734375" customWidth="1"/>
    <col min="30" max="30" width="16.77734375" customWidth="1"/>
    <col min="31" max="31" width="18.33203125" customWidth="1"/>
    <col min="32" max="32" width="12.21875" customWidth="1"/>
    <col min="33" max="33" width="22.77734375" customWidth="1"/>
    <col min="34" max="35" width="17.109375" customWidth="1"/>
    <col min="36" max="36" width="14" customWidth="1"/>
    <col min="37" max="37" width="18.21875" customWidth="1"/>
    <col min="38" max="38" width="17.44140625" customWidth="1"/>
    <col min="39" max="39" width="17.6640625" customWidth="1"/>
    <col min="40" max="40" width="28.33203125" customWidth="1"/>
    <col min="41" max="41" width="13.6640625" style="7" customWidth="1"/>
    <col min="42" max="42" width="12.6640625" bestFit="1" customWidth="1"/>
    <col min="43" max="43" width="21.44140625" customWidth="1"/>
    <col min="44" max="44" width="26.44140625" customWidth="1"/>
    <col min="45" max="45" width="15.21875" customWidth="1"/>
    <col min="46" max="47" width="18" bestFit="1" customWidth="1"/>
    <col min="48" max="48" width="17" bestFit="1" customWidth="1"/>
    <col min="49" max="49" width="20.77734375" customWidth="1"/>
    <col min="50" max="50" width="23.77734375" customWidth="1"/>
    <col min="51" max="51" width="21.21875" customWidth="1"/>
    <col min="52" max="53" width="17.109375" customWidth="1"/>
    <col min="57" max="57" width="11.109375" bestFit="1" customWidth="1"/>
    <col min="58" max="58" width="11.109375" customWidth="1"/>
    <col min="60" max="60" width="11.77734375" customWidth="1"/>
    <col min="61" max="66" width="11" bestFit="1" customWidth="1"/>
    <col min="67" max="67" width="9.88671875" bestFit="1" customWidth="1"/>
    <col min="68" max="70" width="12.88671875" bestFit="1" customWidth="1"/>
    <col min="71" max="71" width="11.44140625" bestFit="1" customWidth="1"/>
    <col min="72" max="74" width="12.44140625" bestFit="1" customWidth="1"/>
    <col min="75" max="75" width="11.33203125" bestFit="1" customWidth="1"/>
    <col min="76" max="78" width="11" customWidth="1"/>
    <col min="79" max="81" width="12.77734375" customWidth="1"/>
    <col min="89" max="89" width="14.77734375" style="6" bestFit="1" customWidth="1"/>
  </cols>
  <sheetData>
    <row r="1" spans="1:90" x14ac:dyDescent="0.3">
      <c r="A1" s="12"/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98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14" t="s">
        <v>806</v>
      </c>
      <c r="BA1" s="114"/>
      <c r="BB1" s="114"/>
      <c r="BC1" s="114"/>
      <c r="BD1" t="s">
        <v>135</v>
      </c>
      <c r="BI1" s="110" t="s">
        <v>67</v>
      </c>
      <c r="BJ1" s="110"/>
      <c r="BK1" s="110"/>
      <c r="BL1" s="110"/>
      <c r="BM1" s="110"/>
      <c r="BN1" s="110"/>
      <c r="BO1" s="110"/>
      <c r="BP1" s="111" t="s">
        <v>75</v>
      </c>
      <c r="BQ1" s="111"/>
      <c r="BR1" s="111"/>
      <c r="BS1" s="111"/>
      <c r="BT1" s="111"/>
      <c r="BU1" s="111"/>
      <c r="BV1" s="111"/>
      <c r="BW1" s="112" t="s">
        <v>76</v>
      </c>
      <c r="BX1" s="112"/>
      <c r="BY1" s="112"/>
      <c r="BZ1" s="112"/>
      <c r="CA1" s="112"/>
      <c r="CB1" s="112"/>
      <c r="CC1" s="112"/>
      <c r="CD1" s="113" t="s">
        <v>108</v>
      </c>
      <c r="CE1" s="113"/>
      <c r="CF1" s="113"/>
      <c r="CG1" s="113"/>
      <c r="CH1" s="113"/>
      <c r="CI1" s="113"/>
      <c r="CJ1" s="113"/>
    </row>
    <row r="2" spans="1:90" x14ac:dyDescent="0.3">
      <c r="A2" s="70" t="str" cm="1">
        <f t="array" ref="A2:A53">Colocaciones[[#All],[Record Code]]</f>
        <v>Record Code</v>
      </c>
      <c r="B2" s="70" t="str" cm="1">
        <f t="array" ref="B2:B53">Colocaciones[[#All],[Firm Code]]</f>
        <v>Firm Code</v>
      </c>
      <c r="C2" s="70" t="str" cm="1">
        <f t="array" ref="C2:C53">Colocaciones[[#All],[Office Code]]</f>
        <v>Office Code</v>
      </c>
      <c r="D2" s="70" t="str" cm="1">
        <f t="array" ref="D2:D53">Colocaciones[[#All],[Sales Code]]</f>
        <v>Sales Code</v>
      </c>
      <c r="E2" s="70" t="str" cm="1">
        <f t="array" ref="E2:E53">Colocaciones[[#All],[Account Number]]</f>
        <v>Account Number</v>
      </c>
      <c r="F2" s="70" t="str" cm="1">
        <f t="array" ref="F2:F53">Colocaciones[[#All],[Account Class Code]]</f>
        <v>Account Class Code</v>
      </c>
      <c r="G2" s="70" t="str" cm="1">
        <f t="array" ref="G2:G53">Colocaciones[[#All],[Account Subclass Code]]</f>
        <v>Account Subclass Code</v>
      </c>
      <c r="H2" s="70" t="str" cm="1">
        <f t="array" ref="H2:H53">Colocaciones[[#All],[Account Type Code]]</f>
        <v>Account Type Code</v>
      </c>
      <c r="I2" s="70" t="str" cm="1">
        <f t="array" ref="I2:I53">Colocaciones[[#All],[Cusip Code]]</f>
        <v>Cusip Code</v>
      </c>
      <c r="J2" s="70" t="str" cm="1">
        <f t="array" ref="J2:J53">Colocaciones[[#All],[Card Number]]</f>
        <v>Card Number</v>
      </c>
      <c r="K2" s="70" t="str" cm="1">
        <f t="array" ref="K2:K53">Colocaciones[[#All],[Buy Sell Code]]</f>
        <v>Buy Sell Code</v>
      </c>
      <c r="L2" s="70" t="str" cm="1">
        <f t="array" ref="L2:L53">Colocaciones[[#All],[Quantity]]</f>
        <v>Quantity</v>
      </c>
      <c r="M2" s="70" t="str" cm="1">
        <f t="array" ref="M2:M53">Colocaciones[[#All],[Security Desc Line 1]]</f>
        <v>Security Desc Line 1</v>
      </c>
      <c r="N2" s="70" t="str" cm="1">
        <f t="array" ref="N2:N53">Colocaciones[[#All],[Formatted Trade Price]]</f>
        <v>Formatted Trade Price</v>
      </c>
      <c r="O2" s="70" t="str" cm="1">
        <f t="array" ref="O2:O53">Colocaciones[[#All],[Trade Date]]</f>
        <v>Trade Date</v>
      </c>
      <c r="P2" s="70" t="str" cm="1">
        <f t="array" ref="P2:P53">Colocaciones[[#All],[Open Close Code]]</f>
        <v>Open Close Code</v>
      </c>
      <c r="Q2" s="70" t="str" cm="1">
        <f t="array" ref="Q2:Q53">Colocaciones[[#All],[Contract Month]]</f>
        <v>Contract Month</v>
      </c>
      <c r="R2" s="70" t="str" cm="1">
        <f t="array" ref="R2:R53">Colocaciones[[#All],[Contract Day]]</f>
        <v>Contract Day</v>
      </c>
      <c r="S2" s="70" t="str" cm="1">
        <f t="array" ref="S2:S53">Colocaciones[[#All],[Security Type Code]]</f>
        <v>Security Type Code</v>
      </c>
      <c r="T2" s="70" t="str" cm="1">
        <f t="array" ref="T2:T53">Colocaciones[[#All],[Security Subtype Code]]</f>
        <v>Security Subtype Code</v>
      </c>
      <c r="U2" s="70" t="str" cm="1">
        <f t="array" ref="U2:U53">Colocaciones[[#All],[Option Strike Price]]</f>
        <v>Option Strike Price</v>
      </c>
      <c r="V2" s="70" t="str" cm="1">
        <f t="array" ref="V2:V53">Colocaciones[[#All],[Option Expire Date]]</f>
        <v>Option Expire Date</v>
      </c>
      <c r="W2" s="70" t="str" cm="1">
        <f t="array" ref="W2:W53">Colocaciones[[#All],[Spread Code]]</f>
        <v>Spread Code</v>
      </c>
      <c r="X2" s="70" t="str" cm="1">
        <f t="array" ref="X2:X53">Colocaciones[[#All],[Account Name]]</f>
        <v>Account Name</v>
      </c>
      <c r="Y2" s="70" t="str" cm="1">
        <f t="array" ref="Y2:Y53">Colocaciones[[#All],[Source Account Number]]</f>
        <v>Source Account Number</v>
      </c>
      <c r="Z2" s="70" t="str" cm="1">
        <f t="array" ref="Z2:Z53">Colocaciones[[#All],[Settlement Date]]</f>
        <v>Settlement Date</v>
      </c>
      <c r="AA2" s="70" t="str" cm="1">
        <f t="array" ref="AA2:AA53">Colocaciones[[#All],[Exchange Code]]</f>
        <v>Exchange Code</v>
      </c>
      <c r="AB2" s="70" t="str" cm="1">
        <f t="array" ref="AB2:AB53">Colocaciones[[#All],[Trade Exchange Code]]</f>
        <v>Trade Exchange Code</v>
      </c>
      <c r="AC2" s="70" t="str" cm="1">
        <f t="array" ref="AC2:AC53">Colocaciones[[#All],[Contract Code]]</f>
        <v>Contract Code</v>
      </c>
      <c r="AD2" s="70" t="str" cm="1">
        <f t="array" ref="AD2:AD53">Colocaciones[[#All],[Contract Symbol]]</f>
        <v>Contract Symbol</v>
      </c>
      <c r="AE2" s="70" t="str" cm="1">
        <f t="array" ref="AE2:AE53">Colocaciones[[#All],[Product Type Code]]</f>
        <v>Product Type Code</v>
      </c>
      <c r="AF2" s="70" t="str" cm="1">
        <f t="array" ref="AF2:AF53">Colocaciones[[#All],[Trade Price]]</f>
        <v>Trade Price</v>
      </c>
      <c r="AG2" s="70" t="str" cm="1">
        <f t="array" ref="AG2:AG53">Colocaciones[[#All],[Trade Calc Control Code]]</f>
        <v>Trade Calc Control Code</v>
      </c>
      <c r="AH2" s="70" t="str" cm="1">
        <f t="array" ref="AH2:AH53">Colocaciones[[#All],[Comment Code 1]]</f>
        <v>Comment Code 1</v>
      </c>
      <c r="AI2" s="70" t="str" cm="1">
        <f t="array" ref="AI2:AI53">Colocaciones[[#All],[Comment Code 2]]</f>
        <v>Comment Code 2</v>
      </c>
      <c r="AJ2" s="70" t="str" cm="1">
        <f t="array" ref="AJ2:AJ53">Colocaciones[[#All],[Give Up Code]]</f>
        <v>Give Up Code</v>
      </c>
      <c r="AK2" s="70" t="str" cm="1">
        <f t="array" ref="AK2:AK53">Colocaciones[[#All],[Give Up Firm Code]]</f>
        <v>Give Up Firm Code</v>
      </c>
      <c r="AL2" s="70" t="str" cm="1">
        <f t="array" ref="AL2:AL53">Colocaciones[[#All],[Buy Side Quantity]]</f>
        <v>Buy Side Quantity</v>
      </c>
      <c r="AM2" s="70" t="str" cm="1">
        <f t="array" ref="AM2:AM53">Colocaciones[[#All],[Sell Side Quantity]]</f>
        <v>Sell Side Quantity</v>
      </c>
      <c r="AN2" s="70" t="str" cm="1">
        <f t="array" ref="AN2:AN53">Colocaciones[[#All],[Account Type Currency Symbol]]</f>
        <v>Account Type Currency Symbol</v>
      </c>
      <c r="AO2" s="99" t="str" cm="1">
        <f t="array" ref="AO2:AO53">Colocaciones[[#All],[Market Value]]</f>
        <v>Market Value</v>
      </c>
      <c r="AP2" s="70" t="str" cm="1">
        <f t="array" ref="AP2:AP53">Colocaciones[[#All],[Close Price]]</f>
        <v>Close Price</v>
      </c>
      <c r="AQ2" s="70" t="str" cm="1">
        <f t="array" ref="AQ2:AQ53">Colocaciones[[#All],[Underlying Close Price]]</f>
        <v>Underlying Close Price</v>
      </c>
      <c r="AR2" s="70" t="str" cm="1">
        <f t="array" ref="AR2:AR53">IFERROR(Colocaciones[[#All],[Multiplication Factor]]/1000,"Multiplication Factor")</f>
        <v>Multiplication Factor</v>
      </c>
      <c r="AS2" s="70" t="str" cm="1">
        <f t="array" ref="AS2:AS53">Colocaciones[[#All],[Tracer Number]]</f>
        <v>Tracer Number</v>
      </c>
      <c r="AT2" s="70" t="str" cm="1">
        <f t="array" ref="AT2:AT53">Colocaciones[[#All],[Order Number]]</f>
        <v>Order Number</v>
      </c>
      <c r="AU2" s="70" t="str" cm="1">
        <f t="array" ref="AU2:AU53">Colocaciones[[#All],[Delta Factor]]</f>
        <v>Delta Factor</v>
      </c>
      <c r="AV2" s="70" t="str" cm="1">
        <f t="array" ref="AV2:AV53">Colocaciones[[#All],[Bloomberg Root]]</f>
        <v>Bloomberg Root</v>
      </c>
      <c r="AW2" s="70" t="str" cm="1">
        <f t="array" ref="AW2:AW53">Colocaciones[[#All],[Bloomberg Exch Code]]</f>
        <v>Bloomberg Exch Code</v>
      </c>
      <c r="AX2" s="70" t="str" cm="1">
        <f t="array" ref="AX2:AX53">Colocaciones[[#All],[Bloomberg Market Sector]]</f>
        <v>Bloomberg Market Sector</v>
      </c>
      <c r="AY2" s="70" t="str" cm="1">
        <f t="array" ref="AY2:AY53">Colocaciones[[#All],[Producto]]</f>
        <v>Producto</v>
      </c>
      <c r="AZ2" s="57" t="s">
        <v>644</v>
      </c>
      <c r="BA2" s="57" t="s">
        <v>645</v>
      </c>
      <c r="BB2" s="8" t="s">
        <v>64</v>
      </c>
      <c r="BC2" s="8" t="s">
        <v>93</v>
      </c>
      <c r="BD2" s="8" t="s">
        <v>91</v>
      </c>
      <c r="BE2" s="2" t="s">
        <v>65</v>
      </c>
      <c r="BF2" s="2" t="s">
        <v>107</v>
      </c>
      <c r="BG2" s="2" t="s">
        <v>66</v>
      </c>
      <c r="BH2" s="2" t="s">
        <v>92</v>
      </c>
      <c r="BI2" s="3" t="s">
        <v>68</v>
      </c>
      <c r="BJ2" s="4" t="s">
        <v>69</v>
      </c>
      <c r="BK2" s="4" t="s">
        <v>70</v>
      </c>
      <c r="BL2" s="4" t="s">
        <v>71</v>
      </c>
      <c r="BM2" s="4" t="s">
        <v>72</v>
      </c>
      <c r="BN2" s="4" t="s">
        <v>73</v>
      </c>
      <c r="BO2" s="5" t="s">
        <v>74</v>
      </c>
      <c r="BP2" s="4" t="s">
        <v>77</v>
      </c>
      <c r="BQ2" s="4" t="s">
        <v>78</v>
      </c>
      <c r="BR2" s="4" t="s">
        <v>79</v>
      </c>
      <c r="BS2" s="4" t="s">
        <v>80</v>
      </c>
      <c r="BT2" s="4" t="s">
        <v>81</v>
      </c>
      <c r="BU2" s="4" t="s">
        <v>82</v>
      </c>
      <c r="BV2" s="4" t="s">
        <v>83</v>
      </c>
      <c r="BW2" s="3" t="s">
        <v>84</v>
      </c>
      <c r="BX2" s="4" t="s">
        <v>85</v>
      </c>
      <c r="BY2" s="4" t="s">
        <v>86</v>
      </c>
      <c r="BZ2" s="4" t="s">
        <v>87</v>
      </c>
      <c r="CA2" s="4" t="s">
        <v>88</v>
      </c>
      <c r="CB2" s="4" t="s">
        <v>89</v>
      </c>
      <c r="CC2" s="5" t="s">
        <v>90</v>
      </c>
      <c r="CD2" s="3" t="s">
        <v>109</v>
      </c>
      <c r="CE2" s="4" t="s">
        <v>110</v>
      </c>
      <c r="CF2" s="4" t="s">
        <v>111</v>
      </c>
      <c r="CG2" s="4" t="s">
        <v>112</v>
      </c>
      <c r="CH2" s="4" t="s">
        <v>113</v>
      </c>
      <c r="CI2" s="4" t="s">
        <v>114</v>
      </c>
      <c r="CJ2" s="5" t="s">
        <v>115</v>
      </c>
      <c r="CK2" s="66" t="s">
        <v>795</v>
      </c>
      <c r="CL2" s="4" t="s">
        <v>828</v>
      </c>
    </row>
    <row r="3" spans="1:90" hidden="1" x14ac:dyDescent="0.3">
      <c r="A3" s="12" t="str">
        <v>P</v>
      </c>
      <c r="B3" s="12" t="str">
        <v>R</v>
      </c>
      <c r="C3" s="12">
        <v>766</v>
      </c>
      <c r="D3" s="12">
        <v>0</v>
      </c>
      <c r="E3" s="12" t="str">
        <v>13005</v>
      </c>
      <c r="F3" s="12" t="str">
        <v>C</v>
      </c>
      <c r="G3" s="12" t="str">
        <v>O</v>
      </c>
      <c r="H3" s="12" t="str">
        <v>F1</v>
      </c>
      <c r="I3" s="12" t="str">
        <v>.AS-0117026E</v>
      </c>
      <c r="J3" s="12">
        <v>2786</v>
      </c>
      <c r="K3" s="12">
        <v>1</v>
      </c>
      <c r="L3" s="12">
        <v>180000</v>
      </c>
      <c r="M3" s="12" t="str">
        <v>CALL MAY 26 SOYBEANS   1170</v>
      </c>
      <c r="N3" s="12" t="str">
        <v>.15 3/8</v>
      </c>
      <c r="O3" s="12">
        <v>20250925</v>
      </c>
      <c r="P3" s="12" t="str">
        <v/>
      </c>
      <c r="Q3" s="12">
        <v>202605</v>
      </c>
      <c r="R3" s="12" t="str">
        <v/>
      </c>
      <c r="S3" s="12" t="str">
        <v>F</v>
      </c>
      <c r="T3" s="12" t="str">
        <v>C</v>
      </c>
      <c r="U3" s="12">
        <v>1170000000</v>
      </c>
      <c r="V3" s="12">
        <v>20260424</v>
      </c>
      <c r="W3" s="12" t="str">
        <v/>
      </c>
      <c r="X3" s="12" t="str">
        <v>FUTUROS Y OPCIONES.C</v>
      </c>
      <c r="Y3" s="12" t="str">
        <v/>
      </c>
      <c r="Z3" s="12">
        <v>20250925</v>
      </c>
      <c r="AA3" s="12">
        <v>1</v>
      </c>
      <c r="AB3" s="12" t="str">
        <v>1A</v>
      </c>
      <c r="AC3" s="12" t="str">
        <v>S-</v>
      </c>
      <c r="AD3" s="12" t="str">
        <v/>
      </c>
      <c r="AE3" s="12" t="str">
        <v/>
      </c>
      <c r="AF3" s="12" t="str">
        <v>.15375000</v>
      </c>
      <c r="AG3" s="12" t="str">
        <v/>
      </c>
      <c r="AH3" s="12" t="str">
        <v/>
      </c>
      <c r="AI3" s="12" t="str">
        <v/>
      </c>
      <c r="AJ3" s="12" t="str">
        <v/>
      </c>
      <c r="AK3" s="12" t="str">
        <v/>
      </c>
      <c r="AL3" s="12">
        <v>180000</v>
      </c>
      <c r="AM3" s="12" t="str">
        <v>.0000</v>
      </c>
      <c r="AN3" s="12" t="str">
        <v>USD</v>
      </c>
      <c r="AO3" s="12">
        <v>1788750</v>
      </c>
      <c r="AP3" s="12">
        <v>0</v>
      </c>
      <c r="AQ3" s="12">
        <v>1116750000</v>
      </c>
      <c r="AR3" s="12">
        <v>50000</v>
      </c>
      <c r="AS3" s="12" t="str">
        <v>5I25 zLB0</v>
      </c>
      <c r="AT3" s="12">
        <v>115852786</v>
      </c>
      <c r="AU3" s="12" t="str">
        <v>0,3160</v>
      </c>
      <c r="AV3" s="12" t="str">
        <v>S</v>
      </c>
      <c r="AW3" s="12" t="str">
        <v>CBT</v>
      </c>
      <c r="AX3" s="12" t="str">
        <v>Comdty</v>
      </c>
      <c r="AY3" s="12" t="str">
        <v>Soja</v>
      </c>
      <c r="AZ3">
        <f>IF(VLOOKUP(AY3,Conversor!B:C,2,0)="HS",0.01,VLOOKUP(AY3,Conversor!B:C,2,0))</f>
        <v>0.36742999999999998</v>
      </c>
      <c r="BA3">
        <f>IF(BG3="v",-AM3/10000,AL3/10000)</f>
        <v>18</v>
      </c>
      <c r="BB3" s="42">
        <f t="shared" ref="BB3:BB34" si="0">IF(AQ3=0,AP3/1000000*AZ3,AQ3/1000000*AZ3)</f>
        <v>410.32745249999999</v>
      </c>
      <c r="BC3" s="58">
        <f>U3/1000000*AZ3</f>
        <v>429.89309999999995</v>
      </c>
      <c r="BD3" s="1">
        <f>IF(OR(E3="FUTUR",E3="f20176"),0,VLOOKUP(AY3,Conversor!G:I,3,0)*BA3)</f>
        <v>2449.44</v>
      </c>
      <c r="BE3" t="str">
        <f>IF(LEFT(M3,4)="call","Call",IF(LEFT(M3,3)="put","Put","Futuro"))</f>
        <v>Call</v>
      </c>
      <c r="BF3" t="str">
        <f>IF(BE3="futuro","no","si")</f>
        <v>si</v>
      </c>
      <c r="BG3" t="str">
        <f>IF(AL3=0,"V","C")</f>
        <v>C</v>
      </c>
      <c r="BH3" t="str">
        <f t="shared" ref="BH3:BH51" si="1">IF(BE3="futuro","",CONCATENATE(BG3,LEFT(BE3,1)))</f>
        <v>CC</v>
      </c>
      <c r="BI3" s="7">
        <f>$BB3*(1+BI$2)</f>
        <v>287.22921674999998</v>
      </c>
      <c r="BJ3" s="7">
        <f t="shared" ref="BJ3:BO18" si="2">$BB3*(1+BJ$2)</f>
        <v>328.26196200000004</v>
      </c>
      <c r="BK3" s="7">
        <f t="shared" si="2"/>
        <v>369.29470724999999</v>
      </c>
      <c r="BL3" s="7">
        <f t="shared" si="2"/>
        <v>410.32745249999999</v>
      </c>
      <c r="BM3" s="7">
        <f t="shared" si="2"/>
        <v>451.36019775000005</v>
      </c>
      <c r="BN3" s="7">
        <f t="shared" si="2"/>
        <v>492.39294299999995</v>
      </c>
      <c r="BO3" s="7">
        <f t="shared" si="2"/>
        <v>533.42568825000001</v>
      </c>
      <c r="BP3" s="7">
        <f>IF($BE3="futuro",-($BL3-BI3)*$BD3,0)</f>
        <v>0</v>
      </c>
      <c r="BQ3" s="7">
        <f t="shared" ref="BQ3:BV3" si="3">IF($BE3="futuro",-($BL3-BJ3)*$BD3,0)</f>
        <v>0</v>
      </c>
      <c r="BR3" s="7">
        <f t="shared" si="3"/>
        <v>0</v>
      </c>
      <c r="BS3" s="7">
        <f t="shared" si="3"/>
        <v>0</v>
      </c>
      <c r="BT3" s="7">
        <f t="shared" si="3"/>
        <v>0</v>
      </c>
      <c r="BU3" s="7">
        <f t="shared" si="3"/>
        <v>0</v>
      </c>
      <c r="BV3" s="7">
        <f t="shared" si="3"/>
        <v>0</v>
      </c>
      <c r="BW3" s="7">
        <f t="shared" ref="BW3:BW34" si="4">IF(AND($BH3="CC",($BC3-BI3)&lt;0),(BI3-$BC3)*$BD3,
 IF(AND($BH3="VC",($BC3-BI3)&lt;0),($BC3-BI3)*-$BD3,
 IF(AND($BH3="CP",($BC3-BI3)&gt;0),(BI3-$BC3)*$BD3*-1,
 IF(AND($BH3="VP",($BC3-BI3)&gt;0),(BI3-$BC3)*$BD3*-1,0))))</f>
        <v>0</v>
      </c>
      <c r="BX3" s="7">
        <f t="shared" ref="BX3:BX34" si="5">IF(AND($BH3="CC",($BC3-BJ3)&lt;0),(BJ3-$BC3)*$BD3,
 IF(AND($BH3="VC",($BC3-BJ3)&lt;0),($BC3-BJ3)*-$BD3,
 IF(AND($BH3="CP",($BC3-BJ3)&gt;0),(BJ3-$BC3)*$BD3*-1,
 IF(AND($BH3="VP",($BC3-BJ3)&gt;0),(BJ3-$BC3)*$BD3*-1,0))))</f>
        <v>0</v>
      </c>
      <c r="BY3" s="7">
        <f t="shared" ref="BY3:BY34" si="6">IF(AND($BH3="CC",($BC3-BK3)&lt;0),(BK3-$BC3)*$BD3,
 IF(AND($BH3="VC",($BC3-BK3)&lt;0),($BC3-BK3)*-$BD3,
 IF(AND($BH3="CP",($BC3-BK3)&gt;0),(BK3-$BC3)*$BD3*-1,
 IF(AND($BH3="VP",($BC3-BK3)&gt;0),(BK3-$BC3)*$BD3*-1,0))))</f>
        <v>0</v>
      </c>
      <c r="BZ3" s="7">
        <f t="shared" ref="BZ3:BZ34" si="7">IF(AND($BH3="CC",($BC3-BL3)&lt;0),(BL3-$BC3)*$BD3,
 IF(AND($BH3="VC",($BC3-BL3)&lt;0),($BC3-BL3)*-$BD3,
 IF(AND($BH3="CP",($BC3-BL3)&gt;0),(BL3-$BC3)*$BD3*-1,
 IF(AND($BH3="VP",($BC3-BL3)&gt;0),(BL3-$BC3)*$BD3*-1,0))))</f>
        <v>0</v>
      </c>
      <c r="CA3" s="7">
        <f t="shared" ref="CA3:CA34" si="8">IF(AND($BH3="CC",($BC3-BM3)&lt;0),(BM3-$BC3)*$BD3,
 IF(AND($BH3="VC",($BC3-BM3)&lt;0),($BC3-BM3)*-$BD3,
 IF(AND($BH3="CP",($BC3-BM3)&gt;0),(BM3-$BC3)*$BD3*-1,
 IF(AND($BH3="VP",($BC3-BM3)&gt;0),(BM3-$BC3)*$BD3*-1,0))))</f>
        <v>52582.367912760266</v>
      </c>
      <c r="CB3" s="7">
        <f t="shared" ref="CB3:CB34" si="9">IF(AND($BH3="CC",($BC3-BN3)&lt;0),(BN3-$BC3)*$BD3,
 IF(AND($BH3="VC",($BC3-BN3)&lt;0),($BC3-BN3)*-$BD3,
 IF(AND($BH3="CP",($BC3-BN3)&gt;0),(BN3-$BC3)*$BD3*-1,
 IF(AND($BH3="VP",($BC3-BN3)&gt;0),(BN3-$BC3)*$BD3*-1,0))))</f>
        <v>153089.61543792</v>
      </c>
      <c r="CC3" s="7">
        <f t="shared" ref="CC3:CC34" si="10">IF(AND($BH3="CC",($BC3-BO3)&lt;0),(BO3-$BC3)*$BD3,
 IF(AND($BH3="VC",($BC3-BO3)&lt;0),($BC3-BO3)*-$BD3,
 IF(AND($BH3="CP",($BC3-BO3)&gt;0),(BO3-$BC3)*$BD3*-1,
 IF(AND($BH3="VP",($BC3-BO3)&gt;0),(BO3-$BC3)*$BD3*-1,0))))</f>
        <v>253596.86296308014</v>
      </c>
      <c r="CD3">
        <f t="shared" ref="CD3:CD34" si="11">IF(AND($BH3="CC",($BC3-BI3)&lt;0),$BD3*1,
 IF(AND($BH3="VC",($BC3-BI3)&lt;0),$BD3*1,
 IF(AND($BH3="CP",($BC3-BI3)&gt;0),$BD3*-1,
 IF(AND($BH3="VP",($BC3-BI3)&gt;0),$BD3*-1,0))))</f>
        <v>0</v>
      </c>
      <c r="CE3">
        <f t="shared" ref="CE3:CE34" si="12">IF(AND($BH3="CC",($BC3-BJ3)&lt;0),$BD3*1,
 IF(AND($BH3="VC",($BC3-BJ3)&lt;0),$BD3*1,
 IF(AND($BH3="CP",($BC3-BJ3)&gt;0),$BD3*-1,
 IF(AND($BH3="VP",($BC3-BJ3)&gt;0),$BD3*-1,0))))</f>
        <v>0</v>
      </c>
      <c r="CF3">
        <f t="shared" ref="CF3:CF34" si="13">IF(AND($BH3="CC",($BC3-BK3)&lt;0),$BD3*1,
 IF(AND($BH3="VC",($BC3-BK3)&lt;0),$BD3*1,
 IF(AND($BH3="CP",($BC3-BK3)&gt;0),$BD3*-1,
 IF(AND($BH3="VP",($BC3-BK3)&gt;0),$BD3*-1,0))))</f>
        <v>0</v>
      </c>
      <c r="CG3">
        <f t="shared" ref="CG3:CG34" si="14">IF(AND($BH3="CC",($BC3-BL3)&lt;0),$BD3*1,
 IF(AND($BH3="VC",($BC3-BL3)&lt;0),$BD3*1,
 IF(AND($BH3="CP",($BC3-BL3)&gt;0),$BD3*-1,
 IF(AND($BH3="VP",($BC3-BL3)&gt;0),$BD3*-1,0))))</f>
        <v>0</v>
      </c>
      <c r="CH3">
        <f t="shared" ref="CH3:CH34" si="15">IF(AND($BH3="CC",($BC3-BM3)&lt;0),$BD3*1,
 IF(AND($BH3="VC",($BC3-BM3)&lt;0),$BD3*1,
 IF(AND($BH3="CP",($BC3-BM3)&gt;0),$BD3*-1,
 IF(AND($BH3="VP",($BC3-BM3)&gt;0),$BD3*-1,0))))</f>
        <v>2449.44</v>
      </c>
      <c r="CI3">
        <f t="shared" ref="CI3:CI34" si="16">IF(AND($BH3="CC",($BC3-BN3)&lt;0),$BD3*1,
 IF(AND($BH3="VC",($BC3-BN3)&lt;0),$BD3*1,
 IF(AND($BH3="CP",($BC3-BN3)&gt;0),$BD3*-1,
 IF(AND($BH3="VP",($BC3-BN3)&gt;0),$BD3*-1,0))))</f>
        <v>2449.44</v>
      </c>
      <c r="CJ3">
        <f t="shared" ref="CJ3:CJ34" si="17">IF(AND($BH3="CC",($BC3-BO3)&lt;0),$BD3*1,
 IF(AND($BH3="VC",($BC3-BO3)&lt;0),$BD3*1,
 IF(AND($BH3="CP",($BC3-BO3)&gt;0),$BD3*-1,
 IF(AND($BH3="VP",($BC3-BO3)&gt;0),$BD3*-1,0))))</f>
        <v>2449.44</v>
      </c>
      <c r="CK3" s="6">
        <f>Tabla3[[#This Row],[Tns]]</f>
        <v>2449.44</v>
      </c>
      <c r="CL3" t="str">
        <f>IF(ISERROR(VLOOKUP(VALUE(E3),'Clientes CBOT'!A:A,1,0)),"VER","ok")</f>
        <v>ok</v>
      </c>
    </row>
    <row r="4" spans="1:90" hidden="1" x14ac:dyDescent="0.3">
      <c r="A4" s="12" t="str">
        <v>P</v>
      </c>
      <c r="B4" s="12" t="str">
        <v>R</v>
      </c>
      <c r="C4" s="12">
        <v>766</v>
      </c>
      <c r="D4" s="12">
        <v>0</v>
      </c>
      <c r="E4" s="12" t="str">
        <v>13006</v>
      </c>
      <c r="F4" s="12" t="str">
        <v>C</v>
      </c>
      <c r="G4" s="12" t="str">
        <v>O</v>
      </c>
      <c r="H4" s="12" t="str">
        <v>F1</v>
      </c>
      <c r="I4" s="12" t="str">
        <v>.AS-0115026C</v>
      </c>
      <c r="J4" s="12">
        <v>9702</v>
      </c>
      <c r="K4" s="12">
        <v>2</v>
      </c>
      <c r="L4" s="12">
        <v>100000</v>
      </c>
      <c r="M4" s="12" t="str">
        <v>CALL MAR 26 SOYBEANS   1150</v>
      </c>
      <c r="N4" s="12" t="str">
        <v>.17 1/8</v>
      </c>
      <c r="O4" s="12">
        <v>20251205</v>
      </c>
      <c r="P4" s="12" t="str">
        <v/>
      </c>
      <c r="Q4" s="12">
        <v>202603</v>
      </c>
      <c r="R4" s="12" t="str">
        <v/>
      </c>
      <c r="S4" s="12" t="str">
        <v>F</v>
      </c>
      <c r="T4" s="12" t="str">
        <v>C</v>
      </c>
      <c r="U4" s="12">
        <v>1150000000</v>
      </c>
      <c r="V4" s="12">
        <v>20260220</v>
      </c>
      <c r="W4" s="12" t="str">
        <v/>
      </c>
      <c r="X4" s="12" t="str">
        <v>FUTUROS Y OPCIONES.C</v>
      </c>
      <c r="Y4" s="12" t="str">
        <v/>
      </c>
      <c r="Z4" s="12">
        <v>20251205</v>
      </c>
      <c r="AA4" s="12">
        <v>1</v>
      </c>
      <c r="AB4" s="12" t="str">
        <v>1A</v>
      </c>
      <c r="AC4" s="12" t="str">
        <v>S-</v>
      </c>
      <c r="AD4" s="12" t="str">
        <v/>
      </c>
      <c r="AE4" s="12" t="str">
        <v/>
      </c>
      <c r="AF4" s="12" t="str">
        <v>.17125000</v>
      </c>
      <c r="AG4" s="12" t="str">
        <v/>
      </c>
      <c r="AH4" s="12" t="str">
        <v/>
      </c>
      <c r="AI4" s="12" t="str">
        <v/>
      </c>
      <c r="AJ4" s="12" t="str">
        <v/>
      </c>
      <c r="AK4" s="12" t="str">
        <v/>
      </c>
      <c r="AL4" s="12">
        <v>0</v>
      </c>
      <c r="AM4" s="12" t="str">
        <v>10.0000</v>
      </c>
      <c r="AN4" s="12" t="str">
        <v>USD</v>
      </c>
      <c r="AO4" s="12">
        <v>-637500</v>
      </c>
      <c r="AP4" s="12">
        <v>0</v>
      </c>
      <c r="AQ4" s="12">
        <v>1105750000</v>
      </c>
      <c r="AR4" s="12">
        <v>50000</v>
      </c>
      <c r="AS4" s="12" t="str">
        <v>5L05 G9l0</v>
      </c>
      <c r="AT4" s="12">
        <v>116429702</v>
      </c>
      <c r="AU4" s="12" t="str">
        <v>0,2870</v>
      </c>
      <c r="AV4" s="12" t="str">
        <v>S</v>
      </c>
      <c r="AW4" s="12" t="str">
        <v>CBT</v>
      </c>
      <c r="AX4" s="12" t="str">
        <v>Comdty</v>
      </c>
      <c r="AY4" s="12" t="str">
        <v>Soja</v>
      </c>
      <c r="AZ4">
        <f>IF(VLOOKUP(AY4,Conversor!B:C,2,0)="HS",0.01,VLOOKUP(AY4,Conversor!B:C,2,0))</f>
        <v>0.36742999999999998</v>
      </c>
      <c r="BA4">
        <f t="shared" ref="BA4:BA51" si="18">IF(BG4="v",-AM4/10000,AL4/10000)</f>
        <v>-10</v>
      </c>
      <c r="BB4" s="42">
        <f t="shared" si="0"/>
        <v>406.28572249999996</v>
      </c>
      <c r="BC4" s="58">
        <f t="shared" ref="BC4:BC51" si="19">U4/1000000*AZ4</f>
        <v>422.54449999999997</v>
      </c>
      <c r="BD4" s="1">
        <f>IF(OR(E4="FUTUR",E4="f20176"),0,VLOOKUP(AY4,Conversor!G:I,3,0)*BA4)</f>
        <v>-1360.8000000000002</v>
      </c>
      <c r="BE4" t="str">
        <f t="shared" ref="BE4:BE51" si="20">IF(LEFT(M4,4)="call","Call",IF(LEFT(M4,3)="put","Put","Futuro"))</f>
        <v>Call</v>
      </c>
      <c r="BF4" t="str">
        <f t="shared" ref="BF4:BF51" si="21">IF(BE4="futuro","no","si")</f>
        <v>si</v>
      </c>
      <c r="BG4" t="str">
        <f t="shared" ref="BG4:BG51" si="22">IF(AL4=0,"V","C")</f>
        <v>V</v>
      </c>
      <c r="BH4" t="str">
        <f t="shared" si="1"/>
        <v>VC</v>
      </c>
      <c r="BI4" s="7">
        <f t="shared" ref="BI4:BO51" si="23">$BB4*(1+BI$2)</f>
        <v>284.40000574999993</v>
      </c>
      <c r="BJ4" s="7">
        <f t="shared" si="2"/>
        <v>325.02857799999998</v>
      </c>
      <c r="BK4" s="7">
        <f t="shared" si="2"/>
        <v>365.65715024999997</v>
      </c>
      <c r="BL4" s="7">
        <f t="shared" si="2"/>
        <v>406.28572249999996</v>
      </c>
      <c r="BM4" s="7">
        <f t="shared" si="2"/>
        <v>446.91429475000001</v>
      </c>
      <c r="BN4" s="7">
        <f t="shared" si="2"/>
        <v>487.54286699999994</v>
      </c>
      <c r="BO4" s="7">
        <f t="shared" si="2"/>
        <v>528.17143924999993</v>
      </c>
      <c r="BP4" s="7">
        <f t="shared" ref="BP4:BP51" si="24">IF($BE4="futuro",-($BL4-BI4)*$BD4,0)</f>
        <v>0</v>
      </c>
      <c r="BQ4" s="7">
        <f t="shared" ref="BQ4:BQ51" si="25">IF($BE4="futuro",-($BL4-BJ4)*$BD4,0)</f>
        <v>0</v>
      </c>
      <c r="BR4" s="7">
        <f t="shared" ref="BR4:BR51" si="26">IF($BE4="futuro",-($BL4-BK4)*$BD4,0)</f>
        <v>0</v>
      </c>
      <c r="BS4" s="7">
        <f t="shared" ref="BS4:BS51" si="27">IF($BE4="futuro",-($BL4-BL4)*$BD4,0)</f>
        <v>0</v>
      </c>
      <c r="BT4" s="7">
        <f t="shared" ref="BT4:BT51" si="28">IF($BE4="futuro",-($BL4-BM4)*$BD4,0)</f>
        <v>0</v>
      </c>
      <c r="BU4" s="7">
        <f t="shared" ref="BU4:BU51" si="29">IF($BE4="futuro",-($BL4-BN4)*$BD4,0)</f>
        <v>0</v>
      </c>
      <c r="BV4" s="7">
        <f t="shared" ref="BV4:BV51" si="30">IF($BE4="futuro",-($BL4-BO4)*$BD4,0)</f>
        <v>0</v>
      </c>
      <c r="BW4" s="7">
        <f t="shared" si="4"/>
        <v>0</v>
      </c>
      <c r="BX4" s="7">
        <f t="shared" si="5"/>
        <v>0</v>
      </c>
      <c r="BY4" s="7">
        <f t="shared" si="6"/>
        <v>0</v>
      </c>
      <c r="BZ4" s="7">
        <f t="shared" si="7"/>
        <v>0</v>
      </c>
      <c r="CA4" s="7">
        <f t="shared" si="8"/>
        <v>-33162.416695800057</v>
      </c>
      <c r="CB4" s="7">
        <f t="shared" si="9"/>
        <v>-88449.777813599969</v>
      </c>
      <c r="CC4" s="7">
        <f t="shared" si="10"/>
        <v>-143737.13893139997</v>
      </c>
      <c r="CD4">
        <f t="shared" si="11"/>
        <v>0</v>
      </c>
      <c r="CE4">
        <f t="shared" si="12"/>
        <v>0</v>
      </c>
      <c r="CF4">
        <f t="shared" si="13"/>
        <v>0</v>
      </c>
      <c r="CG4">
        <f t="shared" si="14"/>
        <v>0</v>
      </c>
      <c r="CH4">
        <f t="shared" si="15"/>
        <v>-1360.8000000000002</v>
      </c>
      <c r="CI4">
        <f t="shared" si="16"/>
        <v>-1360.8000000000002</v>
      </c>
      <c r="CJ4">
        <f t="shared" si="17"/>
        <v>-1360.8000000000002</v>
      </c>
      <c r="CK4" s="6">
        <f>Tabla3[[#This Row],[Tns]]</f>
        <v>-1360.8000000000002</v>
      </c>
      <c r="CL4" t="str">
        <f>IF(ISERROR(VLOOKUP(VALUE(E4),'Clientes CBOT'!A:A,1,0)),"VER","ok")</f>
        <v>ok</v>
      </c>
    </row>
    <row r="5" spans="1:90" hidden="1" x14ac:dyDescent="0.3">
      <c r="A5" s="12" t="str">
        <v>P</v>
      </c>
      <c r="B5" s="12" t="str">
        <v>R</v>
      </c>
      <c r="C5" s="12">
        <v>766</v>
      </c>
      <c r="D5" s="12">
        <v>0</v>
      </c>
      <c r="E5" s="12" t="str">
        <v>13006</v>
      </c>
      <c r="F5" s="12" t="str">
        <v>C</v>
      </c>
      <c r="G5" s="12" t="str">
        <v>O</v>
      </c>
      <c r="H5" s="12" t="str">
        <v>F1</v>
      </c>
      <c r="I5" s="12" t="str">
        <v>.AS-0118026E</v>
      </c>
      <c r="J5" s="12">
        <v>3793</v>
      </c>
      <c r="K5" s="12">
        <v>2</v>
      </c>
      <c r="L5" s="12">
        <v>100000</v>
      </c>
      <c r="M5" s="12" t="str">
        <v>CALL MAY 26 SOYBEANS   1180</v>
      </c>
      <c r="N5" s="12" t="str">
        <v>.13 3/4</v>
      </c>
      <c r="O5" s="12">
        <v>20251009</v>
      </c>
      <c r="P5" s="12" t="str">
        <v/>
      </c>
      <c r="Q5" s="12">
        <v>202605</v>
      </c>
      <c r="R5" s="12" t="str">
        <v/>
      </c>
      <c r="S5" s="12" t="str">
        <v>F</v>
      </c>
      <c r="T5" s="12" t="str">
        <v>C</v>
      </c>
      <c r="U5" s="12">
        <v>1180000000</v>
      </c>
      <c r="V5" s="12">
        <v>20260424</v>
      </c>
      <c r="W5" s="12" t="str">
        <v/>
      </c>
      <c r="X5" s="12" t="str">
        <v>FUTUROS Y OPCIONES.C</v>
      </c>
      <c r="Y5" s="12" t="str">
        <v/>
      </c>
      <c r="Z5" s="12">
        <v>20251009</v>
      </c>
      <c r="AA5" s="12">
        <v>1</v>
      </c>
      <c r="AB5" s="12" t="str">
        <v>1A</v>
      </c>
      <c r="AC5" s="12" t="str">
        <v>S-</v>
      </c>
      <c r="AD5" s="12" t="str">
        <v/>
      </c>
      <c r="AE5" s="12" t="str">
        <v/>
      </c>
      <c r="AF5" s="12" t="str">
        <v>.13750000</v>
      </c>
      <c r="AG5" s="12" t="str">
        <v/>
      </c>
      <c r="AH5" s="12" t="str">
        <v/>
      </c>
      <c r="AI5" s="12" t="str">
        <v/>
      </c>
      <c r="AJ5" s="12" t="str">
        <v/>
      </c>
      <c r="AK5" s="12" t="str">
        <v/>
      </c>
      <c r="AL5" s="12">
        <v>0</v>
      </c>
      <c r="AM5" s="12" t="str">
        <v>10.0000</v>
      </c>
      <c r="AN5" s="12" t="str">
        <v>USD</v>
      </c>
      <c r="AO5" s="12">
        <v>-868750</v>
      </c>
      <c r="AP5" s="12">
        <v>0</v>
      </c>
      <c r="AQ5" s="12">
        <v>1116750000</v>
      </c>
      <c r="AR5" s="12">
        <v>50000</v>
      </c>
      <c r="AS5" s="12" t="str">
        <v>5J09 LRx0</v>
      </c>
      <c r="AT5" s="12">
        <v>115953793</v>
      </c>
      <c r="AU5" s="12" t="str">
        <v>0,2860</v>
      </c>
      <c r="AV5" s="12" t="str">
        <v>S</v>
      </c>
      <c r="AW5" s="12" t="str">
        <v>CBT</v>
      </c>
      <c r="AX5" s="12" t="str">
        <v>Comdty</v>
      </c>
      <c r="AY5" s="12" t="str">
        <v>Soja</v>
      </c>
      <c r="AZ5">
        <f>IF(VLOOKUP(AY5,Conversor!B:C,2,0)="HS",0.01,VLOOKUP(AY5,Conversor!B:C,2,0))</f>
        <v>0.36742999999999998</v>
      </c>
      <c r="BA5">
        <f t="shared" si="18"/>
        <v>-10</v>
      </c>
      <c r="BB5" s="42">
        <f t="shared" si="0"/>
        <v>410.32745249999999</v>
      </c>
      <c r="BC5" s="58">
        <f t="shared" si="19"/>
        <v>433.56739999999996</v>
      </c>
      <c r="BD5" s="1">
        <f>IF(OR(E5="FUTUR",E5="f20176"),0,VLOOKUP(AY5,Conversor!G:I,3,0)*BA5)</f>
        <v>-1360.8000000000002</v>
      </c>
      <c r="BE5" t="str">
        <f t="shared" si="20"/>
        <v>Call</v>
      </c>
      <c r="BF5" t="str">
        <f t="shared" si="21"/>
        <v>si</v>
      </c>
      <c r="BG5" t="str">
        <f t="shared" si="22"/>
        <v>V</v>
      </c>
      <c r="BH5" t="str">
        <f t="shared" si="1"/>
        <v>VC</v>
      </c>
      <c r="BI5" s="7">
        <f t="shared" si="23"/>
        <v>287.22921674999998</v>
      </c>
      <c r="BJ5" s="7">
        <f t="shared" si="2"/>
        <v>328.26196200000004</v>
      </c>
      <c r="BK5" s="7">
        <f t="shared" si="2"/>
        <v>369.29470724999999</v>
      </c>
      <c r="BL5" s="7">
        <f t="shared" si="2"/>
        <v>410.32745249999999</v>
      </c>
      <c r="BM5" s="7">
        <f t="shared" si="2"/>
        <v>451.36019775000005</v>
      </c>
      <c r="BN5" s="7">
        <f t="shared" si="2"/>
        <v>492.39294299999995</v>
      </c>
      <c r="BO5" s="7">
        <f t="shared" si="2"/>
        <v>533.42568825000001</v>
      </c>
      <c r="BP5" s="7">
        <f t="shared" si="24"/>
        <v>0</v>
      </c>
      <c r="BQ5" s="7">
        <f t="shared" si="25"/>
        <v>0</v>
      </c>
      <c r="BR5" s="7">
        <f t="shared" si="26"/>
        <v>0</v>
      </c>
      <c r="BS5" s="7">
        <f t="shared" si="27"/>
        <v>0</v>
      </c>
      <c r="BT5" s="7">
        <f t="shared" si="28"/>
        <v>0</v>
      </c>
      <c r="BU5" s="7">
        <f t="shared" si="29"/>
        <v>0</v>
      </c>
      <c r="BV5" s="7">
        <f t="shared" si="30"/>
        <v>0</v>
      </c>
      <c r="BW5" s="7">
        <f t="shared" si="4"/>
        <v>0</v>
      </c>
      <c r="BX5" s="7">
        <f t="shared" si="5"/>
        <v>0</v>
      </c>
      <c r="BY5" s="7">
        <f t="shared" si="6"/>
        <v>0</v>
      </c>
      <c r="BZ5" s="7">
        <f t="shared" si="7"/>
        <v>0</v>
      </c>
      <c r="CA5" s="7">
        <f t="shared" si="8"/>
        <v>-24212.439178200126</v>
      </c>
      <c r="CB5" s="7">
        <f t="shared" si="9"/>
        <v>-80049.798914399988</v>
      </c>
      <c r="CC5" s="7">
        <f t="shared" si="10"/>
        <v>-135887.15865060009</v>
      </c>
      <c r="CD5">
        <f t="shared" si="11"/>
        <v>0</v>
      </c>
      <c r="CE5">
        <f t="shared" si="12"/>
        <v>0</v>
      </c>
      <c r="CF5">
        <f t="shared" si="13"/>
        <v>0</v>
      </c>
      <c r="CG5">
        <f t="shared" si="14"/>
        <v>0</v>
      </c>
      <c r="CH5">
        <f t="shared" si="15"/>
        <v>-1360.8000000000002</v>
      </c>
      <c r="CI5">
        <f t="shared" si="16"/>
        <v>-1360.8000000000002</v>
      </c>
      <c r="CJ5">
        <f t="shared" si="17"/>
        <v>-1360.8000000000002</v>
      </c>
      <c r="CK5" s="6">
        <f>Tabla3[[#This Row],[Tns]]</f>
        <v>-1360.8000000000002</v>
      </c>
      <c r="CL5" t="str">
        <f>IF(ISERROR(VLOOKUP(VALUE(E5),'Clientes CBOT'!A:A,1,0)),"VER","ok")</f>
        <v>ok</v>
      </c>
    </row>
    <row r="6" spans="1:90" hidden="1" x14ac:dyDescent="0.3">
      <c r="A6" s="12" t="str">
        <v>P</v>
      </c>
      <c r="B6" s="12" t="str">
        <v>R</v>
      </c>
      <c r="C6" s="12">
        <v>766</v>
      </c>
      <c r="D6" s="12">
        <v>0</v>
      </c>
      <c r="E6" s="12" t="str">
        <v>13006</v>
      </c>
      <c r="F6" s="12" t="str">
        <v>C</v>
      </c>
      <c r="G6" s="12" t="str">
        <v>O</v>
      </c>
      <c r="H6" s="12" t="str">
        <v>F1</v>
      </c>
      <c r="I6" s="12" t="str">
        <v>.AS-0118026E</v>
      </c>
      <c r="J6" s="12">
        <v>7368</v>
      </c>
      <c r="K6" s="12">
        <v>2</v>
      </c>
      <c r="L6" s="12">
        <v>50000</v>
      </c>
      <c r="M6" s="12" t="str">
        <v>CALL MAY 26 SOYBEANS   1180</v>
      </c>
      <c r="N6" s="12" t="str">
        <v>.16 3/4</v>
      </c>
      <c r="O6" s="12">
        <v>20251023</v>
      </c>
      <c r="P6" s="12" t="str">
        <v/>
      </c>
      <c r="Q6" s="12">
        <v>202605</v>
      </c>
      <c r="R6" s="12" t="str">
        <v/>
      </c>
      <c r="S6" s="12" t="str">
        <v>F</v>
      </c>
      <c r="T6" s="12" t="str">
        <v>C</v>
      </c>
      <c r="U6" s="12">
        <v>1180000000</v>
      </c>
      <c r="V6" s="12">
        <v>20260424</v>
      </c>
      <c r="W6" s="12" t="str">
        <v/>
      </c>
      <c r="X6" s="12" t="str">
        <v>FUTUROS Y OPCIONES.C</v>
      </c>
      <c r="Y6" s="12" t="str">
        <v/>
      </c>
      <c r="Z6" s="12">
        <v>20251023</v>
      </c>
      <c r="AA6" s="12">
        <v>1</v>
      </c>
      <c r="AB6" s="12" t="str">
        <v>1A</v>
      </c>
      <c r="AC6" s="12" t="str">
        <v>S-</v>
      </c>
      <c r="AD6" s="12" t="str">
        <v/>
      </c>
      <c r="AE6" s="12" t="str">
        <v/>
      </c>
      <c r="AF6" s="12" t="str">
        <v>.16750000</v>
      </c>
      <c r="AG6" s="12" t="str">
        <v/>
      </c>
      <c r="AH6" s="12" t="str">
        <v/>
      </c>
      <c r="AI6" s="12" t="str">
        <v/>
      </c>
      <c r="AJ6" s="12" t="str">
        <v/>
      </c>
      <c r="AK6" s="12" t="str">
        <v/>
      </c>
      <c r="AL6" s="12">
        <v>0</v>
      </c>
      <c r="AM6" s="12" t="str">
        <v>5.0000</v>
      </c>
      <c r="AN6" s="12" t="str">
        <v>USD</v>
      </c>
      <c r="AO6" s="12">
        <v>-434375</v>
      </c>
      <c r="AP6" s="12">
        <v>0</v>
      </c>
      <c r="AQ6" s="12">
        <v>1116750000</v>
      </c>
      <c r="AR6" s="12">
        <v>50000</v>
      </c>
      <c r="AS6" s="12" t="str">
        <v>5J23 YPc0</v>
      </c>
      <c r="AT6" s="12">
        <v>116067368</v>
      </c>
      <c r="AU6" s="12" t="str">
        <v>0,2860</v>
      </c>
      <c r="AV6" s="12" t="str">
        <v>S</v>
      </c>
      <c r="AW6" s="12" t="str">
        <v>CBT</v>
      </c>
      <c r="AX6" s="12" t="str">
        <v>Comdty</v>
      </c>
      <c r="AY6" s="12" t="str">
        <v>Soja</v>
      </c>
      <c r="AZ6">
        <f>IF(VLOOKUP(AY6,Conversor!B:C,2,0)="HS",0.01,VLOOKUP(AY6,Conversor!B:C,2,0))</f>
        <v>0.36742999999999998</v>
      </c>
      <c r="BA6">
        <f t="shared" si="18"/>
        <v>-5</v>
      </c>
      <c r="BB6" s="42">
        <f t="shared" si="0"/>
        <v>410.32745249999999</v>
      </c>
      <c r="BC6" s="58">
        <f t="shared" si="19"/>
        <v>433.56739999999996</v>
      </c>
      <c r="BD6" s="1">
        <f>IF(OR(E6="FUTUR",E6="f20176"),0,VLOOKUP(AY6,Conversor!G:I,3,0)*BA6)</f>
        <v>-680.40000000000009</v>
      </c>
      <c r="BE6" t="str">
        <f t="shared" si="20"/>
        <v>Call</v>
      </c>
      <c r="BF6" t="str">
        <f t="shared" si="21"/>
        <v>si</v>
      </c>
      <c r="BG6" t="str">
        <f t="shared" si="22"/>
        <v>V</v>
      </c>
      <c r="BH6" t="str">
        <f t="shared" si="1"/>
        <v>VC</v>
      </c>
      <c r="BI6" s="7">
        <f t="shared" si="23"/>
        <v>287.22921674999998</v>
      </c>
      <c r="BJ6" s="7">
        <f t="shared" si="2"/>
        <v>328.26196200000004</v>
      </c>
      <c r="BK6" s="7">
        <f t="shared" si="2"/>
        <v>369.29470724999999</v>
      </c>
      <c r="BL6" s="7">
        <f t="shared" si="2"/>
        <v>410.32745249999999</v>
      </c>
      <c r="BM6" s="7">
        <f t="shared" si="2"/>
        <v>451.36019775000005</v>
      </c>
      <c r="BN6" s="7">
        <f t="shared" si="2"/>
        <v>492.39294299999995</v>
      </c>
      <c r="BO6" s="7">
        <f t="shared" si="2"/>
        <v>533.42568825000001</v>
      </c>
      <c r="BP6" s="7">
        <f t="shared" si="24"/>
        <v>0</v>
      </c>
      <c r="BQ6" s="7">
        <f t="shared" si="25"/>
        <v>0</v>
      </c>
      <c r="BR6" s="7">
        <f t="shared" si="26"/>
        <v>0</v>
      </c>
      <c r="BS6" s="7">
        <f t="shared" si="27"/>
        <v>0</v>
      </c>
      <c r="BT6" s="7">
        <f t="shared" si="28"/>
        <v>0</v>
      </c>
      <c r="BU6" s="7">
        <f t="shared" si="29"/>
        <v>0</v>
      </c>
      <c r="BV6" s="7">
        <f t="shared" si="30"/>
        <v>0</v>
      </c>
      <c r="BW6" s="7">
        <f t="shared" si="4"/>
        <v>0</v>
      </c>
      <c r="BX6" s="7">
        <f t="shared" si="5"/>
        <v>0</v>
      </c>
      <c r="BY6" s="7">
        <f t="shared" si="6"/>
        <v>0</v>
      </c>
      <c r="BZ6" s="7">
        <f t="shared" si="7"/>
        <v>0</v>
      </c>
      <c r="CA6" s="7">
        <f t="shared" si="8"/>
        <v>-12106.219589100063</v>
      </c>
      <c r="CB6" s="7">
        <f t="shared" si="9"/>
        <v>-40024.899457199994</v>
      </c>
      <c r="CC6" s="7">
        <f t="shared" si="10"/>
        <v>-67943.579325300045</v>
      </c>
      <c r="CD6">
        <f t="shared" si="11"/>
        <v>0</v>
      </c>
      <c r="CE6">
        <f t="shared" si="12"/>
        <v>0</v>
      </c>
      <c r="CF6">
        <f t="shared" si="13"/>
        <v>0</v>
      </c>
      <c r="CG6">
        <f t="shared" si="14"/>
        <v>0</v>
      </c>
      <c r="CH6">
        <f t="shared" si="15"/>
        <v>-680.40000000000009</v>
      </c>
      <c r="CI6">
        <f t="shared" si="16"/>
        <v>-680.40000000000009</v>
      </c>
      <c r="CJ6">
        <f t="shared" si="17"/>
        <v>-680.40000000000009</v>
      </c>
      <c r="CK6" s="6">
        <f>Tabla3[[#This Row],[Tns]]</f>
        <v>-680.40000000000009</v>
      </c>
      <c r="CL6" t="str">
        <f>IF(ISERROR(VLOOKUP(VALUE(E6),'Clientes CBOT'!A:A,1,0)),"VER","ok")</f>
        <v>ok</v>
      </c>
    </row>
    <row r="7" spans="1:90" hidden="1" x14ac:dyDescent="0.3">
      <c r="A7" s="12" t="str">
        <v>P</v>
      </c>
      <c r="B7" s="12" t="str">
        <v>R</v>
      </c>
      <c r="C7" s="12">
        <v>766</v>
      </c>
      <c r="D7" s="12">
        <v>0</v>
      </c>
      <c r="E7" s="12" t="str">
        <v>13006</v>
      </c>
      <c r="F7" s="12" t="str">
        <v>C</v>
      </c>
      <c r="G7" s="12" t="str">
        <v>O</v>
      </c>
      <c r="H7" s="12" t="str">
        <v>F1</v>
      </c>
      <c r="I7" s="12" t="str">
        <v>.AS-0120026E</v>
      </c>
      <c r="J7" s="12">
        <v>3836</v>
      </c>
      <c r="K7" s="12">
        <v>2</v>
      </c>
      <c r="L7" s="12">
        <v>100000</v>
      </c>
      <c r="M7" s="12" t="str">
        <v>CALL MAY 26 SOYBEANS   1200</v>
      </c>
      <c r="N7" s="12" t="str">
        <v>.11 1/8</v>
      </c>
      <c r="O7" s="12">
        <v>20251009</v>
      </c>
      <c r="P7" s="12" t="str">
        <v/>
      </c>
      <c r="Q7" s="12">
        <v>202605</v>
      </c>
      <c r="R7" s="12" t="str">
        <v/>
      </c>
      <c r="S7" s="12" t="str">
        <v>F</v>
      </c>
      <c r="T7" s="12" t="str">
        <v>C</v>
      </c>
      <c r="U7" s="12">
        <v>1200000000</v>
      </c>
      <c r="V7" s="12">
        <v>20260424</v>
      </c>
      <c r="W7" s="12" t="str">
        <v/>
      </c>
      <c r="X7" s="12" t="str">
        <v>FUTUROS Y OPCIONES.C</v>
      </c>
      <c r="Y7" s="12" t="str">
        <v/>
      </c>
      <c r="Z7" s="12">
        <v>20251009</v>
      </c>
      <c r="AA7" s="12">
        <v>1</v>
      </c>
      <c r="AB7" s="12" t="str">
        <v>1A</v>
      </c>
      <c r="AC7" s="12" t="str">
        <v>S-</v>
      </c>
      <c r="AD7" s="12" t="str">
        <v/>
      </c>
      <c r="AE7" s="12" t="str">
        <v/>
      </c>
      <c r="AF7" s="12" t="str">
        <v>.11125000</v>
      </c>
      <c r="AG7" s="12" t="str">
        <v/>
      </c>
      <c r="AH7" s="12" t="str">
        <v/>
      </c>
      <c r="AI7" s="12" t="str">
        <v/>
      </c>
      <c r="AJ7" s="12" t="str">
        <v/>
      </c>
      <c r="AK7" s="12" t="str">
        <v/>
      </c>
      <c r="AL7" s="12">
        <v>0</v>
      </c>
      <c r="AM7" s="12" t="str">
        <v>10.0000</v>
      </c>
      <c r="AN7" s="12" t="str">
        <v>USD</v>
      </c>
      <c r="AO7" s="12">
        <v>-668750</v>
      </c>
      <c r="AP7" s="12">
        <v>0</v>
      </c>
      <c r="AQ7" s="12">
        <v>1116750000</v>
      </c>
      <c r="AR7" s="12">
        <v>50000</v>
      </c>
      <c r="AS7" s="12" t="str">
        <v>5J09 L0h0</v>
      </c>
      <c r="AT7" s="12">
        <v>115953836</v>
      </c>
      <c r="AU7" s="12" t="str">
        <v>0,2310</v>
      </c>
      <c r="AV7" s="12" t="str">
        <v>S</v>
      </c>
      <c r="AW7" s="12" t="str">
        <v>CBT</v>
      </c>
      <c r="AX7" s="12" t="str">
        <v>Comdty</v>
      </c>
      <c r="AY7" s="12" t="str">
        <v>Soja</v>
      </c>
      <c r="AZ7">
        <f>IF(VLOOKUP(AY7,Conversor!B:C,2,0)="HS",0.01,VLOOKUP(AY7,Conversor!B:C,2,0))</f>
        <v>0.36742999999999998</v>
      </c>
      <c r="BA7">
        <f t="shared" si="18"/>
        <v>-10</v>
      </c>
      <c r="BB7" s="42">
        <f t="shared" si="0"/>
        <v>410.32745249999999</v>
      </c>
      <c r="BC7" s="58">
        <f t="shared" si="19"/>
        <v>440.916</v>
      </c>
      <c r="BD7" s="1">
        <f>IF(OR(E7="FUTUR",E7="f20176"),0,VLOOKUP(AY7,Conversor!G:I,3,0)*BA7)</f>
        <v>-1360.8000000000002</v>
      </c>
      <c r="BE7" t="str">
        <f t="shared" si="20"/>
        <v>Call</v>
      </c>
      <c r="BF7" t="str">
        <f t="shared" si="21"/>
        <v>si</v>
      </c>
      <c r="BG7" t="str">
        <f t="shared" si="22"/>
        <v>V</v>
      </c>
      <c r="BH7" t="str">
        <f t="shared" si="1"/>
        <v>VC</v>
      </c>
      <c r="BI7" s="7">
        <f t="shared" si="23"/>
        <v>287.22921674999998</v>
      </c>
      <c r="BJ7" s="7">
        <f t="shared" si="2"/>
        <v>328.26196200000004</v>
      </c>
      <c r="BK7" s="7">
        <f t="shared" si="2"/>
        <v>369.29470724999999</v>
      </c>
      <c r="BL7" s="7">
        <f t="shared" si="2"/>
        <v>410.32745249999999</v>
      </c>
      <c r="BM7" s="7">
        <f t="shared" si="2"/>
        <v>451.36019775000005</v>
      </c>
      <c r="BN7" s="7">
        <f t="shared" si="2"/>
        <v>492.39294299999995</v>
      </c>
      <c r="BO7" s="7">
        <f t="shared" si="2"/>
        <v>533.42568825000001</v>
      </c>
      <c r="BP7" s="7">
        <f t="shared" ref="BP7:BP32" si="31">IF($BE7="futuro",-($BL7-BI7)*$BD7,0)</f>
        <v>0</v>
      </c>
      <c r="BQ7" s="7">
        <f t="shared" ref="BQ7:BQ32" si="32">IF($BE7="futuro",-($BL7-BJ7)*$BD7,0)</f>
        <v>0</v>
      </c>
      <c r="BR7" s="7">
        <f t="shared" ref="BR7:BR32" si="33">IF($BE7="futuro",-($BL7-BK7)*$BD7,0)</f>
        <v>0</v>
      </c>
      <c r="BS7" s="7">
        <f t="shared" ref="BS7:BS32" si="34">IF($BE7="futuro",-($BL7-BL7)*$BD7,0)</f>
        <v>0</v>
      </c>
      <c r="BT7" s="7">
        <f t="shared" ref="BT7:BT32" si="35">IF($BE7="futuro",-($BL7-BM7)*$BD7,0)</f>
        <v>0</v>
      </c>
      <c r="BU7" s="7">
        <f t="shared" ref="BU7:BU32" si="36">IF($BE7="futuro",-($BL7-BN7)*$BD7,0)</f>
        <v>0</v>
      </c>
      <c r="BV7" s="7">
        <f t="shared" ref="BV7:BV32" si="37">IF($BE7="futuro",-($BL7-BO7)*$BD7,0)</f>
        <v>0</v>
      </c>
      <c r="BW7" s="7">
        <f t="shared" ref="BW7:BW32" si="38">IF(AND($BH7="CC",($BC7-BI7)&lt;0),(BI7-$BC7)*$BD7,
 IF(AND($BH7="VC",($BC7-BI7)&lt;0),($BC7-BI7)*-$BD7,
 IF(AND($BH7="CP",($BC7-BI7)&gt;0),(BI7-$BC7)*$BD7*-1,
 IF(AND($BH7="VP",($BC7-BI7)&gt;0),(BI7-$BC7)*$BD7*-1,0))))</f>
        <v>0</v>
      </c>
      <c r="BX7" s="7">
        <f t="shared" ref="BX7:BX32" si="39">IF(AND($BH7="CC",($BC7-BJ7)&lt;0),(BJ7-$BC7)*$BD7,
 IF(AND($BH7="VC",($BC7-BJ7)&lt;0),($BC7-BJ7)*-$BD7,
 IF(AND($BH7="CP",($BC7-BJ7)&gt;0),(BJ7-$BC7)*$BD7*-1,
 IF(AND($BH7="VP",($BC7-BJ7)&gt;0),(BJ7-$BC7)*$BD7*-1,0))))</f>
        <v>0</v>
      </c>
      <c r="BY7" s="7">
        <f t="shared" ref="BY7:BY32" si="40">IF(AND($BH7="CC",($BC7-BK7)&lt;0),(BK7-$BC7)*$BD7,
 IF(AND($BH7="VC",($BC7-BK7)&lt;0),($BC7-BK7)*-$BD7,
 IF(AND($BH7="CP",($BC7-BK7)&gt;0),(BK7-$BC7)*$BD7*-1,
 IF(AND($BH7="VP",($BC7-BK7)&gt;0),(BK7-$BC7)*$BD7*-1,0))))</f>
        <v>0</v>
      </c>
      <c r="BZ7" s="7">
        <f t="shared" ref="BZ7:BZ32" si="41">IF(AND($BH7="CC",($BC7-BL7)&lt;0),(BL7-$BC7)*$BD7,
 IF(AND($BH7="VC",($BC7-BL7)&lt;0),($BC7-BL7)*-$BD7,
 IF(AND($BH7="CP",($BC7-BL7)&gt;0),(BL7-$BC7)*$BD7*-1,
 IF(AND($BH7="VP",($BC7-BL7)&gt;0),(BL7-$BC7)*$BD7*-1,0))))</f>
        <v>0</v>
      </c>
      <c r="CA7" s="7">
        <f t="shared" ref="CA7:CA32" si="42">IF(AND($BH7="CC",($BC7-BM7)&lt;0),(BM7-$BC7)*$BD7,
 IF(AND($BH7="VC",($BC7-BM7)&lt;0),($BC7-BM7)*-$BD7,
 IF(AND($BH7="CP",($BC7-BM7)&gt;0),(BM7-$BC7)*$BD7*-1,
 IF(AND($BH7="VP",($BC7-BM7)&gt;0),(BM7-$BC7)*$BD7*-1,0))))</f>
        <v>-14212.464298200081</v>
      </c>
      <c r="CB7" s="7">
        <f t="shared" ref="CB7:CB32" si="43">IF(AND($BH7="CC",($BC7-BN7)&lt;0),(BN7-$BC7)*$BD7,
 IF(AND($BH7="VC",($BC7-BN7)&lt;0),($BC7-BN7)*-$BD7,
 IF(AND($BH7="CP",($BC7-BN7)&gt;0),(BN7-$BC7)*$BD7*-1,
 IF(AND($BH7="VP",($BC7-BN7)&gt;0),(BN7-$BC7)*$BD7*-1,0))))</f>
        <v>-70049.824034399935</v>
      </c>
      <c r="CC7" s="7">
        <f t="shared" ref="CC7:CC32" si="44">IF(AND($BH7="CC",($BC7-BO7)&lt;0),(BO7-$BC7)*$BD7,
 IF(AND($BH7="VC",($BC7-BO7)&lt;0),($BC7-BO7)*-$BD7,
 IF(AND($BH7="CP",($BC7-BO7)&gt;0),(BO7-$BC7)*$BD7*-1,
 IF(AND($BH7="VP",($BC7-BO7)&gt;0),(BO7-$BC7)*$BD7*-1,0))))</f>
        <v>-125887.18377060004</v>
      </c>
      <c r="CD7">
        <f t="shared" ref="CD7:CD32" si="45">IF(AND($BH7="CC",($BC7-BI7)&lt;0),$BD7*1,
 IF(AND($BH7="VC",($BC7-BI7)&lt;0),$BD7*1,
 IF(AND($BH7="CP",($BC7-BI7)&gt;0),$BD7*-1,
 IF(AND($BH7="VP",($BC7-BI7)&gt;0),$BD7*-1,0))))</f>
        <v>0</v>
      </c>
      <c r="CE7">
        <f t="shared" ref="CE7:CE32" si="46">IF(AND($BH7="CC",($BC7-BJ7)&lt;0),$BD7*1,
 IF(AND($BH7="VC",($BC7-BJ7)&lt;0),$BD7*1,
 IF(AND($BH7="CP",($BC7-BJ7)&gt;0),$BD7*-1,
 IF(AND($BH7="VP",($BC7-BJ7)&gt;0),$BD7*-1,0))))</f>
        <v>0</v>
      </c>
      <c r="CF7">
        <f t="shared" ref="CF7:CF32" si="47">IF(AND($BH7="CC",($BC7-BK7)&lt;0),$BD7*1,
 IF(AND($BH7="VC",($BC7-BK7)&lt;0),$BD7*1,
 IF(AND($BH7="CP",($BC7-BK7)&gt;0),$BD7*-1,
 IF(AND($BH7="VP",($BC7-BK7)&gt;0),$BD7*-1,0))))</f>
        <v>0</v>
      </c>
      <c r="CG7">
        <f t="shared" ref="CG7:CG32" si="48">IF(AND($BH7="CC",($BC7-BL7)&lt;0),$BD7*1,
 IF(AND($BH7="VC",($BC7-BL7)&lt;0),$BD7*1,
 IF(AND($BH7="CP",($BC7-BL7)&gt;0),$BD7*-1,
 IF(AND($BH7="VP",($BC7-BL7)&gt;0),$BD7*-1,0))))</f>
        <v>0</v>
      </c>
      <c r="CH7">
        <f t="shared" ref="CH7:CH32" si="49">IF(AND($BH7="CC",($BC7-BM7)&lt;0),$BD7*1,
 IF(AND($BH7="VC",($BC7-BM7)&lt;0),$BD7*1,
 IF(AND($BH7="CP",($BC7-BM7)&gt;0),$BD7*-1,
 IF(AND($BH7="VP",($BC7-BM7)&gt;0),$BD7*-1,0))))</f>
        <v>-1360.8000000000002</v>
      </c>
      <c r="CI7">
        <f t="shared" ref="CI7:CI32" si="50">IF(AND($BH7="CC",($BC7-BN7)&lt;0),$BD7*1,
 IF(AND($BH7="VC",($BC7-BN7)&lt;0),$BD7*1,
 IF(AND($BH7="CP",($BC7-BN7)&gt;0),$BD7*-1,
 IF(AND($BH7="VP",($BC7-BN7)&gt;0),$BD7*-1,0))))</f>
        <v>-1360.8000000000002</v>
      </c>
      <c r="CJ7">
        <f t="shared" ref="CJ7:CJ32" si="51">IF(AND($BH7="CC",($BC7-BO7)&lt;0),$BD7*1,
 IF(AND($BH7="VC",($BC7-BO7)&lt;0),$BD7*1,
 IF(AND($BH7="CP",($BC7-BO7)&gt;0),$BD7*-1,
 IF(AND($BH7="VP",($BC7-BO7)&gt;0),$BD7*-1,0))))</f>
        <v>-1360.8000000000002</v>
      </c>
      <c r="CK7" s="6">
        <f>Tabla3[[#This Row],[Tns]]</f>
        <v>-1360.8000000000002</v>
      </c>
      <c r="CL7" t="str">
        <f>IF(ISERROR(VLOOKUP(VALUE(E7),'Clientes CBOT'!A:A,1,0)),"VER","ok")</f>
        <v>ok</v>
      </c>
    </row>
    <row r="8" spans="1:90" hidden="1" x14ac:dyDescent="0.3">
      <c r="A8" s="12" t="str">
        <v>P</v>
      </c>
      <c r="B8" s="12" t="str">
        <v>R</v>
      </c>
      <c r="C8" s="12">
        <v>766</v>
      </c>
      <c r="D8" s="12">
        <v>0</v>
      </c>
      <c r="E8" s="12" t="str">
        <v>13006</v>
      </c>
      <c r="F8" s="12" t="str">
        <v>C</v>
      </c>
      <c r="G8" s="12" t="str">
        <v>O</v>
      </c>
      <c r="H8" s="12" t="str">
        <v>F1</v>
      </c>
      <c r="I8" s="12" t="str">
        <v>.AS-0120026E</v>
      </c>
      <c r="J8" s="12">
        <v>7394</v>
      </c>
      <c r="K8" s="12">
        <v>2</v>
      </c>
      <c r="L8" s="12">
        <v>50000</v>
      </c>
      <c r="M8" s="12" t="str">
        <v>CALL MAY 26 SOYBEANS   1200</v>
      </c>
      <c r="N8" s="12" t="str">
        <v>.13 3/4</v>
      </c>
      <c r="O8" s="12">
        <v>20251023</v>
      </c>
      <c r="P8" s="12" t="str">
        <v/>
      </c>
      <c r="Q8" s="12">
        <v>202605</v>
      </c>
      <c r="R8" s="12" t="str">
        <v/>
      </c>
      <c r="S8" s="12" t="str">
        <v>F</v>
      </c>
      <c r="T8" s="12" t="str">
        <v>C</v>
      </c>
      <c r="U8" s="12">
        <v>1200000000</v>
      </c>
      <c r="V8" s="12">
        <v>20260424</v>
      </c>
      <c r="W8" s="12" t="str">
        <v/>
      </c>
      <c r="X8" s="12" t="str">
        <v>FUTUROS Y OPCIONES.C</v>
      </c>
      <c r="Y8" s="12" t="str">
        <v/>
      </c>
      <c r="Z8" s="12">
        <v>20251023</v>
      </c>
      <c r="AA8" s="12">
        <v>1</v>
      </c>
      <c r="AB8" s="12" t="str">
        <v>1A</v>
      </c>
      <c r="AC8" s="12" t="str">
        <v>S-</v>
      </c>
      <c r="AD8" s="12" t="str">
        <v/>
      </c>
      <c r="AE8" s="12" t="str">
        <v/>
      </c>
      <c r="AF8" s="12" t="str">
        <v>.13750000</v>
      </c>
      <c r="AG8" s="12" t="str">
        <v/>
      </c>
      <c r="AH8" s="12" t="str">
        <v/>
      </c>
      <c r="AI8" s="12" t="str">
        <v/>
      </c>
      <c r="AJ8" s="12" t="str">
        <v/>
      </c>
      <c r="AK8" s="12" t="str">
        <v/>
      </c>
      <c r="AL8" s="12">
        <v>0</v>
      </c>
      <c r="AM8" s="12" t="str">
        <v>5.0000</v>
      </c>
      <c r="AN8" s="12" t="str">
        <v>USD</v>
      </c>
      <c r="AO8" s="12">
        <v>-334375</v>
      </c>
      <c r="AP8" s="12">
        <v>0</v>
      </c>
      <c r="AQ8" s="12">
        <v>1116750000</v>
      </c>
      <c r="AR8" s="12">
        <v>50000</v>
      </c>
      <c r="AS8" s="12" t="str">
        <v>5J23 YVn0</v>
      </c>
      <c r="AT8" s="12">
        <v>116067394</v>
      </c>
      <c r="AU8" s="12" t="str">
        <v>0,2310</v>
      </c>
      <c r="AV8" s="12" t="str">
        <v>S</v>
      </c>
      <c r="AW8" s="12" t="str">
        <v>CBT</v>
      </c>
      <c r="AX8" s="12" t="str">
        <v>Comdty</v>
      </c>
      <c r="AY8" s="12" t="str">
        <v>Soja</v>
      </c>
      <c r="AZ8">
        <f>IF(VLOOKUP(AY8,Conversor!B:C,2,0)="HS",0.01,VLOOKUP(AY8,Conversor!B:C,2,0))</f>
        <v>0.36742999999999998</v>
      </c>
      <c r="BA8">
        <f t="shared" si="18"/>
        <v>-5</v>
      </c>
      <c r="BB8" s="42">
        <f t="shared" si="0"/>
        <v>410.32745249999999</v>
      </c>
      <c r="BC8" s="58">
        <f t="shared" si="19"/>
        <v>440.916</v>
      </c>
      <c r="BD8" s="1">
        <f>IF(OR(E8="FUTUR",E8="f20176"),0,VLOOKUP(AY8,Conversor!G:I,3,0)*BA8)</f>
        <v>-680.40000000000009</v>
      </c>
      <c r="BE8" t="str">
        <f t="shared" si="20"/>
        <v>Call</v>
      </c>
      <c r="BF8" t="str">
        <f t="shared" si="21"/>
        <v>si</v>
      </c>
      <c r="BG8" t="str">
        <f t="shared" si="22"/>
        <v>V</v>
      </c>
      <c r="BH8" t="str">
        <f t="shared" si="1"/>
        <v>VC</v>
      </c>
      <c r="BI8" s="7">
        <f t="shared" si="23"/>
        <v>287.22921674999998</v>
      </c>
      <c r="BJ8" s="7">
        <f t="shared" si="2"/>
        <v>328.26196200000004</v>
      </c>
      <c r="BK8" s="7">
        <f t="shared" si="2"/>
        <v>369.29470724999999</v>
      </c>
      <c r="BL8" s="7">
        <f t="shared" si="2"/>
        <v>410.32745249999999</v>
      </c>
      <c r="BM8" s="7">
        <f t="shared" si="2"/>
        <v>451.36019775000005</v>
      </c>
      <c r="BN8" s="7">
        <f t="shared" si="2"/>
        <v>492.39294299999995</v>
      </c>
      <c r="BO8" s="7">
        <f t="shared" si="2"/>
        <v>533.42568825000001</v>
      </c>
      <c r="BP8" s="7">
        <f t="shared" si="31"/>
        <v>0</v>
      </c>
      <c r="BQ8" s="7">
        <f t="shared" si="32"/>
        <v>0</v>
      </c>
      <c r="BR8" s="7">
        <f t="shared" si="33"/>
        <v>0</v>
      </c>
      <c r="BS8" s="7">
        <f t="shared" si="34"/>
        <v>0</v>
      </c>
      <c r="BT8" s="7">
        <f t="shared" si="35"/>
        <v>0</v>
      </c>
      <c r="BU8" s="7">
        <f t="shared" si="36"/>
        <v>0</v>
      </c>
      <c r="BV8" s="7">
        <f t="shared" si="37"/>
        <v>0</v>
      </c>
      <c r="BW8" s="7">
        <f t="shared" si="38"/>
        <v>0</v>
      </c>
      <c r="BX8" s="7">
        <f t="shared" si="39"/>
        <v>0</v>
      </c>
      <c r="BY8" s="7">
        <f t="shared" si="40"/>
        <v>0</v>
      </c>
      <c r="BZ8" s="7">
        <f t="shared" si="41"/>
        <v>0</v>
      </c>
      <c r="CA8" s="7">
        <f t="shared" si="42"/>
        <v>-7106.2321491000403</v>
      </c>
      <c r="CB8" s="7">
        <f t="shared" si="43"/>
        <v>-35024.912017199968</v>
      </c>
      <c r="CC8" s="7">
        <f t="shared" si="44"/>
        <v>-62943.591885300018</v>
      </c>
      <c r="CD8">
        <f t="shared" si="45"/>
        <v>0</v>
      </c>
      <c r="CE8">
        <f t="shared" si="46"/>
        <v>0</v>
      </c>
      <c r="CF8">
        <f t="shared" si="47"/>
        <v>0</v>
      </c>
      <c r="CG8">
        <f t="shared" si="48"/>
        <v>0</v>
      </c>
      <c r="CH8">
        <f t="shared" si="49"/>
        <v>-680.40000000000009</v>
      </c>
      <c r="CI8">
        <f t="shared" si="50"/>
        <v>-680.40000000000009</v>
      </c>
      <c r="CJ8">
        <f t="shared" si="51"/>
        <v>-680.40000000000009</v>
      </c>
      <c r="CK8" s="6">
        <f>Tabla3[[#This Row],[Tns]]</f>
        <v>-680.40000000000009</v>
      </c>
      <c r="CL8" t="str">
        <f>IF(ISERROR(VLOOKUP(VALUE(E8),'Clientes CBOT'!A:A,1,0)),"VER","ok")</f>
        <v>ok</v>
      </c>
    </row>
    <row r="9" spans="1:90" hidden="1" x14ac:dyDescent="0.3">
      <c r="A9" s="12" t="str">
        <v>P</v>
      </c>
      <c r="B9" s="12" t="str">
        <v>R</v>
      </c>
      <c r="C9" s="12">
        <v>766</v>
      </c>
      <c r="D9" s="12">
        <v>0</v>
      </c>
      <c r="E9" s="12" t="str">
        <v>13006</v>
      </c>
      <c r="F9" s="12" t="str">
        <v>C</v>
      </c>
      <c r="G9" s="12" t="str">
        <v>O</v>
      </c>
      <c r="H9" s="12" t="str">
        <v>F1</v>
      </c>
      <c r="I9" s="12" t="str">
        <v>.AS-0122026E</v>
      </c>
      <c r="J9" s="12">
        <v>8416</v>
      </c>
      <c r="K9" s="12">
        <v>2</v>
      </c>
      <c r="L9" s="12">
        <v>130000</v>
      </c>
      <c r="M9" s="12" t="str">
        <v>CALL MAY 26 SOYBEANS   1220</v>
      </c>
      <c r="N9" s="12" t="str">
        <v>.30 1/2</v>
      </c>
      <c r="O9" s="12">
        <v>20251118</v>
      </c>
      <c r="P9" s="12" t="str">
        <v/>
      </c>
      <c r="Q9" s="12">
        <v>202605</v>
      </c>
      <c r="R9" s="12" t="str">
        <v/>
      </c>
      <c r="S9" s="12" t="str">
        <v>F</v>
      </c>
      <c r="T9" s="12" t="str">
        <v>C</v>
      </c>
      <c r="U9" s="12">
        <v>1220000000</v>
      </c>
      <c r="V9" s="12">
        <v>20260424</v>
      </c>
      <c r="W9" s="12" t="str">
        <v/>
      </c>
      <c r="X9" s="12" t="str">
        <v>FUTUROS Y OPCIONES.C</v>
      </c>
      <c r="Y9" s="12" t="str">
        <v/>
      </c>
      <c r="Z9" s="12">
        <v>20251118</v>
      </c>
      <c r="AA9" s="12">
        <v>1</v>
      </c>
      <c r="AB9" s="12" t="str">
        <v>1A</v>
      </c>
      <c r="AC9" s="12" t="str">
        <v>S-</v>
      </c>
      <c r="AD9" s="12" t="str">
        <v/>
      </c>
      <c r="AE9" s="12" t="str">
        <v/>
      </c>
      <c r="AF9" s="12" t="str">
        <v>.30500000</v>
      </c>
      <c r="AG9" s="12" t="str">
        <v/>
      </c>
      <c r="AH9" s="12" t="str">
        <v/>
      </c>
      <c r="AI9" s="12" t="str">
        <v/>
      </c>
      <c r="AJ9" s="12" t="str">
        <v/>
      </c>
      <c r="AK9" s="12" t="str">
        <v/>
      </c>
      <c r="AL9" s="12">
        <v>0</v>
      </c>
      <c r="AM9" s="12" t="str">
        <v>13.0000</v>
      </c>
      <c r="AN9" s="12" t="str">
        <v>USD</v>
      </c>
      <c r="AO9" s="12">
        <v>-674375</v>
      </c>
      <c r="AP9" s="12">
        <v>0</v>
      </c>
      <c r="AQ9" s="12">
        <v>1116750000</v>
      </c>
      <c r="AR9" s="12">
        <v>50000</v>
      </c>
      <c r="AS9" s="12" t="str">
        <v>5K18 WeL0</v>
      </c>
      <c r="AT9" s="12">
        <v>116298416</v>
      </c>
      <c r="AU9" s="12" t="str">
        <v>0,1860</v>
      </c>
      <c r="AV9" s="12" t="str">
        <v>S</v>
      </c>
      <c r="AW9" s="12" t="str">
        <v>CBT</v>
      </c>
      <c r="AX9" s="12" t="str">
        <v>Comdty</v>
      </c>
      <c r="AY9" s="12" t="str">
        <v>Soja</v>
      </c>
      <c r="AZ9">
        <f>IF(VLOOKUP(AY9,Conversor!B:C,2,0)="HS",0.01,VLOOKUP(AY9,Conversor!B:C,2,0))</f>
        <v>0.36742999999999998</v>
      </c>
      <c r="BA9">
        <f t="shared" si="18"/>
        <v>-13</v>
      </c>
      <c r="BB9" s="42">
        <f t="shared" si="0"/>
        <v>410.32745249999999</v>
      </c>
      <c r="BC9" s="58">
        <f t="shared" si="19"/>
        <v>448.26459999999997</v>
      </c>
      <c r="BD9" s="1">
        <f>IF(OR(E9="FUTUR",E9="f20176"),0,VLOOKUP(AY9,Conversor!G:I,3,0)*BA9)</f>
        <v>-1769.0400000000002</v>
      </c>
      <c r="BE9" t="str">
        <f t="shared" si="20"/>
        <v>Call</v>
      </c>
      <c r="BF9" t="str">
        <f t="shared" si="21"/>
        <v>si</v>
      </c>
      <c r="BG9" t="str">
        <f t="shared" si="22"/>
        <v>V</v>
      </c>
      <c r="BH9" t="str">
        <f t="shared" si="1"/>
        <v>VC</v>
      </c>
      <c r="BI9" s="7">
        <f t="shared" si="23"/>
        <v>287.22921674999998</v>
      </c>
      <c r="BJ9" s="7">
        <f t="shared" si="2"/>
        <v>328.26196200000004</v>
      </c>
      <c r="BK9" s="7">
        <f t="shared" si="2"/>
        <v>369.29470724999999</v>
      </c>
      <c r="BL9" s="7">
        <f t="shared" si="2"/>
        <v>410.32745249999999</v>
      </c>
      <c r="BM9" s="7">
        <f t="shared" si="2"/>
        <v>451.36019775000005</v>
      </c>
      <c r="BN9" s="7">
        <f t="shared" si="2"/>
        <v>492.39294299999995</v>
      </c>
      <c r="BO9" s="7">
        <f t="shared" si="2"/>
        <v>533.42568825000001</v>
      </c>
      <c r="BP9" s="7">
        <f t="shared" si="31"/>
        <v>0</v>
      </c>
      <c r="BQ9" s="7">
        <f t="shared" si="32"/>
        <v>0</v>
      </c>
      <c r="BR9" s="7">
        <f t="shared" si="33"/>
        <v>0</v>
      </c>
      <c r="BS9" s="7">
        <f t="shared" si="34"/>
        <v>0</v>
      </c>
      <c r="BT9" s="7">
        <f t="shared" si="35"/>
        <v>0</v>
      </c>
      <c r="BU9" s="7">
        <f t="shared" si="36"/>
        <v>0</v>
      </c>
      <c r="BV9" s="7">
        <f t="shared" si="37"/>
        <v>0</v>
      </c>
      <c r="BW9" s="7">
        <f t="shared" si="38"/>
        <v>0</v>
      </c>
      <c r="BX9" s="7">
        <f t="shared" si="39"/>
        <v>0</v>
      </c>
      <c r="BY9" s="7">
        <f t="shared" si="40"/>
        <v>0</v>
      </c>
      <c r="BZ9" s="7">
        <f t="shared" si="41"/>
        <v>0</v>
      </c>
      <c r="CA9" s="7">
        <f t="shared" si="42"/>
        <v>-5476.2362436601443</v>
      </c>
      <c r="CB9" s="7">
        <f t="shared" si="43"/>
        <v>-78064.803900719955</v>
      </c>
      <c r="CC9" s="7">
        <f t="shared" si="44"/>
        <v>-150653.37155778008</v>
      </c>
      <c r="CD9">
        <f t="shared" si="45"/>
        <v>0</v>
      </c>
      <c r="CE9">
        <f t="shared" si="46"/>
        <v>0</v>
      </c>
      <c r="CF9">
        <f t="shared" si="47"/>
        <v>0</v>
      </c>
      <c r="CG9">
        <f t="shared" si="48"/>
        <v>0</v>
      </c>
      <c r="CH9">
        <f t="shared" si="49"/>
        <v>-1769.0400000000002</v>
      </c>
      <c r="CI9">
        <f t="shared" si="50"/>
        <v>-1769.0400000000002</v>
      </c>
      <c r="CJ9">
        <f t="shared" si="51"/>
        <v>-1769.0400000000002</v>
      </c>
      <c r="CK9" s="6">
        <f>Tabla3[[#This Row],[Tns]]</f>
        <v>-1769.0400000000002</v>
      </c>
      <c r="CL9" t="str">
        <f>IF(ISERROR(VLOOKUP(VALUE(E9),'Clientes CBOT'!A:A,1,0)),"VER","ok")</f>
        <v>ok</v>
      </c>
    </row>
    <row r="10" spans="1:90" hidden="1" x14ac:dyDescent="0.3">
      <c r="A10" s="12" t="str">
        <v>P</v>
      </c>
      <c r="B10" s="12" t="str">
        <v>R</v>
      </c>
      <c r="C10" s="12">
        <v>766</v>
      </c>
      <c r="D10" s="12">
        <v>0</v>
      </c>
      <c r="E10" s="12" t="str">
        <v>13006</v>
      </c>
      <c r="F10" s="12" t="str">
        <v>C</v>
      </c>
      <c r="G10" s="12" t="str">
        <v>O</v>
      </c>
      <c r="H10" s="12" t="str">
        <v>F1</v>
      </c>
      <c r="I10" s="12" t="str">
        <v>.AS-0122026E</v>
      </c>
      <c r="J10" s="12">
        <v>4956</v>
      </c>
      <c r="K10" s="12">
        <v>2</v>
      </c>
      <c r="L10" s="12">
        <v>100000</v>
      </c>
      <c r="M10" s="12" t="str">
        <v>CALL MAY 26 SOYBEANS   1220</v>
      </c>
      <c r="N10" s="12" t="str">
        <v>.31</v>
      </c>
      <c r="O10" s="12">
        <v>20251118</v>
      </c>
      <c r="P10" s="12" t="str">
        <v/>
      </c>
      <c r="Q10" s="12">
        <v>202605</v>
      </c>
      <c r="R10" s="12" t="str">
        <v/>
      </c>
      <c r="S10" s="12" t="str">
        <v>F</v>
      </c>
      <c r="T10" s="12" t="str">
        <v>C</v>
      </c>
      <c r="U10" s="12">
        <v>1220000000</v>
      </c>
      <c r="V10" s="12">
        <v>20260424</v>
      </c>
      <c r="W10" s="12" t="str">
        <v/>
      </c>
      <c r="X10" s="12" t="str">
        <v>FUTUROS Y OPCIONES.C</v>
      </c>
      <c r="Y10" s="12" t="str">
        <v/>
      </c>
      <c r="Z10" s="12">
        <v>20251118</v>
      </c>
      <c r="AA10" s="12">
        <v>1</v>
      </c>
      <c r="AB10" s="12" t="str">
        <v>1A</v>
      </c>
      <c r="AC10" s="12" t="str">
        <v>S-</v>
      </c>
      <c r="AD10" s="12" t="str">
        <v/>
      </c>
      <c r="AE10" s="12" t="str">
        <v/>
      </c>
      <c r="AF10" s="12" t="str">
        <v>.31000000</v>
      </c>
      <c r="AG10" s="12" t="str">
        <v/>
      </c>
      <c r="AH10" s="12" t="str">
        <v/>
      </c>
      <c r="AI10" s="12" t="str">
        <v/>
      </c>
      <c r="AJ10" s="12" t="str">
        <v/>
      </c>
      <c r="AK10" s="12" t="str">
        <v/>
      </c>
      <c r="AL10" s="12">
        <v>0</v>
      </c>
      <c r="AM10" s="12" t="str">
        <v>10.0000</v>
      </c>
      <c r="AN10" s="12" t="str">
        <v>USD</v>
      </c>
      <c r="AO10" s="12">
        <v>-518750</v>
      </c>
      <c r="AP10" s="12">
        <v>0</v>
      </c>
      <c r="AQ10" s="12">
        <v>1116750000</v>
      </c>
      <c r="AR10" s="12">
        <v>50000</v>
      </c>
      <c r="AS10" s="12" t="str">
        <v>5K18 JH90</v>
      </c>
      <c r="AT10" s="12">
        <v>116294956</v>
      </c>
      <c r="AU10" s="12" t="str">
        <v>0,1860</v>
      </c>
      <c r="AV10" s="12" t="str">
        <v>S</v>
      </c>
      <c r="AW10" s="12" t="str">
        <v>CBT</v>
      </c>
      <c r="AX10" s="12" t="str">
        <v>Comdty</v>
      </c>
      <c r="AY10" s="12" t="str">
        <v>Soja</v>
      </c>
      <c r="AZ10">
        <f>IF(VLOOKUP(AY10,Conversor!B:C,2,0)="HS",0.01,VLOOKUP(AY10,Conversor!B:C,2,0))</f>
        <v>0.36742999999999998</v>
      </c>
      <c r="BA10">
        <f t="shared" si="18"/>
        <v>-10</v>
      </c>
      <c r="BB10" s="42">
        <f t="shared" si="0"/>
        <v>410.32745249999999</v>
      </c>
      <c r="BC10" s="58">
        <f t="shared" si="19"/>
        <v>448.26459999999997</v>
      </c>
      <c r="BD10" s="1">
        <f>IF(OR(E10="FUTUR",E10="f20176"),0,VLOOKUP(AY10,Conversor!G:I,3,0)*BA10)</f>
        <v>-1360.8000000000002</v>
      </c>
      <c r="BE10" t="str">
        <f t="shared" si="20"/>
        <v>Call</v>
      </c>
      <c r="BF10" t="str">
        <f t="shared" si="21"/>
        <v>si</v>
      </c>
      <c r="BG10" t="str">
        <f t="shared" si="22"/>
        <v>V</v>
      </c>
      <c r="BH10" t="str">
        <f t="shared" si="1"/>
        <v>VC</v>
      </c>
      <c r="BI10" s="7">
        <f t="shared" si="23"/>
        <v>287.22921674999998</v>
      </c>
      <c r="BJ10" s="7">
        <f t="shared" si="2"/>
        <v>328.26196200000004</v>
      </c>
      <c r="BK10" s="7">
        <f t="shared" si="2"/>
        <v>369.29470724999999</v>
      </c>
      <c r="BL10" s="7">
        <f t="shared" si="2"/>
        <v>410.32745249999999</v>
      </c>
      <c r="BM10" s="7">
        <f t="shared" si="2"/>
        <v>451.36019775000005</v>
      </c>
      <c r="BN10" s="7">
        <f t="shared" si="2"/>
        <v>492.39294299999995</v>
      </c>
      <c r="BO10" s="7">
        <f t="shared" si="2"/>
        <v>533.42568825000001</v>
      </c>
      <c r="BP10" s="7">
        <f t="shared" si="31"/>
        <v>0</v>
      </c>
      <c r="BQ10" s="7">
        <f t="shared" si="32"/>
        <v>0</v>
      </c>
      <c r="BR10" s="7">
        <f t="shared" si="33"/>
        <v>0</v>
      </c>
      <c r="BS10" s="7">
        <f t="shared" si="34"/>
        <v>0</v>
      </c>
      <c r="BT10" s="7">
        <f>IF($BE10="futuro",-($BL10-BM10)*$BD10,0)</f>
        <v>0</v>
      </c>
      <c r="BU10" s="7">
        <f t="shared" si="36"/>
        <v>0</v>
      </c>
      <c r="BV10" s="7">
        <f t="shared" si="37"/>
        <v>0</v>
      </c>
      <c r="BW10" s="7">
        <f t="shared" si="38"/>
        <v>0</v>
      </c>
      <c r="BX10" s="7">
        <f t="shared" si="39"/>
        <v>0</v>
      </c>
      <c r="BY10" s="7">
        <f t="shared" si="40"/>
        <v>0</v>
      </c>
      <c r="BZ10" s="7">
        <f t="shared" si="41"/>
        <v>0</v>
      </c>
      <c r="CA10" s="7">
        <f t="shared" si="42"/>
        <v>-4212.4894182001108</v>
      </c>
      <c r="CB10" s="7">
        <f t="shared" si="43"/>
        <v>-60049.84915439997</v>
      </c>
      <c r="CC10" s="7">
        <f t="shared" si="44"/>
        <v>-115887.20889060006</v>
      </c>
      <c r="CD10">
        <f t="shared" si="45"/>
        <v>0</v>
      </c>
      <c r="CE10">
        <f t="shared" si="46"/>
        <v>0</v>
      </c>
      <c r="CF10">
        <f t="shared" si="47"/>
        <v>0</v>
      </c>
      <c r="CG10">
        <f t="shared" si="48"/>
        <v>0</v>
      </c>
      <c r="CH10">
        <f t="shared" si="49"/>
        <v>-1360.8000000000002</v>
      </c>
      <c r="CI10">
        <f t="shared" si="50"/>
        <v>-1360.8000000000002</v>
      </c>
      <c r="CJ10">
        <f t="shared" si="51"/>
        <v>-1360.8000000000002</v>
      </c>
      <c r="CK10" s="6">
        <f>Tabla3[[#This Row],[Tns]]</f>
        <v>-1360.8000000000002</v>
      </c>
      <c r="CL10" t="str">
        <f>IF(ISERROR(VLOOKUP(VALUE(E10),'Clientes CBOT'!A:A,1,0)),"VER","ok")</f>
        <v>ok</v>
      </c>
    </row>
    <row r="11" spans="1:90" hidden="1" x14ac:dyDescent="0.3">
      <c r="A11" s="12" t="str">
        <v>P</v>
      </c>
      <c r="B11" s="12" t="str">
        <v>R</v>
      </c>
      <c r="C11" s="12">
        <v>766</v>
      </c>
      <c r="D11" s="12">
        <v>0</v>
      </c>
      <c r="E11" s="12" t="str">
        <v>13007</v>
      </c>
      <c r="F11" s="12" t="str">
        <v>C</v>
      </c>
      <c r="G11" s="12" t="str">
        <v>O</v>
      </c>
      <c r="H11" s="12" t="str">
        <v>F1</v>
      </c>
      <c r="I11" s="12" t="str">
        <v>.AS-0115026C</v>
      </c>
      <c r="J11" s="12">
        <v>9710</v>
      </c>
      <c r="K11" s="12">
        <v>2</v>
      </c>
      <c r="L11" s="12">
        <v>100000</v>
      </c>
      <c r="M11" s="12" t="str">
        <v>CALL MAR 26 SOYBEANS   1150</v>
      </c>
      <c r="N11" s="12" t="str">
        <v>.17 1/8</v>
      </c>
      <c r="O11" s="12">
        <v>20251205</v>
      </c>
      <c r="P11" s="12" t="str">
        <v/>
      </c>
      <c r="Q11" s="12">
        <v>202603</v>
      </c>
      <c r="R11" s="12" t="str">
        <v/>
      </c>
      <c r="S11" s="12" t="str">
        <v>F</v>
      </c>
      <c r="T11" s="12" t="str">
        <v>C</v>
      </c>
      <c r="U11" s="12">
        <v>1150000000</v>
      </c>
      <c r="V11" s="12">
        <v>20260220</v>
      </c>
      <c r="W11" s="12" t="str">
        <v/>
      </c>
      <c r="X11" s="12" t="str">
        <v>FUTUROS Y OPCIONES.C</v>
      </c>
      <c r="Y11" s="12" t="str">
        <v/>
      </c>
      <c r="Z11" s="12">
        <v>20251205</v>
      </c>
      <c r="AA11" s="12">
        <v>1</v>
      </c>
      <c r="AB11" s="12" t="str">
        <v>1A</v>
      </c>
      <c r="AC11" s="12" t="str">
        <v>S-</v>
      </c>
      <c r="AD11" s="12" t="str">
        <v/>
      </c>
      <c r="AE11" s="12" t="str">
        <v/>
      </c>
      <c r="AF11" s="12" t="str">
        <v>.17125000</v>
      </c>
      <c r="AG11" s="12" t="str">
        <v/>
      </c>
      <c r="AH11" s="12" t="str">
        <v/>
      </c>
      <c r="AI11" s="12" t="str">
        <v/>
      </c>
      <c r="AJ11" s="12" t="str">
        <v/>
      </c>
      <c r="AK11" s="12" t="str">
        <v/>
      </c>
      <c r="AL11" s="12">
        <v>0</v>
      </c>
      <c r="AM11" s="12" t="str">
        <v>10.0000</v>
      </c>
      <c r="AN11" s="12" t="str">
        <v>USD</v>
      </c>
      <c r="AO11" s="12">
        <v>-637500</v>
      </c>
      <c r="AP11" s="12">
        <v>0</v>
      </c>
      <c r="AQ11" s="12">
        <v>1105750000</v>
      </c>
      <c r="AR11" s="12">
        <v>50000</v>
      </c>
      <c r="AS11" s="12" t="str">
        <v>5L05 G9k0</v>
      </c>
      <c r="AT11" s="12">
        <v>116429710</v>
      </c>
      <c r="AU11" s="12" t="str">
        <v>0,2870</v>
      </c>
      <c r="AV11" s="12" t="str">
        <v>S</v>
      </c>
      <c r="AW11" s="12" t="str">
        <v>CBT</v>
      </c>
      <c r="AX11" s="12" t="str">
        <v>Comdty</v>
      </c>
      <c r="AY11" s="12" t="str">
        <v>Soja</v>
      </c>
      <c r="AZ11">
        <f>IF(VLOOKUP(AY11,Conversor!B:C,2,0)="HS",0.01,VLOOKUP(AY11,Conversor!B:C,2,0))</f>
        <v>0.36742999999999998</v>
      </c>
      <c r="BA11">
        <f t="shared" si="18"/>
        <v>-10</v>
      </c>
      <c r="BB11" s="42">
        <f t="shared" si="0"/>
        <v>406.28572249999996</v>
      </c>
      <c r="BC11" s="58">
        <f t="shared" si="19"/>
        <v>422.54449999999997</v>
      </c>
      <c r="BD11" s="1">
        <f>IF(OR(E11="FUTUR",E11="f20176"),0,VLOOKUP(AY11,Conversor!G:I,3,0)*BA11)</f>
        <v>-1360.8000000000002</v>
      </c>
      <c r="BE11" t="str">
        <f t="shared" si="20"/>
        <v>Call</v>
      </c>
      <c r="BF11" t="str">
        <f t="shared" si="21"/>
        <v>si</v>
      </c>
      <c r="BG11" t="str">
        <f t="shared" si="22"/>
        <v>V</v>
      </c>
      <c r="BH11" t="str">
        <f t="shared" si="1"/>
        <v>VC</v>
      </c>
      <c r="BI11" s="7">
        <f t="shared" si="23"/>
        <v>284.40000574999993</v>
      </c>
      <c r="BJ11" s="7">
        <f t="shared" si="2"/>
        <v>325.02857799999998</v>
      </c>
      <c r="BK11" s="7">
        <f t="shared" si="2"/>
        <v>365.65715024999997</v>
      </c>
      <c r="BL11" s="7">
        <f t="shared" si="2"/>
        <v>406.28572249999996</v>
      </c>
      <c r="BM11" s="7">
        <f t="shared" si="2"/>
        <v>446.91429475000001</v>
      </c>
      <c r="BN11" s="7">
        <f t="shared" si="2"/>
        <v>487.54286699999994</v>
      </c>
      <c r="BO11" s="7">
        <f t="shared" si="2"/>
        <v>528.17143924999993</v>
      </c>
      <c r="BP11" s="7">
        <f t="shared" si="31"/>
        <v>0</v>
      </c>
      <c r="BQ11" s="7">
        <f t="shared" si="32"/>
        <v>0</v>
      </c>
      <c r="BR11" s="7">
        <f t="shared" si="33"/>
        <v>0</v>
      </c>
      <c r="BS11" s="7">
        <f t="shared" si="34"/>
        <v>0</v>
      </c>
      <c r="BT11" s="7">
        <f t="shared" si="35"/>
        <v>0</v>
      </c>
      <c r="BU11" s="7">
        <f t="shared" si="36"/>
        <v>0</v>
      </c>
      <c r="BV11" s="7">
        <f t="shared" si="37"/>
        <v>0</v>
      </c>
      <c r="BW11" s="7">
        <f t="shared" si="38"/>
        <v>0</v>
      </c>
      <c r="BX11" s="7">
        <f t="shared" si="39"/>
        <v>0</v>
      </c>
      <c r="BY11" s="7">
        <f t="shared" si="40"/>
        <v>0</v>
      </c>
      <c r="BZ11" s="7">
        <f t="shared" si="41"/>
        <v>0</v>
      </c>
      <c r="CA11" s="7">
        <f t="shared" si="42"/>
        <v>-33162.416695800057</v>
      </c>
      <c r="CB11" s="7">
        <f t="shared" si="43"/>
        <v>-88449.777813599969</v>
      </c>
      <c r="CC11" s="7">
        <f t="shared" si="44"/>
        <v>-143737.13893139997</v>
      </c>
      <c r="CD11">
        <f t="shared" si="45"/>
        <v>0</v>
      </c>
      <c r="CE11">
        <f t="shared" si="46"/>
        <v>0</v>
      </c>
      <c r="CF11">
        <f t="shared" si="47"/>
        <v>0</v>
      </c>
      <c r="CG11">
        <f t="shared" si="48"/>
        <v>0</v>
      </c>
      <c r="CH11">
        <f t="shared" si="49"/>
        <v>-1360.8000000000002</v>
      </c>
      <c r="CI11">
        <f t="shared" si="50"/>
        <v>-1360.8000000000002</v>
      </c>
      <c r="CJ11">
        <f t="shared" si="51"/>
        <v>-1360.8000000000002</v>
      </c>
      <c r="CK11" s="6">
        <f>Tabla3[[#This Row],[Tns]]</f>
        <v>-1360.8000000000002</v>
      </c>
      <c r="CL11" t="str">
        <f>IF(ISERROR(VLOOKUP(VALUE(E11),'Clientes CBOT'!A:A,1,0)),"VER","ok")</f>
        <v>ok</v>
      </c>
    </row>
    <row r="12" spans="1:90" hidden="1" x14ac:dyDescent="0.3">
      <c r="A12" s="12" t="str">
        <v>P</v>
      </c>
      <c r="B12" s="12" t="str">
        <v>R</v>
      </c>
      <c r="C12" s="12">
        <v>766</v>
      </c>
      <c r="D12" s="12">
        <v>0</v>
      </c>
      <c r="E12" s="12" t="str">
        <v>13007</v>
      </c>
      <c r="F12" s="12" t="str">
        <v>C</v>
      </c>
      <c r="G12" s="12" t="str">
        <v>O</v>
      </c>
      <c r="H12" s="12" t="str">
        <v>F1</v>
      </c>
      <c r="I12" s="12" t="str">
        <v>.AS-0118026E</v>
      </c>
      <c r="J12" s="12">
        <v>3802</v>
      </c>
      <c r="K12" s="12">
        <v>2</v>
      </c>
      <c r="L12" s="12">
        <v>100000</v>
      </c>
      <c r="M12" s="12" t="str">
        <v>CALL MAY 26 SOYBEANS   1180</v>
      </c>
      <c r="N12" s="12" t="str">
        <v>.13 1/2</v>
      </c>
      <c r="O12" s="12">
        <v>20251009</v>
      </c>
      <c r="P12" s="12" t="str">
        <v/>
      </c>
      <c r="Q12" s="12">
        <v>202605</v>
      </c>
      <c r="R12" s="12" t="str">
        <v/>
      </c>
      <c r="S12" s="12" t="str">
        <v>F</v>
      </c>
      <c r="T12" s="12" t="str">
        <v>C</v>
      </c>
      <c r="U12" s="12">
        <v>1180000000</v>
      </c>
      <c r="V12" s="12">
        <v>20260424</v>
      </c>
      <c r="W12" s="12" t="str">
        <v/>
      </c>
      <c r="X12" s="12" t="str">
        <v>FUTUROS Y OPCIONES.C</v>
      </c>
      <c r="Y12" s="12" t="str">
        <v/>
      </c>
      <c r="Z12" s="12">
        <v>20251009</v>
      </c>
      <c r="AA12" s="12">
        <v>1</v>
      </c>
      <c r="AB12" s="12" t="str">
        <v>1A</v>
      </c>
      <c r="AC12" s="12" t="str">
        <v>S-</v>
      </c>
      <c r="AD12" s="12" t="str">
        <v/>
      </c>
      <c r="AE12" s="12" t="str">
        <v/>
      </c>
      <c r="AF12" s="12" t="str">
        <v>.13500000</v>
      </c>
      <c r="AG12" s="12" t="str">
        <v/>
      </c>
      <c r="AH12" s="12" t="str">
        <v/>
      </c>
      <c r="AI12" s="12" t="str">
        <v/>
      </c>
      <c r="AJ12" s="12" t="str">
        <v/>
      </c>
      <c r="AK12" s="12" t="str">
        <v/>
      </c>
      <c r="AL12" s="12">
        <v>0</v>
      </c>
      <c r="AM12" s="12" t="str">
        <v>10.0000</v>
      </c>
      <c r="AN12" s="12" t="str">
        <v>USD</v>
      </c>
      <c r="AO12" s="12">
        <v>-868750</v>
      </c>
      <c r="AP12" s="12">
        <v>0</v>
      </c>
      <c r="AQ12" s="12">
        <v>1116750000</v>
      </c>
      <c r="AR12" s="12">
        <v>50000</v>
      </c>
      <c r="AS12" s="12" t="str">
        <v>5J09 MKX0</v>
      </c>
      <c r="AT12" s="12">
        <v>115953802</v>
      </c>
      <c r="AU12" s="12" t="str">
        <v>0,2860</v>
      </c>
      <c r="AV12" s="12" t="str">
        <v>S</v>
      </c>
      <c r="AW12" s="12" t="str">
        <v>CBT</v>
      </c>
      <c r="AX12" s="12" t="str">
        <v>Comdty</v>
      </c>
      <c r="AY12" s="12" t="str">
        <v>Soja</v>
      </c>
      <c r="AZ12">
        <f>IF(VLOOKUP(AY12,Conversor!B:C,2,0)="HS",0.01,VLOOKUP(AY12,Conversor!B:C,2,0))</f>
        <v>0.36742999999999998</v>
      </c>
      <c r="BA12">
        <f t="shared" si="18"/>
        <v>-10</v>
      </c>
      <c r="BB12" s="42">
        <f t="shared" si="0"/>
        <v>410.32745249999999</v>
      </c>
      <c r="BC12" s="58">
        <f t="shared" si="19"/>
        <v>433.56739999999996</v>
      </c>
      <c r="BD12" s="1">
        <f>IF(OR(E12="FUTUR",E12="f20176"),0,VLOOKUP(AY12,Conversor!G:I,3,0)*BA12)</f>
        <v>-1360.8000000000002</v>
      </c>
      <c r="BE12" t="str">
        <f t="shared" si="20"/>
        <v>Call</v>
      </c>
      <c r="BF12" t="str">
        <f t="shared" si="21"/>
        <v>si</v>
      </c>
      <c r="BG12" t="str">
        <f t="shared" si="22"/>
        <v>V</v>
      </c>
      <c r="BH12" t="str">
        <f t="shared" si="1"/>
        <v>VC</v>
      </c>
      <c r="BI12" s="7">
        <f t="shared" si="23"/>
        <v>287.22921674999998</v>
      </c>
      <c r="BJ12" s="7">
        <f t="shared" si="2"/>
        <v>328.26196200000004</v>
      </c>
      <c r="BK12" s="7">
        <f t="shared" si="2"/>
        <v>369.29470724999999</v>
      </c>
      <c r="BL12" s="7">
        <f t="shared" si="2"/>
        <v>410.32745249999999</v>
      </c>
      <c r="BM12" s="7">
        <f t="shared" si="2"/>
        <v>451.36019775000005</v>
      </c>
      <c r="BN12" s="7">
        <f t="shared" si="2"/>
        <v>492.39294299999995</v>
      </c>
      <c r="BO12" s="7">
        <f t="shared" si="2"/>
        <v>533.42568825000001</v>
      </c>
      <c r="BP12" s="7">
        <f t="shared" si="31"/>
        <v>0</v>
      </c>
      <c r="BQ12" s="7">
        <f t="shared" si="32"/>
        <v>0</v>
      </c>
      <c r="BR12" s="7">
        <f t="shared" si="33"/>
        <v>0</v>
      </c>
      <c r="BS12" s="7">
        <f t="shared" si="34"/>
        <v>0</v>
      </c>
      <c r="BT12" s="7">
        <f t="shared" si="35"/>
        <v>0</v>
      </c>
      <c r="BU12" s="7">
        <f t="shared" si="36"/>
        <v>0</v>
      </c>
      <c r="BV12" s="7">
        <f t="shared" si="37"/>
        <v>0</v>
      </c>
      <c r="BW12" s="7">
        <f t="shared" si="38"/>
        <v>0</v>
      </c>
      <c r="BX12" s="7">
        <f t="shared" si="39"/>
        <v>0</v>
      </c>
      <c r="BY12" s="7">
        <f t="shared" si="40"/>
        <v>0</v>
      </c>
      <c r="BZ12" s="7">
        <f t="shared" si="41"/>
        <v>0</v>
      </c>
      <c r="CA12" s="7">
        <f t="shared" si="42"/>
        <v>-24212.439178200126</v>
      </c>
      <c r="CB12" s="7">
        <f t="shared" si="43"/>
        <v>-80049.798914399988</v>
      </c>
      <c r="CC12" s="7">
        <f t="shared" si="44"/>
        <v>-135887.15865060009</v>
      </c>
      <c r="CD12">
        <f t="shared" si="45"/>
        <v>0</v>
      </c>
      <c r="CE12">
        <f t="shared" si="46"/>
        <v>0</v>
      </c>
      <c r="CF12">
        <f t="shared" si="47"/>
        <v>0</v>
      </c>
      <c r="CG12">
        <f t="shared" si="48"/>
        <v>0</v>
      </c>
      <c r="CH12">
        <f t="shared" si="49"/>
        <v>-1360.8000000000002</v>
      </c>
      <c r="CI12">
        <f t="shared" si="50"/>
        <v>-1360.8000000000002</v>
      </c>
      <c r="CJ12">
        <f t="shared" si="51"/>
        <v>-1360.8000000000002</v>
      </c>
      <c r="CK12" s="6">
        <f>Tabla3[[#This Row],[Tns]]</f>
        <v>-1360.8000000000002</v>
      </c>
      <c r="CL12" t="str">
        <f>IF(ISERROR(VLOOKUP(VALUE(E12),'Clientes CBOT'!A:A,1,0)),"VER","ok")</f>
        <v>ok</v>
      </c>
    </row>
    <row r="13" spans="1:90" hidden="1" x14ac:dyDescent="0.3">
      <c r="A13" s="12" t="str">
        <v>P</v>
      </c>
      <c r="B13" s="12" t="str">
        <v>R</v>
      </c>
      <c r="C13" s="12">
        <v>766</v>
      </c>
      <c r="D13" s="12">
        <v>0</v>
      </c>
      <c r="E13" s="12" t="str">
        <v>13007</v>
      </c>
      <c r="F13" s="12" t="str">
        <v>C</v>
      </c>
      <c r="G13" s="12" t="str">
        <v>O</v>
      </c>
      <c r="H13" s="12" t="str">
        <v>F1</v>
      </c>
      <c r="I13" s="12" t="str">
        <v>.AS-0118026E</v>
      </c>
      <c r="J13" s="12">
        <v>7379</v>
      </c>
      <c r="K13" s="12">
        <v>2</v>
      </c>
      <c r="L13" s="12">
        <v>50000</v>
      </c>
      <c r="M13" s="12" t="str">
        <v>CALL MAY 26 SOYBEANS   1180</v>
      </c>
      <c r="N13" s="12" t="str">
        <v>.16 3/4</v>
      </c>
      <c r="O13" s="12">
        <v>20251023</v>
      </c>
      <c r="P13" s="12" t="str">
        <v/>
      </c>
      <c r="Q13" s="12">
        <v>202605</v>
      </c>
      <c r="R13" s="12" t="str">
        <v/>
      </c>
      <c r="S13" s="12" t="str">
        <v>F</v>
      </c>
      <c r="T13" s="12" t="str">
        <v>C</v>
      </c>
      <c r="U13" s="12">
        <v>1180000000</v>
      </c>
      <c r="V13" s="12">
        <v>20260424</v>
      </c>
      <c r="W13" s="12" t="str">
        <v/>
      </c>
      <c r="X13" s="12" t="str">
        <v>FUTUROS Y OPCIONES.C</v>
      </c>
      <c r="Y13" s="12" t="str">
        <v/>
      </c>
      <c r="Z13" s="12">
        <v>20251023</v>
      </c>
      <c r="AA13" s="12">
        <v>1</v>
      </c>
      <c r="AB13" s="12" t="str">
        <v>1A</v>
      </c>
      <c r="AC13" s="12" t="str">
        <v>S-</v>
      </c>
      <c r="AD13" s="12" t="str">
        <v/>
      </c>
      <c r="AE13" s="12" t="str">
        <v/>
      </c>
      <c r="AF13" s="12" t="str">
        <v>.16750000</v>
      </c>
      <c r="AG13" s="12" t="str">
        <v/>
      </c>
      <c r="AH13" s="12" t="str">
        <v/>
      </c>
      <c r="AI13" s="12" t="str">
        <v/>
      </c>
      <c r="AJ13" s="12" t="str">
        <v/>
      </c>
      <c r="AK13" s="12" t="str">
        <v/>
      </c>
      <c r="AL13" s="12">
        <v>0</v>
      </c>
      <c r="AM13" s="12" t="str">
        <v>5.0000</v>
      </c>
      <c r="AN13" s="12" t="str">
        <v>USD</v>
      </c>
      <c r="AO13" s="12">
        <v>-434375</v>
      </c>
      <c r="AP13" s="12">
        <v>0</v>
      </c>
      <c r="AQ13" s="12">
        <v>1116750000</v>
      </c>
      <c r="AR13" s="12">
        <v>50000</v>
      </c>
      <c r="AS13" s="12" t="str">
        <v>5J23 YP20</v>
      </c>
      <c r="AT13" s="12">
        <v>116067379</v>
      </c>
      <c r="AU13" s="12" t="str">
        <v>0,2860</v>
      </c>
      <c r="AV13" s="12" t="str">
        <v>S</v>
      </c>
      <c r="AW13" s="12" t="str">
        <v>CBT</v>
      </c>
      <c r="AX13" s="12" t="str">
        <v>Comdty</v>
      </c>
      <c r="AY13" s="12" t="str">
        <v>Soja</v>
      </c>
      <c r="AZ13">
        <f>IF(VLOOKUP(AY13,Conversor!B:C,2,0)="HS",0.01,VLOOKUP(AY13,Conversor!B:C,2,0))</f>
        <v>0.36742999999999998</v>
      </c>
      <c r="BA13">
        <f t="shared" si="18"/>
        <v>-5</v>
      </c>
      <c r="BB13" s="42">
        <f t="shared" si="0"/>
        <v>410.32745249999999</v>
      </c>
      <c r="BC13" s="58">
        <f t="shared" si="19"/>
        <v>433.56739999999996</v>
      </c>
      <c r="BD13" s="1">
        <f>IF(OR(E13="FUTUR",E13="f20176"),0,VLOOKUP(AY13,Conversor!G:I,3,0)*BA13)</f>
        <v>-680.40000000000009</v>
      </c>
      <c r="BE13" t="str">
        <f t="shared" si="20"/>
        <v>Call</v>
      </c>
      <c r="BF13" t="str">
        <f t="shared" si="21"/>
        <v>si</v>
      </c>
      <c r="BG13" t="str">
        <f t="shared" si="22"/>
        <v>V</v>
      </c>
      <c r="BH13" t="str">
        <f t="shared" si="1"/>
        <v>VC</v>
      </c>
      <c r="BI13" s="7">
        <f t="shared" si="23"/>
        <v>287.22921674999998</v>
      </c>
      <c r="BJ13" s="7">
        <f t="shared" si="2"/>
        <v>328.26196200000004</v>
      </c>
      <c r="BK13" s="7">
        <f t="shared" si="2"/>
        <v>369.29470724999999</v>
      </c>
      <c r="BL13" s="7">
        <f t="shared" si="2"/>
        <v>410.32745249999999</v>
      </c>
      <c r="BM13" s="7">
        <f t="shared" si="2"/>
        <v>451.36019775000005</v>
      </c>
      <c r="BN13" s="7">
        <f t="shared" si="2"/>
        <v>492.39294299999995</v>
      </c>
      <c r="BO13" s="7">
        <f t="shared" si="2"/>
        <v>533.42568825000001</v>
      </c>
      <c r="BP13" s="7">
        <f t="shared" si="31"/>
        <v>0</v>
      </c>
      <c r="BQ13" s="7">
        <f t="shared" si="32"/>
        <v>0</v>
      </c>
      <c r="BR13" s="7">
        <f t="shared" si="33"/>
        <v>0</v>
      </c>
      <c r="BS13" s="7">
        <f t="shared" si="34"/>
        <v>0</v>
      </c>
      <c r="BT13" s="7">
        <f t="shared" si="35"/>
        <v>0</v>
      </c>
      <c r="BU13" s="7">
        <f t="shared" si="36"/>
        <v>0</v>
      </c>
      <c r="BV13" s="7">
        <f t="shared" si="37"/>
        <v>0</v>
      </c>
      <c r="BW13" s="7">
        <f t="shared" si="38"/>
        <v>0</v>
      </c>
      <c r="BX13" s="7">
        <f t="shared" si="39"/>
        <v>0</v>
      </c>
      <c r="BY13" s="7">
        <f t="shared" si="40"/>
        <v>0</v>
      </c>
      <c r="BZ13" s="7">
        <f t="shared" si="41"/>
        <v>0</v>
      </c>
      <c r="CA13" s="7">
        <f t="shared" si="42"/>
        <v>-12106.219589100063</v>
      </c>
      <c r="CB13" s="7">
        <f t="shared" si="43"/>
        <v>-40024.899457199994</v>
      </c>
      <c r="CC13" s="7">
        <f t="shared" si="44"/>
        <v>-67943.579325300045</v>
      </c>
      <c r="CD13">
        <f t="shared" si="45"/>
        <v>0</v>
      </c>
      <c r="CE13">
        <f t="shared" si="46"/>
        <v>0</v>
      </c>
      <c r="CF13">
        <f t="shared" si="47"/>
        <v>0</v>
      </c>
      <c r="CG13">
        <f t="shared" si="48"/>
        <v>0</v>
      </c>
      <c r="CH13">
        <f t="shared" si="49"/>
        <v>-680.40000000000009</v>
      </c>
      <c r="CI13">
        <f t="shared" si="50"/>
        <v>-680.40000000000009</v>
      </c>
      <c r="CJ13">
        <f t="shared" si="51"/>
        <v>-680.40000000000009</v>
      </c>
      <c r="CK13" s="6">
        <f>Tabla3[[#This Row],[Tns]]</f>
        <v>-680.40000000000009</v>
      </c>
      <c r="CL13" t="str">
        <f>IF(ISERROR(VLOOKUP(VALUE(E13),'Clientes CBOT'!A:A,1,0)),"VER","ok")</f>
        <v>ok</v>
      </c>
    </row>
    <row r="14" spans="1:90" hidden="1" x14ac:dyDescent="0.3">
      <c r="A14" s="12" t="str">
        <v>P</v>
      </c>
      <c r="B14" s="12" t="str">
        <v>R</v>
      </c>
      <c r="C14" s="12">
        <v>766</v>
      </c>
      <c r="D14" s="12">
        <v>0</v>
      </c>
      <c r="E14" s="12" t="str">
        <v>13007</v>
      </c>
      <c r="F14" s="12" t="str">
        <v>C</v>
      </c>
      <c r="G14" s="12" t="str">
        <v>O</v>
      </c>
      <c r="H14" s="12" t="str">
        <v>F1</v>
      </c>
      <c r="I14" s="12" t="str">
        <v>.AS-0120026E</v>
      </c>
      <c r="J14" s="12">
        <v>3846</v>
      </c>
      <c r="K14" s="12">
        <v>2</v>
      </c>
      <c r="L14" s="12">
        <v>100000</v>
      </c>
      <c r="M14" s="12" t="str">
        <v>CALL MAY 26 SOYBEANS   1200</v>
      </c>
      <c r="N14" s="12" t="str">
        <v>.11 1/8</v>
      </c>
      <c r="O14" s="12">
        <v>20251009</v>
      </c>
      <c r="P14" s="12" t="str">
        <v/>
      </c>
      <c r="Q14" s="12">
        <v>202605</v>
      </c>
      <c r="R14" s="12" t="str">
        <v/>
      </c>
      <c r="S14" s="12" t="str">
        <v>F</v>
      </c>
      <c r="T14" s="12" t="str">
        <v>C</v>
      </c>
      <c r="U14" s="12">
        <v>1200000000</v>
      </c>
      <c r="V14" s="12">
        <v>20260424</v>
      </c>
      <c r="W14" s="12" t="str">
        <v/>
      </c>
      <c r="X14" s="12" t="str">
        <v>FUTUROS Y OPCIONES.C</v>
      </c>
      <c r="Y14" s="12" t="str">
        <v/>
      </c>
      <c r="Z14" s="12">
        <v>20251009</v>
      </c>
      <c r="AA14" s="12">
        <v>1</v>
      </c>
      <c r="AB14" s="12" t="str">
        <v>1A</v>
      </c>
      <c r="AC14" s="12" t="str">
        <v>S-</v>
      </c>
      <c r="AD14" s="12" t="str">
        <v/>
      </c>
      <c r="AE14" s="12" t="str">
        <v/>
      </c>
      <c r="AF14" s="12" t="str">
        <v>.11125000</v>
      </c>
      <c r="AG14" s="12" t="str">
        <v/>
      </c>
      <c r="AH14" s="12" t="str">
        <v/>
      </c>
      <c r="AI14" s="12" t="str">
        <v/>
      </c>
      <c r="AJ14" s="12" t="str">
        <v/>
      </c>
      <c r="AK14" s="12" t="str">
        <v/>
      </c>
      <c r="AL14" s="12">
        <v>0</v>
      </c>
      <c r="AM14" s="12" t="str">
        <v>10.0000</v>
      </c>
      <c r="AN14" s="12" t="str">
        <v>USD</v>
      </c>
      <c r="AO14" s="12">
        <v>-668750</v>
      </c>
      <c r="AP14" s="12">
        <v>0</v>
      </c>
      <c r="AQ14" s="12">
        <v>1116750000</v>
      </c>
      <c r="AR14" s="12">
        <v>50000</v>
      </c>
      <c r="AS14" s="12" t="str">
        <v>5J09 L0k0</v>
      </c>
      <c r="AT14" s="12">
        <v>115953846</v>
      </c>
      <c r="AU14" s="12" t="str">
        <v>0,2310</v>
      </c>
      <c r="AV14" s="12" t="str">
        <v>S</v>
      </c>
      <c r="AW14" s="12" t="str">
        <v>CBT</v>
      </c>
      <c r="AX14" s="12" t="str">
        <v>Comdty</v>
      </c>
      <c r="AY14" s="12" t="str">
        <v>Soja</v>
      </c>
      <c r="AZ14">
        <f>IF(VLOOKUP(AY14,Conversor!B:C,2,0)="HS",0.01,VLOOKUP(AY14,Conversor!B:C,2,0))</f>
        <v>0.36742999999999998</v>
      </c>
      <c r="BA14">
        <f t="shared" si="18"/>
        <v>-10</v>
      </c>
      <c r="BB14" s="42">
        <f t="shared" si="0"/>
        <v>410.32745249999999</v>
      </c>
      <c r="BC14" s="58">
        <f t="shared" si="19"/>
        <v>440.916</v>
      </c>
      <c r="BD14" s="1">
        <f>IF(OR(E14="FUTUR",E14="f20176"),0,VLOOKUP(AY14,Conversor!G:I,3,0)*BA14)</f>
        <v>-1360.8000000000002</v>
      </c>
      <c r="BE14" t="str">
        <f t="shared" si="20"/>
        <v>Call</v>
      </c>
      <c r="BF14" t="str">
        <f t="shared" si="21"/>
        <v>si</v>
      </c>
      <c r="BG14" t="str">
        <f t="shared" si="22"/>
        <v>V</v>
      </c>
      <c r="BH14" t="str">
        <f t="shared" si="1"/>
        <v>VC</v>
      </c>
      <c r="BI14" s="7">
        <f t="shared" si="23"/>
        <v>287.22921674999998</v>
      </c>
      <c r="BJ14" s="7">
        <f t="shared" si="2"/>
        <v>328.26196200000004</v>
      </c>
      <c r="BK14" s="7">
        <f t="shared" si="2"/>
        <v>369.29470724999999</v>
      </c>
      <c r="BL14" s="7">
        <f t="shared" si="2"/>
        <v>410.32745249999999</v>
      </c>
      <c r="BM14" s="7">
        <f t="shared" si="2"/>
        <v>451.36019775000005</v>
      </c>
      <c r="BN14" s="7">
        <f t="shared" si="2"/>
        <v>492.39294299999995</v>
      </c>
      <c r="BO14" s="7">
        <f t="shared" si="2"/>
        <v>533.42568825000001</v>
      </c>
      <c r="BP14" s="7">
        <f t="shared" si="31"/>
        <v>0</v>
      </c>
      <c r="BQ14" s="7">
        <f t="shared" si="32"/>
        <v>0</v>
      </c>
      <c r="BR14" s="7">
        <f t="shared" si="33"/>
        <v>0</v>
      </c>
      <c r="BS14" s="7">
        <f t="shared" si="34"/>
        <v>0</v>
      </c>
      <c r="BT14" s="7">
        <f t="shared" si="35"/>
        <v>0</v>
      </c>
      <c r="BU14" s="7">
        <f t="shared" si="36"/>
        <v>0</v>
      </c>
      <c r="BV14" s="7">
        <f t="shared" si="37"/>
        <v>0</v>
      </c>
      <c r="BW14" s="7">
        <f t="shared" si="38"/>
        <v>0</v>
      </c>
      <c r="BX14" s="7">
        <f t="shared" si="39"/>
        <v>0</v>
      </c>
      <c r="BY14" s="7">
        <f t="shared" si="40"/>
        <v>0</v>
      </c>
      <c r="BZ14" s="7">
        <f t="shared" si="41"/>
        <v>0</v>
      </c>
      <c r="CA14" s="7">
        <f t="shared" si="42"/>
        <v>-14212.464298200081</v>
      </c>
      <c r="CB14" s="7">
        <f t="shared" si="43"/>
        <v>-70049.824034399935</v>
      </c>
      <c r="CC14" s="7">
        <f t="shared" si="44"/>
        <v>-125887.18377060004</v>
      </c>
      <c r="CD14">
        <f t="shared" si="45"/>
        <v>0</v>
      </c>
      <c r="CE14">
        <f t="shared" si="46"/>
        <v>0</v>
      </c>
      <c r="CF14">
        <f t="shared" si="47"/>
        <v>0</v>
      </c>
      <c r="CG14">
        <f t="shared" si="48"/>
        <v>0</v>
      </c>
      <c r="CH14">
        <f t="shared" si="49"/>
        <v>-1360.8000000000002</v>
      </c>
      <c r="CI14">
        <f t="shared" si="50"/>
        <v>-1360.8000000000002</v>
      </c>
      <c r="CJ14">
        <f t="shared" si="51"/>
        <v>-1360.8000000000002</v>
      </c>
      <c r="CK14" s="6">
        <f>Tabla3[[#This Row],[Tns]]</f>
        <v>-1360.8000000000002</v>
      </c>
      <c r="CL14" t="str">
        <f>IF(ISERROR(VLOOKUP(VALUE(E14),'Clientes CBOT'!A:A,1,0)),"VER","ok")</f>
        <v>ok</v>
      </c>
    </row>
    <row r="15" spans="1:90" hidden="1" x14ac:dyDescent="0.3">
      <c r="A15" s="12" t="str">
        <v>P</v>
      </c>
      <c r="B15" s="12" t="str">
        <v>R</v>
      </c>
      <c r="C15" s="12">
        <v>766</v>
      </c>
      <c r="D15" s="12">
        <v>0</v>
      </c>
      <c r="E15" s="12" t="str">
        <v>13007</v>
      </c>
      <c r="F15" s="12" t="str">
        <v>C</v>
      </c>
      <c r="G15" s="12" t="str">
        <v>O</v>
      </c>
      <c r="H15" s="12" t="str">
        <v>F1</v>
      </c>
      <c r="I15" s="12" t="str">
        <v>.AS-0120026E</v>
      </c>
      <c r="J15" s="12">
        <v>7398</v>
      </c>
      <c r="K15" s="12">
        <v>2</v>
      </c>
      <c r="L15" s="12">
        <v>50000</v>
      </c>
      <c r="M15" s="12" t="str">
        <v>CALL MAY 26 SOYBEANS   1200</v>
      </c>
      <c r="N15" s="12" t="str">
        <v>.13 3/4</v>
      </c>
      <c r="O15" s="12">
        <v>20251023</v>
      </c>
      <c r="P15" s="12" t="str">
        <v/>
      </c>
      <c r="Q15" s="12">
        <v>202605</v>
      </c>
      <c r="R15" s="12" t="str">
        <v/>
      </c>
      <c r="S15" s="12" t="str">
        <v>F</v>
      </c>
      <c r="T15" s="12" t="str">
        <v>C</v>
      </c>
      <c r="U15" s="12">
        <v>1200000000</v>
      </c>
      <c r="V15" s="12">
        <v>20260424</v>
      </c>
      <c r="W15" s="12" t="str">
        <v/>
      </c>
      <c r="X15" s="12" t="str">
        <v>FUTUROS Y OPCIONES.C</v>
      </c>
      <c r="Y15" s="12" t="str">
        <v/>
      </c>
      <c r="Z15" s="12">
        <v>20251023</v>
      </c>
      <c r="AA15" s="12">
        <v>1</v>
      </c>
      <c r="AB15" s="12" t="str">
        <v>1A</v>
      </c>
      <c r="AC15" s="12" t="str">
        <v>S-</v>
      </c>
      <c r="AD15" s="12" t="str">
        <v/>
      </c>
      <c r="AE15" s="12" t="str">
        <v/>
      </c>
      <c r="AF15" s="12" t="str">
        <v>.13750000</v>
      </c>
      <c r="AG15" s="12" t="str">
        <v/>
      </c>
      <c r="AH15" s="12" t="str">
        <v/>
      </c>
      <c r="AI15" s="12" t="str">
        <v/>
      </c>
      <c r="AJ15" s="12" t="str">
        <v/>
      </c>
      <c r="AK15" s="12" t="str">
        <v/>
      </c>
      <c r="AL15" s="12">
        <v>0</v>
      </c>
      <c r="AM15" s="12" t="str">
        <v>5.0000</v>
      </c>
      <c r="AN15" s="12" t="str">
        <v>USD</v>
      </c>
      <c r="AO15" s="12">
        <v>-334375</v>
      </c>
      <c r="AP15" s="12">
        <v>0</v>
      </c>
      <c r="AQ15" s="12">
        <v>1116750000</v>
      </c>
      <c r="AR15" s="12">
        <v>50000</v>
      </c>
      <c r="AS15" s="12" t="str">
        <v>5J23 YWb0</v>
      </c>
      <c r="AT15" s="12">
        <v>116067398</v>
      </c>
      <c r="AU15" s="12" t="str">
        <v>0,2310</v>
      </c>
      <c r="AV15" s="12" t="str">
        <v>S</v>
      </c>
      <c r="AW15" s="12" t="str">
        <v>CBT</v>
      </c>
      <c r="AX15" s="12" t="str">
        <v>Comdty</v>
      </c>
      <c r="AY15" s="12" t="str">
        <v>Soja</v>
      </c>
      <c r="AZ15">
        <f>IF(VLOOKUP(AY15,Conversor!B:C,2,0)="HS",0.01,VLOOKUP(AY15,Conversor!B:C,2,0))</f>
        <v>0.36742999999999998</v>
      </c>
      <c r="BA15">
        <f t="shared" si="18"/>
        <v>-5</v>
      </c>
      <c r="BB15" s="42">
        <f t="shared" si="0"/>
        <v>410.32745249999999</v>
      </c>
      <c r="BC15" s="58">
        <f t="shared" si="19"/>
        <v>440.916</v>
      </c>
      <c r="BD15" s="1">
        <f>IF(OR(E15="FUTUR",E15="f20176"),0,VLOOKUP(AY15,Conversor!G:I,3,0)*BA15)</f>
        <v>-680.40000000000009</v>
      </c>
      <c r="BE15" t="str">
        <f t="shared" si="20"/>
        <v>Call</v>
      </c>
      <c r="BF15" t="str">
        <f t="shared" si="21"/>
        <v>si</v>
      </c>
      <c r="BG15" t="str">
        <f t="shared" si="22"/>
        <v>V</v>
      </c>
      <c r="BH15" t="str">
        <f t="shared" si="1"/>
        <v>VC</v>
      </c>
      <c r="BI15" s="7">
        <f t="shared" si="23"/>
        <v>287.22921674999998</v>
      </c>
      <c r="BJ15" s="7">
        <f t="shared" si="2"/>
        <v>328.26196200000004</v>
      </c>
      <c r="BK15" s="7">
        <f t="shared" si="2"/>
        <v>369.29470724999999</v>
      </c>
      <c r="BL15" s="7">
        <f t="shared" si="2"/>
        <v>410.32745249999999</v>
      </c>
      <c r="BM15" s="7">
        <f t="shared" si="2"/>
        <v>451.36019775000005</v>
      </c>
      <c r="BN15" s="7">
        <f t="shared" si="2"/>
        <v>492.39294299999995</v>
      </c>
      <c r="BO15" s="7">
        <f t="shared" si="2"/>
        <v>533.42568825000001</v>
      </c>
      <c r="BP15" s="7">
        <f t="shared" si="31"/>
        <v>0</v>
      </c>
      <c r="BQ15" s="7">
        <f t="shared" si="32"/>
        <v>0</v>
      </c>
      <c r="BR15" s="7">
        <f t="shared" si="33"/>
        <v>0</v>
      </c>
      <c r="BS15" s="7">
        <f t="shared" si="34"/>
        <v>0</v>
      </c>
      <c r="BT15" s="7">
        <f t="shared" si="35"/>
        <v>0</v>
      </c>
      <c r="BU15" s="7">
        <f t="shared" si="36"/>
        <v>0</v>
      </c>
      <c r="BV15" s="7">
        <f t="shared" si="37"/>
        <v>0</v>
      </c>
      <c r="BW15" s="7">
        <f t="shared" si="38"/>
        <v>0</v>
      </c>
      <c r="BX15" s="7">
        <f t="shared" si="39"/>
        <v>0</v>
      </c>
      <c r="BY15" s="7">
        <f t="shared" si="40"/>
        <v>0</v>
      </c>
      <c r="BZ15" s="7">
        <f t="shared" si="41"/>
        <v>0</v>
      </c>
      <c r="CA15" s="7">
        <f t="shared" si="42"/>
        <v>-7106.2321491000403</v>
      </c>
      <c r="CB15" s="7">
        <f t="shared" si="43"/>
        <v>-35024.912017199968</v>
      </c>
      <c r="CC15" s="7">
        <f t="shared" si="44"/>
        <v>-62943.591885300018</v>
      </c>
      <c r="CD15">
        <f t="shared" si="45"/>
        <v>0</v>
      </c>
      <c r="CE15">
        <f t="shared" si="46"/>
        <v>0</v>
      </c>
      <c r="CF15">
        <f t="shared" si="47"/>
        <v>0</v>
      </c>
      <c r="CG15">
        <f t="shared" si="48"/>
        <v>0</v>
      </c>
      <c r="CH15">
        <f t="shared" si="49"/>
        <v>-680.40000000000009</v>
      </c>
      <c r="CI15">
        <f t="shared" si="50"/>
        <v>-680.40000000000009</v>
      </c>
      <c r="CJ15">
        <f t="shared" si="51"/>
        <v>-680.40000000000009</v>
      </c>
      <c r="CK15" s="6">
        <f>Tabla3[[#This Row],[Tns]]</f>
        <v>-680.40000000000009</v>
      </c>
      <c r="CL15" t="str">
        <f>IF(ISERROR(VLOOKUP(VALUE(E15),'Clientes CBOT'!A:A,1,0)),"VER","ok")</f>
        <v>ok</v>
      </c>
    </row>
    <row r="16" spans="1:90" hidden="1" x14ac:dyDescent="0.3">
      <c r="A16" s="12" t="str">
        <v>P</v>
      </c>
      <c r="B16" s="12" t="str">
        <v>R</v>
      </c>
      <c r="C16" s="12">
        <v>766</v>
      </c>
      <c r="D16" s="12">
        <v>0</v>
      </c>
      <c r="E16" s="12" t="str">
        <v>13007</v>
      </c>
      <c r="F16" s="12" t="str">
        <v>C</v>
      </c>
      <c r="G16" s="12" t="str">
        <v>O</v>
      </c>
      <c r="H16" s="12" t="str">
        <v>F1</v>
      </c>
      <c r="I16" s="12" t="str">
        <v>.AS-0122026E</v>
      </c>
      <c r="J16" s="12">
        <v>8421</v>
      </c>
      <c r="K16" s="12">
        <v>2</v>
      </c>
      <c r="L16" s="12">
        <v>130000</v>
      </c>
      <c r="M16" s="12" t="str">
        <v>CALL MAY 26 SOYBEANS   1220</v>
      </c>
      <c r="N16" s="12" t="str">
        <v>.30 1/2</v>
      </c>
      <c r="O16" s="12">
        <v>20251118</v>
      </c>
      <c r="P16" s="12" t="str">
        <v/>
      </c>
      <c r="Q16" s="12">
        <v>202605</v>
      </c>
      <c r="R16" s="12" t="str">
        <v/>
      </c>
      <c r="S16" s="12" t="str">
        <v>F</v>
      </c>
      <c r="T16" s="12" t="str">
        <v>C</v>
      </c>
      <c r="U16" s="12">
        <v>1220000000</v>
      </c>
      <c r="V16" s="12">
        <v>20260424</v>
      </c>
      <c r="W16" s="12" t="str">
        <v/>
      </c>
      <c r="X16" s="12" t="str">
        <v>FUTUROS Y OPCIONES.C</v>
      </c>
      <c r="Y16" s="12" t="str">
        <v/>
      </c>
      <c r="Z16" s="12">
        <v>20251118</v>
      </c>
      <c r="AA16" s="12">
        <v>1</v>
      </c>
      <c r="AB16" s="12" t="str">
        <v>1A</v>
      </c>
      <c r="AC16" s="12" t="str">
        <v>S-</v>
      </c>
      <c r="AD16" s="12" t="str">
        <v/>
      </c>
      <c r="AE16" s="12" t="str">
        <v/>
      </c>
      <c r="AF16" s="12" t="str">
        <v>.30500000</v>
      </c>
      <c r="AG16" s="12" t="str">
        <v/>
      </c>
      <c r="AH16" s="12" t="str">
        <v/>
      </c>
      <c r="AI16" s="12" t="str">
        <v/>
      </c>
      <c r="AJ16" s="12" t="str">
        <v/>
      </c>
      <c r="AK16" s="12" t="str">
        <v/>
      </c>
      <c r="AL16" s="12">
        <v>0</v>
      </c>
      <c r="AM16" s="12" t="str">
        <v>13.0000</v>
      </c>
      <c r="AN16" s="12" t="str">
        <v>USD</v>
      </c>
      <c r="AO16" s="12">
        <v>-674375</v>
      </c>
      <c r="AP16" s="12">
        <v>0</v>
      </c>
      <c r="AQ16" s="12">
        <v>1116750000</v>
      </c>
      <c r="AR16" s="12">
        <v>50000</v>
      </c>
      <c r="AS16" s="12" t="str">
        <v>5K18 Wel0</v>
      </c>
      <c r="AT16" s="12">
        <v>116298421</v>
      </c>
      <c r="AU16" s="12" t="str">
        <v>0,1860</v>
      </c>
      <c r="AV16" s="12" t="str">
        <v>S</v>
      </c>
      <c r="AW16" s="12" t="str">
        <v>CBT</v>
      </c>
      <c r="AX16" s="12" t="str">
        <v>Comdty</v>
      </c>
      <c r="AY16" s="12" t="str">
        <v>Soja</v>
      </c>
      <c r="AZ16">
        <f>IF(VLOOKUP(AY16,Conversor!B:C,2,0)="HS",0.01,VLOOKUP(AY16,Conversor!B:C,2,0))</f>
        <v>0.36742999999999998</v>
      </c>
      <c r="BA16">
        <f t="shared" si="18"/>
        <v>-13</v>
      </c>
      <c r="BB16" s="42">
        <f t="shared" si="0"/>
        <v>410.32745249999999</v>
      </c>
      <c r="BC16" s="58">
        <f t="shared" si="19"/>
        <v>448.26459999999997</v>
      </c>
      <c r="BD16" s="1">
        <f>IF(OR(E16="FUTUR",E16="f20176"),0,VLOOKUP(AY16,Conversor!G:I,3,0)*BA16)</f>
        <v>-1769.0400000000002</v>
      </c>
      <c r="BE16" t="str">
        <f t="shared" si="20"/>
        <v>Call</v>
      </c>
      <c r="BF16" t="str">
        <f t="shared" si="21"/>
        <v>si</v>
      </c>
      <c r="BG16" t="str">
        <f t="shared" si="22"/>
        <v>V</v>
      </c>
      <c r="BH16" t="str">
        <f t="shared" si="1"/>
        <v>VC</v>
      </c>
      <c r="BI16" s="7">
        <f t="shared" si="23"/>
        <v>287.22921674999998</v>
      </c>
      <c r="BJ16" s="7">
        <f t="shared" si="2"/>
        <v>328.26196200000004</v>
      </c>
      <c r="BK16" s="7">
        <f t="shared" si="2"/>
        <v>369.29470724999999</v>
      </c>
      <c r="BL16" s="7">
        <f t="shared" si="2"/>
        <v>410.32745249999999</v>
      </c>
      <c r="BM16" s="7">
        <f t="shared" si="2"/>
        <v>451.36019775000005</v>
      </c>
      <c r="BN16" s="7">
        <f t="shared" si="2"/>
        <v>492.39294299999995</v>
      </c>
      <c r="BO16" s="7">
        <f t="shared" si="2"/>
        <v>533.42568825000001</v>
      </c>
      <c r="BP16" s="7">
        <f t="shared" si="31"/>
        <v>0</v>
      </c>
      <c r="BQ16" s="7">
        <f t="shared" si="32"/>
        <v>0</v>
      </c>
      <c r="BR16" s="7">
        <f t="shared" si="33"/>
        <v>0</v>
      </c>
      <c r="BS16" s="7">
        <f t="shared" si="34"/>
        <v>0</v>
      </c>
      <c r="BT16" s="7">
        <f t="shared" si="35"/>
        <v>0</v>
      </c>
      <c r="BU16" s="7">
        <f t="shared" si="36"/>
        <v>0</v>
      </c>
      <c r="BV16" s="7">
        <f t="shared" si="37"/>
        <v>0</v>
      </c>
      <c r="BW16" s="7">
        <f t="shared" si="38"/>
        <v>0</v>
      </c>
      <c r="BX16" s="7">
        <f t="shared" si="39"/>
        <v>0</v>
      </c>
      <c r="BY16" s="7">
        <f t="shared" si="40"/>
        <v>0</v>
      </c>
      <c r="BZ16" s="7">
        <f t="shared" si="41"/>
        <v>0</v>
      </c>
      <c r="CA16" s="7">
        <f t="shared" si="42"/>
        <v>-5476.2362436601443</v>
      </c>
      <c r="CB16" s="7">
        <f t="shared" si="43"/>
        <v>-78064.803900719955</v>
      </c>
      <c r="CC16" s="7">
        <f t="shared" si="44"/>
        <v>-150653.37155778008</v>
      </c>
      <c r="CD16">
        <f t="shared" si="45"/>
        <v>0</v>
      </c>
      <c r="CE16">
        <f t="shared" si="46"/>
        <v>0</v>
      </c>
      <c r="CF16">
        <f t="shared" si="47"/>
        <v>0</v>
      </c>
      <c r="CG16">
        <f t="shared" si="48"/>
        <v>0</v>
      </c>
      <c r="CH16">
        <f t="shared" si="49"/>
        <v>-1769.0400000000002</v>
      </c>
      <c r="CI16">
        <f t="shared" si="50"/>
        <v>-1769.0400000000002</v>
      </c>
      <c r="CJ16">
        <f t="shared" si="51"/>
        <v>-1769.0400000000002</v>
      </c>
      <c r="CK16" s="6">
        <f>Tabla3[[#This Row],[Tns]]</f>
        <v>-1769.0400000000002</v>
      </c>
      <c r="CL16" t="str">
        <f>IF(ISERROR(VLOOKUP(VALUE(E16),'Clientes CBOT'!A:A,1,0)),"VER","ok")</f>
        <v>ok</v>
      </c>
    </row>
    <row r="17" spans="1:90" hidden="1" x14ac:dyDescent="0.3">
      <c r="A17" s="12" t="str">
        <v>P</v>
      </c>
      <c r="B17" s="12" t="str">
        <v>R</v>
      </c>
      <c r="C17" s="12">
        <v>766</v>
      </c>
      <c r="D17" s="12">
        <v>0</v>
      </c>
      <c r="E17" s="12" t="str">
        <v>13007</v>
      </c>
      <c r="F17" s="12" t="str">
        <v>C</v>
      </c>
      <c r="G17" s="12" t="str">
        <v>O</v>
      </c>
      <c r="H17" s="12" t="str">
        <v>F1</v>
      </c>
      <c r="I17" s="12" t="str">
        <v>.AS-0122026E</v>
      </c>
      <c r="J17" s="12">
        <v>4964</v>
      </c>
      <c r="K17" s="12">
        <v>2</v>
      </c>
      <c r="L17" s="12">
        <v>100000</v>
      </c>
      <c r="M17" s="12" t="str">
        <v>CALL MAY 26 SOYBEANS   1220</v>
      </c>
      <c r="N17" s="12" t="str">
        <v>.31</v>
      </c>
      <c r="O17" s="12">
        <v>20251118</v>
      </c>
      <c r="P17" s="12" t="str">
        <v/>
      </c>
      <c r="Q17" s="12">
        <v>202605</v>
      </c>
      <c r="R17" s="12" t="str">
        <v/>
      </c>
      <c r="S17" s="12" t="str">
        <v>F</v>
      </c>
      <c r="T17" s="12" t="str">
        <v>C</v>
      </c>
      <c r="U17" s="12">
        <v>1220000000</v>
      </c>
      <c r="V17" s="12">
        <v>20260424</v>
      </c>
      <c r="W17" s="12" t="str">
        <v/>
      </c>
      <c r="X17" s="12" t="str">
        <v>FUTUROS Y OPCIONES.C</v>
      </c>
      <c r="Y17" s="12" t="str">
        <v/>
      </c>
      <c r="Z17" s="12">
        <v>20251118</v>
      </c>
      <c r="AA17" s="12">
        <v>1</v>
      </c>
      <c r="AB17" s="12" t="str">
        <v>1A</v>
      </c>
      <c r="AC17" s="12" t="str">
        <v>S-</v>
      </c>
      <c r="AD17" s="12" t="str">
        <v/>
      </c>
      <c r="AE17" s="12" t="str">
        <v/>
      </c>
      <c r="AF17" s="12" t="str">
        <v>.31000000</v>
      </c>
      <c r="AG17" s="12" t="str">
        <v/>
      </c>
      <c r="AH17" s="12" t="str">
        <v/>
      </c>
      <c r="AI17" s="12" t="str">
        <v/>
      </c>
      <c r="AJ17" s="12" t="str">
        <v/>
      </c>
      <c r="AK17" s="12" t="str">
        <v/>
      </c>
      <c r="AL17" s="12">
        <v>0</v>
      </c>
      <c r="AM17" s="12" t="str">
        <v>10.0000</v>
      </c>
      <c r="AN17" s="12" t="str">
        <v>USD</v>
      </c>
      <c r="AO17" s="12">
        <v>-518750</v>
      </c>
      <c r="AP17" s="12">
        <v>0</v>
      </c>
      <c r="AQ17" s="12">
        <v>1116750000</v>
      </c>
      <c r="AR17" s="12">
        <v>50000</v>
      </c>
      <c r="AS17" s="12" t="str">
        <v>5K18 JH80</v>
      </c>
      <c r="AT17" s="12">
        <v>116294964</v>
      </c>
      <c r="AU17" s="12" t="str">
        <v>0,1860</v>
      </c>
      <c r="AV17" s="12" t="str">
        <v>S</v>
      </c>
      <c r="AW17" s="12" t="str">
        <v>CBT</v>
      </c>
      <c r="AX17" s="12" t="str">
        <v>Comdty</v>
      </c>
      <c r="AY17" s="12" t="str">
        <v>Soja</v>
      </c>
      <c r="AZ17">
        <f>IF(VLOOKUP(AY17,Conversor!B:C,2,0)="HS",0.01,VLOOKUP(AY17,Conversor!B:C,2,0))</f>
        <v>0.36742999999999998</v>
      </c>
      <c r="BA17">
        <f t="shared" si="18"/>
        <v>-10</v>
      </c>
      <c r="BB17" s="42">
        <f t="shared" si="0"/>
        <v>410.32745249999999</v>
      </c>
      <c r="BC17" s="58">
        <f t="shared" si="19"/>
        <v>448.26459999999997</v>
      </c>
      <c r="BD17" s="1">
        <f>IF(OR(E17="FUTUR",E17="f20176"),0,VLOOKUP(AY17,Conversor!G:I,3,0)*BA17)</f>
        <v>-1360.8000000000002</v>
      </c>
      <c r="BE17" t="str">
        <f t="shared" si="20"/>
        <v>Call</v>
      </c>
      <c r="BF17" t="str">
        <f t="shared" si="21"/>
        <v>si</v>
      </c>
      <c r="BG17" t="str">
        <f t="shared" si="22"/>
        <v>V</v>
      </c>
      <c r="BH17" t="str">
        <f t="shared" si="1"/>
        <v>VC</v>
      </c>
      <c r="BI17" s="7">
        <f t="shared" si="23"/>
        <v>287.22921674999998</v>
      </c>
      <c r="BJ17" s="7">
        <f t="shared" si="2"/>
        <v>328.26196200000004</v>
      </c>
      <c r="BK17" s="7">
        <f t="shared" si="2"/>
        <v>369.29470724999999</v>
      </c>
      <c r="BL17" s="7">
        <f t="shared" si="2"/>
        <v>410.32745249999999</v>
      </c>
      <c r="BM17" s="7">
        <f t="shared" si="2"/>
        <v>451.36019775000005</v>
      </c>
      <c r="BN17" s="7">
        <f t="shared" si="2"/>
        <v>492.39294299999995</v>
      </c>
      <c r="BO17" s="7">
        <f t="shared" si="2"/>
        <v>533.42568825000001</v>
      </c>
      <c r="BP17" s="7">
        <f t="shared" si="31"/>
        <v>0</v>
      </c>
      <c r="BQ17" s="7">
        <f t="shared" si="32"/>
        <v>0</v>
      </c>
      <c r="BR17" s="7">
        <f t="shared" si="33"/>
        <v>0</v>
      </c>
      <c r="BS17" s="7">
        <f t="shared" si="34"/>
        <v>0</v>
      </c>
      <c r="BT17" s="7">
        <f t="shared" si="35"/>
        <v>0</v>
      </c>
      <c r="BU17" s="7">
        <f t="shared" si="36"/>
        <v>0</v>
      </c>
      <c r="BV17" s="7">
        <f t="shared" si="37"/>
        <v>0</v>
      </c>
      <c r="BW17" s="7">
        <f t="shared" si="38"/>
        <v>0</v>
      </c>
      <c r="BX17" s="7">
        <f t="shared" si="39"/>
        <v>0</v>
      </c>
      <c r="BY17" s="7">
        <f t="shared" si="40"/>
        <v>0</v>
      </c>
      <c r="BZ17" s="7">
        <f t="shared" si="41"/>
        <v>0</v>
      </c>
      <c r="CA17" s="7">
        <f t="shared" si="42"/>
        <v>-4212.4894182001108</v>
      </c>
      <c r="CB17" s="7">
        <f t="shared" si="43"/>
        <v>-60049.84915439997</v>
      </c>
      <c r="CC17" s="7">
        <f t="shared" si="44"/>
        <v>-115887.20889060006</v>
      </c>
      <c r="CD17">
        <f t="shared" si="45"/>
        <v>0</v>
      </c>
      <c r="CE17">
        <f t="shared" si="46"/>
        <v>0</v>
      </c>
      <c r="CF17">
        <f t="shared" si="47"/>
        <v>0</v>
      </c>
      <c r="CG17">
        <f t="shared" si="48"/>
        <v>0</v>
      </c>
      <c r="CH17">
        <f t="shared" si="49"/>
        <v>-1360.8000000000002</v>
      </c>
      <c r="CI17">
        <f t="shared" si="50"/>
        <v>-1360.8000000000002</v>
      </c>
      <c r="CJ17">
        <f t="shared" si="51"/>
        <v>-1360.8000000000002</v>
      </c>
      <c r="CK17" s="6">
        <f>Tabla3[[#This Row],[Tns]]</f>
        <v>-1360.8000000000002</v>
      </c>
      <c r="CL17" t="str">
        <f>IF(ISERROR(VLOOKUP(VALUE(E17),'Clientes CBOT'!A:A,1,0)),"VER","ok")</f>
        <v>ok</v>
      </c>
    </row>
    <row r="18" spans="1:90" hidden="1" x14ac:dyDescent="0.3">
      <c r="A18" s="12" t="str">
        <v>P</v>
      </c>
      <c r="B18" s="12" t="str">
        <v>R</v>
      </c>
      <c r="C18" s="12">
        <v>766</v>
      </c>
      <c r="D18" s="12">
        <v>0</v>
      </c>
      <c r="E18" s="12" t="str">
        <v>13009</v>
      </c>
      <c r="F18" s="12" t="str">
        <v>C</v>
      </c>
      <c r="G18" s="12" t="str">
        <v>O</v>
      </c>
      <c r="H18" s="12" t="str">
        <v>F1</v>
      </c>
      <c r="I18" s="12" t="str">
        <v>.AS-0118026E</v>
      </c>
      <c r="J18" s="12">
        <v>3809</v>
      </c>
      <c r="K18" s="12">
        <v>2</v>
      </c>
      <c r="L18" s="12">
        <v>100000</v>
      </c>
      <c r="M18" s="12" t="str">
        <v>CALL MAY 26 SOYBEANS   1180</v>
      </c>
      <c r="N18" s="12" t="str">
        <v>.13 1/2</v>
      </c>
      <c r="O18" s="12">
        <v>20251009</v>
      </c>
      <c r="P18" s="12" t="str">
        <v/>
      </c>
      <c r="Q18" s="12">
        <v>202605</v>
      </c>
      <c r="R18" s="12" t="str">
        <v/>
      </c>
      <c r="S18" s="12" t="str">
        <v>F</v>
      </c>
      <c r="T18" s="12" t="str">
        <v>C</v>
      </c>
      <c r="U18" s="12">
        <v>1180000000</v>
      </c>
      <c r="V18" s="12">
        <v>20260424</v>
      </c>
      <c r="W18" s="12" t="str">
        <v/>
      </c>
      <c r="X18" s="12" t="str">
        <v>FUTUROS Y OPCIONES.C</v>
      </c>
      <c r="Y18" s="12" t="str">
        <v/>
      </c>
      <c r="Z18" s="12">
        <v>20251009</v>
      </c>
      <c r="AA18" s="12">
        <v>1</v>
      </c>
      <c r="AB18" s="12" t="str">
        <v>1A</v>
      </c>
      <c r="AC18" s="12" t="str">
        <v>S-</v>
      </c>
      <c r="AD18" s="12" t="str">
        <v/>
      </c>
      <c r="AE18" s="12" t="str">
        <v/>
      </c>
      <c r="AF18" s="12" t="str">
        <v>.13500000</v>
      </c>
      <c r="AG18" s="12" t="str">
        <v/>
      </c>
      <c r="AH18" s="12" t="str">
        <v/>
      </c>
      <c r="AI18" s="12" t="str">
        <v/>
      </c>
      <c r="AJ18" s="12" t="str">
        <v/>
      </c>
      <c r="AK18" s="12" t="str">
        <v/>
      </c>
      <c r="AL18" s="12">
        <v>0</v>
      </c>
      <c r="AM18" s="12" t="str">
        <v>10.0000</v>
      </c>
      <c r="AN18" s="12" t="str">
        <v>USD</v>
      </c>
      <c r="AO18" s="12">
        <v>-868750</v>
      </c>
      <c r="AP18" s="12">
        <v>0</v>
      </c>
      <c r="AQ18" s="12">
        <v>1116750000</v>
      </c>
      <c r="AR18" s="12">
        <v>50000</v>
      </c>
      <c r="AS18" s="12" t="str">
        <v>5J09 MKZ0</v>
      </c>
      <c r="AT18" s="12">
        <v>115953809</v>
      </c>
      <c r="AU18" s="12" t="str">
        <v>0,2860</v>
      </c>
      <c r="AV18" s="12" t="str">
        <v>S</v>
      </c>
      <c r="AW18" s="12" t="str">
        <v>CBT</v>
      </c>
      <c r="AX18" s="12" t="str">
        <v>Comdty</v>
      </c>
      <c r="AY18" s="12" t="str">
        <v>Soja</v>
      </c>
      <c r="AZ18">
        <f>IF(VLOOKUP(AY18,Conversor!B:C,2,0)="HS",0.01,VLOOKUP(AY18,Conversor!B:C,2,0))</f>
        <v>0.36742999999999998</v>
      </c>
      <c r="BA18">
        <f t="shared" si="18"/>
        <v>-10</v>
      </c>
      <c r="BB18" s="42">
        <f t="shared" si="0"/>
        <v>410.32745249999999</v>
      </c>
      <c r="BC18" s="58">
        <f t="shared" si="19"/>
        <v>433.56739999999996</v>
      </c>
      <c r="BD18" s="1">
        <f>IF(OR(E18="FUTUR",E18="f20176"),0,VLOOKUP(AY18,Conversor!G:I,3,0)*BA18)</f>
        <v>-1360.8000000000002</v>
      </c>
      <c r="BE18" t="str">
        <f t="shared" si="20"/>
        <v>Call</v>
      </c>
      <c r="BF18" t="str">
        <f t="shared" si="21"/>
        <v>si</v>
      </c>
      <c r="BG18" t="str">
        <f t="shared" si="22"/>
        <v>V</v>
      </c>
      <c r="BH18" t="str">
        <f t="shared" si="1"/>
        <v>VC</v>
      </c>
      <c r="BI18" s="7">
        <f t="shared" si="23"/>
        <v>287.22921674999998</v>
      </c>
      <c r="BJ18" s="7">
        <f t="shared" si="2"/>
        <v>328.26196200000004</v>
      </c>
      <c r="BK18" s="7">
        <f t="shared" si="2"/>
        <v>369.29470724999999</v>
      </c>
      <c r="BL18" s="7">
        <f t="shared" si="2"/>
        <v>410.32745249999999</v>
      </c>
      <c r="BM18" s="7">
        <f t="shared" si="2"/>
        <v>451.36019775000005</v>
      </c>
      <c r="BN18" s="7">
        <f t="shared" si="2"/>
        <v>492.39294299999995</v>
      </c>
      <c r="BO18" s="7">
        <f t="shared" si="2"/>
        <v>533.42568825000001</v>
      </c>
      <c r="BP18" s="7">
        <f t="shared" si="31"/>
        <v>0</v>
      </c>
      <c r="BQ18" s="7">
        <f t="shared" si="32"/>
        <v>0</v>
      </c>
      <c r="BR18" s="7">
        <f t="shared" si="33"/>
        <v>0</v>
      </c>
      <c r="BS18" s="7">
        <f t="shared" si="34"/>
        <v>0</v>
      </c>
      <c r="BT18" s="7">
        <f t="shared" si="35"/>
        <v>0</v>
      </c>
      <c r="BU18" s="7">
        <f t="shared" si="36"/>
        <v>0</v>
      </c>
      <c r="BV18" s="7">
        <f t="shared" si="37"/>
        <v>0</v>
      </c>
      <c r="BW18" s="7">
        <f t="shared" si="38"/>
        <v>0</v>
      </c>
      <c r="BX18" s="7">
        <f t="shared" si="39"/>
        <v>0</v>
      </c>
      <c r="BY18" s="7">
        <f t="shared" si="40"/>
        <v>0</v>
      </c>
      <c r="BZ18" s="7">
        <f t="shared" si="41"/>
        <v>0</v>
      </c>
      <c r="CA18" s="7">
        <f t="shared" si="42"/>
        <v>-24212.439178200126</v>
      </c>
      <c r="CB18" s="7">
        <f t="shared" si="43"/>
        <v>-80049.798914399988</v>
      </c>
      <c r="CC18" s="7">
        <f t="shared" si="44"/>
        <v>-135887.15865060009</v>
      </c>
      <c r="CD18">
        <f t="shared" si="45"/>
        <v>0</v>
      </c>
      <c r="CE18">
        <f t="shared" si="46"/>
        <v>0</v>
      </c>
      <c r="CF18">
        <f t="shared" si="47"/>
        <v>0</v>
      </c>
      <c r="CG18">
        <f t="shared" si="48"/>
        <v>0</v>
      </c>
      <c r="CH18">
        <f t="shared" si="49"/>
        <v>-1360.8000000000002</v>
      </c>
      <c r="CI18">
        <f t="shared" si="50"/>
        <v>-1360.8000000000002</v>
      </c>
      <c r="CJ18">
        <f t="shared" si="51"/>
        <v>-1360.8000000000002</v>
      </c>
      <c r="CK18" s="6">
        <f>Tabla3[[#This Row],[Tns]]</f>
        <v>-1360.8000000000002</v>
      </c>
      <c r="CL18" t="str">
        <f>IF(ISERROR(VLOOKUP(VALUE(E18),'Clientes CBOT'!A:A,1,0)),"VER","ok")</f>
        <v>ok</v>
      </c>
    </row>
    <row r="19" spans="1:90" hidden="1" x14ac:dyDescent="0.3">
      <c r="A19" s="12" t="str">
        <v>P</v>
      </c>
      <c r="B19" s="12" t="str">
        <v>R</v>
      </c>
      <c r="C19" s="12">
        <v>766</v>
      </c>
      <c r="D19" s="12">
        <v>0</v>
      </c>
      <c r="E19" s="12" t="str">
        <v>13009</v>
      </c>
      <c r="F19" s="12" t="str">
        <v>C</v>
      </c>
      <c r="G19" s="12" t="str">
        <v>O</v>
      </c>
      <c r="H19" s="12" t="str">
        <v>F1</v>
      </c>
      <c r="I19" s="12" t="str">
        <v>.AS-0118026E</v>
      </c>
      <c r="J19" s="12">
        <v>7384</v>
      </c>
      <c r="K19" s="12">
        <v>2</v>
      </c>
      <c r="L19" s="12">
        <v>50000</v>
      </c>
      <c r="M19" s="12" t="str">
        <v>CALL MAY 26 SOYBEANS   1180</v>
      </c>
      <c r="N19" s="12" t="str">
        <v>.16 3/4</v>
      </c>
      <c r="O19" s="12">
        <v>20251023</v>
      </c>
      <c r="P19" s="12" t="str">
        <v/>
      </c>
      <c r="Q19" s="12">
        <v>202605</v>
      </c>
      <c r="R19" s="12" t="str">
        <v/>
      </c>
      <c r="S19" s="12" t="str">
        <v>F</v>
      </c>
      <c r="T19" s="12" t="str">
        <v>C</v>
      </c>
      <c r="U19" s="12">
        <v>1180000000</v>
      </c>
      <c r="V19" s="12">
        <v>20260424</v>
      </c>
      <c r="W19" s="12" t="str">
        <v/>
      </c>
      <c r="X19" s="12" t="str">
        <v>FUTUROS Y OPCIONES.C</v>
      </c>
      <c r="Y19" s="12" t="str">
        <v/>
      </c>
      <c r="Z19" s="12">
        <v>20251023</v>
      </c>
      <c r="AA19" s="12">
        <v>1</v>
      </c>
      <c r="AB19" s="12" t="str">
        <v>1A</v>
      </c>
      <c r="AC19" s="12" t="str">
        <v>S-</v>
      </c>
      <c r="AD19" s="12" t="str">
        <v/>
      </c>
      <c r="AE19" s="12" t="str">
        <v/>
      </c>
      <c r="AF19" s="12" t="str">
        <v>.16750000</v>
      </c>
      <c r="AG19" s="12" t="str">
        <v/>
      </c>
      <c r="AH19" s="12" t="str">
        <v/>
      </c>
      <c r="AI19" s="12" t="str">
        <v/>
      </c>
      <c r="AJ19" s="12" t="str">
        <v/>
      </c>
      <c r="AK19" s="12" t="str">
        <v/>
      </c>
      <c r="AL19" s="12">
        <v>0</v>
      </c>
      <c r="AM19" s="12" t="str">
        <v>5.0000</v>
      </c>
      <c r="AN19" s="12" t="str">
        <v>USD</v>
      </c>
      <c r="AO19" s="12">
        <v>-434375</v>
      </c>
      <c r="AP19" s="12">
        <v>0</v>
      </c>
      <c r="AQ19" s="12">
        <v>1116750000</v>
      </c>
      <c r="AR19" s="12">
        <v>50000</v>
      </c>
      <c r="AS19" s="12" t="str">
        <v>5J23 YQL0</v>
      </c>
      <c r="AT19" s="12">
        <v>116067384</v>
      </c>
      <c r="AU19" s="12" t="str">
        <v>0,2860</v>
      </c>
      <c r="AV19" s="12" t="str">
        <v>S</v>
      </c>
      <c r="AW19" s="12" t="str">
        <v>CBT</v>
      </c>
      <c r="AX19" s="12" t="str">
        <v>Comdty</v>
      </c>
      <c r="AY19" s="12" t="str">
        <v>Soja</v>
      </c>
      <c r="AZ19">
        <f>IF(VLOOKUP(AY19,Conversor!B:C,2,0)="HS",0.01,VLOOKUP(AY19,Conversor!B:C,2,0))</f>
        <v>0.36742999999999998</v>
      </c>
      <c r="BA19">
        <f t="shared" si="18"/>
        <v>-5</v>
      </c>
      <c r="BB19" s="42">
        <f t="shared" si="0"/>
        <v>410.32745249999999</v>
      </c>
      <c r="BC19" s="58">
        <f t="shared" si="19"/>
        <v>433.56739999999996</v>
      </c>
      <c r="BD19" s="1">
        <f>IF(OR(E19="FUTUR",E19="f20176"),0,VLOOKUP(AY19,Conversor!G:I,3,0)*BA19)</f>
        <v>-680.40000000000009</v>
      </c>
      <c r="BE19" t="str">
        <f t="shared" si="20"/>
        <v>Call</v>
      </c>
      <c r="BF19" t="str">
        <f t="shared" si="21"/>
        <v>si</v>
      </c>
      <c r="BG19" t="str">
        <f t="shared" si="22"/>
        <v>V</v>
      </c>
      <c r="BH19" t="str">
        <f t="shared" si="1"/>
        <v>VC</v>
      </c>
      <c r="BI19" s="7">
        <f t="shared" si="23"/>
        <v>287.22921674999998</v>
      </c>
      <c r="BJ19" s="7">
        <f t="shared" si="23"/>
        <v>328.26196200000004</v>
      </c>
      <c r="BK19" s="7">
        <f t="shared" si="23"/>
        <v>369.29470724999999</v>
      </c>
      <c r="BL19" s="7">
        <f t="shared" si="23"/>
        <v>410.32745249999999</v>
      </c>
      <c r="BM19" s="7">
        <f t="shared" si="23"/>
        <v>451.36019775000005</v>
      </c>
      <c r="BN19" s="7">
        <f t="shared" si="23"/>
        <v>492.39294299999995</v>
      </c>
      <c r="BO19" s="7">
        <f t="shared" si="23"/>
        <v>533.42568825000001</v>
      </c>
      <c r="BP19" s="7">
        <f t="shared" si="31"/>
        <v>0</v>
      </c>
      <c r="BQ19" s="7">
        <f t="shared" si="32"/>
        <v>0</v>
      </c>
      <c r="BR19" s="7">
        <f t="shared" si="33"/>
        <v>0</v>
      </c>
      <c r="BS19" s="7">
        <f t="shared" si="34"/>
        <v>0</v>
      </c>
      <c r="BT19" s="7">
        <f t="shared" si="35"/>
        <v>0</v>
      </c>
      <c r="BU19" s="7">
        <f t="shared" si="36"/>
        <v>0</v>
      </c>
      <c r="BV19" s="7">
        <f t="shared" si="37"/>
        <v>0</v>
      </c>
      <c r="BW19" s="7">
        <f t="shared" si="38"/>
        <v>0</v>
      </c>
      <c r="BX19" s="7">
        <f t="shared" si="39"/>
        <v>0</v>
      </c>
      <c r="BY19" s="7">
        <f t="shared" si="40"/>
        <v>0</v>
      </c>
      <c r="BZ19" s="7">
        <f t="shared" si="41"/>
        <v>0</v>
      </c>
      <c r="CA19" s="7">
        <f t="shared" si="42"/>
        <v>-12106.219589100063</v>
      </c>
      <c r="CB19" s="7">
        <f t="shared" si="43"/>
        <v>-40024.899457199994</v>
      </c>
      <c r="CC19" s="7">
        <f t="shared" si="44"/>
        <v>-67943.579325300045</v>
      </c>
      <c r="CD19">
        <f t="shared" si="45"/>
        <v>0</v>
      </c>
      <c r="CE19">
        <f t="shared" si="46"/>
        <v>0</v>
      </c>
      <c r="CF19">
        <f t="shared" si="47"/>
        <v>0</v>
      </c>
      <c r="CG19">
        <f t="shared" si="48"/>
        <v>0</v>
      </c>
      <c r="CH19">
        <f t="shared" si="49"/>
        <v>-680.40000000000009</v>
      </c>
      <c r="CI19">
        <f t="shared" si="50"/>
        <v>-680.40000000000009</v>
      </c>
      <c r="CJ19">
        <f t="shared" si="51"/>
        <v>-680.40000000000009</v>
      </c>
      <c r="CK19" s="6">
        <f>Tabla3[[#This Row],[Tns]]</f>
        <v>-680.40000000000009</v>
      </c>
      <c r="CL19" t="str">
        <f>IF(ISERROR(VLOOKUP(VALUE(E19),'Clientes CBOT'!A:A,1,0)),"VER","ok")</f>
        <v>ok</v>
      </c>
    </row>
    <row r="20" spans="1:90" hidden="1" x14ac:dyDescent="0.3">
      <c r="A20" s="12" t="str">
        <v>P</v>
      </c>
      <c r="B20" s="12" t="str">
        <v>R</v>
      </c>
      <c r="C20" s="12">
        <v>766</v>
      </c>
      <c r="D20" s="12">
        <v>0</v>
      </c>
      <c r="E20" s="12" t="str">
        <v>13009</v>
      </c>
      <c r="F20" s="12" t="str">
        <v>C</v>
      </c>
      <c r="G20" s="12" t="str">
        <v>O</v>
      </c>
      <c r="H20" s="12" t="str">
        <v>F1</v>
      </c>
      <c r="I20" s="12" t="str">
        <v>.AS-0120026E</v>
      </c>
      <c r="J20" s="12">
        <v>3852</v>
      </c>
      <c r="K20" s="12">
        <v>2</v>
      </c>
      <c r="L20" s="12">
        <v>100000</v>
      </c>
      <c r="M20" s="12" t="str">
        <v>CALL MAY 26 SOYBEANS   1200</v>
      </c>
      <c r="N20" s="12" t="str">
        <v>.11 1/8</v>
      </c>
      <c r="O20" s="12">
        <v>20251009</v>
      </c>
      <c r="P20" s="12" t="str">
        <v/>
      </c>
      <c r="Q20" s="12">
        <v>202605</v>
      </c>
      <c r="R20" s="12" t="str">
        <v/>
      </c>
      <c r="S20" s="12" t="str">
        <v>F</v>
      </c>
      <c r="T20" s="12" t="str">
        <v>C</v>
      </c>
      <c r="U20" s="12">
        <v>1200000000</v>
      </c>
      <c r="V20" s="12">
        <v>20260424</v>
      </c>
      <c r="W20" s="12" t="str">
        <v/>
      </c>
      <c r="X20" s="12" t="str">
        <v>FUTUROS Y OPCIONES.C</v>
      </c>
      <c r="Y20" s="12" t="str">
        <v/>
      </c>
      <c r="Z20" s="12">
        <v>20251009</v>
      </c>
      <c r="AA20" s="12">
        <v>1</v>
      </c>
      <c r="AB20" s="12" t="str">
        <v>1A</v>
      </c>
      <c r="AC20" s="12" t="str">
        <v>S-</v>
      </c>
      <c r="AD20" s="12" t="str">
        <v/>
      </c>
      <c r="AE20" s="12" t="str">
        <v/>
      </c>
      <c r="AF20" s="12" t="str">
        <v>.11125000</v>
      </c>
      <c r="AG20" s="12" t="str">
        <v/>
      </c>
      <c r="AH20" s="12" t="str">
        <v/>
      </c>
      <c r="AI20" s="12" t="str">
        <v/>
      </c>
      <c r="AJ20" s="12" t="str">
        <v/>
      </c>
      <c r="AK20" s="12" t="str">
        <v/>
      </c>
      <c r="AL20" s="12">
        <v>0</v>
      </c>
      <c r="AM20" s="12" t="str">
        <v>10.0000</v>
      </c>
      <c r="AN20" s="12" t="str">
        <v>USD</v>
      </c>
      <c r="AO20" s="12">
        <v>-668750</v>
      </c>
      <c r="AP20" s="12">
        <v>0</v>
      </c>
      <c r="AQ20" s="12">
        <v>1116750000</v>
      </c>
      <c r="AR20" s="12">
        <v>50000</v>
      </c>
      <c r="AS20" s="12" t="str">
        <v>5J09 Mb60</v>
      </c>
      <c r="AT20" s="12">
        <v>115953852</v>
      </c>
      <c r="AU20" s="12" t="str">
        <v>0,2310</v>
      </c>
      <c r="AV20" s="12" t="str">
        <v>S</v>
      </c>
      <c r="AW20" s="12" t="str">
        <v>CBT</v>
      </c>
      <c r="AX20" s="12" t="str">
        <v>Comdty</v>
      </c>
      <c r="AY20" s="12" t="str">
        <v>Soja</v>
      </c>
      <c r="AZ20">
        <f>IF(VLOOKUP(AY20,Conversor!B:C,2,0)="HS",0.01,VLOOKUP(AY20,Conversor!B:C,2,0))</f>
        <v>0.36742999999999998</v>
      </c>
      <c r="BA20">
        <f t="shared" si="18"/>
        <v>-10</v>
      </c>
      <c r="BB20" s="42">
        <f t="shared" si="0"/>
        <v>410.32745249999999</v>
      </c>
      <c r="BC20" s="58">
        <f t="shared" si="19"/>
        <v>440.916</v>
      </c>
      <c r="BD20" s="1">
        <f>IF(OR(E20="FUTUR",E20="f20176"),0,VLOOKUP(AY20,Conversor!G:I,3,0)*BA20)</f>
        <v>-1360.8000000000002</v>
      </c>
      <c r="BE20" t="str">
        <f t="shared" si="20"/>
        <v>Call</v>
      </c>
      <c r="BF20" t="str">
        <f t="shared" si="21"/>
        <v>si</v>
      </c>
      <c r="BG20" t="str">
        <f t="shared" si="22"/>
        <v>V</v>
      </c>
      <c r="BH20" t="str">
        <f t="shared" si="1"/>
        <v>VC</v>
      </c>
      <c r="BI20" s="7">
        <f t="shared" si="23"/>
        <v>287.22921674999998</v>
      </c>
      <c r="BJ20" s="7">
        <f t="shared" si="23"/>
        <v>328.26196200000004</v>
      </c>
      <c r="BK20" s="7">
        <f t="shared" si="23"/>
        <v>369.29470724999999</v>
      </c>
      <c r="BL20" s="7">
        <f t="shared" si="23"/>
        <v>410.32745249999999</v>
      </c>
      <c r="BM20" s="7">
        <f t="shared" si="23"/>
        <v>451.36019775000005</v>
      </c>
      <c r="BN20" s="7">
        <f t="shared" si="23"/>
        <v>492.39294299999995</v>
      </c>
      <c r="BO20" s="7">
        <f t="shared" si="23"/>
        <v>533.42568825000001</v>
      </c>
      <c r="BP20" s="7">
        <f t="shared" si="31"/>
        <v>0</v>
      </c>
      <c r="BQ20" s="7">
        <f t="shared" si="32"/>
        <v>0</v>
      </c>
      <c r="BR20" s="7">
        <f t="shared" si="33"/>
        <v>0</v>
      </c>
      <c r="BS20" s="7">
        <f t="shared" si="34"/>
        <v>0</v>
      </c>
      <c r="BT20" s="7">
        <f t="shared" si="35"/>
        <v>0</v>
      </c>
      <c r="BU20" s="7">
        <f t="shared" si="36"/>
        <v>0</v>
      </c>
      <c r="BV20" s="7">
        <f t="shared" si="37"/>
        <v>0</v>
      </c>
      <c r="BW20" s="7">
        <f t="shared" si="38"/>
        <v>0</v>
      </c>
      <c r="BX20" s="7">
        <f t="shared" si="39"/>
        <v>0</v>
      </c>
      <c r="BY20" s="7">
        <f t="shared" si="40"/>
        <v>0</v>
      </c>
      <c r="BZ20" s="7">
        <f t="shared" si="41"/>
        <v>0</v>
      </c>
      <c r="CA20" s="7">
        <f t="shared" si="42"/>
        <v>-14212.464298200081</v>
      </c>
      <c r="CB20" s="7">
        <f t="shared" si="43"/>
        <v>-70049.824034399935</v>
      </c>
      <c r="CC20" s="7">
        <f t="shared" si="44"/>
        <v>-125887.18377060004</v>
      </c>
      <c r="CD20">
        <f t="shared" si="45"/>
        <v>0</v>
      </c>
      <c r="CE20">
        <f t="shared" si="46"/>
        <v>0</v>
      </c>
      <c r="CF20">
        <f t="shared" si="47"/>
        <v>0</v>
      </c>
      <c r="CG20">
        <f t="shared" si="48"/>
        <v>0</v>
      </c>
      <c r="CH20">
        <f t="shared" si="49"/>
        <v>-1360.8000000000002</v>
      </c>
      <c r="CI20">
        <f t="shared" si="50"/>
        <v>-1360.8000000000002</v>
      </c>
      <c r="CJ20">
        <f t="shared" si="51"/>
        <v>-1360.8000000000002</v>
      </c>
      <c r="CK20" s="6">
        <f>Tabla3[[#This Row],[Tns]]</f>
        <v>-1360.8000000000002</v>
      </c>
      <c r="CL20" t="str">
        <f>IF(ISERROR(VLOOKUP(VALUE(E20),'Clientes CBOT'!A:A,1,0)),"VER","ok")</f>
        <v>ok</v>
      </c>
    </row>
    <row r="21" spans="1:90" hidden="1" x14ac:dyDescent="0.3">
      <c r="A21" s="12" t="str">
        <v>P</v>
      </c>
      <c r="B21" s="12" t="str">
        <v>R</v>
      </c>
      <c r="C21" s="12">
        <v>766</v>
      </c>
      <c r="D21" s="12">
        <v>0</v>
      </c>
      <c r="E21" s="12" t="str">
        <v>13009</v>
      </c>
      <c r="F21" s="12" t="str">
        <v>C</v>
      </c>
      <c r="G21" s="12" t="str">
        <v>O</v>
      </c>
      <c r="H21" s="12" t="str">
        <v>F1</v>
      </c>
      <c r="I21" s="12" t="str">
        <v>.AS-0120026E</v>
      </c>
      <c r="J21" s="12">
        <v>7406</v>
      </c>
      <c r="K21" s="12">
        <v>2</v>
      </c>
      <c r="L21" s="12">
        <v>50000</v>
      </c>
      <c r="M21" s="12" t="str">
        <v>CALL MAY 26 SOYBEANS   1200</v>
      </c>
      <c r="N21" s="12" t="str">
        <v>.13 3/4</v>
      </c>
      <c r="O21" s="12">
        <v>20251023</v>
      </c>
      <c r="P21" s="12" t="str">
        <v/>
      </c>
      <c r="Q21" s="12">
        <v>202605</v>
      </c>
      <c r="R21" s="12" t="str">
        <v/>
      </c>
      <c r="S21" s="12" t="str">
        <v>F</v>
      </c>
      <c r="T21" s="12" t="str">
        <v>C</v>
      </c>
      <c r="U21" s="12">
        <v>1200000000</v>
      </c>
      <c r="V21" s="12">
        <v>20260424</v>
      </c>
      <c r="W21" s="12" t="str">
        <v/>
      </c>
      <c r="X21" s="12" t="str">
        <v>FUTUROS Y OPCIONES.C</v>
      </c>
      <c r="Y21" s="12" t="str">
        <v/>
      </c>
      <c r="Z21" s="12">
        <v>20251023</v>
      </c>
      <c r="AA21" s="12">
        <v>1</v>
      </c>
      <c r="AB21" s="12" t="str">
        <v>1A</v>
      </c>
      <c r="AC21" s="12" t="str">
        <v>S-</v>
      </c>
      <c r="AD21" s="12" t="str">
        <v/>
      </c>
      <c r="AE21" s="12" t="str">
        <v/>
      </c>
      <c r="AF21" s="12" t="str">
        <v>.13750000</v>
      </c>
      <c r="AG21" s="12" t="str">
        <v/>
      </c>
      <c r="AH21" s="12" t="str">
        <v/>
      </c>
      <c r="AI21" s="12" t="str">
        <v/>
      </c>
      <c r="AJ21" s="12" t="str">
        <v/>
      </c>
      <c r="AK21" s="12" t="str">
        <v/>
      </c>
      <c r="AL21" s="12">
        <v>0</v>
      </c>
      <c r="AM21" s="12" t="str">
        <v>5.0000</v>
      </c>
      <c r="AN21" s="12" t="str">
        <v>USD</v>
      </c>
      <c r="AO21" s="12">
        <v>-334375</v>
      </c>
      <c r="AP21" s="12">
        <v>0</v>
      </c>
      <c r="AQ21" s="12">
        <v>1116750000</v>
      </c>
      <c r="AR21" s="12">
        <v>50000</v>
      </c>
      <c r="AS21" s="12" t="str">
        <v>5J23 YX10</v>
      </c>
      <c r="AT21" s="12">
        <v>116067406</v>
      </c>
      <c r="AU21" s="12" t="str">
        <v>0,2310</v>
      </c>
      <c r="AV21" s="12" t="str">
        <v>S</v>
      </c>
      <c r="AW21" s="12" t="str">
        <v>CBT</v>
      </c>
      <c r="AX21" s="12" t="str">
        <v>Comdty</v>
      </c>
      <c r="AY21" s="12" t="str">
        <v>Soja</v>
      </c>
      <c r="AZ21">
        <f>IF(VLOOKUP(AY21,Conversor!B:C,2,0)="HS",0.01,VLOOKUP(AY21,Conversor!B:C,2,0))</f>
        <v>0.36742999999999998</v>
      </c>
      <c r="BA21">
        <f t="shared" si="18"/>
        <v>-5</v>
      </c>
      <c r="BB21" s="42">
        <f t="shared" si="0"/>
        <v>410.32745249999999</v>
      </c>
      <c r="BC21" s="58">
        <f t="shared" si="19"/>
        <v>440.916</v>
      </c>
      <c r="BD21" s="1">
        <f>IF(OR(E21="FUTUR",E21="f20176"),0,VLOOKUP(AY21,Conversor!G:I,3,0)*BA21)</f>
        <v>-680.40000000000009</v>
      </c>
      <c r="BE21" t="str">
        <f t="shared" si="20"/>
        <v>Call</v>
      </c>
      <c r="BF21" t="str">
        <f t="shared" si="21"/>
        <v>si</v>
      </c>
      <c r="BG21" t="str">
        <f t="shared" si="22"/>
        <v>V</v>
      </c>
      <c r="BH21" t="str">
        <f t="shared" si="1"/>
        <v>VC</v>
      </c>
      <c r="BI21" s="7">
        <f t="shared" si="23"/>
        <v>287.22921674999998</v>
      </c>
      <c r="BJ21" s="7">
        <f t="shared" si="23"/>
        <v>328.26196200000004</v>
      </c>
      <c r="BK21" s="7">
        <f t="shared" si="23"/>
        <v>369.29470724999999</v>
      </c>
      <c r="BL21" s="7">
        <f t="shared" si="23"/>
        <v>410.32745249999999</v>
      </c>
      <c r="BM21" s="7">
        <f t="shared" si="23"/>
        <v>451.36019775000005</v>
      </c>
      <c r="BN21" s="7">
        <f t="shared" si="23"/>
        <v>492.39294299999995</v>
      </c>
      <c r="BO21" s="7">
        <f t="shared" si="23"/>
        <v>533.42568825000001</v>
      </c>
      <c r="BP21" s="7">
        <f t="shared" si="31"/>
        <v>0</v>
      </c>
      <c r="BQ21" s="7">
        <f t="shared" si="32"/>
        <v>0</v>
      </c>
      <c r="BR21" s="7">
        <f t="shared" si="33"/>
        <v>0</v>
      </c>
      <c r="BS21" s="7">
        <f t="shared" si="34"/>
        <v>0</v>
      </c>
      <c r="BT21" s="7">
        <f t="shared" si="35"/>
        <v>0</v>
      </c>
      <c r="BU21" s="7">
        <f t="shared" si="36"/>
        <v>0</v>
      </c>
      <c r="BV21" s="7">
        <f t="shared" si="37"/>
        <v>0</v>
      </c>
      <c r="BW21" s="7">
        <f t="shared" si="38"/>
        <v>0</v>
      </c>
      <c r="BX21" s="7">
        <f t="shared" si="39"/>
        <v>0</v>
      </c>
      <c r="BY21" s="7">
        <f t="shared" si="40"/>
        <v>0</v>
      </c>
      <c r="BZ21" s="7">
        <f t="shared" si="41"/>
        <v>0</v>
      </c>
      <c r="CA21" s="7">
        <f t="shared" si="42"/>
        <v>-7106.2321491000403</v>
      </c>
      <c r="CB21" s="7">
        <f t="shared" si="43"/>
        <v>-35024.912017199968</v>
      </c>
      <c r="CC21" s="7">
        <f t="shared" si="44"/>
        <v>-62943.591885300018</v>
      </c>
      <c r="CD21">
        <f t="shared" si="45"/>
        <v>0</v>
      </c>
      <c r="CE21">
        <f t="shared" si="46"/>
        <v>0</v>
      </c>
      <c r="CF21">
        <f t="shared" si="47"/>
        <v>0</v>
      </c>
      <c r="CG21">
        <f t="shared" si="48"/>
        <v>0</v>
      </c>
      <c r="CH21">
        <f t="shared" si="49"/>
        <v>-680.40000000000009</v>
      </c>
      <c r="CI21">
        <f t="shared" si="50"/>
        <v>-680.40000000000009</v>
      </c>
      <c r="CJ21">
        <f t="shared" si="51"/>
        <v>-680.40000000000009</v>
      </c>
      <c r="CK21" s="6">
        <f>Tabla3[[#This Row],[Tns]]</f>
        <v>-680.40000000000009</v>
      </c>
      <c r="CL21" t="str">
        <f>IF(ISERROR(VLOOKUP(VALUE(E21),'Clientes CBOT'!A:A,1,0)),"VER","ok")</f>
        <v>ok</v>
      </c>
    </row>
    <row r="22" spans="1:90" hidden="1" x14ac:dyDescent="0.3">
      <c r="A22" s="12" t="str">
        <v>P</v>
      </c>
      <c r="B22" s="12" t="str">
        <v>R</v>
      </c>
      <c r="C22" s="12">
        <v>766</v>
      </c>
      <c r="D22" s="12">
        <v>0</v>
      </c>
      <c r="E22" s="12" t="str">
        <v>13010</v>
      </c>
      <c r="F22" s="12" t="str">
        <v>C</v>
      </c>
      <c r="G22" s="12" t="str">
        <v>O</v>
      </c>
      <c r="H22" s="12" t="str">
        <v>F1</v>
      </c>
      <c r="I22" s="12" t="str">
        <v>.AS-0119026C</v>
      </c>
      <c r="J22" s="12">
        <v>2559</v>
      </c>
      <c r="K22" s="12">
        <v>1</v>
      </c>
      <c r="L22" s="12">
        <v>40000</v>
      </c>
      <c r="M22" s="12" t="str">
        <v>CALL MAR 26 SOYBEANS   1190</v>
      </c>
      <c r="N22" s="12" t="str">
        <v>.14 7/8</v>
      </c>
      <c r="O22" s="12">
        <v>20251028</v>
      </c>
      <c r="P22" s="12" t="str">
        <v/>
      </c>
      <c r="Q22" s="12">
        <v>202603</v>
      </c>
      <c r="R22" s="12" t="str">
        <v/>
      </c>
      <c r="S22" s="12" t="str">
        <v>F</v>
      </c>
      <c r="T22" s="12" t="str">
        <v>C</v>
      </c>
      <c r="U22" s="12">
        <v>1190000000</v>
      </c>
      <c r="V22" s="12">
        <v>20260220</v>
      </c>
      <c r="W22" s="12" t="str">
        <v/>
      </c>
      <c r="X22" s="12" t="str">
        <v>FUTUROS Y OPCIONES.C</v>
      </c>
      <c r="Y22" s="12" t="str">
        <v/>
      </c>
      <c r="Z22" s="12">
        <v>20251028</v>
      </c>
      <c r="AA22" s="12">
        <v>1</v>
      </c>
      <c r="AB22" s="12" t="str">
        <v>1A</v>
      </c>
      <c r="AC22" s="12" t="str">
        <v>S-</v>
      </c>
      <c r="AD22" s="12" t="str">
        <v/>
      </c>
      <c r="AE22" s="12" t="str">
        <v/>
      </c>
      <c r="AF22" s="12" t="str">
        <v>.14875000</v>
      </c>
      <c r="AG22" s="12" t="str">
        <v/>
      </c>
      <c r="AH22" s="12" t="str">
        <v/>
      </c>
      <c r="AI22" s="12" t="str">
        <v/>
      </c>
      <c r="AJ22" s="12" t="str">
        <v/>
      </c>
      <c r="AK22" s="12" t="str">
        <v/>
      </c>
      <c r="AL22" s="12">
        <v>40000</v>
      </c>
      <c r="AM22" s="12" t="str">
        <v>.0000</v>
      </c>
      <c r="AN22" s="12" t="str">
        <v>USD</v>
      </c>
      <c r="AO22" s="12">
        <v>120000</v>
      </c>
      <c r="AP22" s="12">
        <v>0</v>
      </c>
      <c r="AQ22" s="12">
        <v>1105750000</v>
      </c>
      <c r="AR22" s="12">
        <v>50000</v>
      </c>
      <c r="AS22" s="12" t="str">
        <v>5J28 QUD0</v>
      </c>
      <c r="AT22" s="12">
        <v>116112559</v>
      </c>
      <c r="AU22" s="12" t="str">
        <v>0,1540</v>
      </c>
      <c r="AV22" s="12" t="str">
        <v>S</v>
      </c>
      <c r="AW22" s="12" t="str">
        <v>CBT</v>
      </c>
      <c r="AX22" s="12" t="str">
        <v>Comdty</v>
      </c>
      <c r="AY22" s="12" t="str">
        <v>Soja</v>
      </c>
      <c r="AZ22">
        <f>IF(VLOOKUP(AY22,Conversor!B:C,2,0)="HS",0.01,VLOOKUP(AY22,Conversor!B:C,2,0))</f>
        <v>0.36742999999999998</v>
      </c>
      <c r="BA22">
        <f t="shared" si="18"/>
        <v>4</v>
      </c>
      <c r="BB22" s="42">
        <f t="shared" si="0"/>
        <v>406.28572249999996</v>
      </c>
      <c r="BC22" s="58">
        <f t="shared" si="19"/>
        <v>437.24169999999998</v>
      </c>
      <c r="BD22" s="1">
        <f>IF(OR(E22="FUTUR",E22="f20176"),0,VLOOKUP(AY22,Conversor!G:I,3,0)*BA22)</f>
        <v>544.32000000000005</v>
      </c>
      <c r="BE22" t="str">
        <f t="shared" si="20"/>
        <v>Call</v>
      </c>
      <c r="BF22" t="str">
        <f t="shared" si="21"/>
        <v>si</v>
      </c>
      <c r="BG22" t="str">
        <f t="shared" si="22"/>
        <v>C</v>
      </c>
      <c r="BH22" t="str">
        <f t="shared" si="1"/>
        <v>CC</v>
      </c>
      <c r="BI22" s="7">
        <f t="shared" si="23"/>
        <v>284.40000574999993</v>
      </c>
      <c r="BJ22" s="7">
        <f t="shared" si="23"/>
        <v>325.02857799999998</v>
      </c>
      <c r="BK22" s="7">
        <f t="shared" si="23"/>
        <v>365.65715024999997</v>
      </c>
      <c r="BL22" s="7">
        <f t="shared" si="23"/>
        <v>406.28572249999996</v>
      </c>
      <c r="BM22" s="7">
        <f t="shared" si="23"/>
        <v>446.91429475000001</v>
      </c>
      <c r="BN22" s="7">
        <f t="shared" si="23"/>
        <v>487.54286699999994</v>
      </c>
      <c r="BO22" s="7">
        <f t="shared" si="23"/>
        <v>528.17143924999993</v>
      </c>
      <c r="BP22" s="7">
        <f t="shared" si="31"/>
        <v>0</v>
      </c>
      <c r="BQ22" s="7">
        <f t="shared" si="32"/>
        <v>0</v>
      </c>
      <c r="BR22" s="7">
        <f t="shared" si="33"/>
        <v>0</v>
      </c>
      <c r="BS22" s="7">
        <f t="shared" si="34"/>
        <v>0</v>
      </c>
      <c r="BT22" s="7">
        <f t="shared" si="35"/>
        <v>0</v>
      </c>
      <c r="BU22" s="7">
        <f t="shared" si="36"/>
        <v>0</v>
      </c>
      <c r="BV22" s="7">
        <f t="shared" si="37"/>
        <v>0</v>
      </c>
      <c r="BW22" s="7">
        <f t="shared" si="38"/>
        <v>0</v>
      </c>
      <c r="BX22" s="7">
        <f t="shared" si="39"/>
        <v>0</v>
      </c>
      <c r="BY22" s="7">
        <f t="shared" si="40"/>
        <v>0</v>
      </c>
      <c r="BZ22" s="7">
        <f t="shared" si="41"/>
        <v>0</v>
      </c>
      <c r="CA22" s="7">
        <f t="shared" si="42"/>
        <v>5264.9867743200166</v>
      </c>
      <c r="CB22" s="7">
        <f t="shared" si="43"/>
        <v>27379.931221439983</v>
      </c>
      <c r="CC22" s="7">
        <f t="shared" si="44"/>
        <v>49494.87566855998</v>
      </c>
      <c r="CD22">
        <f t="shared" si="45"/>
        <v>0</v>
      </c>
      <c r="CE22">
        <f t="shared" si="46"/>
        <v>0</v>
      </c>
      <c r="CF22">
        <f t="shared" si="47"/>
        <v>0</v>
      </c>
      <c r="CG22">
        <f t="shared" si="48"/>
        <v>0</v>
      </c>
      <c r="CH22">
        <f t="shared" si="49"/>
        <v>544.32000000000005</v>
      </c>
      <c r="CI22">
        <f t="shared" si="50"/>
        <v>544.32000000000005</v>
      </c>
      <c r="CJ22">
        <f t="shared" si="51"/>
        <v>544.32000000000005</v>
      </c>
      <c r="CK22" s="6">
        <f>Tabla3[[#This Row],[Tns]]</f>
        <v>544.32000000000005</v>
      </c>
      <c r="CL22" t="str">
        <f>IF(ISERROR(VLOOKUP(VALUE(E22),'Clientes CBOT'!A:A,1,0)),"VER","ok")</f>
        <v>ok</v>
      </c>
    </row>
    <row r="23" spans="1:90" hidden="1" x14ac:dyDescent="0.3">
      <c r="A23" s="12" t="str">
        <v>P</v>
      </c>
      <c r="B23" s="12" t="str">
        <v>R</v>
      </c>
      <c r="C23" s="12">
        <v>766</v>
      </c>
      <c r="D23" s="12">
        <v>0</v>
      </c>
      <c r="E23" s="12" t="str">
        <v>13010</v>
      </c>
      <c r="F23" s="12" t="str">
        <v>C</v>
      </c>
      <c r="G23" s="12" t="str">
        <v>O</v>
      </c>
      <c r="H23" s="12" t="str">
        <v>F1</v>
      </c>
      <c r="I23" s="12" t="str">
        <v>.AS-0119026C</v>
      </c>
      <c r="J23" s="12">
        <v>6085</v>
      </c>
      <c r="K23" s="12">
        <v>1</v>
      </c>
      <c r="L23" s="12">
        <v>40000</v>
      </c>
      <c r="M23" s="12" t="str">
        <v>CALL MAR 26 SOYBEANS   1190</v>
      </c>
      <c r="N23" s="12" t="str">
        <v>.13</v>
      </c>
      <c r="O23" s="12">
        <v>20251030</v>
      </c>
      <c r="P23" s="12" t="str">
        <v/>
      </c>
      <c r="Q23" s="12">
        <v>202603</v>
      </c>
      <c r="R23" s="12" t="str">
        <v/>
      </c>
      <c r="S23" s="12" t="str">
        <v>F</v>
      </c>
      <c r="T23" s="12" t="str">
        <v>C</v>
      </c>
      <c r="U23" s="12">
        <v>1190000000</v>
      </c>
      <c r="V23" s="12">
        <v>20260220</v>
      </c>
      <c r="W23" s="12" t="str">
        <v/>
      </c>
      <c r="X23" s="12" t="str">
        <v>FUTUROS Y OPCIONES.C</v>
      </c>
      <c r="Y23" s="12" t="str">
        <v/>
      </c>
      <c r="Z23" s="12">
        <v>20251030</v>
      </c>
      <c r="AA23" s="12">
        <v>1</v>
      </c>
      <c r="AB23" s="12" t="str">
        <v>1A</v>
      </c>
      <c r="AC23" s="12" t="str">
        <v>S-</v>
      </c>
      <c r="AD23" s="12" t="str">
        <v/>
      </c>
      <c r="AE23" s="12" t="str">
        <v/>
      </c>
      <c r="AF23" s="12" t="str">
        <v>.13000000</v>
      </c>
      <c r="AG23" s="12" t="str">
        <v/>
      </c>
      <c r="AH23" s="12" t="str">
        <v/>
      </c>
      <c r="AI23" s="12" t="str">
        <v/>
      </c>
      <c r="AJ23" s="12" t="str">
        <v/>
      </c>
      <c r="AK23" s="12" t="str">
        <v/>
      </c>
      <c r="AL23" s="12">
        <v>40000</v>
      </c>
      <c r="AM23" s="12" t="str">
        <v>.0000</v>
      </c>
      <c r="AN23" s="12" t="str">
        <v>USD</v>
      </c>
      <c r="AO23" s="12">
        <v>120000</v>
      </c>
      <c r="AP23" s="12">
        <v>0</v>
      </c>
      <c r="AQ23" s="12">
        <v>1105750000</v>
      </c>
      <c r="AR23" s="12">
        <v>50000</v>
      </c>
      <c r="AS23" s="12" t="str">
        <v>5J30 Doh0</v>
      </c>
      <c r="AT23" s="12">
        <v>116136085</v>
      </c>
      <c r="AU23" s="12" t="str">
        <v>0,1540</v>
      </c>
      <c r="AV23" s="12" t="str">
        <v>S</v>
      </c>
      <c r="AW23" s="12" t="str">
        <v>CBT</v>
      </c>
      <c r="AX23" s="12" t="str">
        <v>Comdty</v>
      </c>
      <c r="AY23" s="12" t="str">
        <v>Soja</v>
      </c>
      <c r="AZ23">
        <f>IF(VLOOKUP(AY23,Conversor!B:C,2,0)="HS",0.01,VLOOKUP(AY23,Conversor!B:C,2,0))</f>
        <v>0.36742999999999998</v>
      </c>
      <c r="BA23">
        <f t="shared" si="18"/>
        <v>4</v>
      </c>
      <c r="BB23" s="42">
        <f t="shared" si="0"/>
        <v>406.28572249999996</v>
      </c>
      <c r="BC23" s="58">
        <f t="shared" si="19"/>
        <v>437.24169999999998</v>
      </c>
      <c r="BD23" s="1">
        <f>IF(OR(E23="FUTUR",E23="f20176"),0,VLOOKUP(AY23,Conversor!G:I,3,0)*BA23)</f>
        <v>544.32000000000005</v>
      </c>
      <c r="BE23" t="str">
        <f t="shared" si="20"/>
        <v>Call</v>
      </c>
      <c r="BF23" t="str">
        <f t="shared" si="21"/>
        <v>si</v>
      </c>
      <c r="BG23" t="str">
        <f t="shared" si="22"/>
        <v>C</v>
      </c>
      <c r="BH23" t="str">
        <f t="shared" si="1"/>
        <v>CC</v>
      </c>
      <c r="BI23" s="7">
        <f t="shared" si="23"/>
        <v>284.40000574999993</v>
      </c>
      <c r="BJ23" s="7">
        <f t="shared" si="23"/>
        <v>325.02857799999998</v>
      </c>
      <c r="BK23" s="7">
        <f t="shared" si="23"/>
        <v>365.65715024999997</v>
      </c>
      <c r="BL23" s="7">
        <f t="shared" si="23"/>
        <v>406.28572249999996</v>
      </c>
      <c r="BM23" s="7">
        <f t="shared" si="23"/>
        <v>446.91429475000001</v>
      </c>
      <c r="BN23" s="7">
        <f t="shared" si="23"/>
        <v>487.54286699999994</v>
      </c>
      <c r="BO23" s="7">
        <f t="shared" si="23"/>
        <v>528.17143924999993</v>
      </c>
      <c r="BP23" s="7">
        <f t="shared" si="31"/>
        <v>0</v>
      </c>
      <c r="BQ23" s="7">
        <f t="shared" si="32"/>
        <v>0</v>
      </c>
      <c r="BR23" s="7">
        <f t="shared" si="33"/>
        <v>0</v>
      </c>
      <c r="BS23" s="7">
        <f t="shared" si="34"/>
        <v>0</v>
      </c>
      <c r="BT23" s="7">
        <f t="shared" si="35"/>
        <v>0</v>
      </c>
      <c r="BU23" s="7">
        <f t="shared" si="36"/>
        <v>0</v>
      </c>
      <c r="BV23" s="7">
        <f t="shared" si="37"/>
        <v>0</v>
      </c>
      <c r="BW23" s="7">
        <f t="shared" si="38"/>
        <v>0</v>
      </c>
      <c r="BX23" s="7">
        <f t="shared" si="39"/>
        <v>0</v>
      </c>
      <c r="BY23" s="7">
        <f t="shared" si="40"/>
        <v>0</v>
      </c>
      <c r="BZ23" s="7">
        <f t="shared" si="41"/>
        <v>0</v>
      </c>
      <c r="CA23" s="7">
        <f t="shared" si="42"/>
        <v>5264.9867743200166</v>
      </c>
      <c r="CB23" s="7">
        <f t="shared" si="43"/>
        <v>27379.931221439983</v>
      </c>
      <c r="CC23" s="7">
        <f t="shared" si="44"/>
        <v>49494.87566855998</v>
      </c>
      <c r="CD23">
        <f t="shared" si="45"/>
        <v>0</v>
      </c>
      <c r="CE23">
        <f t="shared" si="46"/>
        <v>0</v>
      </c>
      <c r="CF23">
        <f t="shared" si="47"/>
        <v>0</v>
      </c>
      <c r="CG23">
        <f t="shared" si="48"/>
        <v>0</v>
      </c>
      <c r="CH23">
        <f t="shared" si="49"/>
        <v>544.32000000000005</v>
      </c>
      <c r="CI23">
        <f t="shared" si="50"/>
        <v>544.32000000000005</v>
      </c>
      <c r="CJ23">
        <f t="shared" si="51"/>
        <v>544.32000000000005</v>
      </c>
      <c r="CK23" s="6">
        <f>Tabla3[[#This Row],[Tns]]</f>
        <v>544.32000000000005</v>
      </c>
      <c r="CL23" t="str">
        <f>IF(ISERROR(VLOOKUP(VALUE(E23),'Clientes CBOT'!A:A,1,0)),"VER","ok")</f>
        <v>ok</v>
      </c>
    </row>
    <row r="24" spans="1:90" hidden="1" x14ac:dyDescent="0.3">
      <c r="A24" s="12" t="str">
        <v>P</v>
      </c>
      <c r="B24" s="12" t="str">
        <v>R</v>
      </c>
      <c r="C24" s="12">
        <v>766</v>
      </c>
      <c r="D24" s="12">
        <v>0</v>
      </c>
      <c r="E24" s="12" t="str">
        <v>13010</v>
      </c>
      <c r="F24" s="12" t="str">
        <v>C</v>
      </c>
      <c r="G24" s="12" t="str">
        <v>O</v>
      </c>
      <c r="H24" s="12" t="str">
        <v>F1</v>
      </c>
      <c r="I24" s="12" t="str">
        <v>.AS-0120026C</v>
      </c>
      <c r="J24" s="12">
        <v>1715</v>
      </c>
      <c r="K24" s="12">
        <v>1</v>
      </c>
      <c r="L24" s="12">
        <v>40000</v>
      </c>
      <c r="M24" s="12" t="str">
        <v>CALL MAR 26 SOYBEANS   1200</v>
      </c>
      <c r="N24" s="12" t="str">
        <v>.13 1/2</v>
      </c>
      <c r="O24" s="12">
        <v>20251104</v>
      </c>
      <c r="P24" s="12" t="str">
        <v/>
      </c>
      <c r="Q24" s="12">
        <v>202603</v>
      </c>
      <c r="R24" s="12" t="str">
        <v/>
      </c>
      <c r="S24" s="12" t="str">
        <v>F</v>
      </c>
      <c r="T24" s="12" t="str">
        <v>C</v>
      </c>
      <c r="U24" s="12">
        <v>1200000000</v>
      </c>
      <c r="V24" s="12">
        <v>20260220</v>
      </c>
      <c r="W24" s="12" t="str">
        <v/>
      </c>
      <c r="X24" s="12" t="str">
        <v>FUTUROS Y OPCIONES.C</v>
      </c>
      <c r="Y24" s="12" t="str">
        <v/>
      </c>
      <c r="Z24" s="12">
        <v>20251104</v>
      </c>
      <c r="AA24" s="12">
        <v>1</v>
      </c>
      <c r="AB24" s="12" t="str">
        <v>1A</v>
      </c>
      <c r="AC24" s="12" t="str">
        <v>S-</v>
      </c>
      <c r="AD24" s="12" t="str">
        <v/>
      </c>
      <c r="AE24" s="12" t="str">
        <v/>
      </c>
      <c r="AF24" s="12" t="str">
        <v>.13500000</v>
      </c>
      <c r="AG24" s="12" t="str">
        <v/>
      </c>
      <c r="AH24" s="12" t="str">
        <v/>
      </c>
      <c r="AI24" s="12" t="str">
        <v/>
      </c>
      <c r="AJ24" s="12" t="str">
        <v/>
      </c>
      <c r="AK24" s="12" t="str">
        <v/>
      </c>
      <c r="AL24" s="12">
        <v>40000</v>
      </c>
      <c r="AM24" s="12" t="str">
        <v>.0000</v>
      </c>
      <c r="AN24" s="12" t="str">
        <v>USD</v>
      </c>
      <c r="AO24" s="12">
        <v>100000</v>
      </c>
      <c r="AP24" s="12">
        <v>0</v>
      </c>
      <c r="AQ24" s="12">
        <v>1105750000</v>
      </c>
      <c r="AR24" s="12">
        <v>50000</v>
      </c>
      <c r="AS24" s="12" t="str">
        <v>5K04 EJP0</v>
      </c>
      <c r="AT24" s="12">
        <v>116171715</v>
      </c>
      <c r="AU24" s="12" t="str">
        <v>0,1320</v>
      </c>
      <c r="AV24" s="12" t="str">
        <v>S</v>
      </c>
      <c r="AW24" s="12" t="str">
        <v>CBT</v>
      </c>
      <c r="AX24" s="12" t="str">
        <v>Comdty</v>
      </c>
      <c r="AY24" s="12" t="str">
        <v>Soja</v>
      </c>
      <c r="AZ24">
        <f>IF(VLOOKUP(AY24,Conversor!B:C,2,0)="HS",0.01,VLOOKUP(AY24,Conversor!B:C,2,0))</f>
        <v>0.36742999999999998</v>
      </c>
      <c r="BA24">
        <f t="shared" si="18"/>
        <v>4</v>
      </c>
      <c r="BB24" s="42">
        <f t="shared" si="0"/>
        <v>406.28572249999996</v>
      </c>
      <c r="BC24" s="58">
        <f t="shared" si="19"/>
        <v>440.916</v>
      </c>
      <c r="BD24" s="1">
        <f>IF(OR(E24="FUTUR",E24="f20176"),0,VLOOKUP(AY24,Conversor!G:I,3,0)*BA24)</f>
        <v>544.32000000000005</v>
      </c>
      <c r="BE24" t="str">
        <f t="shared" si="20"/>
        <v>Call</v>
      </c>
      <c r="BF24" t="str">
        <f t="shared" si="21"/>
        <v>si</v>
      </c>
      <c r="BG24" t="str">
        <f t="shared" si="22"/>
        <v>C</v>
      </c>
      <c r="BH24" t="str">
        <f t="shared" si="1"/>
        <v>CC</v>
      </c>
      <c r="BI24" s="7">
        <f t="shared" si="23"/>
        <v>284.40000574999993</v>
      </c>
      <c r="BJ24" s="7">
        <f t="shared" si="23"/>
        <v>325.02857799999998</v>
      </c>
      <c r="BK24" s="7">
        <f t="shared" si="23"/>
        <v>365.65715024999997</v>
      </c>
      <c r="BL24" s="7">
        <f t="shared" si="23"/>
        <v>406.28572249999996</v>
      </c>
      <c r="BM24" s="7">
        <f t="shared" si="23"/>
        <v>446.91429475000001</v>
      </c>
      <c r="BN24" s="7">
        <f t="shared" si="23"/>
        <v>487.54286699999994</v>
      </c>
      <c r="BO24" s="7">
        <f t="shared" si="23"/>
        <v>528.17143924999993</v>
      </c>
      <c r="BP24" s="7">
        <f t="shared" si="31"/>
        <v>0</v>
      </c>
      <c r="BQ24" s="7">
        <f t="shared" si="32"/>
        <v>0</v>
      </c>
      <c r="BR24" s="7">
        <f t="shared" si="33"/>
        <v>0</v>
      </c>
      <c r="BS24" s="7">
        <f t="shared" si="34"/>
        <v>0</v>
      </c>
      <c r="BT24" s="7">
        <f t="shared" si="35"/>
        <v>0</v>
      </c>
      <c r="BU24" s="7">
        <f t="shared" si="36"/>
        <v>0</v>
      </c>
      <c r="BV24" s="7">
        <f t="shared" si="37"/>
        <v>0</v>
      </c>
      <c r="BW24" s="7">
        <f t="shared" si="38"/>
        <v>0</v>
      </c>
      <c r="BX24" s="7">
        <f t="shared" si="39"/>
        <v>0</v>
      </c>
      <c r="BY24" s="7">
        <f t="shared" si="40"/>
        <v>0</v>
      </c>
      <c r="BZ24" s="7">
        <f t="shared" si="41"/>
        <v>0</v>
      </c>
      <c r="CA24" s="7">
        <f t="shared" si="42"/>
        <v>3264.9917983200075</v>
      </c>
      <c r="CB24" s="7">
        <f t="shared" si="43"/>
        <v>25379.936245439974</v>
      </c>
      <c r="CC24" s="7">
        <f t="shared" si="44"/>
        <v>47494.880692559971</v>
      </c>
      <c r="CD24">
        <f t="shared" si="45"/>
        <v>0</v>
      </c>
      <c r="CE24">
        <f t="shared" si="46"/>
        <v>0</v>
      </c>
      <c r="CF24">
        <f t="shared" si="47"/>
        <v>0</v>
      </c>
      <c r="CG24">
        <f t="shared" si="48"/>
        <v>0</v>
      </c>
      <c r="CH24">
        <f t="shared" si="49"/>
        <v>544.32000000000005</v>
      </c>
      <c r="CI24">
        <f t="shared" si="50"/>
        <v>544.32000000000005</v>
      </c>
      <c r="CJ24">
        <f t="shared" si="51"/>
        <v>544.32000000000005</v>
      </c>
      <c r="CK24" s="6">
        <f>Tabla3[[#This Row],[Tns]]</f>
        <v>544.32000000000005</v>
      </c>
      <c r="CL24" t="str">
        <f>IF(ISERROR(VLOOKUP(VALUE(E24),'Clientes CBOT'!A:A,1,0)),"VER","ok")</f>
        <v>ok</v>
      </c>
    </row>
    <row r="25" spans="1:90" hidden="1" x14ac:dyDescent="0.3">
      <c r="A25" s="12" t="str">
        <v>P</v>
      </c>
      <c r="B25" s="12" t="str">
        <v>R</v>
      </c>
      <c r="C25" s="12">
        <v>766</v>
      </c>
      <c r="D25" s="12">
        <v>0</v>
      </c>
      <c r="E25" s="12" t="str">
        <v>20176</v>
      </c>
      <c r="F25" s="12" t="str">
        <v>C</v>
      </c>
      <c r="G25" s="12" t="str">
        <v/>
      </c>
      <c r="H25" s="12" t="str">
        <v>F1</v>
      </c>
      <c r="I25" s="12" t="str">
        <v>.AC-0000026C</v>
      </c>
      <c r="J25" s="12">
        <v>1477</v>
      </c>
      <c r="K25" s="12">
        <v>1</v>
      </c>
      <c r="L25" s="12">
        <v>920000</v>
      </c>
      <c r="M25" s="12" t="str">
        <v>MAR 26 CORN</v>
      </c>
      <c r="N25" s="12" t="str">
        <v>4.45 1/2</v>
      </c>
      <c r="O25" s="12">
        <v>20251030</v>
      </c>
      <c r="P25" s="12" t="str">
        <v/>
      </c>
      <c r="Q25" s="12">
        <v>202603</v>
      </c>
      <c r="R25" s="12" t="str">
        <v/>
      </c>
      <c r="S25" s="12" t="str">
        <v>F</v>
      </c>
      <c r="T25" s="12" t="str">
        <v/>
      </c>
      <c r="U25" s="12">
        <v>0</v>
      </c>
      <c r="V25" s="12">
        <v>0</v>
      </c>
      <c r="W25" s="12" t="str">
        <v/>
      </c>
      <c r="X25" s="12" t="str">
        <v>FYO ACOPIO SA</v>
      </c>
      <c r="Y25" s="12" t="str">
        <v/>
      </c>
      <c r="Z25" s="12">
        <v>20251030</v>
      </c>
      <c r="AA25" s="12">
        <v>1</v>
      </c>
      <c r="AB25" s="12" t="str">
        <v>1A</v>
      </c>
      <c r="AC25" s="12" t="str">
        <v>C-</v>
      </c>
      <c r="AD25" s="12" t="str">
        <v/>
      </c>
      <c r="AE25" s="12" t="str">
        <v/>
      </c>
      <c r="AF25" s="12" t="str">
        <v>4.45500000</v>
      </c>
      <c r="AG25" s="12" t="str">
        <v/>
      </c>
      <c r="AH25" s="12" t="str">
        <v/>
      </c>
      <c r="AI25" s="12" t="str">
        <v/>
      </c>
      <c r="AJ25" s="12" t="str">
        <v/>
      </c>
      <c r="AK25" s="12" t="str">
        <v/>
      </c>
      <c r="AL25" s="12">
        <v>920000</v>
      </c>
      <c r="AM25" s="12" t="str">
        <v>.0000</v>
      </c>
      <c r="AN25" s="12" t="str">
        <v>USD</v>
      </c>
      <c r="AO25" s="12">
        <v>-805000</v>
      </c>
      <c r="AP25" s="12">
        <v>443750000</v>
      </c>
      <c r="AQ25" s="12">
        <v>0</v>
      </c>
      <c r="AR25" s="12">
        <v>50000</v>
      </c>
      <c r="AS25" s="12" t="str">
        <v>5J30 PNI0</v>
      </c>
      <c r="AT25" s="12">
        <v>116141477</v>
      </c>
      <c r="AU25" s="12" t="str">
        <v>0,0000</v>
      </c>
      <c r="AV25" s="12" t="str">
        <v>C</v>
      </c>
      <c r="AW25" s="12" t="str">
        <v>CBT</v>
      </c>
      <c r="AX25" s="12" t="str">
        <v>Comdty</v>
      </c>
      <c r="AY25" s="12" t="str">
        <v>Maíz</v>
      </c>
      <c r="AZ25">
        <f>IF(VLOOKUP(AY25,Conversor!B:C,2,0)="HS",0.01,VLOOKUP(AY25,Conversor!B:C,2,0))</f>
        <v>0.39369999999999999</v>
      </c>
      <c r="BA25">
        <f t="shared" si="18"/>
        <v>92</v>
      </c>
      <c r="BB25" s="42">
        <f t="shared" si="0"/>
        <v>174.704375</v>
      </c>
      <c r="BC25" s="58">
        <f t="shared" si="19"/>
        <v>0</v>
      </c>
      <c r="BD25" s="1">
        <f>IF(OR(E25="FUTUR",E25="f20176"),0,VLOOKUP(AY25,Conversor!G:I,3,0)*BA25)</f>
        <v>11684.46</v>
      </c>
      <c r="BE25" t="str">
        <f t="shared" si="20"/>
        <v>Futuro</v>
      </c>
      <c r="BF25" t="str">
        <f t="shared" si="21"/>
        <v>no</v>
      </c>
      <c r="BG25" t="str">
        <f t="shared" si="22"/>
        <v>C</v>
      </c>
      <c r="BH25" t="str">
        <f t="shared" si="1"/>
        <v/>
      </c>
      <c r="BI25" s="7">
        <f t="shared" si="23"/>
        <v>122.29306249999999</v>
      </c>
      <c r="BJ25" s="7">
        <f t="shared" si="23"/>
        <v>139.76349999999999</v>
      </c>
      <c r="BK25" s="7">
        <f t="shared" si="23"/>
        <v>157.2339375</v>
      </c>
      <c r="BL25" s="7">
        <f t="shared" si="23"/>
        <v>174.704375</v>
      </c>
      <c r="BM25" s="7">
        <f t="shared" si="23"/>
        <v>192.1748125</v>
      </c>
      <c r="BN25" s="7">
        <f t="shared" si="23"/>
        <v>209.64525</v>
      </c>
      <c r="BO25" s="7">
        <f t="shared" si="23"/>
        <v>227.11568750000001</v>
      </c>
      <c r="BP25" s="7">
        <f t="shared" si="31"/>
        <v>-612397.8844537501</v>
      </c>
      <c r="BQ25" s="7">
        <f t="shared" si="32"/>
        <v>-408265.25630250003</v>
      </c>
      <c r="BR25" s="7">
        <f t="shared" si="33"/>
        <v>-204132.62815125001</v>
      </c>
      <c r="BS25" s="7">
        <f t="shared" si="34"/>
        <v>0</v>
      </c>
      <c r="BT25" s="7">
        <f t="shared" si="35"/>
        <v>204132.62815125001</v>
      </c>
      <c r="BU25" s="7">
        <f t="shared" si="36"/>
        <v>408265.25630250003</v>
      </c>
      <c r="BV25" s="7">
        <f t="shared" si="37"/>
        <v>612397.8844537501</v>
      </c>
      <c r="BW25" s="7">
        <f t="shared" si="38"/>
        <v>0</v>
      </c>
      <c r="BX25" s="7">
        <f t="shared" si="39"/>
        <v>0</v>
      </c>
      <c r="BY25" s="7">
        <f t="shared" si="40"/>
        <v>0</v>
      </c>
      <c r="BZ25" s="7">
        <f t="shared" si="41"/>
        <v>0</v>
      </c>
      <c r="CA25" s="7">
        <f t="shared" si="42"/>
        <v>0</v>
      </c>
      <c r="CB25" s="7">
        <f t="shared" si="43"/>
        <v>0</v>
      </c>
      <c r="CC25" s="7">
        <f t="shared" si="44"/>
        <v>0</v>
      </c>
      <c r="CD25">
        <f t="shared" si="45"/>
        <v>0</v>
      </c>
      <c r="CE25">
        <f t="shared" si="46"/>
        <v>0</v>
      </c>
      <c r="CF25">
        <f t="shared" si="47"/>
        <v>0</v>
      </c>
      <c r="CG25">
        <f t="shared" si="48"/>
        <v>0</v>
      </c>
      <c r="CH25">
        <f t="shared" si="49"/>
        <v>0</v>
      </c>
      <c r="CI25">
        <f t="shared" si="50"/>
        <v>0</v>
      </c>
      <c r="CJ25">
        <f t="shared" si="51"/>
        <v>0</v>
      </c>
      <c r="CK25" s="6">
        <f>Tabla3[[#This Row],[Tns]]</f>
        <v>11684.46</v>
      </c>
      <c r="CL25" t="str">
        <f>IF(ISERROR(VLOOKUP(VALUE(E25),'Clientes CBOT'!A:A,1,0)),"VER","ok")</f>
        <v>ok</v>
      </c>
    </row>
    <row r="26" spans="1:90" hidden="1" x14ac:dyDescent="0.3">
      <c r="A26" s="12" t="str">
        <v>P</v>
      </c>
      <c r="B26" s="12" t="str">
        <v>R</v>
      </c>
      <c r="C26" s="12">
        <v>766</v>
      </c>
      <c r="D26" s="12">
        <v>0</v>
      </c>
      <c r="E26" s="12" t="str">
        <v>20176</v>
      </c>
      <c r="F26" s="12" t="str">
        <v>C</v>
      </c>
      <c r="G26" s="12" t="str">
        <v/>
      </c>
      <c r="H26" s="12" t="str">
        <v>F1</v>
      </c>
      <c r="I26" s="12" t="str">
        <v>.AC-0000026C</v>
      </c>
      <c r="J26" s="12">
        <v>3966</v>
      </c>
      <c r="K26" s="12">
        <v>1</v>
      </c>
      <c r="L26" s="12">
        <v>950000</v>
      </c>
      <c r="M26" s="12" t="str">
        <v>MAR 26 CORN</v>
      </c>
      <c r="N26" s="12" t="str">
        <v>4.49 3/4</v>
      </c>
      <c r="O26" s="12">
        <v>20251117</v>
      </c>
      <c r="P26" s="12" t="str">
        <v/>
      </c>
      <c r="Q26" s="12">
        <v>202603</v>
      </c>
      <c r="R26" s="12" t="str">
        <v/>
      </c>
      <c r="S26" s="12" t="str">
        <v>F</v>
      </c>
      <c r="T26" s="12" t="str">
        <v/>
      </c>
      <c r="U26" s="12">
        <v>0</v>
      </c>
      <c r="V26" s="12">
        <v>0</v>
      </c>
      <c r="W26" s="12" t="str">
        <v/>
      </c>
      <c r="X26" s="12" t="str">
        <v>FYO ACOPIO SA</v>
      </c>
      <c r="Y26" s="12" t="str">
        <v/>
      </c>
      <c r="Z26" s="12">
        <v>20251117</v>
      </c>
      <c r="AA26" s="12">
        <v>1</v>
      </c>
      <c r="AB26" s="12" t="str">
        <v>1A</v>
      </c>
      <c r="AC26" s="12" t="str">
        <v>C-</v>
      </c>
      <c r="AD26" s="12" t="str">
        <v/>
      </c>
      <c r="AE26" s="12" t="str">
        <v/>
      </c>
      <c r="AF26" s="12" t="str">
        <v>4.49750000</v>
      </c>
      <c r="AG26" s="12" t="str">
        <v/>
      </c>
      <c r="AH26" s="12" t="str">
        <v/>
      </c>
      <c r="AI26" s="12" t="str">
        <v/>
      </c>
      <c r="AJ26" s="12" t="str">
        <v/>
      </c>
      <c r="AK26" s="12" t="str">
        <v/>
      </c>
      <c r="AL26" s="12">
        <v>950000</v>
      </c>
      <c r="AM26" s="12" t="str">
        <v>.0000</v>
      </c>
      <c r="AN26" s="12" t="str">
        <v>USD</v>
      </c>
      <c r="AO26" s="12">
        <v>-2850000</v>
      </c>
      <c r="AP26" s="12">
        <v>443750000</v>
      </c>
      <c r="AQ26" s="12">
        <v>0</v>
      </c>
      <c r="AR26" s="12">
        <v>50000</v>
      </c>
      <c r="AS26" s="12" t="str">
        <v>5K17 GcE0</v>
      </c>
      <c r="AT26" s="12">
        <v>116283966</v>
      </c>
      <c r="AU26" s="12" t="str">
        <v>0,0000</v>
      </c>
      <c r="AV26" s="12" t="str">
        <v>C</v>
      </c>
      <c r="AW26" s="12" t="str">
        <v>CBT</v>
      </c>
      <c r="AX26" s="12" t="str">
        <v>Comdty</v>
      </c>
      <c r="AY26" s="12" t="str">
        <v>Maíz</v>
      </c>
      <c r="AZ26">
        <f>IF(VLOOKUP(AY26,Conversor!B:C,2,0)="HS",0.01,VLOOKUP(AY26,Conversor!B:C,2,0))</f>
        <v>0.39369999999999999</v>
      </c>
      <c r="BA26">
        <f t="shared" si="18"/>
        <v>95</v>
      </c>
      <c r="BB26" s="42">
        <f t="shared" si="0"/>
        <v>174.704375</v>
      </c>
      <c r="BC26" s="58">
        <f t="shared" si="19"/>
        <v>0</v>
      </c>
      <c r="BD26" s="1">
        <f>IF(OR(E26="FUTUR",E26="f20176"),0,VLOOKUP(AY26,Conversor!G:I,3,0)*BA26)</f>
        <v>12065.475</v>
      </c>
      <c r="BE26" t="str">
        <f t="shared" si="20"/>
        <v>Futuro</v>
      </c>
      <c r="BF26" t="str">
        <f t="shared" si="21"/>
        <v>no</v>
      </c>
      <c r="BG26" t="str">
        <f t="shared" si="22"/>
        <v>C</v>
      </c>
      <c r="BH26" t="str">
        <f t="shared" si="1"/>
        <v/>
      </c>
      <c r="BI26" s="7">
        <f t="shared" si="23"/>
        <v>122.29306249999999</v>
      </c>
      <c r="BJ26" s="7">
        <f t="shared" si="23"/>
        <v>139.76349999999999</v>
      </c>
      <c r="BK26" s="7">
        <f t="shared" si="23"/>
        <v>157.2339375</v>
      </c>
      <c r="BL26" s="7">
        <f t="shared" si="23"/>
        <v>174.704375</v>
      </c>
      <c r="BM26" s="7">
        <f t="shared" si="23"/>
        <v>192.1748125</v>
      </c>
      <c r="BN26" s="7">
        <f t="shared" si="23"/>
        <v>209.64525</v>
      </c>
      <c r="BO26" s="7">
        <f t="shared" si="23"/>
        <v>227.11568750000001</v>
      </c>
      <c r="BP26" s="7">
        <f t="shared" si="31"/>
        <v>-632367.38068593759</v>
      </c>
      <c r="BQ26" s="7">
        <f t="shared" si="32"/>
        <v>-421578.25379062508</v>
      </c>
      <c r="BR26" s="7">
        <f t="shared" si="33"/>
        <v>-210789.12689531254</v>
      </c>
      <c r="BS26" s="7">
        <f t="shared" si="34"/>
        <v>0</v>
      </c>
      <c r="BT26" s="7">
        <f t="shared" si="35"/>
        <v>210789.12689531254</v>
      </c>
      <c r="BU26" s="7">
        <f t="shared" si="36"/>
        <v>421578.25379062508</v>
      </c>
      <c r="BV26" s="7">
        <f t="shared" si="37"/>
        <v>632367.38068593759</v>
      </c>
      <c r="BW26" s="7">
        <f t="shared" si="38"/>
        <v>0</v>
      </c>
      <c r="BX26" s="7">
        <f t="shared" si="39"/>
        <v>0</v>
      </c>
      <c r="BY26" s="7">
        <f t="shared" si="40"/>
        <v>0</v>
      </c>
      <c r="BZ26" s="7">
        <f t="shared" si="41"/>
        <v>0</v>
      </c>
      <c r="CA26" s="7">
        <f t="shared" si="42"/>
        <v>0</v>
      </c>
      <c r="CB26" s="7">
        <f t="shared" si="43"/>
        <v>0</v>
      </c>
      <c r="CC26" s="7">
        <f t="shared" si="44"/>
        <v>0</v>
      </c>
      <c r="CD26">
        <f t="shared" si="45"/>
        <v>0</v>
      </c>
      <c r="CE26">
        <f t="shared" si="46"/>
        <v>0</v>
      </c>
      <c r="CF26">
        <f t="shared" si="47"/>
        <v>0</v>
      </c>
      <c r="CG26">
        <f t="shared" si="48"/>
        <v>0</v>
      </c>
      <c r="CH26">
        <f t="shared" si="49"/>
        <v>0</v>
      </c>
      <c r="CI26">
        <f t="shared" si="50"/>
        <v>0</v>
      </c>
      <c r="CJ26">
        <f t="shared" si="51"/>
        <v>0</v>
      </c>
      <c r="CK26" s="6">
        <f>Tabla3[[#This Row],[Tns]]</f>
        <v>12065.475</v>
      </c>
      <c r="CL26" t="str">
        <f>IF(ISERROR(VLOOKUP(VALUE(E26),'Clientes CBOT'!A:A,1,0)),"VER","ok")</f>
        <v>ok</v>
      </c>
    </row>
    <row r="27" spans="1:90" hidden="1" x14ac:dyDescent="0.3">
      <c r="A27" s="12" t="str">
        <v>P</v>
      </c>
      <c r="B27" s="12" t="str">
        <v>R</v>
      </c>
      <c r="C27" s="12">
        <v>766</v>
      </c>
      <c r="D27" s="12">
        <v>0</v>
      </c>
      <c r="E27" s="12" t="str">
        <v>20176</v>
      </c>
      <c r="F27" s="12" t="str">
        <v>C</v>
      </c>
      <c r="G27" s="12" t="str">
        <v/>
      </c>
      <c r="H27" s="12" t="str">
        <v>F1</v>
      </c>
      <c r="I27" s="12" t="str">
        <v>.AC-0000026E</v>
      </c>
      <c r="J27" s="12">
        <v>5040</v>
      </c>
      <c r="K27" s="12">
        <v>1</v>
      </c>
      <c r="L27" s="12">
        <v>230000</v>
      </c>
      <c r="M27" s="12" t="str">
        <v>MAY 26 CORN</v>
      </c>
      <c r="N27" s="12" t="str">
        <v>4.48 1/2</v>
      </c>
      <c r="O27" s="12">
        <v>20250911</v>
      </c>
      <c r="P27" s="12" t="str">
        <v/>
      </c>
      <c r="Q27" s="12">
        <v>202605</v>
      </c>
      <c r="R27" s="12" t="str">
        <v/>
      </c>
      <c r="S27" s="12" t="str">
        <v>F</v>
      </c>
      <c r="T27" s="12" t="str">
        <v/>
      </c>
      <c r="U27" s="12">
        <v>0</v>
      </c>
      <c r="V27" s="12">
        <v>0</v>
      </c>
      <c r="W27" s="12" t="str">
        <v/>
      </c>
      <c r="X27" s="12" t="str">
        <v>FYO ACOPIO SA</v>
      </c>
      <c r="Y27" s="12" t="str">
        <v/>
      </c>
      <c r="Z27" s="12">
        <v>20250911</v>
      </c>
      <c r="AA27" s="12">
        <v>1</v>
      </c>
      <c r="AB27" s="12" t="str">
        <v>1A</v>
      </c>
      <c r="AC27" s="12" t="str">
        <v>C-</v>
      </c>
      <c r="AD27" s="12" t="str">
        <v/>
      </c>
      <c r="AE27" s="12" t="str">
        <v/>
      </c>
      <c r="AF27" s="12" t="str">
        <v>4.48500000</v>
      </c>
      <c r="AG27" s="12" t="str">
        <v/>
      </c>
      <c r="AH27" s="12" t="str">
        <v/>
      </c>
      <c r="AI27" s="12" t="str">
        <v/>
      </c>
      <c r="AJ27" s="12" t="str">
        <v/>
      </c>
      <c r="AK27" s="12" t="str">
        <v/>
      </c>
      <c r="AL27" s="12">
        <v>230000</v>
      </c>
      <c r="AM27" s="12" t="str">
        <v>.0000</v>
      </c>
      <c r="AN27" s="12" t="str">
        <v>USD</v>
      </c>
      <c r="AO27" s="12">
        <v>316250</v>
      </c>
      <c r="AP27" s="12">
        <v>451250000</v>
      </c>
      <c r="AQ27" s="12">
        <v>0</v>
      </c>
      <c r="AR27" s="12">
        <v>50000</v>
      </c>
      <c r="AS27" s="12" t="str">
        <v>5I11 EMM0</v>
      </c>
      <c r="AT27" s="12">
        <v>115755040</v>
      </c>
      <c r="AU27" s="12" t="str">
        <v>0,0000</v>
      </c>
      <c r="AV27" s="12" t="str">
        <v>C</v>
      </c>
      <c r="AW27" s="12" t="str">
        <v>CBT</v>
      </c>
      <c r="AX27" s="12" t="str">
        <v>Comdty</v>
      </c>
      <c r="AY27" s="12" t="str">
        <v>Maíz</v>
      </c>
      <c r="AZ27">
        <f>IF(VLOOKUP(AY27,Conversor!B:C,2,0)="HS",0.01,VLOOKUP(AY27,Conversor!B:C,2,0))</f>
        <v>0.39369999999999999</v>
      </c>
      <c r="BA27">
        <f t="shared" si="18"/>
        <v>23</v>
      </c>
      <c r="BB27" s="42">
        <f t="shared" si="0"/>
        <v>177.65712500000001</v>
      </c>
      <c r="BC27" s="58">
        <f t="shared" si="19"/>
        <v>0</v>
      </c>
      <c r="BD27" s="1">
        <f>IF(OR(E27="FUTUR",E27="f20176"),0,VLOOKUP(AY27,Conversor!G:I,3,0)*BA27)</f>
        <v>2921.1149999999998</v>
      </c>
      <c r="BE27" t="str">
        <f t="shared" si="20"/>
        <v>Futuro</v>
      </c>
      <c r="BF27" t="str">
        <f t="shared" si="21"/>
        <v>no</v>
      </c>
      <c r="BG27" t="str">
        <f t="shared" si="22"/>
        <v>C</v>
      </c>
      <c r="BH27" t="str">
        <f t="shared" si="1"/>
        <v/>
      </c>
      <c r="BI27" s="7">
        <f t="shared" si="23"/>
        <v>124.3599875</v>
      </c>
      <c r="BJ27" s="7">
        <f t="shared" si="23"/>
        <v>142.12570000000002</v>
      </c>
      <c r="BK27" s="7">
        <f t="shared" si="23"/>
        <v>159.8914125</v>
      </c>
      <c r="BL27" s="7">
        <f t="shared" si="23"/>
        <v>177.65712500000001</v>
      </c>
      <c r="BM27" s="7">
        <f t="shared" si="23"/>
        <v>195.42283750000001</v>
      </c>
      <c r="BN27" s="7">
        <f t="shared" si="23"/>
        <v>213.18854999999999</v>
      </c>
      <c r="BO27" s="7">
        <f t="shared" si="23"/>
        <v>230.95426250000003</v>
      </c>
      <c r="BP27" s="7">
        <f t="shared" si="31"/>
        <v>-155687.06780831251</v>
      </c>
      <c r="BQ27" s="7">
        <f t="shared" si="32"/>
        <v>-103791.37853887495</v>
      </c>
      <c r="BR27" s="7">
        <f t="shared" si="33"/>
        <v>-51895.689269437513</v>
      </c>
      <c r="BS27" s="7">
        <f t="shared" si="34"/>
        <v>0</v>
      </c>
      <c r="BT27" s="7">
        <f t="shared" si="35"/>
        <v>51895.689269437513</v>
      </c>
      <c r="BU27" s="7">
        <f t="shared" si="36"/>
        <v>103791.37853887495</v>
      </c>
      <c r="BV27" s="7">
        <f t="shared" si="37"/>
        <v>155687.06780831254</v>
      </c>
      <c r="BW27" s="7">
        <f t="shared" si="38"/>
        <v>0</v>
      </c>
      <c r="BX27" s="7">
        <f t="shared" si="39"/>
        <v>0</v>
      </c>
      <c r="BY27" s="7">
        <f t="shared" si="40"/>
        <v>0</v>
      </c>
      <c r="BZ27" s="7">
        <f t="shared" si="41"/>
        <v>0</v>
      </c>
      <c r="CA27" s="7">
        <f t="shared" si="42"/>
        <v>0</v>
      </c>
      <c r="CB27" s="7">
        <f t="shared" si="43"/>
        <v>0</v>
      </c>
      <c r="CC27" s="7">
        <f t="shared" si="44"/>
        <v>0</v>
      </c>
      <c r="CD27">
        <f t="shared" si="45"/>
        <v>0</v>
      </c>
      <c r="CE27">
        <f t="shared" si="46"/>
        <v>0</v>
      </c>
      <c r="CF27">
        <f t="shared" si="47"/>
        <v>0</v>
      </c>
      <c r="CG27">
        <f t="shared" si="48"/>
        <v>0</v>
      </c>
      <c r="CH27">
        <f t="shared" si="49"/>
        <v>0</v>
      </c>
      <c r="CI27">
        <f t="shared" si="50"/>
        <v>0</v>
      </c>
      <c r="CJ27">
        <f t="shared" si="51"/>
        <v>0</v>
      </c>
      <c r="CK27" s="6">
        <f>Tabla3[[#This Row],[Tns]]</f>
        <v>2921.1149999999998</v>
      </c>
      <c r="CL27" t="str">
        <f>IF(ISERROR(VLOOKUP(VALUE(E27),'Clientes CBOT'!A:A,1,0)),"VER","ok")</f>
        <v>ok</v>
      </c>
    </row>
    <row r="28" spans="1:90" x14ac:dyDescent="0.3">
      <c r="A28" s="12" t="str">
        <v>P</v>
      </c>
      <c r="B28" s="12" t="str">
        <v>R</v>
      </c>
      <c r="C28" s="12">
        <v>766</v>
      </c>
      <c r="D28" s="12">
        <v>0</v>
      </c>
      <c r="E28" s="12" t="str">
        <v>20176</v>
      </c>
      <c r="F28" s="12" t="str">
        <v>C</v>
      </c>
      <c r="G28" s="12" t="str">
        <v/>
      </c>
      <c r="H28" s="12" t="str">
        <v>F1</v>
      </c>
      <c r="I28" s="12" t="str">
        <v>.AC-0000026G</v>
      </c>
      <c r="J28" s="12">
        <v>4946</v>
      </c>
      <c r="K28" s="12">
        <v>1</v>
      </c>
      <c r="L28" s="12">
        <v>230000</v>
      </c>
      <c r="M28" s="12" t="str">
        <v>JUL 26 CORN</v>
      </c>
      <c r="N28" s="12" t="str">
        <v>4.57</v>
      </c>
      <c r="O28" s="12">
        <v>20251119</v>
      </c>
      <c r="P28" s="12" t="str">
        <v/>
      </c>
      <c r="Q28" s="12">
        <v>202607</v>
      </c>
      <c r="R28" s="12" t="str">
        <v/>
      </c>
      <c r="S28" s="12" t="str">
        <v>F</v>
      </c>
      <c r="T28" s="12" t="str">
        <v/>
      </c>
      <c r="U28" s="12">
        <v>0</v>
      </c>
      <c r="V28" s="12">
        <v>0</v>
      </c>
      <c r="W28" s="12" t="str">
        <v/>
      </c>
      <c r="X28" s="12" t="str">
        <v>FYO ACOPIO SA</v>
      </c>
      <c r="Y28" s="12" t="str">
        <v/>
      </c>
      <c r="Z28" s="12">
        <v>20251119</v>
      </c>
      <c r="AA28" s="12">
        <v>1</v>
      </c>
      <c r="AB28" s="12" t="str">
        <v>1A</v>
      </c>
      <c r="AC28" s="12" t="str">
        <v>C-</v>
      </c>
      <c r="AD28" s="12" t="str">
        <v/>
      </c>
      <c r="AE28" s="12" t="str">
        <v/>
      </c>
      <c r="AF28" s="12" t="str">
        <v>4.57000000</v>
      </c>
      <c r="AG28" s="12" t="str">
        <v/>
      </c>
      <c r="AH28" s="12" t="str">
        <v/>
      </c>
      <c r="AI28" s="12" t="str">
        <v/>
      </c>
      <c r="AJ28" s="12" t="str">
        <v/>
      </c>
      <c r="AK28" s="12" t="str">
        <v/>
      </c>
      <c r="AL28" s="12">
        <v>230000</v>
      </c>
      <c r="AM28" s="12" t="str">
        <v>.0000</v>
      </c>
      <c r="AN28" s="12" t="str">
        <v>USD</v>
      </c>
      <c r="AO28" s="12">
        <v>0</v>
      </c>
      <c r="AP28" s="12">
        <v>457000000</v>
      </c>
      <c r="AQ28" s="12">
        <v>0</v>
      </c>
      <c r="AR28" s="12">
        <v>50000</v>
      </c>
      <c r="AS28" s="12" t="str">
        <v>5K19 AP00</v>
      </c>
      <c r="AT28" s="12">
        <v>116304946</v>
      </c>
      <c r="AU28" s="12" t="str">
        <v>0,0000</v>
      </c>
      <c r="AV28" s="12" t="str">
        <v>C</v>
      </c>
      <c r="AW28" s="12" t="str">
        <v>CBT</v>
      </c>
      <c r="AX28" s="12" t="str">
        <v>Comdty</v>
      </c>
      <c r="AY28" s="12" t="str">
        <v>Maíz</v>
      </c>
      <c r="AZ28">
        <f>IF(VLOOKUP(AY28,Conversor!B:C,2,0)="HS",0.01,VLOOKUP(AY28,Conversor!B:C,2,0))</f>
        <v>0.39369999999999999</v>
      </c>
      <c r="BA28">
        <f t="shared" si="18"/>
        <v>23</v>
      </c>
      <c r="BB28" s="42">
        <f t="shared" si="0"/>
        <v>179.92089999999999</v>
      </c>
      <c r="BC28" s="58">
        <f t="shared" si="19"/>
        <v>0</v>
      </c>
      <c r="BD28" s="1">
        <f>IF(OR(E28="FUTUR",E28="f20176"),0,VLOOKUP(AY28,Conversor!G:I,3,0)*BA28)</f>
        <v>2921.1149999999998</v>
      </c>
      <c r="BE28" t="str">
        <f t="shared" si="20"/>
        <v>Futuro</v>
      </c>
      <c r="BF28" t="str">
        <f t="shared" si="21"/>
        <v>no</v>
      </c>
      <c r="BG28" t="str">
        <f t="shared" si="22"/>
        <v>C</v>
      </c>
      <c r="BH28" t="str">
        <f t="shared" si="1"/>
        <v/>
      </c>
      <c r="BI28" s="7">
        <f t="shared" si="23"/>
        <v>125.94462999999999</v>
      </c>
      <c r="BJ28" s="7">
        <f t="shared" si="23"/>
        <v>143.93672000000001</v>
      </c>
      <c r="BK28" s="7">
        <f t="shared" si="23"/>
        <v>161.92881</v>
      </c>
      <c r="BL28" s="7">
        <f t="shared" si="23"/>
        <v>179.92089999999999</v>
      </c>
      <c r="BM28" s="7">
        <f t="shared" si="23"/>
        <v>197.91299000000001</v>
      </c>
      <c r="BN28" s="7">
        <f t="shared" si="23"/>
        <v>215.90507999999997</v>
      </c>
      <c r="BO28" s="7">
        <f t="shared" si="23"/>
        <v>233.89716999999999</v>
      </c>
      <c r="BP28" s="7">
        <f t="shared" si="31"/>
        <v>-157670.89194104998</v>
      </c>
      <c r="BQ28" s="7">
        <f t="shared" si="32"/>
        <v>-105113.92796069993</v>
      </c>
      <c r="BR28" s="7">
        <f t="shared" si="33"/>
        <v>-52556.963980349967</v>
      </c>
      <c r="BS28" s="7">
        <f t="shared" si="34"/>
        <v>0</v>
      </c>
      <c r="BT28" s="7">
        <f t="shared" si="35"/>
        <v>52556.963980350054</v>
      </c>
      <c r="BU28" s="7">
        <f t="shared" si="36"/>
        <v>105113.92796069993</v>
      </c>
      <c r="BV28" s="7">
        <f t="shared" si="37"/>
        <v>157670.89194104998</v>
      </c>
      <c r="BW28" s="7">
        <f t="shared" si="38"/>
        <v>0</v>
      </c>
      <c r="BX28" s="7">
        <f t="shared" si="39"/>
        <v>0</v>
      </c>
      <c r="BY28" s="7">
        <f t="shared" si="40"/>
        <v>0</v>
      </c>
      <c r="BZ28" s="7">
        <f t="shared" si="41"/>
        <v>0</v>
      </c>
      <c r="CA28" s="7">
        <f t="shared" si="42"/>
        <v>0</v>
      </c>
      <c r="CB28" s="7">
        <f t="shared" si="43"/>
        <v>0</v>
      </c>
      <c r="CC28" s="7">
        <f t="shared" si="44"/>
        <v>0</v>
      </c>
      <c r="CD28">
        <f t="shared" si="45"/>
        <v>0</v>
      </c>
      <c r="CE28">
        <f t="shared" si="46"/>
        <v>0</v>
      </c>
      <c r="CF28">
        <f t="shared" si="47"/>
        <v>0</v>
      </c>
      <c r="CG28">
        <f t="shared" si="48"/>
        <v>0</v>
      </c>
      <c r="CH28">
        <f t="shared" si="49"/>
        <v>0</v>
      </c>
      <c r="CI28">
        <f t="shared" si="50"/>
        <v>0</v>
      </c>
      <c r="CJ28">
        <f t="shared" si="51"/>
        <v>0</v>
      </c>
      <c r="CK28" s="6">
        <f>Tabla3[[#This Row],[Tns]]</f>
        <v>2921.1149999999998</v>
      </c>
      <c r="CL28" t="str">
        <f>IF(ISERROR(VLOOKUP(VALUE(E28),'Clientes CBOT'!A:A,1,0)),"VER","ok")</f>
        <v>ok</v>
      </c>
    </row>
    <row r="29" spans="1:90" x14ac:dyDescent="0.3">
      <c r="A29" s="12" t="str">
        <v>P</v>
      </c>
      <c r="B29" s="12" t="str">
        <v>R</v>
      </c>
      <c r="C29" s="12">
        <v>766</v>
      </c>
      <c r="D29" s="12">
        <v>0</v>
      </c>
      <c r="E29" s="12" t="str">
        <v>20176</v>
      </c>
      <c r="F29" s="12" t="str">
        <v>C</v>
      </c>
      <c r="G29" s="12" t="str">
        <v/>
      </c>
      <c r="H29" s="12" t="str">
        <v>F1</v>
      </c>
      <c r="I29" s="12" t="str">
        <v>.AS-0000026A</v>
      </c>
      <c r="J29" s="12">
        <v>1276</v>
      </c>
      <c r="K29" s="12">
        <v>2</v>
      </c>
      <c r="L29" s="12">
        <v>370000</v>
      </c>
      <c r="M29" s="12" t="str">
        <v>JAN 26 SOYBEANS</v>
      </c>
      <c r="N29" s="12" t="str">
        <v>11.08</v>
      </c>
      <c r="O29" s="12">
        <v>20251030</v>
      </c>
      <c r="P29" s="12" t="str">
        <v/>
      </c>
      <c r="Q29" s="12">
        <v>202601</v>
      </c>
      <c r="R29" s="12" t="str">
        <v/>
      </c>
      <c r="S29" s="12" t="str">
        <v>F</v>
      </c>
      <c r="T29" s="12" t="str">
        <v/>
      </c>
      <c r="U29" s="12">
        <v>0</v>
      </c>
      <c r="V29" s="12">
        <v>0</v>
      </c>
      <c r="W29" s="12" t="str">
        <v/>
      </c>
      <c r="X29" s="12" t="str">
        <v>FYO ACOPIO SA</v>
      </c>
      <c r="Y29" s="12" t="str">
        <v/>
      </c>
      <c r="Z29" s="12">
        <v>20251030</v>
      </c>
      <c r="AA29" s="12">
        <v>1</v>
      </c>
      <c r="AB29" s="12" t="str">
        <v>1A</v>
      </c>
      <c r="AC29" s="12" t="str">
        <v>S-</v>
      </c>
      <c r="AD29" s="12" t="str">
        <v/>
      </c>
      <c r="AE29" s="12" t="str">
        <v/>
      </c>
      <c r="AF29" s="12" t="str">
        <v>11.08000000</v>
      </c>
      <c r="AG29" s="12" t="str">
        <v/>
      </c>
      <c r="AH29" s="12" t="str">
        <v/>
      </c>
      <c r="AI29" s="12" t="str">
        <v/>
      </c>
      <c r="AJ29" s="12" t="str">
        <v/>
      </c>
      <c r="AK29" s="12" t="str">
        <v/>
      </c>
      <c r="AL29" s="12">
        <v>0</v>
      </c>
      <c r="AM29" s="12" t="str">
        <v>37.0000</v>
      </c>
      <c r="AN29" s="12" t="str">
        <v>USD</v>
      </c>
      <c r="AO29" s="12">
        <v>2636250</v>
      </c>
      <c r="AP29" s="12">
        <v>1093750000</v>
      </c>
      <c r="AQ29" s="12">
        <v>0</v>
      </c>
      <c r="AR29" s="12">
        <v>50000</v>
      </c>
      <c r="AS29" s="12" t="str">
        <v>5J30 Pva0</v>
      </c>
      <c r="AT29" s="12">
        <v>116141276</v>
      </c>
      <c r="AU29" s="12" t="str">
        <v>0,0000</v>
      </c>
      <c r="AV29" s="12" t="str">
        <v>S</v>
      </c>
      <c r="AW29" s="12" t="str">
        <v>CBT</v>
      </c>
      <c r="AX29" s="12" t="str">
        <v>Comdty</v>
      </c>
      <c r="AY29" s="12" t="str">
        <v>Soja</v>
      </c>
      <c r="AZ29">
        <f>IF(VLOOKUP(AY29,Conversor!B:C,2,0)="HS",0.01,VLOOKUP(AY29,Conversor!B:C,2,0))</f>
        <v>0.36742999999999998</v>
      </c>
      <c r="BA29">
        <f t="shared" si="18"/>
        <v>-37</v>
      </c>
      <c r="BB29" s="42">
        <f t="shared" si="0"/>
        <v>401.87656249999998</v>
      </c>
      <c r="BC29" s="58">
        <f t="shared" si="19"/>
        <v>0</v>
      </c>
      <c r="BD29" s="1">
        <f>IF(OR(E29="FUTUR",E29="f20176"),0,VLOOKUP(AY29,Conversor!G:I,3,0)*BA29)</f>
        <v>-5034.96</v>
      </c>
      <c r="BE29" t="str">
        <f t="shared" si="20"/>
        <v>Futuro</v>
      </c>
      <c r="BF29" t="str">
        <f t="shared" si="21"/>
        <v>no</v>
      </c>
      <c r="BG29" t="str">
        <f t="shared" si="22"/>
        <v>V</v>
      </c>
      <c r="BH29" t="str">
        <f t="shared" si="1"/>
        <v/>
      </c>
      <c r="BI29" s="7">
        <f t="shared" si="23"/>
        <v>281.31359374999994</v>
      </c>
      <c r="BJ29" s="7">
        <f t="shared" si="23"/>
        <v>321.50125000000003</v>
      </c>
      <c r="BK29" s="7">
        <f t="shared" si="23"/>
        <v>361.68890625</v>
      </c>
      <c r="BL29" s="7">
        <f t="shared" si="23"/>
        <v>401.87656249999998</v>
      </c>
      <c r="BM29" s="7">
        <f t="shared" si="23"/>
        <v>442.06421875000001</v>
      </c>
      <c r="BN29" s="7">
        <f t="shared" si="23"/>
        <v>482.25187499999993</v>
      </c>
      <c r="BO29" s="7">
        <f t="shared" si="23"/>
        <v>522.43953124999996</v>
      </c>
      <c r="BP29" s="7">
        <f t="shared" si="31"/>
        <v>607029.72513750021</v>
      </c>
      <c r="BQ29" s="7">
        <f t="shared" si="32"/>
        <v>404686.48342499975</v>
      </c>
      <c r="BR29" s="7">
        <f t="shared" si="33"/>
        <v>202343.24171249988</v>
      </c>
      <c r="BS29" s="7">
        <f t="shared" si="34"/>
        <v>0</v>
      </c>
      <c r="BT29" s="7">
        <f t="shared" si="35"/>
        <v>-202343.24171250017</v>
      </c>
      <c r="BU29" s="7">
        <f t="shared" si="36"/>
        <v>-404686.48342499975</v>
      </c>
      <c r="BV29" s="7">
        <f t="shared" si="37"/>
        <v>-607029.72513749986</v>
      </c>
      <c r="BW29" s="7">
        <f t="shared" si="38"/>
        <v>0</v>
      </c>
      <c r="BX29" s="7">
        <f t="shared" si="39"/>
        <v>0</v>
      </c>
      <c r="BY29" s="7">
        <f t="shared" si="40"/>
        <v>0</v>
      </c>
      <c r="BZ29" s="7">
        <f t="shared" si="41"/>
        <v>0</v>
      </c>
      <c r="CA29" s="7">
        <f t="shared" si="42"/>
        <v>0</v>
      </c>
      <c r="CB29" s="7">
        <f t="shared" si="43"/>
        <v>0</v>
      </c>
      <c r="CC29" s="7">
        <f t="shared" si="44"/>
        <v>0</v>
      </c>
      <c r="CD29">
        <f t="shared" si="45"/>
        <v>0</v>
      </c>
      <c r="CE29">
        <f t="shared" si="46"/>
        <v>0</v>
      </c>
      <c r="CF29">
        <f t="shared" si="47"/>
        <v>0</v>
      </c>
      <c r="CG29">
        <f t="shared" si="48"/>
        <v>0</v>
      </c>
      <c r="CH29">
        <f t="shared" si="49"/>
        <v>0</v>
      </c>
      <c r="CI29">
        <f t="shared" si="50"/>
        <v>0</v>
      </c>
      <c r="CJ29">
        <f t="shared" si="51"/>
        <v>0</v>
      </c>
      <c r="CK29" s="6">
        <f>Tabla3[[#This Row],[Tns]]</f>
        <v>-5034.96</v>
      </c>
      <c r="CL29" t="str">
        <f>IF(ISERROR(VLOOKUP(VALUE(E29),'Clientes CBOT'!A:A,1,0)),"VER","ok")</f>
        <v>ok</v>
      </c>
    </row>
    <row r="30" spans="1:90" x14ac:dyDescent="0.3">
      <c r="A30" s="12" t="str">
        <v>P</v>
      </c>
      <c r="B30" s="12" t="str">
        <v>R</v>
      </c>
      <c r="C30" s="12">
        <v>766</v>
      </c>
      <c r="D30" s="12">
        <v>0</v>
      </c>
      <c r="E30" s="12" t="str">
        <v>20176</v>
      </c>
      <c r="F30" s="12" t="str">
        <v>C</v>
      </c>
      <c r="G30" s="12" t="str">
        <v/>
      </c>
      <c r="H30" s="12" t="str">
        <v>F1</v>
      </c>
      <c r="I30" s="12" t="str">
        <v>.AS-0000026A</v>
      </c>
      <c r="J30" s="12">
        <v>3899</v>
      </c>
      <c r="K30" s="12">
        <v>2</v>
      </c>
      <c r="L30" s="12">
        <v>370000</v>
      </c>
      <c r="M30" s="12" t="str">
        <v>JAN 26 SOYBEANS</v>
      </c>
      <c r="N30" s="12" t="str">
        <v>11.55</v>
      </c>
      <c r="O30" s="12">
        <v>20251117</v>
      </c>
      <c r="P30" s="12" t="str">
        <v/>
      </c>
      <c r="Q30" s="12">
        <v>202601</v>
      </c>
      <c r="R30" s="12" t="str">
        <v/>
      </c>
      <c r="S30" s="12" t="str">
        <v>F</v>
      </c>
      <c r="T30" s="12" t="str">
        <v/>
      </c>
      <c r="U30" s="12">
        <v>0</v>
      </c>
      <c r="V30" s="12">
        <v>0</v>
      </c>
      <c r="W30" s="12" t="str">
        <v/>
      </c>
      <c r="X30" s="12" t="str">
        <v>FYO ACOPIO SA</v>
      </c>
      <c r="Y30" s="12" t="str">
        <v/>
      </c>
      <c r="Z30" s="12">
        <v>20251117</v>
      </c>
      <c r="AA30" s="12">
        <v>1</v>
      </c>
      <c r="AB30" s="12" t="str">
        <v>1A</v>
      </c>
      <c r="AC30" s="12" t="str">
        <v>S-</v>
      </c>
      <c r="AD30" s="12" t="str">
        <v/>
      </c>
      <c r="AE30" s="12" t="str">
        <v/>
      </c>
      <c r="AF30" s="12" t="str">
        <v>11.55000000</v>
      </c>
      <c r="AG30" s="12" t="str">
        <v/>
      </c>
      <c r="AH30" s="12" t="str">
        <v/>
      </c>
      <c r="AI30" s="12" t="str">
        <v/>
      </c>
      <c r="AJ30" s="12" t="str">
        <v/>
      </c>
      <c r="AK30" s="12" t="str">
        <v/>
      </c>
      <c r="AL30" s="12">
        <v>0</v>
      </c>
      <c r="AM30" s="12" t="str">
        <v>37.0000</v>
      </c>
      <c r="AN30" s="12" t="str">
        <v>USD</v>
      </c>
      <c r="AO30" s="12">
        <v>11331250</v>
      </c>
      <c r="AP30" s="12">
        <v>1093750000</v>
      </c>
      <c r="AQ30" s="12">
        <v>0</v>
      </c>
      <c r="AR30" s="12">
        <v>50000</v>
      </c>
      <c r="AS30" s="12" t="str">
        <v>5K17 FNb0</v>
      </c>
      <c r="AT30" s="12">
        <v>116283899</v>
      </c>
      <c r="AU30" s="12" t="str">
        <v>0,0000</v>
      </c>
      <c r="AV30" s="12" t="str">
        <v>S</v>
      </c>
      <c r="AW30" s="12" t="str">
        <v>CBT</v>
      </c>
      <c r="AX30" s="12" t="str">
        <v>Comdty</v>
      </c>
      <c r="AY30" s="12" t="str">
        <v>Soja</v>
      </c>
      <c r="AZ30">
        <f>IF(VLOOKUP(AY30,Conversor!B:C,2,0)="HS",0.01,VLOOKUP(AY30,Conversor!B:C,2,0))</f>
        <v>0.36742999999999998</v>
      </c>
      <c r="BA30">
        <f t="shared" si="18"/>
        <v>-37</v>
      </c>
      <c r="BB30" s="42">
        <f t="shared" si="0"/>
        <v>401.87656249999998</v>
      </c>
      <c r="BC30" s="58">
        <f t="shared" si="19"/>
        <v>0</v>
      </c>
      <c r="BD30" s="1">
        <f>IF(OR(E30="FUTUR",E30="f20176"),0,VLOOKUP(AY30,Conversor!G:I,3,0)*BA30)</f>
        <v>-5034.96</v>
      </c>
      <c r="BE30" t="str">
        <f t="shared" si="20"/>
        <v>Futuro</v>
      </c>
      <c r="BF30" t="str">
        <f t="shared" si="21"/>
        <v>no</v>
      </c>
      <c r="BG30" t="str">
        <f t="shared" si="22"/>
        <v>V</v>
      </c>
      <c r="BH30" t="str">
        <f t="shared" si="1"/>
        <v/>
      </c>
      <c r="BI30" s="7">
        <f t="shared" si="23"/>
        <v>281.31359374999994</v>
      </c>
      <c r="BJ30" s="7">
        <f t="shared" si="23"/>
        <v>321.50125000000003</v>
      </c>
      <c r="BK30" s="7">
        <f t="shared" si="23"/>
        <v>361.68890625</v>
      </c>
      <c r="BL30" s="7">
        <f t="shared" si="23"/>
        <v>401.87656249999998</v>
      </c>
      <c r="BM30" s="7">
        <f t="shared" si="23"/>
        <v>442.06421875000001</v>
      </c>
      <c r="BN30" s="7">
        <f t="shared" si="23"/>
        <v>482.25187499999993</v>
      </c>
      <c r="BO30" s="7">
        <f t="shared" si="23"/>
        <v>522.43953124999996</v>
      </c>
      <c r="BP30" s="7">
        <f t="shared" si="31"/>
        <v>607029.72513750021</v>
      </c>
      <c r="BQ30" s="7">
        <f t="shared" si="32"/>
        <v>404686.48342499975</v>
      </c>
      <c r="BR30" s="7">
        <f t="shared" si="33"/>
        <v>202343.24171249988</v>
      </c>
      <c r="BS30" s="7">
        <f t="shared" si="34"/>
        <v>0</v>
      </c>
      <c r="BT30" s="7">
        <f t="shared" si="35"/>
        <v>-202343.24171250017</v>
      </c>
      <c r="BU30" s="7">
        <f t="shared" si="36"/>
        <v>-404686.48342499975</v>
      </c>
      <c r="BV30" s="7">
        <f t="shared" si="37"/>
        <v>-607029.72513749986</v>
      </c>
      <c r="BW30" s="7">
        <f t="shared" si="38"/>
        <v>0</v>
      </c>
      <c r="BX30" s="7">
        <f t="shared" si="39"/>
        <v>0</v>
      </c>
      <c r="BY30" s="7">
        <f t="shared" si="40"/>
        <v>0</v>
      </c>
      <c r="BZ30" s="7">
        <f t="shared" si="41"/>
        <v>0</v>
      </c>
      <c r="CA30" s="7">
        <f t="shared" si="42"/>
        <v>0</v>
      </c>
      <c r="CB30" s="7">
        <f t="shared" si="43"/>
        <v>0</v>
      </c>
      <c r="CC30" s="7">
        <f t="shared" si="44"/>
        <v>0</v>
      </c>
      <c r="CD30">
        <f t="shared" si="45"/>
        <v>0</v>
      </c>
      <c r="CE30">
        <f t="shared" si="46"/>
        <v>0</v>
      </c>
      <c r="CF30">
        <f t="shared" si="47"/>
        <v>0</v>
      </c>
      <c r="CG30">
        <f t="shared" si="48"/>
        <v>0</v>
      </c>
      <c r="CH30">
        <f t="shared" si="49"/>
        <v>0</v>
      </c>
      <c r="CI30">
        <f t="shared" si="50"/>
        <v>0</v>
      </c>
      <c r="CJ30">
        <f t="shared" si="51"/>
        <v>0</v>
      </c>
      <c r="CK30" s="6">
        <f>Tabla3[[#This Row],[Tns]]</f>
        <v>-5034.96</v>
      </c>
      <c r="CL30" t="str">
        <f>IF(ISERROR(VLOOKUP(VALUE(E30),'Clientes CBOT'!A:A,1,0)),"VER","ok")</f>
        <v>ok</v>
      </c>
    </row>
    <row r="31" spans="1:90" x14ac:dyDescent="0.3">
      <c r="A31" s="12" t="str">
        <v>P</v>
      </c>
      <c r="B31" s="12" t="str">
        <v>R</v>
      </c>
      <c r="C31" s="12">
        <v>766</v>
      </c>
      <c r="D31" s="12">
        <v>0</v>
      </c>
      <c r="E31" s="12" t="str">
        <v>20176</v>
      </c>
      <c r="F31" s="12" t="str">
        <v>C</v>
      </c>
      <c r="G31" s="12" t="str">
        <v/>
      </c>
      <c r="H31" s="12" t="str">
        <v>F1</v>
      </c>
      <c r="I31" s="12" t="str">
        <v>.AS-0000026E</v>
      </c>
      <c r="J31" s="12">
        <v>7780</v>
      </c>
      <c r="K31" s="12">
        <v>2</v>
      </c>
      <c r="L31" s="12">
        <v>200000</v>
      </c>
      <c r="M31" s="12" t="str">
        <v>MAY 26 SOYBEANS</v>
      </c>
      <c r="N31" s="12" t="str">
        <v>10.85 3/4</v>
      </c>
      <c r="O31" s="12">
        <v>20251023</v>
      </c>
      <c r="P31" s="12" t="str">
        <v/>
      </c>
      <c r="Q31" s="12">
        <v>202605</v>
      </c>
      <c r="R31" s="12" t="str">
        <v/>
      </c>
      <c r="S31" s="12" t="str">
        <v>F</v>
      </c>
      <c r="T31" s="12" t="str">
        <v/>
      </c>
      <c r="U31" s="12">
        <v>0</v>
      </c>
      <c r="V31" s="12">
        <v>0</v>
      </c>
      <c r="W31" s="12" t="str">
        <v/>
      </c>
      <c r="X31" s="12" t="str">
        <v>FYO ACOPIO SA</v>
      </c>
      <c r="Y31" s="12" t="str">
        <v/>
      </c>
      <c r="Z31" s="12">
        <v>20251023</v>
      </c>
      <c r="AA31" s="12">
        <v>1</v>
      </c>
      <c r="AB31" s="12" t="str">
        <v>1A</v>
      </c>
      <c r="AC31" s="12" t="str">
        <v>S-</v>
      </c>
      <c r="AD31" s="12" t="str">
        <v/>
      </c>
      <c r="AE31" s="12" t="str">
        <v/>
      </c>
      <c r="AF31" s="12" t="str">
        <v>10.85750000</v>
      </c>
      <c r="AG31" s="12" t="str">
        <v/>
      </c>
      <c r="AH31" s="12" t="str">
        <v/>
      </c>
      <c r="AI31" s="12" t="str">
        <v/>
      </c>
      <c r="AJ31" s="12" t="str">
        <v/>
      </c>
      <c r="AK31" s="12" t="str">
        <v/>
      </c>
      <c r="AL31" s="12">
        <v>0</v>
      </c>
      <c r="AM31" s="12" t="str">
        <v>20.0000</v>
      </c>
      <c r="AN31" s="12" t="str">
        <v>USD</v>
      </c>
      <c r="AO31" s="12">
        <v>-3100000</v>
      </c>
      <c r="AP31" s="12">
        <v>1116750000</v>
      </c>
      <c r="AQ31" s="12">
        <v>0</v>
      </c>
      <c r="AR31" s="12">
        <v>50000</v>
      </c>
      <c r="AS31" s="12" t="str">
        <v>5J23 ZMz0</v>
      </c>
      <c r="AT31" s="12">
        <v>116067780</v>
      </c>
      <c r="AU31" s="12" t="str">
        <v>0,0000</v>
      </c>
      <c r="AV31" s="12" t="str">
        <v>S</v>
      </c>
      <c r="AW31" s="12" t="str">
        <v>CBT</v>
      </c>
      <c r="AX31" s="12" t="str">
        <v>Comdty</v>
      </c>
      <c r="AY31" s="12" t="str">
        <v>Soja</v>
      </c>
      <c r="AZ31">
        <f>IF(VLOOKUP(AY31,Conversor!B:C,2,0)="HS",0.01,VLOOKUP(AY31,Conversor!B:C,2,0))</f>
        <v>0.36742999999999998</v>
      </c>
      <c r="BA31">
        <f t="shared" si="18"/>
        <v>-20</v>
      </c>
      <c r="BB31" s="42">
        <f t="shared" si="0"/>
        <v>410.32745249999999</v>
      </c>
      <c r="BC31" s="58">
        <f t="shared" si="19"/>
        <v>0</v>
      </c>
      <c r="BD31" s="1">
        <f>IF(OR(E31="FUTUR",E31="f20176"),0,VLOOKUP(AY31,Conversor!G:I,3,0)*BA31)</f>
        <v>-2721.6000000000004</v>
      </c>
      <c r="BE31" t="str">
        <f t="shared" si="20"/>
        <v>Futuro</v>
      </c>
      <c r="BF31" t="str">
        <f t="shared" si="21"/>
        <v>no</v>
      </c>
      <c r="BG31" t="str">
        <f t="shared" si="22"/>
        <v>V</v>
      </c>
      <c r="BH31" t="str">
        <f t="shared" si="1"/>
        <v/>
      </c>
      <c r="BI31" s="7">
        <f t="shared" si="23"/>
        <v>287.22921674999998</v>
      </c>
      <c r="BJ31" s="7">
        <f t="shared" si="23"/>
        <v>328.26196200000004</v>
      </c>
      <c r="BK31" s="7">
        <f t="shared" si="23"/>
        <v>369.29470724999999</v>
      </c>
      <c r="BL31" s="7">
        <f t="shared" si="23"/>
        <v>410.32745249999999</v>
      </c>
      <c r="BM31" s="7">
        <f t="shared" si="23"/>
        <v>451.36019775000005</v>
      </c>
      <c r="BN31" s="7">
        <f t="shared" si="23"/>
        <v>492.39294299999995</v>
      </c>
      <c r="BO31" s="7">
        <f t="shared" si="23"/>
        <v>533.42568825000001</v>
      </c>
      <c r="BP31" s="7">
        <f t="shared" si="31"/>
        <v>335024.15841720009</v>
      </c>
      <c r="BQ31" s="7">
        <f t="shared" si="32"/>
        <v>223349.43894479991</v>
      </c>
      <c r="BR31" s="7">
        <f t="shared" si="33"/>
        <v>111674.71947240003</v>
      </c>
      <c r="BS31" s="7">
        <f t="shared" si="34"/>
        <v>0</v>
      </c>
      <c r="BT31" s="7">
        <f t="shared" si="35"/>
        <v>-111674.71947240019</v>
      </c>
      <c r="BU31" s="7">
        <f t="shared" si="36"/>
        <v>-223349.43894479991</v>
      </c>
      <c r="BV31" s="7">
        <f t="shared" si="37"/>
        <v>-335024.15841720009</v>
      </c>
      <c r="BW31" s="7">
        <f t="shared" si="38"/>
        <v>0</v>
      </c>
      <c r="BX31" s="7">
        <f t="shared" si="39"/>
        <v>0</v>
      </c>
      <c r="BY31" s="7">
        <f t="shared" si="40"/>
        <v>0</v>
      </c>
      <c r="BZ31" s="7">
        <f t="shared" si="41"/>
        <v>0</v>
      </c>
      <c r="CA31" s="7">
        <f t="shared" si="42"/>
        <v>0</v>
      </c>
      <c r="CB31" s="7">
        <f t="shared" si="43"/>
        <v>0</v>
      </c>
      <c r="CC31" s="7">
        <f t="shared" si="44"/>
        <v>0</v>
      </c>
      <c r="CD31">
        <f t="shared" si="45"/>
        <v>0</v>
      </c>
      <c r="CE31">
        <f t="shared" si="46"/>
        <v>0</v>
      </c>
      <c r="CF31">
        <f t="shared" si="47"/>
        <v>0</v>
      </c>
      <c r="CG31">
        <f t="shared" si="48"/>
        <v>0</v>
      </c>
      <c r="CH31">
        <f t="shared" si="49"/>
        <v>0</v>
      </c>
      <c r="CI31">
        <f t="shared" si="50"/>
        <v>0</v>
      </c>
      <c r="CJ31">
        <f t="shared" si="51"/>
        <v>0</v>
      </c>
      <c r="CK31" s="6">
        <f>Tabla3[[#This Row],[Tns]]</f>
        <v>-2721.6000000000004</v>
      </c>
      <c r="CL31" t="str">
        <f>IF(ISERROR(VLOOKUP(VALUE(E31),'Clientes CBOT'!A:A,1,0)),"VER","ok")</f>
        <v>ok</v>
      </c>
    </row>
    <row r="32" spans="1:90" x14ac:dyDescent="0.3">
      <c r="A32" s="12" t="str">
        <v>P</v>
      </c>
      <c r="B32" s="12" t="str">
        <v>R</v>
      </c>
      <c r="C32" s="12">
        <v>766</v>
      </c>
      <c r="D32" s="12">
        <v>0</v>
      </c>
      <c r="E32" s="12" t="str">
        <v>20176</v>
      </c>
      <c r="F32" s="12" t="str">
        <v>C</v>
      </c>
      <c r="G32" s="12" t="str">
        <v/>
      </c>
      <c r="H32" s="12" t="str">
        <v>F1</v>
      </c>
      <c r="I32" s="12" t="str">
        <v>.AS-0000026E</v>
      </c>
      <c r="J32" s="12">
        <v>8107</v>
      </c>
      <c r="K32" s="12">
        <v>2</v>
      </c>
      <c r="L32" s="12">
        <v>450000</v>
      </c>
      <c r="M32" s="12" t="str">
        <v>MAY 26 SOYBEANS</v>
      </c>
      <c r="N32" s="12" t="str">
        <v>10.87</v>
      </c>
      <c r="O32" s="12">
        <v>20251023</v>
      </c>
      <c r="P32" s="12" t="str">
        <v/>
      </c>
      <c r="Q32" s="12">
        <v>202605</v>
      </c>
      <c r="R32" s="12" t="str">
        <v/>
      </c>
      <c r="S32" s="12" t="str">
        <v>F</v>
      </c>
      <c r="T32" s="12" t="str">
        <v/>
      </c>
      <c r="U32" s="12">
        <v>0</v>
      </c>
      <c r="V32" s="12">
        <v>0</v>
      </c>
      <c r="W32" s="12" t="str">
        <v/>
      </c>
      <c r="X32" s="12" t="str">
        <v>FYO ACOPIO SA</v>
      </c>
      <c r="Y32" s="12" t="str">
        <v/>
      </c>
      <c r="Z32" s="12">
        <v>20251023</v>
      </c>
      <c r="AA32" s="12">
        <v>1</v>
      </c>
      <c r="AB32" s="12" t="str">
        <v>1A</v>
      </c>
      <c r="AC32" s="12" t="str">
        <v>S-</v>
      </c>
      <c r="AD32" s="12" t="str">
        <v/>
      </c>
      <c r="AE32" s="12" t="str">
        <v/>
      </c>
      <c r="AF32" s="12" t="str">
        <v>10.87000000</v>
      </c>
      <c r="AG32" s="12" t="str">
        <v/>
      </c>
      <c r="AH32" s="12" t="str">
        <v/>
      </c>
      <c r="AI32" s="12" t="str">
        <v/>
      </c>
      <c r="AJ32" s="12" t="str">
        <v/>
      </c>
      <c r="AK32" s="12" t="str">
        <v/>
      </c>
      <c r="AL32" s="12">
        <v>0</v>
      </c>
      <c r="AM32" s="12" t="str">
        <v>45.0000</v>
      </c>
      <c r="AN32" s="12" t="str">
        <v>USD</v>
      </c>
      <c r="AO32" s="12">
        <v>-6693750</v>
      </c>
      <c r="AP32" s="12">
        <v>1116750000</v>
      </c>
      <c r="AQ32" s="12">
        <v>0</v>
      </c>
      <c r="AR32" s="12">
        <v>50000</v>
      </c>
      <c r="AS32" s="12" t="str">
        <v>5J23 0qs0</v>
      </c>
      <c r="AT32" s="12">
        <v>116068107</v>
      </c>
      <c r="AU32" s="12" t="str">
        <v>0,0000</v>
      </c>
      <c r="AV32" s="12" t="str">
        <v>S</v>
      </c>
      <c r="AW32" s="12" t="str">
        <v>CBT</v>
      </c>
      <c r="AX32" s="12" t="str">
        <v>Comdty</v>
      </c>
      <c r="AY32" s="12" t="str">
        <v>Soja</v>
      </c>
      <c r="AZ32">
        <f>IF(VLOOKUP(AY32,Conversor!B:C,2,0)="HS",0.01,VLOOKUP(AY32,Conversor!B:C,2,0))</f>
        <v>0.36742999999999998</v>
      </c>
      <c r="BA32">
        <f t="shared" si="18"/>
        <v>-45</v>
      </c>
      <c r="BB32" s="42">
        <f t="shared" si="0"/>
        <v>410.32745249999999</v>
      </c>
      <c r="BC32" s="58">
        <f t="shared" si="19"/>
        <v>0</v>
      </c>
      <c r="BD32" s="1">
        <f>IF(OR(E32="FUTUR",E32="f20176"),0,VLOOKUP(AY32,Conversor!G:I,3,0)*BA32)</f>
        <v>-6123.6</v>
      </c>
      <c r="BE32" t="str">
        <f t="shared" si="20"/>
        <v>Futuro</v>
      </c>
      <c r="BF32" t="str">
        <f t="shared" si="21"/>
        <v>no</v>
      </c>
      <c r="BG32" t="str">
        <f t="shared" si="22"/>
        <v>V</v>
      </c>
      <c r="BH32" t="str">
        <f t="shared" si="1"/>
        <v/>
      </c>
      <c r="BI32" s="7">
        <f t="shared" si="23"/>
        <v>287.22921674999998</v>
      </c>
      <c r="BJ32" s="7">
        <f t="shared" si="23"/>
        <v>328.26196200000004</v>
      </c>
      <c r="BK32" s="7">
        <f t="shared" si="23"/>
        <v>369.29470724999999</v>
      </c>
      <c r="BL32" s="7">
        <f t="shared" si="23"/>
        <v>410.32745249999999</v>
      </c>
      <c r="BM32" s="7">
        <f t="shared" si="23"/>
        <v>451.36019775000005</v>
      </c>
      <c r="BN32" s="7">
        <f t="shared" si="23"/>
        <v>492.39294299999995</v>
      </c>
      <c r="BO32" s="7">
        <f t="shared" si="23"/>
        <v>533.42568825000001</v>
      </c>
      <c r="BP32" s="7">
        <f t="shared" si="31"/>
        <v>753804.35643870011</v>
      </c>
      <c r="BQ32" s="7">
        <f t="shared" si="32"/>
        <v>502536.23762579972</v>
      </c>
      <c r="BR32" s="7">
        <f t="shared" si="33"/>
        <v>251268.11881290004</v>
      </c>
      <c r="BS32" s="7">
        <f t="shared" si="34"/>
        <v>0</v>
      </c>
      <c r="BT32" s="7">
        <f t="shared" si="35"/>
        <v>-251268.11881290039</v>
      </c>
      <c r="BU32" s="7">
        <f t="shared" si="36"/>
        <v>-502536.23762579972</v>
      </c>
      <c r="BV32" s="7">
        <f t="shared" si="37"/>
        <v>-753804.35643870011</v>
      </c>
      <c r="BW32" s="7">
        <f t="shared" si="38"/>
        <v>0</v>
      </c>
      <c r="BX32" s="7">
        <f t="shared" si="39"/>
        <v>0</v>
      </c>
      <c r="BY32" s="7">
        <f t="shared" si="40"/>
        <v>0</v>
      </c>
      <c r="BZ32" s="7">
        <f t="shared" si="41"/>
        <v>0</v>
      </c>
      <c r="CA32" s="7">
        <f t="shared" si="42"/>
        <v>0</v>
      </c>
      <c r="CB32" s="7">
        <f t="shared" si="43"/>
        <v>0</v>
      </c>
      <c r="CC32" s="7">
        <f t="shared" si="44"/>
        <v>0</v>
      </c>
      <c r="CD32">
        <f t="shared" si="45"/>
        <v>0</v>
      </c>
      <c r="CE32">
        <f t="shared" si="46"/>
        <v>0</v>
      </c>
      <c r="CF32">
        <f t="shared" si="47"/>
        <v>0</v>
      </c>
      <c r="CG32">
        <f t="shared" si="48"/>
        <v>0</v>
      </c>
      <c r="CH32">
        <f t="shared" si="49"/>
        <v>0</v>
      </c>
      <c r="CI32">
        <f t="shared" si="50"/>
        <v>0</v>
      </c>
      <c r="CJ32">
        <f t="shared" si="51"/>
        <v>0</v>
      </c>
      <c r="CK32" s="6">
        <f>Tabla3[[#This Row],[Tns]]</f>
        <v>-6123.6</v>
      </c>
      <c r="CL32" t="str">
        <f>IF(ISERROR(VLOOKUP(VALUE(E32),'Clientes CBOT'!A:A,1,0)),"VER","ok")</f>
        <v>ok</v>
      </c>
    </row>
    <row r="33" spans="1:90" x14ac:dyDescent="0.3">
      <c r="A33" s="12" t="str">
        <v>P</v>
      </c>
      <c r="B33" s="12" t="str">
        <v>R</v>
      </c>
      <c r="C33" s="12">
        <v>766</v>
      </c>
      <c r="D33" s="12">
        <v>0</v>
      </c>
      <c r="E33" s="12" t="str">
        <v>20176</v>
      </c>
      <c r="F33" s="12" t="str">
        <v>C</v>
      </c>
      <c r="G33" s="12" t="str">
        <v/>
      </c>
      <c r="H33" s="12" t="str">
        <v>F1</v>
      </c>
      <c r="I33" s="12" t="str">
        <v>.AS-0000026E</v>
      </c>
      <c r="J33" s="12">
        <v>7453</v>
      </c>
      <c r="K33" s="12">
        <v>2</v>
      </c>
      <c r="L33" s="12">
        <v>120000</v>
      </c>
      <c r="M33" s="12" t="str">
        <v>MAY 26 SOYBEANS</v>
      </c>
      <c r="N33" s="12" t="str">
        <v>10.86 1/2</v>
      </c>
      <c r="O33" s="12">
        <v>20251024</v>
      </c>
      <c r="P33" s="12" t="str">
        <v/>
      </c>
      <c r="Q33" s="12">
        <v>202605</v>
      </c>
      <c r="R33" s="12" t="str">
        <v/>
      </c>
      <c r="S33" s="12" t="str">
        <v>F</v>
      </c>
      <c r="T33" s="12" t="str">
        <v/>
      </c>
      <c r="U33" s="12">
        <v>0</v>
      </c>
      <c r="V33" s="12">
        <v>0</v>
      </c>
      <c r="W33" s="12" t="str">
        <v/>
      </c>
      <c r="X33" s="12" t="str">
        <v>FYO ACOPIO SA</v>
      </c>
      <c r="Y33" s="12" t="str">
        <v/>
      </c>
      <c r="Z33" s="12">
        <v>20251024</v>
      </c>
      <c r="AA33" s="12">
        <v>1</v>
      </c>
      <c r="AB33" s="12" t="str">
        <v>1A</v>
      </c>
      <c r="AC33" s="12" t="str">
        <v>S-</v>
      </c>
      <c r="AD33" s="12" t="str">
        <v/>
      </c>
      <c r="AE33" s="12" t="str">
        <v/>
      </c>
      <c r="AF33" s="12" t="str">
        <v>10.86500000</v>
      </c>
      <c r="AG33" s="12" t="str">
        <v/>
      </c>
      <c r="AH33" s="12" t="str">
        <v/>
      </c>
      <c r="AI33" s="12" t="str">
        <v/>
      </c>
      <c r="AJ33" s="12" t="str">
        <v/>
      </c>
      <c r="AK33" s="12" t="str">
        <v/>
      </c>
      <c r="AL33" s="12">
        <v>0</v>
      </c>
      <c r="AM33" s="12" t="str">
        <v>12.0000</v>
      </c>
      <c r="AN33" s="12" t="str">
        <v>USD</v>
      </c>
      <c r="AO33" s="12">
        <v>-1815000</v>
      </c>
      <c r="AP33" s="12">
        <v>1116750000</v>
      </c>
      <c r="AQ33" s="12">
        <v>0</v>
      </c>
      <c r="AR33" s="12">
        <v>50000</v>
      </c>
      <c r="AS33" s="12" t="str">
        <v>5J24 JnG0</v>
      </c>
      <c r="AT33" s="12">
        <v>116077453</v>
      </c>
      <c r="AU33" s="12" t="str">
        <v>0,0000</v>
      </c>
      <c r="AV33" s="12" t="str">
        <v>S</v>
      </c>
      <c r="AW33" s="12" t="str">
        <v>CBT</v>
      </c>
      <c r="AX33" s="12" t="str">
        <v>Comdty</v>
      </c>
      <c r="AY33" s="12" t="str">
        <v>Soja</v>
      </c>
      <c r="AZ33">
        <f>IF(VLOOKUP(AY33,Conversor!B:C,2,0)="HS",0.01,VLOOKUP(AY33,Conversor!B:C,2,0))</f>
        <v>0.36742999999999998</v>
      </c>
      <c r="BA33">
        <f t="shared" si="18"/>
        <v>-12</v>
      </c>
      <c r="BB33" s="42">
        <f t="shared" si="0"/>
        <v>410.32745249999999</v>
      </c>
      <c r="BC33" s="58">
        <f t="shared" si="19"/>
        <v>0</v>
      </c>
      <c r="BD33" s="1">
        <f>IF(OR(E33="FUTUR",E33="f20176"),0,VLOOKUP(AY33,Conversor!G:I,3,0)*BA33)</f>
        <v>-1632.96</v>
      </c>
      <c r="BE33" t="str">
        <f t="shared" si="20"/>
        <v>Futuro</v>
      </c>
      <c r="BF33" t="str">
        <f t="shared" si="21"/>
        <v>no</v>
      </c>
      <c r="BG33" t="str">
        <f t="shared" si="22"/>
        <v>V</v>
      </c>
      <c r="BH33" t="str">
        <f t="shared" si="1"/>
        <v/>
      </c>
      <c r="BI33" s="7">
        <f t="shared" si="23"/>
        <v>287.22921674999998</v>
      </c>
      <c r="BJ33" s="7">
        <f t="shared" si="23"/>
        <v>328.26196200000004</v>
      </c>
      <c r="BK33" s="7">
        <f t="shared" si="23"/>
        <v>369.29470724999999</v>
      </c>
      <c r="BL33" s="7">
        <f t="shared" si="23"/>
        <v>410.32745249999999</v>
      </c>
      <c r="BM33" s="7">
        <f t="shared" si="23"/>
        <v>451.36019775000005</v>
      </c>
      <c r="BN33" s="7">
        <f t="shared" si="23"/>
        <v>492.39294299999995</v>
      </c>
      <c r="BO33" s="7">
        <f t="shared" si="23"/>
        <v>533.42568825000001</v>
      </c>
      <c r="BP33" s="7">
        <f t="shared" si="24"/>
        <v>201014.49505032002</v>
      </c>
      <c r="BQ33" s="7">
        <f t="shared" si="25"/>
        <v>134009.66336687992</v>
      </c>
      <c r="BR33" s="7">
        <f t="shared" si="26"/>
        <v>67004.831683440003</v>
      </c>
      <c r="BS33" s="7">
        <f t="shared" si="27"/>
        <v>0</v>
      </c>
      <c r="BT33" s="7">
        <f t="shared" si="28"/>
        <v>-67004.831683440105</v>
      </c>
      <c r="BU33" s="7">
        <f t="shared" si="29"/>
        <v>-134009.66336687992</v>
      </c>
      <c r="BV33" s="7">
        <f t="shared" si="30"/>
        <v>-201014.49505032002</v>
      </c>
      <c r="BW33" s="7">
        <f t="shared" si="4"/>
        <v>0</v>
      </c>
      <c r="BX33" s="7">
        <f t="shared" si="5"/>
        <v>0</v>
      </c>
      <c r="BY33" s="7">
        <f t="shared" si="6"/>
        <v>0</v>
      </c>
      <c r="BZ33" s="7">
        <f t="shared" si="7"/>
        <v>0</v>
      </c>
      <c r="CA33" s="7">
        <f t="shared" si="8"/>
        <v>0</v>
      </c>
      <c r="CB33" s="7">
        <f t="shared" si="9"/>
        <v>0</v>
      </c>
      <c r="CC33" s="7">
        <f t="shared" si="10"/>
        <v>0</v>
      </c>
      <c r="CD33">
        <f t="shared" si="11"/>
        <v>0</v>
      </c>
      <c r="CE33">
        <f t="shared" si="12"/>
        <v>0</v>
      </c>
      <c r="CF33">
        <f t="shared" si="13"/>
        <v>0</v>
      </c>
      <c r="CG33">
        <f t="shared" si="14"/>
        <v>0</v>
      </c>
      <c r="CH33">
        <f t="shared" si="15"/>
        <v>0</v>
      </c>
      <c r="CI33">
        <f t="shared" si="16"/>
        <v>0</v>
      </c>
      <c r="CJ33">
        <f t="shared" si="17"/>
        <v>0</v>
      </c>
      <c r="CK33" s="6">
        <f>Tabla3[[#This Row],[Tns]]</f>
        <v>-1632.96</v>
      </c>
      <c r="CL33" t="str">
        <f>IF(ISERROR(VLOOKUP(VALUE(E33),'Clientes CBOT'!A:A,1,0)),"VER","ok")</f>
        <v>ok</v>
      </c>
    </row>
    <row r="34" spans="1:90" x14ac:dyDescent="0.3">
      <c r="A34" s="12" t="str">
        <v>P</v>
      </c>
      <c r="B34" s="12" t="str">
        <v>R</v>
      </c>
      <c r="C34" s="12">
        <v>766</v>
      </c>
      <c r="D34" s="12">
        <v>0</v>
      </c>
      <c r="E34" s="12" t="str">
        <v>20176</v>
      </c>
      <c r="F34" s="12" t="str">
        <v>C</v>
      </c>
      <c r="G34" s="12" t="str">
        <v/>
      </c>
      <c r="H34" s="12" t="str">
        <v>F1</v>
      </c>
      <c r="I34" s="12" t="str">
        <v>.AS-0000026E</v>
      </c>
      <c r="J34" s="12">
        <v>5595</v>
      </c>
      <c r="K34" s="12">
        <v>2</v>
      </c>
      <c r="L34" s="12">
        <v>40000</v>
      </c>
      <c r="M34" s="12" t="str">
        <v>MAY 26 SOYBEANS</v>
      </c>
      <c r="N34" s="12" t="str">
        <v>10.87</v>
      </c>
      <c r="O34" s="12">
        <v>20251024</v>
      </c>
      <c r="P34" s="12" t="str">
        <v/>
      </c>
      <c r="Q34" s="12">
        <v>202605</v>
      </c>
      <c r="R34" s="12" t="str">
        <v/>
      </c>
      <c r="S34" s="12" t="str">
        <v>F</v>
      </c>
      <c r="T34" s="12" t="str">
        <v/>
      </c>
      <c r="U34" s="12">
        <v>0</v>
      </c>
      <c r="V34" s="12">
        <v>0</v>
      </c>
      <c r="W34" s="12" t="str">
        <v/>
      </c>
      <c r="X34" s="12" t="str">
        <v>FYO ACOPIO SA</v>
      </c>
      <c r="Y34" s="12" t="str">
        <v/>
      </c>
      <c r="Z34" s="12">
        <v>20251024</v>
      </c>
      <c r="AA34" s="12">
        <v>1</v>
      </c>
      <c r="AB34" s="12" t="str">
        <v>1A</v>
      </c>
      <c r="AC34" s="12" t="str">
        <v>S-</v>
      </c>
      <c r="AD34" s="12" t="str">
        <v/>
      </c>
      <c r="AE34" s="12" t="str">
        <v/>
      </c>
      <c r="AF34" s="12" t="str">
        <v>10.87000000</v>
      </c>
      <c r="AG34" s="12" t="str">
        <v/>
      </c>
      <c r="AH34" s="12" t="str">
        <v/>
      </c>
      <c r="AI34" s="12" t="str">
        <v/>
      </c>
      <c r="AJ34" s="12" t="str">
        <v/>
      </c>
      <c r="AK34" s="12" t="str">
        <v/>
      </c>
      <c r="AL34" s="12">
        <v>0</v>
      </c>
      <c r="AM34" s="12" t="str">
        <v>4.0000</v>
      </c>
      <c r="AN34" s="12" t="str">
        <v>USD</v>
      </c>
      <c r="AO34" s="98">
        <v>-595000</v>
      </c>
      <c r="AP34" s="12">
        <v>1116750000</v>
      </c>
      <c r="AQ34" s="12">
        <v>0</v>
      </c>
      <c r="AR34" s="12">
        <v>50000</v>
      </c>
      <c r="AS34" s="12" t="str">
        <v>5J24 Es50</v>
      </c>
      <c r="AT34" s="12">
        <v>116075595</v>
      </c>
      <c r="AU34" s="12" t="str">
        <v>0,0000</v>
      </c>
      <c r="AV34" s="12" t="str">
        <v>S</v>
      </c>
      <c r="AW34" s="12" t="str">
        <v>CBT</v>
      </c>
      <c r="AX34" s="12" t="str">
        <v>Comdty</v>
      </c>
      <c r="AY34" s="12" t="str">
        <v>Soja</v>
      </c>
      <c r="AZ34">
        <f>IF(VLOOKUP(AY34,Conversor!B:C,2,0)="HS",0.01,VLOOKUP(AY34,Conversor!B:C,2,0))</f>
        <v>0.36742999999999998</v>
      </c>
      <c r="BA34">
        <f t="shared" si="18"/>
        <v>-4</v>
      </c>
      <c r="BB34" s="42">
        <f t="shared" si="0"/>
        <v>410.32745249999999</v>
      </c>
      <c r="BC34" s="58">
        <f t="shared" si="19"/>
        <v>0</v>
      </c>
      <c r="BD34" s="1">
        <f>IF(OR(E34="FUTUR",E34="f20176"),0,VLOOKUP(AY34,Conversor!G:I,3,0)*BA34)</f>
        <v>-544.32000000000005</v>
      </c>
      <c r="BE34" t="str">
        <f t="shared" si="20"/>
        <v>Futuro</v>
      </c>
      <c r="BF34" t="str">
        <f t="shared" si="21"/>
        <v>no</v>
      </c>
      <c r="BG34" t="str">
        <f t="shared" si="22"/>
        <v>V</v>
      </c>
      <c r="BH34" t="str">
        <f t="shared" si="1"/>
        <v/>
      </c>
      <c r="BI34" s="7">
        <f t="shared" si="23"/>
        <v>287.22921674999998</v>
      </c>
      <c r="BJ34" s="7">
        <f t="shared" si="23"/>
        <v>328.26196200000004</v>
      </c>
      <c r="BK34" s="7">
        <f t="shared" si="23"/>
        <v>369.29470724999999</v>
      </c>
      <c r="BL34" s="7">
        <f t="shared" si="23"/>
        <v>410.32745249999999</v>
      </c>
      <c r="BM34" s="7">
        <f t="shared" si="23"/>
        <v>451.36019775000005</v>
      </c>
      <c r="BN34" s="7">
        <f t="shared" si="23"/>
        <v>492.39294299999995</v>
      </c>
      <c r="BO34" s="7">
        <f t="shared" si="23"/>
        <v>533.42568825000001</v>
      </c>
      <c r="BP34" s="7">
        <f t="shared" si="24"/>
        <v>67004.831683440018</v>
      </c>
      <c r="BQ34" s="7">
        <f t="shared" si="25"/>
        <v>44669.887788959975</v>
      </c>
      <c r="BR34" s="7">
        <f t="shared" si="26"/>
        <v>22334.943894480006</v>
      </c>
      <c r="BS34" s="7">
        <f t="shared" si="27"/>
        <v>0</v>
      </c>
      <c r="BT34" s="7">
        <f t="shared" si="28"/>
        <v>-22334.943894480035</v>
      </c>
      <c r="BU34" s="7">
        <f t="shared" si="29"/>
        <v>-44669.887788959975</v>
      </c>
      <c r="BV34" s="7">
        <f t="shared" si="30"/>
        <v>-67004.831683440018</v>
      </c>
      <c r="BW34" s="7">
        <f t="shared" si="4"/>
        <v>0</v>
      </c>
      <c r="BX34" s="7">
        <f t="shared" si="5"/>
        <v>0</v>
      </c>
      <c r="BY34" s="7">
        <f t="shared" si="6"/>
        <v>0</v>
      </c>
      <c r="BZ34" s="7">
        <f t="shared" si="7"/>
        <v>0</v>
      </c>
      <c r="CA34" s="7">
        <f t="shared" si="8"/>
        <v>0</v>
      </c>
      <c r="CB34" s="7">
        <f t="shared" si="9"/>
        <v>0</v>
      </c>
      <c r="CC34" s="7">
        <f t="shared" si="10"/>
        <v>0</v>
      </c>
      <c r="CD34">
        <f t="shared" si="11"/>
        <v>0</v>
      </c>
      <c r="CE34">
        <f t="shared" si="12"/>
        <v>0</v>
      </c>
      <c r="CF34">
        <f t="shared" si="13"/>
        <v>0</v>
      </c>
      <c r="CG34">
        <f t="shared" si="14"/>
        <v>0</v>
      </c>
      <c r="CH34">
        <f t="shared" si="15"/>
        <v>0</v>
      </c>
      <c r="CI34">
        <f t="shared" si="16"/>
        <v>0</v>
      </c>
      <c r="CJ34">
        <f t="shared" si="17"/>
        <v>0</v>
      </c>
      <c r="CK34" s="6">
        <f>Tabla3[[#This Row],[Tns]]</f>
        <v>-544.32000000000005</v>
      </c>
      <c r="CL34" t="str">
        <f>IF(ISERROR(VLOOKUP(VALUE(E34),'Clientes CBOT'!A:A,1,0)),"VER","ok")</f>
        <v>ok</v>
      </c>
    </row>
    <row r="35" spans="1:90" x14ac:dyDescent="0.3">
      <c r="A35" s="12" t="str">
        <v>P</v>
      </c>
      <c r="B35" s="12" t="str">
        <v>R</v>
      </c>
      <c r="C35" s="12">
        <v>766</v>
      </c>
      <c r="D35" s="12">
        <v>0</v>
      </c>
      <c r="E35" s="12" t="str">
        <v>20176</v>
      </c>
      <c r="F35" s="12" t="str">
        <v>C</v>
      </c>
      <c r="G35" s="12" t="str">
        <v/>
      </c>
      <c r="H35" s="12" t="str">
        <v>F1</v>
      </c>
      <c r="I35" s="12" t="str">
        <v>.AS-0000026E</v>
      </c>
      <c r="J35" s="12">
        <v>6142</v>
      </c>
      <c r="K35" s="12">
        <v>2</v>
      </c>
      <c r="L35" s="12">
        <v>180000</v>
      </c>
      <c r="M35" s="12" t="str">
        <v>MAY 26 SOYBEANS</v>
      </c>
      <c r="N35" s="12" t="str">
        <v>11.09</v>
      </c>
      <c r="O35" s="12">
        <v>20251027</v>
      </c>
      <c r="P35" s="12" t="str">
        <v/>
      </c>
      <c r="Q35" s="12">
        <v>202605</v>
      </c>
      <c r="R35" s="12" t="str">
        <v/>
      </c>
      <c r="S35" s="12" t="str">
        <v>F</v>
      </c>
      <c r="T35" s="12" t="str">
        <v/>
      </c>
      <c r="U35" s="12">
        <v>0</v>
      </c>
      <c r="V35" s="12">
        <v>0</v>
      </c>
      <c r="W35" s="12" t="str">
        <v/>
      </c>
      <c r="X35" s="12" t="str">
        <v>FYO ACOPIO SA</v>
      </c>
      <c r="Y35" s="12" t="str">
        <v/>
      </c>
      <c r="Z35" s="12">
        <v>20251027</v>
      </c>
      <c r="AA35" s="12">
        <v>1</v>
      </c>
      <c r="AB35" s="12" t="str">
        <v>1A</v>
      </c>
      <c r="AC35" s="12" t="str">
        <v>S-</v>
      </c>
      <c r="AD35" s="12" t="str">
        <v/>
      </c>
      <c r="AE35" s="12" t="str">
        <v/>
      </c>
      <c r="AF35" s="12" t="str">
        <v>11.09000000</v>
      </c>
      <c r="AG35" s="12" t="str">
        <v/>
      </c>
      <c r="AH35" s="12" t="str">
        <v/>
      </c>
      <c r="AI35" s="12" t="str">
        <v/>
      </c>
      <c r="AJ35" s="12" t="str">
        <v/>
      </c>
      <c r="AK35" s="12" t="str">
        <v/>
      </c>
      <c r="AL35" s="12">
        <v>0</v>
      </c>
      <c r="AM35" s="12" t="str">
        <v>18.0000</v>
      </c>
      <c r="AN35" s="12" t="str">
        <v>USD</v>
      </c>
      <c r="AO35" s="98">
        <v>-697500</v>
      </c>
      <c r="AP35" s="12">
        <v>1116750000</v>
      </c>
      <c r="AQ35" s="12">
        <v>0</v>
      </c>
      <c r="AR35" s="12">
        <v>50000</v>
      </c>
      <c r="AS35" s="12" t="str">
        <v>5J27 Q8g0</v>
      </c>
      <c r="AT35" s="12">
        <v>116096142</v>
      </c>
      <c r="AU35" s="12" t="str">
        <v>0,0000</v>
      </c>
      <c r="AV35" s="12" t="str">
        <v>S</v>
      </c>
      <c r="AW35" s="12" t="str">
        <v>CBT</v>
      </c>
      <c r="AX35" s="12" t="str">
        <v>Comdty</v>
      </c>
      <c r="AY35" s="12" t="str">
        <v>Soja</v>
      </c>
      <c r="AZ35">
        <f>IF(VLOOKUP(AY35,Conversor!B:C,2,0)="HS",0.01,VLOOKUP(AY35,Conversor!B:C,2,0))</f>
        <v>0.36742999999999998</v>
      </c>
      <c r="BA35">
        <f t="shared" si="18"/>
        <v>-18</v>
      </c>
      <c r="BB35" s="42">
        <f t="shared" ref="BB35:BB51" si="52">IF(AQ35=0,AP35/1000000*AZ35,AQ35/1000000*AZ35)</f>
        <v>410.32745249999999</v>
      </c>
      <c r="BC35" s="58">
        <f t="shared" si="19"/>
        <v>0</v>
      </c>
      <c r="BD35" s="1">
        <f>IF(OR(E35="FUTUR",E35="f20176"),0,VLOOKUP(AY35,Conversor!G:I,3,0)*BA35)</f>
        <v>-2449.44</v>
      </c>
      <c r="BE35" t="str">
        <f t="shared" si="20"/>
        <v>Futuro</v>
      </c>
      <c r="BF35" t="str">
        <f t="shared" si="21"/>
        <v>no</v>
      </c>
      <c r="BG35" t="str">
        <f t="shared" si="22"/>
        <v>V</v>
      </c>
      <c r="BH35" t="str">
        <f t="shared" si="1"/>
        <v/>
      </c>
      <c r="BI35" s="7">
        <f t="shared" si="23"/>
        <v>287.22921674999998</v>
      </c>
      <c r="BJ35" s="7">
        <f t="shared" si="23"/>
        <v>328.26196200000004</v>
      </c>
      <c r="BK35" s="7">
        <f t="shared" si="23"/>
        <v>369.29470724999999</v>
      </c>
      <c r="BL35" s="7">
        <f t="shared" si="23"/>
        <v>410.32745249999999</v>
      </c>
      <c r="BM35" s="7">
        <f t="shared" si="23"/>
        <v>451.36019775000005</v>
      </c>
      <c r="BN35" s="7">
        <f t="shared" si="23"/>
        <v>492.39294299999995</v>
      </c>
      <c r="BO35" s="7">
        <f t="shared" si="23"/>
        <v>533.42568825000001</v>
      </c>
      <c r="BP35" s="7">
        <f t="shared" si="24"/>
        <v>301521.74257548002</v>
      </c>
      <c r="BQ35" s="7">
        <f t="shared" si="25"/>
        <v>201014.49505031988</v>
      </c>
      <c r="BR35" s="7">
        <f t="shared" si="26"/>
        <v>100507.24752516001</v>
      </c>
      <c r="BS35" s="7">
        <f t="shared" si="27"/>
        <v>0</v>
      </c>
      <c r="BT35" s="7">
        <f t="shared" si="28"/>
        <v>-100507.24752516016</v>
      </c>
      <c r="BU35" s="7">
        <f t="shared" si="29"/>
        <v>-201014.49505031988</v>
      </c>
      <c r="BV35" s="7">
        <f t="shared" si="30"/>
        <v>-301521.74257548002</v>
      </c>
      <c r="BW35" s="7">
        <f t="shared" ref="BW35:BW51" si="53">IF(AND($BH35="CC",($BC35-BI35)&lt;0),(BI35-$BC35)*$BD35,
 IF(AND($BH35="VC",($BC35-BI35)&lt;0),($BC35-BI35)*-$BD35,
 IF(AND($BH35="CP",($BC35-BI35)&gt;0),(BI35-$BC35)*$BD35*-1,
 IF(AND($BH35="VP",($BC35-BI35)&gt;0),(BI35-$BC35)*$BD35*-1,0))))</f>
        <v>0</v>
      </c>
      <c r="BX35" s="7">
        <f t="shared" ref="BX35:BX51" si="54">IF(AND($BH35="CC",($BC35-BJ35)&lt;0),(BJ35-$BC35)*$BD35,
 IF(AND($BH35="VC",($BC35-BJ35)&lt;0),($BC35-BJ35)*-$BD35,
 IF(AND($BH35="CP",($BC35-BJ35)&gt;0),(BJ35-$BC35)*$BD35*-1,
 IF(AND($BH35="VP",($BC35-BJ35)&gt;0),(BJ35-$BC35)*$BD35*-1,0))))</f>
        <v>0</v>
      </c>
      <c r="BY35" s="7">
        <f t="shared" ref="BY35:BY51" si="55">IF(AND($BH35="CC",($BC35-BK35)&lt;0),(BK35-$BC35)*$BD35,
 IF(AND($BH35="VC",($BC35-BK35)&lt;0),($BC35-BK35)*-$BD35,
 IF(AND($BH35="CP",($BC35-BK35)&gt;0),(BK35-$BC35)*$BD35*-1,
 IF(AND($BH35="VP",($BC35-BK35)&gt;0),(BK35-$BC35)*$BD35*-1,0))))</f>
        <v>0</v>
      </c>
      <c r="BZ35" s="7">
        <f t="shared" ref="BZ35:BZ51" si="56">IF(AND($BH35="CC",($BC35-BL35)&lt;0),(BL35-$BC35)*$BD35,
 IF(AND($BH35="VC",($BC35-BL35)&lt;0),($BC35-BL35)*-$BD35,
 IF(AND($BH35="CP",($BC35-BL35)&gt;0),(BL35-$BC35)*$BD35*-1,
 IF(AND($BH35="VP",($BC35-BL35)&gt;0),(BL35-$BC35)*$BD35*-1,0))))</f>
        <v>0</v>
      </c>
      <c r="CA35" s="7">
        <f t="shared" ref="CA35:CA51" si="57">IF(AND($BH35="CC",($BC35-BM35)&lt;0),(BM35-$BC35)*$BD35,
 IF(AND($BH35="VC",($BC35-BM35)&lt;0),($BC35-BM35)*-$BD35,
 IF(AND($BH35="CP",($BC35-BM35)&gt;0),(BM35-$BC35)*$BD35*-1,
 IF(AND($BH35="VP",($BC35-BM35)&gt;0),(BM35-$BC35)*$BD35*-1,0))))</f>
        <v>0</v>
      </c>
      <c r="CB35" s="7">
        <f t="shared" ref="CB35:CB51" si="58">IF(AND($BH35="CC",($BC35-BN35)&lt;0),(BN35-$BC35)*$BD35,
 IF(AND($BH35="VC",($BC35-BN35)&lt;0),($BC35-BN35)*-$BD35,
 IF(AND($BH35="CP",($BC35-BN35)&gt;0),(BN35-$BC35)*$BD35*-1,
 IF(AND($BH35="VP",($BC35-BN35)&gt;0),(BN35-$BC35)*$BD35*-1,0))))</f>
        <v>0</v>
      </c>
      <c r="CC35" s="7">
        <f t="shared" ref="CC35:CC51" si="59">IF(AND($BH35="CC",($BC35-BO35)&lt;0),(BO35-$BC35)*$BD35,
 IF(AND($BH35="VC",($BC35-BO35)&lt;0),($BC35-BO35)*-$BD35,
 IF(AND($BH35="CP",($BC35-BO35)&gt;0),(BO35-$BC35)*$BD35*-1,
 IF(AND($BH35="VP",($BC35-BO35)&gt;0),(BO35-$BC35)*$BD35*-1,0))))</f>
        <v>0</v>
      </c>
      <c r="CD35">
        <f t="shared" ref="CD35:CD51" si="60">IF(AND($BH35="CC",($BC35-BI35)&lt;0),$BD35*1,
 IF(AND($BH35="VC",($BC35-BI35)&lt;0),$BD35*1,
 IF(AND($BH35="CP",($BC35-BI35)&gt;0),$BD35*-1,
 IF(AND($BH35="VP",($BC35-BI35)&gt;0),$BD35*-1,0))))</f>
        <v>0</v>
      </c>
      <c r="CE35">
        <f t="shared" ref="CE35:CE51" si="61">IF(AND($BH35="CC",($BC35-BJ35)&lt;0),$BD35*1,
 IF(AND($BH35="VC",($BC35-BJ35)&lt;0),$BD35*1,
 IF(AND($BH35="CP",($BC35-BJ35)&gt;0),$BD35*-1,
 IF(AND($BH35="VP",($BC35-BJ35)&gt;0),$BD35*-1,0))))</f>
        <v>0</v>
      </c>
      <c r="CF35">
        <f t="shared" ref="CF35:CF51" si="62">IF(AND($BH35="CC",($BC35-BK35)&lt;0),$BD35*1,
 IF(AND($BH35="VC",($BC35-BK35)&lt;0),$BD35*1,
 IF(AND($BH35="CP",($BC35-BK35)&gt;0),$BD35*-1,
 IF(AND($BH35="VP",($BC35-BK35)&gt;0),$BD35*-1,0))))</f>
        <v>0</v>
      </c>
      <c r="CG35">
        <f t="shared" ref="CG35:CG51" si="63">IF(AND($BH35="CC",($BC35-BL35)&lt;0),$BD35*1,
 IF(AND($BH35="VC",($BC35-BL35)&lt;0),$BD35*1,
 IF(AND($BH35="CP",($BC35-BL35)&gt;0),$BD35*-1,
 IF(AND($BH35="VP",($BC35-BL35)&gt;0),$BD35*-1,0))))</f>
        <v>0</v>
      </c>
      <c r="CH35">
        <f t="shared" ref="CH35:CH51" si="64">IF(AND($BH35="CC",($BC35-BM35)&lt;0),$BD35*1,
 IF(AND($BH35="VC",($BC35-BM35)&lt;0),$BD35*1,
 IF(AND($BH35="CP",($BC35-BM35)&gt;0),$BD35*-1,
 IF(AND($BH35="VP",($BC35-BM35)&gt;0),$BD35*-1,0))))</f>
        <v>0</v>
      </c>
      <c r="CI35">
        <f t="shared" ref="CI35:CI51" si="65">IF(AND($BH35="CC",($BC35-BN35)&lt;0),$BD35*1,
 IF(AND($BH35="VC",($BC35-BN35)&lt;0),$BD35*1,
 IF(AND($BH35="CP",($BC35-BN35)&gt;0),$BD35*-1,
 IF(AND($BH35="VP",($BC35-BN35)&gt;0),$BD35*-1,0))))</f>
        <v>0</v>
      </c>
      <c r="CJ35">
        <f t="shared" ref="CJ35:CJ51" si="66">IF(AND($BH35="CC",($BC35-BO35)&lt;0),$BD35*1,
 IF(AND($BH35="VC",($BC35-BO35)&lt;0),$BD35*1,
 IF(AND($BH35="CP",($BC35-BO35)&gt;0),$BD35*-1,
 IF(AND($BH35="VP",($BC35-BO35)&gt;0),$BD35*-1,0))))</f>
        <v>0</v>
      </c>
      <c r="CK35" s="6">
        <f>Tabla3[[#This Row],[Tns]]</f>
        <v>-2449.44</v>
      </c>
      <c r="CL35" t="str">
        <f>IF(ISERROR(VLOOKUP(VALUE(E35),'Clientes CBOT'!A:A,1,0)),"VER","ok")</f>
        <v>ok</v>
      </c>
    </row>
    <row r="36" spans="1:90" x14ac:dyDescent="0.3">
      <c r="A36" s="12" t="str">
        <v>P</v>
      </c>
      <c r="B36" s="12" t="str">
        <v>R</v>
      </c>
      <c r="C36" s="12">
        <v>766</v>
      </c>
      <c r="D36" s="12">
        <v>0</v>
      </c>
      <c r="E36" s="12" t="str">
        <v>20176</v>
      </c>
      <c r="F36" s="12" t="str">
        <v>C</v>
      </c>
      <c r="G36" s="12" t="str">
        <v/>
      </c>
      <c r="H36" s="12" t="str">
        <v>F1</v>
      </c>
      <c r="I36" s="12" t="str">
        <v>.AS-0000026E</v>
      </c>
      <c r="J36" s="12">
        <v>3128</v>
      </c>
      <c r="K36" s="12">
        <v>2</v>
      </c>
      <c r="L36" s="12">
        <v>20000</v>
      </c>
      <c r="M36" s="12" t="str">
        <v>MAY 26 SOYBEANS</v>
      </c>
      <c r="N36" s="12" t="str">
        <v>11.14</v>
      </c>
      <c r="O36" s="12">
        <v>20251028</v>
      </c>
      <c r="P36" s="12" t="str">
        <v/>
      </c>
      <c r="Q36" s="12">
        <v>202605</v>
      </c>
      <c r="R36" s="12" t="str">
        <v/>
      </c>
      <c r="S36" s="12" t="str">
        <v>F</v>
      </c>
      <c r="T36" s="12" t="str">
        <v/>
      </c>
      <c r="U36" s="12">
        <v>0</v>
      </c>
      <c r="V36" s="12">
        <v>0</v>
      </c>
      <c r="W36" s="12" t="str">
        <v/>
      </c>
      <c r="X36" s="12" t="str">
        <v>FYO ACOPIO SA</v>
      </c>
      <c r="Y36" s="12" t="str">
        <v/>
      </c>
      <c r="Z36" s="12">
        <v>20251028</v>
      </c>
      <c r="AA36" s="12">
        <v>1</v>
      </c>
      <c r="AB36" s="12" t="str">
        <v>1A</v>
      </c>
      <c r="AC36" s="12" t="str">
        <v>S-</v>
      </c>
      <c r="AD36" s="12" t="str">
        <v/>
      </c>
      <c r="AE36" s="12" t="str">
        <v/>
      </c>
      <c r="AF36" s="12" t="str">
        <v>11.14000000</v>
      </c>
      <c r="AG36" s="12" t="str">
        <v/>
      </c>
      <c r="AH36" s="12" t="str">
        <v/>
      </c>
      <c r="AI36" s="12" t="str">
        <v/>
      </c>
      <c r="AJ36" s="12" t="str">
        <v/>
      </c>
      <c r="AK36" s="12" t="str">
        <v/>
      </c>
      <c r="AL36" s="12">
        <v>0</v>
      </c>
      <c r="AM36" s="12" t="str">
        <v>2.0000</v>
      </c>
      <c r="AN36" s="12" t="str">
        <v>USD</v>
      </c>
      <c r="AO36" s="98">
        <v>-27500</v>
      </c>
      <c r="AP36" s="12">
        <v>1116750000</v>
      </c>
      <c r="AQ36" s="12">
        <v>0</v>
      </c>
      <c r="AR36" s="12">
        <v>50000</v>
      </c>
      <c r="AS36" s="12" t="str">
        <v>5J28 RNo0</v>
      </c>
      <c r="AT36" s="12">
        <v>116113128</v>
      </c>
      <c r="AU36" s="12" t="str">
        <v>0,0000</v>
      </c>
      <c r="AV36" s="12" t="str">
        <v>S</v>
      </c>
      <c r="AW36" s="12" t="str">
        <v>CBT</v>
      </c>
      <c r="AX36" s="12" t="str">
        <v>Comdty</v>
      </c>
      <c r="AY36" s="12" t="str">
        <v>Soja</v>
      </c>
      <c r="AZ36">
        <f>IF(VLOOKUP(AY36,Conversor!B:C,2,0)="HS",0.01,VLOOKUP(AY36,Conversor!B:C,2,0))</f>
        <v>0.36742999999999998</v>
      </c>
      <c r="BA36">
        <f t="shared" si="18"/>
        <v>-2</v>
      </c>
      <c r="BB36" s="42">
        <f t="shared" si="52"/>
        <v>410.32745249999999</v>
      </c>
      <c r="BC36" s="58">
        <f t="shared" si="19"/>
        <v>0</v>
      </c>
      <c r="BD36" s="1">
        <f>IF(OR(E36="FUTUR",E36="f20176"),0,VLOOKUP(AY36,Conversor!G:I,3,0)*BA36)</f>
        <v>-272.16000000000003</v>
      </c>
      <c r="BE36" t="str">
        <f t="shared" si="20"/>
        <v>Futuro</v>
      </c>
      <c r="BF36" t="str">
        <f t="shared" si="21"/>
        <v>no</v>
      </c>
      <c r="BG36" t="str">
        <f t="shared" si="22"/>
        <v>V</v>
      </c>
      <c r="BH36" t="str">
        <f t="shared" si="1"/>
        <v/>
      </c>
      <c r="BI36" s="7">
        <f t="shared" si="23"/>
        <v>287.22921674999998</v>
      </c>
      <c r="BJ36" s="7">
        <f t="shared" si="23"/>
        <v>328.26196200000004</v>
      </c>
      <c r="BK36" s="7">
        <f t="shared" si="23"/>
        <v>369.29470724999999</v>
      </c>
      <c r="BL36" s="7">
        <f t="shared" si="23"/>
        <v>410.32745249999999</v>
      </c>
      <c r="BM36" s="7">
        <f t="shared" si="23"/>
        <v>451.36019775000005</v>
      </c>
      <c r="BN36" s="7">
        <f t="shared" si="23"/>
        <v>492.39294299999995</v>
      </c>
      <c r="BO36" s="7">
        <f t="shared" si="23"/>
        <v>533.42568825000001</v>
      </c>
      <c r="BP36" s="7">
        <f t="shared" si="24"/>
        <v>33502.415841720009</v>
      </c>
      <c r="BQ36" s="7">
        <f t="shared" si="25"/>
        <v>22334.943894479988</v>
      </c>
      <c r="BR36" s="7">
        <f t="shared" si="26"/>
        <v>11167.471947240003</v>
      </c>
      <c r="BS36" s="7">
        <f t="shared" si="27"/>
        <v>0</v>
      </c>
      <c r="BT36" s="7">
        <f t="shared" si="28"/>
        <v>-11167.471947240017</v>
      </c>
      <c r="BU36" s="7">
        <f t="shared" si="29"/>
        <v>-22334.943894479988</v>
      </c>
      <c r="BV36" s="7">
        <f t="shared" si="30"/>
        <v>-33502.415841720009</v>
      </c>
      <c r="BW36" s="7">
        <f t="shared" si="53"/>
        <v>0</v>
      </c>
      <c r="BX36" s="7">
        <f t="shared" si="54"/>
        <v>0</v>
      </c>
      <c r="BY36" s="7">
        <f t="shared" si="55"/>
        <v>0</v>
      </c>
      <c r="BZ36" s="7">
        <f t="shared" si="56"/>
        <v>0</v>
      </c>
      <c r="CA36" s="7">
        <f t="shared" si="57"/>
        <v>0</v>
      </c>
      <c r="CB36" s="7">
        <f t="shared" si="58"/>
        <v>0</v>
      </c>
      <c r="CC36" s="7">
        <f t="shared" si="59"/>
        <v>0</v>
      </c>
      <c r="CD36">
        <f t="shared" si="60"/>
        <v>0</v>
      </c>
      <c r="CE36">
        <f t="shared" si="61"/>
        <v>0</v>
      </c>
      <c r="CF36">
        <f t="shared" si="62"/>
        <v>0</v>
      </c>
      <c r="CG36">
        <f t="shared" si="63"/>
        <v>0</v>
      </c>
      <c r="CH36">
        <f t="shared" si="64"/>
        <v>0</v>
      </c>
      <c r="CI36">
        <f t="shared" si="65"/>
        <v>0</v>
      </c>
      <c r="CJ36">
        <f t="shared" si="66"/>
        <v>0</v>
      </c>
      <c r="CK36" s="6">
        <f>Tabla3[[#This Row],[Tns]]</f>
        <v>-272.16000000000003</v>
      </c>
      <c r="CL36" t="str">
        <f>IF(ISERROR(VLOOKUP(VALUE(E36),'Clientes CBOT'!A:A,1,0)),"VER","ok")</f>
        <v>ok</v>
      </c>
    </row>
    <row r="37" spans="1:90" x14ac:dyDescent="0.3">
      <c r="A37" s="12" t="str">
        <v>P</v>
      </c>
      <c r="B37" s="12" t="str">
        <v>R</v>
      </c>
      <c r="C37" s="12">
        <v>766</v>
      </c>
      <c r="D37" s="12">
        <v>0</v>
      </c>
      <c r="E37" s="12" t="str">
        <v>20176</v>
      </c>
      <c r="F37" s="12" t="str">
        <v>C</v>
      </c>
      <c r="G37" s="12" t="str">
        <v/>
      </c>
      <c r="H37" s="12" t="str">
        <v>F1</v>
      </c>
      <c r="I37" s="12" t="str">
        <v>.AS-0000026E</v>
      </c>
      <c r="J37" s="12">
        <v>2217</v>
      </c>
      <c r="K37" s="12">
        <v>2</v>
      </c>
      <c r="L37" s="12">
        <v>30000</v>
      </c>
      <c r="M37" s="12" t="str">
        <v>MAY 26 SOYBEANS</v>
      </c>
      <c r="N37" s="12" t="str">
        <v>11.18</v>
      </c>
      <c r="O37" s="12">
        <v>20251028</v>
      </c>
      <c r="P37" s="12" t="str">
        <v/>
      </c>
      <c r="Q37" s="12">
        <v>202605</v>
      </c>
      <c r="R37" s="12" t="str">
        <v/>
      </c>
      <c r="S37" s="12" t="str">
        <v>F</v>
      </c>
      <c r="T37" s="12" t="str">
        <v/>
      </c>
      <c r="U37" s="12">
        <v>0</v>
      </c>
      <c r="V37" s="12">
        <v>0</v>
      </c>
      <c r="W37" s="12" t="str">
        <v/>
      </c>
      <c r="X37" s="12" t="str">
        <v>FYO ACOPIO SA</v>
      </c>
      <c r="Y37" s="12" t="str">
        <v/>
      </c>
      <c r="Z37" s="12">
        <v>20251028</v>
      </c>
      <c r="AA37" s="12">
        <v>1</v>
      </c>
      <c r="AB37" s="12" t="str">
        <v>1A</v>
      </c>
      <c r="AC37" s="12" t="str">
        <v>S-</v>
      </c>
      <c r="AD37" s="12" t="str">
        <v/>
      </c>
      <c r="AE37" s="12" t="str">
        <v/>
      </c>
      <c r="AF37" s="12" t="str">
        <v>11.18000000</v>
      </c>
      <c r="AG37" s="12" t="str">
        <v/>
      </c>
      <c r="AH37" s="12" t="str">
        <v/>
      </c>
      <c r="AI37" s="12" t="str">
        <v/>
      </c>
      <c r="AJ37" s="12" t="str">
        <v/>
      </c>
      <c r="AK37" s="12" t="str">
        <v/>
      </c>
      <c r="AL37" s="12">
        <v>0</v>
      </c>
      <c r="AM37" s="12" t="str">
        <v>3.0000</v>
      </c>
      <c r="AN37" s="12" t="str">
        <v>USD</v>
      </c>
      <c r="AO37" s="98">
        <v>18750</v>
      </c>
      <c r="AP37" s="12">
        <v>1116750000</v>
      </c>
      <c r="AQ37" s="12">
        <v>0</v>
      </c>
      <c r="AR37" s="12">
        <v>50000</v>
      </c>
      <c r="AS37" s="12" t="str">
        <v>5J28 PNj0</v>
      </c>
      <c r="AT37" s="12">
        <v>116112217</v>
      </c>
      <c r="AU37" s="12" t="str">
        <v>0,0000</v>
      </c>
      <c r="AV37" s="12" t="str">
        <v>S</v>
      </c>
      <c r="AW37" s="12" t="str">
        <v>CBT</v>
      </c>
      <c r="AX37" s="12" t="str">
        <v>Comdty</v>
      </c>
      <c r="AY37" s="12" t="str">
        <v>Soja</v>
      </c>
      <c r="AZ37">
        <f>IF(VLOOKUP(AY37,Conversor!B:C,2,0)="HS",0.01,VLOOKUP(AY37,Conversor!B:C,2,0))</f>
        <v>0.36742999999999998</v>
      </c>
      <c r="BA37">
        <f t="shared" si="18"/>
        <v>-3</v>
      </c>
      <c r="BB37" s="42">
        <f t="shared" si="52"/>
        <v>410.32745249999999</v>
      </c>
      <c r="BC37" s="58">
        <f t="shared" si="19"/>
        <v>0</v>
      </c>
      <c r="BD37" s="1">
        <f>IF(OR(E37="FUTUR",E37="f20176"),0,VLOOKUP(AY37,Conversor!G:I,3,0)*BA37)</f>
        <v>-408.24</v>
      </c>
      <c r="BE37" t="str">
        <f t="shared" si="20"/>
        <v>Futuro</v>
      </c>
      <c r="BF37" t="str">
        <f t="shared" si="21"/>
        <v>no</v>
      </c>
      <c r="BG37" t="str">
        <f t="shared" si="22"/>
        <v>V</v>
      </c>
      <c r="BH37" t="str">
        <f t="shared" si="1"/>
        <v/>
      </c>
      <c r="BI37" s="7">
        <f t="shared" si="23"/>
        <v>287.22921674999998</v>
      </c>
      <c r="BJ37" s="7">
        <f t="shared" si="23"/>
        <v>328.26196200000004</v>
      </c>
      <c r="BK37" s="7">
        <f t="shared" si="23"/>
        <v>369.29470724999999</v>
      </c>
      <c r="BL37" s="7">
        <f t="shared" si="23"/>
        <v>410.32745249999999</v>
      </c>
      <c r="BM37" s="7">
        <f t="shared" si="23"/>
        <v>451.36019775000005</v>
      </c>
      <c r="BN37" s="7">
        <f t="shared" si="23"/>
        <v>492.39294299999995</v>
      </c>
      <c r="BO37" s="7">
        <f t="shared" si="23"/>
        <v>533.42568825000001</v>
      </c>
      <c r="BP37" s="7">
        <f t="shared" si="24"/>
        <v>50253.623762580006</v>
      </c>
      <c r="BQ37" s="7">
        <f t="shared" si="25"/>
        <v>33502.41584171998</v>
      </c>
      <c r="BR37" s="7">
        <f t="shared" si="26"/>
        <v>16751.207920860001</v>
      </c>
      <c r="BS37" s="7">
        <f t="shared" si="27"/>
        <v>0</v>
      </c>
      <c r="BT37" s="7">
        <f t="shared" si="28"/>
        <v>-16751.207920860026</v>
      </c>
      <c r="BU37" s="7">
        <f t="shared" si="29"/>
        <v>-33502.41584171998</v>
      </c>
      <c r="BV37" s="7">
        <f t="shared" si="30"/>
        <v>-50253.623762580006</v>
      </c>
      <c r="BW37" s="7">
        <f t="shared" si="53"/>
        <v>0</v>
      </c>
      <c r="BX37" s="7">
        <f t="shared" si="54"/>
        <v>0</v>
      </c>
      <c r="BY37" s="7">
        <f t="shared" si="55"/>
        <v>0</v>
      </c>
      <c r="BZ37" s="7">
        <f t="shared" si="56"/>
        <v>0</v>
      </c>
      <c r="CA37" s="7">
        <f t="shared" si="57"/>
        <v>0</v>
      </c>
      <c r="CB37" s="7">
        <f t="shared" si="58"/>
        <v>0</v>
      </c>
      <c r="CC37" s="7">
        <f t="shared" si="59"/>
        <v>0</v>
      </c>
      <c r="CD37">
        <f t="shared" si="60"/>
        <v>0</v>
      </c>
      <c r="CE37">
        <f t="shared" si="61"/>
        <v>0</v>
      </c>
      <c r="CF37">
        <f t="shared" si="62"/>
        <v>0</v>
      </c>
      <c r="CG37">
        <f t="shared" si="63"/>
        <v>0</v>
      </c>
      <c r="CH37">
        <f t="shared" si="64"/>
        <v>0</v>
      </c>
      <c r="CI37">
        <f t="shared" si="65"/>
        <v>0</v>
      </c>
      <c r="CJ37">
        <f t="shared" si="66"/>
        <v>0</v>
      </c>
      <c r="CK37" s="6">
        <f>Tabla3[[#This Row],[Tns]]</f>
        <v>-408.24</v>
      </c>
      <c r="CL37" t="str">
        <f>IF(ISERROR(VLOOKUP(VALUE(E37),'Clientes CBOT'!A:A,1,0)),"VER","ok")</f>
        <v>ok</v>
      </c>
    </row>
    <row r="38" spans="1:90" x14ac:dyDescent="0.3">
      <c r="A38" s="12" t="str">
        <v>P</v>
      </c>
      <c r="B38" s="12" t="str">
        <v>R</v>
      </c>
      <c r="C38" s="12">
        <v>766</v>
      </c>
      <c r="D38" s="12">
        <v>0</v>
      </c>
      <c r="E38" s="12" t="str">
        <v>20176</v>
      </c>
      <c r="F38" s="12" t="str">
        <v>C</v>
      </c>
      <c r="G38" s="12" t="str">
        <v/>
      </c>
      <c r="H38" s="12" t="str">
        <v>F1</v>
      </c>
      <c r="I38" s="12" t="str">
        <v>.AS-0000026E</v>
      </c>
      <c r="J38" s="12">
        <v>2378</v>
      </c>
      <c r="K38" s="12">
        <v>2</v>
      </c>
      <c r="L38" s="12">
        <v>60000</v>
      </c>
      <c r="M38" s="12" t="str">
        <v>MAY 26 SOYBEANS</v>
      </c>
      <c r="N38" s="12" t="str">
        <v>11.18 1/4</v>
      </c>
      <c r="O38" s="12">
        <v>20251028</v>
      </c>
      <c r="P38" s="12" t="str">
        <v/>
      </c>
      <c r="Q38" s="12">
        <v>202605</v>
      </c>
      <c r="R38" s="12" t="str">
        <v/>
      </c>
      <c r="S38" s="12" t="str">
        <v>F</v>
      </c>
      <c r="T38" s="12" t="str">
        <v/>
      </c>
      <c r="U38" s="12">
        <v>0</v>
      </c>
      <c r="V38" s="12">
        <v>0</v>
      </c>
      <c r="W38" s="12" t="str">
        <v/>
      </c>
      <c r="X38" s="12" t="str">
        <v>FYO ACOPIO SA</v>
      </c>
      <c r="Y38" s="12" t="str">
        <v/>
      </c>
      <c r="Z38" s="12">
        <v>20251028</v>
      </c>
      <c r="AA38" s="12">
        <v>1</v>
      </c>
      <c r="AB38" s="12" t="str">
        <v>1A</v>
      </c>
      <c r="AC38" s="12" t="str">
        <v>S-</v>
      </c>
      <c r="AD38" s="12" t="str">
        <v/>
      </c>
      <c r="AE38" s="12" t="str">
        <v/>
      </c>
      <c r="AF38" s="12" t="str">
        <v>11.18250000</v>
      </c>
      <c r="AG38" s="12" t="str">
        <v/>
      </c>
      <c r="AH38" s="12" t="str">
        <v/>
      </c>
      <c r="AI38" s="12" t="str">
        <v/>
      </c>
      <c r="AJ38" s="12" t="str">
        <v/>
      </c>
      <c r="AK38" s="12" t="str">
        <v/>
      </c>
      <c r="AL38" s="12">
        <v>0</v>
      </c>
      <c r="AM38" s="12" t="str">
        <v>6.0000</v>
      </c>
      <c r="AN38" s="12" t="str">
        <v>USD</v>
      </c>
      <c r="AO38" s="98">
        <v>45000</v>
      </c>
      <c r="AP38" s="12">
        <v>1116750000</v>
      </c>
      <c r="AQ38" s="12">
        <v>0</v>
      </c>
      <c r="AR38" s="12">
        <v>50000</v>
      </c>
      <c r="AS38" s="12" t="str">
        <v>5J28 P7C0</v>
      </c>
      <c r="AT38" s="12">
        <v>116112378</v>
      </c>
      <c r="AU38" s="12" t="str">
        <v>0,0000</v>
      </c>
      <c r="AV38" s="12" t="str">
        <v>S</v>
      </c>
      <c r="AW38" s="12" t="str">
        <v>CBT</v>
      </c>
      <c r="AX38" s="12" t="str">
        <v>Comdty</v>
      </c>
      <c r="AY38" s="12" t="str">
        <v>Soja</v>
      </c>
      <c r="AZ38">
        <f>IF(VLOOKUP(AY38,Conversor!B:C,2,0)="HS",0.01,VLOOKUP(AY38,Conversor!B:C,2,0))</f>
        <v>0.36742999999999998</v>
      </c>
      <c r="BA38">
        <f t="shared" si="18"/>
        <v>-6</v>
      </c>
      <c r="BB38" s="42">
        <f t="shared" si="52"/>
        <v>410.32745249999999</v>
      </c>
      <c r="BC38" s="58">
        <f t="shared" si="19"/>
        <v>0</v>
      </c>
      <c r="BD38" s="1">
        <f>IF(OR(E38="FUTUR",E38="f20176"),0,VLOOKUP(AY38,Conversor!G:I,3,0)*BA38)</f>
        <v>-816.48</v>
      </c>
      <c r="BE38" t="str">
        <f t="shared" si="20"/>
        <v>Futuro</v>
      </c>
      <c r="BF38" t="str">
        <f t="shared" si="21"/>
        <v>no</v>
      </c>
      <c r="BG38" t="str">
        <f t="shared" si="22"/>
        <v>V</v>
      </c>
      <c r="BH38" t="str">
        <f t="shared" si="1"/>
        <v/>
      </c>
      <c r="BI38" s="7">
        <f t="shared" si="23"/>
        <v>287.22921674999998</v>
      </c>
      <c r="BJ38" s="7">
        <f t="shared" si="23"/>
        <v>328.26196200000004</v>
      </c>
      <c r="BK38" s="7">
        <f t="shared" si="23"/>
        <v>369.29470724999999</v>
      </c>
      <c r="BL38" s="7">
        <f t="shared" si="23"/>
        <v>410.32745249999999</v>
      </c>
      <c r="BM38" s="7">
        <f t="shared" si="23"/>
        <v>451.36019775000005</v>
      </c>
      <c r="BN38" s="7">
        <f t="shared" si="23"/>
        <v>492.39294299999995</v>
      </c>
      <c r="BO38" s="7">
        <f t="shared" si="23"/>
        <v>533.42568825000001</v>
      </c>
      <c r="BP38" s="7">
        <f t="shared" si="24"/>
        <v>100507.24752516001</v>
      </c>
      <c r="BQ38" s="7">
        <f t="shared" si="25"/>
        <v>67004.831683439959</v>
      </c>
      <c r="BR38" s="7">
        <f t="shared" si="26"/>
        <v>33502.415841720001</v>
      </c>
      <c r="BS38" s="7">
        <f t="shared" si="27"/>
        <v>0</v>
      </c>
      <c r="BT38" s="7">
        <f t="shared" si="28"/>
        <v>-33502.415841720052</v>
      </c>
      <c r="BU38" s="7">
        <f t="shared" si="29"/>
        <v>-67004.831683439959</v>
      </c>
      <c r="BV38" s="7">
        <f t="shared" si="30"/>
        <v>-100507.24752516001</v>
      </c>
      <c r="BW38" s="7">
        <f t="shared" si="53"/>
        <v>0</v>
      </c>
      <c r="BX38" s="7">
        <f t="shared" si="54"/>
        <v>0</v>
      </c>
      <c r="BY38" s="7">
        <f t="shared" si="55"/>
        <v>0</v>
      </c>
      <c r="BZ38" s="7">
        <f t="shared" si="56"/>
        <v>0</v>
      </c>
      <c r="CA38" s="7">
        <f t="shared" si="57"/>
        <v>0</v>
      </c>
      <c r="CB38" s="7">
        <f t="shared" si="58"/>
        <v>0</v>
      </c>
      <c r="CC38" s="7">
        <f t="shared" si="59"/>
        <v>0</v>
      </c>
      <c r="CD38">
        <f t="shared" si="60"/>
        <v>0</v>
      </c>
      <c r="CE38">
        <f t="shared" si="61"/>
        <v>0</v>
      </c>
      <c r="CF38">
        <f t="shared" si="62"/>
        <v>0</v>
      </c>
      <c r="CG38">
        <f t="shared" si="63"/>
        <v>0</v>
      </c>
      <c r="CH38">
        <f t="shared" si="64"/>
        <v>0</v>
      </c>
      <c r="CI38">
        <f t="shared" si="65"/>
        <v>0</v>
      </c>
      <c r="CJ38">
        <f t="shared" si="66"/>
        <v>0</v>
      </c>
      <c r="CK38" s="6">
        <f>Tabla3[[#This Row],[Tns]]</f>
        <v>-816.48</v>
      </c>
      <c r="CL38" t="str">
        <f>IF(ISERROR(VLOOKUP(VALUE(E38),'Clientes CBOT'!A:A,1,0)),"VER","ok")</f>
        <v>ok</v>
      </c>
    </row>
    <row r="39" spans="1:90" x14ac:dyDescent="0.3">
      <c r="A39" s="12" t="str">
        <v>P</v>
      </c>
      <c r="B39" s="12" t="str">
        <v>R</v>
      </c>
      <c r="C39" s="12">
        <v>766</v>
      </c>
      <c r="D39" s="12">
        <v>0</v>
      </c>
      <c r="E39" s="12" t="str">
        <v>20176</v>
      </c>
      <c r="F39" s="12" t="str">
        <v>C</v>
      </c>
      <c r="G39" s="12" t="str">
        <v/>
      </c>
      <c r="H39" s="12" t="str">
        <v>F1</v>
      </c>
      <c r="I39" s="12" t="str">
        <v>.AS-0000026E</v>
      </c>
      <c r="J39" s="12">
        <v>4277</v>
      </c>
      <c r="K39" s="12">
        <v>2</v>
      </c>
      <c r="L39" s="12">
        <v>30000</v>
      </c>
      <c r="M39" s="12" t="str">
        <v>MAY 26 SOYBEANS</v>
      </c>
      <c r="N39" s="12" t="str">
        <v>11.20 3/4</v>
      </c>
      <c r="O39" s="12">
        <v>20251028</v>
      </c>
      <c r="P39" s="12" t="str">
        <v/>
      </c>
      <c r="Q39" s="12">
        <v>202605</v>
      </c>
      <c r="R39" s="12" t="str">
        <v/>
      </c>
      <c r="S39" s="12" t="str">
        <v>F</v>
      </c>
      <c r="T39" s="12" t="str">
        <v/>
      </c>
      <c r="U39" s="12">
        <v>0</v>
      </c>
      <c r="V39" s="12">
        <v>0</v>
      </c>
      <c r="W39" s="12" t="str">
        <v/>
      </c>
      <c r="X39" s="12" t="str">
        <v>FYO ACOPIO SA</v>
      </c>
      <c r="Y39" s="12" t="str">
        <v/>
      </c>
      <c r="Z39" s="12">
        <v>20251028</v>
      </c>
      <c r="AA39" s="12">
        <v>1</v>
      </c>
      <c r="AB39" s="12" t="str">
        <v>1A</v>
      </c>
      <c r="AC39" s="12" t="str">
        <v>S-</v>
      </c>
      <c r="AD39" s="12" t="str">
        <v/>
      </c>
      <c r="AE39" s="12" t="str">
        <v/>
      </c>
      <c r="AF39" s="12" t="str">
        <v>11.20750000</v>
      </c>
      <c r="AG39" s="12" t="str">
        <v/>
      </c>
      <c r="AH39" s="12" t="str">
        <v/>
      </c>
      <c r="AI39" s="12" t="str">
        <v/>
      </c>
      <c r="AJ39" s="12" t="str">
        <v/>
      </c>
      <c r="AK39" s="12" t="str">
        <v/>
      </c>
      <c r="AL39" s="12">
        <v>0</v>
      </c>
      <c r="AM39" s="12" t="str">
        <v>3.0000</v>
      </c>
      <c r="AN39" s="12" t="str">
        <v>USD</v>
      </c>
      <c r="AO39" s="98">
        <v>60000</v>
      </c>
      <c r="AP39" s="12">
        <v>1116750000</v>
      </c>
      <c r="AQ39" s="12">
        <v>0</v>
      </c>
      <c r="AR39" s="12">
        <v>50000</v>
      </c>
      <c r="AS39" s="12" t="str">
        <v>5J28 z9S0</v>
      </c>
      <c r="AT39" s="12">
        <v>116104277</v>
      </c>
      <c r="AU39" s="12" t="str">
        <v>0,0000</v>
      </c>
      <c r="AV39" s="12" t="str">
        <v>S</v>
      </c>
      <c r="AW39" s="12" t="str">
        <v>CBT</v>
      </c>
      <c r="AX39" s="12" t="str">
        <v>Comdty</v>
      </c>
      <c r="AY39" s="12" t="str">
        <v>Soja</v>
      </c>
      <c r="AZ39">
        <f>IF(VLOOKUP(AY39,Conversor!B:C,2,0)="HS",0.1,VLOOKUP(AY39,Conversor!B:C,2,0))</f>
        <v>0.36742999999999998</v>
      </c>
      <c r="BA39">
        <f t="shared" si="18"/>
        <v>-3</v>
      </c>
      <c r="BB39" s="42">
        <f t="shared" si="52"/>
        <v>410.32745249999999</v>
      </c>
      <c r="BC39" s="58">
        <f t="shared" si="19"/>
        <v>0</v>
      </c>
      <c r="BD39" s="1">
        <f>IF(OR(E39="FUTUR",E39="f20176"),0,VLOOKUP(AY39,Conversor!G:I,3,0)*BA39)</f>
        <v>-408.24</v>
      </c>
      <c r="BE39" t="str">
        <f t="shared" si="20"/>
        <v>Futuro</v>
      </c>
      <c r="BF39" t="str">
        <f t="shared" si="21"/>
        <v>no</v>
      </c>
      <c r="BG39" t="str">
        <f t="shared" si="22"/>
        <v>V</v>
      </c>
      <c r="BH39" t="str">
        <f t="shared" si="1"/>
        <v/>
      </c>
      <c r="BI39" s="7">
        <f t="shared" si="23"/>
        <v>287.22921674999998</v>
      </c>
      <c r="BJ39" s="7">
        <f t="shared" si="23"/>
        <v>328.26196200000004</v>
      </c>
      <c r="BK39" s="7">
        <f t="shared" si="23"/>
        <v>369.29470724999999</v>
      </c>
      <c r="BL39" s="7">
        <f t="shared" si="23"/>
        <v>410.32745249999999</v>
      </c>
      <c r="BM39" s="7">
        <f t="shared" si="23"/>
        <v>451.36019775000005</v>
      </c>
      <c r="BN39" s="7">
        <f t="shared" si="23"/>
        <v>492.39294299999995</v>
      </c>
      <c r="BO39" s="7">
        <f t="shared" si="23"/>
        <v>533.42568825000001</v>
      </c>
      <c r="BP39" s="7">
        <f t="shared" si="24"/>
        <v>50253.623762580006</v>
      </c>
      <c r="BQ39" s="7">
        <f t="shared" si="25"/>
        <v>33502.41584171998</v>
      </c>
      <c r="BR39" s="7">
        <f t="shared" si="26"/>
        <v>16751.207920860001</v>
      </c>
      <c r="BS39" s="7">
        <f t="shared" si="27"/>
        <v>0</v>
      </c>
      <c r="BT39" s="7">
        <f t="shared" si="28"/>
        <v>-16751.207920860026</v>
      </c>
      <c r="BU39" s="7">
        <f t="shared" si="29"/>
        <v>-33502.41584171998</v>
      </c>
      <c r="BV39" s="7">
        <f t="shared" si="30"/>
        <v>-50253.623762580006</v>
      </c>
      <c r="BW39" s="7">
        <f t="shared" si="53"/>
        <v>0</v>
      </c>
      <c r="BX39" s="7">
        <f t="shared" si="54"/>
        <v>0</v>
      </c>
      <c r="BY39" s="7">
        <f t="shared" si="55"/>
        <v>0</v>
      </c>
      <c r="BZ39" s="7">
        <f t="shared" si="56"/>
        <v>0</v>
      </c>
      <c r="CA39" s="7">
        <f t="shared" si="57"/>
        <v>0</v>
      </c>
      <c r="CB39" s="7">
        <f t="shared" si="58"/>
        <v>0</v>
      </c>
      <c r="CC39" s="7">
        <f t="shared" si="59"/>
        <v>0</v>
      </c>
      <c r="CD39">
        <f t="shared" si="60"/>
        <v>0</v>
      </c>
      <c r="CE39">
        <f t="shared" si="61"/>
        <v>0</v>
      </c>
      <c r="CF39">
        <f t="shared" si="62"/>
        <v>0</v>
      </c>
      <c r="CG39">
        <f t="shared" si="63"/>
        <v>0</v>
      </c>
      <c r="CH39">
        <f t="shared" si="64"/>
        <v>0</v>
      </c>
      <c r="CI39">
        <f t="shared" si="65"/>
        <v>0</v>
      </c>
      <c r="CJ39">
        <f t="shared" si="66"/>
        <v>0</v>
      </c>
      <c r="CK39" s="6">
        <f>Tabla3[[#This Row],[Tns]]</f>
        <v>-408.24</v>
      </c>
      <c r="CL39" t="str">
        <f>IF(ISERROR(VLOOKUP(VALUE(E39),'Clientes CBOT'!A:A,1,0)),"VER","ok")</f>
        <v>ok</v>
      </c>
    </row>
    <row r="40" spans="1:90" x14ac:dyDescent="0.3">
      <c r="A40" s="12" t="str">
        <v>P</v>
      </c>
      <c r="B40" s="12" t="str">
        <v>R</v>
      </c>
      <c r="C40" s="12">
        <v>766</v>
      </c>
      <c r="D40" s="12">
        <v>0</v>
      </c>
      <c r="E40" s="12" t="str">
        <v>20176</v>
      </c>
      <c r="F40" s="12" t="str">
        <v>C</v>
      </c>
      <c r="G40" s="12" t="str">
        <v/>
      </c>
      <c r="H40" s="12" t="str">
        <v>F1</v>
      </c>
      <c r="I40" s="12" t="str">
        <v>.AS-0000026E</v>
      </c>
      <c r="J40" s="12">
        <v>5114</v>
      </c>
      <c r="K40" s="12">
        <v>2</v>
      </c>
      <c r="L40" s="12">
        <v>30000</v>
      </c>
      <c r="M40" s="12" t="str">
        <v>MAY 26 SOYBEANS</v>
      </c>
      <c r="N40" s="12" t="str">
        <v>11.18 1/4</v>
      </c>
      <c r="O40" s="12">
        <v>20251030</v>
      </c>
      <c r="P40" s="12" t="str">
        <v/>
      </c>
      <c r="Q40" s="12">
        <v>202605</v>
      </c>
      <c r="R40" s="12" t="str">
        <v/>
      </c>
      <c r="S40" s="12" t="str">
        <v>F</v>
      </c>
      <c r="T40" s="12" t="str">
        <v/>
      </c>
      <c r="U40" s="12">
        <v>0</v>
      </c>
      <c r="V40" s="12">
        <v>0</v>
      </c>
      <c r="W40" s="12" t="str">
        <v/>
      </c>
      <c r="X40" s="12" t="str">
        <v>FYO ACOPIO SA</v>
      </c>
      <c r="Y40" s="12" t="str">
        <v/>
      </c>
      <c r="Z40" s="12">
        <v>20251030</v>
      </c>
      <c r="AA40" s="12">
        <v>1</v>
      </c>
      <c r="AB40" s="12" t="str">
        <v>1A</v>
      </c>
      <c r="AC40" s="12" t="str">
        <v>S-</v>
      </c>
      <c r="AD40" s="12" t="str">
        <v/>
      </c>
      <c r="AE40" s="12" t="str">
        <v/>
      </c>
      <c r="AF40" s="12" t="str">
        <v>11.18250000</v>
      </c>
      <c r="AG40" s="12" t="str">
        <v/>
      </c>
      <c r="AH40" s="12" t="str">
        <v/>
      </c>
      <c r="AI40" s="12" t="str">
        <v/>
      </c>
      <c r="AJ40" s="12" t="str">
        <v/>
      </c>
      <c r="AK40" s="12" t="str">
        <v/>
      </c>
      <c r="AL40" s="12">
        <v>0</v>
      </c>
      <c r="AM40" s="12" t="str">
        <v>3.0000</v>
      </c>
      <c r="AN40" s="12" t="str">
        <v>USD</v>
      </c>
      <c r="AO40" s="98">
        <v>22500</v>
      </c>
      <c r="AP40" s="12">
        <v>1116750000</v>
      </c>
      <c r="AQ40" s="12">
        <v>0</v>
      </c>
      <c r="AR40" s="12">
        <v>50000</v>
      </c>
      <c r="AS40" s="12" t="str">
        <v>5J30 Apn0</v>
      </c>
      <c r="AT40" s="12">
        <v>116135114</v>
      </c>
      <c r="AU40" s="12" t="str">
        <v>0,0000</v>
      </c>
      <c r="AV40" s="12" t="str">
        <v>S</v>
      </c>
      <c r="AW40" s="12" t="str">
        <v>CBT</v>
      </c>
      <c r="AX40" s="12" t="str">
        <v>Comdty</v>
      </c>
      <c r="AY40" s="12" t="str">
        <v>Soja</v>
      </c>
      <c r="AZ40">
        <f>IF(VLOOKUP(AY40,Conversor!B:C,2,0)="HS",0.01,VLOOKUP(AY40,Conversor!B:C,2,0))</f>
        <v>0.36742999999999998</v>
      </c>
      <c r="BA40">
        <f t="shared" si="18"/>
        <v>-3</v>
      </c>
      <c r="BB40" s="42">
        <f t="shared" si="52"/>
        <v>410.32745249999999</v>
      </c>
      <c r="BC40" s="58">
        <f t="shared" si="19"/>
        <v>0</v>
      </c>
      <c r="BD40" s="1">
        <f>IF(OR(E40="FUTUR",E40="f20176"),0,VLOOKUP(AY40,Conversor!G:I,3,0)*BA40)</f>
        <v>-408.24</v>
      </c>
      <c r="BE40" t="str">
        <f t="shared" si="20"/>
        <v>Futuro</v>
      </c>
      <c r="BF40" t="str">
        <f t="shared" si="21"/>
        <v>no</v>
      </c>
      <c r="BG40" t="str">
        <f t="shared" si="22"/>
        <v>V</v>
      </c>
      <c r="BH40" t="str">
        <f t="shared" si="1"/>
        <v/>
      </c>
      <c r="BI40" s="7">
        <f t="shared" si="23"/>
        <v>287.22921674999998</v>
      </c>
      <c r="BJ40" s="7">
        <f t="shared" si="23"/>
        <v>328.26196200000004</v>
      </c>
      <c r="BK40" s="7">
        <f t="shared" si="23"/>
        <v>369.29470724999999</v>
      </c>
      <c r="BL40" s="7">
        <f t="shared" si="23"/>
        <v>410.32745249999999</v>
      </c>
      <c r="BM40" s="7">
        <f t="shared" si="23"/>
        <v>451.36019775000005</v>
      </c>
      <c r="BN40" s="7">
        <f t="shared" si="23"/>
        <v>492.39294299999995</v>
      </c>
      <c r="BO40" s="7">
        <f t="shared" si="23"/>
        <v>533.42568825000001</v>
      </c>
      <c r="BP40" s="7">
        <f t="shared" si="24"/>
        <v>50253.623762580006</v>
      </c>
      <c r="BQ40" s="7">
        <f t="shared" si="25"/>
        <v>33502.41584171998</v>
      </c>
      <c r="BR40" s="7">
        <f t="shared" si="26"/>
        <v>16751.207920860001</v>
      </c>
      <c r="BS40" s="7">
        <f t="shared" si="27"/>
        <v>0</v>
      </c>
      <c r="BT40" s="7">
        <f t="shared" si="28"/>
        <v>-16751.207920860026</v>
      </c>
      <c r="BU40" s="7">
        <f t="shared" si="29"/>
        <v>-33502.41584171998</v>
      </c>
      <c r="BV40" s="7">
        <f t="shared" si="30"/>
        <v>-50253.623762580006</v>
      </c>
      <c r="BW40" s="7">
        <f t="shared" si="53"/>
        <v>0</v>
      </c>
      <c r="BX40" s="7">
        <f t="shared" si="54"/>
        <v>0</v>
      </c>
      <c r="BY40" s="7">
        <f t="shared" si="55"/>
        <v>0</v>
      </c>
      <c r="BZ40" s="7">
        <f t="shared" si="56"/>
        <v>0</v>
      </c>
      <c r="CA40" s="7">
        <f t="shared" si="57"/>
        <v>0</v>
      </c>
      <c r="CB40" s="7">
        <f t="shared" si="58"/>
        <v>0</v>
      </c>
      <c r="CC40" s="7">
        <f t="shared" si="59"/>
        <v>0</v>
      </c>
      <c r="CD40">
        <f t="shared" si="60"/>
        <v>0</v>
      </c>
      <c r="CE40">
        <f t="shared" si="61"/>
        <v>0</v>
      </c>
      <c r="CF40">
        <f t="shared" si="62"/>
        <v>0</v>
      </c>
      <c r="CG40">
        <f t="shared" si="63"/>
        <v>0</v>
      </c>
      <c r="CH40">
        <f t="shared" si="64"/>
        <v>0</v>
      </c>
      <c r="CI40">
        <f t="shared" si="65"/>
        <v>0</v>
      </c>
      <c r="CJ40">
        <f t="shared" si="66"/>
        <v>0</v>
      </c>
      <c r="CK40" s="6">
        <f>Tabla3[[#This Row],[Tns]]</f>
        <v>-408.24</v>
      </c>
      <c r="CL40" t="str">
        <f>IF(ISERROR(VLOOKUP(VALUE(E40),'Clientes CBOT'!A:A,1,0)),"VER","ok")</f>
        <v>ok</v>
      </c>
    </row>
    <row r="41" spans="1:90" x14ac:dyDescent="0.3">
      <c r="A41" s="12" t="str">
        <v>P</v>
      </c>
      <c r="B41" s="12" t="str">
        <v>R</v>
      </c>
      <c r="C41" s="12">
        <v>766</v>
      </c>
      <c r="D41" s="12">
        <v>0</v>
      </c>
      <c r="E41" s="12" t="str">
        <v>20176</v>
      </c>
      <c r="F41" s="12" t="str">
        <v>C</v>
      </c>
      <c r="G41" s="12" t="str">
        <v/>
      </c>
      <c r="H41" s="12" t="str">
        <v>F1</v>
      </c>
      <c r="I41" s="12" t="str">
        <v>.AS-0000026E</v>
      </c>
      <c r="J41" s="12">
        <v>2920</v>
      </c>
      <c r="K41" s="12">
        <v>2</v>
      </c>
      <c r="L41" s="12">
        <v>30000</v>
      </c>
      <c r="M41" s="12" t="str">
        <v>MAY 26 SOYBEANS</v>
      </c>
      <c r="N41" s="12" t="str">
        <v>11.30 3/4</v>
      </c>
      <c r="O41" s="12">
        <v>20251031</v>
      </c>
      <c r="P41" s="12" t="str">
        <v/>
      </c>
      <c r="Q41" s="12">
        <v>202605</v>
      </c>
      <c r="R41" s="12" t="str">
        <v/>
      </c>
      <c r="S41" s="12" t="str">
        <v>F</v>
      </c>
      <c r="T41" s="12" t="str">
        <v/>
      </c>
      <c r="U41" s="12">
        <v>0</v>
      </c>
      <c r="V41" s="12">
        <v>0</v>
      </c>
      <c r="W41" s="12" t="str">
        <v/>
      </c>
      <c r="X41" s="12" t="str">
        <v>FYO ACOPIO SA</v>
      </c>
      <c r="Y41" s="12" t="str">
        <v/>
      </c>
      <c r="Z41" s="12">
        <v>20251031</v>
      </c>
      <c r="AA41" s="12">
        <v>1</v>
      </c>
      <c r="AB41" s="12" t="str">
        <v>1A</v>
      </c>
      <c r="AC41" s="12" t="str">
        <v>S-</v>
      </c>
      <c r="AD41" s="12" t="str">
        <v/>
      </c>
      <c r="AE41" s="12" t="str">
        <v/>
      </c>
      <c r="AF41" s="12" t="str">
        <v>11.30750000</v>
      </c>
      <c r="AG41" s="12" t="str">
        <v/>
      </c>
      <c r="AH41" s="12" t="str">
        <v/>
      </c>
      <c r="AI41" s="12" t="str">
        <v/>
      </c>
      <c r="AJ41" s="12" t="str">
        <v/>
      </c>
      <c r="AK41" s="12" t="str">
        <v/>
      </c>
      <c r="AL41" s="12">
        <v>0</v>
      </c>
      <c r="AM41" s="12" t="str">
        <v>3.0000</v>
      </c>
      <c r="AN41" s="12" t="str">
        <v>USD</v>
      </c>
      <c r="AO41" s="98">
        <v>210000</v>
      </c>
      <c r="AP41" s="12">
        <v>1116750000</v>
      </c>
      <c r="AQ41" s="12">
        <v>0</v>
      </c>
      <c r="AR41" s="12">
        <v>50000</v>
      </c>
      <c r="AS41" s="12" t="str">
        <v>5J31 I5E0</v>
      </c>
      <c r="AT41" s="12">
        <v>116152920</v>
      </c>
      <c r="AU41" s="12" t="str">
        <v>0,0000</v>
      </c>
      <c r="AV41" s="12" t="str">
        <v>S</v>
      </c>
      <c r="AW41" s="12" t="str">
        <v>CBT</v>
      </c>
      <c r="AX41" s="12" t="str">
        <v>Comdty</v>
      </c>
      <c r="AY41" s="12" t="str">
        <v>Soja</v>
      </c>
      <c r="AZ41">
        <f>IF(VLOOKUP(AY41,Conversor!B:C,2,0)="HS",0.01,VLOOKUP(AY41,Conversor!B:C,2,0))</f>
        <v>0.36742999999999998</v>
      </c>
      <c r="BA41">
        <f t="shared" si="18"/>
        <v>-3</v>
      </c>
      <c r="BB41" s="42">
        <f t="shared" si="52"/>
        <v>410.32745249999999</v>
      </c>
      <c r="BC41" s="58">
        <f t="shared" si="19"/>
        <v>0</v>
      </c>
      <c r="BD41" s="1">
        <f>IF(OR(E41="FUTUR",E41="f20176"),0,VLOOKUP(AY41,Conversor!G:I,3,0)*BA41)</f>
        <v>-408.24</v>
      </c>
      <c r="BE41" t="str">
        <f t="shared" si="20"/>
        <v>Futuro</v>
      </c>
      <c r="BF41" t="str">
        <f t="shared" si="21"/>
        <v>no</v>
      </c>
      <c r="BG41" t="str">
        <f t="shared" si="22"/>
        <v>V</v>
      </c>
      <c r="BH41" t="str">
        <f t="shared" si="1"/>
        <v/>
      </c>
      <c r="BI41" s="7">
        <f t="shared" si="23"/>
        <v>287.22921674999998</v>
      </c>
      <c r="BJ41" s="7">
        <f t="shared" si="23"/>
        <v>328.26196200000004</v>
      </c>
      <c r="BK41" s="7">
        <f t="shared" si="23"/>
        <v>369.29470724999999</v>
      </c>
      <c r="BL41" s="7">
        <f t="shared" si="23"/>
        <v>410.32745249999999</v>
      </c>
      <c r="BM41" s="7">
        <f t="shared" si="23"/>
        <v>451.36019775000005</v>
      </c>
      <c r="BN41" s="7">
        <f t="shared" si="23"/>
        <v>492.39294299999995</v>
      </c>
      <c r="BO41" s="7">
        <f t="shared" si="23"/>
        <v>533.42568825000001</v>
      </c>
      <c r="BP41" s="7">
        <f t="shared" si="24"/>
        <v>50253.623762580006</v>
      </c>
      <c r="BQ41" s="7">
        <f t="shared" si="25"/>
        <v>33502.41584171998</v>
      </c>
      <c r="BR41" s="7">
        <f t="shared" si="26"/>
        <v>16751.207920860001</v>
      </c>
      <c r="BS41" s="7">
        <f t="shared" si="27"/>
        <v>0</v>
      </c>
      <c r="BT41" s="7">
        <f t="shared" si="28"/>
        <v>-16751.207920860026</v>
      </c>
      <c r="BU41" s="7">
        <f t="shared" si="29"/>
        <v>-33502.41584171998</v>
      </c>
      <c r="BV41" s="7">
        <f t="shared" si="30"/>
        <v>-50253.623762580006</v>
      </c>
      <c r="BW41" s="7">
        <f t="shared" si="53"/>
        <v>0</v>
      </c>
      <c r="BX41" s="7">
        <f t="shared" si="54"/>
        <v>0</v>
      </c>
      <c r="BY41" s="7">
        <f t="shared" si="55"/>
        <v>0</v>
      </c>
      <c r="BZ41" s="7">
        <f t="shared" si="56"/>
        <v>0</v>
      </c>
      <c r="CA41" s="7">
        <f t="shared" si="57"/>
        <v>0</v>
      </c>
      <c r="CB41" s="7">
        <f t="shared" si="58"/>
        <v>0</v>
      </c>
      <c r="CC41" s="7">
        <f t="shared" si="59"/>
        <v>0</v>
      </c>
      <c r="CD41">
        <f t="shared" si="60"/>
        <v>0</v>
      </c>
      <c r="CE41">
        <f t="shared" si="61"/>
        <v>0</v>
      </c>
      <c r="CF41">
        <f t="shared" si="62"/>
        <v>0</v>
      </c>
      <c r="CG41">
        <f t="shared" si="63"/>
        <v>0</v>
      </c>
      <c r="CH41">
        <f t="shared" si="64"/>
        <v>0</v>
      </c>
      <c r="CI41">
        <f t="shared" si="65"/>
        <v>0</v>
      </c>
      <c r="CJ41">
        <f t="shared" si="66"/>
        <v>0</v>
      </c>
      <c r="CK41" s="6">
        <f>Tabla3[[#This Row],[Tns]]</f>
        <v>-408.24</v>
      </c>
      <c r="CL41" t="str">
        <f>IF(ISERROR(VLOOKUP(VALUE(E41),'Clientes CBOT'!A:A,1,0)),"VER","ok")</f>
        <v>ok</v>
      </c>
    </row>
    <row r="42" spans="1:90" x14ac:dyDescent="0.3">
      <c r="A42" s="12" t="str">
        <v>P</v>
      </c>
      <c r="B42" s="12" t="str">
        <v>R</v>
      </c>
      <c r="C42" s="12">
        <v>766</v>
      </c>
      <c r="D42" s="12">
        <v>0</v>
      </c>
      <c r="E42" s="12" t="str">
        <v>20176</v>
      </c>
      <c r="F42" s="12" t="str">
        <v>C</v>
      </c>
      <c r="G42" s="12" t="str">
        <v/>
      </c>
      <c r="H42" s="12" t="str">
        <v>F1</v>
      </c>
      <c r="I42" s="12" t="str">
        <v>.AS-0000026E</v>
      </c>
      <c r="J42" s="12">
        <v>69</v>
      </c>
      <c r="K42" s="12">
        <v>2</v>
      </c>
      <c r="L42" s="12">
        <v>370000</v>
      </c>
      <c r="M42" s="12" t="str">
        <v>MAY 26 SOYBEANS</v>
      </c>
      <c r="N42" s="12" t="str">
        <v>11.35 3/4</v>
      </c>
      <c r="O42" s="12">
        <v>20251103</v>
      </c>
      <c r="P42" s="12" t="str">
        <v/>
      </c>
      <c r="Q42" s="12">
        <v>202605</v>
      </c>
      <c r="R42" s="12" t="str">
        <v/>
      </c>
      <c r="S42" s="12" t="str">
        <v>F</v>
      </c>
      <c r="T42" s="12" t="str">
        <v/>
      </c>
      <c r="U42" s="12">
        <v>0</v>
      </c>
      <c r="V42" s="12">
        <v>0</v>
      </c>
      <c r="W42" s="12" t="str">
        <v/>
      </c>
      <c r="X42" s="12" t="str">
        <v>FYO ACOPIO SA</v>
      </c>
      <c r="Y42" s="12" t="str">
        <v/>
      </c>
      <c r="Z42" s="12">
        <v>20251103</v>
      </c>
      <c r="AA42" s="12">
        <v>1</v>
      </c>
      <c r="AB42" s="12" t="str">
        <v>1A</v>
      </c>
      <c r="AC42" s="12" t="str">
        <v>S-</v>
      </c>
      <c r="AD42" s="12" t="str">
        <v/>
      </c>
      <c r="AE42" s="12" t="str">
        <v/>
      </c>
      <c r="AF42" s="12" t="str">
        <v>11.35750000</v>
      </c>
      <c r="AG42" s="12" t="str">
        <v/>
      </c>
      <c r="AH42" s="12" t="str">
        <v/>
      </c>
      <c r="AI42" s="12" t="str">
        <v/>
      </c>
      <c r="AJ42" s="12" t="str">
        <v/>
      </c>
      <c r="AK42" s="12" t="str">
        <v/>
      </c>
      <c r="AL42" s="12">
        <v>0</v>
      </c>
      <c r="AM42" s="12" t="str">
        <v>37.0000</v>
      </c>
      <c r="AN42" s="12" t="str">
        <v>USD</v>
      </c>
      <c r="AO42" s="98">
        <v>3515000</v>
      </c>
      <c r="AP42" s="12">
        <v>1116750000</v>
      </c>
      <c r="AQ42" s="12">
        <v>0</v>
      </c>
      <c r="AR42" s="12">
        <v>50000</v>
      </c>
      <c r="AS42" s="12" t="str">
        <v>5K03 BS90</v>
      </c>
      <c r="AT42" s="12">
        <v>116160069</v>
      </c>
      <c r="AU42" s="12" t="str">
        <v>0,0000</v>
      </c>
      <c r="AV42" s="12" t="str">
        <v>S</v>
      </c>
      <c r="AW42" s="12" t="str">
        <v>CBT</v>
      </c>
      <c r="AX42" s="12" t="str">
        <v>Comdty</v>
      </c>
      <c r="AY42" s="12" t="str">
        <v>Soja</v>
      </c>
      <c r="AZ42">
        <f>IF(VLOOKUP(AY42,Conversor!B:C,2,0)="HS",0.01,VLOOKUP(AY42,Conversor!B:C,2,0))</f>
        <v>0.36742999999999998</v>
      </c>
      <c r="BA42">
        <f t="shared" si="18"/>
        <v>-37</v>
      </c>
      <c r="BB42" s="42">
        <f t="shared" si="52"/>
        <v>410.32745249999999</v>
      </c>
      <c r="BC42" s="58">
        <f t="shared" si="19"/>
        <v>0</v>
      </c>
      <c r="BD42" s="1">
        <f>IF(OR(E42="FUTUR",E42="f20176"),0,VLOOKUP(AY42,Conversor!G:I,3,0)*BA42)</f>
        <v>-5034.96</v>
      </c>
      <c r="BE42" t="str">
        <f t="shared" si="20"/>
        <v>Futuro</v>
      </c>
      <c r="BF42" t="str">
        <f t="shared" si="21"/>
        <v>no</v>
      </c>
      <c r="BG42" t="str">
        <f t="shared" si="22"/>
        <v>V</v>
      </c>
      <c r="BH42" t="str">
        <f t="shared" si="1"/>
        <v/>
      </c>
      <c r="BI42" s="7">
        <f t="shared" si="23"/>
        <v>287.22921674999998</v>
      </c>
      <c r="BJ42" s="7">
        <f t="shared" si="23"/>
        <v>328.26196200000004</v>
      </c>
      <c r="BK42" s="7">
        <f t="shared" si="23"/>
        <v>369.29470724999999</v>
      </c>
      <c r="BL42" s="7">
        <f t="shared" si="23"/>
        <v>410.32745249999999</v>
      </c>
      <c r="BM42" s="7">
        <f t="shared" si="23"/>
        <v>451.36019775000005</v>
      </c>
      <c r="BN42" s="7">
        <f t="shared" si="23"/>
        <v>492.39294299999995</v>
      </c>
      <c r="BO42" s="7">
        <f t="shared" si="23"/>
        <v>533.42568825000001</v>
      </c>
      <c r="BP42" s="7">
        <f t="shared" si="24"/>
        <v>619794.69307182007</v>
      </c>
      <c r="BQ42" s="7">
        <f t="shared" si="25"/>
        <v>413196.46204787976</v>
      </c>
      <c r="BR42" s="7">
        <f t="shared" si="26"/>
        <v>206598.23102394002</v>
      </c>
      <c r="BS42" s="7">
        <f t="shared" si="27"/>
        <v>0</v>
      </c>
      <c r="BT42" s="7">
        <f t="shared" si="28"/>
        <v>-206598.23102394032</v>
      </c>
      <c r="BU42" s="7">
        <f t="shared" si="29"/>
        <v>-413196.46204787976</v>
      </c>
      <c r="BV42" s="7">
        <f t="shared" si="30"/>
        <v>-619794.69307182007</v>
      </c>
      <c r="BW42" s="7">
        <f t="shared" si="53"/>
        <v>0</v>
      </c>
      <c r="BX42" s="7">
        <f t="shared" si="54"/>
        <v>0</v>
      </c>
      <c r="BY42" s="7">
        <f t="shared" si="55"/>
        <v>0</v>
      </c>
      <c r="BZ42" s="7">
        <f t="shared" si="56"/>
        <v>0</v>
      </c>
      <c r="CA42" s="7">
        <f t="shared" si="57"/>
        <v>0</v>
      </c>
      <c r="CB42" s="7">
        <f t="shared" si="58"/>
        <v>0</v>
      </c>
      <c r="CC42" s="7">
        <f t="shared" si="59"/>
        <v>0</v>
      </c>
      <c r="CD42">
        <f t="shared" si="60"/>
        <v>0</v>
      </c>
      <c r="CE42">
        <f t="shared" si="61"/>
        <v>0</v>
      </c>
      <c r="CF42">
        <f t="shared" si="62"/>
        <v>0</v>
      </c>
      <c r="CG42">
        <f t="shared" si="63"/>
        <v>0</v>
      </c>
      <c r="CH42">
        <f t="shared" si="64"/>
        <v>0</v>
      </c>
      <c r="CI42">
        <f t="shared" si="65"/>
        <v>0</v>
      </c>
      <c r="CJ42">
        <f t="shared" si="66"/>
        <v>0</v>
      </c>
      <c r="CK42" s="6">
        <f>Tabla3[[#This Row],[Tns]]</f>
        <v>-5034.96</v>
      </c>
      <c r="CL42" t="str">
        <f>IF(ISERROR(VLOOKUP(VALUE(E42),'Clientes CBOT'!A:A,1,0)),"VER","ok")</f>
        <v>ok</v>
      </c>
    </row>
    <row r="43" spans="1:90" x14ac:dyDescent="0.3">
      <c r="A43" s="12" t="str">
        <v>P</v>
      </c>
      <c r="B43" s="12" t="str">
        <v>R</v>
      </c>
      <c r="C43" s="12">
        <v>766</v>
      </c>
      <c r="D43" s="12">
        <v>0</v>
      </c>
      <c r="E43" s="12" t="str">
        <v>20176</v>
      </c>
      <c r="F43" s="12" t="str">
        <v>C</v>
      </c>
      <c r="G43" s="12" t="str">
        <v/>
      </c>
      <c r="H43" s="12" t="str">
        <v>F1</v>
      </c>
      <c r="I43" s="12" t="str">
        <v>.AS-0000026E</v>
      </c>
      <c r="J43" s="12">
        <v>444</v>
      </c>
      <c r="K43" s="12">
        <v>2</v>
      </c>
      <c r="L43" s="12">
        <v>740000</v>
      </c>
      <c r="M43" s="12" t="str">
        <v>MAY 26 SOYBEANS</v>
      </c>
      <c r="N43" s="12" t="str">
        <v>11.38 1/2</v>
      </c>
      <c r="O43" s="12">
        <v>20251103</v>
      </c>
      <c r="P43" s="12" t="str">
        <v/>
      </c>
      <c r="Q43" s="12">
        <v>202605</v>
      </c>
      <c r="R43" s="12" t="str">
        <v/>
      </c>
      <c r="S43" s="12" t="str">
        <v>F</v>
      </c>
      <c r="T43" s="12" t="str">
        <v/>
      </c>
      <c r="U43" s="12">
        <v>0</v>
      </c>
      <c r="V43" s="12">
        <v>0</v>
      </c>
      <c r="W43" s="12" t="str">
        <v/>
      </c>
      <c r="X43" s="12" t="str">
        <v>FYO ACOPIO SA</v>
      </c>
      <c r="Y43" s="12" t="str">
        <v/>
      </c>
      <c r="Z43" s="12">
        <v>20251103</v>
      </c>
      <c r="AA43" s="12">
        <v>1</v>
      </c>
      <c r="AB43" s="12" t="str">
        <v>1A</v>
      </c>
      <c r="AC43" s="12" t="str">
        <v>S-</v>
      </c>
      <c r="AD43" s="12" t="str">
        <v/>
      </c>
      <c r="AE43" s="12" t="str">
        <v/>
      </c>
      <c r="AF43" s="12" t="str">
        <v>11.38500000</v>
      </c>
      <c r="AG43" s="12" t="str">
        <v/>
      </c>
      <c r="AH43" s="12" t="str">
        <v/>
      </c>
      <c r="AI43" s="12" t="str">
        <v/>
      </c>
      <c r="AJ43" s="12" t="str">
        <v/>
      </c>
      <c r="AK43" s="12" t="str">
        <v/>
      </c>
      <c r="AL43" s="12">
        <v>0</v>
      </c>
      <c r="AM43" s="12" t="str">
        <v>74.0000</v>
      </c>
      <c r="AN43" s="12" t="str">
        <v>USD</v>
      </c>
      <c r="AO43" s="98">
        <v>8047500</v>
      </c>
      <c r="AP43" s="12">
        <v>1116750000</v>
      </c>
      <c r="AQ43" s="12">
        <v>0</v>
      </c>
      <c r="AR43" s="12">
        <v>50000</v>
      </c>
      <c r="AS43" s="12" t="str">
        <v>5K03 CYE0</v>
      </c>
      <c r="AT43" s="12">
        <v>116160444</v>
      </c>
      <c r="AU43" s="12" t="str">
        <v>0,0000</v>
      </c>
      <c r="AV43" s="12" t="str">
        <v>S</v>
      </c>
      <c r="AW43" s="12" t="str">
        <v>CBT</v>
      </c>
      <c r="AX43" s="12" t="str">
        <v>Comdty</v>
      </c>
      <c r="AY43" s="12" t="str">
        <v>Soja</v>
      </c>
      <c r="AZ43">
        <f>IF(VLOOKUP(AY43,Conversor!B:C,2,0)="HS",0.01,VLOOKUP(AY43,Conversor!B:C,2,0))</f>
        <v>0.36742999999999998</v>
      </c>
      <c r="BA43">
        <f t="shared" si="18"/>
        <v>-74</v>
      </c>
      <c r="BB43" s="42">
        <f t="shared" si="52"/>
        <v>410.32745249999999</v>
      </c>
      <c r="BC43" s="58">
        <f t="shared" si="19"/>
        <v>0</v>
      </c>
      <c r="BD43" s="1">
        <f>IF(OR(E43="FUTUR",E43="f20176"),0,VLOOKUP(AY43,Conversor!G:I,3,0)*BA43)</f>
        <v>-10069.92</v>
      </c>
      <c r="BE43" t="str">
        <f t="shared" si="20"/>
        <v>Futuro</v>
      </c>
      <c r="BF43" t="str">
        <f t="shared" si="21"/>
        <v>no</v>
      </c>
      <c r="BG43" t="str">
        <f t="shared" si="22"/>
        <v>V</v>
      </c>
      <c r="BH43" t="str">
        <f t="shared" si="1"/>
        <v/>
      </c>
      <c r="BI43" s="7">
        <f t="shared" si="23"/>
        <v>287.22921674999998</v>
      </c>
      <c r="BJ43" s="7">
        <f t="shared" si="23"/>
        <v>328.26196200000004</v>
      </c>
      <c r="BK43" s="7">
        <f t="shared" si="23"/>
        <v>369.29470724999999</v>
      </c>
      <c r="BL43" s="7">
        <f t="shared" si="23"/>
        <v>410.32745249999999</v>
      </c>
      <c r="BM43" s="7">
        <f t="shared" si="23"/>
        <v>451.36019775000005</v>
      </c>
      <c r="BN43" s="7">
        <f t="shared" si="23"/>
        <v>492.39294299999995</v>
      </c>
      <c r="BO43" s="7">
        <f t="shared" si="23"/>
        <v>533.42568825000001</v>
      </c>
      <c r="BP43" s="7">
        <f t="shared" si="24"/>
        <v>1239589.3861436401</v>
      </c>
      <c r="BQ43" s="7">
        <f t="shared" si="25"/>
        <v>826392.92409575952</v>
      </c>
      <c r="BR43" s="7">
        <f t="shared" si="26"/>
        <v>413196.46204788005</v>
      </c>
      <c r="BS43" s="7">
        <f t="shared" si="27"/>
        <v>0</v>
      </c>
      <c r="BT43" s="7">
        <f t="shared" si="28"/>
        <v>-413196.46204788063</v>
      </c>
      <c r="BU43" s="7">
        <f t="shared" si="29"/>
        <v>-826392.92409575952</v>
      </c>
      <c r="BV43" s="7">
        <f t="shared" si="30"/>
        <v>-1239589.3861436401</v>
      </c>
      <c r="BW43" s="7">
        <f t="shared" si="53"/>
        <v>0</v>
      </c>
      <c r="BX43" s="7">
        <f t="shared" si="54"/>
        <v>0</v>
      </c>
      <c r="BY43" s="7">
        <f t="shared" si="55"/>
        <v>0</v>
      </c>
      <c r="BZ43" s="7">
        <f t="shared" si="56"/>
        <v>0</v>
      </c>
      <c r="CA43" s="7">
        <f t="shared" si="57"/>
        <v>0</v>
      </c>
      <c r="CB43" s="7">
        <f t="shared" si="58"/>
        <v>0</v>
      </c>
      <c r="CC43" s="7">
        <f t="shared" si="59"/>
        <v>0</v>
      </c>
      <c r="CD43">
        <f t="shared" si="60"/>
        <v>0</v>
      </c>
      <c r="CE43">
        <f t="shared" si="61"/>
        <v>0</v>
      </c>
      <c r="CF43">
        <f t="shared" si="62"/>
        <v>0</v>
      </c>
      <c r="CG43">
        <f t="shared" si="63"/>
        <v>0</v>
      </c>
      <c r="CH43">
        <f t="shared" si="64"/>
        <v>0</v>
      </c>
      <c r="CI43">
        <f t="shared" si="65"/>
        <v>0</v>
      </c>
      <c r="CJ43">
        <f t="shared" si="66"/>
        <v>0</v>
      </c>
      <c r="CK43" s="6">
        <f>Tabla3[[#This Row],[Tns]]</f>
        <v>-10069.92</v>
      </c>
      <c r="CL43" t="str">
        <f>IF(ISERROR(VLOOKUP(VALUE(E43),'Clientes CBOT'!A:A,1,0)),"VER","ok")</f>
        <v>ok</v>
      </c>
    </row>
    <row r="44" spans="1:90" x14ac:dyDescent="0.3">
      <c r="A44" s="12" t="str">
        <v>P</v>
      </c>
      <c r="B44" s="12" t="str">
        <v>R</v>
      </c>
      <c r="C44" s="12">
        <v>766</v>
      </c>
      <c r="D44" s="12">
        <v>0</v>
      </c>
      <c r="E44" s="12" t="str">
        <v>20176</v>
      </c>
      <c r="F44" s="12" t="str">
        <v>C</v>
      </c>
      <c r="G44" s="12" t="str">
        <v/>
      </c>
      <c r="H44" s="12" t="str">
        <v>F1</v>
      </c>
      <c r="I44" s="12" t="str">
        <v>.AS-0000026E</v>
      </c>
      <c r="J44" s="12">
        <v>3938</v>
      </c>
      <c r="K44" s="12">
        <v>2</v>
      </c>
      <c r="L44" s="12">
        <v>30000</v>
      </c>
      <c r="M44" s="12" t="str">
        <v>MAY 26 SOYBEANS</v>
      </c>
      <c r="N44" s="12" t="str">
        <v>11.49</v>
      </c>
      <c r="O44" s="12">
        <v>20251103</v>
      </c>
      <c r="P44" s="12" t="str">
        <v/>
      </c>
      <c r="Q44" s="12">
        <v>202605</v>
      </c>
      <c r="R44" s="12" t="str">
        <v/>
      </c>
      <c r="S44" s="12" t="str">
        <v>F</v>
      </c>
      <c r="T44" s="12" t="str">
        <v/>
      </c>
      <c r="U44" s="12">
        <v>0</v>
      </c>
      <c r="V44" s="12">
        <v>0</v>
      </c>
      <c r="W44" s="12" t="str">
        <v/>
      </c>
      <c r="X44" s="12" t="str">
        <v>FYO ACOPIO SA</v>
      </c>
      <c r="Y44" s="12" t="str">
        <v/>
      </c>
      <c r="Z44" s="12">
        <v>20251103</v>
      </c>
      <c r="AA44" s="12">
        <v>1</v>
      </c>
      <c r="AB44" s="12" t="str">
        <v>1A</v>
      </c>
      <c r="AC44" s="12" t="str">
        <v>S-</v>
      </c>
      <c r="AD44" s="12" t="str">
        <v/>
      </c>
      <c r="AE44" s="12" t="str">
        <v/>
      </c>
      <c r="AF44" s="12" t="str">
        <v>11.49000000</v>
      </c>
      <c r="AG44" s="12" t="str">
        <v/>
      </c>
      <c r="AH44" s="12" t="str">
        <v/>
      </c>
      <c r="AI44" s="12" t="str">
        <v/>
      </c>
      <c r="AJ44" s="12" t="str">
        <v/>
      </c>
      <c r="AK44" s="12" t="str">
        <v/>
      </c>
      <c r="AL44" s="12">
        <v>0</v>
      </c>
      <c r="AM44" s="12" t="str">
        <v>3.0000</v>
      </c>
      <c r="AN44" s="12" t="str">
        <v>USD</v>
      </c>
      <c r="AO44" s="98">
        <v>483750</v>
      </c>
      <c r="AP44" s="12">
        <v>1116750000</v>
      </c>
      <c r="AQ44" s="12">
        <v>0</v>
      </c>
      <c r="AR44" s="12">
        <v>50000</v>
      </c>
      <c r="AS44" s="12" t="str">
        <v>5K03 MrD0</v>
      </c>
      <c r="AT44" s="12">
        <v>116163938</v>
      </c>
      <c r="AU44" s="12" t="str">
        <v>0,0000</v>
      </c>
      <c r="AV44" s="12" t="str">
        <v>S</v>
      </c>
      <c r="AW44" s="12" t="str">
        <v>CBT</v>
      </c>
      <c r="AX44" s="12" t="str">
        <v>Comdty</v>
      </c>
      <c r="AY44" s="12" t="str">
        <v>Soja</v>
      </c>
      <c r="AZ44">
        <f>IF(VLOOKUP(AY44,Conversor!B:C,2,0)="HS",0.01,VLOOKUP(AY44,Conversor!B:C,2,0))</f>
        <v>0.36742999999999998</v>
      </c>
      <c r="BA44">
        <f t="shared" si="18"/>
        <v>-3</v>
      </c>
      <c r="BB44" s="42">
        <f t="shared" si="52"/>
        <v>410.32745249999999</v>
      </c>
      <c r="BC44" s="58">
        <f t="shared" si="19"/>
        <v>0</v>
      </c>
      <c r="BD44" s="1">
        <f>IF(OR(E44="FUTUR",E44="f20176"),0,VLOOKUP(AY44,Conversor!G:I,3,0)*BA44)</f>
        <v>-408.24</v>
      </c>
      <c r="BE44" t="str">
        <f t="shared" si="20"/>
        <v>Futuro</v>
      </c>
      <c r="BF44" t="str">
        <f t="shared" si="21"/>
        <v>no</v>
      </c>
      <c r="BG44" t="str">
        <f t="shared" si="22"/>
        <v>V</v>
      </c>
      <c r="BH44" t="str">
        <f t="shared" si="1"/>
        <v/>
      </c>
      <c r="BI44" s="7">
        <f t="shared" si="23"/>
        <v>287.22921674999998</v>
      </c>
      <c r="BJ44" s="7">
        <f t="shared" si="23"/>
        <v>328.26196200000004</v>
      </c>
      <c r="BK44" s="7">
        <f t="shared" si="23"/>
        <v>369.29470724999999</v>
      </c>
      <c r="BL44" s="7">
        <f t="shared" si="23"/>
        <v>410.32745249999999</v>
      </c>
      <c r="BM44" s="7">
        <f t="shared" si="23"/>
        <v>451.36019775000005</v>
      </c>
      <c r="BN44" s="7">
        <f t="shared" si="23"/>
        <v>492.39294299999995</v>
      </c>
      <c r="BO44" s="7">
        <f t="shared" si="23"/>
        <v>533.42568825000001</v>
      </c>
      <c r="BP44" s="7">
        <f t="shared" si="24"/>
        <v>50253.623762580006</v>
      </c>
      <c r="BQ44" s="7">
        <f t="shared" si="25"/>
        <v>33502.41584171998</v>
      </c>
      <c r="BR44" s="7">
        <f t="shared" si="26"/>
        <v>16751.207920860001</v>
      </c>
      <c r="BS44" s="7">
        <f t="shared" si="27"/>
        <v>0</v>
      </c>
      <c r="BT44" s="7">
        <f t="shared" si="28"/>
        <v>-16751.207920860026</v>
      </c>
      <c r="BU44" s="7">
        <f t="shared" si="29"/>
        <v>-33502.41584171998</v>
      </c>
      <c r="BV44" s="7">
        <f t="shared" si="30"/>
        <v>-50253.623762580006</v>
      </c>
      <c r="BW44" s="7">
        <f t="shared" si="53"/>
        <v>0</v>
      </c>
      <c r="BX44" s="7">
        <f t="shared" si="54"/>
        <v>0</v>
      </c>
      <c r="BY44" s="7">
        <f t="shared" si="55"/>
        <v>0</v>
      </c>
      <c r="BZ44" s="7">
        <f t="shared" si="56"/>
        <v>0</v>
      </c>
      <c r="CA44" s="7">
        <f t="shared" si="57"/>
        <v>0</v>
      </c>
      <c r="CB44" s="7">
        <f t="shared" si="58"/>
        <v>0</v>
      </c>
      <c r="CC44" s="7">
        <f t="shared" si="59"/>
        <v>0</v>
      </c>
      <c r="CD44">
        <f t="shared" si="60"/>
        <v>0</v>
      </c>
      <c r="CE44">
        <f t="shared" si="61"/>
        <v>0</v>
      </c>
      <c r="CF44">
        <f t="shared" si="62"/>
        <v>0</v>
      </c>
      <c r="CG44">
        <f t="shared" si="63"/>
        <v>0</v>
      </c>
      <c r="CH44">
        <f t="shared" si="64"/>
        <v>0</v>
      </c>
      <c r="CI44">
        <f t="shared" si="65"/>
        <v>0</v>
      </c>
      <c r="CJ44">
        <f t="shared" si="66"/>
        <v>0</v>
      </c>
      <c r="CK44" s="6">
        <f>Tabla3[[#This Row],[Tns]]</f>
        <v>-408.24</v>
      </c>
      <c r="CL44" t="str">
        <f>IF(ISERROR(VLOOKUP(VALUE(E44),'Clientes CBOT'!A:A,1,0)),"VER","ok")</f>
        <v>ok</v>
      </c>
    </row>
    <row r="45" spans="1:90" x14ac:dyDescent="0.3">
      <c r="A45" s="12" t="str">
        <v>P</v>
      </c>
      <c r="B45" s="12" t="str">
        <v>R</v>
      </c>
      <c r="C45" s="12">
        <v>766</v>
      </c>
      <c r="D45" s="12">
        <v>0</v>
      </c>
      <c r="E45" s="12" t="str">
        <v>20176</v>
      </c>
      <c r="F45" s="12" t="str">
        <v>C</v>
      </c>
      <c r="G45" s="12" t="str">
        <v/>
      </c>
      <c r="H45" s="12" t="str">
        <v>F1</v>
      </c>
      <c r="I45" s="12" t="str">
        <v>.AS-0000026E</v>
      </c>
      <c r="J45" s="12">
        <v>3449</v>
      </c>
      <c r="K45" s="12">
        <v>2</v>
      </c>
      <c r="L45" s="12">
        <v>150000</v>
      </c>
      <c r="M45" s="12" t="str">
        <v>MAY 26 SOYBEANS</v>
      </c>
      <c r="N45" s="12" t="str">
        <v>11.33</v>
      </c>
      <c r="O45" s="12">
        <v>20251104</v>
      </c>
      <c r="P45" s="12" t="str">
        <v/>
      </c>
      <c r="Q45" s="12">
        <v>202605</v>
      </c>
      <c r="R45" s="12" t="str">
        <v/>
      </c>
      <c r="S45" s="12" t="str">
        <v>F</v>
      </c>
      <c r="T45" s="12" t="str">
        <v/>
      </c>
      <c r="U45" s="12">
        <v>0</v>
      </c>
      <c r="V45" s="12">
        <v>0</v>
      </c>
      <c r="W45" s="12" t="str">
        <v/>
      </c>
      <c r="X45" s="12" t="str">
        <v>FYO ACOPIO SA</v>
      </c>
      <c r="Y45" s="12" t="str">
        <v/>
      </c>
      <c r="Z45" s="12">
        <v>20251104</v>
      </c>
      <c r="AA45" s="12">
        <v>1</v>
      </c>
      <c r="AB45" s="12" t="str">
        <v>1A</v>
      </c>
      <c r="AC45" s="12" t="str">
        <v>S-</v>
      </c>
      <c r="AD45" s="12" t="str">
        <v/>
      </c>
      <c r="AE45" s="12" t="str">
        <v/>
      </c>
      <c r="AF45" s="12" t="str">
        <v>11.33000000</v>
      </c>
      <c r="AG45" s="12" t="str">
        <v/>
      </c>
      <c r="AH45" s="12" t="str">
        <v/>
      </c>
      <c r="AI45" s="12" t="str">
        <v/>
      </c>
      <c r="AJ45" s="12" t="str">
        <v/>
      </c>
      <c r="AK45" s="12" t="str">
        <v/>
      </c>
      <c r="AL45" s="12">
        <v>0</v>
      </c>
      <c r="AM45" s="12" t="str">
        <v>15.0000</v>
      </c>
      <c r="AN45" s="12" t="str">
        <v>USD</v>
      </c>
      <c r="AO45" s="98">
        <v>1218750</v>
      </c>
      <c r="AP45" s="12">
        <v>1116750000</v>
      </c>
      <c r="AQ45" s="12">
        <v>0</v>
      </c>
      <c r="AR45" s="12">
        <v>50000</v>
      </c>
      <c r="AS45" s="12" t="str">
        <v>5K04 J560</v>
      </c>
      <c r="AT45" s="12">
        <v>116173449</v>
      </c>
      <c r="AU45" s="12" t="str">
        <v>0,0000</v>
      </c>
      <c r="AV45" s="12" t="str">
        <v>S</v>
      </c>
      <c r="AW45" s="12" t="str">
        <v>CBT</v>
      </c>
      <c r="AX45" s="12" t="str">
        <v>Comdty</v>
      </c>
      <c r="AY45" s="12" t="str">
        <v>Soja</v>
      </c>
      <c r="AZ45">
        <f>IF(VLOOKUP(AY45,Conversor!B:C,2,0)="HS",0.01,VLOOKUP(AY45,Conversor!B:C,2,0))</f>
        <v>0.36742999999999998</v>
      </c>
      <c r="BA45">
        <f t="shared" si="18"/>
        <v>-15</v>
      </c>
      <c r="BB45" s="42">
        <f t="shared" si="52"/>
        <v>410.32745249999999</v>
      </c>
      <c r="BC45" s="58">
        <f t="shared" si="19"/>
        <v>0</v>
      </c>
      <c r="BD45" s="1">
        <f>IF(OR(E45="FUTUR",E45="f20176"),0,VLOOKUP(AY45,Conversor!G:I,3,0)*BA45)</f>
        <v>-2041.2000000000003</v>
      </c>
      <c r="BE45" t="str">
        <f t="shared" si="20"/>
        <v>Futuro</v>
      </c>
      <c r="BF45" t="str">
        <f t="shared" si="21"/>
        <v>no</v>
      </c>
      <c r="BG45" t="str">
        <f t="shared" si="22"/>
        <v>V</v>
      </c>
      <c r="BH45" t="str">
        <f t="shared" si="1"/>
        <v/>
      </c>
      <c r="BI45" s="7">
        <f t="shared" si="23"/>
        <v>287.22921674999998</v>
      </c>
      <c r="BJ45" s="7">
        <f t="shared" si="23"/>
        <v>328.26196200000004</v>
      </c>
      <c r="BK45" s="7">
        <f t="shared" si="23"/>
        <v>369.29470724999999</v>
      </c>
      <c r="BL45" s="7">
        <f t="shared" si="23"/>
        <v>410.32745249999999</v>
      </c>
      <c r="BM45" s="7">
        <f t="shared" si="23"/>
        <v>451.36019775000005</v>
      </c>
      <c r="BN45" s="7">
        <f t="shared" si="23"/>
        <v>492.39294299999995</v>
      </c>
      <c r="BO45" s="7">
        <f t="shared" si="23"/>
        <v>533.42568825000001</v>
      </c>
      <c r="BP45" s="7">
        <f t="shared" si="24"/>
        <v>251268.11881290007</v>
      </c>
      <c r="BQ45" s="7">
        <f t="shared" si="25"/>
        <v>167512.07920859993</v>
      </c>
      <c r="BR45" s="7">
        <f t="shared" si="26"/>
        <v>83756.039604300022</v>
      </c>
      <c r="BS45" s="7">
        <f t="shared" si="27"/>
        <v>0</v>
      </c>
      <c r="BT45" s="7">
        <f t="shared" si="28"/>
        <v>-83756.039604300138</v>
      </c>
      <c r="BU45" s="7">
        <f t="shared" si="29"/>
        <v>-167512.07920859993</v>
      </c>
      <c r="BV45" s="7">
        <f t="shared" si="30"/>
        <v>-251268.11881290007</v>
      </c>
      <c r="BW45" s="7">
        <f t="shared" si="53"/>
        <v>0</v>
      </c>
      <c r="BX45" s="7">
        <f t="shared" si="54"/>
        <v>0</v>
      </c>
      <c r="BY45" s="7">
        <f t="shared" si="55"/>
        <v>0</v>
      </c>
      <c r="BZ45" s="7">
        <f t="shared" si="56"/>
        <v>0</v>
      </c>
      <c r="CA45" s="7">
        <f t="shared" si="57"/>
        <v>0</v>
      </c>
      <c r="CB45" s="7">
        <f t="shared" si="58"/>
        <v>0</v>
      </c>
      <c r="CC45" s="7">
        <f t="shared" si="59"/>
        <v>0</v>
      </c>
      <c r="CD45">
        <f t="shared" si="60"/>
        <v>0</v>
      </c>
      <c r="CE45">
        <f t="shared" si="61"/>
        <v>0</v>
      </c>
      <c r="CF45">
        <f t="shared" si="62"/>
        <v>0</v>
      </c>
      <c r="CG45">
        <f t="shared" si="63"/>
        <v>0</v>
      </c>
      <c r="CH45">
        <f t="shared" si="64"/>
        <v>0</v>
      </c>
      <c r="CI45">
        <f t="shared" si="65"/>
        <v>0</v>
      </c>
      <c r="CJ45">
        <f t="shared" si="66"/>
        <v>0</v>
      </c>
      <c r="CK45" s="6">
        <f>Tabla3[[#This Row],[Tns]]</f>
        <v>-2041.2000000000003</v>
      </c>
      <c r="CL45" t="str">
        <f>IF(ISERROR(VLOOKUP(VALUE(E45),'Clientes CBOT'!A:A,1,0)),"VER","ok")</f>
        <v>ok</v>
      </c>
    </row>
    <row r="46" spans="1:90" x14ac:dyDescent="0.3">
      <c r="A46" s="12" t="str">
        <v>P</v>
      </c>
      <c r="B46" s="12" t="str">
        <v>R</v>
      </c>
      <c r="C46" s="12">
        <v>766</v>
      </c>
      <c r="D46" s="12">
        <v>0</v>
      </c>
      <c r="E46" s="12" t="str">
        <v>20176</v>
      </c>
      <c r="F46" s="12" t="str">
        <v>C</v>
      </c>
      <c r="G46" s="12" t="str">
        <v/>
      </c>
      <c r="H46" s="12" t="str">
        <v>F1</v>
      </c>
      <c r="I46" s="12" t="str">
        <v>.AS-0000026E</v>
      </c>
      <c r="J46" s="12">
        <v>3862</v>
      </c>
      <c r="K46" s="12">
        <v>2</v>
      </c>
      <c r="L46" s="12">
        <v>370000</v>
      </c>
      <c r="M46" s="12" t="str">
        <v>MAY 26 SOYBEANS</v>
      </c>
      <c r="N46" s="12" t="str">
        <v>11.71</v>
      </c>
      <c r="O46" s="12">
        <v>20251117</v>
      </c>
      <c r="P46" s="12" t="str">
        <v/>
      </c>
      <c r="Q46" s="12">
        <v>202605</v>
      </c>
      <c r="R46" s="12" t="str">
        <v/>
      </c>
      <c r="S46" s="12" t="str">
        <v>F</v>
      </c>
      <c r="T46" s="12" t="str">
        <v/>
      </c>
      <c r="U46" s="12">
        <v>0</v>
      </c>
      <c r="V46" s="12">
        <v>0</v>
      </c>
      <c r="W46" s="12" t="str">
        <v/>
      </c>
      <c r="X46" s="12" t="str">
        <v>FYO ACOPIO SA</v>
      </c>
      <c r="Y46" s="12" t="str">
        <v/>
      </c>
      <c r="Z46" s="12">
        <v>20251117</v>
      </c>
      <c r="AA46" s="12">
        <v>1</v>
      </c>
      <c r="AB46" s="12" t="str">
        <v>1A</v>
      </c>
      <c r="AC46" s="12" t="str">
        <v>S-</v>
      </c>
      <c r="AD46" s="12" t="str">
        <v/>
      </c>
      <c r="AE46" s="12" t="str">
        <v/>
      </c>
      <c r="AF46" s="12" t="str">
        <v>11.71000000</v>
      </c>
      <c r="AG46" s="12" t="str">
        <v/>
      </c>
      <c r="AH46" s="12" t="str">
        <v/>
      </c>
      <c r="AI46" s="12" t="str">
        <v/>
      </c>
      <c r="AJ46" s="12" t="str">
        <v/>
      </c>
      <c r="AK46" s="12" t="str">
        <v/>
      </c>
      <c r="AL46" s="12">
        <v>0</v>
      </c>
      <c r="AM46" s="12" t="str">
        <v>37.0000</v>
      </c>
      <c r="AN46" s="12" t="str">
        <v>USD</v>
      </c>
      <c r="AO46" s="12">
        <v>10036250</v>
      </c>
      <c r="AP46" s="12">
        <v>1116750000</v>
      </c>
      <c r="AQ46" s="12">
        <v>0</v>
      </c>
      <c r="AR46" s="12">
        <v>50000</v>
      </c>
      <c r="AS46" s="12" t="str">
        <v>5K17 FFT0</v>
      </c>
      <c r="AT46" s="12">
        <v>116283862</v>
      </c>
      <c r="AU46" s="12" t="str">
        <v>0,0000</v>
      </c>
      <c r="AV46" s="12" t="str">
        <v>S</v>
      </c>
      <c r="AW46" s="12" t="str">
        <v>CBT</v>
      </c>
      <c r="AX46" s="12" t="str">
        <v>Comdty</v>
      </c>
      <c r="AY46" s="12" t="str">
        <v>Soja</v>
      </c>
      <c r="AZ46">
        <f>IF(VLOOKUP(AY46,Conversor!B:C,2,0)="HS",0.01,VLOOKUP(AY46,Conversor!B:C,2,0))</f>
        <v>0.36742999999999998</v>
      </c>
      <c r="BA46">
        <f t="shared" si="18"/>
        <v>-37</v>
      </c>
      <c r="BB46" s="42">
        <f t="shared" si="52"/>
        <v>410.32745249999999</v>
      </c>
      <c r="BC46" s="58">
        <f t="shared" si="19"/>
        <v>0</v>
      </c>
      <c r="BD46" s="1">
        <f>IF(OR(E46="FUTUR",E46="f20176"),0,VLOOKUP(AY46,Conversor!G:I,3,0)*BA46)</f>
        <v>-5034.96</v>
      </c>
      <c r="BE46" t="str">
        <f t="shared" si="20"/>
        <v>Futuro</v>
      </c>
      <c r="BF46" t="str">
        <f t="shared" si="21"/>
        <v>no</v>
      </c>
      <c r="BG46" t="str">
        <f t="shared" si="22"/>
        <v>V</v>
      </c>
      <c r="BH46" t="str">
        <f t="shared" si="1"/>
        <v/>
      </c>
      <c r="BI46" s="7">
        <f t="shared" si="23"/>
        <v>287.22921674999998</v>
      </c>
      <c r="BJ46" s="7">
        <f t="shared" si="23"/>
        <v>328.26196200000004</v>
      </c>
      <c r="BK46" s="7">
        <f t="shared" si="23"/>
        <v>369.29470724999999</v>
      </c>
      <c r="BL46" s="7">
        <f t="shared" si="23"/>
        <v>410.32745249999999</v>
      </c>
      <c r="BM46" s="7">
        <f t="shared" si="23"/>
        <v>451.36019775000005</v>
      </c>
      <c r="BN46" s="7">
        <f t="shared" si="23"/>
        <v>492.39294299999995</v>
      </c>
      <c r="BO46" s="7">
        <f t="shared" si="23"/>
        <v>533.42568825000001</v>
      </c>
      <c r="BP46" s="7">
        <f t="shared" si="24"/>
        <v>619794.69307182007</v>
      </c>
      <c r="BQ46" s="7">
        <f t="shared" si="25"/>
        <v>413196.46204787976</v>
      </c>
      <c r="BR46" s="7">
        <f t="shared" si="26"/>
        <v>206598.23102394002</v>
      </c>
      <c r="BS46" s="7">
        <f t="shared" si="27"/>
        <v>0</v>
      </c>
      <c r="BT46" s="7">
        <f t="shared" si="28"/>
        <v>-206598.23102394032</v>
      </c>
      <c r="BU46" s="7">
        <f t="shared" si="29"/>
        <v>-413196.46204787976</v>
      </c>
      <c r="BV46" s="7">
        <f t="shared" si="30"/>
        <v>-619794.69307182007</v>
      </c>
      <c r="BW46" s="7">
        <f t="shared" si="53"/>
        <v>0</v>
      </c>
      <c r="BX46" s="7">
        <f t="shared" si="54"/>
        <v>0</v>
      </c>
      <c r="BY46" s="7">
        <f t="shared" si="55"/>
        <v>0</v>
      </c>
      <c r="BZ46" s="7">
        <f t="shared" si="56"/>
        <v>0</v>
      </c>
      <c r="CA46" s="7">
        <f t="shared" si="57"/>
        <v>0</v>
      </c>
      <c r="CB46" s="7">
        <f t="shared" si="58"/>
        <v>0</v>
      </c>
      <c r="CC46" s="7">
        <f t="shared" si="59"/>
        <v>0</v>
      </c>
      <c r="CD46">
        <f t="shared" si="60"/>
        <v>0</v>
      </c>
      <c r="CE46">
        <f t="shared" si="61"/>
        <v>0</v>
      </c>
      <c r="CF46">
        <f t="shared" si="62"/>
        <v>0</v>
      </c>
      <c r="CG46">
        <f t="shared" si="63"/>
        <v>0</v>
      </c>
      <c r="CH46">
        <f t="shared" si="64"/>
        <v>0</v>
      </c>
      <c r="CI46">
        <f t="shared" si="65"/>
        <v>0</v>
      </c>
      <c r="CJ46">
        <f t="shared" si="66"/>
        <v>0</v>
      </c>
      <c r="CK46" s="6">
        <f>Tabla3[[#This Row],[Tns]]</f>
        <v>-5034.96</v>
      </c>
      <c r="CL46" t="str">
        <f>IF(ISERROR(VLOOKUP(VALUE(E46),'Clientes CBOT'!A:A,1,0)),"VER","ok")</f>
        <v>ok</v>
      </c>
    </row>
    <row r="47" spans="1:90" x14ac:dyDescent="0.3">
      <c r="A47" s="12" t="str">
        <v>P</v>
      </c>
      <c r="B47" s="12" t="str">
        <v>R</v>
      </c>
      <c r="C47" s="12">
        <v>766</v>
      </c>
      <c r="D47" s="12">
        <v>0</v>
      </c>
      <c r="E47" s="12" t="str">
        <v>20176</v>
      </c>
      <c r="F47" s="12" t="str">
        <v>C</v>
      </c>
      <c r="G47" s="12" t="str">
        <v/>
      </c>
      <c r="H47" s="12" t="str">
        <v>F1</v>
      </c>
      <c r="I47" s="12" t="str">
        <v>.AS-0000026E</v>
      </c>
      <c r="J47" s="12">
        <v>6895</v>
      </c>
      <c r="K47" s="12">
        <v>2</v>
      </c>
      <c r="L47" s="12">
        <v>150000</v>
      </c>
      <c r="M47" s="12" t="str">
        <v>MAY 26 SOYBEANS</v>
      </c>
      <c r="N47" s="12" t="str">
        <v>11.68</v>
      </c>
      <c r="O47" s="12">
        <v>20251118</v>
      </c>
      <c r="P47" s="12" t="str">
        <v/>
      </c>
      <c r="Q47" s="12">
        <v>202605</v>
      </c>
      <c r="R47" s="12" t="str">
        <v/>
      </c>
      <c r="S47" s="12" t="str">
        <v>F</v>
      </c>
      <c r="T47" s="12" t="str">
        <v/>
      </c>
      <c r="U47" s="12">
        <v>0</v>
      </c>
      <c r="V47" s="12">
        <v>0</v>
      </c>
      <c r="W47" s="12" t="str">
        <v/>
      </c>
      <c r="X47" s="12" t="str">
        <v>FYO ACOPIO SA</v>
      </c>
      <c r="Y47" s="12" t="str">
        <v/>
      </c>
      <c r="Z47" s="12">
        <v>20251118</v>
      </c>
      <c r="AA47" s="12">
        <v>1</v>
      </c>
      <c r="AB47" s="12" t="str">
        <v>1A</v>
      </c>
      <c r="AC47" s="12" t="str">
        <v>S-</v>
      </c>
      <c r="AD47" s="12" t="str">
        <v/>
      </c>
      <c r="AE47" s="12" t="str">
        <v/>
      </c>
      <c r="AF47" s="12" t="str">
        <v>11.68000000</v>
      </c>
      <c r="AG47" s="12" t="str">
        <v/>
      </c>
      <c r="AH47" s="12" t="str">
        <v/>
      </c>
      <c r="AI47" s="12" t="str">
        <v/>
      </c>
      <c r="AJ47" s="12" t="str">
        <v/>
      </c>
      <c r="AK47" s="12" t="str">
        <v/>
      </c>
      <c r="AL47" s="12">
        <v>0</v>
      </c>
      <c r="AM47" s="12" t="str">
        <v>15.0000</v>
      </c>
      <c r="AN47" s="12" t="str">
        <v>USD</v>
      </c>
      <c r="AO47" s="12">
        <v>3843750</v>
      </c>
      <c r="AP47" s="12">
        <v>1116750000</v>
      </c>
      <c r="AQ47" s="12">
        <v>0</v>
      </c>
      <c r="AR47" s="12">
        <v>50000</v>
      </c>
      <c r="AS47" s="12" t="str">
        <v>5K18 P410</v>
      </c>
      <c r="AT47" s="12">
        <v>116296895</v>
      </c>
      <c r="AU47" s="12" t="str">
        <v>0,0000</v>
      </c>
      <c r="AV47" s="12" t="str">
        <v>S</v>
      </c>
      <c r="AW47" s="12" t="str">
        <v>CBT</v>
      </c>
      <c r="AX47" s="12" t="str">
        <v>Comdty</v>
      </c>
      <c r="AY47" s="12" t="str">
        <v>Soja</v>
      </c>
      <c r="AZ47">
        <f>IF(VLOOKUP(AY47,Conversor!B:C,2,0)="HS",0.01,VLOOKUP(AY47,Conversor!B:C,2,0))</f>
        <v>0.36742999999999998</v>
      </c>
      <c r="BA47">
        <f t="shared" si="18"/>
        <v>-15</v>
      </c>
      <c r="BB47" s="42">
        <f t="shared" si="52"/>
        <v>410.32745249999999</v>
      </c>
      <c r="BC47" s="58">
        <f t="shared" si="19"/>
        <v>0</v>
      </c>
      <c r="BD47" s="1">
        <f>IF(OR(E47="FUTUR",E47="f20176"),0,VLOOKUP(AY47,Conversor!G:I,3,0)*BA47)</f>
        <v>-2041.2000000000003</v>
      </c>
      <c r="BE47" t="str">
        <f t="shared" si="20"/>
        <v>Futuro</v>
      </c>
      <c r="BF47" t="str">
        <f t="shared" si="21"/>
        <v>no</v>
      </c>
      <c r="BG47" t="str">
        <f t="shared" si="22"/>
        <v>V</v>
      </c>
      <c r="BH47" t="str">
        <f t="shared" si="1"/>
        <v/>
      </c>
      <c r="BI47" s="7">
        <f t="shared" si="23"/>
        <v>287.22921674999998</v>
      </c>
      <c r="BJ47" s="7">
        <f t="shared" si="23"/>
        <v>328.26196200000004</v>
      </c>
      <c r="BK47" s="7">
        <f t="shared" si="23"/>
        <v>369.29470724999999</v>
      </c>
      <c r="BL47" s="7">
        <f t="shared" si="23"/>
        <v>410.32745249999999</v>
      </c>
      <c r="BM47" s="7">
        <f t="shared" si="23"/>
        <v>451.36019775000005</v>
      </c>
      <c r="BN47" s="7">
        <f t="shared" si="23"/>
        <v>492.39294299999995</v>
      </c>
      <c r="BO47" s="7">
        <f t="shared" si="23"/>
        <v>533.42568825000001</v>
      </c>
      <c r="BP47" s="7">
        <f t="shared" si="24"/>
        <v>251268.11881290007</v>
      </c>
      <c r="BQ47" s="7">
        <f t="shared" si="25"/>
        <v>167512.07920859993</v>
      </c>
      <c r="BR47" s="7">
        <f t="shared" si="26"/>
        <v>83756.039604300022</v>
      </c>
      <c r="BS47" s="7">
        <f t="shared" si="27"/>
        <v>0</v>
      </c>
      <c r="BT47" s="7">
        <f t="shared" si="28"/>
        <v>-83756.039604300138</v>
      </c>
      <c r="BU47" s="7">
        <f t="shared" si="29"/>
        <v>-167512.07920859993</v>
      </c>
      <c r="BV47" s="7">
        <f t="shared" si="30"/>
        <v>-251268.11881290007</v>
      </c>
      <c r="BW47" s="7">
        <f t="shared" si="53"/>
        <v>0</v>
      </c>
      <c r="BX47" s="7">
        <f t="shared" si="54"/>
        <v>0</v>
      </c>
      <c r="BY47" s="7">
        <f t="shared" si="55"/>
        <v>0</v>
      </c>
      <c r="BZ47" s="7">
        <f t="shared" si="56"/>
        <v>0</v>
      </c>
      <c r="CA47" s="7">
        <f t="shared" si="57"/>
        <v>0</v>
      </c>
      <c r="CB47" s="7">
        <f t="shared" si="58"/>
        <v>0</v>
      </c>
      <c r="CC47" s="7">
        <f t="shared" si="59"/>
        <v>0</v>
      </c>
      <c r="CD47">
        <f t="shared" si="60"/>
        <v>0</v>
      </c>
      <c r="CE47">
        <f t="shared" si="61"/>
        <v>0</v>
      </c>
      <c r="CF47">
        <f t="shared" si="62"/>
        <v>0</v>
      </c>
      <c r="CG47">
        <f t="shared" si="63"/>
        <v>0</v>
      </c>
      <c r="CH47">
        <f t="shared" si="64"/>
        <v>0</v>
      </c>
      <c r="CI47">
        <f t="shared" si="65"/>
        <v>0</v>
      </c>
      <c r="CJ47">
        <f t="shared" si="66"/>
        <v>0</v>
      </c>
      <c r="CK47" s="6">
        <f>Tabla3[[#This Row],[Tns]]</f>
        <v>-2041.2000000000003</v>
      </c>
      <c r="CL47" t="str">
        <f>IF(ISERROR(VLOOKUP(VALUE(E47),'Clientes CBOT'!A:A,1,0)),"VER","ok")</f>
        <v>ok</v>
      </c>
    </row>
    <row r="48" spans="1:90" x14ac:dyDescent="0.3">
      <c r="A48" s="12" t="str">
        <v>P</v>
      </c>
      <c r="B48" s="12" t="str">
        <v>R</v>
      </c>
      <c r="C48" s="12">
        <v>766</v>
      </c>
      <c r="D48" s="12">
        <v>0</v>
      </c>
      <c r="E48" s="12" t="str">
        <v>20176</v>
      </c>
      <c r="F48" s="12" t="str">
        <v>C</v>
      </c>
      <c r="G48" s="12" t="str">
        <v/>
      </c>
      <c r="H48" s="12" t="str">
        <v>F1</v>
      </c>
      <c r="I48" s="12" t="str">
        <v>.AS-0000026G</v>
      </c>
      <c r="J48" s="12">
        <v>7940</v>
      </c>
      <c r="K48" s="12">
        <v>2</v>
      </c>
      <c r="L48" s="12">
        <v>220000</v>
      </c>
      <c r="M48" s="12" t="str">
        <v>JUL 26 SOYBEANS</v>
      </c>
      <c r="N48" s="12" t="str">
        <v>11.38</v>
      </c>
      <c r="O48" s="12">
        <v>20251106</v>
      </c>
      <c r="P48" s="12" t="str">
        <v/>
      </c>
      <c r="Q48" s="12">
        <v>202607</v>
      </c>
      <c r="R48" s="12" t="str">
        <v/>
      </c>
      <c r="S48" s="12" t="str">
        <v>F</v>
      </c>
      <c r="T48" s="12" t="str">
        <v/>
      </c>
      <c r="U48" s="12">
        <v>0</v>
      </c>
      <c r="V48" s="12">
        <v>0</v>
      </c>
      <c r="W48" s="12" t="str">
        <v/>
      </c>
      <c r="X48" s="12" t="str">
        <v>FYO ACOPIO SA</v>
      </c>
      <c r="Y48" s="12" t="str">
        <v/>
      </c>
      <c r="Z48" s="12">
        <v>20251106</v>
      </c>
      <c r="AA48" s="12">
        <v>1</v>
      </c>
      <c r="AB48" s="12" t="str">
        <v>1A</v>
      </c>
      <c r="AC48" s="12" t="str">
        <v>S-</v>
      </c>
      <c r="AD48" s="12" t="str">
        <v/>
      </c>
      <c r="AE48" s="12" t="str">
        <v/>
      </c>
      <c r="AF48" s="12" t="str">
        <v>11.38000000</v>
      </c>
      <c r="AG48" s="12" t="str">
        <v/>
      </c>
      <c r="AH48" s="12" t="str">
        <v/>
      </c>
      <c r="AI48" s="12" t="str">
        <v/>
      </c>
      <c r="AJ48" s="12" t="str">
        <v/>
      </c>
      <c r="AK48" s="12" t="str">
        <v/>
      </c>
      <c r="AL48" s="12">
        <v>0</v>
      </c>
      <c r="AM48" s="12" t="str">
        <v>22.0000</v>
      </c>
      <c r="AN48" s="12" t="str">
        <v>USD</v>
      </c>
      <c r="AO48" s="12">
        <v>1347500</v>
      </c>
      <c r="AP48" s="12">
        <v>1125750000</v>
      </c>
      <c r="AQ48" s="12">
        <v>0</v>
      </c>
      <c r="AR48" s="12">
        <v>50000</v>
      </c>
      <c r="AS48" s="12" t="str">
        <v>5K06 L5D0</v>
      </c>
      <c r="AT48" s="12">
        <v>116197940</v>
      </c>
      <c r="AU48" s="12" t="str">
        <v>0,0000</v>
      </c>
      <c r="AV48" s="12" t="str">
        <v>S</v>
      </c>
      <c r="AW48" s="12" t="str">
        <v>CBT</v>
      </c>
      <c r="AX48" s="12" t="str">
        <v>Comdty</v>
      </c>
      <c r="AY48" s="12" t="str">
        <v>Soja</v>
      </c>
      <c r="AZ48">
        <f>IF(VLOOKUP(AY48,Conversor!B:C,2,0)="HS",0.01,VLOOKUP(AY48,Conversor!B:C,2,0))</f>
        <v>0.36742999999999998</v>
      </c>
      <c r="BA48">
        <f t="shared" si="18"/>
        <v>-22</v>
      </c>
      <c r="BB48" s="42">
        <f t="shared" si="52"/>
        <v>413.6343225</v>
      </c>
      <c r="BC48" s="58">
        <f t="shared" si="19"/>
        <v>0</v>
      </c>
      <c r="BD48" s="1">
        <f>IF(OR(E48="FUTUR",E48="f20176"),0,VLOOKUP(AY48,Conversor!G:I,3,0)*BA48)</f>
        <v>-2993.76</v>
      </c>
      <c r="BE48" t="str">
        <f t="shared" si="20"/>
        <v>Futuro</v>
      </c>
      <c r="BF48" t="str">
        <f t="shared" si="21"/>
        <v>no</v>
      </c>
      <c r="BG48" t="str">
        <f t="shared" si="22"/>
        <v>V</v>
      </c>
      <c r="BH48" t="str">
        <f t="shared" si="1"/>
        <v/>
      </c>
      <c r="BI48" s="7">
        <f t="shared" si="23"/>
        <v>289.54402575</v>
      </c>
      <c r="BJ48" s="7">
        <f t="shared" si="23"/>
        <v>330.90745800000002</v>
      </c>
      <c r="BK48" s="7">
        <f t="shared" si="23"/>
        <v>372.27089024999998</v>
      </c>
      <c r="BL48" s="7">
        <f t="shared" si="23"/>
        <v>413.6343225</v>
      </c>
      <c r="BM48" s="7">
        <f t="shared" si="23"/>
        <v>454.99775475000001</v>
      </c>
      <c r="BN48" s="7">
        <f t="shared" si="23"/>
        <v>496.36118699999997</v>
      </c>
      <c r="BO48" s="7">
        <f t="shared" si="23"/>
        <v>537.72461925000005</v>
      </c>
      <c r="BP48" s="7">
        <f t="shared" si="24"/>
        <v>371496.56679827999</v>
      </c>
      <c r="BQ48" s="7">
        <f t="shared" si="25"/>
        <v>247664.37786551996</v>
      </c>
      <c r="BR48" s="7">
        <f t="shared" si="26"/>
        <v>123832.18893276007</v>
      </c>
      <c r="BS48" s="7">
        <f t="shared" si="27"/>
        <v>0</v>
      </c>
      <c r="BT48" s="7">
        <f t="shared" si="28"/>
        <v>-123832.18893276007</v>
      </c>
      <c r="BU48" s="7">
        <f t="shared" si="29"/>
        <v>-247664.37786551996</v>
      </c>
      <c r="BV48" s="7">
        <f t="shared" si="30"/>
        <v>-371496.56679828017</v>
      </c>
      <c r="BW48" s="7">
        <f t="shared" si="53"/>
        <v>0</v>
      </c>
      <c r="BX48" s="7">
        <f t="shared" si="54"/>
        <v>0</v>
      </c>
      <c r="BY48" s="7">
        <f t="shared" si="55"/>
        <v>0</v>
      </c>
      <c r="BZ48" s="7">
        <f t="shared" si="56"/>
        <v>0</v>
      </c>
      <c r="CA48" s="7">
        <f t="shared" si="57"/>
        <v>0</v>
      </c>
      <c r="CB48" s="7">
        <f t="shared" si="58"/>
        <v>0</v>
      </c>
      <c r="CC48" s="7">
        <f t="shared" si="59"/>
        <v>0</v>
      </c>
      <c r="CD48">
        <f t="shared" si="60"/>
        <v>0</v>
      </c>
      <c r="CE48">
        <f t="shared" si="61"/>
        <v>0</v>
      </c>
      <c r="CF48">
        <f t="shared" si="62"/>
        <v>0</v>
      </c>
      <c r="CG48">
        <f t="shared" si="63"/>
        <v>0</v>
      </c>
      <c r="CH48">
        <f t="shared" si="64"/>
        <v>0</v>
      </c>
      <c r="CI48">
        <f t="shared" si="65"/>
        <v>0</v>
      </c>
      <c r="CJ48">
        <f t="shared" si="66"/>
        <v>0</v>
      </c>
      <c r="CK48" s="6">
        <f>Tabla3[[#This Row],[Tns]]</f>
        <v>-2993.76</v>
      </c>
      <c r="CL48" t="str">
        <f>IF(ISERROR(VLOOKUP(VALUE(E48),'Clientes CBOT'!A:A,1,0)),"VER","ok")</f>
        <v>ok</v>
      </c>
    </row>
    <row r="49" spans="1:90" x14ac:dyDescent="0.3">
      <c r="A49" s="12" t="str">
        <v>P</v>
      </c>
      <c r="B49" s="12" t="str">
        <v>R</v>
      </c>
      <c r="C49" s="12">
        <v>766</v>
      </c>
      <c r="D49" s="12">
        <v>0</v>
      </c>
      <c r="E49" s="12" t="str">
        <v>20176</v>
      </c>
      <c r="F49" s="12" t="str">
        <v>C</v>
      </c>
      <c r="G49" s="12" t="str">
        <v/>
      </c>
      <c r="H49" s="12" t="str">
        <v>F1</v>
      </c>
      <c r="I49" s="12" t="str">
        <v>.AW-0000026C</v>
      </c>
      <c r="J49" s="12">
        <v>3585</v>
      </c>
      <c r="K49" s="12">
        <v>2</v>
      </c>
      <c r="L49" s="12">
        <v>40000</v>
      </c>
      <c r="M49" s="12" t="str">
        <v>MAR 26 WHEAT</v>
      </c>
      <c r="N49" s="12" t="str">
        <v>5.40 1/4</v>
      </c>
      <c r="O49" s="12">
        <v>20251126</v>
      </c>
      <c r="P49" s="12" t="str">
        <v/>
      </c>
      <c r="Q49" s="12">
        <v>202603</v>
      </c>
      <c r="R49" s="12" t="str">
        <v/>
      </c>
      <c r="S49" s="12" t="str">
        <v>F</v>
      </c>
      <c r="T49" s="12" t="str">
        <v/>
      </c>
      <c r="U49" s="12">
        <v>0</v>
      </c>
      <c r="V49" s="12">
        <v>0</v>
      </c>
      <c r="W49" s="12" t="str">
        <v/>
      </c>
      <c r="X49" s="12" t="str">
        <v>FYO ACOPIO SA</v>
      </c>
      <c r="Y49" s="12" t="str">
        <v/>
      </c>
      <c r="Z49" s="12">
        <v>20251126</v>
      </c>
      <c r="AA49" s="12">
        <v>1</v>
      </c>
      <c r="AB49" s="12" t="str">
        <v>1A</v>
      </c>
      <c r="AC49" s="12" t="str">
        <v>W-</v>
      </c>
      <c r="AD49" s="12" t="str">
        <v/>
      </c>
      <c r="AE49" s="12" t="str">
        <v/>
      </c>
      <c r="AF49" s="12" t="str">
        <v>5.40250000</v>
      </c>
      <c r="AG49" s="12" t="str">
        <v/>
      </c>
      <c r="AH49" s="12" t="str">
        <v/>
      </c>
      <c r="AI49" s="12" t="str">
        <v/>
      </c>
      <c r="AJ49" s="12" t="str">
        <v/>
      </c>
      <c r="AK49" s="12" t="str">
        <v/>
      </c>
      <c r="AL49" s="12">
        <v>0</v>
      </c>
      <c r="AM49" s="12" t="str">
        <v>4.0000</v>
      </c>
      <c r="AN49" s="12" t="str">
        <v>USD</v>
      </c>
      <c r="AO49" s="12">
        <v>110000</v>
      </c>
      <c r="AP49" s="12">
        <v>534750000</v>
      </c>
      <c r="AQ49" s="12">
        <v>0</v>
      </c>
      <c r="AR49" s="12">
        <v>50000</v>
      </c>
      <c r="AS49" s="12" t="str">
        <v>5K26 OWv0</v>
      </c>
      <c r="AT49" s="12">
        <v>116373585</v>
      </c>
      <c r="AU49" s="12" t="str">
        <v>0,0000</v>
      </c>
      <c r="AV49" s="12" t="str">
        <v>W</v>
      </c>
      <c r="AW49" s="12" t="str">
        <v>CBT</v>
      </c>
      <c r="AX49" s="12" t="str">
        <v>Comdty</v>
      </c>
      <c r="AY49" s="12" t="str">
        <v>Trigo</v>
      </c>
      <c r="AZ49">
        <f>IF(VLOOKUP(AY49,Conversor!B:C,2,0)="HS",0.01,VLOOKUP(AY49,Conversor!B:C,2,0))</f>
        <v>0.36742999999999998</v>
      </c>
      <c r="BA49">
        <f t="shared" si="18"/>
        <v>-4</v>
      </c>
      <c r="BB49" s="42">
        <f t="shared" si="52"/>
        <v>196.4831925</v>
      </c>
      <c r="BC49" s="58">
        <f t="shared" si="19"/>
        <v>0</v>
      </c>
      <c r="BD49" s="1">
        <f>IF(OR(E49="FUTUR",E49="f20176"),0,VLOOKUP(AY49,Conversor!G:I,3,0)*BA49)</f>
        <v>-544.32000000000005</v>
      </c>
      <c r="BE49" t="str">
        <f t="shared" si="20"/>
        <v>Futuro</v>
      </c>
      <c r="BF49" t="str">
        <f t="shared" si="21"/>
        <v>no</v>
      </c>
      <c r="BG49" t="str">
        <f t="shared" si="22"/>
        <v>V</v>
      </c>
      <c r="BH49" t="str">
        <f t="shared" si="1"/>
        <v/>
      </c>
      <c r="BI49" s="7">
        <f t="shared" si="23"/>
        <v>137.53823474999999</v>
      </c>
      <c r="BJ49" s="7">
        <f t="shared" si="23"/>
        <v>157.186554</v>
      </c>
      <c r="BK49" s="7">
        <f t="shared" si="23"/>
        <v>176.83487325000002</v>
      </c>
      <c r="BL49" s="7">
        <f t="shared" si="23"/>
        <v>196.4831925</v>
      </c>
      <c r="BM49" s="7">
        <f t="shared" si="23"/>
        <v>216.13151175000002</v>
      </c>
      <c r="BN49" s="7">
        <f t="shared" si="23"/>
        <v>235.779831</v>
      </c>
      <c r="BO49" s="7">
        <f t="shared" si="23"/>
        <v>255.42815025000002</v>
      </c>
      <c r="BP49" s="7">
        <f t="shared" si="24"/>
        <v>32084.919402480013</v>
      </c>
      <c r="BQ49" s="7">
        <f t="shared" si="25"/>
        <v>21389.946268320004</v>
      </c>
      <c r="BR49" s="7">
        <f t="shared" si="26"/>
        <v>10694.973134159993</v>
      </c>
      <c r="BS49" s="7">
        <f t="shared" si="27"/>
        <v>0</v>
      </c>
      <c r="BT49" s="7">
        <f t="shared" si="28"/>
        <v>-10694.973134160009</v>
      </c>
      <c r="BU49" s="7">
        <f t="shared" si="29"/>
        <v>-21389.946268320004</v>
      </c>
      <c r="BV49" s="7">
        <f t="shared" si="30"/>
        <v>-32084.919402480013</v>
      </c>
      <c r="BW49" s="7">
        <f t="shared" si="53"/>
        <v>0</v>
      </c>
      <c r="BX49" s="7">
        <f t="shared" si="54"/>
        <v>0</v>
      </c>
      <c r="BY49" s="7">
        <f t="shared" si="55"/>
        <v>0</v>
      </c>
      <c r="BZ49" s="7">
        <f t="shared" si="56"/>
        <v>0</v>
      </c>
      <c r="CA49" s="7">
        <f t="shared" si="57"/>
        <v>0</v>
      </c>
      <c r="CB49" s="7">
        <f t="shared" si="58"/>
        <v>0</v>
      </c>
      <c r="CC49" s="7">
        <f t="shared" si="59"/>
        <v>0</v>
      </c>
      <c r="CD49">
        <f t="shared" si="60"/>
        <v>0</v>
      </c>
      <c r="CE49">
        <f t="shared" si="61"/>
        <v>0</v>
      </c>
      <c r="CF49">
        <f t="shared" si="62"/>
        <v>0</v>
      </c>
      <c r="CG49">
        <f t="shared" si="63"/>
        <v>0</v>
      </c>
      <c r="CH49">
        <f t="shared" si="64"/>
        <v>0</v>
      </c>
      <c r="CI49">
        <f t="shared" si="65"/>
        <v>0</v>
      </c>
      <c r="CJ49">
        <f t="shared" si="66"/>
        <v>0</v>
      </c>
      <c r="CK49" s="6">
        <f>Tabla3[[#This Row],[Tns]]</f>
        <v>-544.32000000000005</v>
      </c>
      <c r="CL49" t="str">
        <f>IF(ISERROR(VLOOKUP(VALUE(E49),'Clientes CBOT'!A:A,1,0)),"VER","ok")</f>
        <v>ok</v>
      </c>
    </row>
    <row r="50" spans="1:90" x14ac:dyDescent="0.3">
      <c r="A50" s="12" t="str">
        <v>P</v>
      </c>
      <c r="B50" s="12" t="str">
        <v>R</v>
      </c>
      <c r="C50" s="12">
        <v>766</v>
      </c>
      <c r="D50" s="12">
        <v>0</v>
      </c>
      <c r="E50" s="12" t="str">
        <v>20176</v>
      </c>
      <c r="F50" s="12" t="str">
        <v>C</v>
      </c>
      <c r="G50" s="12" t="str">
        <v/>
      </c>
      <c r="H50" s="12" t="str">
        <v>F1</v>
      </c>
      <c r="I50" s="12" t="str">
        <v>.AW-0000026C</v>
      </c>
      <c r="J50" s="12">
        <v>3585</v>
      </c>
      <c r="K50" s="12">
        <v>2</v>
      </c>
      <c r="L50" s="12">
        <v>10000</v>
      </c>
      <c r="M50" s="12" t="str">
        <v>MAR 26 WHEAT</v>
      </c>
      <c r="N50" s="12" t="str">
        <v>5.41</v>
      </c>
      <c r="O50" s="12">
        <v>20251126</v>
      </c>
      <c r="P50" s="12" t="str">
        <v/>
      </c>
      <c r="Q50" s="12">
        <v>202603</v>
      </c>
      <c r="R50" s="12" t="str">
        <v/>
      </c>
      <c r="S50" s="12" t="str">
        <v>F</v>
      </c>
      <c r="T50" s="12" t="str">
        <v/>
      </c>
      <c r="U50" s="12">
        <v>0</v>
      </c>
      <c r="V50" s="12">
        <v>0</v>
      </c>
      <c r="W50" s="12" t="str">
        <v/>
      </c>
      <c r="X50" s="12" t="str">
        <v>FYO ACOPIO SA</v>
      </c>
      <c r="Y50" s="12" t="str">
        <v/>
      </c>
      <c r="Z50" s="12">
        <v>20251126</v>
      </c>
      <c r="AA50" s="12">
        <v>1</v>
      </c>
      <c r="AB50" s="12" t="str">
        <v>1A</v>
      </c>
      <c r="AC50" s="12" t="str">
        <v>W-</v>
      </c>
      <c r="AD50" s="12" t="str">
        <v/>
      </c>
      <c r="AE50" s="12" t="str">
        <v/>
      </c>
      <c r="AF50" s="12" t="str">
        <v>5.41000000</v>
      </c>
      <c r="AG50" s="12" t="str">
        <v/>
      </c>
      <c r="AH50" s="12" t="str">
        <v/>
      </c>
      <c r="AI50" s="12" t="str">
        <v/>
      </c>
      <c r="AJ50" s="12" t="str">
        <v/>
      </c>
      <c r="AK50" s="12" t="str">
        <v/>
      </c>
      <c r="AL50" s="12">
        <v>0</v>
      </c>
      <c r="AM50" s="12" t="str">
        <v>1.0000</v>
      </c>
      <c r="AN50" s="12" t="str">
        <v>USD</v>
      </c>
      <c r="AO50" s="12">
        <v>31250</v>
      </c>
      <c r="AP50" s="12">
        <v>534750000</v>
      </c>
      <c r="AQ50" s="12">
        <v>0</v>
      </c>
      <c r="AR50" s="12">
        <v>50000</v>
      </c>
      <c r="AS50" s="12" t="str">
        <v>5K26 OHh0</v>
      </c>
      <c r="AT50" s="12">
        <v>116373585</v>
      </c>
      <c r="AU50" s="12" t="str">
        <v>0,0000</v>
      </c>
      <c r="AV50" s="12" t="str">
        <v>W</v>
      </c>
      <c r="AW50" s="12" t="str">
        <v>CBT</v>
      </c>
      <c r="AX50" s="12" t="str">
        <v>Comdty</v>
      </c>
      <c r="AY50" s="12" t="str">
        <v>Trigo</v>
      </c>
      <c r="AZ50">
        <f>IF(VLOOKUP(AY50,Conversor!B:C,2,0)="HS",0.01,VLOOKUP(AY50,Conversor!B:C,2,0))</f>
        <v>0.36742999999999998</v>
      </c>
      <c r="BA50">
        <f t="shared" si="18"/>
        <v>-1</v>
      </c>
      <c r="BB50" s="42">
        <f t="shared" si="52"/>
        <v>196.4831925</v>
      </c>
      <c r="BC50" s="58">
        <f t="shared" si="19"/>
        <v>0</v>
      </c>
      <c r="BD50" s="1">
        <f>IF(OR(E50="FUTUR",E50="f20176"),0,VLOOKUP(AY50,Conversor!G:I,3,0)*BA50)</f>
        <v>-136.08000000000001</v>
      </c>
      <c r="BE50" t="str">
        <f t="shared" si="20"/>
        <v>Futuro</v>
      </c>
      <c r="BF50" t="str">
        <f t="shared" si="21"/>
        <v>no</v>
      </c>
      <c r="BG50" t="str">
        <f t="shared" si="22"/>
        <v>V</v>
      </c>
      <c r="BH50" t="str">
        <f t="shared" si="1"/>
        <v/>
      </c>
      <c r="BI50" s="7">
        <f t="shared" si="23"/>
        <v>137.53823474999999</v>
      </c>
      <c r="BJ50" s="7">
        <f t="shared" si="23"/>
        <v>157.186554</v>
      </c>
      <c r="BK50" s="7">
        <f t="shared" si="23"/>
        <v>176.83487325000002</v>
      </c>
      <c r="BL50" s="7">
        <f t="shared" si="23"/>
        <v>196.4831925</v>
      </c>
      <c r="BM50" s="7">
        <f t="shared" si="23"/>
        <v>216.13151175000002</v>
      </c>
      <c r="BN50" s="7">
        <f t="shared" si="23"/>
        <v>235.779831</v>
      </c>
      <c r="BO50" s="7">
        <f t="shared" ref="BJ50:BO51" si="67">$BB50*(1+BO$2)</f>
        <v>255.42815025000002</v>
      </c>
      <c r="BP50" s="7">
        <f t="shared" si="24"/>
        <v>8021.2298506200032</v>
      </c>
      <c r="BQ50" s="7">
        <f t="shared" si="25"/>
        <v>5347.4865670800009</v>
      </c>
      <c r="BR50" s="7">
        <f t="shared" si="26"/>
        <v>2673.7432835399982</v>
      </c>
      <c r="BS50" s="7">
        <f t="shared" si="27"/>
        <v>0</v>
      </c>
      <c r="BT50" s="7">
        <f t="shared" si="28"/>
        <v>-2673.7432835400023</v>
      </c>
      <c r="BU50" s="7">
        <f t="shared" si="29"/>
        <v>-5347.4865670800009</v>
      </c>
      <c r="BV50" s="7">
        <f t="shared" si="30"/>
        <v>-8021.2298506200032</v>
      </c>
      <c r="BW50" s="7">
        <f t="shared" si="53"/>
        <v>0</v>
      </c>
      <c r="BX50" s="7">
        <f t="shared" si="54"/>
        <v>0</v>
      </c>
      <c r="BY50" s="7">
        <f t="shared" si="55"/>
        <v>0</v>
      </c>
      <c r="BZ50" s="7">
        <f t="shared" si="56"/>
        <v>0</v>
      </c>
      <c r="CA50" s="7">
        <f t="shared" si="57"/>
        <v>0</v>
      </c>
      <c r="CB50" s="7">
        <f t="shared" si="58"/>
        <v>0</v>
      </c>
      <c r="CC50" s="7">
        <f t="shared" si="59"/>
        <v>0</v>
      </c>
      <c r="CD50">
        <f t="shared" si="60"/>
        <v>0</v>
      </c>
      <c r="CE50">
        <f t="shared" si="61"/>
        <v>0</v>
      </c>
      <c r="CF50">
        <f t="shared" si="62"/>
        <v>0</v>
      </c>
      <c r="CG50">
        <f t="shared" si="63"/>
        <v>0</v>
      </c>
      <c r="CH50">
        <f t="shared" si="64"/>
        <v>0</v>
      </c>
      <c r="CI50">
        <f t="shared" si="65"/>
        <v>0</v>
      </c>
      <c r="CJ50">
        <f t="shared" si="66"/>
        <v>0</v>
      </c>
      <c r="CK50" s="6">
        <f>Tabla3[[#This Row],[Tns]]</f>
        <v>-136.08000000000001</v>
      </c>
      <c r="CL50" t="str">
        <f>IF(ISERROR(VLOOKUP(VALUE(E50),'Clientes CBOT'!A:A,1,0)),"VER","ok")</f>
        <v>ok</v>
      </c>
    </row>
    <row r="51" spans="1:90" x14ac:dyDescent="0.3">
      <c r="A51" s="12" t="str">
        <v>P</v>
      </c>
      <c r="B51" s="12" t="str">
        <v>R</v>
      </c>
      <c r="C51" s="12">
        <v>766</v>
      </c>
      <c r="D51" s="12">
        <v>0</v>
      </c>
      <c r="E51" s="12" t="str">
        <v>20176</v>
      </c>
      <c r="F51" s="12" t="str">
        <v>C</v>
      </c>
      <c r="G51" s="12" t="str">
        <v/>
      </c>
      <c r="H51" s="12" t="str">
        <v>F1</v>
      </c>
      <c r="I51" s="12" t="str">
        <v>.AW-0000026C</v>
      </c>
      <c r="J51" s="12">
        <v>3585</v>
      </c>
      <c r="K51" s="12">
        <v>2</v>
      </c>
      <c r="L51" s="12">
        <v>170000</v>
      </c>
      <c r="M51" s="12" t="str">
        <v>MAR 26 WHEAT</v>
      </c>
      <c r="N51" s="12" t="str">
        <v>5.42</v>
      </c>
      <c r="O51" s="12">
        <v>20251126</v>
      </c>
      <c r="P51" s="12" t="str">
        <v/>
      </c>
      <c r="Q51" s="12">
        <v>202603</v>
      </c>
      <c r="R51" s="12" t="str">
        <v/>
      </c>
      <c r="S51" s="12" t="str">
        <v>F</v>
      </c>
      <c r="T51" s="12" t="str">
        <v/>
      </c>
      <c r="U51" s="12">
        <v>0</v>
      </c>
      <c r="V51" s="12">
        <v>0</v>
      </c>
      <c r="W51" s="12" t="str">
        <v/>
      </c>
      <c r="X51" s="12" t="str">
        <v>FYO ACOPIO SA</v>
      </c>
      <c r="Y51" s="12" t="str">
        <v/>
      </c>
      <c r="Z51" s="12">
        <v>20251126</v>
      </c>
      <c r="AA51" s="12">
        <v>1</v>
      </c>
      <c r="AB51" s="12" t="str">
        <v>1A</v>
      </c>
      <c r="AC51" s="12" t="str">
        <v>W-</v>
      </c>
      <c r="AD51" s="12" t="str">
        <v/>
      </c>
      <c r="AE51" s="12" t="str">
        <v/>
      </c>
      <c r="AF51" s="12" t="str">
        <v>5.42000000</v>
      </c>
      <c r="AG51" s="12" t="str">
        <v/>
      </c>
      <c r="AH51" s="12" t="str">
        <v/>
      </c>
      <c r="AI51" s="12" t="str">
        <v/>
      </c>
      <c r="AJ51" s="12" t="str">
        <v/>
      </c>
      <c r="AK51" s="12" t="str">
        <v/>
      </c>
      <c r="AL51" s="12">
        <v>0</v>
      </c>
      <c r="AM51" s="12" t="str">
        <v>17.0000</v>
      </c>
      <c r="AN51" s="12" t="str">
        <v>USD</v>
      </c>
      <c r="AO51" s="12">
        <v>616250</v>
      </c>
      <c r="AP51" s="12">
        <v>534750000</v>
      </c>
      <c r="AQ51" s="12">
        <v>0</v>
      </c>
      <c r="AR51" s="12">
        <v>50000</v>
      </c>
      <c r="AS51" s="12" t="str">
        <v>5K26 NUM0</v>
      </c>
      <c r="AT51" s="12">
        <v>116373585</v>
      </c>
      <c r="AU51" s="12" t="str">
        <v>0,0000</v>
      </c>
      <c r="AV51" s="12" t="str">
        <v>W</v>
      </c>
      <c r="AW51" s="12" t="str">
        <v>CBT</v>
      </c>
      <c r="AX51" s="12" t="str">
        <v>Comdty</v>
      </c>
      <c r="AY51" s="12" t="str">
        <v>Trigo</v>
      </c>
      <c r="AZ51">
        <f>IF(VLOOKUP(AY51,Conversor!B:C,2,0)="HS",0.01,VLOOKUP(AY51,Conversor!B:C,2,0))</f>
        <v>0.36742999999999998</v>
      </c>
      <c r="BA51">
        <f t="shared" si="18"/>
        <v>-17</v>
      </c>
      <c r="BB51" s="42">
        <f t="shared" si="52"/>
        <v>196.4831925</v>
      </c>
      <c r="BC51" s="58">
        <f t="shared" si="19"/>
        <v>0</v>
      </c>
      <c r="BD51" s="1">
        <f>IF(OR(E51="FUTUR",E51="f20176"),0,VLOOKUP(AY51,Conversor!G:I,3,0)*BA51)</f>
        <v>-2313.36</v>
      </c>
      <c r="BE51" t="str">
        <f t="shared" si="20"/>
        <v>Futuro</v>
      </c>
      <c r="BF51" t="str">
        <f t="shared" si="21"/>
        <v>no</v>
      </c>
      <c r="BG51" t="str">
        <f t="shared" si="22"/>
        <v>V</v>
      </c>
      <c r="BH51" t="str">
        <f t="shared" si="1"/>
        <v/>
      </c>
      <c r="BI51" s="7">
        <f t="shared" si="23"/>
        <v>137.53823474999999</v>
      </c>
      <c r="BJ51" s="7">
        <f t="shared" si="67"/>
        <v>157.186554</v>
      </c>
      <c r="BK51" s="7">
        <f t="shared" si="67"/>
        <v>176.83487325000002</v>
      </c>
      <c r="BL51" s="7">
        <f t="shared" si="67"/>
        <v>196.4831925</v>
      </c>
      <c r="BM51" s="7">
        <f t="shared" si="67"/>
        <v>216.13151175000002</v>
      </c>
      <c r="BN51" s="7">
        <f t="shared" si="67"/>
        <v>235.779831</v>
      </c>
      <c r="BO51" s="7">
        <f t="shared" si="67"/>
        <v>255.42815025000002</v>
      </c>
      <c r="BP51" s="7">
        <f t="shared" si="24"/>
        <v>136360.90746054004</v>
      </c>
      <c r="BQ51" s="7">
        <f t="shared" si="25"/>
        <v>90907.271640360006</v>
      </c>
      <c r="BR51" s="7">
        <f t="shared" si="26"/>
        <v>45453.635820179967</v>
      </c>
      <c r="BS51" s="7">
        <f t="shared" si="27"/>
        <v>0</v>
      </c>
      <c r="BT51" s="7">
        <f t="shared" si="28"/>
        <v>-45453.635820180032</v>
      </c>
      <c r="BU51" s="7">
        <f t="shared" si="29"/>
        <v>-90907.271640360006</v>
      </c>
      <c r="BV51" s="7">
        <f t="shared" si="30"/>
        <v>-136360.90746054004</v>
      </c>
      <c r="BW51" s="7">
        <f t="shared" si="53"/>
        <v>0</v>
      </c>
      <c r="BX51" s="7">
        <f t="shared" si="54"/>
        <v>0</v>
      </c>
      <c r="BY51" s="7">
        <f t="shared" si="55"/>
        <v>0</v>
      </c>
      <c r="BZ51" s="7">
        <f t="shared" si="56"/>
        <v>0</v>
      </c>
      <c r="CA51" s="7">
        <f t="shared" si="57"/>
        <v>0</v>
      </c>
      <c r="CB51" s="7">
        <f t="shared" si="58"/>
        <v>0</v>
      </c>
      <c r="CC51" s="7">
        <f t="shared" si="59"/>
        <v>0</v>
      </c>
      <c r="CD51">
        <f t="shared" si="60"/>
        <v>0</v>
      </c>
      <c r="CE51">
        <f t="shared" si="61"/>
        <v>0</v>
      </c>
      <c r="CF51">
        <f t="shared" si="62"/>
        <v>0</v>
      </c>
      <c r="CG51">
        <f t="shared" si="63"/>
        <v>0</v>
      </c>
      <c r="CH51">
        <f t="shared" si="64"/>
        <v>0</v>
      </c>
      <c r="CI51">
        <f t="shared" si="65"/>
        <v>0</v>
      </c>
      <c r="CJ51">
        <f t="shared" si="66"/>
        <v>0</v>
      </c>
      <c r="CK51" s="6">
        <f>Tabla3[[#This Row],[Tns]]</f>
        <v>-2313.36</v>
      </c>
      <c r="CL51" t="str">
        <f>IF(ISERROR(VLOOKUP(VALUE(E51),'Clientes CBOT'!A:A,1,0)),"VER","ok")</f>
        <v>ok</v>
      </c>
    </row>
    <row r="52" spans="1:90" x14ac:dyDescent="0.3">
      <c r="A52" t="str">
        <v>P</v>
      </c>
      <c r="B52" t="str">
        <v>R</v>
      </c>
      <c r="C52">
        <v>766</v>
      </c>
      <c r="D52">
        <v>0</v>
      </c>
      <c r="E52" t="str">
        <v>20176</v>
      </c>
      <c r="F52" t="str">
        <v>C</v>
      </c>
      <c r="G52" t="str">
        <v/>
      </c>
      <c r="H52" t="str">
        <v>F1</v>
      </c>
      <c r="I52" t="str">
        <v>912797RK5</v>
      </c>
      <c r="J52">
        <v>0</v>
      </c>
      <c r="K52">
        <v>1</v>
      </c>
      <c r="L52">
        <v>2500000000</v>
      </c>
      <c r="M52" t="str">
        <v>US TREASURY BILL 01/29/2026</v>
      </c>
      <c r="N52" t="str">
        <v/>
      </c>
      <c r="O52">
        <v>20251030</v>
      </c>
      <c r="P52" t="str">
        <v/>
      </c>
      <c r="Q52">
        <v>0</v>
      </c>
      <c r="R52" t="str">
        <v/>
      </c>
      <c r="S52" t="str">
        <v>B</v>
      </c>
      <c r="T52" t="str">
        <v/>
      </c>
      <c r="U52">
        <v>0</v>
      </c>
      <c r="V52">
        <v>20260129</v>
      </c>
      <c r="W52" t="str">
        <v/>
      </c>
      <c r="X52" t="str">
        <v>FYO ACOPIO SA</v>
      </c>
      <c r="Y52" t="str">
        <v/>
      </c>
      <c r="Z52">
        <v>20251030</v>
      </c>
      <c r="AA52">
        <v>0</v>
      </c>
      <c r="AB52" t="str">
        <v/>
      </c>
      <c r="AC52" t="str">
        <v/>
      </c>
      <c r="AD52" t="str">
        <v/>
      </c>
      <c r="AE52" t="str">
        <v>L</v>
      </c>
      <c r="AF52" t="str">
        <v>.99080904</v>
      </c>
      <c r="AG52" t="str">
        <v/>
      </c>
      <c r="AH52" t="str">
        <v/>
      </c>
      <c r="AI52" t="str">
        <v/>
      </c>
      <c r="AJ52" t="str">
        <v/>
      </c>
      <c r="AK52" t="str">
        <v/>
      </c>
      <c r="AL52">
        <v>2500000000</v>
      </c>
      <c r="AM52" t="str">
        <v>.0000</v>
      </c>
      <c r="AN52" t="str">
        <v>USD</v>
      </c>
      <c r="AO52" s="7">
        <v>23750000</v>
      </c>
      <c r="AP52">
        <v>9500000000</v>
      </c>
      <c r="AQ52">
        <v>0</v>
      </c>
      <c r="AR52" s="12">
        <v>0</v>
      </c>
      <c r="AS52" t="str">
        <v>5J30 MY30</v>
      </c>
      <c r="AT52">
        <v>0</v>
      </c>
      <c r="AU52" t="str">
        <v>0,0000</v>
      </c>
      <c r="AV52" t="str">
        <v/>
      </c>
      <c r="AW52" t="str">
        <v/>
      </c>
      <c r="AX52" t="str">
        <v/>
      </c>
      <c r="AY52" t="str">
        <v>T-BILL</v>
      </c>
    </row>
    <row r="53" spans="1:90" x14ac:dyDescent="0.3">
      <c r="A53" t="str">
        <v>P</v>
      </c>
      <c r="B53" t="str">
        <v>R</v>
      </c>
      <c r="C53">
        <v>766</v>
      </c>
      <c r="D53">
        <v>0</v>
      </c>
      <c r="E53" t="str">
        <v>20176</v>
      </c>
      <c r="F53" t="str">
        <v>C</v>
      </c>
      <c r="G53" t="str">
        <v/>
      </c>
      <c r="H53" t="str">
        <v>F1</v>
      </c>
      <c r="I53" t="str">
        <v>912797SR9</v>
      </c>
      <c r="J53">
        <v>0</v>
      </c>
      <c r="K53">
        <v>1</v>
      </c>
      <c r="L53">
        <v>2500000000</v>
      </c>
      <c r="M53" t="str">
        <v>US TREASURY BILL 02/17/2026</v>
      </c>
      <c r="N53" t="str">
        <v/>
      </c>
      <c r="O53">
        <v>20251113</v>
      </c>
      <c r="P53" t="str">
        <v/>
      </c>
      <c r="Q53">
        <v>0</v>
      </c>
      <c r="R53" t="str">
        <v/>
      </c>
      <c r="S53" t="str">
        <v>B</v>
      </c>
      <c r="T53" t="str">
        <v/>
      </c>
      <c r="U53">
        <v>0</v>
      </c>
      <c r="V53">
        <v>20260217</v>
      </c>
      <c r="W53" t="str">
        <v/>
      </c>
      <c r="X53" t="str">
        <v>FYO ACOPIO SA</v>
      </c>
      <c r="Y53" t="str">
        <v/>
      </c>
      <c r="Z53">
        <v>20251113</v>
      </c>
      <c r="AA53">
        <v>0</v>
      </c>
      <c r="AB53" t="str">
        <v/>
      </c>
      <c r="AC53" t="str">
        <v/>
      </c>
      <c r="AD53" t="str">
        <v/>
      </c>
      <c r="AE53" t="str">
        <v>L</v>
      </c>
      <c r="AF53" t="str">
        <v>.99036988</v>
      </c>
      <c r="AG53" t="str">
        <v/>
      </c>
      <c r="AH53" t="str">
        <v/>
      </c>
      <c r="AI53" t="str">
        <v/>
      </c>
      <c r="AJ53" t="str">
        <v/>
      </c>
      <c r="AK53" t="str">
        <v/>
      </c>
      <c r="AL53">
        <v>2500000000</v>
      </c>
      <c r="AM53" t="str">
        <v>.0000</v>
      </c>
      <c r="AN53" t="str">
        <v>USD</v>
      </c>
      <c r="AO53" s="7">
        <v>23750000</v>
      </c>
      <c r="AP53">
        <v>9500000000</v>
      </c>
      <c r="AQ53">
        <v>0</v>
      </c>
      <c r="AR53">
        <v>0</v>
      </c>
      <c r="AS53" t="str">
        <v>5K13 FWD0</v>
      </c>
      <c r="AT53" s="6">
        <v>0</v>
      </c>
      <c r="AU53" t="str">
        <v>0,0000</v>
      </c>
      <c r="AV53" t="str">
        <v/>
      </c>
      <c r="AW53" t="str">
        <v/>
      </c>
      <c r="AX53" t="str">
        <v/>
      </c>
      <c r="AY53" t="str">
        <v>T-BILL</v>
      </c>
    </row>
    <row r="55" spans="1:90" x14ac:dyDescent="0.3">
      <c r="AT55" s="6"/>
    </row>
    <row r="57" spans="1:90" x14ac:dyDescent="0.3">
      <c r="AZ57" s="42"/>
      <c r="BB57" s="42"/>
    </row>
    <row r="60" spans="1:90" x14ac:dyDescent="0.3">
      <c r="AU60" s="6"/>
      <c r="AV60" s="6"/>
    </row>
    <row r="61" spans="1:90" x14ac:dyDescent="0.3">
      <c r="AU61" s="6"/>
      <c r="AV61" s="6"/>
    </row>
    <row r="63" spans="1:90" x14ac:dyDescent="0.3">
      <c r="AU63" s="89"/>
    </row>
  </sheetData>
  <autoFilter ref="E2:E51" xr:uid="{4D52D721-A2DC-4194-B036-E8CFCE4CDDFF}">
    <filterColumn colId="0">
      <filters>
        <filter val="20176"/>
      </filters>
    </filterColumn>
  </autoFilter>
  <mergeCells count="5">
    <mergeCell ref="BI1:BO1"/>
    <mergeCell ref="BP1:BV1"/>
    <mergeCell ref="BW1:CC1"/>
    <mergeCell ref="CD1:CJ1"/>
    <mergeCell ref="AZ1:BC1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E2C647-0460-4990-AB11-5A7B973CA6F9}">
  <sheetPr codeName="Hoja3" filterMode="1">
    <tabColor theme="3" tint="0.499984740745262"/>
  </sheetPr>
  <dimension ref="A1:AA24"/>
  <sheetViews>
    <sheetView topLeftCell="K1" zoomScale="70" zoomScaleNormal="70" workbookViewId="0">
      <selection activeCell="P26" sqref="P26"/>
    </sheetView>
  </sheetViews>
  <sheetFormatPr baseColWidth="10" defaultRowHeight="14.4" x14ac:dyDescent="0.3"/>
  <cols>
    <col min="1" max="1" width="18.33203125" bestFit="1" customWidth="1"/>
    <col min="2" max="2" width="46.33203125" bestFit="1" customWidth="1"/>
    <col min="3" max="3" width="14.6640625" bestFit="1" customWidth="1"/>
    <col min="4" max="5" width="14.21875" bestFit="1" customWidth="1"/>
    <col min="6" max="9" width="14" bestFit="1" customWidth="1"/>
    <col min="10" max="12" width="17.6640625" bestFit="1" customWidth="1"/>
    <col min="13" max="13" width="21.109375" customWidth="1"/>
    <col min="14" max="16" width="17.6640625" bestFit="1" customWidth="1"/>
    <col min="17" max="17" width="16.88671875" customWidth="1"/>
    <col min="18" max="18" width="15.44140625" hidden="1" customWidth="1"/>
    <col min="19" max="19" width="18.77734375" customWidth="1"/>
    <col min="20" max="20" width="20.33203125" hidden="1" customWidth="1"/>
    <col min="21" max="21" width="20.44140625" customWidth="1"/>
    <col min="22" max="22" width="17.77734375" hidden="1" customWidth="1"/>
    <col min="23" max="23" width="23.33203125" bestFit="1" customWidth="1"/>
    <col min="24" max="24" width="17.77734375" bestFit="1" customWidth="1"/>
    <col min="25" max="26" width="30" customWidth="1"/>
    <col min="27" max="27" width="13.6640625" bestFit="1" customWidth="1"/>
  </cols>
  <sheetData>
    <row r="1" spans="1:27" ht="15" thickBot="1" x14ac:dyDescent="0.35">
      <c r="C1" s="115" t="s">
        <v>129</v>
      </c>
      <c r="D1" s="116"/>
      <c r="E1" s="116"/>
      <c r="F1" s="116"/>
      <c r="G1" s="116"/>
      <c r="H1" s="116"/>
      <c r="I1" s="117"/>
      <c r="J1" s="118" t="s">
        <v>130</v>
      </c>
      <c r="K1" s="119"/>
      <c r="L1" s="119"/>
      <c r="M1" s="119"/>
      <c r="N1" s="119"/>
      <c r="O1" s="119"/>
      <c r="P1" s="120"/>
      <c r="Y1" s="39" t="s">
        <v>131</v>
      </c>
      <c r="Z1" s="40">
        <v>0</v>
      </c>
    </row>
    <row r="2" spans="1:27" x14ac:dyDescent="0.3">
      <c r="A2" s="71" t="s">
        <v>4</v>
      </c>
      <c r="B2" s="72" t="s">
        <v>116</v>
      </c>
      <c r="C2" s="77">
        <v>-0.3</v>
      </c>
      <c r="D2" s="77">
        <v>-0.2</v>
      </c>
      <c r="E2" s="77">
        <v>-0.1</v>
      </c>
      <c r="F2" s="77">
        <v>0</v>
      </c>
      <c r="G2" s="77">
        <v>0.1</v>
      </c>
      <c r="H2" s="77">
        <v>0.2</v>
      </c>
      <c r="I2" s="77">
        <v>0.3</v>
      </c>
      <c r="J2" s="78">
        <v>-0.3</v>
      </c>
      <c r="K2" s="77">
        <v>-0.2</v>
      </c>
      <c r="L2" s="77">
        <v>-0.1</v>
      </c>
      <c r="M2" s="77">
        <v>0</v>
      </c>
      <c r="N2" s="77">
        <v>0.1</v>
      </c>
      <c r="O2" s="77">
        <v>0.2</v>
      </c>
      <c r="P2" s="79">
        <v>0.3</v>
      </c>
      <c r="Q2" s="80" t="s">
        <v>796</v>
      </c>
      <c r="R2" s="80" t="s">
        <v>797</v>
      </c>
      <c r="S2" s="80" t="s">
        <v>1445</v>
      </c>
      <c r="T2" s="80" t="s">
        <v>1448</v>
      </c>
      <c r="U2" s="80" t="s">
        <v>1447</v>
      </c>
      <c r="V2" s="80" t="s">
        <v>634</v>
      </c>
      <c r="W2" s="80" t="s">
        <v>132</v>
      </c>
      <c r="X2" s="80" t="s">
        <v>133</v>
      </c>
      <c r="Y2" s="81" t="s">
        <v>134</v>
      </c>
      <c r="Z2" s="81" t="s">
        <v>820</v>
      </c>
    </row>
    <row r="3" spans="1:27" hidden="1" x14ac:dyDescent="0.3">
      <c r="A3" t="s">
        <v>808</v>
      </c>
      <c r="B3" s="12" t="str">
        <f>IFERROR(VLOOKUP(VALUE(A3),'Clientes CBOT'!A:D,4,0),"")</f>
        <v/>
      </c>
      <c r="C3" s="41">
        <f>SUMIFS('Cartera clientes'!$BD:$BD,'Cartera clientes'!$BE:$BE,"futuro",'Cartera clientes'!$E:$E,'Stress test RJO'!$A3)+SUMIFS('Cartera clientes'!CD:CD,'Cartera clientes'!$BF:$BF,"SI",'Cartera clientes'!$E:$E,'Stress test RJO'!$A3)</f>
        <v>0</v>
      </c>
      <c r="D3" s="41">
        <f>SUMIFS('Cartera clientes'!$BD:$BD,'Cartera clientes'!$BE:$BE,"futuro",'Cartera clientes'!$E:$E,'Stress test RJO'!$A3)+SUMIFS('Cartera clientes'!CE:CE,'Cartera clientes'!$BF:$BF,"SI",'Cartera clientes'!$E:$E,'Stress test RJO'!$A3)</f>
        <v>0</v>
      </c>
      <c r="E3" s="41">
        <f>SUMIFS('Cartera clientes'!$BD:$BD,'Cartera clientes'!$BE:$BE,"futuro",'Cartera clientes'!$E:$E,'Stress test RJO'!$A3)+SUMIFS('Cartera clientes'!CF:CF,'Cartera clientes'!$BF:$BF,"SI",'Cartera clientes'!$E:$E,'Stress test RJO'!$A3)</f>
        <v>0</v>
      </c>
      <c r="F3" s="41">
        <f>SUMIFS('Cartera clientes'!$BD:$BD,'Cartera clientes'!$BE:$BE,"futuro",'Cartera clientes'!$E:$E,'Stress test RJO'!$A3)+SUMIFS('Cartera clientes'!CG:CG,'Cartera clientes'!$BF:$BF,"SI",'Cartera clientes'!$E:$E,'Stress test RJO'!$A3)</f>
        <v>0</v>
      </c>
      <c r="G3" s="41">
        <f>SUMIFS('Cartera clientes'!$BD:$BD,'Cartera clientes'!$BE:$BE,"futuro",'Cartera clientes'!$E:$E,'Stress test RJO'!$A3)+SUMIFS('Cartera clientes'!CH:CH,'Cartera clientes'!$BF:$BF,"SI",'Cartera clientes'!$E:$E,'Stress test RJO'!$A3)</f>
        <v>0</v>
      </c>
      <c r="H3" s="41">
        <f>SUMIFS('Cartera clientes'!$BD:$BD,'Cartera clientes'!$BE:$BE,"futuro",'Cartera clientes'!$E:$E,'Stress test RJO'!$A3)+SUMIFS('Cartera clientes'!CI:CI,'Cartera clientes'!$BF:$BF,"SI",'Cartera clientes'!$E:$E,'Stress test RJO'!$A3)</f>
        <v>0</v>
      </c>
      <c r="I3" s="41">
        <f>SUMIFS('Cartera clientes'!$BD:$BD,'Cartera clientes'!$BE:$BE,"futuro",'Cartera clientes'!$E:$E,'Stress test RJO'!$A3)+SUMIFS('Cartera clientes'!CJ:CJ,'Cartera clientes'!$BF:$BF,"SI",'Cartera clientes'!$E:$E,'Stress test RJO'!$A3)</f>
        <v>0</v>
      </c>
      <c r="J3" s="43">
        <f>SUMIFS('Cartera clientes'!BP:BP,'Cartera clientes'!$BE:$BE,"futuro",'Cartera clientes'!$E:$E,'Stress test RJO'!$A3)+SUMIFS('Cartera clientes'!BW:BW,'Cartera clientes'!$BF:$BF,"si",'Cartera clientes'!$E:$E,'Stress test RJO'!$A3)</f>
        <v>0</v>
      </c>
      <c r="K3" s="41">
        <f>SUMIFS('Cartera clientes'!BQ:BQ,'Cartera clientes'!$BE:$BE,"futuro",'Cartera clientes'!$E:$E,'Stress test RJO'!$A3)+SUMIFS('Cartera clientes'!BX:BX,'Cartera clientes'!$BF:$BF,"si",'Cartera clientes'!$E:$E,'Stress test RJO'!$A3)</f>
        <v>0</v>
      </c>
      <c r="L3" s="41">
        <f>SUMIFS('Cartera clientes'!BR:BR,'Cartera clientes'!$BE:$BE,"futuro",'Cartera clientes'!$E:$E,'Stress test RJO'!$A3)+SUMIFS('Cartera clientes'!BY:BY,'Cartera clientes'!$BF:$BF,"si",'Cartera clientes'!$E:$E,'Stress test RJO'!$A3)</f>
        <v>0</v>
      </c>
      <c r="M3" s="41">
        <f>SUMIFS('Cartera clientes'!BS:BS,'Cartera clientes'!$BE:$BE,"futuro",'Cartera clientes'!$E:$E,'Stress test RJO'!$A3)+SUMIFS('Cartera clientes'!BZ:BZ,'Cartera clientes'!$BF:$BF,"si",'Cartera clientes'!$E:$E,'Stress test RJO'!$A3)</f>
        <v>0</v>
      </c>
      <c r="N3" s="41">
        <f>SUMIFS('Cartera clientes'!BT:BT,'Cartera clientes'!$BE:$BE,"futuro",'Cartera clientes'!$E:$E,'Stress test RJO'!$A3)+SUMIFS('Cartera clientes'!CA:CA,'Cartera clientes'!$BF:$BF,"si",'Cartera clientes'!$E:$E,'Stress test RJO'!$A3)</f>
        <v>0</v>
      </c>
      <c r="O3" s="41">
        <f>SUMIFS('Cartera clientes'!BU:BU,'Cartera clientes'!$BE:$BE,"futuro",'Cartera clientes'!$E:$E,'Stress test RJO'!$A3)+SUMIFS('Cartera clientes'!CB:CB,'Cartera clientes'!$BF:$BF,"si",'Cartera clientes'!$E:$E,'Stress test RJO'!$A3)</f>
        <v>0</v>
      </c>
      <c r="P3" s="44">
        <f>SUMIFS('Cartera clientes'!BV:BV,'Cartera clientes'!$BE:$BE,"futuro",'Cartera clientes'!$E:$E,'Stress test RJO'!$A3)+SUMIFS('Cartera clientes'!CC:CC,'Cartera clientes'!$BF:$BF,"si",'Cartera clientes'!$E:$E,'Stress test RJO'!$A3)</f>
        <v>0</v>
      </c>
      <c r="Q3" s="7">
        <f>SUMIFS('CC vb'!I:I,'CC vb'!E:E,"Dólar Cable",'CC vb'!G:G,A3)</f>
        <v>0</v>
      </c>
      <c r="R3" s="7">
        <f>SUMIFS('CC NUEVA'!C:C,'CC NUEVA'!G:G,A3)</f>
        <v>0</v>
      </c>
      <c r="S3" s="7">
        <f>SUMIFS(Fact_AUM_FyoCapital!D:D,Fact_AUM_FyoCapital!L:L,A3,Fact_AUM_FyoCapital!F:F,"Dólar Cable")</f>
        <v>0</v>
      </c>
      <c r="T3" s="7">
        <f>+(SUMIFS('Statement base'!W:W,'Statement base'!E:E,'Stress test RJO'!A3)/3)</f>
        <v>0</v>
      </c>
      <c r="U3" s="7">
        <f>SUMIFS('CC vb'!D:D,'CC vb'!E:E,"Dólar Cable",'CC vb'!G:G,A3)</f>
        <v>0</v>
      </c>
      <c r="V3" s="7">
        <f>IF(T3&gt;U3,U3-T3,0)</f>
        <v>0</v>
      </c>
      <c r="W3" s="42">
        <f>MIN(L3:N3)+MIN(E3:G3)+Q3</f>
        <v>0</v>
      </c>
      <c r="X3" s="42">
        <f>+W3+U3</f>
        <v>0</v>
      </c>
      <c r="Y3" s="42">
        <f>IF(MIN(L3,N3)+Q3&lt;-$Z$1,MIN(L3,N3)+Q3+$Z$1,0)</f>
        <v>0</v>
      </c>
      <c r="Z3" s="42">
        <f>IF(Y3+U3&gt;0,0,Y3+U3)</f>
        <v>0</v>
      </c>
      <c r="AA3" t="str">
        <f>IF(ISERROR(VLOOKUP(VALUE(A3),'CC vb'!G:G,1,0)),"VER","ok")</f>
        <v>VER</v>
      </c>
    </row>
    <row r="4" spans="1:27" x14ac:dyDescent="0.3">
      <c r="A4" t="s">
        <v>662</v>
      </c>
      <c r="B4" s="12" t="str">
        <f>IFERROR(VLOOKUP(VALUE(A4),'Clientes CBOT'!A:D,4,0),"")</f>
        <v>SANTANGELO CLAUDIO ROBERTO</v>
      </c>
      <c r="C4" s="41">
        <f>SUMIFS('Cartera clientes'!$BD:$BD,'Cartera clientes'!$BE:$BE,"futuro",'Cartera clientes'!$E:$E,'Stress test RJO'!$A4)+SUMIFS('Cartera clientes'!CD:CD,'Cartera clientes'!$BF:$BF,"SI",'Cartera clientes'!$E:$E,'Stress test RJO'!$A4)</f>
        <v>0</v>
      </c>
      <c r="D4" s="41">
        <f>SUMIFS('Cartera clientes'!$BD:$BD,'Cartera clientes'!$BE:$BE,"futuro",'Cartera clientes'!$E:$E,'Stress test RJO'!$A4)+SUMIFS('Cartera clientes'!CE:CE,'Cartera clientes'!$BF:$BF,"SI",'Cartera clientes'!$E:$E,'Stress test RJO'!$A4)</f>
        <v>0</v>
      </c>
      <c r="E4" s="41">
        <f>SUMIFS('Cartera clientes'!$BD:$BD,'Cartera clientes'!$BE:$BE,"futuro",'Cartera clientes'!$E:$E,'Stress test RJO'!$A4)+SUMIFS('Cartera clientes'!CF:CF,'Cartera clientes'!$BF:$BF,"SI",'Cartera clientes'!$E:$E,'Stress test RJO'!$A4)</f>
        <v>0</v>
      </c>
      <c r="F4" s="41">
        <f>SUMIFS('Cartera clientes'!$BD:$BD,'Cartera clientes'!$BE:$BE,"futuro",'Cartera clientes'!$E:$E,'Stress test RJO'!$A4)+SUMIFS('Cartera clientes'!CG:CG,'Cartera clientes'!$BF:$BF,"SI",'Cartera clientes'!$E:$E,'Stress test RJO'!$A4)</f>
        <v>0</v>
      </c>
      <c r="G4" s="41">
        <f>SUMIFS('Cartera clientes'!$BD:$BD,'Cartera clientes'!$BE:$BE,"futuro",'Cartera clientes'!$E:$E,'Stress test RJO'!$A4)+SUMIFS('Cartera clientes'!CH:CH,'Cartera clientes'!$BF:$BF,"SI",'Cartera clientes'!$E:$E,'Stress test RJO'!$A4)</f>
        <v>-8573.0400000000009</v>
      </c>
      <c r="H4" s="41">
        <f>SUMIFS('Cartera clientes'!$BD:$BD,'Cartera clientes'!$BE:$BE,"futuro",'Cartera clientes'!$E:$E,'Stress test RJO'!$A4)+SUMIFS('Cartera clientes'!CI:CI,'Cartera clientes'!$BF:$BF,"SI",'Cartera clientes'!$E:$E,'Stress test RJO'!$A4)</f>
        <v>-8573.0400000000009</v>
      </c>
      <c r="I4" s="41">
        <f>SUMIFS('Cartera clientes'!$BD:$BD,'Cartera clientes'!$BE:$BE,"futuro",'Cartera clientes'!$E:$E,'Stress test RJO'!$A4)+SUMIFS('Cartera clientes'!CJ:CJ,'Cartera clientes'!$BF:$BF,"SI",'Cartera clientes'!$E:$E,'Stress test RJO'!$A4)</f>
        <v>-8573.0400000000009</v>
      </c>
      <c r="J4" s="43">
        <f>SUMIFS('Cartera clientes'!BP:BP,'Cartera clientes'!$BE:$BE,"futuro",'Cartera clientes'!$E:$E,'Stress test RJO'!$A4)+SUMIFS('Cartera clientes'!BW:BW,'Cartera clientes'!$BF:$BF,"si",'Cartera clientes'!$E:$E,'Stress test RJO'!$A4)</f>
        <v>0</v>
      </c>
      <c r="K4" s="41">
        <f>SUMIFS('Cartera clientes'!BQ:BQ,'Cartera clientes'!$BE:$BE,"futuro",'Cartera clientes'!$E:$E,'Stress test RJO'!$A4)+SUMIFS('Cartera clientes'!BX:BX,'Cartera clientes'!$BF:$BF,"si",'Cartera clientes'!$E:$E,'Stress test RJO'!$A4)</f>
        <v>0</v>
      </c>
      <c r="L4" s="41">
        <f>SUMIFS('Cartera clientes'!BR:BR,'Cartera clientes'!$BE:$BE,"futuro",'Cartera clientes'!$E:$E,'Stress test RJO'!$A4)+SUMIFS('Cartera clientes'!BY:BY,'Cartera clientes'!$BF:$BF,"si",'Cartera clientes'!$E:$E,'Stress test RJO'!$A4)</f>
        <v>0</v>
      </c>
      <c r="M4" s="41">
        <f>SUMIFS('Cartera clientes'!BS:BS,'Cartera clientes'!$BE:$BE,"futuro",'Cartera clientes'!$E:$E,'Stress test RJO'!$A4)+SUMIFS('Cartera clientes'!BZ:BZ,'Cartera clientes'!$BF:$BF,"si",'Cartera clientes'!$E:$E,'Stress test RJO'!$A4)</f>
        <v>0</v>
      </c>
      <c r="N4" s="41">
        <f>SUMIFS('Cartera clientes'!BT:BT,'Cartera clientes'!$BE:$BE,"futuro",'Cartera clientes'!$E:$E,'Stress test RJO'!$A4)+SUMIFS('Cartera clientes'!CA:CA,'Cartera clientes'!$BF:$BF,"si",'Cartera clientes'!$E:$E,'Stress test RJO'!$A4)</f>
        <v>-100488.49757226062</v>
      </c>
      <c r="O4" s="41">
        <f>SUMIFS('Cartera clientes'!BU:BU,'Cartera clientes'!$BE:$BE,"futuro",'Cartera clientes'!$E:$E,'Stress test RJO'!$A4)+SUMIFS('Cartera clientes'!CB:CB,'Cartera clientes'!$BF:$BF,"si",'Cartera clientes'!$E:$E,'Stress test RJO'!$A4)</f>
        <v>-451713.86529191979</v>
      </c>
      <c r="P4" s="44">
        <f>SUMIFS('Cartera clientes'!BV:BV,'Cartera clientes'!$BE:$BE,"futuro",'Cartera clientes'!$E:$E,'Stress test RJO'!$A4)+SUMIFS('Cartera clientes'!CC:CC,'Cartera clientes'!$BF:$BF,"si",'Cartera clientes'!$E:$E,'Stress test RJO'!$A4)</f>
        <v>-802939.23301158019</v>
      </c>
      <c r="Q4" s="7">
        <f>SUMIFS('CC vb'!I:I,'CC vb'!E:E,"Dólar Cable",'CC vb'!G:G,A4)</f>
        <v>246345.52</v>
      </c>
      <c r="R4" s="7">
        <f>SUMIFS('CC NUEVA'!C:C,'CC NUEVA'!G:G,A4)</f>
        <v>56058.400000000001</v>
      </c>
      <c r="S4" s="7">
        <f>SUMIFS(Fact_AUM_FyoCapital!D:D,Fact_AUM_FyoCapital!L:L,A4,Fact_AUM_FyoCapital!F:F,"Dólar Cable")</f>
        <v>225613.52</v>
      </c>
      <c r="T4" s="7">
        <f>+(SUMIFS('Statement base'!W:W,'Statement base'!E:E,'Stress test RJO'!A4)/3)</f>
        <v>100011.75</v>
      </c>
      <c r="U4" s="7">
        <f>SUMIFS('CC vb'!D:D,'CC vb'!E:E,"Dólar Cable",'CC vb'!G:G,A4)</f>
        <v>100011.75</v>
      </c>
      <c r="V4" s="7">
        <f t="shared" ref="V4:V13" si="0">IF(T4&gt;U4,U4-T4,0)</f>
        <v>0</v>
      </c>
      <c r="W4" s="42">
        <f>MIN(L4:N4)+MIN(E4:G4)+Q4</f>
        <v>137283.98242773936</v>
      </c>
      <c r="X4" s="42">
        <f t="shared" ref="X4:X13" si="1">+W4+U4</f>
        <v>237295.73242773936</v>
      </c>
      <c r="Y4" s="42">
        <f t="shared" ref="Y4:Y13" si="2">IF(MIN(L4,N4)+Q4&lt;-$Z$1,MIN(L4,N4)+Q4+$Z$1,0)</f>
        <v>0</v>
      </c>
      <c r="Z4" s="42">
        <f t="shared" ref="Z4:Z7" si="3">IF(Y4=0,0,IF(Y4+U4&gt;0,0,Y4+U4))</f>
        <v>0</v>
      </c>
      <c r="AA4" t="str">
        <f>IF(ISERROR(VLOOKUP(VALUE(A4),'CC vb'!G:G,1,0)),"VER","ok")</f>
        <v>ok</v>
      </c>
    </row>
    <row r="5" spans="1:27" x14ac:dyDescent="0.3">
      <c r="A5" t="s">
        <v>665</v>
      </c>
      <c r="B5" s="12" t="str">
        <f>IFERROR(VLOOKUP(VALUE(A5),'Clientes CBOT'!A:D,4,0),"")</f>
        <v>SANTANGELO FRANCISCO VICTOR</v>
      </c>
      <c r="C5" s="41">
        <f>SUMIFS('Cartera clientes'!$BD:$BD,'Cartera clientes'!$BE:$BE,"futuro",'Cartera clientes'!$E:$E,'Stress test RJO'!$A5)+SUMIFS('Cartera clientes'!CD:CD,'Cartera clientes'!$BF:$BF,"SI",'Cartera clientes'!$E:$E,'Stress test RJO'!$A5)</f>
        <v>0</v>
      </c>
      <c r="D5" s="41">
        <f>SUMIFS('Cartera clientes'!$BD:$BD,'Cartera clientes'!$BE:$BE,"futuro",'Cartera clientes'!$E:$E,'Stress test RJO'!$A5)+SUMIFS('Cartera clientes'!CE:CE,'Cartera clientes'!$BF:$BF,"SI",'Cartera clientes'!$E:$E,'Stress test RJO'!$A5)</f>
        <v>0</v>
      </c>
      <c r="E5" s="41">
        <f>SUMIFS('Cartera clientes'!$BD:$BD,'Cartera clientes'!$BE:$BE,"futuro",'Cartera clientes'!$E:$E,'Stress test RJO'!$A5)+SUMIFS('Cartera clientes'!CF:CF,'Cartera clientes'!$BF:$BF,"SI",'Cartera clientes'!$E:$E,'Stress test RJO'!$A5)</f>
        <v>0</v>
      </c>
      <c r="F5" s="41">
        <f>SUMIFS('Cartera clientes'!$BD:$BD,'Cartera clientes'!$BE:$BE,"futuro",'Cartera clientes'!$E:$E,'Stress test RJO'!$A5)+SUMIFS('Cartera clientes'!CG:CG,'Cartera clientes'!$BF:$BF,"SI",'Cartera clientes'!$E:$E,'Stress test RJO'!$A5)</f>
        <v>0</v>
      </c>
      <c r="G5" s="41">
        <f>SUMIFS('Cartera clientes'!$BD:$BD,'Cartera clientes'!$BE:$BE,"futuro",'Cartera clientes'!$E:$E,'Stress test RJO'!$A5)+SUMIFS('Cartera clientes'!CH:CH,'Cartera clientes'!$BF:$BF,"SI",'Cartera clientes'!$E:$E,'Stress test RJO'!$A5)</f>
        <v>-8573.0400000000009</v>
      </c>
      <c r="H5" s="41">
        <f>SUMIFS('Cartera clientes'!$BD:$BD,'Cartera clientes'!$BE:$BE,"futuro",'Cartera clientes'!$E:$E,'Stress test RJO'!$A5)+SUMIFS('Cartera clientes'!CI:CI,'Cartera clientes'!$BF:$BF,"SI",'Cartera clientes'!$E:$E,'Stress test RJO'!$A5)</f>
        <v>-8573.0400000000009</v>
      </c>
      <c r="I5" s="41">
        <f>SUMIFS('Cartera clientes'!$BD:$BD,'Cartera clientes'!$BE:$BE,"futuro",'Cartera clientes'!$E:$E,'Stress test RJO'!$A5)+SUMIFS('Cartera clientes'!CJ:CJ,'Cartera clientes'!$BF:$BF,"SI",'Cartera clientes'!$E:$E,'Stress test RJO'!$A5)</f>
        <v>-8573.0400000000009</v>
      </c>
      <c r="J5" s="43">
        <f>SUMIFS('Cartera clientes'!BP:BP,'Cartera clientes'!$BE:$BE,"futuro",'Cartera clientes'!$E:$E,'Stress test RJO'!$A5)+SUMIFS('Cartera clientes'!BW:BW,'Cartera clientes'!$BF:$BF,"si",'Cartera clientes'!$E:$E,'Stress test RJO'!$A5)</f>
        <v>0</v>
      </c>
      <c r="K5" s="41">
        <f>SUMIFS('Cartera clientes'!BQ:BQ,'Cartera clientes'!$BE:$BE,"futuro",'Cartera clientes'!$E:$E,'Stress test RJO'!$A5)+SUMIFS('Cartera clientes'!BX:BX,'Cartera clientes'!$BF:$BF,"si",'Cartera clientes'!$E:$E,'Stress test RJO'!$A5)</f>
        <v>0</v>
      </c>
      <c r="L5" s="41">
        <f>SUMIFS('Cartera clientes'!BR:BR,'Cartera clientes'!$BE:$BE,"futuro",'Cartera clientes'!$E:$E,'Stress test RJO'!$A5)+SUMIFS('Cartera clientes'!BY:BY,'Cartera clientes'!$BF:$BF,"si",'Cartera clientes'!$E:$E,'Stress test RJO'!$A5)</f>
        <v>0</v>
      </c>
      <c r="M5" s="41">
        <f>SUMIFS('Cartera clientes'!BS:BS,'Cartera clientes'!$BE:$BE,"futuro",'Cartera clientes'!$E:$E,'Stress test RJO'!$A5)+SUMIFS('Cartera clientes'!BZ:BZ,'Cartera clientes'!$BF:$BF,"si",'Cartera clientes'!$E:$E,'Stress test RJO'!$A5)</f>
        <v>0</v>
      </c>
      <c r="N5" s="41">
        <f>SUMIFS('Cartera clientes'!BT:BT,'Cartera clientes'!$BE:$BE,"futuro",'Cartera clientes'!$E:$E,'Stress test RJO'!$A5)+SUMIFS('Cartera clientes'!CA:CA,'Cartera clientes'!$BF:$BF,"si",'Cartera clientes'!$E:$E,'Stress test RJO'!$A5)</f>
        <v>-100488.49757226062</v>
      </c>
      <c r="O5" s="41">
        <f>SUMIFS('Cartera clientes'!BU:BU,'Cartera clientes'!$BE:$BE,"futuro",'Cartera clientes'!$E:$E,'Stress test RJO'!$A5)+SUMIFS('Cartera clientes'!CB:CB,'Cartera clientes'!$BF:$BF,"si",'Cartera clientes'!$E:$E,'Stress test RJO'!$A5)</f>
        <v>-451713.86529191979</v>
      </c>
      <c r="P5" s="44">
        <f>SUMIFS('Cartera clientes'!BV:BV,'Cartera clientes'!$BE:$BE,"futuro",'Cartera clientes'!$E:$E,'Stress test RJO'!$A5)+SUMIFS('Cartera clientes'!CC:CC,'Cartera clientes'!$BF:$BF,"si",'Cartera clientes'!$E:$E,'Stress test RJO'!$A5)</f>
        <v>-802939.23301158019</v>
      </c>
      <c r="Q5" s="7">
        <f>SUMIFS('CC vb'!I:I,'CC vb'!E:E,"Dólar Cable",'CC vb'!G:G,A5)</f>
        <v>142975.85</v>
      </c>
      <c r="R5" s="7">
        <f>SUMIFS('CC NUEVA'!C:C,'CC NUEVA'!G:G,A5)</f>
        <v>-49951.08</v>
      </c>
      <c r="S5" s="7">
        <f>SUMIFS(Fact_AUM_FyoCapital!D:D,Fact_AUM_FyoCapital!L:L,A5,Fact_AUM_FyoCapital!F:F,"Dólar Cable")</f>
        <v>122243.85</v>
      </c>
      <c r="T5" s="7">
        <f>+(SUMIFS('Statement base'!W:W,'Statement base'!E:E,'Stress test RJO'!A5)/3)</f>
        <v>100011.75</v>
      </c>
      <c r="U5" s="7">
        <f>SUMIFS('CC vb'!D:D,'CC vb'!E:E,"Dólar Cable",'CC vb'!G:G,A5)</f>
        <v>100011.75</v>
      </c>
      <c r="V5" s="7">
        <f t="shared" si="0"/>
        <v>0</v>
      </c>
      <c r="W5" s="42">
        <f t="shared" ref="W5:W13" si="4">MIN(L5:N5)+MIN(E5:G5)+Q5</f>
        <v>33914.31242773938</v>
      </c>
      <c r="X5" s="42">
        <f t="shared" si="1"/>
        <v>133926.06242773938</v>
      </c>
      <c r="Y5" s="42">
        <f t="shared" si="2"/>
        <v>0</v>
      </c>
      <c r="Z5" s="42">
        <f t="shared" si="3"/>
        <v>0</v>
      </c>
      <c r="AA5" t="str">
        <f>IF(ISERROR(VLOOKUP(VALUE(A5),'CC vb'!G:G,1,0)),"VER","ok")</f>
        <v>ok</v>
      </c>
    </row>
    <row r="6" spans="1:27" x14ac:dyDescent="0.3">
      <c r="A6" t="s">
        <v>666</v>
      </c>
      <c r="B6" s="12" t="str">
        <f>IFERROR(VLOOKUP(VALUE(A6),'Clientes CBOT'!A:D,4,0),"")</f>
        <v>RATTO OSCAR EDUARDO</v>
      </c>
      <c r="C6" s="41">
        <f>SUMIFS('Cartera clientes'!$BD:$BD,'Cartera clientes'!$BE:$BE,"futuro",'Cartera clientes'!$E:$E,'Stress test RJO'!$A6)
+SUMIFS('Cartera clientes'!CD:CD,'Cartera clientes'!$BF:$BF,"SI",'Cartera clientes'!$E:$E,'Stress test RJO'!$A6)</f>
        <v>0</v>
      </c>
      <c r="D6" s="41">
        <f>SUMIFS('Cartera clientes'!$BD:$BD,'Cartera clientes'!$BE:$BE,"futuro",'Cartera clientes'!$E:$E,'Stress test RJO'!$A6)
+SUMIFS('Cartera clientes'!CE:CE,'Cartera clientes'!$BF:$BF,"SI",'Cartera clientes'!$E:$E,'Stress test RJO'!$A6)</f>
        <v>0</v>
      </c>
      <c r="E6" s="41">
        <f>SUMIFS('Cartera clientes'!$BD:$BD,'Cartera clientes'!$BE:$BE,"futuro",'Cartera clientes'!$E:$E,'Stress test RJO'!$A6)
+SUMIFS('Cartera clientes'!CF:CF,'Cartera clientes'!$BF:$BF,"SI",'Cartera clientes'!$E:$E,'Stress test RJO'!$A6)</f>
        <v>0</v>
      </c>
      <c r="F6" s="41">
        <f>SUMIFS('Cartera clientes'!$BD:$BD,'Cartera clientes'!$BE:$BE,"futuro",'Cartera clientes'!$E:$E,'Stress test RJO'!$A6)
+SUMIFS('Cartera clientes'!CG:CG,'Cartera clientes'!$BF:$BF,"SI",'Cartera clientes'!$E:$E,'Stress test RJO'!$A6)</f>
        <v>0</v>
      </c>
      <c r="G6" s="41">
        <f>SUMIFS('Cartera clientes'!$BD:$BD,'Cartera clientes'!$BE:$BE,"futuro",'Cartera clientes'!$E:$E,'Stress test RJO'!$A6)
+SUMIFS('Cartera clientes'!CH:CH,'Cartera clientes'!$BF:$BF,"SI",'Cartera clientes'!$E:$E,'Stress test RJO'!$A6)</f>
        <v>-4082.4000000000005</v>
      </c>
      <c r="H6" s="41">
        <f>SUMIFS('Cartera clientes'!$BD:$BD,'Cartera clientes'!$BE:$BE,"futuro",'Cartera clientes'!$E:$E,'Stress test RJO'!$A6)
+SUMIFS('Cartera clientes'!CI:CI,'Cartera clientes'!$BF:$BF,"SI",'Cartera clientes'!$E:$E,'Stress test RJO'!$A6)</f>
        <v>-4082.4000000000005</v>
      </c>
      <c r="I6" s="41">
        <f>SUMIFS('Cartera clientes'!$BD:$BD,'Cartera clientes'!$BE:$BE,"futuro",'Cartera clientes'!$E:$E,'Stress test RJO'!$A6)
+SUMIFS('Cartera clientes'!CJ:CJ,'Cartera clientes'!$BF:$BF,"SI",'Cartera clientes'!$E:$E,'Stress test RJO'!$A6)</f>
        <v>-4082.4000000000005</v>
      </c>
      <c r="J6" s="43">
        <f>SUMIFS('Cartera clientes'!BP:BP,'Cartera clientes'!$BE:$BE,"futuro",'Cartera clientes'!$E:$E,'Stress test RJO'!$A6)
+SUMIFS('Cartera clientes'!BW:BW,'Cartera clientes'!$BF:$BF,"si",'Cartera clientes'!$E:$E,'Stress test RJO'!$A6)</f>
        <v>0</v>
      </c>
      <c r="K6" s="41">
        <f>SUMIFS('Cartera clientes'!BQ:BQ,'Cartera clientes'!$BE:$BE,"futuro",'Cartera clientes'!$E:$E,'Stress test RJO'!$A6)
+SUMIFS('Cartera clientes'!BX:BX,'Cartera clientes'!$BF:$BF,"si",'Cartera clientes'!$E:$E,'Stress test RJO'!$A6)</f>
        <v>0</v>
      </c>
      <c r="L6" s="41">
        <f>SUMIFS('Cartera clientes'!BR:BR,'Cartera clientes'!$BE:$BE,"futuro",'Cartera clientes'!$E:$E,'Stress test RJO'!$A6)
+SUMIFS('Cartera clientes'!BY:BY,'Cartera clientes'!$BF:$BF,"si",'Cartera clientes'!$E:$E,'Stress test RJO'!$A6)</f>
        <v>0</v>
      </c>
      <c r="M6" s="41">
        <f>SUMIFS('Cartera clientes'!BS:BS,'Cartera clientes'!$BE:$BE,"futuro",'Cartera clientes'!$E:$E,'Stress test RJO'!$A6)
+SUMIFS('Cartera clientes'!BZ:BZ,'Cartera clientes'!$BF:$BF,"si",'Cartera clientes'!$E:$E,'Stress test RJO'!$A6)</f>
        <v>0</v>
      </c>
      <c r="N6" s="41">
        <f>SUMIFS('Cartera clientes'!BT:BT,'Cartera clientes'!$BE:$BE,"futuro",'Cartera clientes'!$E:$E,'Stress test RJO'!$A6)
+SUMIFS('Cartera clientes'!CA:CA,'Cartera clientes'!$BF:$BF,"si",'Cartera clientes'!$E:$E,'Stress test RJO'!$A6)</f>
        <v>-57637.355214600313</v>
      </c>
      <c r="O6" s="41">
        <f>SUMIFS('Cartera clientes'!BU:BU,'Cartera clientes'!$BE:$BE,"futuro",'Cartera clientes'!$E:$E,'Stress test RJO'!$A6)
+SUMIFS('Cartera clientes'!CB:CB,'Cartera clientes'!$BF:$BF,"si",'Cartera clientes'!$E:$E,'Stress test RJO'!$A6)</f>
        <v>-225149.43442319988</v>
      </c>
      <c r="P6" s="44">
        <f>SUMIFS('Cartera clientes'!BV:BV,'Cartera clientes'!$BE:$BE,"futuro",'Cartera clientes'!$E:$E,'Stress test RJO'!$A6)
+SUMIFS('Cartera clientes'!CC:CC,'Cartera clientes'!$BF:$BF,"si",'Cartera clientes'!$E:$E,'Stress test RJO'!$A6)</f>
        <v>-392661.51363180019</v>
      </c>
      <c r="Q6" s="7">
        <f>SUMIFS('CC vb'!I:I,'CC vb'!E:E,"Dólar Cable",'CC vb'!G:G,A6)</f>
        <v>44323.82</v>
      </c>
      <c r="R6" s="7">
        <f>SUMIFS('CC NUEVA'!C:C,'CC NUEVA'!G:G,A6)</f>
        <v>-79058.559999999998</v>
      </c>
      <c r="S6" s="7">
        <f>SUMIFS(Fact_AUM_FyoCapital!D:D,Fact_AUM_FyoCapital!L:L,A6,Fact_AUM_FyoCapital!F:F,"Dólar Cable")</f>
        <v>38222.57</v>
      </c>
      <c r="T6" s="7">
        <f>+(SUMIFS('Statement base'!W:W,'Statement base'!E:E,'Stress test RJO'!A6)/3)</f>
        <v>51607.5</v>
      </c>
      <c r="U6" s="7">
        <f>SUMIFS('CC vb'!D:D,'CC vb'!E:E,"Dólar Cable",'CC vb'!G:G,A6)</f>
        <v>51607.5</v>
      </c>
      <c r="V6" s="7">
        <f t="shared" si="0"/>
        <v>0</v>
      </c>
      <c r="W6" s="42">
        <f>MIN(L6:N6)+MIN(E6:G6)+Q6</f>
        <v>-17395.935214600315</v>
      </c>
      <c r="X6" s="42">
        <f t="shared" si="1"/>
        <v>34211.564785399685</v>
      </c>
      <c r="Y6" s="42">
        <f t="shared" si="2"/>
        <v>-13313.535214600313</v>
      </c>
      <c r="Z6" s="42">
        <f t="shared" si="3"/>
        <v>0</v>
      </c>
      <c r="AA6" t="str">
        <f>IF(ISERROR(VLOOKUP(VALUE(A6),'CC vb'!G:G,1,0)),"VER","ok")</f>
        <v>ok</v>
      </c>
    </row>
    <row r="7" spans="1:27" x14ac:dyDescent="0.3">
      <c r="A7" t="s">
        <v>668</v>
      </c>
      <c r="B7" s="12" t="str">
        <f>IFERROR(VLOOKUP(VALUE(A7),'Clientes CBOT'!A:D,4,0),"")</f>
        <v>FYO ACOPIO SA</v>
      </c>
      <c r="C7" s="41">
        <f>SUMIFS('Cartera clientes'!$BD:$BD,'Cartera clientes'!$BE:$BE,"futuro",'Cartera clientes'!$E:$E,'Stress test RJO'!$A7)
+SUMIFS('Cartera clientes'!CD:CD,'Cartera clientes'!$BF:$BF,"SI",'Cartera clientes'!$E:$E,'Stress test RJO'!$A7)</f>
        <v>-27289.275000000009</v>
      </c>
      <c r="D7" s="41">
        <f>SUMIFS('Cartera clientes'!$BD:$BD,'Cartera clientes'!$BE:$BE,"futuro",'Cartera clientes'!$E:$E,'Stress test RJO'!$A7)
+SUMIFS('Cartera clientes'!CE:CE,'Cartera clientes'!$BF:$BF,"SI",'Cartera clientes'!$E:$E,'Stress test RJO'!$A7)</f>
        <v>-27289.275000000009</v>
      </c>
      <c r="E7" s="41">
        <f>SUMIFS('Cartera clientes'!$BD:$BD,'Cartera clientes'!$BE:$BE,"futuro",'Cartera clientes'!$E:$E,'Stress test RJO'!$A7)
+SUMIFS('Cartera clientes'!CF:CF,'Cartera clientes'!$BF:$BF,"SI",'Cartera clientes'!$E:$E,'Stress test RJO'!$A7)</f>
        <v>-27289.275000000009</v>
      </c>
      <c r="F7" s="41">
        <f>SUMIFS('Cartera clientes'!$BD:$BD,'Cartera clientes'!$BE:$BE,"futuro",'Cartera clientes'!$E:$E,'Stress test RJO'!$A7)
+SUMIFS('Cartera clientes'!CG:CG,'Cartera clientes'!$BF:$BF,"SI",'Cartera clientes'!$E:$E,'Stress test RJO'!$A7)</f>
        <v>-27289.275000000009</v>
      </c>
      <c r="G7" s="41">
        <f>SUMIFS('Cartera clientes'!$BD:$BD,'Cartera clientes'!$BE:$BE,"futuro",'Cartera clientes'!$E:$E,'Stress test RJO'!$A7)
+SUMIFS('Cartera clientes'!CH:CH,'Cartera clientes'!$BF:$BF,"SI",'Cartera clientes'!$E:$E,'Stress test RJO'!$A7)</f>
        <v>-27289.275000000009</v>
      </c>
      <c r="H7" s="41">
        <f>SUMIFS('Cartera clientes'!$BD:$BD,'Cartera clientes'!$BE:$BE,"futuro",'Cartera clientes'!$E:$E,'Stress test RJO'!$A7)
+SUMIFS('Cartera clientes'!CI:CI,'Cartera clientes'!$BF:$BF,"SI",'Cartera clientes'!$E:$E,'Stress test RJO'!$A7)</f>
        <v>-27289.275000000009</v>
      </c>
      <c r="I7" s="41">
        <f>SUMIFS('Cartera clientes'!$BD:$BD,'Cartera clientes'!$BE:$BE,"futuro",'Cartera clientes'!$E:$E,'Stress test RJO'!$A7)
+SUMIFS('Cartera clientes'!CJ:CJ,'Cartera clientes'!$BF:$BF,"SI",'Cartera clientes'!$E:$E,'Stress test RJO'!$A7)</f>
        <v>-27289.275000000009</v>
      </c>
      <c r="J7" s="43">
        <f>SUMIFS('Cartera clientes'!BP:BP,'Cartera clientes'!$BE:$BE,"futuro",'Cartera clientes'!$E:$E,'Stress test RJO'!$A7)
+SUMIFS('Cartera clientes'!BW:BW,'Cartera clientes'!$BF:$BF,"si",'Cartera clientes'!$E:$E,'Stress test RJO'!$A7)</f>
        <v>5229262.2251558704</v>
      </c>
      <c r="K7" s="41">
        <f>SUMIFS('Cartera clientes'!BQ:BQ,'Cartera clientes'!$BE:$BE,"futuro",'Cartera clientes'!$E:$E,'Stress test RJO'!$A7)
+SUMIFS('Cartera clientes'!BX:BX,'Cartera clientes'!$BF:$BF,"si",'Cartera clientes'!$E:$E,'Stress test RJO'!$A7)</f>
        <v>3486174.8167705773</v>
      </c>
      <c r="L7" s="41">
        <f>SUMIFS('Cartera clientes'!BR:BR,'Cartera clientes'!$BE:$BE,"futuro",'Cartera clientes'!$E:$E,'Stress test RJO'!$A7)
+SUMIFS('Cartera clientes'!BY:BY,'Cartera clientes'!$BF:$BF,"si",'Cartera clientes'!$E:$E,'Stress test RJO'!$A7)</f>
        <v>1743087.4083852901</v>
      </c>
      <c r="M7" s="41">
        <f>SUMIFS('Cartera clientes'!BS:BS,'Cartera clientes'!$BE:$BE,"futuro",'Cartera clientes'!$E:$E,'Stress test RJO'!$A7)
+SUMIFS('Cartera clientes'!BZ:BZ,'Cartera clientes'!$BF:$BF,"si",'Cartera clientes'!$E:$E,'Stress test RJO'!$A7)</f>
        <v>0</v>
      </c>
      <c r="N7" s="41">
        <f>SUMIFS('Cartera clientes'!BT:BT,'Cartera clientes'!$BE:$BE,"futuro",'Cartera clientes'!$E:$E,'Stress test RJO'!$A7)
+SUMIFS('Cartera clientes'!CA:CA,'Cartera clientes'!$BF:$BF,"si",'Cartera clientes'!$E:$E,'Stress test RJO'!$A7)</f>
        <v>-1743087.4083852929</v>
      </c>
      <c r="O7" s="41">
        <f>SUMIFS('Cartera clientes'!BU:BU,'Cartera clientes'!$BE:$BE,"futuro",'Cartera clientes'!$E:$E,'Stress test RJO'!$A7)
+SUMIFS('Cartera clientes'!CB:CB,'Cartera clientes'!$BF:$BF,"si",'Cartera clientes'!$E:$E,'Stress test RJO'!$A7)</f>
        <v>-3486174.8167705773</v>
      </c>
      <c r="P7" s="44">
        <f>SUMIFS('Cartera clientes'!BV:BV,'Cartera clientes'!$BE:$BE,"futuro",'Cartera clientes'!$E:$E,'Stress test RJO'!$A7)
+SUMIFS('Cartera clientes'!CC:CC,'Cartera clientes'!$BF:$BF,"si",'Cartera clientes'!$E:$E,'Stress test RJO'!$A7)</f>
        <v>-5229262.2251558704</v>
      </c>
      <c r="Q7" s="7">
        <f>SUMIFS('CC vb'!I:I,'CC vb'!E:E,"Dólar Cable",'CC vb'!G:G,A7)</f>
        <v>160003.04</v>
      </c>
      <c r="R7" s="7">
        <f>SUMIFS('CC NUEVA'!C:C,'CC NUEVA'!G:G,A7)</f>
        <v>2121879.0299999998</v>
      </c>
      <c r="S7" s="7">
        <f>SUMIFS(Fact_AUM_FyoCapital!D:D,Fact_AUM_FyoCapital!L:L,A7,Fact_AUM_FyoCapital!F:F,"Dólar Cable")</f>
        <v>160003.04</v>
      </c>
      <c r="T7" s="7">
        <f>+(SUMIFS('Statement base'!W:W,'Statement base'!E:E,'Stress test RJO'!A7)/3)</f>
        <v>682192</v>
      </c>
      <c r="U7" s="7">
        <f>SUMIFS('CC vb'!D:D,'CC vb'!E:E,"Dólar Cable",'CC vb'!G:G,A7)</f>
        <v>0</v>
      </c>
      <c r="V7" s="7">
        <f t="shared" si="0"/>
        <v>-682192</v>
      </c>
      <c r="W7" s="42">
        <f t="shared" si="4"/>
        <v>-1610373.6433852927</v>
      </c>
      <c r="X7" s="42">
        <f t="shared" si="1"/>
        <v>-1610373.6433852927</v>
      </c>
      <c r="Y7" s="42">
        <f t="shared" si="2"/>
        <v>-1583084.3683852928</v>
      </c>
      <c r="Z7" s="42">
        <f t="shared" si="3"/>
        <v>-1583084.3683852928</v>
      </c>
      <c r="AA7" t="str">
        <f>IF(ISERROR(VLOOKUP(VALUE(A7),'CC vb'!G:G,1,0)),"VER","ok")</f>
        <v>ok</v>
      </c>
    </row>
    <row r="8" spans="1:27" x14ac:dyDescent="0.3">
      <c r="A8" t="s">
        <v>849</v>
      </c>
      <c r="B8" s="12" t="str">
        <f>IFERROR(VLOOKUP(VALUE(A8),'Clientes CBOT'!A:D,4,0),"")</f>
        <v>MASSOUD JORGE ELIAS</v>
      </c>
      <c r="C8" s="41">
        <f>SUMIFS('Cartera clientes'!$BD:$BD,'Cartera clientes'!$BE:$BE,"futuro",'Cartera clientes'!$E:$E,'Stress test RJO'!$A8)
+SUMIFS('Cartera clientes'!CD:CD,'Cartera clientes'!$BF:$BF,"SI",'Cartera clientes'!$E:$E,'Stress test RJO'!$A8)</f>
        <v>0</v>
      </c>
      <c r="D8" s="41">
        <f>SUMIFS('Cartera clientes'!$BD:$BD,'Cartera clientes'!$BE:$BE,"futuro",'Cartera clientes'!$E:$E,'Stress test RJO'!$A8)
+SUMIFS('Cartera clientes'!CE:CE,'Cartera clientes'!$BF:$BF,"SI",'Cartera clientes'!$E:$E,'Stress test RJO'!$A8)</f>
        <v>0</v>
      </c>
      <c r="E8" s="41">
        <f>SUMIFS('Cartera clientes'!$BD:$BD,'Cartera clientes'!$BE:$BE,"futuro",'Cartera clientes'!$E:$E,'Stress test RJO'!$A8)
+SUMIFS('Cartera clientes'!CF:CF,'Cartera clientes'!$BF:$BF,"SI",'Cartera clientes'!$E:$E,'Stress test RJO'!$A8)</f>
        <v>0</v>
      </c>
      <c r="F8" s="41">
        <f>SUMIFS('Cartera clientes'!$BD:$BD,'Cartera clientes'!$BE:$BE,"futuro",'Cartera clientes'!$E:$E,'Stress test RJO'!$A8)
+SUMIFS('Cartera clientes'!CG:CG,'Cartera clientes'!$BF:$BF,"SI",'Cartera clientes'!$E:$E,'Stress test RJO'!$A8)</f>
        <v>0</v>
      </c>
      <c r="G8" s="41">
        <f>SUMIFS('Cartera clientes'!$BD:$BD,'Cartera clientes'!$BE:$BE,"futuro",'Cartera clientes'!$E:$E,'Stress test RJO'!$A8)
+SUMIFS('Cartera clientes'!CH:CH,'Cartera clientes'!$BF:$BF,"SI",'Cartera clientes'!$E:$E,'Stress test RJO'!$A8)</f>
        <v>2449.44</v>
      </c>
      <c r="H8" s="41">
        <f>SUMIFS('Cartera clientes'!$BD:$BD,'Cartera clientes'!$BE:$BE,"futuro",'Cartera clientes'!$E:$E,'Stress test RJO'!$A8)
+SUMIFS('Cartera clientes'!CI:CI,'Cartera clientes'!$BF:$BF,"SI",'Cartera clientes'!$E:$E,'Stress test RJO'!$A8)</f>
        <v>2449.44</v>
      </c>
      <c r="I8" s="41">
        <f>SUMIFS('Cartera clientes'!$BD:$BD,'Cartera clientes'!$BE:$BE,"futuro",'Cartera clientes'!$E:$E,'Stress test RJO'!$A8)
+SUMIFS('Cartera clientes'!CJ:CJ,'Cartera clientes'!$BF:$BF,"SI",'Cartera clientes'!$E:$E,'Stress test RJO'!$A8)</f>
        <v>2449.44</v>
      </c>
      <c r="J8" s="43">
        <f>SUMIFS('Cartera clientes'!BP:BP,'Cartera clientes'!$BE:$BE,"futuro",'Cartera clientes'!$E:$E,'Stress test RJO'!$A8)
+SUMIFS('Cartera clientes'!BW:BW,'Cartera clientes'!$BF:$BF,"si",'Cartera clientes'!$E:$E,'Stress test RJO'!$A8)</f>
        <v>0</v>
      </c>
      <c r="K8" s="41">
        <f>SUMIFS('Cartera clientes'!BQ:BQ,'Cartera clientes'!$BE:$BE,"futuro",'Cartera clientes'!$E:$E,'Stress test RJO'!$A8)
+SUMIFS('Cartera clientes'!BX:BX,'Cartera clientes'!$BF:$BF,"si",'Cartera clientes'!$E:$E,'Stress test RJO'!$A8)</f>
        <v>0</v>
      </c>
      <c r="L8" s="41">
        <f>SUMIFS('Cartera clientes'!BR:BR,'Cartera clientes'!$BE:$BE,"futuro",'Cartera clientes'!$E:$E,'Stress test RJO'!$A8)
+SUMIFS('Cartera clientes'!BY:BY,'Cartera clientes'!$BF:$BF,"si",'Cartera clientes'!$E:$E,'Stress test RJO'!$A8)</f>
        <v>0</v>
      </c>
      <c r="M8" s="41">
        <f>SUMIFS('Cartera clientes'!BS:BS,'Cartera clientes'!$BE:$BE,"futuro",'Cartera clientes'!$E:$E,'Stress test RJO'!$A8)
+SUMIFS('Cartera clientes'!BZ:BZ,'Cartera clientes'!$BF:$BF,"si",'Cartera clientes'!$E:$E,'Stress test RJO'!$A8)</f>
        <v>0</v>
      </c>
      <c r="N8" s="41">
        <f>SUMIFS('Cartera clientes'!BT:BT,'Cartera clientes'!$BE:$BE,"futuro",'Cartera clientes'!$E:$E,'Stress test RJO'!$A8)
+SUMIFS('Cartera clientes'!CA:CA,'Cartera clientes'!$BF:$BF,"si",'Cartera clientes'!$E:$E,'Stress test RJO'!$A8)</f>
        <v>52582.367912760266</v>
      </c>
      <c r="O8" s="41">
        <f>SUMIFS('Cartera clientes'!BU:BU,'Cartera clientes'!$BE:$BE,"futuro",'Cartera clientes'!$E:$E,'Stress test RJO'!$A8)
+SUMIFS('Cartera clientes'!CB:CB,'Cartera clientes'!$BF:$BF,"si",'Cartera clientes'!$E:$E,'Stress test RJO'!$A8)</f>
        <v>153089.61543792</v>
      </c>
      <c r="P8" s="44">
        <f>SUMIFS('Cartera clientes'!BV:BV,'Cartera clientes'!$BE:$BE,"futuro",'Cartera clientes'!$E:$E,'Stress test RJO'!$A8)
+SUMIFS('Cartera clientes'!CC:CC,'Cartera clientes'!$BF:$BF,"si",'Cartera clientes'!$E:$E,'Stress test RJO'!$A8)</f>
        <v>253596.86296308014</v>
      </c>
      <c r="Q8" s="7">
        <f>SUMIFS('CC vb'!I:I,'CC vb'!E:E,"Dólar Cable",'CC vb'!G:G,A8)</f>
        <v>5126.7</v>
      </c>
      <c r="R8" s="7">
        <f>SUMIFS('CC NUEVA'!C:C,'CC NUEVA'!G:G,A8)</f>
        <v>0</v>
      </c>
      <c r="S8" s="7">
        <f>SUMIFS(Fact_AUM_FyoCapital!D:D,Fact_AUM_FyoCapital!L:L,A8,Fact_AUM_FyoCapital!F:F,"Dólar Cable")</f>
        <v>5126.7</v>
      </c>
      <c r="T8" s="7">
        <f>+(SUMIFS('Statement base'!W:W,'Statement base'!E:E,'Stress test RJO'!A8)/3)</f>
        <v>0</v>
      </c>
      <c r="U8" s="7">
        <f>SUMIFS('CC vb'!D:D,'CC vb'!E:E,"Dólar Cable",'CC vb'!G:G,A8)</f>
        <v>0</v>
      </c>
      <c r="V8" s="7">
        <f t="shared" si="0"/>
        <v>0</v>
      </c>
      <c r="W8" s="42">
        <f t="shared" si="4"/>
        <v>5126.7</v>
      </c>
      <c r="X8" s="42">
        <f t="shared" si="1"/>
        <v>5126.7</v>
      </c>
      <c r="Y8" s="42">
        <f t="shared" si="2"/>
        <v>0</v>
      </c>
      <c r="Z8" s="42">
        <f>IF(Y8=0,0,IF(Y8+U8&gt;0,0,Y8+U8))</f>
        <v>0</v>
      </c>
      <c r="AA8" t="str">
        <f>IF(ISERROR(VLOOKUP(VALUE(A8),'CC vb'!G:G,1,0)),"VER","ok")</f>
        <v>ok</v>
      </c>
    </row>
    <row r="9" spans="1:27" x14ac:dyDescent="0.3">
      <c r="A9" t="s">
        <v>884</v>
      </c>
      <c r="B9" s="12" t="str">
        <f>IFERROR(VLOOKUP(VALUE(A9),'Clientes CBOT'!A:D,4,0),"")</f>
        <v>YABITO SA</v>
      </c>
      <c r="C9" s="41">
        <f>SUMIFS('Cartera clientes'!$BD:$BD,'Cartera clientes'!$BE:$BE,"futuro",'Cartera clientes'!$E:$E,'Stress test RJO'!$A9)
+SUMIFS('Cartera clientes'!CD:CD,'Cartera clientes'!$BF:$BF,"SI",'Cartera clientes'!$E:$E,'Stress test RJO'!$A9)</f>
        <v>0</v>
      </c>
      <c r="D9" s="41">
        <f>SUMIFS('Cartera clientes'!$BD:$BD,'Cartera clientes'!$BE:$BE,"futuro",'Cartera clientes'!$E:$E,'Stress test RJO'!$A9)
+SUMIFS('Cartera clientes'!CE:CE,'Cartera clientes'!$BF:$BF,"SI",'Cartera clientes'!$E:$E,'Stress test RJO'!$A9)</f>
        <v>0</v>
      </c>
      <c r="E9" s="41">
        <f>SUMIFS('Cartera clientes'!$BD:$BD,'Cartera clientes'!$BE:$BE,"futuro",'Cartera clientes'!$E:$E,'Stress test RJO'!$A9)
+SUMIFS('Cartera clientes'!CF:CF,'Cartera clientes'!$BF:$BF,"SI",'Cartera clientes'!$E:$E,'Stress test RJO'!$A9)</f>
        <v>0</v>
      </c>
      <c r="F9" s="41">
        <f>SUMIFS('Cartera clientes'!$BD:$BD,'Cartera clientes'!$BE:$BE,"futuro",'Cartera clientes'!$E:$E,'Stress test RJO'!$A9)
+SUMIFS('Cartera clientes'!CG:CG,'Cartera clientes'!$BF:$BF,"SI",'Cartera clientes'!$E:$E,'Stress test RJO'!$A9)</f>
        <v>0</v>
      </c>
      <c r="G9" s="41">
        <f>SUMIFS('Cartera clientes'!$BD:$BD,'Cartera clientes'!$BE:$BE,"futuro",'Cartera clientes'!$E:$E,'Stress test RJO'!$A9)
+SUMIFS('Cartera clientes'!CH:CH,'Cartera clientes'!$BF:$BF,"SI",'Cartera clientes'!$E:$E,'Stress test RJO'!$A9)</f>
        <v>1632.96</v>
      </c>
      <c r="H9" s="41">
        <f>SUMIFS('Cartera clientes'!$BD:$BD,'Cartera clientes'!$BE:$BE,"futuro",'Cartera clientes'!$E:$E,'Stress test RJO'!$A9)
+SUMIFS('Cartera clientes'!CI:CI,'Cartera clientes'!$BF:$BF,"SI",'Cartera clientes'!$E:$E,'Stress test RJO'!$A9)</f>
        <v>1632.96</v>
      </c>
      <c r="I9" s="41">
        <f>SUMIFS('Cartera clientes'!$BD:$BD,'Cartera clientes'!$BE:$BE,"futuro",'Cartera clientes'!$E:$E,'Stress test RJO'!$A9)
+SUMIFS('Cartera clientes'!CJ:CJ,'Cartera clientes'!$BF:$BF,"SI",'Cartera clientes'!$E:$E,'Stress test RJO'!$A9)</f>
        <v>1632.96</v>
      </c>
      <c r="J9" s="43">
        <f>SUMIFS('Cartera clientes'!BP:BP,'Cartera clientes'!$BE:$BE,"futuro",'Cartera clientes'!$E:$E,'Stress test RJO'!$A9)
+SUMIFS('Cartera clientes'!BW:BW,'Cartera clientes'!$BF:$BF,"si",'Cartera clientes'!$E:$E,'Stress test RJO'!$A9)</f>
        <v>0</v>
      </c>
      <c r="K9" s="41">
        <f>SUMIFS('Cartera clientes'!BQ:BQ,'Cartera clientes'!$BE:$BE,"futuro",'Cartera clientes'!$E:$E,'Stress test RJO'!$A9)
+SUMIFS('Cartera clientes'!BX:BX,'Cartera clientes'!$BF:$BF,"si",'Cartera clientes'!$E:$E,'Stress test RJO'!$A9)</f>
        <v>0</v>
      </c>
      <c r="L9" s="41">
        <f>SUMIFS('Cartera clientes'!BR:BR,'Cartera clientes'!$BE:$BE,"futuro",'Cartera clientes'!$E:$E,'Stress test RJO'!$A9)
+SUMIFS('Cartera clientes'!BY:BY,'Cartera clientes'!$BF:$BF,"si",'Cartera clientes'!$E:$E,'Stress test RJO'!$A9)</f>
        <v>0</v>
      </c>
      <c r="M9" s="41">
        <f>SUMIFS('Cartera clientes'!BS:BS,'Cartera clientes'!$BE:$BE,"futuro",'Cartera clientes'!$E:$E,'Stress test RJO'!$A9)
+SUMIFS('Cartera clientes'!BZ:BZ,'Cartera clientes'!$BF:$BF,"si",'Cartera clientes'!$E:$E,'Stress test RJO'!$A9)</f>
        <v>0</v>
      </c>
      <c r="N9" s="41">
        <f>SUMIFS('Cartera clientes'!BT:BT,'Cartera clientes'!$BE:$BE,"futuro",'Cartera clientes'!$E:$E,'Stress test RJO'!$A9)
+SUMIFS('Cartera clientes'!CA:CA,'Cartera clientes'!$BF:$BF,"si",'Cartera clientes'!$E:$E,'Stress test RJO'!$A9)</f>
        <v>13794.965346960042</v>
      </c>
      <c r="O9" s="41">
        <f>SUMIFS('Cartera clientes'!BU:BU,'Cartera clientes'!$BE:$BE,"futuro",'Cartera clientes'!$E:$E,'Stress test RJO'!$A9)
+SUMIFS('Cartera clientes'!CB:CB,'Cartera clientes'!$BF:$BF,"si",'Cartera clientes'!$E:$E,'Stress test RJO'!$A9)</f>
        <v>80139.798688319948</v>
      </c>
      <c r="P9" s="44">
        <f>SUMIFS('Cartera clientes'!BV:BV,'Cartera clientes'!$BE:$BE,"futuro",'Cartera clientes'!$E:$E,'Stress test RJO'!$A9)
+SUMIFS('Cartera clientes'!CC:CC,'Cartera clientes'!$BF:$BF,"si",'Cartera clientes'!$E:$E,'Stress test RJO'!$A9)</f>
        <v>146484.63202967992</v>
      </c>
      <c r="Q9" s="7">
        <f>SUMIFS('CC vb'!I:I,'CC vb'!E:E,"Dólar Cable",'CC vb'!G:G,A9)</f>
        <v>25235</v>
      </c>
      <c r="R9" s="7">
        <f>SUMIFS('CC NUEVA'!C:C,'CC NUEVA'!G:G,A9)</f>
        <v>4342.88</v>
      </c>
      <c r="S9" s="7">
        <f>SUMIFS(Fact_AUM_FyoCapital!D:D,Fact_AUM_FyoCapital!L:L,A9,Fact_AUM_FyoCapital!F:F,"Dólar Cable")</f>
        <v>25235</v>
      </c>
      <c r="T9" s="7">
        <f>+(SUMIFS('Statement base'!W:W,'Statement base'!E:E,'Stress test RJO'!A9)/3)</f>
        <v>0</v>
      </c>
      <c r="U9" s="7">
        <f>SUMIFS('CC vb'!D:D,'CC vb'!E:E,"Dólar Cable",'CC vb'!G:G,A9)</f>
        <v>0</v>
      </c>
      <c r="V9" s="7">
        <f t="shared" si="0"/>
        <v>0</v>
      </c>
      <c r="W9" s="42">
        <f t="shared" si="4"/>
        <v>25235</v>
      </c>
      <c r="X9" s="42">
        <f t="shared" si="1"/>
        <v>25235</v>
      </c>
      <c r="Y9" s="42">
        <f t="shared" si="2"/>
        <v>0</v>
      </c>
      <c r="Z9" s="42">
        <f t="shared" ref="Z9:Z13" si="5">IF(Y9=0,0,IF(Y9+U9&gt;0,0,Y9+U9))</f>
        <v>0</v>
      </c>
      <c r="AA9" t="str">
        <f>IF(ISERROR(VLOOKUP(VALUE(A9),'CC vb'!G:G,1,0)),"VER","ok")</f>
        <v>ok</v>
      </c>
    </row>
    <row r="10" spans="1:27" x14ac:dyDescent="0.3">
      <c r="B10" s="12" t="str">
        <f>IFERROR(VLOOKUP(VALUE(A10),'Clientes CBOT'!A:D,4,0),"")</f>
        <v/>
      </c>
      <c r="C10" s="41">
        <f>SUMIFS('Cartera clientes'!$BD:$BD,'Cartera clientes'!$BE:$BE,"futuro",'Cartera clientes'!$E:$E,'Stress test RJO'!$A10)
+SUMIFS('Cartera clientes'!CD:CD,'Cartera clientes'!$BF:$BF,"SI",'Cartera clientes'!$E:$E,'Stress test RJO'!$A10)</f>
        <v>0</v>
      </c>
      <c r="D10" s="41">
        <f>SUMIFS('Cartera clientes'!$BD:$BD,'Cartera clientes'!$BE:$BE,"futuro",'Cartera clientes'!$E:$E,'Stress test RJO'!$A10)
+SUMIFS('Cartera clientes'!CE:CE,'Cartera clientes'!$BF:$BF,"SI",'Cartera clientes'!$E:$E,'Stress test RJO'!$A10)</f>
        <v>0</v>
      </c>
      <c r="E10" s="41">
        <f>SUMIFS('Cartera clientes'!$BD:$BD,'Cartera clientes'!$BE:$BE,"futuro",'Cartera clientes'!$E:$E,'Stress test RJO'!$A10)
+SUMIFS('Cartera clientes'!CF:CF,'Cartera clientes'!$BF:$BF,"SI",'Cartera clientes'!$E:$E,'Stress test RJO'!$A10)</f>
        <v>0</v>
      </c>
      <c r="F10" s="41">
        <f>SUMIFS('Cartera clientes'!$BD:$BD,'Cartera clientes'!$BE:$BE,"futuro",'Cartera clientes'!$E:$E,'Stress test RJO'!$A10)
+SUMIFS('Cartera clientes'!CG:CG,'Cartera clientes'!$BF:$BF,"SI",'Cartera clientes'!$E:$E,'Stress test RJO'!$A10)</f>
        <v>0</v>
      </c>
      <c r="G10" s="41">
        <f>SUMIFS('Cartera clientes'!$BD:$BD,'Cartera clientes'!$BE:$BE,"futuro",'Cartera clientes'!$E:$E,'Stress test RJO'!$A10)
+SUMIFS('Cartera clientes'!CH:CH,'Cartera clientes'!$BF:$BF,"SI",'Cartera clientes'!$E:$E,'Stress test RJO'!$A10)</f>
        <v>0</v>
      </c>
      <c r="H10" s="41">
        <f>SUMIFS('Cartera clientes'!$BD:$BD,'Cartera clientes'!$BE:$BE,"futuro",'Cartera clientes'!$E:$E,'Stress test RJO'!$A10)
+SUMIFS('Cartera clientes'!CI:CI,'Cartera clientes'!$BF:$BF,"SI",'Cartera clientes'!$E:$E,'Stress test RJO'!$A10)</f>
        <v>0</v>
      </c>
      <c r="I10" s="41">
        <f>SUMIFS('Cartera clientes'!$BD:$BD,'Cartera clientes'!$BE:$BE,"futuro",'Cartera clientes'!$E:$E,'Stress test RJO'!$A10)
+SUMIFS('Cartera clientes'!CJ:CJ,'Cartera clientes'!$BF:$BF,"SI",'Cartera clientes'!$E:$E,'Stress test RJO'!$A10)</f>
        <v>0</v>
      </c>
      <c r="J10" s="43">
        <f>SUMIFS('Cartera clientes'!BP:BP,'Cartera clientes'!$BE:$BE,"futuro",'Cartera clientes'!$E:$E,'Stress test RJO'!$A10)
+SUMIFS('Cartera clientes'!BW:BW,'Cartera clientes'!$BF:$BF,"si",'Cartera clientes'!$E:$E,'Stress test RJO'!$A10)</f>
        <v>0</v>
      </c>
      <c r="K10" s="41">
        <f>SUMIFS('Cartera clientes'!BQ:BQ,'Cartera clientes'!$BE:$BE,"futuro",'Cartera clientes'!$E:$E,'Stress test RJO'!$A10)
+SUMIFS('Cartera clientes'!BX:BX,'Cartera clientes'!$BF:$BF,"si",'Cartera clientes'!$E:$E,'Stress test RJO'!$A10)</f>
        <v>0</v>
      </c>
      <c r="L10" s="41">
        <f>SUMIFS('Cartera clientes'!BR:BR,'Cartera clientes'!$BE:$BE,"futuro",'Cartera clientes'!$E:$E,'Stress test RJO'!$A10)
+SUMIFS('Cartera clientes'!BY:BY,'Cartera clientes'!$BF:$BF,"si",'Cartera clientes'!$E:$E,'Stress test RJO'!$A10)</f>
        <v>0</v>
      </c>
      <c r="M10" s="41">
        <f>SUMIFS('Cartera clientes'!BS:BS,'Cartera clientes'!$BE:$BE,"futuro",'Cartera clientes'!$E:$E,'Stress test RJO'!$A10)
+SUMIFS('Cartera clientes'!BZ:BZ,'Cartera clientes'!$BF:$BF,"si",'Cartera clientes'!$E:$E,'Stress test RJO'!$A10)</f>
        <v>0</v>
      </c>
      <c r="N10" s="41">
        <f>SUMIFS('Cartera clientes'!BT:BT,'Cartera clientes'!$BE:$BE,"futuro",'Cartera clientes'!$E:$E,'Stress test RJO'!$A10)
+SUMIFS('Cartera clientes'!CA:CA,'Cartera clientes'!$BF:$BF,"si",'Cartera clientes'!$E:$E,'Stress test RJO'!$A10)</f>
        <v>0</v>
      </c>
      <c r="O10" s="41">
        <f>SUMIFS('Cartera clientes'!BU:BU,'Cartera clientes'!$BE:$BE,"futuro",'Cartera clientes'!$E:$E,'Stress test RJO'!$A10)
+SUMIFS('Cartera clientes'!CB:CB,'Cartera clientes'!$BF:$BF,"si",'Cartera clientes'!$E:$E,'Stress test RJO'!$A10)</f>
        <v>0</v>
      </c>
      <c r="P10" s="44">
        <f>SUMIFS('Cartera clientes'!BV:BV,'Cartera clientes'!$BE:$BE,"futuro",'Cartera clientes'!$E:$E,'Stress test RJO'!$A10)
+SUMIFS('Cartera clientes'!CC:CC,'Cartera clientes'!$BF:$BF,"si",'Cartera clientes'!$E:$E,'Stress test RJO'!$A10)</f>
        <v>0</v>
      </c>
      <c r="Q10" s="7">
        <f>SUMIFS('CC vb'!I:I,'CC vb'!E:E,"Dólar Cable",'CC vb'!G:G,A10)</f>
        <v>0</v>
      </c>
      <c r="R10" s="7">
        <f>SUMIFS('CC NUEVA'!C:C,'CC NUEVA'!G:G,A10)</f>
        <v>0</v>
      </c>
      <c r="S10" s="7">
        <f>SUMIFS(Fact_AUM_FyoCapital!D:D,Fact_AUM_FyoCapital!L:L,A10,Fact_AUM_FyoCapital!F:F,"Dólar Cable")</f>
        <v>0</v>
      </c>
      <c r="T10" s="7">
        <f>+(SUMIFS('Statement base'!W:W,'Statement base'!E:E,'Stress test RJO'!A10)/3)</f>
        <v>0</v>
      </c>
      <c r="U10" s="7">
        <f>SUMIFS('CC vb'!D:D,'CC vb'!E:E,"Dólar Cable",'CC vb'!G:G,A10)</f>
        <v>0</v>
      </c>
      <c r="V10" s="7">
        <f t="shared" si="0"/>
        <v>0</v>
      </c>
      <c r="W10" s="42">
        <f t="shared" si="4"/>
        <v>0</v>
      </c>
      <c r="X10" s="42">
        <f t="shared" si="1"/>
        <v>0</v>
      </c>
      <c r="Y10" s="42">
        <f t="shared" si="2"/>
        <v>0</v>
      </c>
      <c r="Z10" s="42">
        <f t="shared" si="5"/>
        <v>0</v>
      </c>
      <c r="AA10" t="str">
        <f>IF(ISERROR(VLOOKUP(VALUE(A10),'CC vb'!G:G,1,0)),"VER","ok")</f>
        <v>ok</v>
      </c>
    </row>
    <row r="11" spans="1:27" x14ac:dyDescent="0.3">
      <c r="B11" s="12" t="str">
        <f>IFERROR(VLOOKUP(VALUE(A11),'Clientes CBOT'!A:D,4,0),"")</f>
        <v/>
      </c>
      <c r="C11" s="41">
        <f>SUMIFS('Cartera clientes'!$BD:$BD,'Cartera clientes'!$BE:$BE,"futuro",'Cartera clientes'!$E:$E,'Stress test RJO'!$A11)
+SUMIFS('Cartera clientes'!CD:CD,'Cartera clientes'!$BF:$BF,"SI",'Cartera clientes'!$E:$E,'Stress test RJO'!$A11)</f>
        <v>0</v>
      </c>
      <c r="D11" s="41">
        <f>SUMIFS('Cartera clientes'!$BD:$BD,'Cartera clientes'!$BE:$BE,"futuro",'Cartera clientes'!$E:$E,'Stress test RJO'!$A11)
+SUMIFS('Cartera clientes'!CE:CE,'Cartera clientes'!$BF:$BF,"SI",'Cartera clientes'!$E:$E,'Stress test RJO'!$A11)</f>
        <v>0</v>
      </c>
      <c r="E11" s="41">
        <f>SUMIFS('Cartera clientes'!$BD:$BD,'Cartera clientes'!$BE:$BE,"futuro",'Cartera clientes'!$E:$E,'Stress test RJO'!$A11)
+SUMIFS('Cartera clientes'!CF:CF,'Cartera clientes'!$BF:$BF,"SI",'Cartera clientes'!$E:$E,'Stress test RJO'!$A11)</f>
        <v>0</v>
      </c>
      <c r="F11" s="41">
        <f>SUMIFS('Cartera clientes'!$BD:$BD,'Cartera clientes'!$BE:$BE,"futuro",'Cartera clientes'!$E:$E,'Stress test RJO'!$A11)
+SUMIFS('Cartera clientes'!CG:CG,'Cartera clientes'!$BF:$BF,"SI",'Cartera clientes'!$E:$E,'Stress test RJO'!$A11)</f>
        <v>0</v>
      </c>
      <c r="G11" s="41">
        <f>SUMIFS('Cartera clientes'!$BD:$BD,'Cartera clientes'!$BE:$BE,"futuro",'Cartera clientes'!$E:$E,'Stress test RJO'!$A11)
+SUMIFS('Cartera clientes'!CH:CH,'Cartera clientes'!$BF:$BF,"SI",'Cartera clientes'!$E:$E,'Stress test RJO'!$A11)</f>
        <v>0</v>
      </c>
      <c r="H11" s="41">
        <f>SUMIFS('Cartera clientes'!$BD:$BD,'Cartera clientes'!$BE:$BE,"futuro",'Cartera clientes'!$E:$E,'Stress test RJO'!$A11)
+SUMIFS('Cartera clientes'!CI:CI,'Cartera clientes'!$BF:$BF,"SI",'Cartera clientes'!$E:$E,'Stress test RJO'!$A11)</f>
        <v>0</v>
      </c>
      <c r="I11" s="41">
        <f>SUMIFS('Cartera clientes'!$BD:$BD,'Cartera clientes'!$BE:$BE,"futuro",'Cartera clientes'!$E:$E,'Stress test RJO'!$A11)
+SUMIFS('Cartera clientes'!CJ:CJ,'Cartera clientes'!$BF:$BF,"SI",'Cartera clientes'!$E:$E,'Stress test RJO'!$A11)</f>
        <v>0</v>
      </c>
      <c r="J11" s="43">
        <f>SUMIFS('Cartera clientes'!BP:BP,'Cartera clientes'!$BE:$BE,"futuro",'Cartera clientes'!$E:$E,'Stress test RJO'!$A11)
+SUMIFS('Cartera clientes'!BW:BW,'Cartera clientes'!$BF:$BF,"si",'Cartera clientes'!$E:$E,'Stress test RJO'!$A11)</f>
        <v>0</v>
      </c>
      <c r="K11" s="41">
        <f>SUMIFS('Cartera clientes'!BQ:BQ,'Cartera clientes'!$BE:$BE,"futuro",'Cartera clientes'!$E:$E,'Stress test RJO'!$A11)
+SUMIFS('Cartera clientes'!BX:BX,'Cartera clientes'!$BF:$BF,"si",'Cartera clientes'!$E:$E,'Stress test RJO'!$A11)</f>
        <v>0</v>
      </c>
      <c r="L11" s="41">
        <f>SUMIFS('Cartera clientes'!BR:BR,'Cartera clientes'!$BE:$BE,"futuro",'Cartera clientes'!$E:$E,'Stress test RJO'!$A11)
+SUMIFS('Cartera clientes'!BY:BY,'Cartera clientes'!$BF:$BF,"si",'Cartera clientes'!$E:$E,'Stress test RJO'!$A11)</f>
        <v>0</v>
      </c>
      <c r="M11" s="41">
        <f>SUMIFS('Cartera clientes'!BS:BS,'Cartera clientes'!$BE:$BE,"futuro",'Cartera clientes'!$E:$E,'Stress test RJO'!$A11)
+SUMIFS('Cartera clientes'!BZ:BZ,'Cartera clientes'!$BF:$BF,"si",'Cartera clientes'!$E:$E,'Stress test RJO'!$A11)</f>
        <v>0</v>
      </c>
      <c r="N11" s="41">
        <f>SUMIFS('Cartera clientes'!BT:BT,'Cartera clientes'!$BE:$BE,"futuro",'Cartera clientes'!$E:$E,'Stress test RJO'!$A11)
+SUMIFS('Cartera clientes'!CA:CA,'Cartera clientes'!$BF:$BF,"si",'Cartera clientes'!$E:$E,'Stress test RJO'!$A11)</f>
        <v>0</v>
      </c>
      <c r="O11" s="41">
        <f>SUMIFS('Cartera clientes'!BU:BU,'Cartera clientes'!$BE:$BE,"futuro",'Cartera clientes'!$E:$E,'Stress test RJO'!$A11)
+SUMIFS('Cartera clientes'!CB:CB,'Cartera clientes'!$BF:$BF,"si",'Cartera clientes'!$E:$E,'Stress test RJO'!$A11)</f>
        <v>0</v>
      </c>
      <c r="P11" s="44">
        <f>SUMIFS('Cartera clientes'!BV:BV,'Cartera clientes'!$BE:$BE,"futuro",'Cartera clientes'!$E:$E,'Stress test RJO'!$A11)
+SUMIFS('Cartera clientes'!CC:CC,'Cartera clientes'!$BF:$BF,"si",'Cartera clientes'!$E:$E,'Stress test RJO'!$A11)</f>
        <v>0</v>
      </c>
      <c r="Q11" s="7">
        <f>SUMIFS('CC vb'!I:I,'CC vb'!E:E,"Dólar Cable",'CC vb'!G:G,A11)</f>
        <v>0</v>
      </c>
      <c r="R11" s="7">
        <f>SUMIFS('CC NUEVA'!C:C,'CC NUEVA'!G:G,A11)</f>
        <v>0</v>
      </c>
      <c r="S11" s="7">
        <f>SUMIFS(Fact_AUM_FyoCapital!D:D,Fact_AUM_FyoCapital!L:L,A11,Fact_AUM_FyoCapital!F:F,"Dólar Cable")</f>
        <v>0</v>
      </c>
      <c r="T11" s="7">
        <f>+(SUMIFS('Statement base'!W:W,'Statement base'!E:E,'Stress test RJO'!A11)/3)</f>
        <v>0</v>
      </c>
      <c r="U11" s="7">
        <f>SUMIFS('CC vb'!D:D,'CC vb'!E:E,"Dólar Cable",'CC vb'!G:G,A11)</f>
        <v>0</v>
      </c>
      <c r="V11" s="7">
        <f t="shared" si="0"/>
        <v>0</v>
      </c>
      <c r="W11" s="42">
        <f t="shared" si="4"/>
        <v>0</v>
      </c>
      <c r="X11" s="42">
        <f t="shared" si="1"/>
        <v>0</v>
      </c>
      <c r="Y11" s="42">
        <f t="shared" si="2"/>
        <v>0</v>
      </c>
      <c r="Z11" s="42">
        <f t="shared" si="5"/>
        <v>0</v>
      </c>
      <c r="AA11" t="str">
        <f>IF(ISERROR(VLOOKUP(VALUE(A11),'CC vb'!G:G,1,0)),"VER","ok")</f>
        <v>ok</v>
      </c>
    </row>
    <row r="12" spans="1:27" x14ac:dyDescent="0.3">
      <c r="B12" s="12" t="str">
        <f>IFERROR(VLOOKUP(VALUE(A12),'Clientes CBOT'!A:D,4,0),"")</f>
        <v/>
      </c>
      <c r="C12" s="41">
        <f>SUMIFS('Cartera clientes'!$BD:$BD,'Cartera clientes'!$BE:$BE,"futuro",'Cartera clientes'!$E:$E,'Stress test RJO'!$A12)
+SUMIFS('Cartera clientes'!CD:CD,'Cartera clientes'!$BF:$BF,"SI",'Cartera clientes'!$E:$E,'Stress test RJO'!$A12)</f>
        <v>0</v>
      </c>
      <c r="D12" s="41">
        <f>SUMIFS('Cartera clientes'!$BD:$BD,'Cartera clientes'!$BE:$BE,"futuro",'Cartera clientes'!$E:$E,'Stress test RJO'!$A12)
+SUMIFS('Cartera clientes'!CE:CE,'Cartera clientes'!$BF:$BF,"SI",'Cartera clientes'!$E:$E,'Stress test RJO'!$A12)</f>
        <v>0</v>
      </c>
      <c r="E12" s="41">
        <f>SUMIFS('Cartera clientes'!$BD:$BD,'Cartera clientes'!$BE:$BE,"futuro",'Cartera clientes'!$E:$E,'Stress test RJO'!$A12)
+SUMIFS('Cartera clientes'!CF:CF,'Cartera clientes'!$BF:$BF,"SI",'Cartera clientes'!$E:$E,'Stress test RJO'!$A12)</f>
        <v>0</v>
      </c>
      <c r="F12" s="41">
        <f>SUMIFS('Cartera clientes'!$BD:$BD,'Cartera clientes'!$BE:$BE,"futuro",'Cartera clientes'!$E:$E,'Stress test RJO'!$A12)
+SUMIFS('Cartera clientes'!CG:CG,'Cartera clientes'!$BF:$BF,"SI",'Cartera clientes'!$E:$E,'Stress test RJO'!$A12)</f>
        <v>0</v>
      </c>
      <c r="G12" s="41">
        <f>SUMIFS('Cartera clientes'!$BD:$BD,'Cartera clientes'!$BE:$BE,"futuro",'Cartera clientes'!$E:$E,'Stress test RJO'!$A12)
+SUMIFS('Cartera clientes'!CH:CH,'Cartera clientes'!$BF:$BF,"SI",'Cartera clientes'!$E:$E,'Stress test RJO'!$A12)</f>
        <v>0</v>
      </c>
      <c r="H12" s="41">
        <f>SUMIFS('Cartera clientes'!$BD:$BD,'Cartera clientes'!$BE:$BE,"futuro",'Cartera clientes'!$E:$E,'Stress test RJO'!$A12)
+SUMIFS('Cartera clientes'!CI:CI,'Cartera clientes'!$BF:$BF,"SI",'Cartera clientes'!$E:$E,'Stress test RJO'!$A12)</f>
        <v>0</v>
      </c>
      <c r="I12" s="41">
        <f>SUMIFS('Cartera clientes'!$BD:$BD,'Cartera clientes'!$BE:$BE,"futuro",'Cartera clientes'!$E:$E,'Stress test RJO'!$A12)
+SUMIFS('Cartera clientes'!CJ:CJ,'Cartera clientes'!$BF:$BF,"SI",'Cartera clientes'!$E:$E,'Stress test RJO'!$A12)</f>
        <v>0</v>
      </c>
      <c r="J12" s="43">
        <f>SUMIFS('Cartera clientes'!BP:BP,'Cartera clientes'!$BE:$BE,"futuro",'Cartera clientes'!$E:$E,'Stress test RJO'!$A12)
+SUMIFS('Cartera clientes'!BW:BW,'Cartera clientes'!$BF:$BF,"si",'Cartera clientes'!$E:$E,'Stress test RJO'!$A12)</f>
        <v>0</v>
      </c>
      <c r="K12" s="41">
        <f>SUMIFS('Cartera clientes'!BQ:BQ,'Cartera clientes'!$BE:$BE,"futuro",'Cartera clientes'!$E:$E,'Stress test RJO'!$A12)
+SUMIFS('Cartera clientes'!BX:BX,'Cartera clientes'!$BF:$BF,"si",'Cartera clientes'!$E:$E,'Stress test RJO'!$A12)</f>
        <v>0</v>
      </c>
      <c r="L12" s="41">
        <f>SUMIFS('Cartera clientes'!BR:BR,'Cartera clientes'!$BE:$BE,"futuro",'Cartera clientes'!$E:$E,'Stress test RJO'!$A12)
+SUMIFS('Cartera clientes'!BY:BY,'Cartera clientes'!$BF:$BF,"si",'Cartera clientes'!$E:$E,'Stress test RJO'!$A12)</f>
        <v>0</v>
      </c>
      <c r="M12" s="41">
        <f>SUMIFS('Cartera clientes'!BS:BS,'Cartera clientes'!$BE:$BE,"futuro",'Cartera clientes'!$E:$E,'Stress test RJO'!$A12)
+SUMIFS('Cartera clientes'!BZ:BZ,'Cartera clientes'!$BF:$BF,"si",'Cartera clientes'!$E:$E,'Stress test RJO'!$A12)</f>
        <v>0</v>
      </c>
      <c r="N12" s="41">
        <f>SUMIFS('Cartera clientes'!BT:BT,'Cartera clientes'!$BE:$BE,"futuro",'Cartera clientes'!$E:$E,'Stress test RJO'!$A12)
+SUMIFS('Cartera clientes'!CA:CA,'Cartera clientes'!$BF:$BF,"si",'Cartera clientes'!$E:$E,'Stress test RJO'!$A12)</f>
        <v>0</v>
      </c>
      <c r="O12" s="41">
        <f>SUMIFS('Cartera clientes'!BU:BU,'Cartera clientes'!$BE:$BE,"futuro",'Cartera clientes'!$E:$E,'Stress test RJO'!$A12)
+SUMIFS('Cartera clientes'!CB:CB,'Cartera clientes'!$BF:$BF,"si",'Cartera clientes'!$E:$E,'Stress test RJO'!$A12)</f>
        <v>0</v>
      </c>
      <c r="P12" s="44">
        <f>SUMIFS('Cartera clientes'!BV:BV,'Cartera clientes'!$BE:$BE,"futuro",'Cartera clientes'!$E:$E,'Stress test RJO'!$A12)
+SUMIFS('Cartera clientes'!CC:CC,'Cartera clientes'!$BF:$BF,"si",'Cartera clientes'!$E:$E,'Stress test RJO'!$A12)</f>
        <v>0</v>
      </c>
      <c r="Q12" s="7">
        <f>SUMIFS('CC vb'!I:I,'CC vb'!E:E,"Dólar Cable",'CC vb'!G:G,A12)</f>
        <v>0</v>
      </c>
      <c r="R12" s="7">
        <f>SUMIFS('CC NUEVA'!C:C,'CC NUEVA'!G:G,A12)</f>
        <v>0</v>
      </c>
      <c r="S12" s="7">
        <f>SUMIFS(Fact_AUM_FyoCapital!D:D,Fact_AUM_FyoCapital!L:L,A12,Fact_AUM_FyoCapital!F:F,"Dólar Cable")</f>
        <v>0</v>
      </c>
      <c r="T12" s="7">
        <f>+(SUMIFS('Statement base'!W:W,'Statement base'!E:E,'Stress test RJO'!A12)/3)</f>
        <v>0</v>
      </c>
      <c r="U12" s="7">
        <f>SUMIFS('CC vb'!D:D,'CC vb'!E:E,"Dólar Cable",'CC vb'!G:G,A12)</f>
        <v>0</v>
      </c>
      <c r="V12" s="7">
        <f t="shared" si="0"/>
        <v>0</v>
      </c>
      <c r="W12" s="42">
        <f t="shared" si="4"/>
        <v>0</v>
      </c>
      <c r="X12" s="42">
        <f t="shared" si="1"/>
        <v>0</v>
      </c>
      <c r="Y12" s="42">
        <f t="shared" si="2"/>
        <v>0</v>
      </c>
      <c r="Z12" s="42">
        <f t="shared" si="5"/>
        <v>0</v>
      </c>
      <c r="AA12" t="str">
        <f>IF(ISERROR(VLOOKUP(VALUE(A12),'CC vb'!G:G,1,0)),"VER","ok")</f>
        <v>ok</v>
      </c>
    </row>
    <row r="13" spans="1:27" x14ac:dyDescent="0.3">
      <c r="B13" s="12" t="str">
        <f>IFERROR(VLOOKUP(VALUE(A13),'Clientes CBOT'!A:D,4,0),"")</f>
        <v/>
      </c>
      <c r="C13" s="41">
        <f>SUMIFS('Cartera clientes'!$BD:$BD,'Cartera clientes'!$BE:$BE,"futuro",'Cartera clientes'!$E:$E,'Stress test RJO'!$A13)
+SUMIFS('Cartera clientes'!CD:CD,'Cartera clientes'!$BF:$BF,"SI",'Cartera clientes'!$E:$E,'Stress test RJO'!$A13)</f>
        <v>0</v>
      </c>
      <c r="D13" s="41">
        <f>SUMIFS('Cartera clientes'!$BD:$BD,'Cartera clientes'!$BE:$BE,"futuro",'Cartera clientes'!$E:$E,'Stress test RJO'!$A13)
+SUMIFS('Cartera clientes'!CE:CE,'Cartera clientes'!$BF:$BF,"SI",'Cartera clientes'!$E:$E,'Stress test RJO'!$A13)</f>
        <v>0</v>
      </c>
      <c r="E13" s="41">
        <f>SUMIFS('Cartera clientes'!$BD:$BD,'Cartera clientes'!$BE:$BE,"futuro",'Cartera clientes'!$E:$E,'Stress test RJO'!$A13)
+SUMIFS('Cartera clientes'!CF:CF,'Cartera clientes'!$BF:$BF,"SI",'Cartera clientes'!$E:$E,'Stress test RJO'!$A13)</f>
        <v>0</v>
      </c>
      <c r="F13" s="41">
        <f>SUMIFS('Cartera clientes'!$BD:$BD,'Cartera clientes'!$BE:$BE,"futuro",'Cartera clientes'!$E:$E,'Stress test RJO'!$A13)
+SUMIFS('Cartera clientes'!CG:CG,'Cartera clientes'!$BF:$BF,"SI",'Cartera clientes'!$E:$E,'Stress test RJO'!$A13)</f>
        <v>0</v>
      </c>
      <c r="G13" s="41">
        <f>SUMIFS('Cartera clientes'!$BD:$BD,'Cartera clientes'!$BE:$BE,"futuro",'Cartera clientes'!$E:$E,'Stress test RJO'!$A13)
+SUMIFS('Cartera clientes'!CH:CH,'Cartera clientes'!$BF:$BF,"SI",'Cartera clientes'!$E:$E,'Stress test RJO'!$A13)</f>
        <v>0</v>
      </c>
      <c r="H13" s="41">
        <f>SUMIFS('Cartera clientes'!$BD:$BD,'Cartera clientes'!$BE:$BE,"futuro",'Cartera clientes'!$E:$E,'Stress test RJO'!$A13)
+SUMIFS('Cartera clientes'!CI:CI,'Cartera clientes'!$BF:$BF,"SI",'Cartera clientes'!$E:$E,'Stress test RJO'!$A13)</f>
        <v>0</v>
      </c>
      <c r="I13" s="41">
        <f>SUMIFS('Cartera clientes'!$BD:$BD,'Cartera clientes'!$BE:$BE,"futuro",'Cartera clientes'!$E:$E,'Stress test RJO'!$A13)
+SUMIFS('Cartera clientes'!CJ:CJ,'Cartera clientes'!$BF:$BF,"SI",'Cartera clientes'!$E:$E,'Stress test RJO'!$A13)</f>
        <v>0</v>
      </c>
      <c r="J13" s="43">
        <f>SUMIFS('Cartera clientes'!BP:BP,'Cartera clientes'!$BE:$BE,"futuro",'Cartera clientes'!$E:$E,'Stress test RJO'!$A13)
+SUMIFS('Cartera clientes'!BW:BW,'Cartera clientes'!$BF:$BF,"si",'Cartera clientes'!$E:$E,'Stress test RJO'!$A13)</f>
        <v>0</v>
      </c>
      <c r="K13" s="41">
        <f>SUMIFS('Cartera clientes'!BQ:BQ,'Cartera clientes'!$BE:$BE,"futuro",'Cartera clientes'!$E:$E,'Stress test RJO'!$A13)
+SUMIFS('Cartera clientes'!BX:BX,'Cartera clientes'!$BF:$BF,"si",'Cartera clientes'!$E:$E,'Stress test RJO'!$A13)</f>
        <v>0</v>
      </c>
      <c r="L13" s="41">
        <f>SUMIFS('Cartera clientes'!BR:BR,'Cartera clientes'!$BE:$BE,"futuro",'Cartera clientes'!$E:$E,'Stress test RJO'!$A13)
+SUMIFS('Cartera clientes'!BY:BY,'Cartera clientes'!$BF:$BF,"si",'Cartera clientes'!$E:$E,'Stress test RJO'!$A13)</f>
        <v>0</v>
      </c>
      <c r="M13" s="41">
        <f>SUMIFS('Cartera clientes'!BS:BS,'Cartera clientes'!$BE:$BE,"futuro",'Cartera clientes'!$E:$E,'Stress test RJO'!$A13)
+SUMIFS('Cartera clientes'!BZ:BZ,'Cartera clientes'!$BF:$BF,"si",'Cartera clientes'!$E:$E,'Stress test RJO'!$A13)</f>
        <v>0</v>
      </c>
      <c r="N13" s="41">
        <f>SUMIFS('Cartera clientes'!BT:BT,'Cartera clientes'!$BE:$BE,"futuro",'Cartera clientes'!$E:$E,'Stress test RJO'!$A13)
+SUMIFS('Cartera clientes'!CA:CA,'Cartera clientes'!$BF:$BF,"si",'Cartera clientes'!$E:$E,'Stress test RJO'!$A13)</f>
        <v>0</v>
      </c>
      <c r="O13" s="41">
        <f>SUMIFS('Cartera clientes'!BU:BU,'Cartera clientes'!$BE:$BE,"futuro",'Cartera clientes'!$E:$E,'Stress test RJO'!$A13)
+SUMIFS('Cartera clientes'!CB:CB,'Cartera clientes'!$BF:$BF,"si",'Cartera clientes'!$E:$E,'Stress test RJO'!$A13)</f>
        <v>0</v>
      </c>
      <c r="P13" s="44">
        <f>SUMIFS('Cartera clientes'!BV:BV,'Cartera clientes'!$BE:$BE,"futuro",'Cartera clientes'!$E:$E,'Stress test RJO'!$A13)
+SUMIFS('Cartera clientes'!CC:CC,'Cartera clientes'!$BF:$BF,"si",'Cartera clientes'!$E:$E,'Stress test RJO'!$A13)</f>
        <v>0</v>
      </c>
      <c r="Q13" s="7">
        <f>SUMIFS('CC vb'!I:I,'CC vb'!E:E,"Dólar Cable",'CC vb'!G:G,A13)</f>
        <v>0</v>
      </c>
      <c r="R13" s="7">
        <f>SUMIFS('CC NUEVA'!C:C,'CC NUEVA'!G:G,A13)</f>
        <v>0</v>
      </c>
      <c r="S13" s="7">
        <f>SUMIFS(Fact_AUM_FyoCapital!D:D,Fact_AUM_FyoCapital!L:L,A13,Fact_AUM_FyoCapital!F:F,"Dólar Cable")</f>
        <v>0</v>
      </c>
      <c r="T13" s="7">
        <f>+(SUMIFS('Statement base'!W:W,'Statement base'!E:E,'Stress test RJO'!A13)/3)</f>
        <v>0</v>
      </c>
      <c r="U13" s="7">
        <f>SUMIFS('CC vb'!D:D,'CC vb'!E:E,"Dólar Cable",'CC vb'!G:G,A13)</f>
        <v>0</v>
      </c>
      <c r="V13" s="7">
        <f t="shared" si="0"/>
        <v>0</v>
      </c>
      <c r="W13" s="42">
        <f t="shared" si="4"/>
        <v>0</v>
      </c>
      <c r="X13" s="42">
        <f t="shared" si="1"/>
        <v>0</v>
      </c>
      <c r="Y13" s="42">
        <f t="shared" si="2"/>
        <v>0</v>
      </c>
      <c r="Z13" s="42">
        <f t="shared" si="5"/>
        <v>0</v>
      </c>
      <c r="AA13" t="str">
        <f>IF(ISERROR(VLOOKUP(VALUE(A13),'CC vb'!G:G,1,0)),"VER","ok")</f>
        <v>ok</v>
      </c>
    </row>
    <row r="14" spans="1:27" ht="15" thickBot="1" x14ac:dyDescent="0.35">
      <c r="C14" s="46">
        <f t="shared" ref="C14:P14" si="6">SUM(C3:C13)</f>
        <v>-27289.275000000009</v>
      </c>
      <c r="D14" s="46">
        <f t="shared" si="6"/>
        <v>-27289.275000000009</v>
      </c>
      <c r="E14" s="46">
        <f t="shared" si="6"/>
        <v>-27289.275000000009</v>
      </c>
      <c r="F14" s="46">
        <f t="shared" si="6"/>
        <v>-27289.275000000009</v>
      </c>
      <c r="G14" s="46">
        <f t="shared" si="6"/>
        <v>-44435.35500000001</v>
      </c>
      <c r="H14" s="46">
        <f t="shared" si="6"/>
        <v>-44435.35500000001</v>
      </c>
      <c r="I14" s="46">
        <f t="shared" si="6"/>
        <v>-44435.35500000001</v>
      </c>
      <c r="J14" s="45">
        <f t="shared" si="6"/>
        <v>5229262.2251558704</v>
      </c>
      <c r="K14" s="46">
        <f t="shared" si="6"/>
        <v>3486174.8167705773</v>
      </c>
      <c r="L14" s="46">
        <f t="shared" si="6"/>
        <v>1743087.4083852901</v>
      </c>
      <c r="M14" s="46">
        <f t="shared" si="6"/>
        <v>0</v>
      </c>
      <c r="N14" s="46">
        <f t="shared" si="6"/>
        <v>-1935324.4254846941</v>
      </c>
      <c r="O14" s="46">
        <f t="shared" si="6"/>
        <v>-4381522.5676513771</v>
      </c>
      <c r="P14" s="47">
        <f t="shared" si="6"/>
        <v>-6827720.7098180708</v>
      </c>
      <c r="R14" s="7">
        <f>SUMIFS('CC NUEVA'!I:I,'CC NUEVA'!G:G,A14)</f>
        <v>0</v>
      </c>
      <c r="S14" s="7"/>
      <c r="T14" s="7"/>
      <c r="U14" s="7"/>
    </row>
    <row r="15" spans="1:27" x14ac:dyDescent="0.3">
      <c r="X15" s="42"/>
    </row>
    <row r="16" spans="1:27" x14ac:dyDescent="0.3">
      <c r="Q16" s="42"/>
      <c r="R16" s="42"/>
      <c r="S16" s="42"/>
    </row>
    <row r="17" spans="7:21" x14ac:dyDescent="0.3">
      <c r="T17" s="42"/>
      <c r="U17" s="42"/>
    </row>
    <row r="18" spans="7:21" x14ac:dyDescent="0.3">
      <c r="G18" s="42"/>
      <c r="T18" s="42"/>
      <c r="U18" s="42"/>
    </row>
    <row r="19" spans="7:21" x14ac:dyDescent="0.3">
      <c r="Q19" s="7"/>
    </row>
    <row r="20" spans="7:21" x14ac:dyDescent="0.3">
      <c r="Q20" s="7"/>
    </row>
    <row r="21" spans="7:21" x14ac:dyDescent="0.3">
      <c r="Q21" s="7"/>
    </row>
    <row r="22" spans="7:21" x14ac:dyDescent="0.3">
      <c r="Q22" s="7"/>
    </row>
    <row r="23" spans="7:21" x14ac:dyDescent="0.3">
      <c r="Q23" s="7"/>
    </row>
    <row r="24" spans="7:21" x14ac:dyDescent="0.3">
      <c r="Q24" s="7"/>
    </row>
  </sheetData>
  <autoFilter ref="A2:AA14" xr:uid="{04E2C647-0460-4990-AB11-5A7B973CA6F9}">
    <filterColumn colId="0">
      <filters blank="1">
        <filter val="13005"/>
        <filter val="13006"/>
        <filter val="13007"/>
        <filter val="13009"/>
        <filter val="13010"/>
        <filter val="20176"/>
      </filters>
    </filterColumn>
  </autoFilter>
  <mergeCells count="2">
    <mergeCell ref="C1:I1"/>
    <mergeCell ref="J1:P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AC04B1-E7F9-4AF0-AFE7-69A62BBA3D86}">
  <sheetPr codeName="Hoja4"/>
  <dimension ref="A2:T23"/>
  <sheetViews>
    <sheetView topLeftCell="B1" zoomScale="85" zoomScaleNormal="85" workbookViewId="0">
      <selection activeCell="G15" sqref="G15"/>
    </sheetView>
  </sheetViews>
  <sheetFormatPr baseColWidth="10" defaultRowHeight="14.4" x14ac:dyDescent="0.3"/>
  <cols>
    <col min="1" max="1" width="17.109375" bestFit="1" customWidth="1"/>
    <col min="2" max="4" width="15.77734375" bestFit="1" customWidth="1"/>
    <col min="5" max="5" width="14.109375" bestFit="1" customWidth="1"/>
    <col min="6" max="8" width="15.109375" bestFit="1" customWidth="1"/>
  </cols>
  <sheetData>
    <row r="2" spans="1:20" ht="15" thickBot="1" x14ac:dyDescent="0.35">
      <c r="A2" s="57" t="s">
        <v>1533</v>
      </c>
    </row>
    <row r="3" spans="1:20" ht="15" thickBot="1" x14ac:dyDescent="0.35">
      <c r="I3" s="121">
        <v>-0.3</v>
      </c>
      <c r="J3" s="122"/>
      <c r="K3" s="121">
        <v>-0.2</v>
      </c>
      <c r="L3" s="122"/>
      <c r="M3" s="121">
        <v>-0.1</v>
      </c>
      <c r="N3" s="122"/>
      <c r="O3" s="121">
        <v>0.1</v>
      </c>
      <c r="P3" s="122"/>
      <c r="Q3" s="121">
        <v>0.2</v>
      </c>
      <c r="R3" s="122"/>
      <c r="S3" s="121">
        <v>0.3</v>
      </c>
      <c r="T3" s="122"/>
    </row>
    <row r="4" spans="1:20" ht="15" thickBot="1" x14ac:dyDescent="0.35">
      <c r="A4" s="63" t="s">
        <v>186</v>
      </c>
      <c r="B4" t="s">
        <v>811</v>
      </c>
      <c r="C4" t="s">
        <v>812</v>
      </c>
      <c r="D4" t="s">
        <v>813</v>
      </c>
      <c r="E4" t="s">
        <v>814</v>
      </c>
      <c r="F4" t="s">
        <v>815</v>
      </c>
      <c r="G4" t="s">
        <v>816</v>
      </c>
      <c r="H4" t="s">
        <v>817</v>
      </c>
      <c r="I4" s="85" t="s">
        <v>818</v>
      </c>
      <c r="J4" s="85" t="s">
        <v>819</v>
      </c>
      <c r="K4" s="85" t="s">
        <v>818</v>
      </c>
      <c r="L4" s="85" t="s">
        <v>819</v>
      </c>
      <c r="M4" s="85" t="s">
        <v>818</v>
      </c>
      <c r="N4" s="86" t="s">
        <v>819</v>
      </c>
      <c r="O4" s="85" t="s">
        <v>818</v>
      </c>
      <c r="P4" s="85" t="s">
        <v>819</v>
      </c>
      <c r="Q4" s="85" t="s">
        <v>818</v>
      </c>
      <c r="R4" s="85" t="s">
        <v>819</v>
      </c>
      <c r="S4" s="85" t="s">
        <v>818</v>
      </c>
      <c r="T4" s="85" t="s">
        <v>819</v>
      </c>
    </row>
    <row r="5" spans="1:20" x14ac:dyDescent="0.3">
      <c r="A5" s="100" t="s">
        <v>662</v>
      </c>
      <c r="B5" s="123">
        <v>0</v>
      </c>
      <c r="C5" s="123">
        <v>0</v>
      </c>
      <c r="D5" s="123">
        <v>0</v>
      </c>
      <c r="E5" s="123">
        <v>0</v>
      </c>
      <c r="F5" s="123">
        <v>0</v>
      </c>
      <c r="G5" s="123">
        <v>0</v>
      </c>
      <c r="H5" s="123">
        <v>0</v>
      </c>
      <c r="I5" s="76">
        <f>IF(B5&gt;0,B5,0)</f>
        <v>0</v>
      </c>
      <c r="J5" s="54">
        <f>IF(B5&lt;0,B5,0)</f>
        <v>0</v>
      </c>
      <c r="K5" s="76">
        <f>IF(C5&gt;0,C5,0)</f>
        <v>0</v>
      </c>
      <c r="L5" s="54">
        <f>IF(C5&lt;0,C5,0)</f>
        <v>0</v>
      </c>
      <c r="M5" s="76">
        <f>IF(D5&gt;0,D5,0)</f>
        <v>0</v>
      </c>
      <c r="N5">
        <f>IF(D5&lt;0,D5,0)</f>
        <v>0</v>
      </c>
      <c r="O5" s="76">
        <f>IF(F5&gt;0,F5,0)</f>
        <v>0</v>
      </c>
      <c r="P5">
        <f>IF(F5&lt;0,F5,0)</f>
        <v>0</v>
      </c>
      <c r="Q5" s="76">
        <f>IF(G5&gt;0,G5,0)</f>
        <v>0</v>
      </c>
      <c r="R5">
        <f>IF(G5&lt;0,G5,0)</f>
        <v>0</v>
      </c>
      <c r="S5" s="76">
        <f>IF(H5&gt;0,H5,0)</f>
        <v>0</v>
      </c>
      <c r="T5" s="54">
        <f>IF(H5&lt;0,H5,0)</f>
        <v>0</v>
      </c>
    </row>
    <row r="6" spans="1:20" x14ac:dyDescent="0.3">
      <c r="A6" s="100" t="s">
        <v>665</v>
      </c>
      <c r="B6" s="123">
        <v>0</v>
      </c>
      <c r="C6" s="123">
        <v>0</v>
      </c>
      <c r="D6" s="123">
        <v>0</v>
      </c>
      <c r="E6" s="123">
        <v>0</v>
      </c>
      <c r="F6" s="123">
        <v>0</v>
      </c>
      <c r="G6" s="123">
        <v>0</v>
      </c>
      <c r="H6" s="123">
        <v>0</v>
      </c>
      <c r="I6" s="76">
        <f t="shared" ref="I6:I9" si="0">IF(B6&gt;0,B6,0)</f>
        <v>0</v>
      </c>
      <c r="J6" s="54">
        <f t="shared" ref="J6:J9" si="1">IF(B6&lt;0,B6,0)</f>
        <v>0</v>
      </c>
      <c r="K6" s="76">
        <f t="shared" ref="K6:K9" si="2">IF(C6&gt;0,C6,0)</f>
        <v>0</v>
      </c>
      <c r="L6" s="54">
        <f t="shared" ref="L6:L9" si="3">IF(C6&lt;0,C6,0)</f>
        <v>0</v>
      </c>
      <c r="M6" s="76">
        <f t="shared" ref="M6:M9" si="4">IF(D6&gt;0,D6,0)</f>
        <v>0</v>
      </c>
      <c r="N6">
        <f t="shared" ref="N6:N9" si="5">IF(D6&lt;0,D6,0)</f>
        <v>0</v>
      </c>
      <c r="O6" s="76">
        <f t="shared" ref="O6:O9" si="6">IF(F6&gt;0,F6,0)</f>
        <v>0</v>
      </c>
      <c r="P6">
        <f t="shared" ref="P6:P9" si="7">IF(F6&lt;0,F6,0)</f>
        <v>0</v>
      </c>
      <c r="Q6" s="76">
        <f t="shared" ref="Q6:Q9" si="8">IF(G6&gt;0,G6,0)</f>
        <v>0</v>
      </c>
      <c r="R6">
        <f t="shared" ref="R6:R9" si="9">IF(G6&lt;0,G6,0)</f>
        <v>0</v>
      </c>
      <c r="S6" s="76">
        <f t="shared" ref="S6:S9" si="10">IF(H6&gt;0,H6,0)</f>
        <v>0</v>
      </c>
      <c r="T6" s="54">
        <f t="shared" ref="T6:T9" si="11">IF(H6&lt;0,H6,0)</f>
        <v>0</v>
      </c>
    </row>
    <row r="7" spans="1:20" x14ac:dyDescent="0.3">
      <c r="A7" s="100" t="s">
        <v>666</v>
      </c>
      <c r="B7" s="123">
        <v>0</v>
      </c>
      <c r="C7" s="123">
        <v>0</v>
      </c>
      <c r="D7" s="123">
        <v>0</v>
      </c>
      <c r="E7" s="123">
        <v>0</v>
      </c>
      <c r="F7" s="123">
        <v>0</v>
      </c>
      <c r="G7" s="123">
        <v>0</v>
      </c>
      <c r="H7" s="123">
        <v>0</v>
      </c>
      <c r="I7" s="76">
        <f t="shared" si="0"/>
        <v>0</v>
      </c>
      <c r="J7" s="54">
        <f t="shared" si="1"/>
        <v>0</v>
      </c>
      <c r="K7" s="76">
        <f t="shared" si="2"/>
        <v>0</v>
      </c>
      <c r="L7" s="54">
        <f t="shared" si="3"/>
        <v>0</v>
      </c>
      <c r="M7" s="76">
        <f t="shared" si="4"/>
        <v>0</v>
      </c>
      <c r="N7">
        <f t="shared" si="5"/>
        <v>0</v>
      </c>
      <c r="O7" s="76">
        <f t="shared" si="6"/>
        <v>0</v>
      </c>
      <c r="P7">
        <f t="shared" si="7"/>
        <v>0</v>
      </c>
      <c r="Q7" s="76">
        <f t="shared" si="8"/>
        <v>0</v>
      </c>
      <c r="R7">
        <f t="shared" si="9"/>
        <v>0</v>
      </c>
      <c r="S7" s="76">
        <f t="shared" si="10"/>
        <v>0</v>
      </c>
      <c r="T7" s="54">
        <f t="shared" si="11"/>
        <v>0</v>
      </c>
    </row>
    <row r="8" spans="1:20" x14ac:dyDescent="0.3">
      <c r="A8" s="100" t="s">
        <v>668</v>
      </c>
      <c r="B8" s="123">
        <v>5229262.2251558704</v>
      </c>
      <c r="C8" s="123">
        <v>3486174.8167705773</v>
      </c>
      <c r="D8" s="123">
        <v>1743087.4083852901</v>
      </c>
      <c r="E8" s="123">
        <v>0</v>
      </c>
      <c r="F8" s="123">
        <v>-1743087.4083852929</v>
      </c>
      <c r="G8" s="123">
        <v>-3486174.8167705773</v>
      </c>
      <c r="H8" s="123">
        <v>-5229262.2251558704</v>
      </c>
      <c r="I8" s="76">
        <f t="shared" si="0"/>
        <v>5229262.2251558704</v>
      </c>
      <c r="J8" s="54">
        <f t="shared" si="1"/>
        <v>0</v>
      </c>
      <c r="K8" s="76">
        <f t="shared" si="2"/>
        <v>3486174.8167705773</v>
      </c>
      <c r="L8" s="54">
        <f t="shared" si="3"/>
        <v>0</v>
      </c>
      <c r="M8" s="76">
        <f t="shared" si="4"/>
        <v>1743087.4083852901</v>
      </c>
      <c r="N8">
        <f t="shared" si="5"/>
        <v>0</v>
      </c>
      <c r="O8" s="76">
        <f t="shared" si="6"/>
        <v>0</v>
      </c>
      <c r="P8">
        <f t="shared" si="7"/>
        <v>-1743087.4083852929</v>
      </c>
      <c r="Q8" s="76">
        <f t="shared" si="8"/>
        <v>0</v>
      </c>
      <c r="R8">
        <f t="shared" si="9"/>
        <v>-3486174.8167705773</v>
      </c>
      <c r="S8" s="76">
        <f t="shared" si="10"/>
        <v>0</v>
      </c>
      <c r="T8" s="54">
        <f t="shared" si="11"/>
        <v>-5229262.2251558704</v>
      </c>
    </row>
    <row r="9" spans="1:20" x14ac:dyDescent="0.3">
      <c r="A9" s="100" t="s">
        <v>849</v>
      </c>
      <c r="B9" s="123">
        <v>0</v>
      </c>
      <c r="C9" s="123">
        <v>0</v>
      </c>
      <c r="D9" s="123">
        <v>0</v>
      </c>
      <c r="E9" s="123">
        <v>0</v>
      </c>
      <c r="F9" s="123">
        <v>0</v>
      </c>
      <c r="G9" s="123">
        <v>0</v>
      </c>
      <c r="H9" s="123">
        <v>0</v>
      </c>
      <c r="I9" s="76">
        <f t="shared" si="0"/>
        <v>0</v>
      </c>
      <c r="J9" s="54">
        <f t="shared" si="1"/>
        <v>0</v>
      </c>
      <c r="K9" s="76">
        <f t="shared" si="2"/>
        <v>0</v>
      </c>
      <c r="L9" s="54">
        <f t="shared" si="3"/>
        <v>0</v>
      </c>
      <c r="M9" s="76">
        <f t="shared" si="4"/>
        <v>0</v>
      </c>
      <c r="N9">
        <f t="shared" si="5"/>
        <v>0</v>
      </c>
      <c r="O9" s="76">
        <f t="shared" si="6"/>
        <v>0</v>
      </c>
      <c r="P9">
        <f t="shared" si="7"/>
        <v>0</v>
      </c>
      <c r="Q9" s="76">
        <f t="shared" si="8"/>
        <v>0</v>
      </c>
      <c r="R9">
        <f t="shared" si="9"/>
        <v>0</v>
      </c>
      <c r="S9" s="76">
        <f t="shared" si="10"/>
        <v>0</v>
      </c>
      <c r="T9" s="54">
        <f t="shared" si="11"/>
        <v>0</v>
      </c>
    </row>
    <row r="10" spans="1:20" x14ac:dyDescent="0.3">
      <c r="A10" s="100" t="s">
        <v>884</v>
      </c>
      <c r="B10" s="123">
        <v>0</v>
      </c>
      <c r="C10" s="123">
        <v>0</v>
      </c>
      <c r="D10" s="123">
        <v>0</v>
      </c>
      <c r="E10" s="123">
        <v>0</v>
      </c>
      <c r="F10" s="123">
        <v>0</v>
      </c>
      <c r="G10" s="123">
        <v>0</v>
      </c>
      <c r="H10" s="123">
        <v>0</v>
      </c>
      <c r="I10" s="76">
        <f t="shared" ref="I10:I21" si="12">IF(B10&gt;0,B10,0)</f>
        <v>0</v>
      </c>
      <c r="J10" s="54">
        <f t="shared" ref="J10:J21" si="13">IF(B10&lt;0,B10,0)</f>
        <v>0</v>
      </c>
      <c r="K10" s="76">
        <f t="shared" ref="K10:K21" si="14">IF(C10&gt;0,C10,0)</f>
        <v>0</v>
      </c>
      <c r="L10" s="54">
        <f t="shared" ref="L10:L21" si="15">IF(C10&lt;0,C10,0)</f>
        <v>0</v>
      </c>
      <c r="M10" s="76">
        <f t="shared" ref="M10:M21" si="16">IF(D10&gt;0,D10,0)</f>
        <v>0</v>
      </c>
      <c r="N10">
        <f t="shared" ref="N10:N21" si="17">IF(D10&lt;0,D10,0)</f>
        <v>0</v>
      </c>
      <c r="O10" s="76">
        <f t="shared" ref="O10:O21" si="18">IF(F10&gt;0,F10,0)</f>
        <v>0</v>
      </c>
      <c r="P10">
        <f t="shared" ref="P10:P21" si="19">IF(F10&lt;0,F10,0)</f>
        <v>0</v>
      </c>
      <c r="Q10" s="76">
        <f t="shared" ref="Q10:Q21" si="20">IF(G10&gt;0,G10,0)</f>
        <v>0</v>
      </c>
      <c r="R10">
        <f t="shared" ref="R10:R21" si="21">IF(G10&lt;0,G10,0)</f>
        <v>0</v>
      </c>
      <c r="S10" s="76">
        <f t="shared" ref="S10:S21" si="22">IF(H10&gt;0,H10,0)</f>
        <v>0</v>
      </c>
      <c r="T10" s="54">
        <f t="shared" ref="T10:T21" si="23">IF(H10&lt;0,H10,0)</f>
        <v>0</v>
      </c>
    </row>
    <row r="11" spans="1:20" x14ac:dyDescent="0.3">
      <c r="A11" s="64"/>
      <c r="I11" s="76">
        <f t="shared" si="12"/>
        <v>0</v>
      </c>
      <c r="J11" s="54">
        <f t="shared" si="13"/>
        <v>0</v>
      </c>
      <c r="K11" s="76">
        <f t="shared" si="14"/>
        <v>0</v>
      </c>
      <c r="L11" s="54">
        <f t="shared" si="15"/>
        <v>0</v>
      </c>
      <c r="M11" s="76">
        <f t="shared" si="16"/>
        <v>0</v>
      </c>
      <c r="N11">
        <f t="shared" si="17"/>
        <v>0</v>
      </c>
      <c r="O11" s="76">
        <f t="shared" si="18"/>
        <v>0</v>
      </c>
      <c r="P11">
        <f t="shared" si="19"/>
        <v>0</v>
      </c>
      <c r="Q11" s="76">
        <f t="shared" si="20"/>
        <v>0</v>
      </c>
      <c r="R11">
        <f t="shared" si="21"/>
        <v>0</v>
      </c>
      <c r="S11" s="76">
        <f t="shared" si="22"/>
        <v>0</v>
      </c>
      <c r="T11" s="54">
        <f t="shared" si="23"/>
        <v>0</v>
      </c>
    </row>
    <row r="12" spans="1:20" x14ac:dyDescent="0.3">
      <c r="A12" s="64"/>
      <c r="I12" s="76">
        <f t="shared" si="12"/>
        <v>0</v>
      </c>
      <c r="J12" s="54">
        <f t="shared" si="13"/>
        <v>0</v>
      </c>
      <c r="K12" s="76">
        <f t="shared" si="14"/>
        <v>0</v>
      </c>
      <c r="L12" s="54">
        <f t="shared" si="15"/>
        <v>0</v>
      </c>
      <c r="M12" s="76">
        <f t="shared" si="16"/>
        <v>0</v>
      </c>
      <c r="N12">
        <f t="shared" si="17"/>
        <v>0</v>
      </c>
      <c r="O12" s="76">
        <f t="shared" si="18"/>
        <v>0</v>
      </c>
      <c r="P12">
        <f t="shared" si="19"/>
        <v>0</v>
      </c>
      <c r="Q12" s="76">
        <f t="shared" si="20"/>
        <v>0</v>
      </c>
      <c r="R12">
        <f t="shared" si="21"/>
        <v>0</v>
      </c>
      <c r="S12" s="76">
        <f t="shared" si="22"/>
        <v>0</v>
      </c>
      <c r="T12" s="54">
        <f t="shared" si="23"/>
        <v>0</v>
      </c>
    </row>
    <row r="13" spans="1:20" x14ac:dyDescent="0.3">
      <c r="A13" s="64"/>
      <c r="I13" s="76">
        <f t="shared" si="12"/>
        <v>0</v>
      </c>
      <c r="J13" s="54">
        <f t="shared" si="13"/>
        <v>0</v>
      </c>
      <c r="K13" s="76">
        <f t="shared" si="14"/>
        <v>0</v>
      </c>
      <c r="L13" s="54">
        <f t="shared" si="15"/>
        <v>0</v>
      </c>
      <c r="M13" s="76">
        <f t="shared" si="16"/>
        <v>0</v>
      </c>
      <c r="N13">
        <f t="shared" si="17"/>
        <v>0</v>
      </c>
      <c r="O13" s="76">
        <f t="shared" si="18"/>
        <v>0</v>
      </c>
      <c r="P13">
        <f t="shared" si="19"/>
        <v>0</v>
      </c>
      <c r="Q13" s="76">
        <f t="shared" si="20"/>
        <v>0</v>
      </c>
      <c r="R13">
        <f t="shared" si="21"/>
        <v>0</v>
      </c>
      <c r="S13" s="76">
        <f t="shared" si="22"/>
        <v>0</v>
      </c>
      <c r="T13" s="54">
        <f t="shared" si="23"/>
        <v>0</v>
      </c>
    </row>
    <row r="14" spans="1:20" x14ac:dyDescent="0.3">
      <c r="A14" s="64"/>
      <c r="I14" s="76">
        <f t="shared" si="12"/>
        <v>0</v>
      </c>
      <c r="J14" s="54">
        <f t="shared" si="13"/>
        <v>0</v>
      </c>
      <c r="K14" s="76">
        <f t="shared" si="14"/>
        <v>0</v>
      </c>
      <c r="L14" s="54">
        <f t="shared" si="15"/>
        <v>0</v>
      </c>
      <c r="M14" s="76">
        <f t="shared" si="16"/>
        <v>0</v>
      </c>
      <c r="N14">
        <f t="shared" si="17"/>
        <v>0</v>
      </c>
      <c r="O14" s="76">
        <f t="shared" si="18"/>
        <v>0</v>
      </c>
      <c r="P14">
        <f t="shared" si="19"/>
        <v>0</v>
      </c>
      <c r="Q14" s="76">
        <f t="shared" si="20"/>
        <v>0</v>
      </c>
      <c r="R14">
        <f t="shared" si="21"/>
        <v>0</v>
      </c>
      <c r="S14" s="76">
        <f t="shared" si="22"/>
        <v>0</v>
      </c>
      <c r="T14" s="54">
        <f t="shared" si="23"/>
        <v>0</v>
      </c>
    </row>
    <row r="15" spans="1:20" x14ac:dyDescent="0.3">
      <c r="A15" s="64"/>
      <c r="I15" s="76">
        <f t="shared" si="12"/>
        <v>0</v>
      </c>
      <c r="J15" s="54">
        <f t="shared" si="13"/>
        <v>0</v>
      </c>
      <c r="K15" s="76">
        <f t="shared" si="14"/>
        <v>0</v>
      </c>
      <c r="L15" s="54">
        <f t="shared" si="15"/>
        <v>0</v>
      </c>
      <c r="M15" s="76">
        <f t="shared" si="16"/>
        <v>0</v>
      </c>
      <c r="N15">
        <f t="shared" si="17"/>
        <v>0</v>
      </c>
      <c r="O15" s="76">
        <f t="shared" si="18"/>
        <v>0</v>
      </c>
      <c r="P15">
        <f t="shared" si="19"/>
        <v>0</v>
      </c>
      <c r="Q15" s="76">
        <f t="shared" si="20"/>
        <v>0</v>
      </c>
      <c r="R15">
        <f t="shared" si="21"/>
        <v>0</v>
      </c>
      <c r="S15" s="76">
        <f t="shared" si="22"/>
        <v>0</v>
      </c>
      <c r="T15" s="54">
        <f t="shared" si="23"/>
        <v>0</v>
      </c>
    </row>
    <row r="16" spans="1:20" x14ac:dyDescent="0.3">
      <c r="A16" s="64"/>
      <c r="I16" s="76">
        <f t="shared" si="12"/>
        <v>0</v>
      </c>
      <c r="J16" s="54">
        <f t="shared" si="13"/>
        <v>0</v>
      </c>
      <c r="K16" s="76">
        <f t="shared" si="14"/>
        <v>0</v>
      </c>
      <c r="L16" s="54">
        <f t="shared" si="15"/>
        <v>0</v>
      </c>
      <c r="M16" s="76">
        <f t="shared" si="16"/>
        <v>0</v>
      </c>
      <c r="N16">
        <f t="shared" si="17"/>
        <v>0</v>
      </c>
      <c r="O16" s="76">
        <f t="shared" si="18"/>
        <v>0</v>
      </c>
      <c r="P16">
        <f t="shared" si="19"/>
        <v>0</v>
      </c>
      <c r="Q16" s="76">
        <f t="shared" si="20"/>
        <v>0</v>
      </c>
      <c r="R16">
        <f t="shared" si="21"/>
        <v>0</v>
      </c>
      <c r="S16" s="76">
        <f t="shared" si="22"/>
        <v>0</v>
      </c>
      <c r="T16" s="54">
        <f t="shared" si="23"/>
        <v>0</v>
      </c>
    </row>
    <row r="17" spans="1:20" x14ac:dyDescent="0.3">
      <c r="A17" s="64"/>
      <c r="I17" s="76">
        <f t="shared" si="12"/>
        <v>0</v>
      </c>
      <c r="J17" s="54">
        <f t="shared" si="13"/>
        <v>0</v>
      </c>
      <c r="K17" s="76">
        <f t="shared" si="14"/>
        <v>0</v>
      </c>
      <c r="L17" s="54">
        <f t="shared" si="15"/>
        <v>0</v>
      </c>
      <c r="M17" s="76">
        <f t="shared" si="16"/>
        <v>0</v>
      </c>
      <c r="N17">
        <f t="shared" si="17"/>
        <v>0</v>
      </c>
      <c r="O17" s="76">
        <f t="shared" si="18"/>
        <v>0</v>
      </c>
      <c r="P17">
        <f t="shared" si="19"/>
        <v>0</v>
      </c>
      <c r="Q17" s="76">
        <f t="shared" si="20"/>
        <v>0</v>
      </c>
      <c r="R17">
        <f t="shared" si="21"/>
        <v>0</v>
      </c>
      <c r="S17" s="76">
        <f t="shared" si="22"/>
        <v>0</v>
      </c>
      <c r="T17" s="54">
        <f t="shared" si="23"/>
        <v>0</v>
      </c>
    </row>
    <row r="18" spans="1:20" x14ac:dyDescent="0.3">
      <c r="A18" s="64"/>
      <c r="I18" s="76">
        <f t="shared" si="12"/>
        <v>0</v>
      </c>
      <c r="J18" s="54">
        <f t="shared" si="13"/>
        <v>0</v>
      </c>
      <c r="K18" s="76">
        <f t="shared" si="14"/>
        <v>0</v>
      </c>
      <c r="L18" s="54">
        <f t="shared" si="15"/>
        <v>0</v>
      </c>
      <c r="M18" s="76">
        <f t="shared" si="16"/>
        <v>0</v>
      </c>
      <c r="N18">
        <f t="shared" si="17"/>
        <v>0</v>
      </c>
      <c r="O18" s="76">
        <f t="shared" si="18"/>
        <v>0</v>
      </c>
      <c r="P18">
        <f t="shared" si="19"/>
        <v>0</v>
      </c>
      <c r="Q18" s="76">
        <f t="shared" si="20"/>
        <v>0</v>
      </c>
      <c r="R18">
        <f t="shared" si="21"/>
        <v>0</v>
      </c>
      <c r="S18" s="76">
        <f t="shared" si="22"/>
        <v>0</v>
      </c>
      <c r="T18" s="54">
        <f t="shared" si="23"/>
        <v>0</v>
      </c>
    </row>
    <row r="19" spans="1:20" x14ac:dyDescent="0.3">
      <c r="I19" s="76">
        <f t="shared" si="12"/>
        <v>0</v>
      </c>
      <c r="J19" s="54">
        <f t="shared" si="13"/>
        <v>0</v>
      </c>
      <c r="K19" s="76">
        <f t="shared" si="14"/>
        <v>0</v>
      </c>
      <c r="L19" s="54">
        <f t="shared" si="15"/>
        <v>0</v>
      </c>
      <c r="M19" s="76">
        <f t="shared" si="16"/>
        <v>0</v>
      </c>
      <c r="N19">
        <f t="shared" si="17"/>
        <v>0</v>
      </c>
      <c r="O19" s="76">
        <f t="shared" si="18"/>
        <v>0</v>
      </c>
      <c r="P19">
        <f t="shared" si="19"/>
        <v>0</v>
      </c>
      <c r="Q19" s="76">
        <f t="shared" si="20"/>
        <v>0</v>
      </c>
      <c r="R19">
        <f t="shared" si="21"/>
        <v>0</v>
      </c>
      <c r="S19" s="76">
        <f t="shared" si="22"/>
        <v>0</v>
      </c>
      <c r="T19" s="54">
        <f t="shared" si="23"/>
        <v>0</v>
      </c>
    </row>
    <row r="20" spans="1:20" x14ac:dyDescent="0.3">
      <c r="I20" s="76">
        <f t="shared" si="12"/>
        <v>0</v>
      </c>
      <c r="J20" s="54">
        <f t="shared" si="13"/>
        <v>0</v>
      </c>
      <c r="K20" s="76">
        <f t="shared" si="14"/>
        <v>0</v>
      </c>
      <c r="L20" s="54">
        <f t="shared" si="15"/>
        <v>0</v>
      </c>
      <c r="M20" s="76">
        <f t="shared" si="16"/>
        <v>0</v>
      </c>
      <c r="N20">
        <f t="shared" si="17"/>
        <v>0</v>
      </c>
      <c r="O20" s="76">
        <f t="shared" si="18"/>
        <v>0</v>
      </c>
      <c r="P20">
        <f t="shared" si="19"/>
        <v>0</v>
      </c>
      <c r="Q20" s="76">
        <f t="shared" si="20"/>
        <v>0</v>
      </c>
      <c r="R20">
        <f t="shared" si="21"/>
        <v>0</v>
      </c>
      <c r="S20" s="76">
        <f t="shared" si="22"/>
        <v>0</v>
      </c>
      <c r="T20" s="54">
        <f t="shared" si="23"/>
        <v>0</v>
      </c>
    </row>
    <row r="21" spans="1:20" ht="15" thickBot="1" x14ac:dyDescent="0.35">
      <c r="I21" s="76">
        <f t="shared" si="12"/>
        <v>0</v>
      </c>
      <c r="J21" s="54">
        <f t="shared" si="13"/>
        <v>0</v>
      </c>
      <c r="K21" s="76">
        <f t="shared" si="14"/>
        <v>0</v>
      </c>
      <c r="L21" s="54">
        <f t="shared" si="15"/>
        <v>0</v>
      </c>
      <c r="M21" s="76">
        <f t="shared" si="16"/>
        <v>0</v>
      </c>
      <c r="N21">
        <f t="shared" si="17"/>
        <v>0</v>
      </c>
      <c r="O21" s="76">
        <f t="shared" si="18"/>
        <v>0</v>
      </c>
      <c r="P21">
        <f t="shared" si="19"/>
        <v>0</v>
      </c>
      <c r="Q21" s="76">
        <f t="shared" si="20"/>
        <v>0</v>
      </c>
      <c r="R21">
        <f t="shared" si="21"/>
        <v>0</v>
      </c>
      <c r="S21" s="76">
        <f t="shared" si="22"/>
        <v>0</v>
      </c>
      <c r="T21" s="54">
        <f t="shared" si="23"/>
        <v>0</v>
      </c>
    </row>
    <row r="22" spans="1:20" ht="15" thickBot="1" x14ac:dyDescent="0.35">
      <c r="H22" t="s">
        <v>1594</v>
      </c>
      <c r="I22" s="82">
        <f>SUM(I5:I21)/2</f>
        <v>2614631.1125779352</v>
      </c>
      <c r="J22" s="83">
        <f t="shared" ref="J22:T22" si="24">SUM(J5:J21)/2</f>
        <v>0</v>
      </c>
      <c r="K22" s="82">
        <f t="shared" si="24"/>
        <v>1743087.4083852887</v>
      </c>
      <c r="L22" s="84">
        <f t="shared" si="24"/>
        <v>0</v>
      </c>
      <c r="M22" s="83">
        <f t="shared" si="24"/>
        <v>871543.70419264503</v>
      </c>
      <c r="N22" s="83">
        <f t="shared" si="24"/>
        <v>0</v>
      </c>
      <c r="O22" s="82">
        <f t="shared" si="24"/>
        <v>0</v>
      </c>
      <c r="P22" s="84">
        <f t="shared" si="24"/>
        <v>-871543.70419264643</v>
      </c>
      <c r="Q22" s="83">
        <f t="shared" si="24"/>
        <v>0</v>
      </c>
      <c r="R22" s="83">
        <f t="shared" si="24"/>
        <v>-1743087.4083852887</v>
      </c>
      <c r="S22" s="82">
        <f t="shared" si="24"/>
        <v>0</v>
      </c>
      <c r="T22" s="84">
        <f t="shared" si="24"/>
        <v>-2614631.1125779352</v>
      </c>
    </row>
    <row r="23" spans="1:20" ht="15" thickBot="1" x14ac:dyDescent="0.35">
      <c r="H23" t="s">
        <v>1595</v>
      </c>
      <c r="I23" s="82">
        <f>SUM(I5:I21)/2 - SUMIF(A5:A21,"20176",I5:I21)/2</f>
        <v>0</v>
      </c>
      <c r="J23" s="83">
        <f>SUM(J5:J21)/2 - SUMIF(A5:A21,"20176",J5:J21)/2</f>
        <v>0</v>
      </c>
      <c r="K23" s="82">
        <f>SUM(K5:K21)/2- SUMIF(A5:A21,"20176",K5:K21)/2</f>
        <v>0</v>
      </c>
      <c r="L23" s="84">
        <f>SUM(L5:L21)/2- SUMIF(A5:A21,"20176",L5:L21)/2</f>
        <v>0</v>
      </c>
      <c r="M23" s="83">
        <f>SUM(M5:M21)/2- SUMIF(A5:A21,"20176",M5:M21)/2</f>
        <v>0</v>
      </c>
      <c r="N23" s="83">
        <f>SUM(N5:N21)/2- SUMIF(A5:A21,"20176",N5:N21)/2</f>
        <v>0</v>
      </c>
      <c r="O23" s="82">
        <f>SUM(O5:O21)/2- SUMIF(A5:A21,"20176",O5:O21)/2</f>
        <v>0</v>
      </c>
      <c r="P23" s="84">
        <f>SUM(P5:P21)/2- SUMIF(A5:A21,"20176",P5:P21)/2</f>
        <v>0</v>
      </c>
      <c r="Q23" s="83">
        <f>SUM(Q5:Q21)/2- SUMIF(A5:A21,"20176",Q5:Q21)/2</f>
        <v>0</v>
      </c>
      <c r="R23" s="83">
        <f>SUM(R5:R21)/2- SUMIF(A5:A21,"20176",R5:R21)/2</f>
        <v>0</v>
      </c>
      <c r="S23" s="82">
        <f>SUM(S5:S21)/2- SUMIF(A5:A21,"20176",S5:S21)/2</f>
        <v>0</v>
      </c>
      <c r="T23" s="84">
        <f>SUM(T5:T21)/2- SUMIF(A5:A21,"20176",T5:T21)/2</f>
        <v>0</v>
      </c>
    </row>
  </sheetData>
  <mergeCells count="6">
    <mergeCell ref="S3:T3"/>
    <mergeCell ref="I3:J3"/>
    <mergeCell ref="K3:L3"/>
    <mergeCell ref="M3:N3"/>
    <mergeCell ref="O3:P3"/>
    <mergeCell ref="Q3:R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5258B2-7BAF-4812-B31E-F3440262931E}">
  <sheetPr codeName="Hoja6"/>
  <dimension ref="A1:N1131"/>
  <sheetViews>
    <sheetView zoomScale="70" zoomScaleNormal="70" workbookViewId="0">
      <selection activeCell="D14" sqref="D14"/>
    </sheetView>
  </sheetViews>
  <sheetFormatPr baseColWidth="10" defaultRowHeight="14.4" x14ac:dyDescent="0.3"/>
  <cols>
    <col min="1" max="1" width="26.33203125" bestFit="1" customWidth="1"/>
    <col min="2" max="2" width="26.109375" customWidth="1"/>
    <col min="3" max="3" width="17.21875" style="7" bestFit="1" customWidth="1"/>
    <col min="4" max="4" width="35.33203125" style="7" bestFit="1" customWidth="1"/>
    <col min="5" max="5" width="24.44140625" customWidth="1"/>
    <col min="6" max="6" width="27.6640625" style="6" customWidth="1"/>
    <col min="7" max="7" width="27.6640625" customWidth="1"/>
    <col min="8" max="8" width="11.77734375" customWidth="1"/>
    <col min="9" max="9" width="27.6640625" customWidth="1"/>
    <col min="10" max="11" width="25.21875" customWidth="1"/>
    <col min="13" max="13" width="81.5546875" bestFit="1" customWidth="1"/>
    <col min="14" max="14" width="23.5546875" bestFit="1" customWidth="1"/>
  </cols>
  <sheetData>
    <row r="1" spans="1:14" x14ac:dyDescent="0.3">
      <c r="A1" s="38"/>
      <c r="I1" t="s">
        <v>174</v>
      </c>
      <c r="J1">
        <v>1</v>
      </c>
    </row>
    <row r="2" spans="1:14" x14ac:dyDescent="0.3">
      <c r="C2" s="7" t="s">
        <v>140</v>
      </c>
      <c r="D2" s="7" t="s">
        <v>802</v>
      </c>
      <c r="I2" t="s">
        <v>175</v>
      </c>
      <c r="J2">
        <v>1</v>
      </c>
    </row>
    <row r="3" spans="1:14" x14ac:dyDescent="0.3">
      <c r="A3" t="str" cm="1">
        <f t="array" ref="A3:A221">'Clientes CBOT'!A1:A219</f>
        <v>Número Asignado al Mercado</v>
      </c>
      <c r="B3" s="38" t="s">
        <v>176</v>
      </c>
      <c r="C3" s="62" t="s">
        <v>177</v>
      </c>
      <c r="D3" s="62" t="s">
        <v>178</v>
      </c>
      <c r="E3" s="38" t="s">
        <v>179</v>
      </c>
      <c r="F3" s="69" t="s">
        <v>180</v>
      </c>
      <c r="G3" s="38" t="s">
        <v>181</v>
      </c>
      <c r="H3" s="48" t="s">
        <v>182</v>
      </c>
      <c r="I3" s="48" t="s">
        <v>183</v>
      </c>
      <c r="J3" s="48" t="s">
        <v>184</v>
      </c>
      <c r="K3" s="48"/>
      <c r="L3" s="38"/>
      <c r="M3" s="48" t="s">
        <v>651</v>
      </c>
    </row>
    <row r="4" spans="1:14" x14ac:dyDescent="0.3">
      <c r="A4" s="61">
        <v>13016</v>
      </c>
      <c r="B4" t="str">
        <f>VLOOKUP(A4,'Clientes CBOT'!A:D,4,0)</f>
        <v>PRONOR SA</v>
      </c>
      <c r="C4" s="7">
        <f>VLOOKUP(A4,'Statement base'!E:AO,21,0)</f>
        <v>-48176.77</v>
      </c>
      <c r="D4" s="7">
        <f>VLOOKUP(A4,'Statement base'!E:AO,10,0)-VLOOKUP(A4,'Statement base'!E:AO,21,0)</f>
        <v>0</v>
      </c>
      <c r="E4" t="s">
        <v>188</v>
      </c>
      <c r="F4" s="6">
        <f>VLOOKUP(A4,'Statement base'!E:AO,10,0)+VLOOKUP(A4,'Statement base'!E:AO,14,0)</f>
        <v>-48176.77</v>
      </c>
      <c r="G4" s="61">
        <f>VLOOKUP(A4,'Clientes CBOT'!A:E,5,0)</f>
        <v>13016</v>
      </c>
      <c r="H4" t="str">
        <f>IF(E4="pesos","Ars",IF(E4="Dólar Matba Rofex","usd linked","Hard"))</f>
        <v>Hard</v>
      </c>
      <c r="I4" s="6">
        <f t="shared" ref="I4:I68" si="0">IF(H4="ars",C4/$J$1,IF(H4="hard",C4*$J$2/$J$1,C4))</f>
        <v>-48176.77</v>
      </c>
      <c r="J4" s="6">
        <f>IF(H4="ars",D4/$J$1,IF(H4="hard",D4*$J$2/$J$1,D4))</f>
        <v>0</v>
      </c>
    </row>
    <row r="5" spans="1:14" x14ac:dyDescent="0.3">
      <c r="A5" s="61">
        <v>13003</v>
      </c>
      <c r="B5" t="str">
        <f>VLOOKUP(A5,'Clientes CBOT'!A:D,4,0)</f>
        <v>Terrapampa S.A.</v>
      </c>
      <c r="C5" s="7">
        <f>VLOOKUP(A5,'Statement base'!E:AO,21,0)</f>
        <v>-9597.9</v>
      </c>
      <c r="D5" s="7">
        <f>VLOOKUP(A5,'Statement base'!E:AO,10,0)-VLOOKUP(A5,'Statement base'!E:AO,21,0)</f>
        <v>0</v>
      </c>
      <c r="E5" t="s">
        <v>188</v>
      </c>
      <c r="F5" s="6">
        <f>VLOOKUP(A5,'Statement base'!E:AO,10,0)+VLOOKUP(A5,'Statement base'!E:AO,14,0)</f>
        <v>-9597.9</v>
      </c>
      <c r="G5" s="61">
        <f>VLOOKUP(A5,'Clientes CBOT'!A:E,5,0)</f>
        <v>13003</v>
      </c>
      <c r="H5" t="str">
        <f t="shared" ref="H5:H68" si="1">IF(E5="pesos","Ars",IF(E5="Dólar Matba Rofex","usd linked","Hard"))</f>
        <v>Hard</v>
      </c>
      <c r="I5" s="6">
        <f t="shared" si="0"/>
        <v>-9597.9</v>
      </c>
      <c r="J5" s="6">
        <f t="shared" ref="J5:J68" si="2">IF(H5="ars",D5/$J$1,IF(H5="hard",D5*$J$2/$J$1,D5))</f>
        <v>0</v>
      </c>
      <c r="M5" s="63" t="s">
        <v>186</v>
      </c>
      <c r="N5" t="s">
        <v>187</v>
      </c>
    </row>
    <row r="6" spans="1:14" x14ac:dyDescent="0.3">
      <c r="A6" s="61">
        <v>13033</v>
      </c>
      <c r="B6" t="str">
        <f>VLOOKUP(A6,'Clientes CBOT'!A:D,4,0)</f>
        <v>LOS BAGUALITOS SRL</v>
      </c>
      <c r="C6" s="7">
        <f>VLOOKUP(A6,'Statement base'!E:AO,21,0)</f>
        <v>-80924.75</v>
      </c>
      <c r="D6" s="7">
        <f>VLOOKUP(A6,'Statement base'!E:AO,10,0)-VLOOKUP(A6,'Statement base'!E:AO,21,0)</f>
        <v>0</v>
      </c>
      <c r="E6" t="s">
        <v>188</v>
      </c>
      <c r="F6" s="6">
        <f>VLOOKUP(A6,'Statement base'!E:AO,10,0)+VLOOKUP(A6,'Statement base'!E:AO,14,0)</f>
        <v>-80924.75</v>
      </c>
      <c r="G6" s="61">
        <f>VLOOKUP(A6,'Clientes CBOT'!A:E,5,0)</f>
        <v>13033</v>
      </c>
      <c r="H6" t="str">
        <f t="shared" si="1"/>
        <v>Hard</v>
      </c>
      <c r="I6" s="6">
        <f t="shared" si="0"/>
        <v>-80924.75</v>
      </c>
      <c r="J6" s="6">
        <f t="shared" si="2"/>
        <v>0</v>
      </c>
      <c r="M6" s="64" t="s">
        <v>189</v>
      </c>
      <c r="N6" s="123">
        <v>0</v>
      </c>
    </row>
    <row r="7" spans="1:14" x14ac:dyDescent="0.3">
      <c r="A7" s="61">
        <v>13002</v>
      </c>
      <c r="B7" t="str">
        <f>VLOOKUP(A7,'Clientes CBOT'!A:D,4,0)</f>
        <v>AGROPECUARIA CATRILO SA</v>
      </c>
      <c r="C7" s="7">
        <f>VLOOKUP(A7,'Statement base'!E:AO,21,0)</f>
        <v>-41996.51</v>
      </c>
      <c r="D7" s="7">
        <f>VLOOKUP(A7,'Statement base'!E:AO,10,0)-VLOOKUP(A7,'Statement base'!E:AO,21,0)</f>
        <v>0</v>
      </c>
      <c r="E7" t="s">
        <v>188</v>
      </c>
      <c r="F7" s="6">
        <f>VLOOKUP(A7,'Statement base'!E:AO,10,0)+VLOOKUP(A7,'Statement base'!E:AO,14,0)</f>
        <v>-41996.51</v>
      </c>
      <c r="G7" s="61">
        <f>VLOOKUP(A7,'Clientes CBOT'!A:E,5,0)</f>
        <v>13002</v>
      </c>
      <c r="H7" t="str">
        <f t="shared" si="1"/>
        <v>Hard</v>
      </c>
      <c r="I7" s="6">
        <f t="shared" si="0"/>
        <v>-41996.51</v>
      </c>
      <c r="J7" s="6">
        <f t="shared" si="2"/>
        <v>0</v>
      </c>
      <c r="M7" s="64" t="s">
        <v>192</v>
      </c>
      <c r="N7" s="123">
        <v>-2191.33</v>
      </c>
    </row>
    <row r="8" spans="1:14" x14ac:dyDescent="0.3">
      <c r="A8" s="61">
        <v>13036</v>
      </c>
      <c r="B8" t="str">
        <f>VLOOKUP(A8,'Clientes CBOT'!A:D,4,0)</f>
        <v>NUIC GUILLERMO Y CRISTIAN SA</v>
      </c>
      <c r="C8" s="7">
        <f>VLOOKUP(A8,'Statement base'!E:AO,21,0)</f>
        <v>-36667.800000000003</v>
      </c>
      <c r="D8" s="7">
        <f>VLOOKUP(A8,'Statement base'!E:AO,10,0)-VLOOKUP(A8,'Statement base'!E:AO,21,0)</f>
        <v>0</v>
      </c>
      <c r="E8" t="s">
        <v>188</v>
      </c>
      <c r="F8" s="6">
        <f>VLOOKUP(A8,'Statement base'!E:AO,10,0)+VLOOKUP(A8,'Statement base'!E:AO,14,0)</f>
        <v>-36667.800000000003</v>
      </c>
      <c r="G8" s="61">
        <f>VLOOKUP(A8,'Clientes CBOT'!A:E,5,0)</f>
        <v>13036</v>
      </c>
      <c r="H8" t="str">
        <f t="shared" si="1"/>
        <v>Hard</v>
      </c>
      <c r="I8" s="6">
        <f t="shared" si="0"/>
        <v>-36667.800000000003</v>
      </c>
      <c r="J8" s="6">
        <f t="shared" si="2"/>
        <v>0</v>
      </c>
      <c r="M8" s="64" t="s">
        <v>193</v>
      </c>
      <c r="N8" s="123">
        <v>-90804.33</v>
      </c>
    </row>
    <row r="9" spans="1:14" x14ac:dyDescent="0.3">
      <c r="A9" s="61">
        <v>13035</v>
      </c>
      <c r="B9" t="str">
        <f>VLOOKUP(A9,'Clientes CBOT'!A:D,4,0)</f>
        <v>GEOBIOS SRL</v>
      </c>
      <c r="C9" s="7">
        <f>VLOOKUP(A9,'Statement base'!E:AO,21,0)</f>
        <v>-3506.3</v>
      </c>
      <c r="D9" s="7">
        <f>VLOOKUP(A9,'Statement base'!E:AO,10,0)-VLOOKUP(A9,'Statement base'!E:AO,21,0)</f>
        <v>0</v>
      </c>
      <c r="E9" t="s">
        <v>188</v>
      </c>
      <c r="F9" s="6">
        <f>VLOOKUP(A9,'Statement base'!E:AO,10,0)+VLOOKUP(A9,'Statement base'!E:AO,14,0)</f>
        <v>-3506.3</v>
      </c>
      <c r="G9" s="61">
        <f>VLOOKUP(A9,'Clientes CBOT'!A:E,5,0)</f>
        <v>13035</v>
      </c>
      <c r="H9" t="str">
        <f t="shared" si="1"/>
        <v>Hard</v>
      </c>
      <c r="I9" s="6">
        <f t="shared" si="0"/>
        <v>-3506.3</v>
      </c>
      <c r="J9" s="6">
        <f t="shared" si="2"/>
        <v>0</v>
      </c>
      <c r="M9" s="64" t="s">
        <v>195</v>
      </c>
      <c r="N9" s="123">
        <v>0</v>
      </c>
    </row>
    <row r="10" spans="1:14" x14ac:dyDescent="0.3">
      <c r="A10" s="61">
        <v>13005</v>
      </c>
      <c r="B10" t="str">
        <f>VLOOKUP(A10,'Clientes CBOT'!A:D,4,0)</f>
        <v>MASSOUD JORGE ELIAS</v>
      </c>
      <c r="C10" s="7">
        <f>VLOOKUP(A10,'Statement base'!E:AO,21,0)</f>
        <v>0</v>
      </c>
      <c r="D10" s="7">
        <f>VLOOKUP(A10,'Statement base'!E:AO,10,0)-VLOOKUP(A10,'Statement base'!E:AO,21,0)</f>
        <v>0</v>
      </c>
      <c r="E10" t="s">
        <v>188</v>
      </c>
      <c r="F10" s="6">
        <f>VLOOKUP(A10,'Statement base'!E:AO,10,0)+VLOOKUP(A10,'Statement base'!E:AO,14,0)</f>
        <v>0</v>
      </c>
      <c r="G10" s="61">
        <f>VLOOKUP(A10,'Clientes CBOT'!A:E,5,0)</f>
        <v>13005</v>
      </c>
      <c r="H10" t="str">
        <f t="shared" si="1"/>
        <v>Hard</v>
      </c>
      <c r="I10" s="6">
        <f t="shared" si="0"/>
        <v>0</v>
      </c>
      <c r="J10" s="6">
        <f t="shared" si="2"/>
        <v>0</v>
      </c>
      <c r="M10" s="64" t="s">
        <v>199</v>
      </c>
      <c r="N10" s="123">
        <v>-369.19</v>
      </c>
    </row>
    <row r="11" spans="1:14" x14ac:dyDescent="0.3">
      <c r="A11" s="61">
        <v>13006</v>
      </c>
      <c r="B11" t="str">
        <f>VLOOKUP(A11,'Clientes CBOT'!A:D,4,0)</f>
        <v>SANTANGELO CLAUDIO ROBERTO</v>
      </c>
      <c r="C11" s="7">
        <f>VLOOKUP(A11,'Statement base'!E:AO,21,0)</f>
        <v>56058.400000000001</v>
      </c>
      <c r="D11" s="7">
        <f>VLOOKUP(A11,'Statement base'!E:AO,10,0)-VLOOKUP(A11,'Statement base'!E:AO,21,0)</f>
        <v>100011.75</v>
      </c>
      <c r="E11" t="s">
        <v>188</v>
      </c>
      <c r="F11" s="6">
        <f>VLOOKUP(A11,'Statement base'!E:AO,10,0)+VLOOKUP(A11,'Statement base'!E:AO,14,0)</f>
        <v>114701.4</v>
      </c>
      <c r="G11" s="61">
        <f>VLOOKUP(A11,'Clientes CBOT'!A:E,5,0)</f>
        <v>13006</v>
      </c>
      <c r="H11" t="str">
        <f t="shared" si="1"/>
        <v>Hard</v>
      </c>
      <c r="I11" s="6">
        <f t="shared" si="0"/>
        <v>56058.400000000001</v>
      </c>
      <c r="J11" s="6">
        <f t="shared" si="2"/>
        <v>100011.75</v>
      </c>
      <c r="M11" s="64" t="s">
        <v>201</v>
      </c>
      <c r="N11" s="123">
        <v>0</v>
      </c>
    </row>
    <row r="12" spans="1:14" x14ac:dyDescent="0.3">
      <c r="A12" s="61">
        <v>20176</v>
      </c>
      <c r="B12" t="str">
        <f>VLOOKUP(A12,'Clientes CBOT'!A:D,4,0)</f>
        <v>FYO ACOPIO SA</v>
      </c>
      <c r="C12" s="7">
        <f>VLOOKUP(A12,'Statement base'!E:AO,21,0)</f>
        <v>2121879.0299999998</v>
      </c>
      <c r="D12" s="7">
        <f>VLOOKUP(A12,'Statement base'!E:AO,10,0)-VLOOKUP(A12,'Statement base'!E:AO,21,0)</f>
        <v>-65870.499999999767</v>
      </c>
      <c r="E12" t="s">
        <v>188</v>
      </c>
      <c r="F12" s="6">
        <f>VLOOKUP(A12,'Statement base'!E:AO,10,0)+VLOOKUP(A12,'Statement base'!E:AO,14,0)</f>
        <v>2056008.53</v>
      </c>
      <c r="G12" s="61">
        <f>VLOOKUP(A12,'Clientes CBOT'!A:E,5,0)</f>
        <v>20176</v>
      </c>
      <c r="H12" t="str">
        <f t="shared" si="1"/>
        <v>Hard</v>
      </c>
      <c r="I12" s="6">
        <f t="shared" si="0"/>
        <v>2121879.0299999998</v>
      </c>
      <c r="J12" s="6">
        <f t="shared" si="2"/>
        <v>-65870.499999999767</v>
      </c>
      <c r="M12" s="64" t="s">
        <v>202</v>
      </c>
      <c r="N12" s="123">
        <v>0</v>
      </c>
    </row>
    <row r="13" spans="1:14" x14ac:dyDescent="0.3">
      <c r="A13" s="61">
        <v>13002</v>
      </c>
      <c r="B13" t="str">
        <f>VLOOKUP(A13,'Clientes CBOT'!A:D,4,0)</f>
        <v>AGROPECUARIA CATRILO SA</v>
      </c>
      <c r="C13" s="7">
        <f>VLOOKUP(A13,'Statement base'!E:AO,21,0)</f>
        <v>-41996.51</v>
      </c>
      <c r="D13" s="7">
        <f>VLOOKUP(A13,'Statement base'!E:AO,10,0)-VLOOKUP(A13,'Statement base'!E:AO,21,0)</f>
        <v>0</v>
      </c>
      <c r="E13" t="s">
        <v>188</v>
      </c>
      <c r="F13" s="6">
        <f>VLOOKUP(A13,'Statement base'!E:AO,10,0)+VLOOKUP(A13,'Statement base'!E:AO,14,0)</f>
        <v>-41996.51</v>
      </c>
      <c r="G13" s="61">
        <f>VLOOKUP(A13,'Clientes CBOT'!A:E,5,0)</f>
        <v>13002</v>
      </c>
      <c r="H13" t="str">
        <f t="shared" si="1"/>
        <v>Hard</v>
      </c>
      <c r="I13" s="6">
        <f t="shared" si="0"/>
        <v>-41996.51</v>
      </c>
      <c r="J13" s="6">
        <f t="shared" si="2"/>
        <v>0</v>
      </c>
      <c r="M13" s="64" t="s">
        <v>203</v>
      </c>
      <c r="N13" s="123">
        <v>0.37</v>
      </c>
    </row>
    <row r="14" spans="1:14" x14ac:dyDescent="0.3">
      <c r="A14" s="61">
        <v>13005</v>
      </c>
      <c r="B14" t="str">
        <f>VLOOKUP(A14,'Clientes CBOT'!A:D,4,0)</f>
        <v>MASSOUD JORGE ELIAS</v>
      </c>
      <c r="C14" s="7">
        <f>VLOOKUP(A14,'Statement base'!E:AO,21,0)</f>
        <v>0</v>
      </c>
      <c r="D14" s="7">
        <f>VLOOKUP(A14,'Statement base'!E:AO,10,0)-VLOOKUP(A14,'Statement base'!E:AO,21,0)</f>
        <v>0</v>
      </c>
      <c r="E14" t="s">
        <v>188</v>
      </c>
      <c r="F14" s="6">
        <f>VLOOKUP(A14,'Statement base'!E:AO,10,0)+VLOOKUP(A14,'Statement base'!E:AO,14,0)</f>
        <v>0</v>
      </c>
      <c r="G14" s="61">
        <f>VLOOKUP(A14,'Clientes CBOT'!A:E,5,0)</f>
        <v>13005</v>
      </c>
      <c r="H14" t="str">
        <f t="shared" si="1"/>
        <v>Hard</v>
      </c>
      <c r="I14" s="6">
        <f t="shared" si="0"/>
        <v>0</v>
      </c>
      <c r="J14" s="6">
        <f t="shared" si="2"/>
        <v>0</v>
      </c>
      <c r="M14" s="64" t="s">
        <v>205</v>
      </c>
      <c r="N14" s="123">
        <v>-52565.55</v>
      </c>
    </row>
    <row r="15" spans="1:14" x14ac:dyDescent="0.3">
      <c r="A15" s="61">
        <v>13008</v>
      </c>
      <c r="B15" t="str">
        <f>VLOOKUP(A15,'Clientes CBOT'!A:D,4,0)</f>
        <v>El Mirador de Lincoln SA</v>
      </c>
      <c r="C15" s="7" t="e">
        <f>VLOOKUP(A15,'Statement base'!E:AO,21,0)</f>
        <v>#N/A</v>
      </c>
      <c r="D15" s="7" t="e">
        <f>VLOOKUP(A15,'Statement base'!E:AO,10,0)-VLOOKUP(A15,'Statement base'!E:AO,21,0)</f>
        <v>#N/A</v>
      </c>
      <c r="E15" t="s">
        <v>188</v>
      </c>
      <c r="F15" s="6" t="e">
        <f>VLOOKUP(A15,'Statement base'!E:AO,10,0)+VLOOKUP(A15,'Statement base'!E:AO,14,0)</f>
        <v>#N/A</v>
      </c>
      <c r="G15" s="61">
        <f>VLOOKUP(A15,'Clientes CBOT'!A:E,5,0)</f>
        <v>13008</v>
      </c>
      <c r="H15" t="str">
        <f t="shared" si="1"/>
        <v>Hard</v>
      </c>
      <c r="I15" s="6" t="e">
        <f t="shared" si="0"/>
        <v>#N/A</v>
      </c>
      <c r="J15" s="6" t="e">
        <f t="shared" si="2"/>
        <v>#N/A</v>
      </c>
      <c r="M15" s="64" t="s">
        <v>206</v>
      </c>
      <c r="N15" s="123">
        <v>0</v>
      </c>
    </row>
    <row r="16" spans="1:14" x14ac:dyDescent="0.3">
      <c r="A16" s="61">
        <v>13007</v>
      </c>
      <c r="B16" t="str">
        <f>VLOOKUP(A16,'Clientes CBOT'!A:D,4,0)</f>
        <v>SANTANGELO FRANCISCO VICTOR</v>
      </c>
      <c r="C16" s="7">
        <f>VLOOKUP(A16,'Statement base'!E:AO,21,0)</f>
        <v>-49951.08</v>
      </c>
      <c r="D16" s="7">
        <f>VLOOKUP(A16,'Statement base'!E:AO,10,0)-VLOOKUP(A16,'Statement base'!E:AO,21,0)</f>
        <v>100011.75</v>
      </c>
      <c r="E16" t="s">
        <v>188</v>
      </c>
      <c r="F16" s="6">
        <f>VLOOKUP(A16,'Statement base'!E:AO,10,0)+VLOOKUP(A16,'Statement base'!E:AO,14,0)</f>
        <v>8691.9199999999983</v>
      </c>
      <c r="G16" s="61">
        <f>VLOOKUP(A16,'Clientes CBOT'!A:E,5,0)</f>
        <v>13007</v>
      </c>
      <c r="H16" t="str">
        <f t="shared" si="1"/>
        <v>Hard</v>
      </c>
      <c r="I16" s="6">
        <f t="shared" si="0"/>
        <v>-49951.08</v>
      </c>
      <c r="J16" s="6">
        <f t="shared" si="2"/>
        <v>100011.75</v>
      </c>
      <c r="M16" s="64" t="s">
        <v>208</v>
      </c>
      <c r="N16" s="123">
        <v>0.45</v>
      </c>
    </row>
    <row r="17" spans="1:14" x14ac:dyDescent="0.3">
      <c r="A17" s="61">
        <v>13009</v>
      </c>
      <c r="B17" t="str">
        <f>VLOOKUP(A17,'Clientes CBOT'!A:D,4,0)</f>
        <v>RATTO OSCAR EDUARDO</v>
      </c>
      <c r="C17" s="7">
        <f>VLOOKUP(A17,'Statement base'!E:AO,21,0)</f>
        <v>-79058.559999999998</v>
      </c>
      <c r="D17" s="7">
        <f>VLOOKUP(A17,'Statement base'!E:AO,10,0)-VLOOKUP(A17,'Statement base'!E:AO,21,0)</f>
        <v>51607.5</v>
      </c>
      <c r="E17" t="s">
        <v>188</v>
      </c>
      <c r="F17" s="6">
        <f>VLOOKUP(A17,'Statement base'!E:AO,10,0)+VLOOKUP(A17,'Statement base'!E:AO,14,0)</f>
        <v>-50513.56</v>
      </c>
      <c r="G17" s="61">
        <f>VLOOKUP(A17,'Clientes CBOT'!A:E,5,0)</f>
        <v>13009</v>
      </c>
      <c r="H17" t="str">
        <f t="shared" si="1"/>
        <v>Hard</v>
      </c>
      <c r="I17" s="6">
        <f t="shared" si="0"/>
        <v>-79058.559999999998</v>
      </c>
      <c r="J17" s="6">
        <f t="shared" si="2"/>
        <v>51607.5</v>
      </c>
      <c r="M17" s="64" t="s">
        <v>209</v>
      </c>
      <c r="N17" s="123">
        <v>12810.93</v>
      </c>
    </row>
    <row r="18" spans="1:14" x14ac:dyDescent="0.3">
      <c r="A18" s="61">
        <v>13010</v>
      </c>
      <c r="B18" t="str">
        <f>VLOOKUP(A18,'Clientes CBOT'!A:D,4,0)</f>
        <v>YABITO SA</v>
      </c>
      <c r="C18" s="7">
        <f>VLOOKUP(A18,'Statement base'!E:AO,21,0)</f>
        <v>4342.88</v>
      </c>
      <c r="D18" s="7">
        <f>VLOOKUP(A18,'Statement base'!E:AO,10,0)-VLOOKUP(A18,'Statement base'!E:AO,21,0)</f>
        <v>0</v>
      </c>
      <c r="E18" t="s">
        <v>188</v>
      </c>
      <c r="F18" s="6">
        <f>VLOOKUP(A18,'Statement base'!E:AO,10,0)+VLOOKUP(A18,'Statement base'!E:AO,14,0)</f>
        <v>4342.88</v>
      </c>
      <c r="G18" s="61">
        <f>VLOOKUP(A18,'Clientes CBOT'!A:E,5,0)</f>
        <v>13010</v>
      </c>
      <c r="H18" t="str">
        <f t="shared" si="1"/>
        <v>Hard</v>
      </c>
      <c r="I18" s="6">
        <f t="shared" si="0"/>
        <v>4342.88</v>
      </c>
      <c r="J18" s="6">
        <f t="shared" si="2"/>
        <v>0</v>
      </c>
      <c r="M18" s="64" t="s">
        <v>210</v>
      </c>
      <c r="N18" s="123">
        <v>8.69</v>
      </c>
    </row>
    <row r="19" spans="1:14" x14ac:dyDescent="0.3">
      <c r="A19" s="61">
        <v>0</v>
      </c>
      <c r="B19" t="e">
        <f>VLOOKUP(A19,'Clientes CBOT'!A:D,4,0)</f>
        <v>#N/A</v>
      </c>
      <c r="C19" s="7" t="e">
        <f>VLOOKUP(A19,'Statement base'!E:AO,21,0)</f>
        <v>#N/A</v>
      </c>
      <c r="D19" s="7" t="e">
        <f>VLOOKUP(A19,'Statement base'!E:AO,10,0)-VLOOKUP(A19,'Statement base'!E:AO,21,0)</f>
        <v>#N/A</v>
      </c>
      <c r="E19" t="s">
        <v>188</v>
      </c>
      <c r="F19" s="6" t="e">
        <f>VLOOKUP(A19,'Statement base'!E:AO,10,0)+VLOOKUP(A19,'Statement base'!E:AO,14,0)</f>
        <v>#N/A</v>
      </c>
      <c r="G19" s="61" t="e">
        <f>VLOOKUP(A19,'Clientes CBOT'!A:E,5,0)</f>
        <v>#N/A</v>
      </c>
      <c r="H19" t="str">
        <f t="shared" si="1"/>
        <v>Hard</v>
      </c>
      <c r="I19" s="6" t="e">
        <f t="shared" si="0"/>
        <v>#N/A</v>
      </c>
      <c r="J19" s="6" t="e">
        <f t="shared" si="2"/>
        <v>#N/A</v>
      </c>
      <c r="M19" s="64" t="s">
        <v>211</v>
      </c>
      <c r="N19" s="123">
        <v>2775.54</v>
      </c>
    </row>
    <row r="20" spans="1:14" x14ac:dyDescent="0.3">
      <c r="A20" s="61">
        <v>0</v>
      </c>
      <c r="B20" t="e">
        <f>VLOOKUP(A20,'Clientes CBOT'!A:D,4,0)</f>
        <v>#N/A</v>
      </c>
      <c r="C20" s="7" t="e">
        <f>VLOOKUP(A20,'Statement base'!E:AO,21,0)</f>
        <v>#N/A</v>
      </c>
      <c r="D20" s="7" t="e">
        <f>VLOOKUP(A20,'Statement base'!E:AO,10,0)-VLOOKUP(A20,'Statement base'!E:AO,21,0)</f>
        <v>#N/A</v>
      </c>
      <c r="E20" t="s">
        <v>188</v>
      </c>
      <c r="F20" s="6" t="e">
        <f>VLOOKUP(A20,'Statement base'!E:AO,10,0)+VLOOKUP(A20,'Statement base'!E:AO,14,0)</f>
        <v>#N/A</v>
      </c>
      <c r="G20" s="61" t="e">
        <f>VLOOKUP(A20,'Clientes CBOT'!A:E,5,0)</f>
        <v>#N/A</v>
      </c>
      <c r="H20" t="str">
        <f t="shared" si="1"/>
        <v>Hard</v>
      </c>
      <c r="I20" s="6" t="e">
        <f t="shared" si="0"/>
        <v>#N/A</v>
      </c>
      <c r="J20" s="6" t="e">
        <f t="shared" si="2"/>
        <v>#N/A</v>
      </c>
      <c r="M20" s="64" t="s">
        <v>214</v>
      </c>
      <c r="N20" s="123">
        <v>0</v>
      </c>
    </row>
    <row r="21" spans="1:14" x14ac:dyDescent="0.3">
      <c r="A21" s="61">
        <v>0</v>
      </c>
      <c r="B21" t="e">
        <f>VLOOKUP(A21,'Clientes CBOT'!A:D,4,0)</f>
        <v>#N/A</v>
      </c>
      <c r="C21" s="7" t="e">
        <f>VLOOKUP(A21,'Statement base'!E:AO,21,0)</f>
        <v>#N/A</v>
      </c>
      <c r="D21" s="7" t="e">
        <f>VLOOKUP(A21,'Statement base'!E:AO,10,0)-VLOOKUP(A21,'Statement base'!E:AO,21,0)</f>
        <v>#N/A</v>
      </c>
      <c r="E21" t="s">
        <v>188</v>
      </c>
      <c r="F21" s="6" t="e">
        <f>VLOOKUP(A21,'Statement base'!E:AO,10,0)+VLOOKUP(A21,'Statement base'!E:AO,14,0)</f>
        <v>#N/A</v>
      </c>
      <c r="G21" s="61" t="e">
        <f>VLOOKUP(A21,'Clientes CBOT'!A:E,5,0)</f>
        <v>#N/A</v>
      </c>
      <c r="H21" t="str">
        <f t="shared" si="1"/>
        <v>Hard</v>
      </c>
      <c r="I21" s="6" t="e">
        <f t="shared" si="0"/>
        <v>#N/A</v>
      </c>
      <c r="J21" s="6" t="e">
        <f t="shared" si="2"/>
        <v>#N/A</v>
      </c>
      <c r="M21" s="64" t="s">
        <v>217</v>
      </c>
      <c r="N21" s="123">
        <v>7.0000000000000007E-2</v>
      </c>
    </row>
    <row r="22" spans="1:14" x14ac:dyDescent="0.3">
      <c r="A22" s="61">
        <v>0</v>
      </c>
      <c r="B22" t="e">
        <f>VLOOKUP(A22,'Clientes CBOT'!A:D,4,0)</f>
        <v>#N/A</v>
      </c>
      <c r="C22" s="7" t="e">
        <f>VLOOKUP(A22,'Statement base'!E:AO,21,0)</f>
        <v>#N/A</v>
      </c>
      <c r="D22" s="7" t="e">
        <f>VLOOKUP(A22,'Statement base'!E:AO,10,0)-VLOOKUP(A22,'Statement base'!E:AO,21,0)</f>
        <v>#N/A</v>
      </c>
      <c r="E22" t="s">
        <v>188</v>
      </c>
      <c r="F22" s="6" t="e">
        <f>VLOOKUP(A22,'Statement base'!E:AO,10,0)+VLOOKUP(A22,'Statement base'!E:AO,14,0)</f>
        <v>#N/A</v>
      </c>
      <c r="G22" s="61" t="e">
        <f>VLOOKUP(A22,'Clientes CBOT'!A:E,5,0)</f>
        <v>#N/A</v>
      </c>
      <c r="H22" t="str">
        <f t="shared" si="1"/>
        <v>Hard</v>
      </c>
      <c r="I22" s="6" t="e">
        <f t="shared" si="0"/>
        <v>#N/A</v>
      </c>
      <c r="J22" s="6" t="e">
        <f t="shared" si="2"/>
        <v>#N/A</v>
      </c>
      <c r="M22" s="64" t="s">
        <v>218</v>
      </c>
      <c r="N22" s="123">
        <v>0</v>
      </c>
    </row>
    <row r="23" spans="1:14" x14ac:dyDescent="0.3">
      <c r="A23" s="61">
        <v>0</v>
      </c>
      <c r="B23" t="e">
        <f>VLOOKUP(A23,'Clientes CBOT'!A:D,4,0)</f>
        <v>#N/A</v>
      </c>
      <c r="C23" s="7" t="e">
        <f>VLOOKUP(A23,'Statement base'!E:AO,21,0)</f>
        <v>#N/A</v>
      </c>
      <c r="D23" s="7" t="e">
        <f>VLOOKUP(A23,'Statement base'!E:AO,10,0)-VLOOKUP(A23,'Statement base'!E:AO,21,0)</f>
        <v>#N/A</v>
      </c>
      <c r="E23" t="s">
        <v>188</v>
      </c>
      <c r="F23" s="6" t="e">
        <f>VLOOKUP(A23,'Statement base'!E:AO,10,0)+VLOOKUP(A23,'Statement base'!E:AO,14,0)</f>
        <v>#N/A</v>
      </c>
      <c r="G23" s="61" t="e">
        <f>VLOOKUP(A23,'Clientes CBOT'!A:E,5,0)</f>
        <v>#N/A</v>
      </c>
      <c r="H23" t="str">
        <f t="shared" si="1"/>
        <v>Hard</v>
      </c>
      <c r="I23" s="6" t="e">
        <f t="shared" si="0"/>
        <v>#N/A</v>
      </c>
      <c r="J23" s="6" t="e">
        <f t="shared" si="2"/>
        <v>#N/A</v>
      </c>
      <c r="M23" s="64" t="s">
        <v>220</v>
      </c>
      <c r="N23" s="123">
        <v>0</v>
      </c>
    </row>
    <row r="24" spans="1:14" x14ac:dyDescent="0.3">
      <c r="A24" s="61">
        <v>0</v>
      </c>
      <c r="B24" t="e">
        <f>VLOOKUP(A24,'Clientes CBOT'!A:D,4,0)</f>
        <v>#N/A</v>
      </c>
      <c r="C24" s="7" t="e">
        <f>VLOOKUP(A24,'Statement base'!E:AO,21,0)</f>
        <v>#N/A</v>
      </c>
      <c r="D24" s="7" t="e">
        <f>VLOOKUP(A24,'Statement base'!E:AO,10,0)-VLOOKUP(A24,'Statement base'!E:AO,21,0)</f>
        <v>#N/A</v>
      </c>
      <c r="E24" t="s">
        <v>188</v>
      </c>
      <c r="F24" s="6" t="e">
        <f>VLOOKUP(A24,'Statement base'!E:AO,10,0)+VLOOKUP(A24,'Statement base'!E:AO,14,0)</f>
        <v>#N/A</v>
      </c>
      <c r="G24" s="61" t="e">
        <f>VLOOKUP(A24,'Clientes CBOT'!A:E,5,0)</f>
        <v>#N/A</v>
      </c>
      <c r="H24" t="str">
        <f t="shared" si="1"/>
        <v>Hard</v>
      </c>
      <c r="I24" s="6" t="e">
        <f t="shared" si="0"/>
        <v>#N/A</v>
      </c>
      <c r="J24" s="6" t="e">
        <f t="shared" si="2"/>
        <v>#N/A</v>
      </c>
      <c r="M24" s="64" t="s">
        <v>221</v>
      </c>
      <c r="N24" s="123">
        <v>0</v>
      </c>
    </row>
    <row r="25" spans="1:14" x14ac:dyDescent="0.3">
      <c r="A25" s="61">
        <v>0</v>
      </c>
      <c r="B25" t="e">
        <f>VLOOKUP(A25,'Clientes CBOT'!A:D,4,0)</f>
        <v>#N/A</v>
      </c>
      <c r="C25" s="7" t="e">
        <f>VLOOKUP(A25,'Statement base'!E:AO,21,0)</f>
        <v>#N/A</v>
      </c>
      <c r="D25" s="7" t="e">
        <f>VLOOKUP(A25,'Statement base'!E:AO,10,0)-VLOOKUP(A25,'Statement base'!E:AO,21,0)</f>
        <v>#N/A</v>
      </c>
      <c r="E25" t="s">
        <v>188</v>
      </c>
      <c r="F25" s="6" t="e">
        <f>VLOOKUP(A25,'Statement base'!E:AO,10,0)+VLOOKUP(A25,'Statement base'!E:AO,14,0)</f>
        <v>#N/A</v>
      </c>
      <c r="G25" s="61" t="e">
        <f>VLOOKUP(A25,'Clientes CBOT'!A:E,5,0)</f>
        <v>#N/A</v>
      </c>
      <c r="H25" t="str">
        <f t="shared" si="1"/>
        <v>Hard</v>
      </c>
      <c r="I25" s="6" t="e">
        <f t="shared" si="0"/>
        <v>#N/A</v>
      </c>
      <c r="J25" s="6" t="e">
        <f t="shared" si="2"/>
        <v>#N/A</v>
      </c>
      <c r="M25" s="64" t="s">
        <v>222</v>
      </c>
      <c r="N25" s="123">
        <v>3.19</v>
      </c>
    </row>
    <row r="26" spans="1:14" x14ac:dyDescent="0.3">
      <c r="A26" s="61">
        <v>0</v>
      </c>
      <c r="B26" t="e">
        <f>VLOOKUP(A26,'Clientes CBOT'!A:D,4,0)</f>
        <v>#N/A</v>
      </c>
      <c r="C26" s="7" t="e">
        <f>VLOOKUP(A26,'Statement base'!E:AO,21,0)</f>
        <v>#N/A</v>
      </c>
      <c r="D26" s="7" t="e">
        <f>VLOOKUP(A26,'Statement base'!E:AO,10,0)-VLOOKUP(A26,'Statement base'!E:AO,21,0)</f>
        <v>#N/A</v>
      </c>
      <c r="E26" t="s">
        <v>188</v>
      </c>
      <c r="F26" s="6" t="e">
        <f>VLOOKUP(A26,'Statement base'!E:AO,10,0)+VLOOKUP(A26,'Statement base'!E:AO,14,0)</f>
        <v>#N/A</v>
      </c>
      <c r="G26" s="61" t="e">
        <f>VLOOKUP(A26,'Clientes CBOT'!A:E,5,0)</f>
        <v>#N/A</v>
      </c>
      <c r="H26" t="str">
        <f t="shared" si="1"/>
        <v>Hard</v>
      </c>
      <c r="I26" s="6" t="e">
        <f t="shared" si="0"/>
        <v>#N/A</v>
      </c>
      <c r="J26" s="6" t="e">
        <f t="shared" si="2"/>
        <v>#N/A</v>
      </c>
      <c r="M26" s="64" t="s">
        <v>224</v>
      </c>
      <c r="N26" s="123">
        <v>-162793552.15000001</v>
      </c>
    </row>
    <row r="27" spans="1:14" x14ac:dyDescent="0.3">
      <c r="A27" s="61">
        <v>0</v>
      </c>
      <c r="B27" t="e">
        <f>VLOOKUP(A27,'Clientes CBOT'!A:D,4,0)</f>
        <v>#N/A</v>
      </c>
      <c r="C27" s="7" t="e">
        <f>VLOOKUP(A27,'Statement base'!E:AO,21,0)</f>
        <v>#N/A</v>
      </c>
      <c r="D27" s="7" t="e">
        <f>VLOOKUP(A27,'Statement base'!E:AO,10,0)-VLOOKUP(A27,'Statement base'!E:AO,21,0)</f>
        <v>#N/A</v>
      </c>
      <c r="E27" t="s">
        <v>188</v>
      </c>
      <c r="F27" s="6" t="e">
        <f>VLOOKUP(A27,'Statement base'!E:AO,10,0)+VLOOKUP(A27,'Statement base'!E:AO,14,0)</f>
        <v>#N/A</v>
      </c>
      <c r="G27" s="61" t="e">
        <f>VLOOKUP(A27,'Clientes CBOT'!A:E,5,0)</f>
        <v>#N/A</v>
      </c>
      <c r="H27" t="str">
        <f t="shared" si="1"/>
        <v>Hard</v>
      </c>
      <c r="I27" s="6" t="e">
        <f t="shared" si="0"/>
        <v>#N/A</v>
      </c>
      <c r="J27" s="6" t="e">
        <f t="shared" si="2"/>
        <v>#N/A</v>
      </c>
      <c r="M27" s="64" t="s">
        <v>225</v>
      </c>
      <c r="N27" s="123">
        <v>-6813.76</v>
      </c>
    </row>
    <row r="28" spans="1:14" x14ac:dyDescent="0.3">
      <c r="A28" s="61">
        <v>0</v>
      </c>
      <c r="B28" t="e">
        <f>VLOOKUP(A28,'Clientes CBOT'!A:D,4,0)</f>
        <v>#N/A</v>
      </c>
      <c r="C28" s="7" t="e">
        <f>VLOOKUP(A28,'Statement base'!E:AO,21,0)</f>
        <v>#N/A</v>
      </c>
      <c r="D28" s="7" t="e">
        <f>VLOOKUP(A28,'Statement base'!E:AO,10,0)-VLOOKUP(A28,'Statement base'!E:AO,21,0)</f>
        <v>#N/A</v>
      </c>
      <c r="E28" t="s">
        <v>188</v>
      </c>
      <c r="F28" s="6" t="e">
        <f>VLOOKUP(A28,'Statement base'!E:AO,10,0)+VLOOKUP(A28,'Statement base'!E:AO,14,0)</f>
        <v>#N/A</v>
      </c>
      <c r="G28" s="61" t="e">
        <f>VLOOKUP(A28,'Clientes CBOT'!A:E,5,0)</f>
        <v>#N/A</v>
      </c>
      <c r="H28" t="str">
        <f t="shared" si="1"/>
        <v>Hard</v>
      </c>
      <c r="I28" s="6" t="e">
        <f t="shared" si="0"/>
        <v>#N/A</v>
      </c>
      <c r="J28" s="6" t="e">
        <f t="shared" si="2"/>
        <v>#N/A</v>
      </c>
      <c r="M28" s="64" t="s">
        <v>124</v>
      </c>
      <c r="N28" s="123">
        <v>1701.0800000000002</v>
      </c>
    </row>
    <row r="29" spans="1:14" x14ac:dyDescent="0.3">
      <c r="A29" s="61">
        <v>0</v>
      </c>
      <c r="B29" t="e">
        <f>VLOOKUP(A29,'Clientes CBOT'!A:D,4,0)</f>
        <v>#N/A</v>
      </c>
      <c r="C29" s="7" t="e">
        <f>VLOOKUP(A29,'Statement base'!E:AO,21,0)</f>
        <v>#N/A</v>
      </c>
      <c r="D29" s="7" t="e">
        <f>VLOOKUP(A29,'Statement base'!E:AO,10,0)-VLOOKUP(A29,'Statement base'!E:AO,21,0)</f>
        <v>#N/A</v>
      </c>
      <c r="E29" t="s">
        <v>188</v>
      </c>
      <c r="F29" s="6" t="e">
        <f>VLOOKUP(A29,'Statement base'!E:AO,10,0)+VLOOKUP(A29,'Statement base'!E:AO,14,0)</f>
        <v>#N/A</v>
      </c>
      <c r="G29" s="61" t="e">
        <f>VLOOKUP(A29,'Clientes CBOT'!A:E,5,0)</f>
        <v>#N/A</v>
      </c>
      <c r="H29" t="str">
        <f t="shared" si="1"/>
        <v>Hard</v>
      </c>
      <c r="I29" s="6" t="e">
        <f t="shared" si="0"/>
        <v>#N/A</v>
      </c>
      <c r="J29" s="6" t="e">
        <f t="shared" si="2"/>
        <v>#N/A</v>
      </c>
      <c r="M29" s="64" t="s">
        <v>227</v>
      </c>
      <c r="N29" s="123">
        <v>3928.97</v>
      </c>
    </row>
    <row r="30" spans="1:14" x14ac:dyDescent="0.3">
      <c r="A30" s="61">
        <v>0</v>
      </c>
      <c r="B30" t="e">
        <f>VLOOKUP(A30,'Clientes CBOT'!A:D,4,0)</f>
        <v>#N/A</v>
      </c>
      <c r="C30" s="7" t="e">
        <f>VLOOKUP(A30,'Statement base'!E:AO,21,0)</f>
        <v>#N/A</v>
      </c>
      <c r="D30" s="7" t="e">
        <f>VLOOKUP(A30,'Statement base'!E:AO,10,0)-VLOOKUP(A30,'Statement base'!E:AO,21,0)</f>
        <v>#N/A</v>
      </c>
      <c r="E30" t="s">
        <v>188</v>
      </c>
      <c r="F30" s="6" t="e">
        <f>VLOOKUP(A30,'Statement base'!E:AO,10,0)+VLOOKUP(A30,'Statement base'!E:AO,14,0)</f>
        <v>#N/A</v>
      </c>
      <c r="G30" s="61" t="e">
        <f>VLOOKUP(A30,'Clientes CBOT'!A:E,5,0)</f>
        <v>#N/A</v>
      </c>
      <c r="H30" t="str">
        <f t="shared" si="1"/>
        <v>Hard</v>
      </c>
      <c r="I30" s="6" t="e">
        <f t="shared" si="0"/>
        <v>#N/A</v>
      </c>
      <c r="J30" s="6" t="e">
        <f t="shared" si="2"/>
        <v>#N/A</v>
      </c>
      <c r="M30" s="64" t="s">
        <v>229</v>
      </c>
      <c r="N30" s="123">
        <v>0</v>
      </c>
    </row>
    <row r="31" spans="1:14" x14ac:dyDescent="0.3">
      <c r="A31" s="61">
        <v>0</v>
      </c>
      <c r="B31" t="e">
        <f>VLOOKUP(A31,'Clientes CBOT'!A:D,4,0)</f>
        <v>#N/A</v>
      </c>
      <c r="C31" s="7" t="e">
        <f>VLOOKUP(A31,'Statement base'!E:AO,21,0)</f>
        <v>#N/A</v>
      </c>
      <c r="D31" s="7" t="e">
        <f>VLOOKUP(A31,'Statement base'!E:AO,10,0)-VLOOKUP(A31,'Statement base'!E:AO,21,0)</f>
        <v>#N/A</v>
      </c>
      <c r="E31" t="s">
        <v>188</v>
      </c>
      <c r="F31" s="6" t="e">
        <f>VLOOKUP(A31,'Statement base'!E:AO,10,0)+VLOOKUP(A31,'Statement base'!E:AO,14,0)</f>
        <v>#N/A</v>
      </c>
      <c r="G31" s="61" t="e">
        <f>VLOOKUP(A31,'Clientes CBOT'!A:E,5,0)</f>
        <v>#N/A</v>
      </c>
      <c r="H31" t="str">
        <f t="shared" si="1"/>
        <v>Hard</v>
      </c>
      <c r="I31" s="6" t="e">
        <f t="shared" si="0"/>
        <v>#N/A</v>
      </c>
      <c r="J31" s="6" t="e">
        <f t="shared" si="2"/>
        <v>#N/A</v>
      </c>
      <c r="M31" s="64" t="s">
        <v>230</v>
      </c>
      <c r="N31" s="123">
        <v>0.28999999999999998</v>
      </c>
    </row>
    <row r="32" spans="1:14" x14ac:dyDescent="0.3">
      <c r="A32" s="61">
        <v>0</v>
      </c>
      <c r="B32" t="e">
        <f>VLOOKUP(A32,'Clientes CBOT'!A:D,4,0)</f>
        <v>#N/A</v>
      </c>
      <c r="C32" s="7" t="e">
        <f>VLOOKUP(A32,'Statement base'!E:AO,21,0)</f>
        <v>#N/A</v>
      </c>
      <c r="D32" s="7" t="e">
        <f>VLOOKUP(A32,'Statement base'!E:AO,10,0)-VLOOKUP(A32,'Statement base'!E:AO,21,0)</f>
        <v>#N/A</v>
      </c>
      <c r="E32" t="s">
        <v>188</v>
      </c>
      <c r="F32" s="6" t="e">
        <f>VLOOKUP(A32,'Statement base'!E:AO,10,0)+VLOOKUP(A32,'Statement base'!E:AO,14,0)</f>
        <v>#N/A</v>
      </c>
      <c r="G32" s="61" t="e">
        <f>VLOOKUP(A32,'Clientes CBOT'!A:E,5,0)</f>
        <v>#N/A</v>
      </c>
      <c r="H32" t="str">
        <f t="shared" si="1"/>
        <v>Hard</v>
      </c>
      <c r="I32" s="6" t="e">
        <f t="shared" si="0"/>
        <v>#N/A</v>
      </c>
      <c r="J32" s="6" t="e">
        <f t="shared" si="2"/>
        <v>#N/A</v>
      </c>
      <c r="M32" s="64" t="s">
        <v>231</v>
      </c>
      <c r="N32" s="123">
        <v>0</v>
      </c>
    </row>
    <row r="33" spans="1:14" x14ac:dyDescent="0.3">
      <c r="A33" s="61">
        <v>0</v>
      </c>
      <c r="B33" t="e">
        <f>VLOOKUP(A33,'Clientes CBOT'!A:D,4,0)</f>
        <v>#N/A</v>
      </c>
      <c r="C33" s="7" t="e">
        <f>VLOOKUP(A33,'Statement base'!E:AO,21,0)</f>
        <v>#N/A</v>
      </c>
      <c r="D33" s="7" t="e">
        <f>VLOOKUP(A33,'Statement base'!E:AO,10,0)-VLOOKUP(A33,'Statement base'!E:AO,21,0)</f>
        <v>#N/A</v>
      </c>
      <c r="E33" t="s">
        <v>188</v>
      </c>
      <c r="F33" s="6" t="e">
        <f>VLOOKUP(A33,'Statement base'!E:AO,10,0)+VLOOKUP(A33,'Statement base'!E:AO,14,0)</f>
        <v>#N/A</v>
      </c>
      <c r="G33" s="61" t="e">
        <f>VLOOKUP(A33,'Clientes CBOT'!A:E,5,0)</f>
        <v>#N/A</v>
      </c>
      <c r="H33" t="str">
        <f t="shared" si="1"/>
        <v>Hard</v>
      </c>
      <c r="I33" s="6" t="e">
        <f t="shared" si="0"/>
        <v>#N/A</v>
      </c>
      <c r="J33" s="6" t="e">
        <f t="shared" si="2"/>
        <v>#N/A</v>
      </c>
      <c r="M33" s="64" t="s">
        <v>232</v>
      </c>
      <c r="N33" s="123">
        <v>-0.01</v>
      </c>
    </row>
    <row r="34" spans="1:14" x14ac:dyDescent="0.3">
      <c r="A34" s="61">
        <v>0</v>
      </c>
      <c r="B34" t="e">
        <f>VLOOKUP(A34,'Clientes CBOT'!A:D,4,0)</f>
        <v>#N/A</v>
      </c>
      <c r="C34" s="7" t="e">
        <f>VLOOKUP(A34,'Statement base'!E:AO,21,0)</f>
        <v>#N/A</v>
      </c>
      <c r="D34" s="7" t="e">
        <f>VLOOKUP(A34,'Statement base'!E:AO,10,0)-VLOOKUP(A34,'Statement base'!E:AO,21,0)</f>
        <v>#N/A</v>
      </c>
      <c r="E34" t="s">
        <v>188</v>
      </c>
      <c r="F34" s="6" t="e">
        <f>VLOOKUP(A34,'Statement base'!E:AO,10,0)+VLOOKUP(A34,'Statement base'!E:AO,14,0)</f>
        <v>#N/A</v>
      </c>
      <c r="G34" s="61" t="e">
        <f>VLOOKUP(A34,'Clientes CBOT'!A:E,5,0)</f>
        <v>#N/A</v>
      </c>
      <c r="H34" t="str">
        <f t="shared" si="1"/>
        <v>Hard</v>
      </c>
      <c r="I34" s="6" t="e">
        <f t="shared" si="0"/>
        <v>#N/A</v>
      </c>
      <c r="J34" s="6" t="e">
        <f t="shared" si="2"/>
        <v>#N/A</v>
      </c>
      <c r="M34" s="64" t="s">
        <v>234</v>
      </c>
      <c r="N34" s="123">
        <v>0</v>
      </c>
    </row>
    <row r="35" spans="1:14" x14ac:dyDescent="0.3">
      <c r="A35" s="61">
        <v>0</v>
      </c>
      <c r="B35" t="e">
        <f>VLOOKUP(A35,'Clientes CBOT'!A:D,4,0)</f>
        <v>#N/A</v>
      </c>
      <c r="C35" s="7" t="e">
        <f>VLOOKUP(A35,'Statement base'!E:AO,21,0)</f>
        <v>#N/A</v>
      </c>
      <c r="D35" s="7" t="e">
        <f>VLOOKUP(A35,'Statement base'!E:AO,10,0)-VLOOKUP(A35,'Statement base'!E:AO,21,0)</f>
        <v>#N/A</v>
      </c>
      <c r="E35" t="s">
        <v>188</v>
      </c>
      <c r="F35" s="6" t="e">
        <f>VLOOKUP(A35,'Statement base'!E:AO,10,0)+VLOOKUP(A35,'Statement base'!E:AO,14,0)</f>
        <v>#N/A</v>
      </c>
      <c r="G35" s="61" t="e">
        <f>VLOOKUP(A35,'Clientes CBOT'!A:E,5,0)</f>
        <v>#N/A</v>
      </c>
      <c r="H35" t="str">
        <f t="shared" si="1"/>
        <v>Hard</v>
      </c>
      <c r="I35" s="6" t="e">
        <f t="shared" si="0"/>
        <v>#N/A</v>
      </c>
      <c r="J35" s="6" t="e">
        <f t="shared" si="2"/>
        <v>#N/A</v>
      </c>
      <c r="M35" s="64" t="s">
        <v>235</v>
      </c>
      <c r="N35" s="123">
        <v>0</v>
      </c>
    </row>
    <row r="36" spans="1:14" x14ac:dyDescent="0.3">
      <c r="A36" s="61">
        <v>0</v>
      </c>
      <c r="B36" t="e">
        <f>VLOOKUP(A36,'Clientes CBOT'!A:D,4,0)</f>
        <v>#N/A</v>
      </c>
      <c r="C36" s="7" t="e">
        <f>VLOOKUP(A36,'Statement base'!E:AO,21,0)</f>
        <v>#N/A</v>
      </c>
      <c r="D36" s="7" t="e">
        <f>VLOOKUP(A36,'Statement base'!E:AO,10,0)-VLOOKUP(A36,'Statement base'!E:AO,21,0)</f>
        <v>#N/A</v>
      </c>
      <c r="E36" t="s">
        <v>188</v>
      </c>
      <c r="F36" s="6" t="e">
        <f>VLOOKUP(A36,'Statement base'!E:AO,10,0)+VLOOKUP(A36,'Statement base'!E:AO,14,0)</f>
        <v>#N/A</v>
      </c>
      <c r="G36" s="61" t="e">
        <f>VLOOKUP(A36,'Clientes CBOT'!A:E,5,0)</f>
        <v>#N/A</v>
      </c>
      <c r="H36" t="str">
        <f t="shared" si="1"/>
        <v>Hard</v>
      </c>
      <c r="I36" s="6" t="e">
        <f t="shared" si="0"/>
        <v>#N/A</v>
      </c>
      <c r="J36" s="6" t="e">
        <f t="shared" si="2"/>
        <v>#N/A</v>
      </c>
      <c r="M36" s="64" t="s">
        <v>238</v>
      </c>
      <c r="N36" s="123">
        <v>-645416497.01999998</v>
      </c>
    </row>
    <row r="37" spans="1:14" x14ac:dyDescent="0.3">
      <c r="A37" s="61">
        <v>0</v>
      </c>
      <c r="B37" t="e">
        <f>VLOOKUP(A37,'Clientes CBOT'!A:D,4,0)</f>
        <v>#N/A</v>
      </c>
      <c r="C37" s="7" t="e">
        <f>VLOOKUP(A37,'Statement base'!E:AO,21,0)</f>
        <v>#N/A</v>
      </c>
      <c r="D37" s="7" t="e">
        <f>VLOOKUP(A37,'Statement base'!E:AO,10,0)-VLOOKUP(A37,'Statement base'!E:AO,21,0)</f>
        <v>#N/A</v>
      </c>
      <c r="E37" t="s">
        <v>188</v>
      </c>
      <c r="F37" s="6" t="e">
        <f>VLOOKUP(A37,'Statement base'!E:AO,10,0)+VLOOKUP(A37,'Statement base'!E:AO,14,0)</f>
        <v>#N/A</v>
      </c>
      <c r="G37" s="61" t="e">
        <f>VLOOKUP(A37,'Clientes CBOT'!A:E,5,0)</f>
        <v>#N/A</v>
      </c>
      <c r="H37" t="str">
        <f t="shared" si="1"/>
        <v>Hard</v>
      </c>
      <c r="I37" s="6" t="e">
        <f t="shared" si="0"/>
        <v>#N/A</v>
      </c>
      <c r="J37" s="6" t="e">
        <f t="shared" si="2"/>
        <v>#N/A</v>
      </c>
      <c r="M37" s="64" t="s">
        <v>239</v>
      </c>
      <c r="N37" s="123">
        <v>-13319424.199999999</v>
      </c>
    </row>
    <row r="38" spans="1:14" x14ac:dyDescent="0.3">
      <c r="A38" s="61">
        <v>0</v>
      </c>
      <c r="B38" t="e">
        <f>VLOOKUP(A38,'Clientes CBOT'!A:D,4,0)</f>
        <v>#N/A</v>
      </c>
      <c r="C38" s="7" t="e">
        <f>VLOOKUP(A38,'Statement base'!E:AO,21,0)</f>
        <v>#N/A</v>
      </c>
      <c r="D38" s="7" t="e">
        <f>VLOOKUP(A38,'Statement base'!E:AO,10,0)-VLOOKUP(A38,'Statement base'!E:AO,21,0)</f>
        <v>#N/A</v>
      </c>
      <c r="E38" t="s">
        <v>188</v>
      </c>
      <c r="F38" s="6" t="e">
        <f>VLOOKUP(A38,'Statement base'!E:AO,10,0)+VLOOKUP(A38,'Statement base'!E:AO,14,0)</f>
        <v>#N/A</v>
      </c>
      <c r="G38" s="61" t="e">
        <f>VLOOKUP(A38,'Clientes CBOT'!A:E,5,0)</f>
        <v>#N/A</v>
      </c>
      <c r="H38" t="str">
        <f t="shared" si="1"/>
        <v>Hard</v>
      </c>
      <c r="I38" s="6" t="e">
        <f t="shared" si="0"/>
        <v>#N/A</v>
      </c>
      <c r="J38" s="6" t="e">
        <f t="shared" si="2"/>
        <v>#N/A</v>
      </c>
      <c r="M38" s="64" t="s">
        <v>242</v>
      </c>
      <c r="N38" s="123">
        <v>-19010.61</v>
      </c>
    </row>
    <row r="39" spans="1:14" x14ac:dyDescent="0.3">
      <c r="A39" s="61">
        <v>0</v>
      </c>
      <c r="B39" t="e">
        <f>VLOOKUP(A39,'Clientes CBOT'!A:D,4,0)</f>
        <v>#N/A</v>
      </c>
      <c r="C39" s="7" t="e">
        <f>VLOOKUP(A39,'Statement base'!E:AO,21,0)</f>
        <v>#N/A</v>
      </c>
      <c r="D39" s="7" t="e">
        <f>VLOOKUP(A39,'Statement base'!E:AO,10,0)-VLOOKUP(A39,'Statement base'!E:AO,21,0)</f>
        <v>#N/A</v>
      </c>
      <c r="E39" t="s">
        <v>188</v>
      </c>
      <c r="F39" s="6" t="e">
        <f>VLOOKUP(A39,'Statement base'!E:AO,10,0)+VLOOKUP(A39,'Statement base'!E:AO,14,0)</f>
        <v>#N/A</v>
      </c>
      <c r="G39" s="61" t="e">
        <f>VLOOKUP(A39,'Clientes CBOT'!A:E,5,0)</f>
        <v>#N/A</v>
      </c>
      <c r="H39" t="str">
        <f t="shared" si="1"/>
        <v>Hard</v>
      </c>
      <c r="I39" s="6" t="e">
        <f t="shared" si="0"/>
        <v>#N/A</v>
      </c>
      <c r="J39" s="6" t="e">
        <f t="shared" si="2"/>
        <v>#N/A</v>
      </c>
      <c r="M39" s="64" t="s">
        <v>246</v>
      </c>
      <c r="N39" s="123">
        <v>0</v>
      </c>
    </row>
    <row r="40" spans="1:14" x14ac:dyDescent="0.3">
      <c r="A40" s="61">
        <v>0</v>
      </c>
      <c r="B40" t="e">
        <f>VLOOKUP(A40,'Clientes CBOT'!A:D,4,0)</f>
        <v>#N/A</v>
      </c>
      <c r="C40" s="7" t="e">
        <f>VLOOKUP(A40,'Statement base'!E:AO,21,0)</f>
        <v>#N/A</v>
      </c>
      <c r="D40" s="7" t="e">
        <f>VLOOKUP(A40,'Statement base'!E:AO,10,0)-VLOOKUP(A40,'Statement base'!E:AO,21,0)</f>
        <v>#N/A</v>
      </c>
      <c r="E40" t="s">
        <v>188</v>
      </c>
      <c r="F40" s="6" t="e">
        <f>VLOOKUP(A40,'Statement base'!E:AO,10,0)+VLOOKUP(A40,'Statement base'!E:AO,14,0)</f>
        <v>#N/A</v>
      </c>
      <c r="G40" s="61" t="e">
        <f>VLOOKUP(A40,'Clientes CBOT'!A:E,5,0)</f>
        <v>#N/A</v>
      </c>
      <c r="H40" t="str">
        <f t="shared" si="1"/>
        <v>Hard</v>
      </c>
      <c r="I40" s="6" t="e">
        <f t="shared" si="0"/>
        <v>#N/A</v>
      </c>
      <c r="J40" s="6" t="e">
        <f t="shared" si="2"/>
        <v>#N/A</v>
      </c>
      <c r="M40" s="64" t="s">
        <v>247</v>
      </c>
      <c r="N40" s="123">
        <v>0</v>
      </c>
    </row>
    <row r="41" spans="1:14" x14ac:dyDescent="0.3">
      <c r="A41" s="61">
        <v>0</v>
      </c>
      <c r="B41" t="e">
        <f>VLOOKUP(A41,'Clientes CBOT'!A:D,4,0)</f>
        <v>#N/A</v>
      </c>
      <c r="C41" s="7" t="e">
        <f>VLOOKUP(A41,'Statement base'!E:AO,21,0)</f>
        <v>#N/A</v>
      </c>
      <c r="D41" s="7" t="e">
        <f>VLOOKUP(A41,'Statement base'!E:AO,10,0)-VLOOKUP(A41,'Statement base'!E:AO,21,0)</f>
        <v>#N/A</v>
      </c>
      <c r="E41" t="s">
        <v>188</v>
      </c>
      <c r="F41" s="6" t="e">
        <f>VLOOKUP(A41,'Statement base'!E:AO,10,0)+VLOOKUP(A41,'Statement base'!E:AO,14,0)</f>
        <v>#N/A</v>
      </c>
      <c r="G41" s="61" t="e">
        <f>VLOOKUP(A41,'Clientes CBOT'!A:E,5,0)</f>
        <v>#N/A</v>
      </c>
      <c r="H41" t="str">
        <f t="shared" si="1"/>
        <v>Hard</v>
      </c>
      <c r="I41" s="6" t="e">
        <f t="shared" si="0"/>
        <v>#N/A</v>
      </c>
      <c r="J41" s="6" t="e">
        <f t="shared" si="2"/>
        <v>#N/A</v>
      </c>
      <c r="M41" s="64" t="s">
        <v>248</v>
      </c>
      <c r="N41" s="123">
        <v>1337.25</v>
      </c>
    </row>
    <row r="42" spans="1:14" x14ac:dyDescent="0.3">
      <c r="A42">
        <v>0</v>
      </c>
      <c r="B42" t="e">
        <f>VLOOKUP(A42,'Clientes CBOT'!A:D,4,0)</f>
        <v>#N/A</v>
      </c>
      <c r="C42" s="7" t="e">
        <f>VLOOKUP(A42,'Statement base'!E:AO,21,0)</f>
        <v>#N/A</v>
      </c>
      <c r="D42" s="7" t="e">
        <f>VLOOKUP(A42,'Statement base'!E:AO,10,0)-VLOOKUP(A42,'Statement base'!E:AO,21,0)</f>
        <v>#N/A</v>
      </c>
      <c r="E42" t="s">
        <v>188</v>
      </c>
      <c r="F42" s="6" t="e">
        <f>VLOOKUP(A42,'Statement base'!E:AO,10,0)+VLOOKUP(A42,'Statement base'!E:AO,14,0)</f>
        <v>#N/A</v>
      </c>
      <c r="G42" s="61" t="e">
        <f>VLOOKUP(A42,'Clientes CBOT'!A:E,5,0)</f>
        <v>#N/A</v>
      </c>
      <c r="H42" t="str">
        <f t="shared" si="1"/>
        <v>Hard</v>
      </c>
      <c r="I42" s="6" t="e">
        <f t="shared" si="0"/>
        <v>#N/A</v>
      </c>
      <c r="J42" s="6" t="e">
        <f t="shared" si="2"/>
        <v>#N/A</v>
      </c>
      <c r="M42" s="64" t="s">
        <v>249</v>
      </c>
      <c r="N42" s="123">
        <v>0</v>
      </c>
    </row>
    <row r="43" spans="1:14" x14ac:dyDescent="0.3">
      <c r="A43">
        <v>0</v>
      </c>
      <c r="B43" t="e">
        <f>VLOOKUP(A43,'Clientes CBOT'!A:D,4,0)</f>
        <v>#N/A</v>
      </c>
      <c r="C43" s="7" t="e">
        <f>VLOOKUP(A43,'Statement base'!E:AO,21,0)</f>
        <v>#N/A</v>
      </c>
      <c r="D43" s="7" t="e">
        <f>VLOOKUP(A43,'Statement base'!E:AO,10,0)-VLOOKUP(A43,'Statement base'!E:AO,21,0)</f>
        <v>#N/A</v>
      </c>
      <c r="E43" t="s">
        <v>188</v>
      </c>
      <c r="F43" s="6" t="e">
        <f>VLOOKUP(A43,'Statement base'!E:AO,10,0)+VLOOKUP(A43,'Statement base'!E:AO,14,0)</f>
        <v>#N/A</v>
      </c>
      <c r="G43" s="61" t="e">
        <f>VLOOKUP(A43,'Clientes CBOT'!A:E,5,0)</f>
        <v>#N/A</v>
      </c>
      <c r="H43" t="str">
        <f t="shared" si="1"/>
        <v>Hard</v>
      </c>
      <c r="I43" s="6" t="e">
        <f t="shared" si="0"/>
        <v>#N/A</v>
      </c>
      <c r="J43" s="6" t="e">
        <f t="shared" si="2"/>
        <v>#N/A</v>
      </c>
      <c r="M43" s="64" t="s">
        <v>252</v>
      </c>
      <c r="N43" s="123">
        <v>-1477351420.5599999</v>
      </c>
    </row>
    <row r="44" spans="1:14" x14ac:dyDescent="0.3">
      <c r="A44">
        <v>0</v>
      </c>
      <c r="B44" t="e">
        <f>VLOOKUP(A44,'Clientes CBOT'!A:D,4,0)</f>
        <v>#N/A</v>
      </c>
      <c r="C44" s="7" t="e">
        <f>VLOOKUP(A44,'Statement base'!E:AO,21,0)</f>
        <v>#N/A</v>
      </c>
      <c r="D44" s="7" t="e">
        <f>VLOOKUP(A44,'Statement base'!E:AO,10,0)-VLOOKUP(A44,'Statement base'!E:AO,21,0)</f>
        <v>#N/A</v>
      </c>
      <c r="E44" t="s">
        <v>188</v>
      </c>
      <c r="F44" s="6" t="e">
        <f>VLOOKUP(A44,'Statement base'!E:AO,10,0)+VLOOKUP(A44,'Statement base'!E:AO,14,0)</f>
        <v>#N/A</v>
      </c>
      <c r="G44" s="61" t="e">
        <f>VLOOKUP(A44,'Clientes CBOT'!A:E,5,0)</f>
        <v>#N/A</v>
      </c>
      <c r="H44" t="str">
        <f t="shared" si="1"/>
        <v>Hard</v>
      </c>
      <c r="I44" s="6" t="e">
        <f t="shared" si="0"/>
        <v>#N/A</v>
      </c>
      <c r="J44" s="6" t="e">
        <f t="shared" si="2"/>
        <v>#N/A</v>
      </c>
      <c r="M44" s="64" t="s">
        <v>253</v>
      </c>
      <c r="N44" s="123">
        <v>0</v>
      </c>
    </row>
    <row r="45" spans="1:14" x14ac:dyDescent="0.3">
      <c r="A45">
        <v>0</v>
      </c>
      <c r="B45" t="e">
        <f>VLOOKUP(A45,'Clientes CBOT'!A:D,4,0)</f>
        <v>#N/A</v>
      </c>
      <c r="C45" s="7" t="e">
        <f>VLOOKUP(A45,'Statement base'!E:AO,21,0)</f>
        <v>#N/A</v>
      </c>
      <c r="D45" s="7" t="e">
        <f>VLOOKUP(A45,'Statement base'!E:AO,10,0)-VLOOKUP(A45,'Statement base'!E:AO,21,0)</f>
        <v>#N/A</v>
      </c>
      <c r="E45" t="s">
        <v>188</v>
      </c>
      <c r="F45" s="6" t="e">
        <f>VLOOKUP(A45,'Statement base'!E:AO,10,0)+VLOOKUP(A45,'Statement base'!E:AO,14,0)</f>
        <v>#N/A</v>
      </c>
      <c r="G45" s="61" t="e">
        <f>VLOOKUP(A45,'Clientes CBOT'!A:E,5,0)</f>
        <v>#N/A</v>
      </c>
      <c r="H45" t="str">
        <f t="shared" si="1"/>
        <v>Hard</v>
      </c>
      <c r="I45" s="6" t="e">
        <f t="shared" si="0"/>
        <v>#N/A</v>
      </c>
      <c r="J45" s="6" t="e">
        <f t="shared" si="2"/>
        <v>#N/A</v>
      </c>
      <c r="M45" s="64" t="s">
        <v>256</v>
      </c>
      <c r="N45" s="123">
        <v>1780.96</v>
      </c>
    </row>
    <row r="46" spans="1:14" x14ac:dyDescent="0.3">
      <c r="A46">
        <v>0</v>
      </c>
      <c r="B46" t="e">
        <f>VLOOKUP(A46,'Clientes CBOT'!A:D,4,0)</f>
        <v>#N/A</v>
      </c>
      <c r="C46" s="7" t="e">
        <f>VLOOKUP(A46,'Statement base'!E:AO,21,0)</f>
        <v>#N/A</v>
      </c>
      <c r="D46" s="7" t="e">
        <f>VLOOKUP(A46,'Statement base'!E:AO,10,0)-VLOOKUP(A46,'Statement base'!E:AO,21,0)</f>
        <v>#N/A</v>
      </c>
      <c r="E46" t="s">
        <v>188</v>
      </c>
      <c r="F46" s="6" t="e">
        <f>VLOOKUP(A46,'Statement base'!E:AO,10,0)+VLOOKUP(A46,'Statement base'!E:AO,14,0)</f>
        <v>#N/A</v>
      </c>
      <c r="G46" s="61" t="e">
        <f>VLOOKUP(A46,'Clientes CBOT'!A:E,5,0)</f>
        <v>#N/A</v>
      </c>
      <c r="H46" t="str">
        <f t="shared" si="1"/>
        <v>Hard</v>
      </c>
      <c r="I46" s="6" t="e">
        <f t="shared" si="0"/>
        <v>#N/A</v>
      </c>
      <c r="J46" s="6" t="e">
        <f t="shared" si="2"/>
        <v>#N/A</v>
      </c>
      <c r="M46" s="64" t="s">
        <v>257</v>
      </c>
      <c r="N46" s="123">
        <v>0</v>
      </c>
    </row>
    <row r="47" spans="1:14" x14ac:dyDescent="0.3">
      <c r="A47">
        <v>0</v>
      </c>
      <c r="B47" t="e">
        <f>VLOOKUP(A47,'Clientes CBOT'!A:D,4,0)</f>
        <v>#N/A</v>
      </c>
      <c r="C47" s="7" t="e">
        <f>VLOOKUP(A47,'Statement base'!E:AO,21,0)</f>
        <v>#N/A</v>
      </c>
      <c r="D47" s="7" t="e">
        <f>VLOOKUP(A47,'Statement base'!E:AO,10,0)-VLOOKUP(A47,'Statement base'!E:AO,21,0)</f>
        <v>#N/A</v>
      </c>
      <c r="E47" t="s">
        <v>188</v>
      </c>
      <c r="F47" s="6" t="e">
        <f>VLOOKUP(A47,'Statement base'!E:AO,10,0)+VLOOKUP(A47,'Statement base'!E:AO,14,0)</f>
        <v>#N/A</v>
      </c>
      <c r="G47" s="61" t="e">
        <f>VLOOKUP(A47,'Clientes CBOT'!A:E,5,0)</f>
        <v>#N/A</v>
      </c>
      <c r="H47" t="str">
        <f t="shared" si="1"/>
        <v>Hard</v>
      </c>
      <c r="I47" s="6" t="e">
        <f t="shared" si="0"/>
        <v>#N/A</v>
      </c>
      <c r="J47" s="6" t="e">
        <f t="shared" si="2"/>
        <v>#N/A</v>
      </c>
      <c r="M47" s="64" t="s">
        <v>259</v>
      </c>
      <c r="N47" s="123">
        <v>0</v>
      </c>
    </row>
    <row r="48" spans="1:14" x14ac:dyDescent="0.3">
      <c r="A48">
        <v>0</v>
      </c>
      <c r="B48" t="e">
        <f>VLOOKUP(A48,'Clientes CBOT'!A:D,4,0)</f>
        <v>#N/A</v>
      </c>
      <c r="C48" s="7" t="e">
        <f>VLOOKUP(A48,'Statement base'!E:AO,21,0)</f>
        <v>#N/A</v>
      </c>
      <c r="D48" s="7" t="e">
        <f>VLOOKUP(A48,'Statement base'!E:AO,10,0)-VLOOKUP(A48,'Statement base'!E:AO,21,0)</f>
        <v>#N/A</v>
      </c>
      <c r="E48" t="s">
        <v>188</v>
      </c>
      <c r="F48" s="6" t="e">
        <f>VLOOKUP(A48,'Statement base'!E:AO,10,0)+VLOOKUP(A48,'Statement base'!E:AO,14,0)</f>
        <v>#N/A</v>
      </c>
      <c r="G48" s="61" t="e">
        <f>VLOOKUP(A48,'Clientes CBOT'!A:E,5,0)</f>
        <v>#N/A</v>
      </c>
      <c r="H48" t="str">
        <f t="shared" si="1"/>
        <v>Hard</v>
      </c>
      <c r="I48" s="6" t="e">
        <f t="shared" si="0"/>
        <v>#N/A</v>
      </c>
      <c r="J48" s="6" t="e">
        <f t="shared" si="2"/>
        <v>#N/A</v>
      </c>
      <c r="M48" s="64" t="s">
        <v>260</v>
      </c>
      <c r="N48" s="123">
        <v>0</v>
      </c>
    </row>
    <row r="49" spans="1:14" x14ac:dyDescent="0.3">
      <c r="A49">
        <v>0</v>
      </c>
      <c r="B49" t="e">
        <f>VLOOKUP(A49,'Clientes CBOT'!A:D,4,0)</f>
        <v>#N/A</v>
      </c>
      <c r="C49" s="7" t="e">
        <f>VLOOKUP(A49,'Statement base'!E:AO,21,0)</f>
        <v>#N/A</v>
      </c>
      <c r="D49" s="7" t="e">
        <f>VLOOKUP(A49,'Statement base'!E:AO,10,0)-VLOOKUP(A49,'Statement base'!E:AO,21,0)</f>
        <v>#N/A</v>
      </c>
      <c r="E49" t="s">
        <v>188</v>
      </c>
      <c r="F49" s="6" t="e">
        <f>VLOOKUP(A49,'Statement base'!E:AO,10,0)+VLOOKUP(A49,'Statement base'!E:AO,14,0)</f>
        <v>#N/A</v>
      </c>
      <c r="G49" s="61" t="e">
        <f>VLOOKUP(A49,'Clientes CBOT'!A:E,5,0)</f>
        <v>#N/A</v>
      </c>
      <c r="H49" t="str">
        <f t="shared" si="1"/>
        <v>Hard</v>
      </c>
      <c r="I49" s="6" t="e">
        <f t="shared" si="0"/>
        <v>#N/A</v>
      </c>
      <c r="J49" s="6" t="e">
        <f t="shared" si="2"/>
        <v>#N/A</v>
      </c>
      <c r="M49" s="64" t="s">
        <v>262</v>
      </c>
      <c r="N49" s="123">
        <v>-0.12000000000000001</v>
      </c>
    </row>
    <row r="50" spans="1:14" x14ac:dyDescent="0.3">
      <c r="A50">
        <v>0</v>
      </c>
      <c r="B50" t="e">
        <f>VLOOKUP(A50,'Clientes CBOT'!A:D,4,0)</f>
        <v>#N/A</v>
      </c>
      <c r="C50" s="7" t="e">
        <f>VLOOKUP(A50,'Statement base'!E:AO,21,0)</f>
        <v>#N/A</v>
      </c>
      <c r="D50" s="7" t="e">
        <f>VLOOKUP(A50,'Statement base'!E:AO,10,0)-VLOOKUP(A50,'Statement base'!E:AO,21,0)</f>
        <v>#N/A</v>
      </c>
      <c r="E50" t="s">
        <v>188</v>
      </c>
      <c r="F50" s="6" t="e">
        <f>VLOOKUP(A50,'Statement base'!E:AO,10,0)+VLOOKUP(A50,'Statement base'!E:AO,14,0)</f>
        <v>#N/A</v>
      </c>
      <c r="G50" s="61" t="e">
        <f>VLOOKUP(A50,'Clientes CBOT'!A:E,5,0)</f>
        <v>#N/A</v>
      </c>
      <c r="H50" t="str">
        <f t="shared" si="1"/>
        <v>Hard</v>
      </c>
      <c r="I50" s="6" t="e">
        <f t="shared" si="0"/>
        <v>#N/A</v>
      </c>
      <c r="J50" s="6" t="e">
        <f t="shared" si="2"/>
        <v>#N/A</v>
      </c>
      <c r="M50" s="64" t="s">
        <v>263</v>
      </c>
      <c r="N50" s="123">
        <v>-27960.15</v>
      </c>
    </row>
    <row r="51" spans="1:14" x14ac:dyDescent="0.3">
      <c r="A51">
        <v>0</v>
      </c>
      <c r="B51" t="e">
        <f>VLOOKUP(A51,'Clientes CBOT'!A:D,4,0)</f>
        <v>#N/A</v>
      </c>
      <c r="C51" s="7" t="e">
        <f>VLOOKUP(A51,'Statement base'!E:AO,21,0)</f>
        <v>#N/A</v>
      </c>
      <c r="D51" s="7" t="e">
        <f>VLOOKUP(A51,'Statement base'!E:AO,10,0)-VLOOKUP(A51,'Statement base'!E:AO,21,0)</f>
        <v>#N/A</v>
      </c>
      <c r="E51" t="s">
        <v>188</v>
      </c>
      <c r="F51" s="6" t="e">
        <f>VLOOKUP(A51,'Statement base'!E:AO,10,0)+VLOOKUP(A51,'Statement base'!E:AO,14,0)</f>
        <v>#N/A</v>
      </c>
      <c r="G51" s="61" t="e">
        <f>VLOOKUP(A51,'Clientes CBOT'!A:E,5,0)</f>
        <v>#N/A</v>
      </c>
      <c r="H51" t="str">
        <f t="shared" si="1"/>
        <v>Hard</v>
      </c>
      <c r="I51" s="6" t="e">
        <f t="shared" si="0"/>
        <v>#N/A</v>
      </c>
      <c r="J51" s="6" t="e">
        <f t="shared" si="2"/>
        <v>#N/A</v>
      </c>
      <c r="M51" s="64" t="s">
        <v>264</v>
      </c>
      <c r="N51" s="123">
        <v>-0.65</v>
      </c>
    </row>
    <row r="52" spans="1:14" x14ac:dyDescent="0.3">
      <c r="A52">
        <v>0</v>
      </c>
      <c r="B52" t="e">
        <f>VLOOKUP(A52,'Clientes CBOT'!A:D,4,0)</f>
        <v>#N/A</v>
      </c>
      <c r="C52" s="7" t="e">
        <f>VLOOKUP(A52,'Statement base'!E:AO,21,0)</f>
        <v>#N/A</v>
      </c>
      <c r="D52" s="7" t="e">
        <f>VLOOKUP(A52,'Statement base'!E:AO,10,0)-VLOOKUP(A52,'Statement base'!E:AO,21,0)</f>
        <v>#N/A</v>
      </c>
      <c r="E52" t="s">
        <v>188</v>
      </c>
      <c r="F52" s="6" t="e">
        <f>VLOOKUP(A52,'Statement base'!E:AO,10,0)+VLOOKUP(A52,'Statement base'!E:AO,14,0)</f>
        <v>#N/A</v>
      </c>
      <c r="G52" s="61" t="e">
        <f>VLOOKUP(A52,'Clientes CBOT'!A:E,5,0)</f>
        <v>#N/A</v>
      </c>
      <c r="H52" t="str">
        <f t="shared" si="1"/>
        <v>Hard</v>
      </c>
      <c r="I52" s="6" t="e">
        <f t="shared" si="0"/>
        <v>#N/A</v>
      </c>
      <c r="J52" s="6" t="e">
        <f t="shared" si="2"/>
        <v>#N/A</v>
      </c>
      <c r="M52" s="64" t="s">
        <v>265</v>
      </c>
      <c r="N52" s="123">
        <v>0</v>
      </c>
    </row>
    <row r="53" spans="1:14" x14ac:dyDescent="0.3">
      <c r="A53">
        <v>0</v>
      </c>
      <c r="B53" t="e">
        <f>VLOOKUP(A53,'Clientes CBOT'!A:D,4,0)</f>
        <v>#N/A</v>
      </c>
      <c r="C53" s="7" t="e">
        <f>VLOOKUP(A53,'Statement base'!E:AO,21,0)</f>
        <v>#N/A</v>
      </c>
      <c r="D53" s="7" t="e">
        <f>VLOOKUP(A53,'Statement base'!E:AO,10,0)-VLOOKUP(A53,'Statement base'!E:AO,21,0)</f>
        <v>#N/A</v>
      </c>
      <c r="E53" t="s">
        <v>188</v>
      </c>
      <c r="F53" s="6" t="e">
        <f>VLOOKUP(A53,'Statement base'!E:AO,10,0)+VLOOKUP(A53,'Statement base'!E:AO,14,0)</f>
        <v>#N/A</v>
      </c>
      <c r="G53" s="61" t="e">
        <f>VLOOKUP(A53,'Clientes CBOT'!A:E,5,0)</f>
        <v>#N/A</v>
      </c>
      <c r="H53" t="str">
        <f t="shared" si="1"/>
        <v>Hard</v>
      </c>
      <c r="I53" s="6" t="e">
        <f t="shared" si="0"/>
        <v>#N/A</v>
      </c>
      <c r="J53" s="6" t="e">
        <f t="shared" si="2"/>
        <v>#N/A</v>
      </c>
      <c r="M53" s="64" t="s">
        <v>267</v>
      </c>
      <c r="N53" s="123">
        <v>5168.87</v>
      </c>
    </row>
    <row r="54" spans="1:14" x14ac:dyDescent="0.3">
      <c r="A54">
        <v>0</v>
      </c>
      <c r="B54" t="e">
        <f>VLOOKUP(A54,'Clientes CBOT'!A:D,4,0)</f>
        <v>#N/A</v>
      </c>
      <c r="C54" s="7" t="e">
        <f>VLOOKUP(A54,'Statement base'!E:AO,21,0)</f>
        <v>#N/A</v>
      </c>
      <c r="D54" s="7" t="e">
        <f>VLOOKUP(A54,'Statement base'!E:AO,10,0)-VLOOKUP(A54,'Statement base'!E:AO,21,0)</f>
        <v>#N/A</v>
      </c>
      <c r="E54" t="s">
        <v>188</v>
      </c>
      <c r="F54" s="6" t="e">
        <f>VLOOKUP(A54,'Statement base'!E:AO,10,0)+VLOOKUP(A54,'Statement base'!E:AO,14,0)</f>
        <v>#N/A</v>
      </c>
      <c r="G54" s="61" t="e">
        <f>VLOOKUP(A54,'Clientes CBOT'!A:E,5,0)</f>
        <v>#N/A</v>
      </c>
      <c r="H54" t="str">
        <f t="shared" si="1"/>
        <v>Hard</v>
      </c>
      <c r="I54" s="6" t="e">
        <f t="shared" si="0"/>
        <v>#N/A</v>
      </c>
      <c r="J54" s="6" t="e">
        <f t="shared" si="2"/>
        <v>#N/A</v>
      </c>
      <c r="M54" s="64" t="s">
        <v>200</v>
      </c>
      <c r="N54" s="123">
        <v>-11548.88</v>
      </c>
    </row>
    <row r="55" spans="1:14" x14ac:dyDescent="0.3">
      <c r="A55">
        <v>0</v>
      </c>
      <c r="B55" t="e">
        <f>VLOOKUP(A55,'Clientes CBOT'!A:D,4,0)</f>
        <v>#N/A</v>
      </c>
      <c r="C55" s="7" t="e">
        <f>VLOOKUP(A55,'Statement base'!E:AO,21,0)</f>
        <v>#N/A</v>
      </c>
      <c r="D55" s="7" t="e">
        <f>VLOOKUP(A55,'Statement base'!E:AO,10,0)-VLOOKUP(A55,'Statement base'!E:AO,21,0)</f>
        <v>#N/A</v>
      </c>
      <c r="E55" t="s">
        <v>188</v>
      </c>
      <c r="F55" s="6" t="e">
        <f>VLOOKUP(A55,'Statement base'!E:AO,10,0)+VLOOKUP(A55,'Statement base'!E:AO,14,0)</f>
        <v>#N/A</v>
      </c>
      <c r="G55" s="61" t="e">
        <f>VLOOKUP(A55,'Clientes CBOT'!A:E,5,0)</f>
        <v>#N/A</v>
      </c>
      <c r="H55" t="str">
        <f t="shared" si="1"/>
        <v>Hard</v>
      </c>
      <c r="I55" s="6" t="e">
        <f t="shared" si="0"/>
        <v>#N/A</v>
      </c>
      <c r="J55" s="6" t="e">
        <f t="shared" si="2"/>
        <v>#N/A</v>
      </c>
      <c r="M55" s="64" t="s">
        <v>268</v>
      </c>
      <c r="N55" s="123">
        <v>20960.78</v>
      </c>
    </row>
    <row r="56" spans="1:14" x14ac:dyDescent="0.3">
      <c r="A56">
        <v>0</v>
      </c>
      <c r="B56" t="e">
        <f>VLOOKUP(A56,'Clientes CBOT'!A:D,4,0)</f>
        <v>#N/A</v>
      </c>
      <c r="C56" s="7" t="e">
        <f>VLOOKUP(A56,'Statement base'!E:AO,21,0)</f>
        <v>#N/A</v>
      </c>
      <c r="D56" s="7" t="e">
        <f>VLOOKUP(A56,'Statement base'!E:AO,10,0)-VLOOKUP(A56,'Statement base'!E:AO,21,0)</f>
        <v>#N/A</v>
      </c>
      <c r="E56" t="s">
        <v>188</v>
      </c>
      <c r="F56" s="6" t="e">
        <f>VLOOKUP(A56,'Statement base'!E:AO,10,0)+VLOOKUP(A56,'Statement base'!E:AO,14,0)</f>
        <v>#N/A</v>
      </c>
      <c r="G56" s="61" t="e">
        <f>VLOOKUP(A56,'Clientes CBOT'!A:E,5,0)</f>
        <v>#N/A</v>
      </c>
      <c r="H56" t="str">
        <f t="shared" si="1"/>
        <v>Hard</v>
      </c>
      <c r="I56" s="6" t="e">
        <f t="shared" si="0"/>
        <v>#N/A</v>
      </c>
      <c r="J56" s="6" t="e">
        <f t="shared" si="2"/>
        <v>#N/A</v>
      </c>
      <c r="M56" s="64" t="s">
        <v>269</v>
      </c>
      <c r="N56" s="123">
        <v>-56515.05</v>
      </c>
    </row>
    <row r="57" spans="1:14" x14ac:dyDescent="0.3">
      <c r="A57">
        <v>0</v>
      </c>
      <c r="B57" t="e">
        <f>VLOOKUP(A57,'Clientes CBOT'!A:D,4,0)</f>
        <v>#N/A</v>
      </c>
      <c r="C57" s="7" t="e">
        <f>VLOOKUP(A57,'Statement base'!E:AO,21,0)</f>
        <v>#N/A</v>
      </c>
      <c r="D57" s="7" t="e">
        <f>VLOOKUP(A57,'Statement base'!E:AO,10,0)-VLOOKUP(A57,'Statement base'!E:AO,21,0)</f>
        <v>#N/A</v>
      </c>
      <c r="E57" t="s">
        <v>188</v>
      </c>
      <c r="F57" s="6" t="e">
        <f>VLOOKUP(A57,'Statement base'!E:AO,10,0)+VLOOKUP(A57,'Statement base'!E:AO,14,0)</f>
        <v>#N/A</v>
      </c>
      <c r="G57" s="61" t="e">
        <f>VLOOKUP(A57,'Clientes CBOT'!A:E,5,0)</f>
        <v>#N/A</v>
      </c>
      <c r="H57" t="str">
        <f t="shared" si="1"/>
        <v>Hard</v>
      </c>
      <c r="I57" s="6" t="e">
        <f t="shared" si="0"/>
        <v>#N/A</v>
      </c>
      <c r="J57" s="6" t="e">
        <f t="shared" si="2"/>
        <v>#N/A</v>
      </c>
      <c r="M57" s="64" t="s">
        <v>271</v>
      </c>
      <c r="N57" s="123">
        <v>-32613.17</v>
      </c>
    </row>
    <row r="58" spans="1:14" x14ac:dyDescent="0.3">
      <c r="A58">
        <v>0</v>
      </c>
      <c r="B58" t="e">
        <f>VLOOKUP(A58,'Clientes CBOT'!A:D,4,0)</f>
        <v>#N/A</v>
      </c>
      <c r="C58" s="7" t="e">
        <f>VLOOKUP(A58,'Statement base'!E:AO,21,0)</f>
        <v>#N/A</v>
      </c>
      <c r="D58" s="7" t="e">
        <f>VLOOKUP(A58,'Statement base'!E:AO,10,0)-VLOOKUP(A58,'Statement base'!E:AO,21,0)</f>
        <v>#N/A</v>
      </c>
      <c r="E58" t="s">
        <v>188</v>
      </c>
      <c r="F58" s="6" t="e">
        <f>VLOOKUP(A58,'Statement base'!E:AO,10,0)+VLOOKUP(A58,'Statement base'!E:AO,14,0)</f>
        <v>#N/A</v>
      </c>
      <c r="G58" s="61" t="e">
        <f>VLOOKUP(A58,'Clientes CBOT'!A:E,5,0)</f>
        <v>#N/A</v>
      </c>
      <c r="H58" t="str">
        <f t="shared" si="1"/>
        <v>Hard</v>
      </c>
      <c r="I58" s="6" t="e">
        <f t="shared" si="0"/>
        <v>#N/A</v>
      </c>
      <c r="J58" s="6" t="e">
        <f t="shared" si="2"/>
        <v>#N/A</v>
      </c>
      <c r="M58" s="64" t="s">
        <v>272</v>
      </c>
      <c r="N58" s="123">
        <v>0</v>
      </c>
    </row>
    <row r="59" spans="1:14" x14ac:dyDescent="0.3">
      <c r="A59">
        <v>0</v>
      </c>
      <c r="B59" t="e">
        <f>VLOOKUP(A59,'Clientes CBOT'!A:D,4,0)</f>
        <v>#N/A</v>
      </c>
      <c r="C59" s="7" t="e">
        <f>VLOOKUP(A59,'Statement base'!E:AO,21,0)</f>
        <v>#N/A</v>
      </c>
      <c r="D59" s="7" t="e">
        <f>VLOOKUP(A59,'Statement base'!E:AO,10,0)-VLOOKUP(A59,'Statement base'!E:AO,21,0)</f>
        <v>#N/A</v>
      </c>
      <c r="E59" t="s">
        <v>188</v>
      </c>
      <c r="F59" s="6" t="e">
        <f>VLOOKUP(A59,'Statement base'!E:AO,10,0)+VLOOKUP(A59,'Statement base'!E:AO,14,0)</f>
        <v>#N/A</v>
      </c>
      <c r="G59" s="61" t="e">
        <f>VLOOKUP(A59,'Clientes CBOT'!A:E,5,0)</f>
        <v>#N/A</v>
      </c>
      <c r="H59" t="str">
        <f t="shared" si="1"/>
        <v>Hard</v>
      </c>
      <c r="I59" s="6" t="e">
        <f t="shared" si="0"/>
        <v>#N/A</v>
      </c>
      <c r="J59" s="6" t="e">
        <f t="shared" si="2"/>
        <v>#N/A</v>
      </c>
      <c r="M59" s="64" t="s">
        <v>273</v>
      </c>
      <c r="N59" s="123">
        <v>-129388.89</v>
      </c>
    </row>
    <row r="60" spans="1:14" x14ac:dyDescent="0.3">
      <c r="A60">
        <v>0</v>
      </c>
      <c r="B60" t="e">
        <f>VLOOKUP(A60,'Clientes CBOT'!A:D,4,0)</f>
        <v>#N/A</v>
      </c>
      <c r="C60" s="7" t="e">
        <f>VLOOKUP(A60,'Statement base'!E:AO,21,0)</f>
        <v>#N/A</v>
      </c>
      <c r="D60" s="7" t="e">
        <f>VLOOKUP(A60,'Statement base'!E:AO,10,0)-VLOOKUP(A60,'Statement base'!E:AO,21,0)</f>
        <v>#N/A</v>
      </c>
      <c r="E60" t="s">
        <v>188</v>
      </c>
      <c r="F60" s="6" t="e">
        <f>VLOOKUP(A60,'Statement base'!E:AO,10,0)+VLOOKUP(A60,'Statement base'!E:AO,14,0)</f>
        <v>#N/A</v>
      </c>
      <c r="G60" s="61" t="e">
        <f>VLOOKUP(A60,'Clientes CBOT'!A:E,5,0)</f>
        <v>#N/A</v>
      </c>
      <c r="H60" t="str">
        <f t="shared" si="1"/>
        <v>Hard</v>
      </c>
      <c r="I60" s="6" t="e">
        <f t="shared" si="0"/>
        <v>#N/A</v>
      </c>
      <c r="J60" s="6" t="e">
        <f t="shared" si="2"/>
        <v>#N/A</v>
      </c>
      <c r="M60" s="64" t="s">
        <v>275</v>
      </c>
      <c r="N60" s="123">
        <v>0</v>
      </c>
    </row>
    <row r="61" spans="1:14" x14ac:dyDescent="0.3">
      <c r="A61">
        <v>0</v>
      </c>
      <c r="B61" t="e">
        <f>VLOOKUP(A61,'Clientes CBOT'!A:D,4,0)</f>
        <v>#N/A</v>
      </c>
      <c r="C61" s="7" t="e">
        <f>VLOOKUP(A61,'Statement base'!E:AO,21,0)</f>
        <v>#N/A</v>
      </c>
      <c r="D61" s="7" t="e">
        <f>VLOOKUP(A61,'Statement base'!E:AO,10,0)-VLOOKUP(A61,'Statement base'!E:AO,21,0)</f>
        <v>#N/A</v>
      </c>
      <c r="E61" t="s">
        <v>188</v>
      </c>
      <c r="F61" s="6" t="e">
        <f>VLOOKUP(A61,'Statement base'!E:AO,10,0)+VLOOKUP(A61,'Statement base'!E:AO,14,0)</f>
        <v>#N/A</v>
      </c>
      <c r="G61" s="61" t="e">
        <f>VLOOKUP(A61,'Clientes CBOT'!A:E,5,0)</f>
        <v>#N/A</v>
      </c>
      <c r="H61" t="str">
        <f t="shared" si="1"/>
        <v>Hard</v>
      </c>
      <c r="I61" s="6" t="e">
        <f t="shared" si="0"/>
        <v>#N/A</v>
      </c>
      <c r="J61" s="6" t="e">
        <f t="shared" si="2"/>
        <v>#N/A</v>
      </c>
      <c r="M61" s="64" t="s">
        <v>276</v>
      </c>
      <c r="N61" s="123">
        <v>611.52</v>
      </c>
    </row>
    <row r="62" spans="1:14" x14ac:dyDescent="0.3">
      <c r="A62">
        <v>0</v>
      </c>
      <c r="B62" t="e">
        <f>VLOOKUP(A62,'Clientes CBOT'!A:D,4,0)</f>
        <v>#N/A</v>
      </c>
      <c r="C62" s="7" t="e">
        <f>VLOOKUP(A62,'Statement base'!E:AO,21,0)</f>
        <v>#N/A</v>
      </c>
      <c r="D62" s="7" t="e">
        <f>VLOOKUP(A62,'Statement base'!E:AO,10,0)-VLOOKUP(A62,'Statement base'!E:AO,21,0)</f>
        <v>#N/A</v>
      </c>
      <c r="E62" t="s">
        <v>188</v>
      </c>
      <c r="F62" s="6" t="e">
        <f>VLOOKUP(A62,'Statement base'!E:AO,10,0)+VLOOKUP(A62,'Statement base'!E:AO,14,0)</f>
        <v>#N/A</v>
      </c>
      <c r="G62" s="61" t="e">
        <f>VLOOKUP(A62,'Clientes CBOT'!A:E,5,0)</f>
        <v>#N/A</v>
      </c>
      <c r="H62" t="str">
        <f t="shared" si="1"/>
        <v>Hard</v>
      </c>
      <c r="I62" s="6" t="e">
        <f t="shared" si="0"/>
        <v>#N/A</v>
      </c>
      <c r="J62" s="6" t="e">
        <f t="shared" si="2"/>
        <v>#N/A</v>
      </c>
      <c r="M62" s="64" t="s">
        <v>204</v>
      </c>
      <c r="N62" s="123">
        <v>1567.73</v>
      </c>
    </row>
    <row r="63" spans="1:14" x14ac:dyDescent="0.3">
      <c r="A63">
        <v>0</v>
      </c>
      <c r="B63" t="e">
        <f>VLOOKUP(A63,'Clientes CBOT'!A:D,4,0)</f>
        <v>#N/A</v>
      </c>
      <c r="C63" s="7" t="e">
        <f>VLOOKUP(A63,'Statement base'!E:AO,21,0)</f>
        <v>#N/A</v>
      </c>
      <c r="D63" s="7" t="e">
        <f>VLOOKUP(A63,'Statement base'!E:AO,10,0)-VLOOKUP(A63,'Statement base'!E:AO,21,0)</f>
        <v>#N/A</v>
      </c>
      <c r="E63" t="s">
        <v>188</v>
      </c>
      <c r="F63" s="6" t="e">
        <f>VLOOKUP(A63,'Statement base'!E:AO,10,0)+VLOOKUP(A63,'Statement base'!E:AO,14,0)</f>
        <v>#N/A</v>
      </c>
      <c r="G63" s="61" t="e">
        <f>VLOOKUP(A63,'Clientes CBOT'!A:E,5,0)</f>
        <v>#N/A</v>
      </c>
      <c r="H63" t="str">
        <f t="shared" si="1"/>
        <v>Hard</v>
      </c>
      <c r="I63" s="6" t="e">
        <f t="shared" si="0"/>
        <v>#N/A</v>
      </c>
      <c r="J63" s="6" t="e">
        <f t="shared" si="2"/>
        <v>#N/A</v>
      </c>
      <c r="M63" s="64" t="s">
        <v>207</v>
      </c>
      <c r="N63" s="123">
        <v>-801.91000000000008</v>
      </c>
    </row>
    <row r="64" spans="1:14" x14ac:dyDescent="0.3">
      <c r="A64">
        <v>0</v>
      </c>
      <c r="B64" t="e">
        <f>VLOOKUP(A64,'Clientes CBOT'!A:D,4,0)</f>
        <v>#N/A</v>
      </c>
      <c r="C64" s="7" t="e">
        <f>VLOOKUP(A64,'Statement base'!E:AO,21,0)</f>
        <v>#N/A</v>
      </c>
      <c r="D64" s="7" t="e">
        <f>VLOOKUP(A64,'Statement base'!E:AO,10,0)-VLOOKUP(A64,'Statement base'!E:AO,21,0)</f>
        <v>#N/A</v>
      </c>
      <c r="E64" t="s">
        <v>188</v>
      </c>
      <c r="F64" s="6" t="e">
        <f>VLOOKUP(A64,'Statement base'!E:AO,10,0)+VLOOKUP(A64,'Statement base'!E:AO,14,0)</f>
        <v>#N/A</v>
      </c>
      <c r="G64" s="61" t="e">
        <f>VLOOKUP(A64,'Clientes CBOT'!A:E,5,0)</f>
        <v>#N/A</v>
      </c>
      <c r="H64" t="str">
        <f t="shared" si="1"/>
        <v>Hard</v>
      </c>
      <c r="I64" s="6" t="e">
        <f t="shared" si="0"/>
        <v>#N/A</v>
      </c>
      <c r="J64" s="6" t="e">
        <f t="shared" si="2"/>
        <v>#N/A</v>
      </c>
      <c r="M64" s="64" t="s">
        <v>278</v>
      </c>
      <c r="N64" s="123">
        <v>0</v>
      </c>
    </row>
    <row r="65" spans="1:14" x14ac:dyDescent="0.3">
      <c r="A65">
        <v>0</v>
      </c>
      <c r="B65" t="e">
        <f>VLOOKUP(A65,'Clientes CBOT'!A:D,4,0)</f>
        <v>#N/A</v>
      </c>
      <c r="C65" s="7" t="e">
        <f>VLOOKUP(A65,'Statement base'!E:AO,21,0)</f>
        <v>#N/A</v>
      </c>
      <c r="D65" s="7" t="e">
        <f>VLOOKUP(A65,'Statement base'!E:AO,10,0)-VLOOKUP(A65,'Statement base'!E:AO,21,0)</f>
        <v>#N/A</v>
      </c>
      <c r="E65" t="s">
        <v>188</v>
      </c>
      <c r="F65" s="6" t="e">
        <f>VLOOKUP(A65,'Statement base'!E:AO,10,0)+VLOOKUP(A65,'Statement base'!E:AO,14,0)</f>
        <v>#N/A</v>
      </c>
      <c r="G65" s="61" t="e">
        <f>VLOOKUP(A65,'Clientes CBOT'!A:E,5,0)</f>
        <v>#N/A</v>
      </c>
      <c r="H65" t="str">
        <f t="shared" si="1"/>
        <v>Hard</v>
      </c>
      <c r="I65" s="6" t="e">
        <f t="shared" si="0"/>
        <v>#N/A</v>
      </c>
      <c r="J65" s="6" t="e">
        <f t="shared" si="2"/>
        <v>#N/A</v>
      </c>
      <c r="M65" s="64" t="s">
        <v>279</v>
      </c>
      <c r="N65" s="123">
        <v>0</v>
      </c>
    </row>
    <row r="66" spans="1:14" x14ac:dyDescent="0.3">
      <c r="A66">
        <v>0</v>
      </c>
      <c r="B66" t="e">
        <f>VLOOKUP(A66,'Clientes CBOT'!A:D,4,0)</f>
        <v>#N/A</v>
      </c>
      <c r="C66" s="7" t="e">
        <f>VLOOKUP(A66,'Statement base'!E:AO,21,0)</f>
        <v>#N/A</v>
      </c>
      <c r="D66" s="7" t="e">
        <f>VLOOKUP(A66,'Statement base'!E:AO,10,0)-VLOOKUP(A66,'Statement base'!E:AO,21,0)</f>
        <v>#N/A</v>
      </c>
      <c r="E66" t="s">
        <v>188</v>
      </c>
      <c r="F66" s="6" t="e">
        <f>VLOOKUP(A66,'Statement base'!E:AO,10,0)+VLOOKUP(A66,'Statement base'!E:AO,14,0)</f>
        <v>#N/A</v>
      </c>
      <c r="G66" s="61" t="e">
        <f>VLOOKUP(A66,'Clientes CBOT'!A:E,5,0)</f>
        <v>#N/A</v>
      </c>
      <c r="H66" t="str">
        <f t="shared" si="1"/>
        <v>Hard</v>
      </c>
      <c r="I66" s="6" t="e">
        <f t="shared" si="0"/>
        <v>#N/A</v>
      </c>
      <c r="J66" s="6" t="e">
        <f t="shared" si="2"/>
        <v>#N/A</v>
      </c>
      <c r="M66" s="64" t="s">
        <v>281</v>
      </c>
      <c r="N66" s="123">
        <v>0</v>
      </c>
    </row>
    <row r="67" spans="1:14" x14ac:dyDescent="0.3">
      <c r="A67">
        <v>0</v>
      </c>
      <c r="B67" t="e">
        <f>VLOOKUP(A67,'Clientes CBOT'!A:D,4,0)</f>
        <v>#N/A</v>
      </c>
      <c r="C67" s="7" t="e">
        <f>VLOOKUP(A67,'Statement base'!E:AO,21,0)</f>
        <v>#N/A</v>
      </c>
      <c r="D67" s="7" t="e">
        <f>VLOOKUP(A67,'Statement base'!E:AO,10,0)-VLOOKUP(A67,'Statement base'!E:AO,21,0)</f>
        <v>#N/A</v>
      </c>
      <c r="E67" t="s">
        <v>188</v>
      </c>
      <c r="F67" s="6" t="e">
        <f>VLOOKUP(A67,'Statement base'!E:AO,10,0)+VLOOKUP(A67,'Statement base'!E:AO,14,0)</f>
        <v>#N/A</v>
      </c>
      <c r="G67" s="61" t="e">
        <f>VLOOKUP(A67,'Clientes CBOT'!A:E,5,0)</f>
        <v>#N/A</v>
      </c>
      <c r="H67" t="str">
        <f t="shared" si="1"/>
        <v>Hard</v>
      </c>
      <c r="I67" s="6" t="e">
        <f t="shared" si="0"/>
        <v>#N/A</v>
      </c>
      <c r="J67" s="6" t="e">
        <f t="shared" si="2"/>
        <v>#N/A</v>
      </c>
      <c r="M67" s="64" t="s">
        <v>283</v>
      </c>
      <c r="N67" s="123">
        <v>-863.85</v>
      </c>
    </row>
    <row r="68" spans="1:14" x14ac:dyDescent="0.3">
      <c r="A68">
        <v>0</v>
      </c>
      <c r="B68" t="e">
        <f>VLOOKUP(A68,'Clientes CBOT'!A:D,4,0)</f>
        <v>#N/A</v>
      </c>
      <c r="C68" s="7" t="e">
        <f>VLOOKUP(A68,'Statement base'!E:AO,21,0)</f>
        <v>#N/A</v>
      </c>
      <c r="D68" s="7" t="e">
        <f>VLOOKUP(A68,'Statement base'!E:AO,10,0)-VLOOKUP(A68,'Statement base'!E:AO,21,0)</f>
        <v>#N/A</v>
      </c>
      <c r="E68" t="s">
        <v>188</v>
      </c>
      <c r="F68" s="6" t="e">
        <f>VLOOKUP(A68,'Statement base'!E:AO,10,0)+VLOOKUP(A68,'Statement base'!E:AO,14,0)</f>
        <v>#N/A</v>
      </c>
      <c r="G68" s="61" t="e">
        <f>VLOOKUP(A68,'Clientes CBOT'!A:E,5,0)</f>
        <v>#N/A</v>
      </c>
      <c r="H68" t="str">
        <f t="shared" si="1"/>
        <v>Hard</v>
      </c>
      <c r="I68" s="6" t="e">
        <f t="shared" si="0"/>
        <v>#N/A</v>
      </c>
      <c r="J68" s="6" t="e">
        <f t="shared" si="2"/>
        <v>#N/A</v>
      </c>
      <c r="M68" s="64" t="s">
        <v>284</v>
      </c>
      <c r="N68" s="123">
        <v>0</v>
      </c>
    </row>
    <row r="69" spans="1:14" x14ac:dyDescent="0.3">
      <c r="A69">
        <v>0</v>
      </c>
      <c r="B69" t="e">
        <f>VLOOKUP(A69,'Clientes CBOT'!A:D,4,0)</f>
        <v>#N/A</v>
      </c>
      <c r="C69" s="7" t="e">
        <f>VLOOKUP(A69,'Statement base'!E:AO,21,0)</f>
        <v>#N/A</v>
      </c>
      <c r="D69" s="7" t="e">
        <f>VLOOKUP(A69,'Statement base'!E:AO,10,0)-VLOOKUP(A69,'Statement base'!E:AO,21,0)</f>
        <v>#N/A</v>
      </c>
      <c r="E69" t="s">
        <v>188</v>
      </c>
      <c r="F69" s="6" t="e">
        <f>VLOOKUP(A69,'Statement base'!E:AO,10,0)+VLOOKUP(A69,'Statement base'!E:AO,14,0)</f>
        <v>#N/A</v>
      </c>
      <c r="G69" s="61" t="e">
        <f>VLOOKUP(A69,'Clientes CBOT'!A:E,5,0)</f>
        <v>#N/A</v>
      </c>
      <c r="H69" t="str">
        <f t="shared" ref="H69:H132" si="3">IF(E69="pesos","Ars",IF(E69="Dólar Matba Rofex","usd linked","Hard"))</f>
        <v>Hard</v>
      </c>
      <c r="I69" s="6" t="e">
        <f t="shared" ref="I69:I132" si="4">IF(H69="ars",C69/$J$1,IF(H69="hard",C69*$J$2/$J$1,C69))</f>
        <v>#N/A</v>
      </c>
      <c r="J69" s="6" t="e">
        <f t="shared" ref="J69:J132" si="5">IF(H69="ars",D69/$J$1,IF(H69="hard",D69*$J$2/$J$1,D69))</f>
        <v>#N/A</v>
      </c>
      <c r="M69" s="64" t="s">
        <v>285</v>
      </c>
      <c r="N69" s="123">
        <v>0</v>
      </c>
    </row>
    <row r="70" spans="1:14" x14ac:dyDescent="0.3">
      <c r="A70">
        <v>0</v>
      </c>
      <c r="B70" t="e">
        <f>VLOOKUP(A70,'Clientes CBOT'!A:D,4,0)</f>
        <v>#N/A</v>
      </c>
      <c r="C70" s="7" t="e">
        <f>VLOOKUP(A70,'Statement base'!E:AO,21,0)</f>
        <v>#N/A</v>
      </c>
      <c r="D70" s="7" t="e">
        <f>VLOOKUP(A70,'Statement base'!E:AO,10,0)-VLOOKUP(A70,'Statement base'!E:AO,21,0)</f>
        <v>#N/A</v>
      </c>
      <c r="E70" t="s">
        <v>188</v>
      </c>
      <c r="F70" s="6" t="e">
        <f>VLOOKUP(A70,'Statement base'!E:AO,10,0)+VLOOKUP(A70,'Statement base'!E:AO,14,0)</f>
        <v>#N/A</v>
      </c>
      <c r="G70" s="61" t="e">
        <f>VLOOKUP(A70,'Clientes CBOT'!A:E,5,0)</f>
        <v>#N/A</v>
      </c>
      <c r="H70" t="str">
        <f t="shared" si="3"/>
        <v>Hard</v>
      </c>
      <c r="I70" s="6" t="e">
        <f t="shared" si="4"/>
        <v>#N/A</v>
      </c>
      <c r="J70" s="6" t="e">
        <f t="shared" si="5"/>
        <v>#N/A</v>
      </c>
      <c r="M70" s="64" t="s">
        <v>286</v>
      </c>
      <c r="N70" s="123">
        <v>0</v>
      </c>
    </row>
    <row r="71" spans="1:14" x14ac:dyDescent="0.3">
      <c r="A71">
        <v>0</v>
      </c>
      <c r="B71" t="e">
        <f>VLOOKUP(A71,'Clientes CBOT'!A:D,4,0)</f>
        <v>#N/A</v>
      </c>
      <c r="C71" s="7" t="e">
        <f>VLOOKUP(A71,'Statement base'!E:AO,21,0)</f>
        <v>#N/A</v>
      </c>
      <c r="D71" s="7" t="e">
        <f>VLOOKUP(A71,'Statement base'!E:AO,10,0)-VLOOKUP(A71,'Statement base'!E:AO,21,0)</f>
        <v>#N/A</v>
      </c>
      <c r="E71" t="s">
        <v>188</v>
      </c>
      <c r="F71" s="6" t="e">
        <f>VLOOKUP(A71,'Statement base'!E:AO,10,0)+VLOOKUP(A71,'Statement base'!E:AO,14,0)</f>
        <v>#N/A</v>
      </c>
      <c r="G71" s="61" t="e">
        <f>VLOOKUP(A71,'Clientes CBOT'!A:E,5,0)</f>
        <v>#N/A</v>
      </c>
      <c r="H71" t="str">
        <f t="shared" si="3"/>
        <v>Hard</v>
      </c>
      <c r="I71" s="6" t="e">
        <f t="shared" si="4"/>
        <v>#N/A</v>
      </c>
      <c r="J71" s="6" t="e">
        <f t="shared" si="5"/>
        <v>#N/A</v>
      </c>
      <c r="M71" s="64" t="s">
        <v>288</v>
      </c>
      <c r="N71" s="123">
        <v>0</v>
      </c>
    </row>
    <row r="72" spans="1:14" x14ac:dyDescent="0.3">
      <c r="A72">
        <v>0</v>
      </c>
      <c r="B72" t="e">
        <f>VLOOKUP(A72,'Clientes CBOT'!A:D,4,0)</f>
        <v>#N/A</v>
      </c>
      <c r="C72" s="7" t="e">
        <f>VLOOKUP(A72,'Statement base'!E:AO,21,0)</f>
        <v>#N/A</v>
      </c>
      <c r="D72" s="7" t="e">
        <f>VLOOKUP(A72,'Statement base'!E:AO,10,0)-VLOOKUP(A72,'Statement base'!E:AO,21,0)</f>
        <v>#N/A</v>
      </c>
      <c r="E72" t="s">
        <v>188</v>
      </c>
      <c r="F72" s="6" t="e">
        <f>VLOOKUP(A72,'Statement base'!E:AO,10,0)+VLOOKUP(A72,'Statement base'!E:AO,14,0)</f>
        <v>#N/A</v>
      </c>
      <c r="G72" s="61" t="e">
        <f>VLOOKUP(A72,'Clientes CBOT'!A:E,5,0)</f>
        <v>#N/A</v>
      </c>
      <c r="H72" t="str">
        <f t="shared" si="3"/>
        <v>Hard</v>
      </c>
      <c r="I72" s="6" t="e">
        <f t="shared" si="4"/>
        <v>#N/A</v>
      </c>
      <c r="J72" s="6" t="e">
        <f t="shared" si="5"/>
        <v>#N/A</v>
      </c>
      <c r="M72" s="64" t="s">
        <v>800</v>
      </c>
      <c r="N72" s="123">
        <v>0</v>
      </c>
    </row>
    <row r="73" spans="1:14" x14ac:dyDescent="0.3">
      <c r="A73">
        <v>0</v>
      </c>
      <c r="B73" t="e">
        <f>VLOOKUP(A73,'Clientes CBOT'!A:D,4,0)</f>
        <v>#N/A</v>
      </c>
      <c r="C73" s="7" t="e">
        <f>VLOOKUP(A73,'Statement base'!E:AO,21,0)</f>
        <v>#N/A</v>
      </c>
      <c r="D73" s="7" t="e">
        <f>VLOOKUP(A73,'Statement base'!E:AO,10,0)-VLOOKUP(A73,'Statement base'!E:AO,21,0)</f>
        <v>#N/A</v>
      </c>
      <c r="E73" t="s">
        <v>188</v>
      </c>
      <c r="F73" s="6" t="e">
        <f>VLOOKUP(A73,'Statement base'!E:AO,10,0)+VLOOKUP(A73,'Statement base'!E:AO,14,0)</f>
        <v>#N/A</v>
      </c>
      <c r="G73" s="61" t="e">
        <f>VLOOKUP(A73,'Clientes CBOT'!A:E,5,0)</f>
        <v>#N/A</v>
      </c>
      <c r="H73" t="str">
        <f t="shared" si="3"/>
        <v>Hard</v>
      </c>
      <c r="I73" s="6" t="e">
        <f t="shared" si="4"/>
        <v>#N/A</v>
      </c>
      <c r="J73" s="6" t="e">
        <f t="shared" si="5"/>
        <v>#N/A</v>
      </c>
      <c r="M73" s="64" t="s">
        <v>292</v>
      </c>
      <c r="N73" s="123">
        <v>1.05</v>
      </c>
    </row>
    <row r="74" spans="1:14" x14ac:dyDescent="0.3">
      <c r="A74">
        <v>0</v>
      </c>
      <c r="B74" t="e">
        <f>VLOOKUP(A74,'Clientes CBOT'!A:D,4,0)</f>
        <v>#N/A</v>
      </c>
      <c r="C74" s="7" t="e">
        <f>VLOOKUP(A74,'Statement base'!E:AO,21,0)</f>
        <v>#N/A</v>
      </c>
      <c r="D74" s="7" t="e">
        <f>VLOOKUP(A74,'Statement base'!E:AO,10,0)-VLOOKUP(A74,'Statement base'!E:AO,21,0)</f>
        <v>#N/A</v>
      </c>
      <c r="E74" t="s">
        <v>188</v>
      </c>
      <c r="F74" s="6" t="e">
        <f>VLOOKUP(A74,'Statement base'!E:AO,10,0)+VLOOKUP(A74,'Statement base'!E:AO,14,0)</f>
        <v>#N/A</v>
      </c>
      <c r="G74" s="61" t="e">
        <f>VLOOKUP(A74,'Clientes CBOT'!A:E,5,0)</f>
        <v>#N/A</v>
      </c>
      <c r="H74" t="str">
        <f t="shared" si="3"/>
        <v>Hard</v>
      </c>
      <c r="I74" s="6" t="e">
        <f t="shared" si="4"/>
        <v>#N/A</v>
      </c>
      <c r="J74" s="6" t="e">
        <f t="shared" si="5"/>
        <v>#N/A</v>
      </c>
      <c r="M74" s="64" t="s">
        <v>294</v>
      </c>
      <c r="N74" s="123">
        <v>107.95</v>
      </c>
    </row>
    <row r="75" spans="1:14" x14ac:dyDescent="0.3">
      <c r="A75">
        <v>0</v>
      </c>
      <c r="B75" t="e">
        <f>VLOOKUP(A75,'Clientes CBOT'!A:D,4,0)</f>
        <v>#N/A</v>
      </c>
      <c r="C75" s="7" t="e">
        <f>VLOOKUP(A75,'Statement base'!E:AO,21,0)</f>
        <v>#N/A</v>
      </c>
      <c r="D75" s="7" t="e">
        <f>VLOOKUP(A75,'Statement base'!E:AO,10,0)-VLOOKUP(A75,'Statement base'!E:AO,21,0)</f>
        <v>#N/A</v>
      </c>
      <c r="E75" t="s">
        <v>188</v>
      </c>
      <c r="F75" s="6" t="e">
        <f>VLOOKUP(A75,'Statement base'!E:AO,10,0)+VLOOKUP(A75,'Statement base'!E:AO,14,0)</f>
        <v>#N/A</v>
      </c>
      <c r="G75" s="61" t="e">
        <f>VLOOKUP(A75,'Clientes CBOT'!A:E,5,0)</f>
        <v>#N/A</v>
      </c>
      <c r="H75" t="str">
        <f t="shared" si="3"/>
        <v>Hard</v>
      </c>
      <c r="I75" s="6" t="e">
        <f t="shared" si="4"/>
        <v>#N/A</v>
      </c>
      <c r="J75" s="6" t="e">
        <f t="shared" si="5"/>
        <v>#N/A</v>
      </c>
      <c r="M75" s="64" t="s">
        <v>295</v>
      </c>
      <c r="N75" s="123">
        <v>2890.07</v>
      </c>
    </row>
    <row r="76" spans="1:14" x14ac:dyDescent="0.3">
      <c r="A76">
        <v>0</v>
      </c>
      <c r="B76" t="e">
        <f>VLOOKUP(A76,'Clientes CBOT'!A:D,4,0)</f>
        <v>#N/A</v>
      </c>
      <c r="C76" s="7" t="e">
        <f>VLOOKUP(A76,'Statement base'!E:AO,21,0)</f>
        <v>#N/A</v>
      </c>
      <c r="D76" s="7" t="e">
        <f>VLOOKUP(A76,'Statement base'!E:AO,10,0)-VLOOKUP(A76,'Statement base'!E:AO,21,0)</f>
        <v>#N/A</v>
      </c>
      <c r="E76" t="s">
        <v>188</v>
      </c>
      <c r="F76" s="6" t="e">
        <f>VLOOKUP(A76,'Statement base'!E:AO,10,0)+VLOOKUP(A76,'Statement base'!E:AO,14,0)</f>
        <v>#N/A</v>
      </c>
      <c r="G76" s="61" t="e">
        <f>VLOOKUP(A76,'Clientes CBOT'!A:E,5,0)</f>
        <v>#N/A</v>
      </c>
      <c r="H76" t="str">
        <f t="shared" si="3"/>
        <v>Hard</v>
      </c>
      <c r="I76" s="6" t="e">
        <f t="shared" si="4"/>
        <v>#N/A</v>
      </c>
      <c r="J76" s="6" t="e">
        <f t="shared" si="5"/>
        <v>#N/A</v>
      </c>
      <c r="M76" s="64" t="s">
        <v>296</v>
      </c>
      <c r="N76" s="123">
        <v>-426843.63</v>
      </c>
    </row>
    <row r="77" spans="1:14" x14ac:dyDescent="0.3">
      <c r="A77">
        <v>0</v>
      </c>
      <c r="B77" t="e">
        <f>VLOOKUP(A77,'Clientes CBOT'!A:D,4,0)</f>
        <v>#N/A</v>
      </c>
      <c r="C77" s="7" t="e">
        <f>VLOOKUP(A77,'Statement base'!E:AO,21,0)</f>
        <v>#N/A</v>
      </c>
      <c r="D77" s="7" t="e">
        <f>VLOOKUP(A77,'Statement base'!E:AO,10,0)-VLOOKUP(A77,'Statement base'!E:AO,21,0)</f>
        <v>#N/A</v>
      </c>
      <c r="E77" t="s">
        <v>188</v>
      </c>
      <c r="F77" s="6" t="e">
        <f>VLOOKUP(A77,'Statement base'!E:AO,10,0)+VLOOKUP(A77,'Statement base'!E:AO,14,0)</f>
        <v>#N/A</v>
      </c>
      <c r="G77" s="61" t="e">
        <f>VLOOKUP(A77,'Clientes CBOT'!A:E,5,0)</f>
        <v>#N/A</v>
      </c>
      <c r="H77" t="str">
        <f t="shared" si="3"/>
        <v>Hard</v>
      </c>
      <c r="I77" s="6" t="e">
        <f t="shared" si="4"/>
        <v>#N/A</v>
      </c>
      <c r="J77" s="6" t="e">
        <f t="shared" si="5"/>
        <v>#N/A</v>
      </c>
      <c r="M77" s="64" t="s">
        <v>297</v>
      </c>
      <c r="N77" s="123">
        <v>9974.67</v>
      </c>
    </row>
    <row r="78" spans="1:14" x14ac:dyDescent="0.3">
      <c r="A78">
        <v>0</v>
      </c>
      <c r="B78" t="e">
        <f>VLOOKUP(A78,'Clientes CBOT'!A:D,4,0)</f>
        <v>#N/A</v>
      </c>
      <c r="C78" s="7" t="e">
        <f>VLOOKUP(A78,'Statement base'!E:AO,21,0)</f>
        <v>#N/A</v>
      </c>
      <c r="D78" s="7" t="e">
        <f>VLOOKUP(A78,'Statement base'!E:AO,10,0)-VLOOKUP(A78,'Statement base'!E:AO,21,0)</f>
        <v>#N/A</v>
      </c>
      <c r="E78" t="s">
        <v>188</v>
      </c>
      <c r="F78" s="6" t="e">
        <f>VLOOKUP(A78,'Statement base'!E:AO,10,0)+VLOOKUP(A78,'Statement base'!E:AO,14,0)</f>
        <v>#N/A</v>
      </c>
      <c r="G78" s="61" t="e">
        <f>VLOOKUP(A78,'Clientes CBOT'!A:E,5,0)</f>
        <v>#N/A</v>
      </c>
      <c r="H78" t="str">
        <f t="shared" si="3"/>
        <v>Hard</v>
      </c>
      <c r="I78" s="6" t="e">
        <f t="shared" si="4"/>
        <v>#N/A</v>
      </c>
      <c r="J78" s="6" t="e">
        <f t="shared" si="5"/>
        <v>#N/A</v>
      </c>
      <c r="M78" s="64" t="s">
        <v>299</v>
      </c>
      <c r="N78" s="123">
        <v>8425.19</v>
      </c>
    </row>
    <row r="79" spans="1:14" x14ac:dyDescent="0.3">
      <c r="A79">
        <v>0</v>
      </c>
      <c r="B79" t="e">
        <f>VLOOKUP(A79,'Clientes CBOT'!A:D,4,0)</f>
        <v>#N/A</v>
      </c>
      <c r="C79" s="7" t="e">
        <f>VLOOKUP(A79,'Statement base'!E:AO,21,0)</f>
        <v>#N/A</v>
      </c>
      <c r="D79" s="7" t="e">
        <f>VLOOKUP(A79,'Statement base'!E:AO,10,0)-VLOOKUP(A79,'Statement base'!E:AO,21,0)</f>
        <v>#N/A</v>
      </c>
      <c r="E79" t="s">
        <v>188</v>
      </c>
      <c r="F79" s="6" t="e">
        <f>VLOOKUP(A79,'Statement base'!E:AO,10,0)+VLOOKUP(A79,'Statement base'!E:AO,14,0)</f>
        <v>#N/A</v>
      </c>
      <c r="G79" s="61" t="e">
        <f>VLOOKUP(A79,'Clientes CBOT'!A:E,5,0)</f>
        <v>#N/A</v>
      </c>
      <c r="H79" t="str">
        <f t="shared" si="3"/>
        <v>Hard</v>
      </c>
      <c r="I79" s="6" t="e">
        <f t="shared" si="4"/>
        <v>#N/A</v>
      </c>
      <c r="J79" s="6" t="e">
        <f t="shared" si="5"/>
        <v>#N/A</v>
      </c>
      <c r="M79" s="64" t="s">
        <v>300</v>
      </c>
      <c r="N79" s="123">
        <v>-17181.84</v>
      </c>
    </row>
    <row r="80" spans="1:14" x14ac:dyDescent="0.3">
      <c r="A80">
        <v>0</v>
      </c>
      <c r="B80" t="e">
        <f>VLOOKUP(A80,'Clientes CBOT'!A:D,4,0)</f>
        <v>#N/A</v>
      </c>
      <c r="C80" s="7" t="e">
        <f>VLOOKUP(A80,'Statement base'!E:AO,21,0)</f>
        <v>#N/A</v>
      </c>
      <c r="D80" s="7" t="e">
        <f>VLOOKUP(A80,'Statement base'!E:AO,10,0)-VLOOKUP(A80,'Statement base'!E:AO,21,0)</f>
        <v>#N/A</v>
      </c>
      <c r="E80" t="s">
        <v>188</v>
      </c>
      <c r="F80" s="6" t="e">
        <f>VLOOKUP(A80,'Statement base'!E:AO,10,0)+VLOOKUP(A80,'Statement base'!E:AO,14,0)</f>
        <v>#N/A</v>
      </c>
      <c r="G80" s="61" t="e">
        <f>VLOOKUP(A80,'Clientes CBOT'!A:E,5,0)</f>
        <v>#N/A</v>
      </c>
      <c r="H80" t="str">
        <f t="shared" si="3"/>
        <v>Hard</v>
      </c>
      <c r="I80" s="6" t="e">
        <f t="shared" si="4"/>
        <v>#N/A</v>
      </c>
      <c r="J80" s="6" t="e">
        <f t="shared" si="5"/>
        <v>#N/A</v>
      </c>
      <c r="M80" s="64" t="s">
        <v>302</v>
      </c>
      <c r="N80" s="123">
        <v>-9901.2199999999993</v>
      </c>
    </row>
    <row r="81" spans="1:14" x14ac:dyDescent="0.3">
      <c r="A81">
        <v>0</v>
      </c>
      <c r="B81" t="e">
        <f>VLOOKUP(A81,'Clientes CBOT'!A:D,4,0)</f>
        <v>#N/A</v>
      </c>
      <c r="C81" s="7" t="e">
        <f>VLOOKUP(A81,'Statement base'!E:AO,21,0)</f>
        <v>#N/A</v>
      </c>
      <c r="D81" s="7" t="e">
        <f>VLOOKUP(A81,'Statement base'!E:AO,10,0)-VLOOKUP(A81,'Statement base'!E:AO,21,0)</f>
        <v>#N/A</v>
      </c>
      <c r="E81" t="s">
        <v>188</v>
      </c>
      <c r="F81" s="6" t="e">
        <f>VLOOKUP(A81,'Statement base'!E:AO,10,0)+VLOOKUP(A81,'Statement base'!E:AO,14,0)</f>
        <v>#N/A</v>
      </c>
      <c r="G81" s="61" t="e">
        <f>VLOOKUP(A81,'Clientes CBOT'!A:E,5,0)</f>
        <v>#N/A</v>
      </c>
      <c r="H81" t="str">
        <f t="shared" si="3"/>
        <v>Hard</v>
      </c>
      <c r="I81" s="6" t="e">
        <f t="shared" si="4"/>
        <v>#N/A</v>
      </c>
      <c r="J81" s="6" t="e">
        <f t="shared" si="5"/>
        <v>#N/A</v>
      </c>
      <c r="M81" s="64" t="s">
        <v>304</v>
      </c>
      <c r="N81" s="123">
        <v>0.4</v>
      </c>
    </row>
    <row r="82" spans="1:14" x14ac:dyDescent="0.3">
      <c r="A82">
        <v>0</v>
      </c>
      <c r="B82" t="e">
        <f>VLOOKUP(A82,'Clientes CBOT'!A:D,4,0)</f>
        <v>#N/A</v>
      </c>
      <c r="C82" s="7" t="e">
        <f>VLOOKUP(A82,'Statement base'!E:AO,21,0)</f>
        <v>#N/A</v>
      </c>
      <c r="D82" s="7" t="e">
        <f>VLOOKUP(A82,'Statement base'!E:AO,10,0)-VLOOKUP(A82,'Statement base'!E:AO,21,0)</f>
        <v>#N/A</v>
      </c>
      <c r="E82" t="s">
        <v>188</v>
      </c>
      <c r="F82" s="6" t="e">
        <f>VLOOKUP(A82,'Statement base'!E:AO,10,0)+VLOOKUP(A82,'Statement base'!E:AO,14,0)</f>
        <v>#N/A</v>
      </c>
      <c r="G82" s="61" t="e">
        <f>VLOOKUP(A82,'Clientes CBOT'!A:E,5,0)</f>
        <v>#N/A</v>
      </c>
      <c r="H82" t="str">
        <f t="shared" si="3"/>
        <v>Hard</v>
      </c>
      <c r="I82" s="6" t="e">
        <f t="shared" si="4"/>
        <v>#N/A</v>
      </c>
      <c r="J82" s="6" t="e">
        <f t="shared" si="5"/>
        <v>#N/A</v>
      </c>
      <c r="M82" s="64" t="s">
        <v>310</v>
      </c>
      <c r="N82" s="123">
        <v>0</v>
      </c>
    </row>
    <row r="83" spans="1:14" x14ac:dyDescent="0.3">
      <c r="A83">
        <v>0</v>
      </c>
      <c r="B83" t="e">
        <f>VLOOKUP(A83,'Clientes CBOT'!A:D,4,0)</f>
        <v>#N/A</v>
      </c>
      <c r="C83" s="7" t="e">
        <f>VLOOKUP(A83,'Statement base'!E:AO,21,0)</f>
        <v>#N/A</v>
      </c>
      <c r="D83" s="7" t="e">
        <f>VLOOKUP(A83,'Statement base'!E:AO,10,0)-VLOOKUP(A83,'Statement base'!E:AO,21,0)</f>
        <v>#N/A</v>
      </c>
      <c r="E83" t="s">
        <v>188</v>
      </c>
      <c r="F83" s="6" t="e">
        <f>VLOOKUP(A83,'Statement base'!E:AO,10,0)+VLOOKUP(A83,'Statement base'!E:AO,14,0)</f>
        <v>#N/A</v>
      </c>
      <c r="G83" s="61" t="e">
        <f>VLOOKUP(A83,'Clientes CBOT'!A:E,5,0)</f>
        <v>#N/A</v>
      </c>
      <c r="H83" t="str">
        <f t="shared" si="3"/>
        <v>Hard</v>
      </c>
      <c r="I83" s="6" t="e">
        <f t="shared" si="4"/>
        <v>#N/A</v>
      </c>
      <c r="J83" s="6" t="e">
        <f t="shared" si="5"/>
        <v>#N/A</v>
      </c>
      <c r="M83" s="64" t="s">
        <v>311</v>
      </c>
      <c r="N83" s="123">
        <v>510.97999999999996</v>
      </c>
    </row>
    <row r="84" spans="1:14" x14ac:dyDescent="0.3">
      <c r="A84">
        <v>0</v>
      </c>
      <c r="B84" t="e">
        <f>VLOOKUP(A84,'Clientes CBOT'!A:D,4,0)</f>
        <v>#N/A</v>
      </c>
      <c r="C84" s="7" t="e">
        <f>VLOOKUP(A84,'Statement base'!E:AO,21,0)</f>
        <v>#N/A</v>
      </c>
      <c r="D84" s="7" t="e">
        <f>VLOOKUP(A84,'Statement base'!E:AO,10,0)-VLOOKUP(A84,'Statement base'!E:AO,21,0)</f>
        <v>#N/A</v>
      </c>
      <c r="E84" t="s">
        <v>188</v>
      </c>
      <c r="F84" s="6" t="e">
        <f>VLOOKUP(A84,'Statement base'!E:AO,10,0)+VLOOKUP(A84,'Statement base'!E:AO,14,0)</f>
        <v>#N/A</v>
      </c>
      <c r="G84" s="61" t="e">
        <f>VLOOKUP(A84,'Clientes CBOT'!A:E,5,0)</f>
        <v>#N/A</v>
      </c>
      <c r="H84" t="str">
        <f t="shared" si="3"/>
        <v>Hard</v>
      </c>
      <c r="I84" s="6" t="e">
        <f t="shared" si="4"/>
        <v>#N/A</v>
      </c>
      <c r="J84" s="6" t="e">
        <f t="shared" si="5"/>
        <v>#N/A</v>
      </c>
      <c r="M84" s="64" t="s">
        <v>312</v>
      </c>
      <c r="N84" s="123">
        <v>2.4</v>
      </c>
    </row>
    <row r="85" spans="1:14" x14ac:dyDescent="0.3">
      <c r="A85">
        <v>0</v>
      </c>
      <c r="B85" t="e">
        <f>VLOOKUP(A85,'Clientes CBOT'!A:D,4,0)</f>
        <v>#N/A</v>
      </c>
      <c r="C85" s="7" t="e">
        <f>VLOOKUP(A85,'Statement base'!E:AO,21,0)</f>
        <v>#N/A</v>
      </c>
      <c r="D85" s="7" t="e">
        <f>VLOOKUP(A85,'Statement base'!E:AO,10,0)-VLOOKUP(A85,'Statement base'!E:AO,21,0)</f>
        <v>#N/A</v>
      </c>
      <c r="E85" t="s">
        <v>188</v>
      </c>
      <c r="F85" s="6" t="e">
        <f>VLOOKUP(A85,'Statement base'!E:AO,10,0)+VLOOKUP(A85,'Statement base'!E:AO,14,0)</f>
        <v>#N/A</v>
      </c>
      <c r="G85" s="61" t="e">
        <f>VLOOKUP(A85,'Clientes CBOT'!A:E,5,0)</f>
        <v>#N/A</v>
      </c>
      <c r="H85" t="str">
        <f t="shared" si="3"/>
        <v>Hard</v>
      </c>
      <c r="I85" s="6" t="e">
        <f t="shared" si="4"/>
        <v>#N/A</v>
      </c>
      <c r="J85" s="6" t="e">
        <f t="shared" si="5"/>
        <v>#N/A</v>
      </c>
      <c r="M85" s="64" t="s">
        <v>313</v>
      </c>
      <c r="N85" s="123">
        <v>0</v>
      </c>
    </row>
    <row r="86" spans="1:14" x14ac:dyDescent="0.3">
      <c r="A86">
        <v>0</v>
      </c>
      <c r="B86" t="e">
        <f>VLOOKUP(A86,'Clientes CBOT'!A:D,4,0)</f>
        <v>#N/A</v>
      </c>
      <c r="C86" s="7" t="e">
        <f>VLOOKUP(A86,'Statement base'!E:AO,21,0)</f>
        <v>#N/A</v>
      </c>
      <c r="D86" s="7" t="e">
        <f>VLOOKUP(A86,'Statement base'!E:AO,10,0)-VLOOKUP(A86,'Statement base'!E:AO,21,0)</f>
        <v>#N/A</v>
      </c>
      <c r="E86" t="s">
        <v>188</v>
      </c>
      <c r="F86" s="6" t="e">
        <f>VLOOKUP(A86,'Statement base'!E:AO,10,0)+VLOOKUP(A86,'Statement base'!E:AO,14,0)</f>
        <v>#N/A</v>
      </c>
      <c r="G86" s="61" t="e">
        <f>VLOOKUP(A86,'Clientes CBOT'!A:E,5,0)</f>
        <v>#N/A</v>
      </c>
      <c r="H86" t="str">
        <f t="shared" si="3"/>
        <v>Hard</v>
      </c>
      <c r="I86" s="6" t="e">
        <f t="shared" si="4"/>
        <v>#N/A</v>
      </c>
      <c r="J86" s="6" t="e">
        <f t="shared" si="5"/>
        <v>#N/A</v>
      </c>
      <c r="M86" s="64" t="s">
        <v>315</v>
      </c>
      <c r="N86" s="123">
        <v>21458.98</v>
      </c>
    </row>
    <row r="87" spans="1:14" x14ac:dyDescent="0.3">
      <c r="A87">
        <v>0</v>
      </c>
      <c r="B87" t="e">
        <f>VLOOKUP(A87,'Clientes CBOT'!A:D,4,0)</f>
        <v>#N/A</v>
      </c>
      <c r="C87" s="7" t="e">
        <f>VLOOKUP(A87,'Statement base'!E:AO,21,0)</f>
        <v>#N/A</v>
      </c>
      <c r="D87" s="7" t="e">
        <f>VLOOKUP(A87,'Statement base'!E:AO,10,0)-VLOOKUP(A87,'Statement base'!E:AO,21,0)</f>
        <v>#N/A</v>
      </c>
      <c r="E87" t="s">
        <v>188</v>
      </c>
      <c r="F87" s="6" t="e">
        <f>VLOOKUP(A87,'Statement base'!E:AO,10,0)+VLOOKUP(A87,'Statement base'!E:AO,14,0)</f>
        <v>#N/A</v>
      </c>
      <c r="G87" s="61" t="e">
        <f>VLOOKUP(A87,'Clientes CBOT'!A:E,5,0)</f>
        <v>#N/A</v>
      </c>
      <c r="H87" t="str">
        <f t="shared" si="3"/>
        <v>Hard</v>
      </c>
      <c r="I87" s="6" t="e">
        <f t="shared" si="4"/>
        <v>#N/A</v>
      </c>
      <c r="J87" s="6" t="e">
        <f t="shared" si="5"/>
        <v>#N/A</v>
      </c>
      <c r="M87" s="64" t="s">
        <v>316</v>
      </c>
      <c r="N87" s="123">
        <v>0</v>
      </c>
    </row>
    <row r="88" spans="1:14" x14ac:dyDescent="0.3">
      <c r="A88">
        <v>0</v>
      </c>
      <c r="B88" t="e">
        <f>VLOOKUP(A88,'Clientes CBOT'!A:D,4,0)</f>
        <v>#N/A</v>
      </c>
      <c r="C88" s="7" t="e">
        <f>VLOOKUP(A88,'Statement base'!E:AO,21,0)</f>
        <v>#N/A</v>
      </c>
      <c r="D88" s="7" t="e">
        <f>VLOOKUP(A88,'Statement base'!E:AO,10,0)-VLOOKUP(A88,'Statement base'!E:AO,21,0)</f>
        <v>#N/A</v>
      </c>
      <c r="E88" t="s">
        <v>188</v>
      </c>
      <c r="F88" s="6" t="e">
        <f>VLOOKUP(A88,'Statement base'!E:AO,10,0)+VLOOKUP(A88,'Statement base'!E:AO,14,0)</f>
        <v>#N/A</v>
      </c>
      <c r="G88" s="61" t="e">
        <f>VLOOKUP(A88,'Clientes CBOT'!A:E,5,0)</f>
        <v>#N/A</v>
      </c>
      <c r="H88" t="str">
        <f t="shared" si="3"/>
        <v>Hard</v>
      </c>
      <c r="I88" s="6" t="e">
        <f t="shared" si="4"/>
        <v>#N/A</v>
      </c>
      <c r="J88" s="6" t="e">
        <f t="shared" si="5"/>
        <v>#N/A</v>
      </c>
      <c r="M88" s="64" t="s">
        <v>317</v>
      </c>
      <c r="N88" s="123">
        <v>0.18</v>
      </c>
    </row>
    <row r="89" spans="1:14" x14ac:dyDescent="0.3">
      <c r="A89">
        <v>0</v>
      </c>
      <c r="B89" t="e">
        <f>VLOOKUP(A89,'Clientes CBOT'!A:D,4,0)</f>
        <v>#N/A</v>
      </c>
      <c r="C89" s="7" t="e">
        <f>VLOOKUP(A89,'Statement base'!E:AO,21,0)</f>
        <v>#N/A</v>
      </c>
      <c r="D89" s="7" t="e">
        <f>VLOOKUP(A89,'Statement base'!E:AO,10,0)-VLOOKUP(A89,'Statement base'!E:AO,21,0)</f>
        <v>#N/A</v>
      </c>
      <c r="E89" t="s">
        <v>188</v>
      </c>
      <c r="F89" s="6" t="e">
        <f>VLOOKUP(A89,'Statement base'!E:AO,10,0)+VLOOKUP(A89,'Statement base'!E:AO,14,0)</f>
        <v>#N/A</v>
      </c>
      <c r="G89" s="61" t="e">
        <f>VLOOKUP(A89,'Clientes CBOT'!A:E,5,0)</f>
        <v>#N/A</v>
      </c>
      <c r="H89" t="str">
        <f t="shared" si="3"/>
        <v>Hard</v>
      </c>
      <c r="I89" s="6" t="e">
        <f t="shared" si="4"/>
        <v>#N/A</v>
      </c>
      <c r="J89" s="6" t="e">
        <f t="shared" si="5"/>
        <v>#N/A</v>
      </c>
      <c r="M89" s="64" t="s">
        <v>319</v>
      </c>
      <c r="N89" s="123">
        <v>0</v>
      </c>
    </row>
    <row r="90" spans="1:14" x14ac:dyDescent="0.3">
      <c r="A90">
        <v>0</v>
      </c>
      <c r="B90" t="e">
        <f>VLOOKUP(A90,'Clientes CBOT'!A:D,4,0)</f>
        <v>#N/A</v>
      </c>
      <c r="C90" s="7" t="e">
        <f>VLOOKUP(A90,'Statement base'!E:AO,21,0)</f>
        <v>#N/A</v>
      </c>
      <c r="D90" s="7" t="e">
        <f>VLOOKUP(A90,'Statement base'!E:AO,10,0)-VLOOKUP(A90,'Statement base'!E:AO,21,0)</f>
        <v>#N/A</v>
      </c>
      <c r="E90" t="s">
        <v>188</v>
      </c>
      <c r="F90" s="6" t="e">
        <f>VLOOKUP(A90,'Statement base'!E:AO,10,0)+VLOOKUP(A90,'Statement base'!E:AO,14,0)</f>
        <v>#N/A</v>
      </c>
      <c r="G90" s="61" t="e">
        <f>VLOOKUP(A90,'Clientes CBOT'!A:E,5,0)</f>
        <v>#N/A</v>
      </c>
      <c r="H90" t="str">
        <f t="shared" si="3"/>
        <v>Hard</v>
      </c>
      <c r="I90" s="6" t="e">
        <f t="shared" si="4"/>
        <v>#N/A</v>
      </c>
      <c r="J90" s="6" t="e">
        <f t="shared" si="5"/>
        <v>#N/A</v>
      </c>
      <c r="M90" s="64" t="s">
        <v>320</v>
      </c>
      <c r="N90" s="123">
        <v>0</v>
      </c>
    </row>
    <row r="91" spans="1:14" x14ac:dyDescent="0.3">
      <c r="A91">
        <v>0</v>
      </c>
      <c r="B91" t="e">
        <f>VLOOKUP(A91,'Clientes CBOT'!A:D,4,0)</f>
        <v>#N/A</v>
      </c>
      <c r="C91" s="7" t="e">
        <f>VLOOKUP(A91,'Statement base'!E:AO,21,0)</f>
        <v>#N/A</v>
      </c>
      <c r="D91" s="7" t="e">
        <f>VLOOKUP(A91,'Statement base'!E:AO,10,0)-VLOOKUP(A91,'Statement base'!E:AO,21,0)</f>
        <v>#N/A</v>
      </c>
      <c r="E91" t="s">
        <v>188</v>
      </c>
      <c r="F91" s="6" t="e">
        <f>VLOOKUP(A91,'Statement base'!E:AO,10,0)+VLOOKUP(A91,'Statement base'!E:AO,14,0)</f>
        <v>#N/A</v>
      </c>
      <c r="G91" s="61" t="e">
        <f>VLOOKUP(A91,'Clientes CBOT'!A:E,5,0)</f>
        <v>#N/A</v>
      </c>
      <c r="H91" t="str">
        <f t="shared" si="3"/>
        <v>Hard</v>
      </c>
      <c r="I91" s="6" t="e">
        <f t="shared" si="4"/>
        <v>#N/A</v>
      </c>
      <c r="J91" s="6" t="e">
        <f t="shared" si="5"/>
        <v>#N/A</v>
      </c>
      <c r="M91" s="64" t="s">
        <v>321</v>
      </c>
      <c r="N91" s="123">
        <v>92.57</v>
      </c>
    </row>
    <row r="92" spans="1:14" x14ac:dyDescent="0.3">
      <c r="A92">
        <v>0</v>
      </c>
      <c r="B92" t="e">
        <f>VLOOKUP(A92,'Clientes CBOT'!A:D,4,0)</f>
        <v>#N/A</v>
      </c>
      <c r="C92" s="7" t="e">
        <f>VLOOKUP(A92,'Statement base'!E:AO,21,0)</f>
        <v>#N/A</v>
      </c>
      <c r="D92" s="7" t="e">
        <f>VLOOKUP(A92,'Statement base'!E:AO,10,0)-VLOOKUP(A92,'Statement base'!E:AO,21,0)</f>
        <v>#N/A</v>
      </c>
      <c r="E92" t="s">
        <v>188</v>
      </c>
      <c r="F92" s="6" t="e">
        <f>VLOOKUP(A92,'Statement base'!E:AO,10,0)+VLOOKUP(A92,'Statement base'!E:AO,14,0)</f>
        <v>#N/A</v>
      </c>
      <c r="G92" s="61" t="e">
        <f>VLOOKUP(A92,'Clientes CBOT'!A:E,5,0)</f>
        <v>#N/A</v>
      </c>
      <c r="H92" t="str">
        <f t="shared" si="3"/>
        <v>Hard</v>
      </c>
      <c r="I92" s="6" t="e">
        <f t="shared" si="4"/>
        <v>#N/A</v>
      </c>
      <c r="J92" s="6" t="e">
        <f t="shared" si="5"/>
        <v>#N/A</v>
      </c>
      <c r="M92" s="64" t="s">
        <v>322</v>
      </c>
      <c r="N92" s="123">
        <v>-1209.19</v>
      </c>
    </row>
    <row r="93" spans="1:14" x14ac:dyDescent="0.3">
      <c r="A93">
        <v>0</v>
      </c>
      <c r="B93" t="e">
        <f>VLOOKUP(A93,'Clientes CBOT'!A:D,4,0)</f>
        <v>#N/A</v>
      </c>
      <c r="C93" s="7" t="e">
        <f>VLOOKUP(A93,'Statement base'!E:AO,21,0)</f>
        <v>#N/A</v>
      </c>
      <c r="D93" s="7" t="e">
        <f>VLOOKUP(A93,'Statement base'!E:AO,10,0)-VLOOKUP(A93,'Statement base'!E:AO,21,0)</f>
        <v>#N/A</v>
      </c>
      <c r="E93" t="s">
        <v>188</v>
      </c>
      <c r="F93" s="6" t="e">
        <f>VLOOKUP(A93,'Statement base'!E:AO,10,0)+VLOOKUP(A93,'Statement base'!E:AO,14,0)</f>
        <v>#N/A</v>
      </c>
      <c r="G93" s="61" t="e">
        <f>VLOOKUP(A93,'Clientes CBOT'!A:E,5,0)</f>
        <v>#N/A</v>
      </c>
      <c r="H93" t="str">
        <f t="shared" si="3"/>
        <v>Hard</v>
      </c>
      <c r="I93" s="6" t="e">
        <f t="shared" si="4"/>
        <v>#N/A</v>
      </c>
      <c r="J93" s="6" t="e">
        <f t="shared" si="5"/>
        <v>#N/A</v>
      </c>
      <c r="M93" s="64" t="s">
        <v>325</v>
      </c>
      <c r="N93" s="123">
        <v>18939.82</v>
      </c>
    </row>
    <row r="94" spans="1:14" x14ac:dyDescent="0.3">
      <c r="A94">
        <v>0</v>
      </c>
      <c r="B94" t="e">
        <f>VLOOKUP(A94,'Clientes CBOT'!A:D,4,0)</f>
        <v>#N/A</v>
      </c>
      <c r="C94" s="7" t="e">
        <f>VLOOKUP(A94,'Statement base'!E:AO,21,0)</f>
        <v>#N/A</v>
      </c>
      <c r="D94" s="7" t="e">
        <f>VLOOKUP(A94,'Statement base'!E:AO,10,0)-VLOOKUP(A94,'Statement base'!E:AO,21,0)</f>
        <v>#N/A</v>
      </c>
      <c r="E94" t="s">
        <v>188</v>
      </c>
      <c r="F94" s="6" t="e">
        <f>VLOOKUP(A94,'Statement base'!E:AO,10,0)+VLOOKUP(A94,'Statement base'!E:AO,14,0)</f>
        <v>#N/A</v>
      </c>
      <c r="G94" s="61" t="e">
        <f>VLOOKUP(A94,'Clientes CBOT'!A:E,5,0)</f>
        <v>#N/A</v>
      </c>
      <c r="H94" t="str">
        <f t="shared" si="3"/>
        <v>Hard</v>
      </c>
      <c r="I94" s="6" t="e">
        <f t="shared" si="4"/>
        <v>#N/A</v>
      </c>
      <c r="J94" s="6" t="e">
        <f t="shared" si="5"/>
        <v>#N/A</v>
      </c>
      <c r="M94" s="64" t="s">
        <v>215</v>
      </c>
      <c r="N94" s="123">
        <v>2.34</v>
      </c>
    </row>
    <row r="95" spans="1:14" x14ac:dyDescent="0.3">
      <c r="A95">
        <v>0</v>
      </c>
      <c r="B95" t="e">
        <f>VLOOKUP(A95,'Clientes CBOT'!A:D,4,0)</f>
        <v>#N/A</v>
      </c>
      <c r="C95" s="7" t="e">
        <f>VLOOKUP(A95,'Statement base'!E:AO,21,0)</f>
        <v>#N/A</v>
      </c>
      <c r="D95" s="7" t="e">
        <f>VLOOKUP(A95,'Statement base'!E:AO,10,0)-VLOOKUP(A95,'Statement base'!E:AO,21,0)</f>
        <v>#N/A</v>
      </c>
      <c r="E95" t="s">
        <v>188</v>
      </c>
      <c r="F95" s="6" t="e">
        <f>VLOOKUP(A95,'Statement base'!E:AO,10,0)+VLOOKUP(A95,'Statement base'!E:AO,14,0)</f>
        <v>#N/A</v>
      </c>
      <c r="G95" s="61" t="e">
        <f>VLOOKUP(A95,'Clientes CBOT'!A:E,5,0)</f>
        <v>#N/A</v>
      </c>
      <c r="H95" t="str">
        <f t="shared" si="3"/>
        <v>Hard</v>
      </c>
      <c r="I95" s="6" t="e">
        <f t="shared" si="4"/>
        <v>#N/A</v>
      </c>
      <c r="J95" s="6" t="e">
        <f t="shared" si="5"/>
        <v>#N/A</v>
      </c>
      <c r="M95" s="64" t="s">
        <v>326</v>
      </c>
      <c r="N95" s="123">
        <v>0</v>
      </c>
    </row>
    <row r="96" spans="1:14" x14ac:dyDescent="0.3">
      <c r="A96">
        <v>0</v>
      </c>
      <c r="B96" t="e">
        <f>VLOOKUP(A96,'Clientes CBOT'!A:D,4,0)</f>
        <v>#N/A</v>
      </c>
      <c r="C96" s="7" t="e">
        <f>VLOOKUP(A96,'Statement base'!E:AO,21,0)</f>
        <v>#N/A</v>
      </c>
      <c r="D96" s="7" t="e">
        <f>VLOOKUP(A96,'Statement base'!E:AO,10,0)-VLOOKUP(A96,'Statement base'!E:AO,21,0)</f>
        <v>#N/A</v>
      </c>
      <c r="E96" t="s">
        <v>188</v>
      </c>
      <c r="F96" s="6" t="e">
        <f>VLOOKUP(A96,'Statement base'!E:AO,10,0)+VLOOKUP(A96,'Statement base'!E:AO,14,0)</f>
        <v>#N/A</v>
      </c>
      <c r="G96" s="61" t="e">
        <f>VLOOKUP(A96,'Clientes CBOT'!A:E,5,0)</f>
        <v>#N/A</v>
      </c>
      <c r="H96" t="str">
        <f t="shared" si="3"/>
        <v>Hard</v>
      </c>
      <c r="I96" s="6" t="e">
        <f t="shared" si="4"/>
        <v>#N/A</v>
      </c>
      <c r="J96" s="6" t="e">
        <f t="shared" si="5"/>
        <v>#N/A</v>
      </c>
      <c r="M96" s="64" t="s">
        <v>328</v>
      </c>
      <c r="N96" s="123">
        <v>0</v>
      </c>
    </row>
    <row r="97" spans="1:14" x14ac:dyDescent="0.3">
      <c r="A97">
        <v>0</v>
      </c>
      <c r="B97" t="e">
        <f>VLOOKUP(A97,'Clientes CBOT'!A:D,4,0)</f>
        <v>#N/A</v>
      </c>
      <c r="C97" s="7" t="e">
        <f>VLOOKUP(A97,'Statement base'!E:AO,21,0)</f>
        <v>#N/A</v>
      </c>
      <c r="D97" s="7" t="e">
        <f>VLOOKUP(A97,'Statement base'!E:AO,10,0)-VLOOKUP(A97,'Statement base'!E:AO,21,0)</f>
        <v>#N/A</v>
      </c>
      <c r="E97" t="s">
        <v>188</v>
      </c>
      <c r="F97" s="6" t="e">
        <f>VLOOKUP(A97,'Statement base'!E:AO,10,0)+VLOOKUP(A97,'Statement base'!E:AO,14,0)</f>
        <v>#N/A</v>
      </c>
      <c r="G97" s="61" t="e">
        <f>VLOOKUP(A97,'Clientes CBOT'!A:E,5,0)</f>
        <v>#N/A</v>
      </c>
      <c r="H97" t="str">
        <f t="shared" si="3"/>
        <v>Hard</v>
      </c>
      <c r="I97" s="6" t="e">
        <f t="shared" si="4"/>
        <v>#N/A</v>
      </c>
      <c r="J97" s="6" t="e">
        <f t="shared" si="5"/>
        <v>#N/A</v>
      </c>
      <c r="M97" s="64" t="s">
        <v>329</v>
      </c>
      <c r="N97" s="123">
        <v>0</v>
      </c>
    </row>
    <row r="98" spans="1:14" x14ac:dyDescent="0.3">
      <c r="A98">
        <v>0</v>
      </c>
      <c r="B98" t="e">
        <f>VLOOKUP(A98,'Clientes CBOT'!A:D,4,0)</f>
        <v>#N/A</v>
      </c>
      <c r="C98" s="7" t="e">
        <f>VLOOKUP(A98,'Statement base'!E:AO,21,0)</f>
        <v>#N/A</v>
      </c>
      <c r="D98" s="7" t="e">
        <f>VLOOKUP(A98,'Statement base'!E:AO,10,0)-VLOOKUP(A98,'Statement base'!E:AO,21,0)</f>
        <v>#N/A</v>
      </c>
      <c r="E98" t="s">
        <v>188</v>
      </c>
      <c r="F98" s="6" t="e">
        <f>VLOOKUP(A98,'Statement base'!E:AO,10,0)+VLOOKUP(A98,'Statement base'!E:AO,14,0)</f>
        <v>#N/A</v>
      </c>
      <c r="G98" s="61" t="e">
        <f>VLOOKUP(A98,'Clientes CBOT'!A:E,5,0)</f>
        <v>#N/A</v>
      </c>
      <c r="H98" t="str">
        <f t="shared" si="3"/>
        <v>Hard</v>
      </c>
      <c r="I98" s="6" t="e">
        <f t="shared" si="4"/>
        <v>#N/A</v>
      </c>
      <c r="J98" s="6" t="e">
        <f t="shared" si="5"/>
        <v>#N/A</v>
      </c>
      <c r="M98" s="64" t="s">
        <v>331</v>
      </c>
      <c r="N98" s="123">
        <v>2353.91</v>
      </c>
    </row>
    <row r="99" spans="1:14" x14ac:dyDescent="0.3">
      <c r="A99">
        <v>0</v>
      </c>
      <c r="B99" t="e">
        <f>VLOOKUP(A99,'Clientes CBOT'!A:D,4,0)</f>
        <v>#N/A</v>
      </c>
      <c r="C99" s="7" t="e">
        <f>VLOOKUP(A99,'Statement base'!E:AO,21,0)</f>
        <v>#N/A</v>
      </c>
      <c r="D99" s="7" t="e">
        <f>VLOOKUP(A99,'Statement base'!E:AO,10,0)-VLOOKUP(A99,'Statement base'!E:AO,21,0)</f>
        <v>#N/A</v>
      </c>
      <c r="E99" t="s">
        <v>188</v>
      </c>
      <c r="F99" s="6" t="e">
        <f>VLOOKUP(A99,'Statement base'!E:AO,10,0)+VLOOKUP(A99,'Statement base'!E:AO,14,0)</f>
        <v>#N/A</v>
      </c>
      <c r="G99" s="61" t="e">
        <f>VLOOKUP(A99,'Clientes CBOT'!A:E,5,0)</f>
        <v>#N/A</v>
      </c>
      <c r="H99" t="str">
        <f t="shared" si="3"/>
        <v>Hard</v>
      </c>
      <c r="I99" s="6" t="e">
        <f t="shared" si="4"/>
        <v>#N/A</v>
      </c>
      <c r="J99" s="6" t="e">
        <f t="shared" si="5"/>
        <v>#N/A</v>
      </c>
      <c r="M99" s="64" t="s">
        <v>332</v>
      </c>
      <c r="N99" s="123">
        <v>36692.06</v>
      </c>
    </row>
    <row r="100" spans="1:14" x14ac:dyDescent="0.3">
      <c r="A100">
        <v>0</v>
      </c>
      <c r="B100" t="e">
        <f>VLOOKUP(A100,'Clientes CBOT'!A:D,4,0)</f>
        <v>#N/A</v>
      </c>
      <c r="C100" s="7" t="e">
        <f>VLOOKUP(A100,'Statement base'!E:AO,21,0)</f>
        <v>#N/A</v>
      </c>
      <c r="D100" s="7" t="e">
        <f>VLOOKUP(A100,'Statement base'!E:AO,10,0)-VLOOKUP(A100,'Statement base'!E:AO,21,0)</f>
        <v>#N/A</v>
      </c>
      <c r="E100" t="s">
        <v>188</v>
      </c>
      <c r="F100" s="6" t="e">
        <f>VLOOKUP(A100,'Statement base'!E:AO,10,0)+VLOOKUP(A100,'Statement base'!E:AO,14,0)</f>
        <v>#N/A</v>
      </c>
      <c r="G100" s="61" t="e">
        <f>VLOOKUP(A100,'Clientes CBOT'!A:E,5,0)</f>
        <v>#N/A</v>
      </c>
      <c r="H100" t="str">
        <f t="shared" si="3"/>
        <v>Hard</v>
      </c>
      <c r="I100" s="6" t="e">
        <f t="shared" si="4"/>
        <v>#N/A</v>
      </c>
      <c r="J100" s="6" t="e">
        <f t="shared" si="5"/>
        <v>#N/A</v>
      </c>
      <c r="M100" s="64" t="s">
        <v>333</v>
      </c>
      <c r="N100" s="123">
        <v>228.23</v>
      </c>
    </row>
    <row r="101" spans="1:14" x14ac:dyDescent="0.3">
      <c r="A101">
        <v>0</v>
      </c>
      <c r="B101" t="e">
        <f>VLOOKUP(A101,'Clientes CBOT'!A:D,4,0)</f>
        <v>#N/A</v>
      </c>
      <c r="C101" s="7" t="e">
        <f>VLOOKUP(A101,'Statement base'!E:AO,21,0)</f>
        <v>#N/A</v>
      </c>
      <c r="D101" s="7" t="e">
        <f>VLOOKUP(A101,'Statement base'!E:AO,10,0)-VLOOKUP(A101,'Statement base'!E:AO,21,0)</f>
        <v>#N/A</v>
      </c>
      <c r="E101" t="s">
        <v>188</v>
      </c>
      <c r="F101" s="6" t="e">
        <f>VLOOKUP(A101,'Statement base'!E:AO,10,0)+VLOOKUP(A101,'Statement base'!E:AO,14,0)</f>
        <v>#N/A</v>
      </c>
      <c r="G101" s="61" t="e">
        <f>VLOOKUP(A101,'Clientes CBOT'!A:E,5,0)</f>
        <v>#N/A</v>
      </c>
      <c r="H101" t="str">
        <f t="shared" si="3"/>
        <v>Hard</v>
      </c>
      <c r="I101" s="6" t="e">
        <f t="shared" si="4"/>
        <v>#N/A</v>
      </c>
      <c r="J101" s="6" t="e">
        <f t="shared" si="5"/>
        <v>#N/A</v>
      </c>
      <c r="M101" s="64" t="s">
        <v>335</v>
      </c>
      <c r="N101" s="123">
        <v>1656.4</v>
      </c>
    </row>
    <row r="102" spans="1:14" x14ac:dyDescent="0.3">
      <c r="A102">
        <v>0</v>
      </c>
      <c r="B102" t="e">
        <f>VLOOKUP(A102,'Clientes CBOT'!A:D,4,0)</f>
        <v>#N/A</v>
      </c>
      <c r="C102" s="7" t="e">
        <f>VLOOKUP(A102,'Statement base'!E:AO,21,0)</f>
        <v>#N/A</v>
      </c>
      <c r="D102" s="7" t="e">
        <f>VLOOKUP(A102,'Statement base'!E:AO,10,0)-VLOOKUP(A102,'Statement base'!E:AO,21,0)</f>
        <v>#N/A</v>
      </c>
      <c r="E102" t="s">
        <v>188</v>
      </c>
      <c r="F102" s="6" t="e">
        <f>VLOOKUP(A102,'Statement base'!E:AO,10,0)+VLOOKUP(A102,'Statement base'!E:AO,14,0)</f>
        <v>#N/A</v>
      </c>
      <c r="G102" s="61" t="e">
        <f>VLOOKUP(A102,'Clientes CBOT'!A:E,5,0)</f>
        <v>#N/A</v>
      </c>
      <c r="H102" t="str">
        <f t="shared" si="3"/>
        <v>Hard</v>
      </c>
      <c r="I102" s="6" t="e">
        <f t="shared" si="4"/>
        <v>#N/A</v>
      </c>
      <c r="J102" s="6" t="e">
        <f t="shared" si="5"/>
        <v>#N/A</v>
      </c>
      <c r="M102" s="64" t="s">
        <v>336</v>
      </c>
      <c r="N102" s="123">
        <v>-516057.78</v>
      </c>
    </row>
    <row r="103" spans="1:14" x14ac:dyDescent="0.3">
      <c r="A103">
        <v>0</v>
      </c>
      <c r="B103" t="e">
        <f>VLOOKUP(A103,'Clientes CBOT'!A:D,4,0)</f>
        <v>#N/A</v>
      </c>
      <c r="C103" s="7" t="e">
        <f>VLOOKUP(A103,'Statement base'!E:AO,21,0)</f>
        <v>#N/A</v>
      </c>
      <c r="D103" s="7" t="e">
        <f>VLOOKUP(A103,'Statement base'!E:AO,10,0)-VLOOKUP(A103,'Statement base'!E:AO,21,0)</f>
        <v>#N/A</v>
      </c>
      <c r="E103" t="s">
        <v>188</v>
      </c>
      <c r="F103" s="6" t="e">
        <f>VLOOKUP(A103,'Statement base'!E:AO,10,0)+VLOOKUP(A103,'Statement base'!E:AO,14,0)</f>
        <v>#N/A</v>
      </c>
      <c r="G103" s="61" t="e">
        <f>VLOOKUP(A103,'Clientes CBOT'!A:E,5,0)</f>
        <v>#N/A</v>
      </c>
      <c r="H103" t="str">
        <f t="shared" si="3"/>
        <v>Hard</v>
      </c>
      <c r="I103" s="6" t="e">
        <f t="shared" si="4"/>
        <v>#N/A</v>
      </c>
      <c r="J103" s="6" t="e">
        <f t="shared" si="5"/>
        <v>#N/A</v>
      </c>
      <c r="M103" s="64" t="s">
        <v>338</v>
      </c>
      <c r="N103" s="123">
        <v>-4491768.5599999996</v>
      </c>
    </row>
    <row r="104" spans="1:14" x14ac:dyDescent="0.3">
      <c r="A104">
        <v>0</v>
      </c>
      <c r="B104" t="e">
        <f>VLOOKUP(A104,'Clientes CBOT'!A:D,4,0)</f>
        <v>#N/A</v>
      </c>
      <c r="C104" s="7" t="e">
        <f>VLOOKUP(A104,'Statement base'!E:AO,21,0)</f>
        <v>#N/A</v>
      </c>
      <c r="D104" s="7" t="e">
        <f>VLOOKUP(A104,'Statement base'!E:AO,10,0)-VLOOKUP(A104,'Statement base'!E:AO,21,0)</f>
        <v>#N/A</v>
      </c>
      <c r="E104" t="s">
        <v>188</v>
      </c>
      <c r="F104" s="6" t="e">
        <f>VLOOKUP(A104,'Statement base'!E:AO,10,0)+VLOOKUP(A104,'Statement base'!E:AO,14,0)</f>
        <v>#N/A</v>
      </c>
      <c r="G104" s="61" t="e">
        <f>VLOOKUP(A104,'Clientes CBOT'!A:E,5,0)</f>
        <v>#N/A</v>
      </c>
      <c r="H104" t="str">
        <f t="shared" si="3"/>
        <v>Hard</v>
      </c>
      <c r="I104" s="6" t="e">
        <f t="shared" si="4"/>
        <v>#N/A</v>
      </c>
      <c r="J104" s="6" t="e">
        <f t="shared" si="5"/>
        <v>#N/A</v>
      </c>
      <c r="M104" s="64" t="s">
        <v>340</v>
      </c>
      <c r="N104" s="123">
        <v>485.34</v>
      </c>
    </row>
    <row r="105" spans="1:14" x14ac:dyDescent="0.3">
      <c r="A105">
        <v>0</v>
      </c>
      <c r="B105" t="e">
        <f>VLOOKUP(A105,'Clientes CBOT'!A:D,4,0)</f>
        <v>#N/A</v>
      </c>
      <c r="C105" s="7" t="e">
        <f>VLOOKUP(A105,'Statement base'!E:AO,21,0)</f>
        <v>#N/A</v>
      </c>
      <c r="D105" s="7" t="e">
        <f>VLOOKUP(A105,'Statement base'!E:AO,10,0)-VLOOKUP(A105,'Statement base'!E:AO,21,0)</f>
        <v>#N/A</v>
      </c>
      <c r="E105" t="s">
        <v>188</v>
      </c>
      <c r="F105" s="6" t="e">
        <f>VLOOKUP(A105,'Statement base'!E:AO,10,0)+VLOOKUP(A105,'Statement base'!E:AO,14,0)</f>
        <v>#N/A</v>
      </c>
      <c r="G105" s="61" t="e">
        <f>VLOOKUP(A105,'Clientes CBOT'!A:E,5,0)</f>
        <v>#N/A</v>
      </c>
      <c r="H105" t="str">
        <f t="shared" si="3"/>
        <v>Hard</v>
      </c>
      <c r="I105" s="6" t="e">
        <f t="shared" si="4"/>
        <v>#N/A</v>
      </c>
      <c r="J105" s="6" t="e">
        <f t="shared" si="5"/>
        <v>#N/A</v>
      </c>
      <c r="M105" s="64" t="s">
        <v>341</v>
      </c>
      <c r="N105" s="123">
        <v>-55370529.939999998</v>
      </c>
    </row>
    <row r="106" spans="1:14" x14ac:dyDescent="0.3">
      <c r="A106">
        <v>0</v>
      </c>
      <c r="B106" t="e">
        <f>VLOOKUP(A106,'Clientes CBOT'!A:D,4,0)</f>
        <v>#N/A</v>
      </c>
      <c r="C106" s="7" t="e">
        <f>VLOOKUP(A106,'Statement base'!E:AO,21,0)</f>
        <v>#N/A</v>
      </c>
      <c r="D106" s="7" t="e">
        <f>VLOOKUP(A106,'Statement base'!E:AO,10,0)-VLOOKUP(A106,'Statement base'!E:AO,21,0)</f>
        <v>#N/A</v>
      </c>
      <c r="E106" t="s">
        <v>188</v>
      </c>
      <c r="F106" s="6" t="e">
        <f>VLOOKUP(A106,'Statement base'!E:AO,10,0)+VLOOKUP(A106,'Statement base'!E:AO,14,0)</f>
        <v>#N/A</v>
      </c>
      <c r="G106" s="61" t="e">
        <f>VLOOKUP(A106,'Clientes CBOT'!A:E,5,0)</f>
        <v>#N/A</v>
      </c>
      <c r="H106" t="str">
        <f t="shared" si="3"/>
        <v>Hard</v>
      </c>
      <c r="I106" s="6" t="e">
        <f t="shared" si="4"/>
        <v>#N/A</v>
      </c>
      <c r="J106" s="6" t="e">
        <f t="shared" si="5"/>
        <v>#N/A</v>
      </c>
      <c r="M106" s="64" t="s">
        <v>342</v>
      </c>
      <c r="N106" s="123">
        <v>-99999999.829999998</v>
      </c>
    </row>
    <row r="107" spans="1:14" x14ac:dyDescent="0.3">
      <c r="A107">
        <v>0</v>
      </c>
      <c r="B107" t="e">
        <f>VLOOKUP(A107,'Clientes CBOT'!A:D,4,0)</f>
        <v>#N/A</v>
      </c>
      <c r="C107" s="7" t="e">
        <f>VLOOKUP(A107,'Statement base'!E:AO,21,0)</f>
        <v>#N/A</v>
      </c>
      <c r="D107" s="7" t="e">
        <f>VLOOKUP(A107,'Statement base'!E:AO,10,0)-VLOOKUP(A107,'Statement base'!E:AO,21,0)</f>
        <v>#N/A</v>
      </c>
      <c r="E107" t="s">
        <v>188</v>
      </c>
      <c r="F107" s="6" t="e">
        <f>VLOOKUP(A107,'Statement base'!E:AO,10,0)+VLOOKUP(A107,'Statement base'!E:AO,14,0)</f>
        <v>#N/A</v>
      </c>
      <c r="G107" s="61" t="e">
        <f>VLOOKUP(A107,'Clientes CBOT'!A:E,5,0)</f>
        <v>#N/A</v>
      </c>
      <c r="H107" t="str">
        <f t="shared" si="3"/>
        <v>Hard</v>
      </c>
      <c r="I107" s="6" t="e">
        <f t="shared" si="4"/>
        <v>#N/A</v>
      </c>
      <c r="J107" s="6" t="e">
        <f t="shared" si="5"/>
        <v>#N/A</v>
      </c>
      <c r="M107" s="64" t="s">
        <v>344</v>
      </c>
      <c r="N107" s="123">
        <v>-19940.07</v>
      </c>
    </row>
    <row r="108" spans="1:14" x14ac:dyDescent="0.3">
      <c r="A108">
        <v>0</v>
      </c>
      <c r="B108" t="e">
        <f>VLOOKUP(A108,'Clientes CBOT'!A:D,4,0)</f>
        <v>#N/A</v>
      </c>
      <c r="C108" s="7" t="e">
        <f>VLOOKUP(A108,'Statement base'!E:AO,21,0)</f>
        <v>#N/A</v>
      </c>
      <c r="D108" s="7" t="e">
        <f>VLOOKUP(A108,'Statement base'!E:AO,10,0)-VLOOKUP(A108,'Statement base'!E:AO,21,0)</f>
        <v>#N/A</v>
      </c>
      <c r="E108" t="s">
        <v>188</v>
      </c>
      <c r="F108" s="6" t="e">
        <f>VLOOKUP(A108,'Statement base'!E:AO,10,0)+VLOOKUP(A108,'Statement base'!E:AO,14,0)</f>
        <v>#N/A</v>
      </c>
      <c r="G108" s="61" t="e">
        <f>VLOOKUP(A108,'Clientes CBOT'!A:E,5,0)</f>
        <v>#N/A</v>
      </c>
      <c r="H108" t="str">
        <f t="shared" si="3"/>
        <v>Hard</v>
      </c>
      <c r="I108" s="6" t="e">
        <f t="shared" si="4"/>
        <v>#N/A</v>
      </c>
      <c r="J108" s="6" t="e">
        <f t="shared" si="5"/>
        <v>#N/A</v>
      </c>
      <c r="M108" s="64" t="s">
        <v>345</v>
      </c>
      <c r="N108" s="123">
        <v>7079.4800000000005</v>
      </c>
    </row>
    <row r="109" spans="1:14" x14ac:dyDescent="0.3">
      <c r="A109">
        <v>0</v>
      </c>
      <c r="B109" t="e">
        <f>VLOOKUP(A109,'Clientes CBOT'!A:D,4,0)</f>
        <v>#N/A</v>
      </c>
      <c r="C109" s="7" t="e">
        <f>VLOOKUP(A109,'Statement base'!E:AO,21,0)</f>
        <v>#N/A</v>
      </c>
      <c r="D109" s="7" t="e">
        <f>VLOOKUP(A109,'Statement base'!E:AO,10,0)-VLOOKUP(A109,'Statement base'!E:AO,21,0)</f>
        <v>#N/A</v>
      </c>
      <c r="E109" t="s">
        <v>188</v>
      </c>
      <c r="F109" s="6" t="e">
        <f>VLOOKUP(A109,'Statement base'!E:AO,10,0)+VLOOKUP(A109,'Statement base'!E:AO,14,0)</f>
        <v>#N/A</v>
      </c>
      <c r="G109" s="61" t="e">
        <f>VLOOKUP(A109,'Clientes CBOT'!A:E,5,0)</f>
        <v>#N/A</v>
      </c>
      <c r="H109" t="str">
        <f t="shared" si="3"/>
        <v>Hard</v>
      </c>
      <c r="I109" s="6" t="e">
        <f t="shared" si="4"/>
        <v>#N/A</v>
      </c>
      <c r="J109" s="6" t="e">
        <f t="shared" si="5"/>
        <v>#N/A</v>
      </c>
      <c r="M109" s="64" t="s">
        <v>346</v>
      </c>
      <c r="N109" s="123">
        <v>241.63</v>
      </c>
    </row>
    <row r="110" spans="1:14" x14ac:dyDescent="0.3">
      <c r="A110">
        <v>0</v>
      </c>
      <c r="B110" t="e">
        <f>VLOOKUP(A110,'Clientes CBOT'!A:D,4,0)</f>
        <v>#N/A</v>
      </c>
      <c r="C110" s="7" t="e">
        <f>VLOOKUP(A110,'Statement base'!E:AO,21,0)</f>
        <v>#N/A</v>
      </c>
      <c r="D110" s="7" t="e">
        <f>VLOOKUP(A110,'Statement base'!E:AO,10,0)-VLOOKUP(A110,'Statement base'!E:AO,21,0)</f>
        <v>#N/A</v>
      </c>
      <c r="E110" t="s">
        <v>188</v>
      </c>
      <c r="F110" s="6" t="e">
        <f>VLOOKUP(A110,'Statement base'!E:AO,10,0)+VLOOKUP(A110,'Statement base'!E:AO,14,0)</f>
        <v>#N/A</v>
      </c>
      <c r="G110" s="61" t="e">
        <f>VLOOKUP(A110,'Clientes CBOT'!A:E,5,0)</f>
        <v>#N/A</v>
      </c>
      <c r="H110" t="str">
        <f t="shared" si="3"/>
        <v>Hard</v>
      </c>
      <c r="I110" s="6" t="e">
        <f t="shared" si="4"/>
        <v>#N/A</v>
      </c>
      <c r="J110" s="6" t="e">
        <f t="shared" si="5"/>
        <v>#N/A</v>
      </c>
      <c r="M110" s="64" t="s">
        <v>348</v>
      </c>
      <c r="N110" s="123">
        <v>-28294.87</v>
      </c>
    </row>
    <row r="111" spans="1:14" x14ac:dyDescent="0.3">
      <c r="A111">
        <v>0</v>
      </c>
      <c r="B111" t="e">
        <f>VLOOKUP(A111,'Clientes CBOT'!A:D,4,0)</f>
        <v>#N/A</v>
      </c>
      <c r="C111" s="7" t="e">
        <f>VLOOKUP(A111,'Statement base'!E:AO,21,0)</f>
        <v>#N/A</v>
      </c>
      <c r="D111" s="7" t="e">
        <f>VLOOKUP(A111,'Statement base'!E:AO,10,0)-VLOOKUP(A111,'Statement base'!E:AO,21,0)</f>
        <v>#N/A</v>
      </c>
      <c r="E111" t="s">
        <v>188</v>
      </c>
      <c r="F111" s="6" t="e">
        <f>VLOOKUP(A111,'Statement base'!E:AO,10,0)+VLOOKUP(A111,'Statement base'!E:AO,14,0)</f>
        <v>#N/A</v>
      </c>
      <c r="G111" s="61" t="e">
        <f>VLOOKUP(A111,'Clientes CBOT'!A:E,5,0)</f>
        <v>#N/A</v>
      </c>
      <c r="H111" t="str">
        <f t="shared" si="3"/>
        <v>Hard</v>
      </c>
      <c r="I111" s="6" t="e">
        <f t="shared" si="4"/>
        <v>#N/A</v>
      </c>
      <c r="J111" s="6" t="e">
        <f t="shared" si="5"/>
        <v>#N/A</v>
      </c>
      <c r="M111" s="64" t="s">
        <v>349</v>
      </c>
      <c r="N111" s="123">
        <v>0</v>
      </c>
    </row>
    <row r="112" spans="1:14" x14ac:dyDescent="0.3">
      <c r="A112">
        <v>0</v>
      </c>
      <c r="B112" t="e">
        <f>VLOOKUP(A112,'Clientes CBOT'!A:D,4,0)</f>
        <v>#N/A</v>
      </c>
      <c r="C112" s="7" t="e">
        <f>VLOOKUP(A112,'Statement base'!E:AO,21,0)</f>
        <v>#N/A</v>
      </c>
      <c r="D112" s="7" t="e">
        <f>VLOOKUP(A112,'Statement base'!E:AO,10,0)-VLOOKUP(A112,'Statement base'!E:AO,21,0)</f>
        <v>#N/A</v>
      </c>
      <c r="E112" t="s">
        <v>188</v>
      </c>
      <c r="F112" s="6" t="e">
        <f>VLOOKUP(A112,'Statement base'!E:AO,10,0)+VLOOKUP(A112,'Statement base'!E:AO,14,0)</f>
        <v>#N/A</v>
      </c>
      <c r="G112" s="61" t="e">
        <f>VLOOKUP(A112,'Clientes CBOT'!A:E,5,0)</f>
        <v>#N/A</v>
      </c>
      <c r="H112" t="str">
        <f t="shared" si="3"/>
        <v>Hard</v>
      </c>
      <c r="I112" s="6" t="e">
        <f t="shared" si="4"/>
        <v>#N/A</v>
      </c>
      <c r="J112" s="6" t="e">
        <f t="shared" si="5"/>
        <v>#N/A</v>
      </c>
      <c r="M112" s="64" t="s">
        <v>351</v>
      </c>
      <c r="N112" s="123">
        <v>4.16</v>
      </c>
    </row>
    <row r="113" spans="1:14" x14ac:dyDescent="0.3">
      <c r="A113">
        <v>0</v>
      </c>
      <c r="B113" t="e">
        <f>VLOOKUP(A113,'Clientes CBOT'!A:D,4,0)</f>
        <v>#N/A</v>
      </c>
      <c r="C113" s="7" t="e">
        <f>VLOOKUP(A113,'Statement base'!E:AO,21,0)</f>
        <v>#N/A</v>
      </c>
      <c r="D113" s="7" t="e">
        <f>VLOOKUP(A113,'Statement base'!E:AO,10,0)-VLOOKUP(A113,'Statement base'!E:AO,21,0)</f>
        <v>#N/A</v>
      </c>
      <c r="E113" t="s">
        <v>188</v>
      </c>
      <c r="F113" s="6" t="e">
        <f>VLOOKUP(A113,'Statement base'!E:AO,10,0)+VLOOKUP(A113,'Statement base'!E:AO,14,0)</f>
        <v>#N/A</v>
      </c>
      <c r="G113" s="61" t="e">
        <f>VLOOKUP(A113,'Clientes CBOT'!A:E,5,0)</f>
        <v>#N/A</v>
      </c>
      <c r="H113" t="str">
        <f t="shared" si="3"/>
        <v>Hard</v>
      </c>
      <c r="I113" s="6" t="e">
        <f t="shared" si="4"/>
        <v>#N/A</v>
      </c>
      <c r="J113" s="6" t="e">
        <f t="shared" si="5"/>
        <v>#N/A</v>
      </c>
      <c r="M113" s="64" t="s">
        <v>352</v>
      </c>
      <c r="N113" s="123">
        <v>-17.21</v>
      </c>
    </row>
    <row r="114" spans="1:14" x14ac:dyDescent="0.3">
      <c r="A114">
        <v>0</v>
      </c>
      <c r="B114" t="e">
        <f>VLOOKUP(A114,'Clientes CBOT'!A:D,4,0)</f>
        <v>#N/A</v>
      </c>
      <c r="C114" s="7" t="e">
        <f>VLOOKUP(A114,'Statement base'!E:AO,21,0)</f>
        <v>#N/A</v>
      </c>
      <c r="D114" s="7" t="e">
        <f>VLOOKUP(A114,'Statement base'!E:AO,10,0)-VLOOKUP(A114,'Statement base'!E:AO,21,0)</f>
        <v>#N/A</v>
      </c>
      <c r="E114" t="s">
        <v>188</v>
      </c>
      <c r="F114" s="6" t="e">
        <f>VLOOKUP(A114,'Statement base'!E:AO,10,0)+VLOOKUP(A114,'Statement base'!E:AO,14,0)</f>
        <v>#N/A</v>
      </c>
      <c r="G114" s="61" t="e">
        <f>VLOOKUP(A114,'Clientes CBOT'!A:E,5,0)</f>
        <v>#N/A</v>
      </c>
      <c r="H114" t="str">
        <f t="shared" si="3"/>
        <v>Hard</v>
      </c>
      <c r="I114" s="6" t="e">
        <f t="shared" si="4"/>
        <v>#N/A</v>
      </c>
      <c r="J114" s="6" t="e">
        <f t="shared" si="5"/>
        <v>#N/A</v>
      </c>
      <c r="M114" s="64" t="s">
        <v>354</v>
      </c>
      <c r="N114" s="123">
        <v>13.4</v>
      </c>
    </row>
    <row r="115" spans="1:14" x14ac:dyDescent="0.3">
      <c r="A115">
        <v>0</v>
      </c>
      <c r="B115" t="e">
        <f>VLOOKUP(A115,'Clientes CBOT'!A:D,4,0)</f>
        <v>#N/A</v>
      </c>
      <c r="C115" s="7" t="e">
        <f>VLOOKUP(A115,'Statement base'!E:AO,21,0)</f>
        <v>#N/A</v>
      </c>
      <c r="D115" s="7" t="e">
        <f>VLOOKUP(A115,'Statement base'!E:AO,10,0)-VLOOKUP(A115,'Statement base'!E:AO,21,0)</f>
        <v>#N/A</v>
      </c>
      <c r="E115" t="s">
        <v>188</v>
      </c>
      <c r="F115" s="6" t="e">
        <f>VLOOKUP(A115,'Statement base'!E:AO,10,0)+VLOOKUP(A115,'Statement base'!E:AO,14,0)</f>
        <v>#N/A</v>
      </c>
      <c r="G115" s="61" t="e">
        <f>VLOOKUP(A115,'Clientes CBOT'!A:E,5,0)</f>
        <v>#N/A</v>
      </c>
      <c r="H115" t="str">
        <f t="shared" si="3"/>
        <v>Hard</v>
      </c>
      <c r="I115" s="6" t="e">
        <f t="shared" si="4"/>
        <v>#N/A</v>
      </c>
      <c r="J115" s="6" t="e">
        <f t="shared" si="5"/>
        <v>#N/A</v>
      </c>
      <c r="M115" s="64" t="s">
        <v>355</v>
      </c>
      <c r="N115" s="123">
        <v>0</v>
      </c>
    </row>
    <row r="116" spans="1:14" x14ac:dyDescent="0.3">
      <c r="A116">
        <v>0</v>
      </c>
      <c r="B116" t="e">
        <f>VLOOKUP(A116,'Clientes CBOT'!A:D,4,0)</f>
        <v>#N/A</v>
      </c>
      <c r="C116" s="7" t="e">
        <f>VLOOKUP(A116,'Statement base'!E:AO,21,0)</f>
        <v>#N/A</v>
      </c>
      <c r="D116" s="7" t="e">
        <f>VLOOKUP(A116,'Statement base'!E:AO,10,0)-VLOOKUP(A116,'Statement base'!E:AO,21,0)</f>
        <v>#N/A</v>
      </c>
      <c r="E116" t="s">
        <v>188</v>
      </c>
      <c r="F116" s="6" t="e">
        <f>VLOOKUP(A116,'Statement base'!E:AO,10,0)+VLOOKUP(A116,'Statement base'!E:AO,14,0)</f>
        <v>#N/A</v>
      </c>
      <c r="G116" s="61" t="e">
        <f>VLOOKUP(A116,'Clientes CBOT'!A:E,5,0)</f>
        <v>#N/A</v>
      </c>
      <c r="H116" t="str">
        <f t="shared" si="3"/>
        <v>Hard</v>
      </c>
      <c r="I116" s="6" t="e">
        <f t="shared" si="4"/>
        <v>#N/A</v>
      </c>
      <c r="J116" s="6" t="e">
        <f t="shared" si="5"/>
        <v>#N/A</v>
      </c>
      <c r="M116" s="64" t="s">
        <v>356</v>
      </c>
      <c r="N116" s="123">
        <v>2599.1799999999998</v>
      </c>
    </row>
    <row r="117" spans="1:14" x14ac:dyDescent="0.3">
      <c r="A117">
        <v>0</v>
      </c>
      <c r="B117" t="e">
        <f>VLOOKUP(A117,'Clientes CBOT'!A:D,4,0)</f>
        <v>#N/A</v>
      </c>
      <c r="C117" s="7" t="e">
        <f>VLOOKUP(A117,'Statement base'!E:AO,21,0)</f>
        <v>#N/A</v>
      </c>
      <c r="D117" s="7" t="e">
        <f>VLOOKUP(A117,'Statement base'!E:AO,10,0)-VLOOKUP(A117,'Statement base'!E:AO,21,0)</f>
        <v>#N/A</v>
      </c>
      <c r="E117" t="s">
        <v>188</v>
      </c>
      <c r="F117" s="6" t="e">
        <f>VLOOKUP(A117,'Statement base'!E:AO,10,0)+VLOOKUP(A117,'Statement base'!E:AO,14,0)</f>
        <v>#N/A</v>
      </c>
      <c r="G117" s="61" t="e">
        <f>VLOOKUP(A117,'Clientes CBOT'!A:E,5,0)</f>
        <v>#N/A</v>
      </c>
      <c r="H117" t="str">
        <f t="shared" si="3"/>
        <v>Hard</v>
      </c>
      <c r="I117" s="6" t="e">
        <f t="shared" si="4"/>
        <v>#N/A</v>
      </c>
      <c r="J117" s="6" t="e">
        <f t="shared" si="5"/>
        <v>#N/A</v>
      </c>
      <c r="M117" s="64" t="s">
        <v>359</v>
      </c>
      <c r="N117" s="123">
        <v>0</v>
      </c>
    </row>
    <row r="118" spans="1:14" x14ac:dyDescent="0.3">
      <c r="A118">
        <v>0</v>
      </c>
      <c r="B118" t="e">
        <f>VLOOKUP(A118,'Clientes CBOT'!A:D,4,0)</f>
        <v>#N/A</v>
      </c>
      <c r="C118" s="7" t="e">
        <f>VLOOKUP(A118,'Statement base'!E:AO,21,0)</f>
        <v>#N/A</v>
      </c>
      <c r="D118" s="7" t="e">
        <f>VLOOKUP(A118,'Statement base'!E:AO,10,0)-VLOOKUP(A118,'Statement base'!E:AO,21,0)</f>
        <v>#N/A</v>
      </c>
      <c r="E118" t="s">
        <v>188</v>
      </c>
      <c r="F118" s="6" t="e">
        <f>VLOOKUP(A118,'Statement base'!E:AO,10,0)+VLOOKUP(A118,'Statement base'!E:AO,14,0)</f>
        <v>#N/A</v>
      </c>
      <c r="G118" s="61" t="e">
        <f>VLOOKUP(A118,'Clientes CBOT'!A:E,5,0)</f>
        <v>#N/A</v>
      </c>
      <c r="H118" t="str">
        <f t="shared" si="3"/>
        <v>Hard</v>
      </c>
      <c r="I118" s="6" t="e">
        <f t="shared" si="4"/>
        <v>#N/A</v>
      </c>
      <c r="J118" s="6" t="e">
        <f t="shared" si="5"/>
        <v>#N/A</v>
      </c>
      <c r="M118" s="64" t="s">
        <v>360</v>
      </c>
      <c r="N118" s="123">
        <v>-129830.5</v>
      </c>
    </row>
    <row r="119" spans="1:14" x14ac:dyDescent="0.3">
      <c r="A119">
        <v>0</v>
      </c>
      <c r="B119" t="e">
        <f>VLOOKUP(A119,'Clientes CBOT'!A:D,4,0)</f>
        <v>#N/A</v>
      </c>
      <c r="C119" s="7" t="e">
        <f>VLOOKUP(A119,'Statement base'!E:AO,21,0)</f>
        <v>#N/A</v>
      </c>
      <c r="D119" s="7" t="e">
        <f>VLOOKUP(A119,'Statement base'!E:AO,10,0)-VLOOKUP(A119,'Statement base'!E:AO,21,0)</f>
        <v>#N/A</v>
      </c>
      <c r="E119" t="s">
        <v>188</v>
      </c>
      <c r="F119" s="6" t="e">
        <f>VLOOKUP(A119,'Statement base'!E:AO,10,0)+VLOOKUP(A119,'Statement base'!E:AO,14,0)</f>
        <v>#N/A</v>
      </c>
      <c r="G119" s="61" t="e">
        <f>VLOOKUP(A119,'Clientes CBOT'!A:E,5,0)</f>
        <v>#N/A</v>
      </c>
      <c r="H119" t="str">
        <f t="shared" si="3"/>
        <v>Hard</v>
      </c>
      <c r="I119" s="6" t="e">
        <f t="shared" si="4"/>
        <v>#N/A</v>
      </c>
      <c r="J119" s="6" t="e">
        <f t="shared" si="5"/>
        <v>#N/A</v>
      </c>
      <c r="M119" s="64" t="s">
        <v>361</v>
      </c>
      <c r="N119" s="123">
        <v>0</v>
      </c>
    </row>
    <row r="120" spans="1:14" x14ac:dyDescent="0.3">
      <c r="A120">
        <v>0</v>
      </c>
      <c r="B120" t="e">
        <f>VLOOKUP(A120,'Clientes CBOT'!A:D,4,0)</f>
        <v>#N/A</v>
      </c>
      <c r="C120" s="7" t="e">
        <f>VLOOKUP(A120,'Statement base'!E:AO,21,0)</f>
        <v>#N/A</v>
      </c>
      <c r="D120" s="7" t="e">
        <f>VLOOKUP(A120,'Statement base'!E:AO,10,0)-VLOOKUP(A120,'Statement base'!E:AO,21,0)</f>
        <v>#N/A</v>
      </c>
      <c r="E120" t="s">
        <v>188</v>
      </c>
      <c r="F120" s="6" t="e">
        <f>VLOOKUP(A120,'Statement base'!E:AO,10,0)+VLOOKUP(A120,'Statement base'!E:AO,14,0)</f>
        <v>#N/A</v>
      </c>
      <c r="G120" s="61" t="e">
        <f>VLOOKUP(A120,'Clientes CBOT'!A:E,5,0)</f>
        <v>#N/A</v>
      </c>
      <c r="H120" t="str">
        <f t="shared" si="3"/>
        <v>Hard</v>
      </c>
      <c r="I120" s="6" t="e">
        <f t="shared" si="4"/>
        <v>#N/A</v>
      </c>
      <c r="J120" s="6" t="e">
        <f t="shared" si="5"/>
        <v>#N/A</v>
      </c>
      <c r="M120" s="64" t="s">
        <v>363</v>
      </c>
      <c r="N120" s="123">
        <v>-10014584.02</v>
      </c>
    </row>
    <row r="121" spans="1:14" x14ac:dyDescent="0.3">
      <c r="A121">
        <v>0</v>
      </c>
      <c r="B121" t="e">
        <f>VLOOKUP(A121,'Clientes CBOT'!A:D,4,0)</f>
        <v>#N/A</v>
      </c>
      <c r="C121" s="7" t="e">
        <f>VLOOKUP(A121,'Statement base'!E:AO,21,0)</f>
        <v>#N/A</v>
      </c>
      <c r="D121" s="7" t="e">
        <f>VLOOKUP(A121,'Statement base'!E:AO,10,0)-VLOOKUP(A121,'Statement base'!E:AO,21,0)</f>
        <v>#N/A</v>
      </c>
      <c r="E121" t="s">
        <v>188</v>
      </c>
      <c r="F121" s="6" t="e">
        <f>VLOOKUP(A121,'Statement base'!E:AO,10,0)+VLOOKUP(A121,'Statement base'!E:AO,14,0)</f>
        <v>#N/A</v>
      </c>
      <c r="G121" s="61" t="e">
        <f>VLOOKUP(A121,'Clientes CBOT'!A:E,5,0)</f>
        <v>#N/A</v>
      </c>
      <c r="H121" t="str">
        <f t="shared" si="3"/>
        <v>Hard</v>
      </c>
      <c r="I121" s="6" t="e">
        <f t="shared" si="4"/>
        <v>#N/A</v>
      </c>
      <c r="J121" s="6" t="e">
        <f t="shared" si="5"/>
        <v>#N/A</v>
      </c>
      <c r="M121" s="64" t="s">
        <v>364</v>
      </c>
      <c r="N121" s="123">
        <v>0</v>
      </c>
    </row>
    <row r="122" spans="1:14" x14ac:dyDescent="0.3">
      <c r="A122">
        <v>0</v>
      </c>
      <c r="B122" t="e">
        <f>VLOOKUP(A122,'Clientes CBOT'!A:D,4,0)</f>
        <v>#N/A</v>
      </c>
      <c r="C122" s="7" t="e">
        <f>VLOOKUP(A122,'Statement base'!E:AO,21,0)</f>
        <v>#N/A</v>
      </c>
      <c r="D122" s="7" t="e">
        <f>VLOOKUP(A122,'Statement base'!E:AO,10,0)-VLOOKUP(A122,'Statement base'!E:AO,21,0)</f>
        <v>#N/A</v>
      </c>
      <c r="E122" t="s">
        <v>188</v>
      </c>
      <c r="F122" s="6" t="e">
        <f>VLOOKUP(A122,'Statement base'!E:AO,10,0)+VLOOKUP(A122,'Statement base'!E:AO,14,0)</f>
        <v>#N/A</v>
      </c>
      <c r="G122" s="61" t="e">
        <f>VLOOKUP(A122,'Clientes CBOT'!A:E,5,0)</f>
        <v>#N/A</v>
      </c>
      <c r="H122" t="str">
        <f t="shared" si="3"/>
        <v>Hard</v>
      </c>
      <c r="I122" s="6" t="e">
        <f t="shared" si="4"/>
        <v>#N/A</v>
      </c>
      <c r="J122" s="6" t="e">
        <f t="shared" si="5"/>
        <v>#N/A</v>
      </c>
      <c r="M122" s="64" t="s">
        <v>365</v>
      </c>
      <c r="N122" s="123">
        <v>1840.5</v>
      </c>
    </row>
    <row r="123" spans="1:14" x14ac:dyDescent="0.3">
      <c r="A123">
        <v>0</v>
      </c>
      <c r="B123" t="e">
        <f>VLOOKUP(A123,'Clientes CBOT'!A:D,4,0)</f>
        <v>#N/A</v>
      </c>
      <c r="C123" s="7" t="e">
        <f>VLOOKUP(A123,'Statement base'!E:AO,21,0)</f>
        <v>#N/A</v>
      </c>
      <c r="D123" s="7" t="e">
        <f>VLOOKUP(A123,'Statement base'!E:AO,10,0)-VLOOKUP(A123,'Statement base'!E:AO,21,0)</f>
        <v>#N/A</v>
      </c>
      <c r="E123" t="s">
        <v>188</v>
      </c>
      <c r="F123" s="6" t="e">
        <f>VLOOKUP(A123,'Statement base'!E:AO,10,0)+VLOOKUP(A123,'Statement base'!E:AO,14,0)</f>
        <v>#N/A</v>
      </c>
      <c r="G123" s="61" t="e">
        <f>VLOOKUP(A123,'Clientes CBOT'!A:E,5,0)</f>
        <v>#N/A</v>
      </c>
      <c r="H123" t="str">
        <f t="shared" si="3"/>
        <v>Hard</v>
      </c>
      <c r="I123" s="6" t="e">
        <f t="shared" si="4"/>
        <v>#N/A</v>
      </c>
      <c r="J123" s="6" t="e">
        <f t="shared" si="5"/>
        <v>#N/A</v>
      </c>
      <c r="M123" s="64" t="s">
        <v>367</v>
      </c>
      <c r="N123" s="123">
        <v>0</v>
      </c>
    </row>
    <row r="124" spans="1:14" x14ac:dyDescent="0.3">
      <c r="A124">
        <v>0</v>
      </c>
      <c r="B124" t="e">
        <f>VLOOKUP(A124,'Clientes CBOT'!A:D,4,0)</f>
        <v>#N/A</v>
      </c>
      <c r="C124" s="7" t="e">
        <f>VLOOKUP(A124,'Statement base'!E:AO,21,0)</f>
        <v>#N/A</v>
      </c>
      <c r="D124" s="7" t="e">
        <f>VLOOKUP(A124,'Statement base'!E:AO,10,0)-VLOOKUP(A124,'Statement base'!E:AO,21,0)</f>
        <v>#N/A</v>
      </c>
      <c r="E124" t="s">
        <v>188</v>
      </c>
      <c r="F124" s="6" t="e">
        <f>VLOOKUP(A124,'Statement base'!E:AO,10,0)+VLOOKUP(A124,'Statement base'!E:AO,14,0)</f>
        <v>#N/A</v>
      </c>
      <c r="G124" s="61" t="e">
        <f>VLOOKUP(A124,'Clientes CBOT'!A:E,5,0)</f>
        <v>#N/A</v>
      </c>
      <c r="H124" t="str">
        <f t="shared" si="3"/>
        <v>Hard</v>
      </c>
      <c r="I124" s="6" t="e">
        <f t="shared" si="4"/>
        <v>#N/A</v>
      </c>
      <c r="J124" s="6" t="e">
        <f t="shared" si="5"/>
        <v>#N/A</v>
      </c>
      <c r="M124" s="64" t="s">
        <v>368</v>
      </c>
      <c r="N124" s="123">
        <v>0</v>
      </c>
    </row>
    <row r="125" spans="1:14" x14ac:dyDescent="0.3">
      <c r="A125">
        <v>0</v>
      </c>
      <c r="B125" t="e">
        <f>VLOOKUP(A125,'Clientes CBOT'!A:D,4,0)</f>
        <v>#N/A</v>
      </c>
      <c r="C125" s="7" t="e">
        <f>VLOOKUP(A125,'Statement base'!E:AO,21,0)</f>
        <v>#N/A</v>
      </c>
      <c r="D125" s="7" t="e">
        <f>VLOOKUP(A125,'Statement base'!E:AO,10,0)-VLOOKUP(A125,'Statement base'!E:AO,21,0)</f>
        <v>#N/A</v>
      </c>
      <c r="E125" t="s">
        <v>188</v>
      </c>
      <c r="F125" s="6" t="e">
        <f>VLOOKUP(A125,'Statement base'!E:AO,10,0)+VLOOKUP(A125,'Statement base'!E:AO,14,0)</f>
        <v>#N/A</v>
      </c>
      <c r="G125" s="61" t="e">
        <f>VLOOKUP(A125,'Clientes CBOT'!A:E,5,0)</f>
        <v>#N/A</v>
      </c>
      <c r="H125" t="str">
        <f t="shared" si="3"/>
        <v>Hard</v>
      </c>
      <c r="I125" s="6" t="e">
        <f t="shared" si="4"/>
        <v>#N/A</v>
      </c>
      <c r="J125" s="6" t="e">
        <f t="shared" si="5"/>
        <v>#N/A</v>
      </c>
      <c r="M125" s="64" t="s">
        <v>369</v>
      </c>
      <c r="N125" s="123">
        <v>170007.78999999998</v>
      </c>
    </row>
    <row r="126" spans="1:14" x14ac:dyDescent="0.3">
      <c r="A126">
        <v>0</v>
      </c>
      <c r="B126" t="e">
        <f>VLOOKUP(A126,'Clientes CBOT'!A:D,4,0)</f>
        <v>#N/A</v>
      </c>
      <c r="C126" s="7" t="e">
        <f>VLOOKUP(A126,'Statement base'!E:AO,21,0)</f>
        <v>#N/A</v>
      </c>
      <c r="D126" s="7" t="e">
        <f>VLOOKUP(A126,'Statement base'!E:AO,10,0)-VLOOKUP(A126,'Statement base'!E:AO,21,0)</f>
        <v>#N/A</v>
      </c>
      <c r="E126" t="s">
        <v>188</v>
      </c>
      <c r="F126" s="6" t="e">
        <f>VLOOKUP(A126,'Statement base'!E:AO,10,0)+VLOOKUP(A126,'Statement base'!E:AO,14,0)</f>
        <v>#N/A</v>
      </c>
      <c r="G126" s="61" t="e">
        <f>VLOOKUP(A126,'Clientes CBOT'!A:E,5,0)</f>
        <v>#N/A</v>
      </c>
      <c r="H126" t="str">
        <f t="shared" si="3"/>
        <v>Hard</v>
      </c>
      <c r="I126" s="6" t="e">
        <f t="shared" si="4"/>
        <v>#N/A</v>
      </c>
      <c r="J126" s="6" t="e">
        <f t="shared" si="5"/>
        <v>#N/A</v>
      </c>
      <c r="M126" s="64" t="s">
        <v>226</v>
      </c>
      <c r="N126" s="123">
        <v>0</v>
      </c>
    </row>
    <row r="127" spans="1:14" x14ac:dyDescent="0.3">
      <c r="A127">
        <v>0</v>
      </c>
      <c r="B127" t="e">
        <f>VLOOKUP(A127,'Clientes CBOT'!A:D,4,0)</f>
        <v>#N/A</v>
      </c>
      <c r="C127" s="7" t="e">
        <f>VLOOKUP(A127,'Statement base'!E:AO,21,0)</f>
        <v>#N/A</v>
      </c>
      <c r="D127" s="7" t="e">
        <f>VLOOKUP(A127,'Statement base'!E:AO,10,0)-VLOOKUP(A127,'Statement base'!E:AO,21,0)</f>
        <v>#N/A</v>
      </c>
      <c r="E127" t="s">
        <v>188</v>
      </c>
      <c r="F127" s="6" t="e">
        <f>VLOOKUP(A127,'Statement base'!E:AO,10,0)+VLOOKUP(A127,'Statement base'!E:AO,14,0)</f>
        <v>#N/A</v>
      </c>
      <c r="G127" s="61" t="e">
        <f>VLOOKUP(A127,'Clientes CBOT'!A:E,5,0)</f>
        <v>#N/A</v>
      </c>
      <c r="H127" t="str">
        <f t="shared" si="3"/>
        <v>Hard</v>
      </c>
      <c r="I127" s="6" t="e">
        <f t="shared" si="4"/>
        <v>#N/A</v>
      </c>
      <c r="J127" s="6" t="e">
        <f t="shared" si="5"/>
        <v>#N/A</v>
      </c>
      <c r="M127" s="64" t="s">
        <v>371</v>
      </c>
      <c r="N127" s="123">
        <v>50.45</v>
      </c>
    </row>
    <row r="128" spans="1:14" x14ac:dyDescent="0.3">
      <c r="A128">
        <v>0</v>
      </c>
      <c r="B128" t="e">
        <f>VLOOKUP(A128,'Clientes CBOT'!A:D,4,0)</f>
        <v>#N/A</v>
      </c>
      <c r="C128" s="7" t="e">
        <f>VLOOKUP(A128,'Statement base'!E:AO,21,0)</f>
        <v>#N/A</v>
      </c>
      <c r="D128" s="7" t="e">
        <f>VLOOKUP(A128,'Statement base'!E:AO,10,0)-VLOOKUP(A128,'Statement base'!E:AO,21,0)</f>
        <v>#N/A</v>
      </c>
      <c r="E128" t="s">
        <v>188</v>
      </c>
      <c r="F128" s="6" t="e">
        <f>VLOOKUP(A128,'Statement base'!E:AO,10,0)+VLOOKUP(A128,'Statement base'!E:AO,14,0)</f>
        <v>#N/A</v>
      </c>
      <c r="G128" s="61" t="e">
        <f>VLOOKUP(A128,'Clientes CBOT'!A:E,5,0)</f>
        <v>#N/A</v>
      </c>
      <c r="H128" t="str">
        <f t="shared" si="3"/>
        <v>Hard</v>
      </c>
      <c r="I128" s="6" t="e">
        <f t="shared" si="4"/>
        <v>#N/A</v>
      </c>
      <c r="J128" s="6" t="e">
        <f t="shared" si="5"/>
        <v>#N/A</v>
      </c>
      <c r="M128" s="64" t="s">
        <v>228</v>
      </c>
      <c r="N128" s="123">
        <v>-28483434.959999945</v>
      </c>
    </row>
    <row r="129" spans="1:14" x14ac:dyDescent="0.3">
      <c r="A129">
        <v>0</v>
      </c>
      <c r="B129" t="e">
        <f>VLOOKUP(A129,'Clientes CBOT'!A:D,4,0)</f>
        <v>#N/A</v>
      </c>
      <c r="C129" s="7" t="e">
        <f>VLOOKUP(A129,'Statement base'!E:AO,21,0)</f>
        <v>#N/A</v>
      </c>
      <c r="D129" s="7" t="e">
        <f>VLOOKUP(A129,'Statement base'!E:AO,10,0)-VLOOKUP(A129,'Statement base'!E:AO,21,0)</f>
        <v>#N/A</v>
      </c>
      <c r="E129" t="s">
        <v>188</v>
      </c>
      <c r="F129" s="6" t="e">
        <f>VLOOKUP(A129,'Statement base'!E:AO,10,0)+VLOOKUP(A129,'Statement base'!E:AO,14,0)</f>
        <v>#N/A</v>
      </c>
      <c r="G129" s="61" t="e">
        <f>VLOOKUP(A129,'Clientes CBOT'!A:E,5,0)</f>
        <v>#N/A</v>
      </c>
      <c r="H129" t="str">
        <f t="shared" si="3"/>
        <v>Hard</v>
      </c>
      <c r="I129" s="6" t="e">
        <f t="shared" si="4"/>
        <v>#N/A</v>
      </c>
      <c r="J129" s="6" t="e">
        <f t="shared" si="5"/>
        <v>#N/A</v>
      </c>
      <c r="M129" s="64" t="s">
        <v>373</v>
      </c>
      <c r="N129" s="123">
        <v>0</v>
      </c>
    </row>
    <row r="130" spans="1:14" x14ac:dyDescent="0.3">
      <c r="A130">
        <v>0</v>
      </c>
      <c r="B130" t="e">
        <f>VLOOKUP(A130,'Clientes CBOT'!A:D,4,0)</f>
        <v>#N/A</v>
      </c>
      <c r="C130" s="7" t="e">
        <f>VLOOKUP(A130,'Statement base'!E:AO,21,0)</f>
        <v>#N/A</v>
      </c>
      <c r="D130" s="7" t="e">
        <f>VLOOKUP(A130,'Statement base'!E:AO,10,0)-VLOOKUP(A130,'Statement base'!E:AO,21,0)</f>
        <v>#N/A</v>
      </c>
      <c r="E130" t="s">
        <v>188</v>
      </c>
      <c r="F130" s="6" t="e">
        <f>VLOOKUP(A130,'Statement base'!E:AO,10,0)+VLOOKUP(A130,'Statement base'!E:AO,14,0)</f>
        <v>#N/A</v>
      </c>
      <c r="G130" s="61" t="e">
        <f>VLOOKUP(A130,'Clientes CBOT'!A:E,5,0)</f>
        <v>#N/A</v>
      </c>
      <c r="H130" t="str">
        <f t="shared" si="3"/>
        <v>Hard</v>
      </c>
      <c r="I130" s="6" t="e">
        <f t="shared" si="4"/>
        <v>#N/A</v>
      </c>
      <c r="J130" s="6" t="e">
        <f t="shared" si="5"/>
        <v>#N/A</v>
      </c>
      <c r="M130" s="64" t="s">
        <v>375</v>
      </c>
      <c r="N130" s="123">
        <v>0</v>
      </c>
    </row>
    <row r="131" spans="1:14" x14ac:dyDescent="0.3">
      <c r="A131">
        <v>0</v>
      </c>
      <c r="B131" t="e">
        <f>VLOOKUP(A131,'Clientes CBOT'!A:D,4,0)</f>
        <v>#N/A</v>
      </c>
      <c r="C131" s="7" t="e">
        <f>VLOOKUP(A131,'Statement base'!E:AO,21,0)</f>
        <v>#N/A</v>
      </c>
      <c r="D131" s="7" t="e">
        <f>VLOOKUP(A131,'Statement base'!E:AO,10,0)-VLOOKUP(A131,'Statement base'!E:AO,21,0)</f>
        <v>#N/A</v>
      </c>
      <c r="E131" t="s">
        <v>188</v>
      </c>
      <c r="F131" s="6" t="e">
        <f>VLOOKUP(A131,'Statement base'!E:AO,10,0)+VLOOKUP(A131,'Statement base'!E:AO,14,0)</f>
        <v>#N/A</v>
      </c>
      <c r="G131" s="61" t="e">
        <f>VLOOKUP(A131,'Clientes CBOT'!A:E,5,0)</f>
        <v>#N/A</v>
      </c>
      <c r="H131" t="str">
        <f t="shared" si="3"/>
        <v>Hard</v>
      </c>
      <c r="I131" s="6" t="e">
        <f t="shared" si="4"/>
        <v>#N/A</v>
      </c>
      <c r="J131" s="6" t="e">
        <f t="shared" si="5"/>
        <v>#N/A</v>
      </c>
      <c r="M131" s="64" t="s">
        <v>376</v>
      </c>
      <c r="N131" s="123">
        <v>-7698.88</v>
      </c>
    </row>
    <row r="132" spans="1:14" x14ac:dyDescent="0.3">
      <c r="A132">
        <v>0</v>
      </c>
      <c r="B132" t="e">
        <f>VLOOKUP(A132,'Clientes CBOT'!A:D,4,0)</f>
        <v>#N/A</v>
      </c>
      <c r="C132" s="7" t="e">
        <f>VLOOKUP(A132,'Statement base'!E:AO,21,0)</f>
        <v>#N/A</v>
      </c>
      <c r="D132" s="7" t="e">
        <f>VLOOKUP(A132,'Statement base'!E:AO,10,0)-VLOOKUP(A132,'Statement base'!E:AO,21,0)</f>
        <v>#N/A</v>
      </c>
      <c r="E132" t="s">
        <v>188</v>
      </c>
      <c r="F132" s="6" t="e">
        <f>VLOOKUP(A132,'Statement base'!E:AO,10,0)+VLOOKUP(A132,'Statement base'!E:AO,14,0)</f>
        <v>#N/A</v>
      </c>
      <c r="G132" s="61" t="e">
        <f>VLOOKUP(A132,'Clientes CBOT'!A:E,5,0)</f>
        <v>#N/A</v>
      </c>
      <c r="H132" t="str">
        <f t="shared" si="3"/>
        <v>Hard</v>
      </c>
      <c r="I132" s="6" t="e">
        <f t="shared" si="4"/>
        <v>#N/A</v>
      </c>
      <c r="J132" s="6" t="e">
        <f t="shared" si="5"/>
        <v>#N/A</v>
      </c>
      <c r="M132" s="64" t="s">
        <v>233</v>
      </c>
      <c r="N132" s="123">
        <v>3617.0699999999997</v>
      </c>
    </row>
    <row r="133" spans="1:14" x14ac:dyDescent="0.3">
      <c r="A133">
        <v>0</v>
      </c>
      <c r="B133" t="e">
        <f>VLOOKUP(A133,'Clientes CBOT'!A:D,4,0)</f>
        <v>#N/A</v>
      </c>
      <c r="C133" s="7" t="e">
        <f>VLOOKUP(A133,'Statement base'!E:AO,21,0)</f>
        <v>#N/A</v>
      </c>
      <c r="D133" s="7" t="e">
        <f>VLOOKUP(A133,'Statement base'!E:AO,10,0)-VLOOKUP(A133,'Statement base'!E:AO,21,0)</f>
        <v>#N/A</v>
      </c>
      <c r="E133" t="s">
        <v>188</v>
      </c>
      <c r="F133" s="6" t="e">
        <f>VLOOKUP(A133,'Statement base'!E:AO,10,0)+VLOOKUP(A133,'Statement base'!E:AO,14,0)</f>
        <v>#N/A</v>
      </c>
      <c r="G133" s="61" t="e">
        <f>VLOOKUP(A133,'Clientes CBOT'!A:E,5,0)</f>
        <v>#N/A</v>
      </c>
      <c r="H133" t="str">
        <f t="shared" ref="H133:H196" si="6">IF(E133="pesos","Ars",IF(E133="Dólar Matba Rofex","usd linked","Hard"))</f>
        <v>Hard</v>
      </c>
      <c r="I133" s="6" t="e">
        <f t="shared" ref="I133:I196" si="7">IF(H133="ars",C133/$J$1,IF(H133="hard",C133*$J$2/$J$1,C133))</f>
        <v>#N/A</v>
      </c>
      <c r="J133" s="6" t="e">
        <f t="shared" ref="J133:J196" si="8">IF(H133="ars",D133/$J$1,IF(H133="hard",D133*$J$2/$J$1,D133))</f>
        <v>#N/A</v>
      </c>
      <c r="M133" s="64" t="s">
        <v>378</v>
      </c>
      <c r="N133" s="123">
        <v>0</v>
      </c>
    </row>
    <row r="134" spans="1:14" x14ac:dyDescent="0.3">
      <c r="A134">
        <v>0</v>
      </c>
      <c r="B134" t="e">
        <f>VLOOKUP(A134,'Clientes CBOT'!A:D,4,0)</f>
        <v>#N/A</v>
      </c>
      <c r="C134" s="7" t="e">
        <f>VLOOKUP(A134,'Statement base'!E:AO,21,0)</f>
        <v>#N/A</v>
      </c>
      <c r="D134" s="7" t="e">
        <f>VLOOKUP(A134,'Statement base'!E:AO,10,0)-VLOOKUP(A134,'Statement base'!E:AO,21,0)</f>
        <v>#N/A</v>
      </c>
      <c r="E134" t="s">
        <v>188</v>
      </c>
      <c r="F134" s="6" t="e">
        <f>VLOOKUP(A134,'Statement base'!E:AO,10,0)+VLOOKUP(A134,'Statement base'!E:AO,14,0)</f>
        <v>#N/A</v>
      </c>
      <c r="G134" s="61" t="e">
        <f>VLOOKUP(A134,'Clientes CBOT'!A:E,5,0)</f>
        <v>#N/A</v>
      </c>
      <c r="H134" t="str">
        <f t="shared" si="6"/>
        <v>Hard</v>
      </c>
      <c r="I134" s="6" t="e">
        <f t="shared" si="7"/>
        <v>#N/A</v>
      </c>
      <c r="J134" s="6" t="e">
        <f t="shared" si="8"/>
        <v>#N/A</v>
      </c>
      <c r="M134" s="64" t="s">
        <v>380</v>
      </c>
      <c r="N134" s="123">
        <v>0</v>
      </c>
    </row>
    <row r="135" spans="1:14" x14ac:dyDescent="0.3">
      <c r="A135">
        <v>0</v>
      </c>
      <c r="B135" t="e">
        <f>VLOOKUP(A135,'Clientes CBOT'!A:D,4,0)</f>
        <v>#N/A</v>
      </c>
      <c r="C135" s="7" t="e">
        <f>VLOOKUP(A135,'Statement base'!E:AO,21,0)</f>
        <v>#N/A</v>
      </c>
      <c r="D135" s="7" t="e">
        <f>VLOOKUP(A135,'Statement base'!E:AO,10,0)-VLOOKUP(A135,'Statement base'!E:AO,21,0)</f>
        <v>#N/A</v>
      </c>
      <c r="E135" t="s">
        <v>188</v>
      </c>
      <c r="F135" s="6" t="e">
        <f>VLOOKUP(A135,'Statement base'!E:AO,10,0)+VLOOKUP(A135,'Statement base'!E:AO,14,0)</f>
        <v>#N/A</v>
      </c>
      <c r="G135" s="61" t="e">
        <f>VLOOKUP(A135,'Clientes CBOT'!A:E,5,0)</f>
        <v>#N/A</v>
      </c>
      <c r="H135" t="str">
        <f t="shared" si="6"/>
        <v>Hard</v>
      </c>
      <c r="I135" s="6" t="e">
        <f t="shared" si="7"/>
        <v>#N/A</v>
      </c>
      <c r="J135" s="6" t="e">
        <f t="shared" si="8"/>
        <v>#N/A</v>
      </c>
      <c r="M135" s="64" t="s">
        <v>381</v>
      </c>
      <c r="N135" s="123">
        <v>0.03</v>
      </c>
    </row>
    <row r="136" spans="1:14" x14ac:dyDescent="0.3">
      <c r="A136">
        <v>0</v>
      </c>
      <c r="B136" t="e">
        <f>VLOOKUP(A136,'Clientes CBOT'!A:D,4,0)</f>
        <v>#N/A</v>
      </c>
      <c r="C136" s="7" t="e">
        <f>VLOOKUP(A136,'Statement base'!E:AO,21,0)</f>
        <v>#N/A</v>
      </c>
      <c r="D136" s="7" t="e">
        <f>VLOOKUP(A136,'Statement base'!E:AO,10,0)-VLOOKUP(A136,'Statement base'!E:AO,21,0)</f>
        <v>#N/A</v>
      </c>
      <c r="E136" t="s">
        <v>188</v>
      </c>
      <c r="F136" s="6" t="e">
        <f>VLOOKUP(A136,'Statement base'!E:AO,10,0)+VLOOKUP(A136,'Statement base'!E:AO,14,0)</f>
        <v>#N/A</v>
      </c>
      <c r="G136" s="61" t="e">
        <f>VLOOKUP(A136,'Clientes CBOT'!A:E,5,0)</f>
        <v>#N/A</v>
      </c>
      <c r="H136" t="str">
        <f t="shared" si="6"/>
        <v>Hard</v>
      </c>
      <c r="I136" s="6" t="e">
        <f t="shared" si="7"/>
        <v>#N/A</v>
      </c>
      <c r="J136" s="6" t="e">
        <f t="shared" si="8"/>
        <v>#N/A</v>
      </c>
      <c r="M136" s="64" t="s">
        <v>382</v>
      </c>
      <c r="N136" s="123">
        <v>0</v>
      </c>
    </row>
    <row r="137" spans="1:14" x14ac:dyDescent="0.3">
      <c r="A137">
        <v>0</v>
      </c>
      <c r="B137" t="e">
        <f>VLOOKUP(A137,'Clientes CBOT'!A:D,4,0)</f>
        <v>#N/A</v>
      </c>
      <c r="C137" s="7" t="e">
        <f>VLOOKUP(A137,'Statement base'!E:AO,21,0)</f>
        <v>#N/A</v>
      </c>
      <c r="D137" s="7" t="e">
        <f>VLOOKUP(A137,'Statement base'!E:AO,10,0)-VLOOKUP(A137,'Statement base'!E:AO,21,0)</f>
        <v>#N/A</v>
      </c>
      <c r="E137" t="s">
        <v>188</v>
      </c>
      <c r="F137" s="6" t="e">
        <f>VLOOKUP(A137,'Statement base'!E:AO,10,0)+VLOOKUP(A137,'Statement base'!E:AO,14,0)</f>
        <v>#N/A</v>
      </c>
      <c r="G137" s="61" t="e">
        <f>VLOOKUP(A137,'Clientes CBOT'!A:E,5,0)</f>
        <v>#N/A</v>
      </c>
      <c r="H137" t="str">
        <f t="shared" si="6"/>
        <v>Hard</v>
      </c>
      <c r="I137" s="6" t="e">
        <f t="shared" si="7"/>
        <v>#N/A</v>
      </c>
      <c r="J137" s="6" t="e">
        <f t="shared" si="8"/>
        <v>#N/A</v>
      </c>
      <c r="M137" s="64" t="s">
        <v>237</v>
      </c>
      <c r="N137" s="123">
        <v>0</v>
      </c>
    </row>
    <row r="138" spans="1:14" x14ac:dyDescent="0.3">
      <c r="A138">
        <v>0</v>
      </c>
      <c r="B138" t="e">
        <f>VLOOKUP(A138,'Clientes CBOT'!A:D,4,0)</f>
        <v>#N/A</v>
      </c>
      <c r="C138" s="7" t="e">
        <f>VLOOKUP(A138,'Statement base'!E:AO,21,0)</f>
        <v>#N/A</v>
      </c>
      <c r="D138" s="7" t="e">
        <f>VLOOKUP(A138,'Statement base'!E:AO,10,0)-VLOOKUP(A138,'Statement base'!E:AO,21,0)</f>
        <v>#N/A</v>
      </c>
      <c r="E138" t="s">
        <v>188</v>
      </c>
      <c r="F138" s="6" t="e">
        <f>VLOOKUP(A138,'Statement base'!E:AO,10,0)+VLOOKUP(A138,'Statement base'!E:AO,14,0)</f>
        <v>#N/A</v>
      </c>
      <c r="G138" s="61" t="e">
        <f>VLOOKUP(A138,'Clientes CBOT'!A:E,5,0)</f>
        <v>#N/A</v>
      </c>
      <c r="H138" t="str">
        <f t="shared" si="6"/>
        <v>Hard</v>
      </c>
      <c r="I138" s="6" t="e">
        <f t="shared" si="7"/>
        <v>#N/A</v>
      </c>
      <c r="J138" s="6" t="e">
        <f t="shared" si="8"/>
        <v>#N/A</v>
      </c>
      <c r="M138" s="64" t="s">
        <v>383</v>
      </c>
      <c r="N138" s="123">
        <v>0</v>
      </c>
    </row>
    <row r="139" spans="1:14" x14ac:dyDescent="0.3">
      <c r="A139">
        <v>0</v>
      </c>
      <c r="B139" t="e">
        <f>VLOOKUP(A139,'Clientes CBOT'!A:D,4,0)</f>
        <v>#N/A</v>
      </c>
      <c r="C139" s="7" t="e">
        <f>VLOOKUP(A139,'Statement base'!E:AO,21,0)</f>
        <v>#N/A</v>
      </c>
      <c r="D139" s="7" t="e">
        <f>VLOOKUP(A139,'Statement base'!E:AO,10,0)-VLOOKUP(A139,'Statement base'!E:AO,21,0)</f>
        <v>#N/A</v>
      </c>
      <c r="E139" t="s">
        <v>188</v>
      </c>
      <c r="F139" s="6" t="e">
        <f>VLOOKUP(A139,'Statement base'!E:AO,10,0)+VLOOKUP(A139,'Statement base'!E:AO,14,0)</f>
        <v>#N/A</v>
      </c>
      <c r="G139" s="61" t="e">
        <f>VLOOKUP(A139,'Clientes CBOT'!A:E,5,0)</f>
        <v>#N/A</v>
      </c>
      <c r="H139" t="str">
        <f t="shared" si="6"/>
        <v>Hard</v>
      </c>
      <c r="I139" s="6" t="e">
        <f t="shared" si="7"/>
        <v>#N/A</v>
      </c>
      <c r="J139" s="6" t="e">
        <f t="shared" si="8"/>
        <v>#N/A</v>
      </c>
      <c r="M139" s="64" t="s">
        <v>241</v>
      </c>
      <c r="N139" s="123">
        <v>-0.08</v>
      </c>
    </row>
    <row r="140" spans="1:14" x14ac:dyDescent="0.3">
      <c r="A140">
        <v>0</v>
      </c>
      <c r="B140" t="e">
        <f>VLOOKUP(A140,'Clientes CBOT'!A:D,4,0)</f>
        <v>#N/A</v>
      </c>
      <c r="C140" s="7" t="e">
        <f>VLOOKUP(A140,'Statement base'!E:AO,21,0)</f>
        <v>#N/A</v>
      </c>
      <c r="D140" s="7" t="e">
        <f>VLOOKUP(A140,'Statement base'!E:AO,10,0)-VLOOKUP(A140,'Statement base'!E:AO,21,0)</f>
        <v>#N/A</v>
      </c>
      <c r="E140" t="s">
        <v>188</v>
      </c>
      <c r="F140" s="6" t="e">
        <f>VLOOKUP(A140,'Statement base'!E:AO,10,0)+VLOOKUP(A140,'Statement base'!E:AO,14,0)</f>
        <v>#N/A</v>
      </c>
      <c r="G140" s="61" t="e">
        <f>VLOOKUP(A140,'Clientes CBOT'!A:E,5,0)</f>
        <v>#N/A</v>
      </c>
      <c r="H140" t="str">
        <f t="shared" si="6"/>
        <v>Hard</v>
      </c>
      <c r="I140" s="6" t="e">
        <f t="shared" si="7"/>
        <v>#N/A</v>
      </c>
      <c r="J140" s="6" t="e">
        <f t="shared" si="8"/>
        <v>#N/A</v>
      </c>
      <c r="M140" s="64" t="s">
        <v>385</v>
      </c>
      <c r="N140" s="123">
        <v>0.52</v>
      </c>
    </row>
    <row r="141" spans="1:14" x14ac:dyDescent="0.3">
      <c r="A141">
        <v>0</v>
      </c>
      <c r="B141" t="e">
        <f>VLOOKUP(A141,'Clientes CBOT'!A:D,4,0)</f>
        <v>#N/A</v>
      </c>
      <c r="C141" s="7" t="e">
        <f>VLOOKUP(A141,'Statement base'!E:AO,21,0)</f>
        <v>#N/A</v>
      </c>
      <c r="D141" s="7" t="e">
        <f>VLOOKUP(A141,'Statement base'!E:AO,10,0)-VLOOKUP(A141,'Statement base'!E:AO,21,0)</f>
        <v>#N/A</v>
      </c>
      <c r="E141" t="s">
        <v>188</v>
      </c>
      <c r="F141" s="6" t="e">
        <f>VLOOKUP(A141,'Statement base'!E:AO,10,0)+VLOOKUP(A141,'Statement base'!E:AO,14,0)</f>
        <v>#N/A</v>
      </c>
      <c r="G141" s="61" t="e">
        <f>VLOOKUP(A141,'Clientes CBOT'!A:E,5,0)</f>
        <v>#N/A</v>
      </c>
      <c r="H141" t="str">
        <f t="shared" si="6"/>
        <v>Hard</v>
      </c>
      <c r="I141" s="6" t="e">
        <f t="shared" si="7"/>
        <v>#N/A</v>
      </c>
      <c r="J141" s="6" t="e">
        <f t="shared" si="8"/>
        <v>#N/A</v>
      </c>
      <c r="M141" s="64" t="s">
        <v>386</v>
      </c>
      <c r="N141" s="123">
        <v>0</v>
      </c>
    </row>
    <row r="142" spans="1:14" x14ac:dyDescent="0.3">
      <c r="A142">
        <v>0</v>
      </c>
      <c r="B142" t="e">
        <f>VLOOKUP(A142,'Clientes CBOT'!A:D,4,0)</f>
        <v>#N/A</v>
      </c>
      <c r="C142" s="7" t="e">
        <f>VLOOKUP(A142,'Statement base'!E:AO,21,0)</f>
        <v>#N/A</v>
      </c>
      <c r="D142" s="7" t="e">
        <f>VLOOKUP(A142,'Statement base'!E:AO,10,0)-VLOOKUP(A142,'Statement base'!E:AO,21,0)</f>
        <v>#N/A</v>
      </c>
      <c r="E142" t="s">
        <v>188</v>
      </c>
      <c r="F142" s="6" t="e">
        <f>VLOOKUP(A142,'Statement base'!E:AO,10,0)+VLOOKUP(A142,'Statement base'!E:AO,14,0)</f>
        <v>#N/A</v>
      </c>
      <c r="G142" s="61" t="e">
        <f>VLOOKUP(A142,'Clientes CBOT'!A:E,5,0)</f>
        <v>#N/A</v>
      </c>
      <c r="H142" t="str">
        <f t="shared" si="6"/>
        <v>Hard</v>
      </c>
      <c r="I142" s="6" t="e">
        <f t="shared" si="7"/>
        <v>#N/A</v>
      </c>
      <c r="J142" s="6" t="e">
        <f t="shared" si="8"/>
        <v>#N/A</v>
      </c>
      <c r="M142" s="64" t="s">
        <v>387</v>
      </c>
      <c r="N142" s="123">
        <v>402898358.75</v>
      </c>
    </row>
    <row r="143" spans="1:14" x14ac:dyDescent="0.3">
      <c r="A143">
        <v>0</v>
      </c>
      <c r="B143" t="e">
        <f>VLOOKUP(A143,'Clientes CBOT'!A:D,4,0)</f>
        <v>#N/A</v>
      </c>
      <c r="C143" s="7" t="e">
        <f>VLOOKUP(A143,'Statement base'!E:AO,21,0)</f>
        <v>#N/A</v>
      </c>
      <c r="D143" s="7" t="e">
        <f>VLOOKUP(A143,'Statement base'!E:AO,10,0)-VLOOKUP(A143,'Statement base'!E:AO,21,0)</f>
        <v>#N/A</v>
      </c>
      <c r="E143" t="s">
        <v>188</v>
      </c>
      <c r="F143" s="6" t="e">
        <f>VLOOKUP(A143,'Statement base'!E:AO,10,0)+VLOOKUP(A143,'Statement base'!E:AO,14,0)</f>
        <v>#N/A</v>
      </c>
      <c r="G143" s="61" t="e">
        <f>VLOOKUP(A143,'Clientes CBOT'!A:E,5,0)</f>
        <v>#N/A</v>
      </c>
      <c r="H143" t="str">
        <f t="shared" si="6"/>
        <v>Hard</v>
      </c>
      <c r="I143" s="6" t="e">
        <f t="shared" si="7"/>
        <v>#N/A</v>
      </c>
      <c r="J143" s="6" t="e">
        <f t="shared" si="8"/>
        <v>#N/A</v>
      </c>
      <c r="M143" s="64" t="s">
        <v>245</v>
      </c>
      <c r="N143" s="123">
        <v>-11724.89</v>
      </c>
    </row>
    <row r="144" spans="1:14" x14ac:dyDescent="0.3">
      <c r="A144">
        <v>0</v>
      </c>
      <c r="B144" t="e">
        <f>VLOOKUP(A144,'Clientes CBOT'!A:D,4,0)</f>
        <v>#N/A</v>
      </c>
      <c r="C144" s="7" t="e">
        <f>VLOOKUP(A144,'Statement base'!E:AO,21,0)</f>
        <v>#N/A</v>
      </c>
      <c r="D144" s="7" t="e">
        <f>VLOOKUP(A144,'Statement base'!E:AO,10,0)-VLOOKUP(A144,'Statement base'!E:AO,21,0)</f>
        <v>#N/A</v>
      </c>
      <c r="E144" t="s">
        <v>188</v>
      </c>
      <c r="F144" s="6" t="e">
        <f>VLOOKUP(A144,'Statement base'!E:AO,10,0)+VLOOKUP(A144,'Statement base'!E:AO,14,0)</f>
        <v>#N/A</v>
      </c>
      <c r="G144" s="61" t="e">
        <f>VLOOKUP(A144,'Clientes CBOT'!A:E,5,0)</f>
        <v>#N/A</v>
      </c>
      <c r="H144" t="str">
        <f t="shared" si="6"/>
        <v>Hard</v>
      </c>
      <c r="I144" s="6" t="e">
        <f t="shared" si="7"/>
        <v>#N/A</v>
      </c>
      <c r="J144" s="6" t="e">
        <f t="shared" si="8"/>
        <v>#N/A</v>
      </c>
      <c r="M144" s="64" t="s">
        <v>390</v>
      </c>
      <c r="N144" s="123">
        <v>0.8</v>
      </c>
    </row>
    <row r="145" spans="1:14" x14ac:dyDescent="0.3">
      <c r="A145">
        <v>0</v>
      </c>
      <c r="B145" t="e">
        <f>VLOOKUP(A145,'Clientes CBOT'!A:D,4,0)</f>
        <v>#N/A</v>
      </c>
      <c r="C145" s="7" t="e">
        <f>VLOOKUP(A145,'Statement base'!E:AO,21,0)</f>
        <v>#N/A</v>
      </c>
      <c r="D145" s="7" t="e">
        <f>VLOOKUP(A145,'Statement base'!E:AO,10,0)-VLOOKUP(A145,'Statement base'!E:AO,21,0)</f>
        <v>#N/A</v>
      </c>
      <c r="E145" t="s">
        <v>188</v>
      </c>
      <c r="F145" s="6" t="e">
        <f>VLOOKUP(A145,'Statement base'!E:AO,10,0)+VLOOKUP(A145,'Statement base'!E:AO,14,0)</f>
        <v>#N/A</v>
      </c>
      <c r="G145" s="61" t="e">
        <f>VLOOKUP(A145,'Clientes CBOT'!A:E,5,0)</f>
        <v>#N/A</v>
      </c>
      <c r="H145" t="str">
        <f t="shared" si="6"/>
        <v>Hard</v>
      </c>
      <c r="I145" s="6" t="e">
        <f t="shared" si="7"/>
        <v>#N/A</v>
      </c>
      <c r="J145" s="6" t="e">
        <f t="shared" si="8"/>
        <v>#N/A</v>
      </c>
      <c r="M145" s="64" t="s">
        <v>250</v>
      </c>
      <c r="N145" s="123">
        <v>1508466.63</v>
      </c>
    </row>
    <row r="146" spans="1:14" x14ac:dyDescent="0.3">
      <c r="A146">
        <v>0</v>
      </c>
      <c r="B146" t="e">
        <f>VLOOKUP(A146,'Clientes CBOT'!A:D,4,0)</f>
        <v>#N/A</v>
      </c>
      <c r="C146" s="7" t="e">
        <f>VLOOKUP(A146,'Statement base'!E:AO,21,0)</f>
        <v>#N/A</v>
      </c>
      <c r="D146" s="7" t="e">
        <f>VLOOKUP(A146,'Statement base'!E:AO,10,0)-VLOOKUP(A146,'Statement base'!E:AO,21,0)</f>
        <v>#N/A</v>
      </c>
      <c r="E146" t="s">
        <v>188</v>
      </c>
      <c r="F146" s="6" t="e">
        <f>VLOOKUP(A146,'Statement base'!E:AO,10,0)+VLOOKUP(A146,'Statement base'!E:AO,14,0)</f>
        <v>#N/A</v>
      </c>
      <c r="G146" s="61" t="e">
        <f>VLOOKUP(A146,'Clientes CBOT'!A:E,5,0)</f>
        <v>#N/A</v>
      </c>
      <c r="H146" t="str">
        <f t="shared" si="6"/>
        <v>Hard</v>
      </c>
      <c r="I146" s="6" t="e">
        <f t="shared" si="7"/>
        <v>#N/A</v>
      </c>
      <c r="J146" s="6" t="e">
        <f t="shared" si="8"/>
        <v>#N/A</v>
      </c>
      <c r="M146" s="64" t="s">
        <v>394</v>
      </c>
      <c r="N146" s="123">
        <v>12069.81</v>
      </c>
    </row>
    <row r="147" spans="1:14" x14ac:dyDescent="0.3">
      <c r="A147">
        <v>0</v>
      </c>
      <c r="B147" t="e">
        <f>VLOOKUP(A147,'Clientes CBOT'!A:D,4,0)</f>
        <v>#N/A</v>
      </c>
      <c r="C147" s="7" t="e">
        <f>VLOOKUP(A147,'Statement base'!E:AO,21,0)</f>
        <v>#N/A</v>
      </c>
      <c r="D147" s="7" t="e">
        <f>VLOOKUP(A147,'Statement base'!E:AO,10,0)-VLOOKUP(A147,'Statement base'!E:AO,21,0)</f>
        <v>#N/A</v>
      </c>
      <c r="E147" t="s">
        <v>188</v>
      </c>
      <c r="F147" s="6" t="e">
        <f>VLOOKUP(A147,'Statement base'!E:AO,10,0)+VLOOKUP(A147,'Statement base'!E:AO,14,0)</f>
        <v>#N/A</v>
      </c>
      <c r="G147" s="61" t="e">
        <f>VLOOKUP(A147,'Clientes CBOT'!A:E,5,0)</f>
        <v>#N/A</v>
      </c>
      <c r="H147" t="str">
        <f t="shared" si="6"/>
        <v>Hard</v>
      </c>
      <c r="I147" s="6" t="e">
        <f t="shared" si="7"/>
        <v>#N/A</v>
      </c>
      <c r="J147" s="6" t="e">
        <f t="shared" si="8"/>
        <v>#N/A</v>
      </c>
      <c r="M147" s="64" t="s">
        <v>396</v>
      </c>
      <c r="N147" s="123">
        <v>1287.43</v>
      </c>
    </row>
    <row r="148" spans="1:14" x14ac:dyDescent="0.3">
      <c r="A148">
        <v>0</v>
      </c>
      <c r="B148" t="e">
        <f>VLOOKUP(A148,'Clientes CBOT'!A:D,4,0)</f>
        <v>#N/A</v>
      </c>
      <c r="C148" s="7" t="e">
        <f>VLOOKUP(A148,'Statement base'!E:AO,21,0)</f>
        <v>#N/A</v>
      </c>
      <c r="D148" s="7" t="e">
        <f>VLOOKUP(A148,'Statement base'!E:AO,10,0)-VLOOKUP(A148,'Statement base'!E:AO,21,0)</f>
        <v>#N/A</v>
      </c>
      <c r="E148" t="s">
        <v>188</v>
      </c>
      <c r="F148" s="6" t="e">
        <f>VLOOKUP(A148,'Statement base'!E:AO,10,0)+VLOOKUP(A148,'Statement base'!E:AO,14,0)</f>
        <v>#N/A</v>
      </c>
      <c r="G148" s="61" t="e">
        <f>VLOOKUP(A148,'Clientes CBOT'!A:E,5,0)</f>
        <v>#N/A</v>
      </c>
      <c r="H148" t="str">
        <f t="shared" si="6"/>
        <v>Hard</v>
      </c>
      <c r="I148" s="6" t="e">
        <f t="shared" si="7"/>
        <v>#N/A</v>
      </c>
      <c r="J148" s="6" t="e">
        <f t="shared" si="8"/>
        <v>#N/A</v>
      </c>
      <c r="M148" s="64" t="s">
        <v>397</v>
      </c>
      <c r="N148" s="123">
        <v>0</v>
      </c>
    </row>
    <row r="149" spans="1:14" x14ac:dyDescent="0.3">
      <c r="A149">
        <v>0</v>
      </c>
      <c r="B149" t="e">
        <f>VLOOKUP(A149,'Clientes CBOT'!A:D,4,0)</f>
        <v>#N/A</v>
      </c>
      <c r="C149" s="7" t="e">
        <f>VLOOKUP(A149,'Statement base'!E:AO,21,0)</f>
        <v>#N/A</v>
      </c>
      <c r="D149" s="7" t="e">
        <f>VLOOKUP(A149,'Statement base'!E:AO,10,0)-VLOOKUP(A149,'Statement base'!E:AO,21,0)</f>
        <v>#N/A</v>
      </c>
      <c r="E149" t="s">
        <v>188</v>
      </c>
      <c r="F149" s="6" t="e">
        <f>VLOOKUP(A149,'Statement base'!E:AO,10,0)+VLOOKUP(A149,'Statement base'!E:AO,14,0)</f>
        <v>#N/A</v>
      </c>
      <c r="G149" s="61" t="e">
        <f>VLOOKUP(A149,'Clientes CBOT'!A:E,5,0)</f>
        <v>#N/A</v>
      </c>
      <c r="H149" t="str">
        <f t="shared" si="6"/>
        <v>Hard</v>
      </c>
      <c r="I149" s="6" t="e">
        <f t="shared" si="7"/>
        <v>#N/A</v>
      </c>
      <c r="J149" s="6" t="e">
        <f t="shared" si="8"/>
        <v>#N/A</v>
      </c>
      <c r="M149" s="64" t="s">
        <v>398</v>
      </c>
      <c r="N149" s="123">
        <v>0</v>
      </c>
    </row>
    <row r="150" spans="1:14" x14ac:dyDescent="0.3">
      <c r="A150">
        <v>0</v>
      </c>
      <c r="B150" t="e">
        <f>VLOOKUP(A150,'Clientes CBOT'!A:D,4,0)</f>
        <v>#N/A</v>
      </c>
      <c r="C150" s="7" t="e">
        <f>VLOOKUP(A150,'Statement base'!E:AO,21,0)</f>
        <v>#N/A</v>
      </c>
      <c r="D150" s="7" t="e">
        <f>VLOOKUP(A150,'Statement base'!E:AO,10,0)-VLOOKUP(A150,'Statement base'!E:AO,21,0)</f>
        <v>#N/A</v>
      </c>
      <c r="E150" t="s">
        <v>188</v>
      </c>
      <c r="F150" s="6" t="e">
        <f>VLOOKUP(A150,'Statement base'!E:AO,10,0)+VLOOKUP(A150,'Statement base'!E:AO,14,0)</f>
        <v>#N/A</v>
      </c>
      <c r="G150" s="61" t="e">
        <f>VLOOKUP(A150,'Clientes CBOT'!A:E,5,0)</f>
        <v>#N/A</v>
      </c>
      <c r="H150" t="str">
        <f t="shared" si="6"/>
        <v>Hard</v>
      </c>
      <c r="I150" s="6" t="e">
        <f t="shared" si="7"/>
        <v>#N/A</v>
      </c>
      <c r="J150" s="6" t="e">
        <f t="shared" si="8"/>
        <v>#N/A</v>
      </c>
      <c r="M150" s="64" t="s">
        <v>258</v>
      </c>
      <c r="N150" s="123">
        <v>-291227.80000000005</v>
      </c>
    </row>
    <row r="151" spans="1:14" x14ac:dyDescent="0.3">
      <c r="A151">
        <v>0</v>
      </c>
      <c r="B151" t="e">
        <f>VLOOKUP(A151,'Clientes CBOT'!A:D,4,0)</f>
        <v>#N/A</v>
      </c>
      <c r="C151" s="7" t="e">
        <f>VLOOKUP(A151,'Statement base'!E:AO,21,0)</f>
        <v>#N/A</v>
      </c>
      <c r="D151" s="7" t="e">
        <f>VLOOKUP(A151,'Statement base'!E:AO,10,0)-VLOOKUP(A151,'Statement base'!E:AO,21,0)</f>
        <v>#N/A</v>
      </c>
      <c r="E151" t="s">
        <v>188</v>
      </c>
      <c r="F151" s="6" t="e">
        <f>VLOOKUP(A151,'Statement base'!E:AO,10,0)+VLOOKUP(A151,'Statement base'!E:AO,14,0)</f>
        <v>#N/A</v>
      </c>
      <c r="G151" s="61" t="e">
        <f>VLOOKUP(A151,'Clientes CBOT'!A:E,5,0)</f>
        <v>#N/A</v>
      </c>
      <c r="H151" t="str">
        <f t="shared" si="6"/>
        <v>Hard</v>
      </c>
      <c r="I151" s="6" t="e">
        <f t="shared" si="7"/>
        <v>#N/A</v>
      </c>
      <c r="J151" s="6" t="e">
        <f t="shared" si="8"/>
        <v>#N/A</v>
      </c>
      <c r="M151" s="64" t="s">
        <v>400</v>
      </c>
      <c r="N151" s="123">
        <v>1647.35</v>
      </c>
    </row>
    <row r="152" spans="1:14" x14ac:dyDescent="0.3">
      <c r="A152">
        <v>0</v>
      </c>
      <c r="B152" t="e">
        <f>VLOOKUP(A152,'Clientes CBOT'!A:D,4,0)</f>
        <v>#N/A</v>
      </c>
      <c r="C152" s="7" t="e">
        <f>VLOOKUP(A152,'Statement base'!E:AO,21,0)</f>
        <v>#N/A</v>
      </c>
      <c r="D152" s="7" t="e">
        <f>VLOOKUP(A152,'Statement base'!E:AO,10,0)-VLOOKUP(A152,'Statement base'!E:AO,21,0)</f>
        <v>#N/A</v>
      </c>
      <c r="E152" t="s">
        <v>188</v>
      </c>
      <c r="F152" s="6" t="e">
        <f>VLOOKUP(A152,'Statement base'!E:AO,10,0)+VLOOKUP(A152,'Statement base'!E:AO,14,0)</f>
        <v>#N/A</v>
      </c>
      <c r="G152" s="61" t="e">
        <f>VLOOKUP(A152,'Clientes CBOT'!A:E,5,0)</f>
        <v>#N/A</v>
      </c>
      <c r="H152" t="str">
        <f t="shared" si="6"/>
        <v>Hard</v>
      </c>
      <c r="I152" s="6" t="e">
        <f t="shared" si="7"/>
        <v>#N/A</v>
      </c>
      <c r="J152" s="6" t="e">
        <f t="shared" si="8"/>
        <v>#N/A</v>
      </c>
      <c r="M152" s="64" t="s">
        <v>401</v>
      </c>
      <c r="N152" s="123">
        <v>0</v>
      </c>
    </row>
    <row r="153" spans="1:14" x14ac:dyDescent="0.3">
      <c r="A153">
        <v>0</v>
      </c>
      <c r="B153" t="e">
        <f>VLOOKUP(A153,'Clientes CBOT'!A:D,4,0)</f>
        <v>#N/A</v>
      </c>
      <c r="C153" s="7" t="e">
        <f>VLOOKUP(A153,'Statement base'!E:AO,21,0)</f>
        <v>#N/A</v>
      </c>
      <c r="D153" s="7" t="e">
        <f>VLOOKUP(A153,'Statement base'!E:AO,10,0)-VLOOKUP(A153,'Statement base'!E:AO,21,0)</f>
        <v>#N/A</v>
      </c>
      <c r="E153" t="s">
        <v>188</v>
      </c>
      <c r="F153" s="6" t="e">
        <f>VLOOKUP(A153,'Statement base'!E:AO,10,0)+VLOOKUP(A153,'Statement base'!E:AO,14,0)</f>
        <v>#N/A</v>
      </c>
      <c r="G153" s="61" t="e">
        <f>VLOOKUP(A153,'Clientes CBOT'!A:E,5,0)</f>
        <v>#N/A</v>
      </c>
      <c r="H153" t="str">
        <f t="shared" si="6"/>
        <v>Hard</v>
      </c>
      <c r="I153" s="6" t="e">
        <f t="shared" si="7"/>
        <v>#N/A</v>
      </c>
      <c r="J153" s="6" t="e">
        <f t="shared" si="8"/>
        <v>#N/A</v>
      </c>
      <c r="M153" s="64" t="s">
        <v>261</v>
      </c>
      <c r="N153" s="123">
        <v>-1634157.18</v>
      </c>
    </row>
    <row r="154" spans="1:14" x14ac:dyDescent="0.3">
      <c r="A154">
        <v>0</v>
      </c>
      <c r="B154" t="e">
        <f>VLOOKUP(A154,'Clientes CBOT'!A:D,4,0)</f>
        <v>#N/A</v>
      </c>
      <c r="C154" s="7" t="e">
        <f>VLOOKUP(A154,'Statement base'!E:AO,21,0)</f>
        <v>#N/A</v>
      </c>
      <c r="D154" s="7" t="e">
        <f>VLOOKUP(A154,'Statement base'!E:AO,10,0)-VLOOKUP(A154,'Statement base'!E:AO,21,0)</f>
        <v>#N/A</v>
      </c>
      <c r="E154" t="s">
        <v>188</v>
      </c>
      <c r="F154" s="6" t="e">
        <f>VLOOKUP(A154,'Statement base'!E:AO,10,0)+VLOOKUP(A154,'Statement base'!E:AO,14,0)</f>
        <v>#N/A</v>
      </c>
      <c r="G154" s="61" t="e">
        <f>VLOOKUP(A154,'Clientes CBOT'!A:E,5,0)</f>
        <v>#N/A</v>
      </c>
      <c r="H154" t="str">
        <f t="shared" si="6"/>
        <v>Hard</v>
      </c>
      <c r="I154" s="6" t="e">
        <f t="shared" si="7"/>
        <v>#N/A</v>
      </c>
      <c r="J154" s="6" t="e">
        <f t="shared" si="8"/>
        <v>#N/A</v>
      </c>
      <c r="M154" s="64" t="s">
        <v>403</v>
      </c>
      <c r="N154" s="123">
        <v>0</v>
      </c>
    </row>
    <row r="155" spans="1:14" x14ac:dyDescent="0.3">
      <c r="A155">
        <v>0</v>
      </c>
      <c r="B155" t="e">
        <f>VLOOKUP(A155,'Clientes CBOT'!A:D,4,0)</f>
        <v>#N/A</v>
      </c>
      <c r="C155" s="7" t="e">
        <f>VLOOKUP(A155,'Statement base'!E:AO,21,0)</f>
        <v>#N/A</v>
      </c>
      <c r="D155" s="7" t="e">
        <f>VLOOKUP(A155,'Statement base'!E:AO,10,0)-VLOOKUP(A155,'Statement base'!E:AO,21,0)</f>
        <v>#N/A</v>
      </c>
      <c r="E155" t="s">
        <v>188</v>
      </c>
      <c r="F155" s="6" t="e">
        <f>VLOOKUP(A155,'Statement base'!E:AO,10,0)+VLOOKUP(A155,'Statement base'!E:AO,14,0)</f>
        <v>#N/A</v>
      </c>
      <c r="G155" s="61" t="e">
        <f>VLOOKUP(A155,'Clientes CBOT'!A:E,5,0)</f>
        <v>#N/A</v>
      </c>
      <c r="H155" t="str">
        <f t="shared" si="6"/>
        <v>Hard</v>
      </c>
      <c r="I155" s="6" t="e">
        <f t="shared" si="7"/>
        <v>#N/A</v>
      </c>
      <c r="J155" s="6" t="e">
        <f t="shared" si="8"/>
        <v>#N/A</v>
      </c>
      <c r="M155" s="64" t="s">
        <v>404</v>
      </c>
      <c r="N155" s="123">
        <v>-18279.370000000003</v>
      </c>
    </row>
    <row r="156" spans="1:14" x14ac:dyDescent="0.3">
      <c r="A156">
        <v>0</v>
      </c>
      <c r="B156" t="e">
        <f>VLOOKUP(A156,'Clientes CBOT'!A:D,4,0)</f>
        <v>#N/A</v>
      </c>
      <c r="C156" s="7" t="e">
        <f>VLOOKUP(A156,'Statement base'!E:AO,21,0)</f>
        <v>#N/A</v>
      </c>
      <c r="D156" s="7" t="e">
        <f>VLOOKUP(A156,'Statement base'!E:AO,10,0)-VLOOKUP(A156,'Statement base'!E:AO,21,0)</f>
        <v>#N/A</v>
      </c>
      <c r="E156" t="s">
        <v>188</v>
      </c>
      <c r="F156" s="6" t="e">
        <f>VLOOKUP(A156,'Statement base'!E:AO,10,0)+VLOOKUP(A156,'Statement base'!E:AO,14,0)</f>
        <v>#N/A</v>
      </c>
      <c r="G156" s="61" t="e">
        <f>VLOOKUP(A156,'Clientes CBOT'!A:E,5,0)</f>
        <v>#N/A</v>
      </c>
      <c r="H156" t="str">
        <f t="shared" si="6"/>
        <v>Hard</v>
      </c>
      <c r="I156" s="6" t="e">
        <f t="shared" si="7"/>
        <v>#N/A</v>
      </c>
      <c r="J156" s="6" t="e">
        <f t="shared" si="8"/>
        <v>#N/A</v>
      </c>
      <c r="M156" s="64" t="s">
        <v>266</v>
      </c>
      <c r="N156" s="123">
        <v>-573.16999999999996</v>
      </c>
    </row>
    <row r="157" spans="1:14" x14ac:dyDescent="0.3">
      <c r="A157">
        <v>0</v>
      </c>
      <c r="B157" t="e">
        <f>VLOOKUP(A157,'Clientes CBOT'!A:D,4,0)</f>
        <v>#N/A</v>
      </c>
      <c r="C157" s="7" t="e">
        <f>VLOOKUP(A157,'Statement base'!E:AO,21,0)</f>
        <v>#N/A</v>
      </c>
      <c r="D157" s="7" t="e">
        <f>VLOOKUP(A157,'Statement base'!E:AO,10,0)-VLOOKUP(A157,'Statement base'!E:AO,21,0)</f>
        <v>#N/A</v>
      </c>
      <c r="E157" t="s">
        <v>188</v>
      </c>
      <c r="F157" s="6" t="e">
        <f>VLOOKUP(A157,'Statement base'!E:AO,10,0)+VLOOKUP(A157,'Statement base'!E:AO,14,0)</f>
        <v>#N/A</v>
      </c>
      <c r="G157" s="61" t="e">
        <f>VLOOKUP(A157,'Clientes CBOT'!A:E,5,0)</f>
        <v>#N/A</v>
      </c>
      <c r="H157" t="str">
        <f t="shared" si="6"/>
        <v>Hard</v>
      </c>
      <c r="I157" s="6" t="e">
        <f t="shared" si="7"/>
        <v>#N/A</v>
      </c>
      <c r="J157" s="6" t="e">
        <f t="shared" si="8"/>
        <v>#N/A</v>
      </c>
      <c r="M157" s="64" t="s">
        <v>405</v>
      </c>
      <c r="N157" s="123">
        <v>-0.01</v>
      </c>
    </row>
    <row r="158" spans="1:14" x14ac:dyDescent="0.3">
      <c r="A158">
        <v>0</v>
      </c>
      <c r="B158" t="e">
        <f>VLOOKUP(A158,'Clientes CBOT'!A:D,4,0)</f>
        <v>#N/A</v>
      </c>
      <c r="C158" s="7" t="e">
        <f>VLOOKUP(A158,'Statement base'!E:AO,21,0)</f>
        <v>#N/A</v>
      </c>
      <c r="D158" s="7" t="e">
        <f>VLOOKUP(A158,'Statement base'!E:AO,10,0)-VLOOKUP(A158,'Statement base'!E:AO,21,0)</f>
        <v>#N/A</v>
      </c>
      <c r="E158" t="s">
        <v>188</v>
      </c>
      <c r="F158" s="6" t="e">
        <f>VLOOKUP(A158,'Statement base'!E:AO,10,0)+VLOOKUP(A158,'Statement base'!E:AO,14,0)</f>
        <v>#N/A</v>
      </c>
      <c r="G158" s="61" t="e">
        <f>VLOOKUP(A158,'Clientes CBOT'!A:E,5,0)</f>
        <v>#N/A</v>
      </c>
      <c r="H158" t="str">
        <f t="shared" si="6"/>
        <v>Hard</v>
      </c>
      <c r="I158" s="6" t="e">
        <f t="shared" si="7"/>
        <v>#N/A</v>
      </c>
      <c r="J158" s="6" t="e">
        <f t="shared" si="8"/>
        <v>#N/A</v>
      </c>
      <c r="M158" s="64" t="s">
        <v>406</v>
      </c>
      <c r="N158" s="123">
        <v>-134.5</v>
      </c>
    </row>
    <row r="159" spans="1:14" x14ac:dyDescent="0.3">
      <c r="A159">
        <v>0</v>
      </c>
      <c r="B159" t="e">
        <f>VLOOKUP(A159,'Clientes CBOT'!A:D,4,0)</f>
        <v>#N/A</v>
      </c>
      <c r="C159" s="7" t="e">
        <f>VLOOKUP(A159,'Statement base'!E:AO,21,0)</f>
        <v>#N/A</v>
      </c>
      <c r="D159" s="7" t="e">
        <f>VLOOKUP(A159,'Statement base'!E:AO,10,0)-VLOOKUP(A159,'Statement base'!E:AO,21,0)</f>
        <v>#N/A</v>
      </c>
      <c r="E159" t="s">
        <v>188</v>
      </c>
      <c r="F159" s="6" t="e">
        <f>VLOOKUP(A159,'Statement base'!E:AO,10,0)+VLOOKUP(A159,'Statement base'!E:AO,14,0)</f>
        <v>#N/A</v>
      </c>
      <c r="G159" s="61" t="e">
        <f>VLOOKUP(A159,'Clientes CBOT'!A:E,5,0)</f>
        <v>#N/A</v>
      </c>
      <c r="H159" t="str">
        <f t="shared" si="6"/>
        <v>Hard</v>
      </c>
      <c r="I159" s="6" t="e">
        <f t="shared" si="7"/>
        <v>#N/A</v>
      </c>
      <c r="J159" s="6" t="e">
        <f t="shared" si="8"/>
        <v>#N/A</v>
      </c>
      <c r="M159" s="64" t="s">
        <v>407</v>
      </c>
      <c r="N159" s="123">
        <v>2576148.7799999998</v>
      </c>
    </row>
    <row r="160" spans="1:14" x14ac:dyDescent="0.3">
      <c r="A160">
        <v>0</v>
      </c>
      <c r="B160" t="e">
        <f>VLOOKUP(A160,'Clientes CBOT'!A:D,4,0)</f>
        <v>#N/A</v>
      </c>
      <c r="C160" s="7" t="e">
        <f>VLOOKUP(A160,'Statement base'!E:AO,21,0)</f>
        <v>#N/A</v>
      </c>
      <c r="D160" s="7" t="e">
        <f>VLOOKUP(A160,'Statement base'!E:AO,10,0)-VLOOKUP(A160,'Statement base'!E:AO,21,0)</f>
        <v>#N/A</v>
      </c>
      <c r="E160" t="s">
        <v>188</v>
      </c>
      <c r="F160" s="6" t="e">
        <f>VLOOKUP(A160,'Statement base'!E:AO,10,0)+VLOOKUP(A160,'Statement base'!E:AO,14,0)</f>
        <v>#N/A</v>
      </c>
      <c r="G160" s="61" t="e">
        <f>VLOOKUP(A160,'Clientes CBOT'!A:E,5,0)</f>
        <v>#N/A</v>
      </c>
      <c r="H160" t="str">
        <f t="shared" si="6"/>
        <v>Hard</v>
      </c>
      <c r="I160" s="6" t="e">
        <f t="shared" si="7"/>
        <v>#N/A</v>
      </c>
      <c r="J160" s="6" t="e">
        <f t="shared" si="8"/>
        <v>#N/A</v>
      </c>
      <c r="M160" s="64" t="s">
        <v>408</v>
      </c>
      <c r="N160" s="123">
        <v>0</v>
      </c>
    </row>
    <row r="161" spans="1:14" x14ac:dyDescent="0.3">
      <c r="A161">
        <v>0</v>
      </c>
      <c r="B161" t="e">
        <f>VLOOKUP(A161,'Clientes CBOT'!A:D,4,0)</f>
        <v>#N/A</v>
      </c>
      <c r="C161" s="7" t="e">
        <f>VLOOKUP(A161,'Statement base'!E:AO,21,0)</f>
        <v>#N/A</v>
      </c>
      <c r="D161" s="7" t="e">
        <f>VLOOKUP(A161,'Statement base'!E:AO,10,0)-VLOOKUP(A161,'Statement base'!E:AO,21,0)</f>
        <v>#N/A</v>
      </c>
      <c r="E161" t="s">
        <v>188</v>
      </c>
      <c r="F161" s="6" t="e">
        <f>VLOOKUP(A161,'Statement base'!E:AO,10,0)+VLOOKUP(A161,'Statement base'!E:AO,14,0)</f>
        <v>#N/A</v>
      </c>
      <c r="G161" s="61" t="e">
        <f>VLOOKUP(A161,'Clientes CBOT'!A:E,5,0)</f>
        <v>#N/A</v>
      </c>
      <c r="H161" t="str">
        <f t="shared" si="6"/>
        <v>Hard</v>
      </c>
      <c r="I161" s="6" t="e">
        <f t="shared" si="7"/>
        <v>#N/A</v>
      </c>
      <c r="J161" s="6" t="e">
        <f t="shared" si="8"/>
        <v>#N/A</v>
      </c>
      <c r="M161" s="64" t="s">
        <v>409</v>
      </c>
      <c r="N161" s="123">
        <v>0</v>
      </c>
    </row>
    <row r="162" spans="1:14" x14ac:dyDescent="0.3">
      <c r="A162">
        <v>0</v>
      </c>
      <c r="B162" t="e">
        <f>VLOOKUP(A162,'Clientes CBOT'!A:D,4,0)</f>
        <v>#N/A</v>
      </c>
      <c r="C162" s="7" t="e">
        <f>VLOOKUP(A162,'Statement base'!E:AO,21,0)</f>
        <v>#N/A</v>
      </c>
      <c r="D162" s="7" t="e">
        <f>VLOOKUP(A162,'Statement base'!E:AO,10,0)-VLOOKUP(A162,'Statement base'!E:AO,21,0)</f>
        <v>#N/A</v>
      </c>
      <c r="E162" t="s">
        <v>188</v>
      </c>
      <c r="F162" s="6" t="e">
        <f>VLOOKUP(A162,'Statement base'!E:AO,10,0)+VLOOKUP(A162,'Statement base'!E:AO,14,0)</f>
        <v>#N/A</v>
      </c>
      <c r="G162" s="61" t="e">
        <f>VLOOKUP(A162,'Clientes CBOT'!A:E,5,0)</f>
        <v>#N/A</v>
      </c>
      <c r="H162" t="str">
        <f t="shared" si="6"/>
        <v>Hard</v>
      </c>
      <c r="I162" s="6" t="e">
        <f t="shared" si="7"/>
        <v>#N/A</v>
      </c>
      <c r="J162" s="6" t="e">
        <f t="shared" si="8"/>
        <v>#N/A</v>
      </c>
      <c r="M162" s="64" t="s">
        <v>410</v>
      </c>
      <c r="N162" s="123">
        <v>0</v>
      </c>
    </row>
    <row r="163" spans="1:14" x14ac:dyDescent="0.3">
      <c r="A163">
        <v>0</v>
      </c>
      <c r="B163" t="e">
        <f>VLOOKUP(A163,'Clientes CBOT'!A:D,4,0)</f>
        <v>#N/A</v>
      </c>
      <c r="C163" s="7" t="e">
        <f>VLOOKUP(A163,'Statement base'!E:AO,21,0)</f>
        <v>#N/A</v>
      </c>
      <c r="D163" s="7" t="e">
        <f>VLOOKUP(A163,'Statement base'!E:AO,10,0)-VLOOKUP(A163,'Statement base'!E:AO,21,0)</f>
        <v>#N/A</v>
      </c>
      <c r="E163" t="s">
        <v>188</v>
      </c>
      <c r="F163" s="6" t="e">
        <f>VLOOKUP(A163,'Statement base'!E:AO,10,0)+VLOOKUP(A163,'Statement base'!E:AO,14,0)</f>
        <v>#N/A</v>
      </c>
      <c r="G163" s="61" t="e">
        <f>VLOOKUP(A163,'Clientes CBOT'!A:E,5,0)</f>
        <v>#N/A</v>
      </c>
      <c r="H163" t="str">
        <f t="shared" si="6"/>
        <v>Hard</v>
      </c>
      <c r="I163" s="6" t="e">
        <f t="shared" si="7"/>
        <v>#N/A</v>
      </c>
      <c r="J163" s="6" t="e">
        <f t="shared" si="8"/>
        <v>#N/A</v>
      </c>
      <c r="M163" s="64" t="s">
        <v>411</v>
      </c>
      <c r="N163" s="123">
        <v>237.8</v>
      </c>
    </row>
    <row r="164" spans="1:14" x14ac:dyDescent="0.3">
      <c r="A164">
        <v>0</v>
      </c>
      <c r="B164" t="e">
        <f>VLOOKUP(A164,'Clientes CBOT'!A:D,4,0)</f>
        <v>#N/A</v>
      </c>
      <c r="C164" s="7" t="e">
        <f>VLOOKUP(A164,'Statement base'!E:AO,21,0)</f>
        <v>#N/A</v>
      </c>
      <c r="D164" s="7" t="e">
        <f>VLOOKUP(A164,'Statement base'!E:AO,10,0)-VLOOKUP(A164,'Statement base'!E:AO,21,0)</f>
        <v>#N/A</v>
      </c>
      <c r="E164" t="s">
        <v>188</v>
      </c>
      <c r="F164" s="6" t="e">
        <f>VLOOKUP(A164,'Statement base'!E:AO,10,0)+VLOOKUP(A164,'Statement base'!E:AO,14,0)</f>
        <v>#N/A</v>
      </c>
      <c r="G164" s="61" t="e">
        <f>VLOOKUP(A164,'Clientes CBOT'!A:E,5,0)</f>
        <v>#N/A</v>
      </c>
      <c r="H164" t="str">
        <f t="shared" si="6"/>
        <v>Hard</v>
      </c>
      <c r="I164" s="6" t="e">
        <f t="shared" si="7"/>
        <v>#N/A</v>
      </c>
      <c r="J164" s="6" t="e">
        <f t="shared" si="8"/>
        <v>#N/A</v>
      </c>
      <c r="M164" s="64" t="s">
        <v>412</v>
      </c>
      <c r="N164" s="123">
        <v>-1878.28</v>
      </c>
    </row>
    <row r="165" spans="1:14" x14ac:dyDescent="0.3">
      <c r="A165">
        <v>0</v>
      </c>
      <c r="B165" t="e">
        <f>VLOOKUP(A165,'Clientes CBOT'!A:D,4,0)</f>
        <v>#N/A</v>
      </c>
      <c r="C165" s="7" t="e">
        <f>VLOOKUP(A165,'Statement base'!E:AO,21,0)</f>
        <v>#N/A</v>
      </c>
      <c r="D165" s="7" t="e">
        <f>VLOOKUP(A165,'Statement base'!E:AO,10,0)-VLOOKUP(A165,'Statement base'!E:AO,21,0)</f>
        <v>#N/A</v>
      </c>
      <c r="E165" t="s">
        <v>188</v>
      </c>
      <c r="F165" s="6" t="e">
        <f>VLOOKUP(A165,'Statement base'!E:AO,10,0)+VLOOKUP(A165,'Statement base'!E:AO,14,0)</f>
        <v>#N/A</v>
      </c>
      <c r="G165" s="61" t="e">
        <f>VLOOKUP(A165,'Clientes CBOT'!A:E,5,0)</f>
        <v>#N/A</v>
      </c>
      <c r="H165" t="str">
        <f t="shared" si="6"/>
        <v>Hard</v>
      </c>
      <c r="I165" s="6" t="e">
        <f t="shared" si="7"/>
        <v>#N/A</v>
      </c>
      <c r="J165" s="6" t="e">
        <f t="shared" si="8"/>
        <v>#N/A</v>
      </c>
      <c r="M165" s="64" t="s">
        <v>415</v>
      </c>
      <c r="N165" s="123">
        <v>0</v>
      </c>
    </row>
    <row r="166" spans="1:14" x14ac:dyDescent="0.3">
      <c r="A166">
        <v>0</v>
      </c>
      <c r="B166" t="e">
        <f>VLOOKUP(A166,'Clientes CBOT'!A:D,4,0)</f>
        <v>#N/A</v>
      </c>
      <c r="C166" s="7" t="e">
        <f>VLOOKUP(A166,'Statement base'!E:AO,21,0)</f>
        <v>#N/A</v>
      </c>
      <c r="D166" s="7" t="e">
        <f>VLOOKUP(A166,'Statement base'!E:AO,10,0)-VLOOKUP(A166,'Statement base'!E:AO,21,0)</f>
        <v>#N/A</v>
      </c>
      <c r="E166" t="s">
        <v>188</v>
      </c>
      <c r="F166" s="6" t="e">
        <f>VLOOKUP(A166,'Statement base'!E:AO,10,0)+VLOOKUP(A166,'Statement base'!E:AO,14,0)</f>
        <v>#N/A</v>
      </c>
      <c r="G166" s="61" t="e">
        <f>VLOOKUP(A166,'Clientes CBOT'!A:E,5,0)</f>
        <v>#N/A</v>
      </c>
      <c r="H166" t="str">
        <f t="shared" si="6"/>
        <v>Hard</v>
      </c>
      <c r="I166" s="6" t="e">
        <f t="shared" si="7"/>
        <v>#N/A</v>
      </c>
      <c r="J166" s="6" t="e">
        <f t="shared" si="8"/>
        <v>#N/A</v>
      </c>
      <c r="M166" s="64" t="s">
        <v>416</v>
      </c>
      <c r="N166" s="123">
        <v>49.28</v>
      </c>
    </row>
    <row r="167" spans="1:14" x14ac:dyDescent="0.3">
      <c r="A167">
        <v>0</v>
      </c>
      <c r="B167" t="e">
        <f>VLOOKUP(A167,'Clientes CBOT'!A:D,4,0)</f>
        <v>#N/A</v>
      </c>
      <c r="C167" s="7" t="e">
        <f>VLOOKUP(A167,'Statement base'!E:AO,21,0)</f>
        <v>#N/A</v>
      </c>
      <c r="D167" s="7" t="e">
        <f>VLOOKUP(A167,'Statement base'!E:AO,10,0)-VLOOKUP(A167,'Statement base'!E:AO,21,0)</f>
        <v>#N/A</v>
      </c>
      <c r="E167" t="s">
        <v>188</v>
      </c>
      <c r="F167" s="6" t="e">
        <f>VLOOKUP(A167,'Statement base'!E:AO,10,0)+VLOOKUP(A167,'Statement base'!E:AO,14,0)</f>
        <v>#N/A</v>
      </c>
      <c r="G167" s="61" t="e">
        <f>VLOOKUP(A167,'Clientes CBOT'!A:E,5,0)</f>
        <v>#N/A</v>
      </c>
      <c r="H167" t="str">
        <f t="shared" si="6"/>
        <v>Hard</v>
      </c>
      <c r="I167" s="6" t="e">
        <f t="shared" si="7"/>
        <v>#N/A</v>
      </c>
      <c r="J167" s="6" t="e">
        <f t="shared" si="8"/>
        <v>#N/A</v>
      </c>
      <c r="M167" s="64" t="s">
        <v>270</v>
      </c>
      <c r="N167" s="123">
        <v>-71223204.470000014</v>
      </c>
    </row>
    <row r="168" spans="1:14" x14ac:dyDescent="0.3">
      <c r="A168">
        <v>0</v>
      </c>
      <c r="B168" t="e">
        <f>VLOOKUP(A168,'Clientes CBOT'!A:D,4,0)</f>
        <v>#N/A</v>
      </c>
      <c r="C168" s="7" t="e">
        <f>VLOOKUP(A168,'Statement base'!E:AO,21,0)</f>
        <v>#N/A</v>
      </c>
      <c r="D168" s="7" t="e">
        <f>VLOOKUP(A168,'Statement base'!E:AO,10,0)-VLOOKUP(A168,'Statement base'!E:AO,21,0)</f>
        <v>#N/A</v>
      </c>
      <c r="E168" t="s">
        <v>188</v>
      </c>
      <c r="F168" s="6" t="e">
        <f>VLOOKUP(A168,'Statement base'!E:AO,10,0)+VLOOKUP(A168,'Statement base'!E:AO,14,0)</f>
        <v>#N/A</v>
      </c>
      <c r="G168" s="61" t="e">
        <f>VLOOKUP(A168,'Clientes CBOT'!A:E,5,0)</f>
        <v>#N/A</v>
      </c>
      <c r="H168" t="str">
        <f t="shared" si="6"/>
        <v>Hard</v>
      </c>
      <c r="I168" s="6" t="e">
        <f t="shared" si="7"/>
        <v>#N/A</v>
      </c>
      <c r="J168" s="6" t="e">
        <f t="shared" si="8"/>
        <v>#N/A</v>
      </c>
      <c r="M168" s="64" t="s">
        <v>419</v>
      </c>
      <c r="N168" s="123">
        <v>0</v>
      </c>
    </row>
    <row r="169" spans="1:14" x14ac:dyDescent="0.3">
      <c r="A169">
        <v>0</v>
      </c>
      <c r="B169" t="e">
        <f>VLOOKUP(A169,'Clientes CBOT'!A:D,4,0)</f>
        <v>#N/A</v>
      </c>
      <c r="C169" s="7" t="e">
        <f>VLOOKUP(A169,'Statement base'!E:AO,21,0)</f>
        <v>#N/A</v>
      </c>
      <c r="D169" s="7" t="e">
        <f>VLOOKUP(A169,'Statement base'!E:AO,10,0)-VLOOKUP(A169,'Statement base'!E:AO,21,0)</f>
        <v>#N/A</v>
      </c>
      <c r="E169" t="s">
        <v>188</v>
      </c>
      <c r="F169" s="6" t="e">
        <f>VLOOKUP(A169,'Statement base'!E:AO,10,0)+VLOOKUP(A169,'Statement base'!E:AO,14,0)</f>
        <v>#N/A</v>
      </c>
      <c r="G169" s="61" t="e">
        <f>VLOOKUP(A169,'Clientes CBOT'!A:E,5,0)</f>
        <v>#N/A</v>
      </c>
      <c r="H169" t="str">
        <f t="shared" si="6"/>
        <v>Hard</v>
      </c>
      <c r="I169" s="6" t="e">
        <f t="shared" si="7"/>
        <v>#N/A</v>
      </c>
      <c r="J169" s="6" t="e">
        <f t="shared" si="8"/>
        <v>#N/A</v>
      </c>
      <c r="M169" s="64" t="s">
        <v>420</v>
      </c>
      <c r="N169" s="123">
        <v>502652.89</v>
      </c>
    </row>
    <row r="170" spans="1:14" x14ac:dyDescent="0.3">
      <c r="A170">
        <v>0</v>
      </c>
      <c r="B170" t="e">
        <f>VLOOKUP(A170,'Clientes CBOT'!A:D,4,0)</f>
        <v>#N/A</v>
      </c>
      <c r="C170" s="7" t="e">
        <f>VLOOKUP(A170,'Statement base'!E:AO,21,0)</f>
        <v>#N/A</v>
      </c>
      <c r="D170" s="7" t="e">
        <f>VLOOKUP(A170,'Statement base'!E:AO,10,0)-VLOOKUP(A170,'Statement base'!E:AO,21,0)</f>
        <v>#N/A</v>
      </c>
      <c r="E170" t="s">
        <v>188</v>
      </c>
      <c r="F170" s="6" t="e">
        <f>VLOOKUP(A170,'Statement base'!E:AO,10,0)+VLOOKUP(A170,'Statement base'!E:AO,14,0)</f>
        <v>#N/A</v>
      </c>
      <c r="G170" s="61" t="e">
        <f>VLOOKUP(A170,'Clientes CBOT'!A:E,5,0)</f>
        <v>#N/A</v>
      </c>
      <c r="H170" t="str">
        <f t="shared" si="6"/>
        <v>Hard</v>
      </c>
      <c r="I170" s="6" t="e">
        <f t="shared" si="7"/>
        <v>#N/A</v>
      </c>
      <c r="J170" s="6" t="e">
        <f t="shared" si="8"/>
        <v>#N/A</v>
      </c>
      <c r="M170" s="64" t="s">
        <v>274</v>
      </c>
      <c r="N170" s="123">
        <v>6253.95</v>
      </c>
    </row>
    <row r="171" spans="1:14" x14ac:dyDescent="0.3">
      <c r="A171">
        <v>0</v>
      </c>
      <c r="B171" t="e">
        <f>VLOOKUP(A171,'Clientes CBOT'!A:D,4,0)</f>
        <v>#N/A</v>
      </c>
      <c r="C171" s="7" t="e">
        <f>VLOOKUP(A171,'Statement base'!E:AO,21,0)</f>
        <v>#N/A</v>
      </c>
      <c r="D171" s="7" t="e">
        <f>VLOOKUP(A171,'Statement base'!E:AO,10,0)-VLOOKUP(A171,'Statement base'!E:AO,21,0)</f>
        <v>#N/A</v>
      </c>
      <c r="E171" t="s">
        <v>188</v>
      </c>
      <c r="F171" s="6" t="e">
        <f>VLOOKUP(A171,'Statement base'!E:AO,10,0)+VLOOKUP(A171,'Statement base'!E:AO,14,0)</f>
        <v>#N/A</v>
      </c>
      <c r="G171" s="61" t="e">
        <f>VLOOKUP(A171,'Clientes CBOT'!A:E,5,0)</f>
        <v>#N/A</v>
      </c>
      <c r="H171" t="str">
        <f t="shared" si="6"/>
        <v>Hard</v>
      </c>
      <c r="I171" s="6" t="e">
        <f t="shared" si="7"/>
        <v>#N/A</v>
      </c>
      <c r="J171" s="6" t="e">
        <f t="shared" si="8"/>
        <v>#N/A</v>
      </c>
      <c r="M171" s="64" t="s">
        <v>421</v>
      </c>
      <c r="N171" s="123">
        <v>0</v>
      </c>
    </row>
    <row r="172" spans="1:14" x14ac:dyDescent="0.3">
      <c r="A172">
        <v>0</v>
      </c>
      <c r="B172" t="e">
        <f>VLOOKUP(A172,'Clientes CBOT'!A:D,4,0)</f>
        <v>#N/A</v>
      </c>
      <c r="C172" s="7" t="e">
        <f>VLOOKUP(A172,'Statement base'!E:AO,21,0)</f>
        <v>#N/A</v>
      </c>
      <c r="D172" s="7" t="e">
        <f>VLOOKUP(A172,'Statement base'!E:AO,10,0)-VLOOKUP(A172,'Statement base'!E:AO,21,0)</f>
        <v>#N/A</v>
      </c>
      <c r="E172" t="s">
        <v>188</v>
      </c>
      <c r="F172" s="6" t="e">
        <f>VLOOKUP(A172,'Statement base'!E:AO,10,0)+VLOOKUP(A172,'Statement base'!E:AO,14,0)</f>
        <v>#N/A</v>
      </c>
      <c r="G172" s="61" t="e">
        <f>VLOOKUP(A172,'Clientes CBOT'!A:E,5,0)</f>
        <v>#N/A</v>
      </c>
      <c r="H172" t="str">
        <f t="shared" si="6"/>
        <v>Hard</v>
      </c>
      <c r="I172" s="6" t="e">
        <f t="shared" si="7"/>
        <v>#N/A</v>
      </c>
      <c r="J172" s="6" t="e">
        <f t="shared" si="8"/>
        <v>#N/A</v>
      </c>
      <c r="M172" s="64" t="s">
        <v>395</v>
      </c>
      <c r="N172" s="123">
        <v>731.63</v>
      </c>
    </row>
    <row r="173" spans="1:14" x14ac:dyDescent="0.3">
      <c r="A173">
        <v>0</v>
      </c>
      <c r="B173" t="e">
        <f>VLOOKUP(A173,'Clientes CBOT'!A:D,4,0)</f>
        <v>#N/A</v>
      </c>
      <c r="C173" s="7" t="e">
        <f>VLOOKUP(A173,'Statement base'!E:AO,21,0)</f>
        <v>#N/A</v>
      </c>
      <c r="D173" s="7" t="e">
        <f>VLOOKUP(A173,'Statement base'!E:AO,10,0)-VLOOKUP(A173,'Statement base'!E:AO,21,0)</f>
        <v>#N/A</v>
      </c>
      <c r="E173" t="s">
        <v>188</v>
      </c>
      <c r="F173" s="6" t="e">
        <f>VLOOKUP(A173,'Statement base'!E:AO,10,0)+VLOOKUP(A173,'Statement base'!E:AO,14,0)</f>
        <v>#N/A</v>
      </c>
      <c r="G173" s="61" t="e">
        <f>VLOOKUP(A173,'Clientes CBOT'!A:E,5,0)</f>
        <v>#N/A</v>
      </c>
      <c r="H173" t="str">
        <f t="shared" si="6"/>
        <v>Hard</v>
      </c>
      <c r="I173" s="6" t="e">
        <f t="shared" si="7"/>
        <v>#N/A</v>
      </c>
      <c r="J173" s="6" t="e">
        <f t="shared" si="8"/>
        <v>#N/A</v>
      </c>
      <c r="M173" s="64" t="s">
        <v>423</v>
      </c>
      <c r="N173" s="123">
        <v>-178127436.63999999</v>
      </c>
    </row>
    <row r="174" spans="1:14" x14ac:dyDescent="0.3">
      <c r="A174">
        <v>0</v>
      </c>
      <c r="B174" t="e">
        <f>VLOOKUP(A174,'Clientes CBOT'!A:D,4,0)</f>
        <v>#N/A</v>
      </c>
      <c r="C174" s="7" t="e">
        <f>VLOOKUP(A174,'Statement base'!E:AO,21,0)</f>
        <v>#N/A</v>
      </c>
      <c r="D174" s="7" t="e">
        <f>VLOOKUP(A174,'Statement base'!E:AO,10,0)-VLOOKUP(A174,'Statement base'!E:AO,21,0)</f>
        <v>#N/A</v>
      </c>
      <c r="E174" t="s">
        <v>188</v>
      </c>
      <c r="F174" s="6" t="e">
        <f>VLOOKUP(A174,'Statement base'!E:AO,10,0)+VLOOKUP(A174,'Statement base'!E:AO,14,0)</f>
        <v>#N/A</v>
      </c>
      <c r="G174" s="61" t="e">
        <f>VLOOKUP(A174,'Clientes CBOT'!A:E,5,0)</f>
        <v>#N/A</v>
      </c>
      <c r="H174" t="str">
        <f t="shared" si="6"/>
        <v>Hard</v>
      </c>
      <c r="I174" s="6" t="e">
        <f t="shared" si="7"/>
        <v>#N/A</v>
      </c>
      <c r="J174" s="6" t="e">
        <f t="shared" si="8"/>
        <v>#N/A</v>
      </c>
      <c r="M174" s="64" t="s">
        <v>424</v>
      </c>
      <c r="N174" s="123">
        <v>3442.64</v>
      </c>
    </row>
    <row r="175" spans="1:14" x14ac:dyDescent="0.3">
      <c r="A175">
        <v>0</v>
      </c>
      <c r="B175" t="e">
        <f>VLOOKUP(A175,'Clientes CBOT'!A:D,4,0)</f>
        <v>#N/A</v>
      </c>
      <c r="C175" s="7" t="e">
        <f>VLOOKUP(A175,'Statement base'!E:AO,21,0)</f>
        <v>#N/A</v>
      </c>
      <c r="D175" s="7" t="e">
        <f>VLOOKUP(A175,'Statement base'!E:AO,10,0)-VLOOKUP(A175,'Statement base'!E:AO,21,0)</f>
        <v>#N/A</v>
      </c>
      <c r="E175" t="s">
        <v>188</v>
      </c>
      <c r="F175" s="6" t="e">
        <f>VLOOKUP(A175,'Statement base'!E:AO,10,0)+VLOOKUP(A175,'Statement base'!E:AO,14,0)</f>
        <v>#N/A</v>
      </c>
      <c r="G175" s="61" t="e">
        <f>VLOOKUP(A175,'Clientes CBOT'!A:E,5,0)</f>
        <v>#N/A</v>
      </c>
      <c r="H175" t="str">
        <f t="shared" si="6"/>
        <v>Hard</v>
      </c>
      <c r="I175" s="6" t="e">
        <f t="shared" si="7"/>
        <v>#N/A</v>
      </c>
      <c r="J175" s="6" t="e">
        <f t="shared" si="8"/>
        <v>#N/A</v>
      </c>
      <c r="M175" s="64" t="s">
        <v>426</v>
      </c>
      <c r="N175" s="123">
        <v>0</v>
      </c>
    </row>
    <row r="176" spans="1:14" x14ac:dyDescent="0.3">
      <c r="A176">
        <v>0</v>
      </c>
      <c r="B176" t="e">
        <f>VLOOKUP(A176,'Clientes CBOT'!A:D,4,0)</f>
        <v>#N/A</v>
      </c>
      <c r="C176" s="7" t="e">
        <f>VLOOKUP(A176,'Statement base'!E:AO,21,0)</f>
        <v>#N/A</v>
      </c>
      <c r="D176" s="7" t="e">
        <f>VLOOKUP(A176,'Statement base'!E:AO,10,0)-VLOOKUP(A176,'Statement base'!E:AO,21,0)</f>
        <v>#N/A</v>
      </c>
      <c r="E176" t="s">
        <v>188</v>
      </c>
      <c r="F176" s="6" t="e">
        <f>VLOOKUP(A176,'Statement base'!E:AO,10,0)+VLOOKUP(A176,'Statement base'!E:AO,14,0)</f>
        <v>#N/A</v>
      </c>
      <c r="G176" s="61" t="e">
        <f>VLOOKUP(A176,'Clientes CBOT'!A:E,5,0)</f>
        <v>#N/A</v>
      </c>
      <c r="H176" t="str">
        <f t="shared" si="6"/>
        <v>Hard</v>
      </c>
      <c r="I176" s="6" t="e">
        <f t="shared" si="7"/>
        <v>#N/A</v>
      </c>
      <c r="J176" s="6" t="e">
        <f t="shared" si="8"/>
        <v>#N/A</v>
      </c>
      <c r="M176" s="64" t="s">
        <v>427</v>
      </c>
      <c r="N176" s="123">
        <v>0</v>
      </c>
    </row>
    <row r="177" spans="1:14" x14ac:dyDescent="0.3">
      <c r="A177">
        <v>0</v>
      </c>
      <c r="B177" t="e">
        <f>VLOOKUP(A177,'Clientes CBOT'!A:D,4,0)</f>
        <v>#N/A</v>
      </c>
      <c r="C177" s="7" t="e">
        <f>VLOOKUP(A177,'Statement base'!E:AO,21,0)</f>
        <v>#N/A</v>
      </c>
      <c r="D177" s="7" t="e">
        <f>VLOOKUP(A177,'Statement base'!E:AO,10,0)-VLOOKUP(A177,'Statement base'!E:AO,21,0)</f>
        <v>#N/A</v>
      </c>
      <c r="E177" t="s">
        <v>188</v>
      </c>
      <c r="F177" s="6" t="e">
        <f>VLOOKUP(A177,'Statement base'!E:AO,10,0)+VLOOKUP(A177,'Statement base'!E:AO,14,0)</f>
        <v>#N/A</v>
      </c>
      <c r="G177" s="61" t="e">
        <f>VLOOKUP(A177,'Clientes CBOT'!A:E,5,0)</f>
        <v>#N/A</v>
      </c>
      <c r="H177" t="str">
        <f t="shared" si="6"/>
        <v>Hard</v>
      </c>
      <c r="I177" s="6" t="e">
        <f t="shared" si="7"/>
        <v>#N/A</v>
      </c>
      <c r="J177" s="6" t="e">
        <f t="shared" si="8"/>
        <v>#N/A</v>
      </c>
      <c r="M177" s="64" t="s">
        <v>429</v>
      </c>
      <c r="N177" s="123">
        <v>22.689999999999998</v>
      </c>
    </row>
    <row r="178" spans="1:14" x14ac:dyDescent="0.3">
      <c r="A178">
        <v>0</v>
      </c>
      <c r="B178" t="e">
        <f>VLOOKUP(A178,'Clientes CBOT'!A:D,4,0)</f>
        <v>#N/A</v>
      </c>
      <c r="C178" s="7" t="e">
        <f>VLOOKUP(A178,'Statement base'!E:AO,21,0)</f>
        <v>#N/A</v>
      </c>
      <c r="D178" s="7" t="e">
        <f>VLOOKUP(A178,'Statement base'!E:AO,10,0)-VLOOKUP(A178,'Statement base'!E:AO,21,0)</f>
        <v>#N/A</v>
      </c>
      <c r="E178" t="s">
        <v>188</v>
      </c>
      <c r="F178" s="6" t="e">
        <f>VLOOKUP(A178,'Statement base'!E:AO,10,0)+VLOOKUP(A178,'Statement base'!E:AO,14,0)</f>
        <v>#N/A</v>
      </c>
      <c r="G178" s="61" t="e">
        <f>VLOOKUP(A178,'Clientes CBOT'!A:E,5,0)</f>
        <v>#N/A</v>
      </c>
      <c r="H178" t="str">
        <f t="shared" si="6"/>
        <v>Hard</v>
      </c>
      <c r="I178" s="6" t="e">
        <f t="shared" si="7"/>
        <v>#N/A</v>
      </c>
      <c r="J178" s="6" t="e">
        <f t="shared" si="8"/>
        <v>#N/A</v>
      </c>
      <c r="M178" s="64" t="s">
        <v>430</v>
      </c>
      <c r="N178" s="123">
        <v>0</v>
      </c>
    </row>
    <row r="179" spans="1:14" x14ac:dyDescent="0.3">
      <c r="A179">
        <v>0</v>
      </c>
      <c r="B179" t="e">
        <f>VLOOKUP(A179,'Clientes CBOT'!A:D,4,0)</f>
        <v>#N/A</v>
      </c>
      <c r="C179" s="7" t="e">
        <f>VLOOKUP(A179,'Statement base'!E:AO,21,0)</f>
        <v>#N/A</v>
      </c>
      <c r="D179" s="7" t="e">
        <f>VLOOKUP(A179,'Statement base'!E:AO,10,0)-VLOOKUP(A179,'Statement base'!E:AO,21,0)</f>
        <v>#N/A</v>
      </c>
      <c r="E179" t="s">
        <v>188</v>
      </c>
      <c r="F179" s="6" t="e">
        <f>VLOOKUP(A179,'Statement base'!E:AO,10,0)+VLOOKUP(A179,'Statement base'!E:AO,14,0)</f>
        <v>#N/A</v>
      </c>
      <c r="G179" s="61" t="e">
        <f>VLOOKUP(A179,'Clientes CBOT'!A:E,5,0)</f>
        <v>#N/A</v>
      </c>
      <c r="H179" t="str">
        <f t="shared" si="6"/>
        <v>Hard</v>
      </c>
      <c r="I179" s="6" t="e">
        <f t="shared" si="7"/>
        <v>#N/A</v>
      </c>
      <c r="J179" s="6" t="e">
        <f t="shared" si="8"/>
        <v>#N/A</v>
      </c>
      <c r="M179" s="64" t="s">
        <v>432</v>
      </c>
      <c r="N179" s="123">
        <v>-12897094.34</v>
      </c>
    </row>
    <row r="180" spans="1:14" x14ac:dyDescent="0.3">
      <c r="A180">
        <v>0</v>
      </c>
      <c r="B180" t="e">
        <f>VLOOKUP(A180,'Clientes CBOT'!A:D,4,0)</f>
        <v>#N/A</v>
      </c>
      <c r="C180" s="7" t="e">
        <f>VLOOKUP(A180,'Statement base'!E:AO,21,0)</f>
        <v>#N/A</v>
      </c>
      <c r="D180" s="7" t="e">
        <f>VLOOKUP(A180,'Statement base'!E:AO,10,0)-VLOOKUP(A180,'Statement base'!E:AO,21,0)</f>
        <v>#N/A</v>
      </c>
      <c r="E180" t="s">
        <v>188</v>
      </c>
      <c r="F180" s="6" t="e">
        <f>VLOOKUP(A180,'Statement base'!E:AO,10,0)+VLOOKUP(A180,'Statement base'!E:AO,14,0)</f>
        <v>#N/A</v>
      </c>
      <c r="G180" s="61" t="e">
        <f>VLOOKUP(A180,'Clientes CBOT'!A:E,5,0)</f>
        <v>#N/A</v>
      </c>
      <c r="H180" t="str">
        <f t="shared" si="6"/>
        <v>Hard</v>
      </c>
      <c r="I180" s="6" t="e">
        <f t="shared" si="7"/>
        <v>#N/A</v>
      </c>
      <c r="J180" s="6" t="e">
        <f t="shared" si="8"/>
        <v>#N/A</v>
      </c>
      <c r="M180" s="64" t="s">
        <v>433</v>
      </c>
      <c r="N180" s="123">
        <v>22.53</v>
      </c>
    </row>
    <row r="181" spans="1:14" x14ac:dyDescent="0.3">
      <c r="A181">
        <v>0</v>
      </c>
      <c r="B181" t="e">
        <f>VLOOKUP(A181,'Clientes CBOT'!A:D,4,0)</f>
        <v>#N/A</v>
      </c>
      <c r="C181" s="7" t="e">
        <f>VLOOKUP(A181,'Statement base'!E:AO,21,0)</f>
        <v>#N/A</v>
      </c>
      <c r="D181" s="7" t="e">
        <f>VLOOKUP(A181,'Statement base'!E:AO,10,0)-VLOOKUP(A181,'Statement base'!E:AO,21,0)</f>
        <v>#N/A</v>
      </c>
      <c r="E181" t="s">
        <v>188</v>
      </c>
      <c r="F181" s="6" t="e">
        <f>VLOOKUP(A181,'Statement base'!E:AO,10,0)+VLOOKUP(A181,'Statement base'!E:AO,14,0)</f>
        <v>#N/A</v>
      </c>
      <c r="G181" s="61" t="e">
        <f>VLOOKUP(A181,'Clientes CBOT'!A:E,5,0)</f>
        <v>#N/A</v>
      </c>
      <c r="H181" t="str">
        <f t="shared" si="6"/>
        <v>Hard</v>
      </c>
      <c r="I181" s="6" t="e">
        <f t="shared" si="7"/>
        <v>#N/A</v>
      </c>
      <c r="J181" s="6" t="e">
        <f t="shared" si="8"/>
        <v>#N/A</v>
      </c>
      <c r="M181" s="64" t="s">
        <v>434</v>
      </c>
      <c r="N181" s="123">
        <v>5083.6499999999996</v>
      </c>
    </row>
    <row r="182" spans="1:14" x14ac:dyDescent="0.3">
      <c r="A182">
        <v>0</v>
      </c>
      <c r="B182" t="e">
        <f>VLOOKUP(A182,'Clientes CBOT'!A:D,4,0)</f>
        <v>#N/A</v>
      </c>
      <c r="C182" s="7" t="e">
        <f>VLOOKUP(A182,'Statement base'!E:AO,21,0)</f>
        <v>#N/A</v>
      </c>
      <c r="D182" s="7" t="e">
        <f>VLOOKUP(A182,'Statement base'!E:AO,10,0)-VLOOKUP(A182,'Statement base'!E:AO,21,0)</f>
        <v>#N/A</v>
      </c>
      <c r="E182" t="s">
        <v>188</v>
      </c>
      <c r="F182" s="6" t="e">
        <f>VLOOKUP(A182,'Statement base'!E:AO,10,0)+VLOOKUP(A182,'Statement base'!E:AO,14,0)</f>
        <v>#N/A</v>
      </c>
      <c r="G182" s="61" t="e">
        <f>VLOOKUP(A182,'Clientes CBOT'!A:E,5,0)</f>
        <v>#N/A</v>
      </c>
      <c r="H182" t="str">
        <f t="shared" si="6"/>
        <v>Hard</v>
      </c>
      <c r="I182" s="6" t="e">
        <f t="shared" si="7"/>
        <v>#N/A</v>
      </c>
      <c r="J182" s="6" t="e">
        <f t="shared" si="8"/>
        <v>#N/A</v>
      </c>
      <c r="M182" s="64" t="s">
        <v>435</v>
      </c>
      <c r="N182" s="123">
        <v>-0.24</v>
      </c>
    </row>
    <row r="183" spans="1:14" x14ac:dyDescent="0.3">
      <c r="A183">
        <v>0</v>
      </c>
      <c r="B183" t="e">
        <f>VLOOKUP(A183,'Clientes CBOT'!A:D,4,0)</f>
        <v>#N/A</v>
      </c>
      <c r="C183" s="7" t="e">
        <f>VLOOKUP(A183,'Statement base'!E:AO,21,0)</f>
        <v>#N/A</v>
      </c>
      <c r="D183" s="7" t="e">
        <f>VLOOKUP(A183,'Statement base'!E:AO,10,0)-VLOOKUP(A183,'Statement base'!E:AO,21,0)</f>
        <v>#N/A</v>
      </c>
      <c r="E183" t="s">
        <v>188</v>
      </c>
      <c r="F183" s="6" t="e">
        <f>VLOOKUP(A183,'Statement base'!E:AO,10,0)+VLOOKUP(A183,'Statement base'!E:AO,14,0)</f>
        <v>#N/A</v>
      </c>
      <c r="G183" s="61" t="e">
        <f>VLOOKUP(A183,'Clientes CBOT'!A:E,5,0)</f>
        <v>#N/A</v>
      </c>
      <c r="H183" t="str">
        <f t="shared" si="6"/>
        <v>Hard</v>
      </c>
      <c r="I183" s="6" t="e">
        <f t="shared" si="7"/>
        <v>#N/A</v>
      </c>
      <c r="J183" s="6" t="e">
        <f t="shared" si="8"/>
        <v>#N/A</v>
      </c>
      <c r="M183" s="64" t="s">
        <v>422</v>
      </c>
      <c r="N183" s="123">
        <v>0.84</v>
      </c>
    </row>
    <row r="184" spans="1:14" x14ac:dyDescent="0.3">
      <c r="A184">
        <v>0</v>
      </c>
      <c r="B184" t="e">
        <f>VLOOKUP(A184,'Clientes CBOT'!A:D,4,0)</f>
        <v>#N/A</v>
      </c>
      <c r="C184" s="7" t="e">
        <f>VLOOKUP(A184,'Statement base'!E:AO,21,0)</f>
        <v>#N/A</v>
      </c>
      <c r="D184" s="7" t="e">
        <f>VLOOKUP(A184,'Statement base'!E:AO,10,0)-VLOOKUP(A184,'Statement base'!E:AO,21,0)</f>
        <v>#N/A</v>
      </c>
      <c r="E184" t="s">
        <v>188</v>
      </c>
      <c r="F184" s="6" t="e">
        <f>VLOOKUP(A184,'Statement base'!E:AO,10,0)+VLOOKUP(A184,'Statement base'!E:AO,14,0)</f>
        <v>#N/A</v>
      </c>
      <c r="G184" s="61" t="e">
        <f>VLOOKUP(A184,'Clientes CBOT'!A:E,5,0)</f>
        <v>#N/A</v>
      </c>
      <c r="H184" t="str">
        <f t="shared" si="6"/>
        <v>Hard</v>
      </c>
      <c r="I184" s="6" t="e">
        <f t="shared" si="7"/>
        <v>#N/A</v>
      </c>
      <c r="J184" s="6" t="e">
        <f t="shared" si="8"/>
        <v>#N/A</v>
      </c>
      <c r="M184" s="64" t="s">
        <v>437</v>
      </c>
      <c r="N184" s="123">
        <v>0</v>
      </c>
    </row>
    <row r="185" spans="1:14" x14ac:dyDescent="0.3">
      <c r="A185">
        <v>0</v>
      </c>
      <c r="B185" t="e">
        <f>VLOOKUP(A185,'Clientes CBOT'!A:D,4,0)</f>
        <v>#N/A</v>
      </c>
      <c r="C185" s="7" t="e">
        <f>VLOOKUP(A185,'Statement base'!E:AO,21,0)</f>
        <v>#N/A</v>
      </c>
      <c r="D185" s="7" t="e">
        <f>VLOOKUP(A185,'Statement base'!E:AO,10,0)-VLOOKUP(A185,'Statement base'!E:AO,21,0)</f>
        <v>#N/A</v>
      </c>
      <c r="E185" t="s">
        <v>188</v>
      </c>
      <c r="F185" s="6" t="e">
        <f>VLOOKUP(A185,'Statement base'!E:AO,10,0)+VLOOKUP(A185,'Statement base'!E:AO,14,0)</f>
        <v>#N/A</v>
      </c>
      <c r="G185" s="61" t="e">
        <f>VLOOKUP(A185,'Clientes CBOT'!A:E,5,0)</f>
        <v>#N/A</v>
      </c>
      <c r="H185" t="str">
        <f t="shared" si="6"/>
        <v>Hard</v>
      </c>
      <c r="I185" s="6" t="e">
        <f t="shared" si="7"/>
        <v>#N/A</v>
      </c>
      <c r="J185" s="6" t="e">
        <f t="shared" si="8"/>
        <v>#N/A</v>
      </c>
      <c r="M185" s="64" t="s">
        <v>439</v>
      </c>
      <c r="N185" s="123">
        <v>-0.20999999999999996</v>
      </c>
    </row>
    <row r="186" spans="1:14" x14ac:dyDescent="0.3">
      <c r="A186">
        <v>0</v>
      </c>
      <c r="B186" t="e">
        <f>VLOOKUP(A186,'Clientes CBOT'!A:D,4,0)</f>
        <v>#N/A</v>
      </c>
      <c r="C186" s="7" t="e">
        <f>VLOOKUP(A186,'Statement base'!E:AO,21,0)</f>
        <v>#N/A</v>
      </c>
      <c r="D186" s="7" t="e">
        <f>VLOOKUP(A186,'Statement base'!E:AO,10,0)-VLOOKUP(A186,'Statement base'!E:AO,21,0)</f>
        <v>#N/A</v>
      </c>
      <c r="E186" t="s">
        <v>188</v>
      </c>
      <c r="F186" s="6" t="e">
        <f>VLOOKUP(A186,'Statement base'!E:AO,10,0)+VLOOKUP(A186,'Statement base'!E:AO,14,0)</f>
        <v>#N/A</v>
      </c>
      <c r="G186" s="61" t="e">
        <f>VLOOKUP(A186,'Clientes CBOT'!A:E,5,0)</f>
        <v>#N/A</v>
      </c>
      <c r="H186" t="str">
        <f t="shared" si="6"/>
        <v>Hard</v>
      </c>
      <c r="I186" s="6" t="e">
        <f t="shared" si="7"/>
        <v>#N/A</v>
      </c>
      <c r="J186" s="6" t="e">
        <f t="shared" si="8"/>
        <v>#N/A</v>
      </c>
      <c r="M186" s="64" t="s">
        <v>440</v>
      </c>
      <c r="N186" s="123">
        <v>-107300793.31999999</v>
      </c>
    </row>
    <row r="187" spans="1:14" x14ac:dyDescent="0.3">
      <c r="A187">
        <v>0</v>
      </c>
      <c r="B187" t="e">
        <f>VLOOKUP(A187,'Clientes CBOT'!A:D,4,0)</f>
        <v>#N/A</v>
      </c>
      <c r="C187" s="7" t="e">
        <f>VLOOKUP(A187,'Statement base'!E:AO,21,0)</f>
        <v>#N/A</v>
      </c>
      <c r="D187" s="7" t="e">
        <f>VLOOKUP(A187,'Statement base'!E:AO,10,0)-VLOOKUP(A187,'Statement base'!E:AO,21,0)</f>
        <v>#N/A</v>
      </c>
      <c r="E187" t="s">
        <v>188</v>
      </c>
      <c r="F187" s="6" t="e">
        <f>VLOOKUP(A187,'Statement base'!E:AO,10,0)+VLOOKUP(A187,'Statement base'!E:AO,14,0)</f>
        <v>#N/A</v>
      </c>
      <c r="G187" s="61" t="e">
        <f>VLOOKUP(A187,'Clientes CBOT'!A:E,5,0)</f>
        <v>#N/A</v>
      </c>
      <c r="H187" t="str">
        <f t="shared" si="6"/>
        <v>Hard</v>
      </c>
      <c r="I187" s="6" t="e">
        <f t="shared" si="7"/>
        <v>#N/A</v>
      </c>
      <c r="J187" s="6" t="e">
        <f t="shared" si="8"/>
        <v>#N/A</v>
      </c>
      <c r="M187" s="64" t="s">
        <v>277</v>
      </c>
      <c r="N187" s="123">
        <v>-7261.8300000000008</v>
      </c>
    </row>
    <row r="188" spans="1:14" x14ac:dyDescent="0.3">
      <c r="A188">
        <v>0</v>
      </c>
      <c r="B188" t="e">
        <f>VLOOKUP(A188,'Clientes CBOT'!A:D,4,0)</f>
        <v>#N/A</v>
      </c>
      <c r="C188" s="7" t="e">
        <f>VLOOKUP(A188,'Statement base'!E:AO,21,0)</f>
        <v>#N/A</v>
      </c>
      <c r="D188" s="7" t="e">
        <f>VLOOKUP(A188,'Statement base'!E:AO,10,0)-VLOOKUP(A188,'Statement base'!E:AO,21,0)</f>
        <v>#N/A</v>
      </c>
      <c r="E188" t="s">
        <v>188</v>
      </c>
      <c r="F188" s="6" t="e">
        <f>VLOOKUP(A188,'Statement base'!E:AO,10,0)+VLOOKUP(A188,'Statement base'!E:AO,14,0)</f>
        <v>#N/A</v>
      </c>
      <c r="G188" s="61" t="e">
        <f>VLOOKUP(A188,'Clientes CBOT'!A:E,5,0)</f>
        <v>#N/A</v>
      </c>
      <c r="H188" t="str">
        <f t="shared" si="6"/>
        <v>Hard</v>
      </c>
      <c r="I188" s="6" t="e">
        <f t="shared" si="7"/>
        <v>#N/A</v>
      </c>
      <c r="J188" s="6" t="e">
        <f t="shared" si="8"/>
        <v>#N/A</v>
      </c>
      <c r="M188" s="64" t="s">
        <v>441</v>
      </c>
      <c r="N188" s="123">
        <v>0</v>
      </c>
    </row>
    <row r="189" spans="1:14" x14ac:dyDescent="0.3">
      <c r="A189">
        <v>0</v>
      </c>
      <c r="B189" t="e">
        <f>VLOOKUP(A189,'Clientes CBOT'!A:D,4,0)</f>
        <v>#N/A</v>
      </c>
      <c r="C189" s="7" t="e">
        <f>VLOOKUP(A189,'Statement base'!E:AO,21,0)</f>
        <v>#N/A</v>
      </c>
      <c r="D189" s="7" t="e">
        <f>VLOOKUP(A189,'Statement base'!E:AO,10,0)-VLOOKUP(A189,'Statement base'!E:AO,21,0)</f>
        <v>#N/A</v>
      </c>
      <c r="E189" t="s">
        <v>188</v>
      </c>
      <c r="F189" s="6" t="e">
        <f>VLOOKUP(A189,'Statement base'!E:AO,10,0)+VLOOKUP(A189,'Statement base'!E:AO,14,0)</f>
        <v>#N/A</v>
      </c>
      <c r="G189" s="61" t="e">
        <f>VLOOKUP(A189,'Clientes CBOT'!A:E,5,0)</f>
        <v>#N/A</v>
      </c>
      <c r="H189" t="str">
        <f t="shared" si="6"/>
        <v>Hard</v>
      </c>
      <c r="I189" s="6" t="e">
        <f t="shared" si="7"/>
        <v>#N/A</v>
      </c>
      <c r="J189" s="6" t="e">
        <f t="shared" si="8"/>
        <v>#N/A</v>
      </c>
      <c r="M189" s="64" t="s">
        <v>442</v>
      </c>
      <c r="N189" s="123">
        <v>0</v>
      </c>
    </row>
    <row r="190" spans="1:14" x14ac:dyDescent="0.3">
      <c r="A190">
        <v>0</v>
      </c>
      <c r="B190" t="e">
        <f>VLOOKUP(A190,'Clientes CBOT'!A:D,4,0)</f>
        <v>#N/A</v>
      </c>
      <c r="C190" s="7" t="e">
        <f>VLOOKUP(A190,'Statement base'!E:AO,21,0)</f>
        <v>#N/A</v>
      </c>
      <c r="D190" s="7" t="e">
        <f>VLOOKUP(A190,'Statement base'!E:AO,10,0)-VLOOKUP(A190,'Statement base'!E:AO,21,0)</f>
        <v>#N/A</v>
      </c>
      <c r="E190" t="s">
        <v>188</v>
      </c>
      <c r="F190" s="6" t="e">
        <f>VLOOKUP(A190,'Statement base'!E:AO,10,0)+VLOOKUP(A190,'Statement base'!E:AO,14,0)</f>
        <v>#N/A</v>
      </c>
      <c r="G190" s="61" t="e">
        <f>VLOOKUP(A190,'Clientes CBOT'!A:E,5,0)</f>
        <v>#N/A</v>
      </c>
      <c r="H190" t="str">
        <f t="shared" si="6"/>
        <v>Hard</v>
      </c>
      <c r="I190" s="6" t="e">
        <f t="shared" si="7"/>
        <v>#N/A</v>
      </c>
      <c r="J190" s="6" t="e">
        <f t="shared" si="8"/>
        <v>#N/A</v>
      </c>
      <c r="M190" s="64" t="s">
        <v>443</v>
      </c>
      <c r="N190" s="123">
        <v>3362.98</v>
      </c>
    </row>
    <row r="191" spans="1:14" x14ac:dyDescent="0.3">
      <c r="A191">
        <v>0</v>
      </c>
      <c r="B191" t="e">
        <f>VLOOKUP(A191,'Clientes CBOT'!A:D,4,0)</f>
        <v>#N/A</v>
      </c>
      <c r="C191" s="7" t="e">
        <f>VLOOKUP(A191,'Statement base'!E:AO,21,0)</f>
        <v>#N/A</v>
      </c>
      <c r="D191" s="7" t="e">
        <f>VLOOKUP(A191,'Statement base'!E:AO,10,0)-VLOOKUP(A191,'Statement base'!E:AO,21,0)</f>
        <v>#N/A</v>
      </c>
      <c r="E191" t="s">
        <v>188</v>
      </c>
      <c r="F191" s="6" t="e">
        <f>VLOOKUP(A191,'Statement base'!E:AO,10,0)+VLOOKUP(A191,'Statement base'!E:AO,14,0)</f>
        <v>#N/A</v>
      </c>
      <c r="G191" s="61" t="e">
        <f>VLOOKUP(A191,'Clientes CBOT'!A:E,5,0)</f>
        <v>#N/A</v>
      </c>
      <c r="H191" t="str">
        <f t="shared" si="6"/>
        <v>Hard</v>
      </c>
      <c r="I191" s="6" t="e">
        <f t="shared" si="7"/>
        <v>#N/A</v>
      </c>
      <c r="J191" s="6" t="e">
        <f t="shared" si="8"/>
        <v>#N/A</v>
      </c>
      <c r="M191" s="64" t="s">
        <v>444</v>
      </c>
      <c r="N191" s="123">
        <v>-3132.59</v>
      </c>
    </row>
    <row r="192" spans="1:14" x14ac:dyDescent="0.3">
      <c r="A192">
        <v>0</v>
      </c>
      <c r="B192" t="e">
        <f>VLOOKUP(A192,'Clientes CBOT'!A:D,4,0)</f>
        <v>#N/A</v>
      </c>
      <c r="C192" s="7" t="e">
        <f>VLOOKUP(A192,'Statement base'!E:AO,21,0)</f>
        <v>#N/A</v>
      </c>
      <c r="D192" s="7" t="e">
        <f>VLOOKUP(A192,'Statement base'!E:AO,10,0)-VLOOKUP(A192,'Statement base'!E:AO,21,0)</f>
        <v>#N/A</v>
      </c>
      <c r="E192" t="s">
        <v>188</v>
      </c>
      <c r="F192" s="6" t="e">
        <f>VLOOKUP(A192,'Statement base'!E:AO,10,0)+VLOOKUP(A192,'Statement base'!E:AO,14,0)</f>
        <v>#N/A</v>
      </c>
      <c r="G192" s="61" t="e">
        <f>VLOOKUP(A192,'Clientes CBOT'!A:E,5,0)</f>
        <v>#N/A</v>
      </c>
      <c r="H192" t="str">
        <f t="shared" si="6"/>
        <v>Hard</v>
      </c>
      <c r="I192" s="6" t="e">
        <f t="shared" si="7"/>
        <v>#N/A</v>
      </c>
      <c r="J192" s="6" t="e">
        <f t="shared" si="8"/>
        <v>#N/A</v>
      </c>
      <c r="M192" s="64" t="s">
        <v>445</v>
      </c>
      <c r="N192" s="123">
        <v>14095.93</v>
      </c>
    </row>
    <row r="193" spans="1:14" x14ac:dyDescent="0.3">
      <c r="A193">
        <v>0</v>
      </c>
      <c r="B193" t="e">
        <f>VLOOKUP(A193,'Clientes CBOT'!A:D,4,0)</f>
        <v>#N/A</v>
      </c>
      <c r="C193" s="7" t="e">
        <f>VLOOKUP(A193,'Statement base'!E:AO,21,0)</f>
        <v>#N/A</v>
      </c>
      <c r="D193" s="7" t="e">
        <f>VLOOKUP(A193,'Statement base'!E:AO,10,0)-VLOOKUP(A193,'Statement base'!E:AO,21,0)</f>
        <v>#N/A</v>
      </c>
      <c r="E193" t="s">
        <v>188</v>
      </c>
      <c r="F193" s="6" t="e">
        <f>VLOOKUP(A193,'Statement base'!E:AO,10,0)+VLOOKUP(A193,'Statement base'!E:AO,14,0)</f>
        <v>#N/A</v>
      </c>
      <c r="G193" s="61" t="e">
        <f>VLOOKUP(A193,'Clientes CBOT'!A:E,5,0)</f>
        <v>#N/A</v>
      </c>
      <c r="H193" t="str">
        <f t="shared" si="6"/>
        <v>Hard</v>
      </c>
      <c r="I193" s="6" t="e">
        <f t="shared" si="7"/>
        <v>#N/A</v>
      </c>
      <c r="J193" s="6" t="e">
        <f t="shared" si="8"/>
        <v>#N/A</v>
      </c>
      <c r="M193" s="64" t="s">
        <v>446</v>
      </c>
      <c r="N193" s="123">
        <v>0</v>
      </c>
    </row>
    <row r="194" spans="1:14" x14ac:dyDescent="0.3">
      <c r="A194">
        <v>0</v>
      </c>
      <c r="B194" t="e">
        <f>VLOOKUP(A194,'Clientes CBOT'!A:D,4,0)</f>
        <v>#N/A</v>
      </c>
      <c r="C194" s="7" t="e">
        <f>VLOOKUP(A194,'Statement base'!E:AO,21,0)</f>
        <v>#N/A</v>
      </c>
      <c r="D194" s="7" t="e">
        <f>VLOOKUP(A194,'Statement base'!E:AO,10,0)-VLOOKUP(A194,'Statement base'!E:AO,21,0)</f>
        <v>#N/A</v>
      </c>
      <c r="E194" t="s">
        <v>188</v>
      </c>
      <c r="F194" s="6" t="e">
        <f>VLOOKUP(A194,'Statement base'!E:AO,10,0)+VLOOKUP(A194,'Statement base'!E:AO,14,0)</f>
        <v>#N/A</v>
      </c>
      <c r="G194" s="61" t="e">
        <f>VLOOKUP(A194,'Clientes CBOT'!A:E,5,0)</f>
        <v>#N/A</v>
      </c>
      <c r="H194" t="str">
        <f t="shared" si="6"/>
        <v>Hard</v>
      </c>
      <c r="I194" s="6" t="e">
        <f t="shared" si="7"/>
        <v>#N/A</v>
      </c>
      <c r="J194" s="6" t="e">
        <f t="shared" si="8"/>
        <v>#N/A</v>
      </c>
      <c r="M194" s="64" t="s">
        <v>282</v>
      </c>
      <c r="N194" s="123">
        <v>0</v>
      </c>
    </row>
    <row r="195" spans="1:14" x14ac:dyDescent="0.3">
      <c r="A195">
        <v>0</v>
      </c>
      <c r="B195" t="e">
        <f>VLOOKUP(A195,'Clientes CBOT'!A:D,4,0)</f>
        <v>#N/A</v>
      </c>
      <c r="C195" s="7" t="e">
        <f>VLOOKUP(A195,'Statement base'!E:AO,21,0)</f>
        <v>#N/A</v>
      </c>
      <c r="D195" s="7" t="e">
        <f>VLOOKUP(A195,'Statement base'!E:AO,10,0)-VLOOKUP(A195,'Statement base'!E:AO,21,0)</f>
        <v>#N/A</v>
      </c>
      <c r="E195" t="s">
        <v>188</v>
      </c>
      <c r="F195" s="6" t="e">
        <f>VLOOKUP(A195,'Statement base'!E:AO,10,0)+VLOOKUP(A195,'Statement base'!E:AO,14,0)</f>
        <v>#N/A</v>
      </c>
      <c r="G195" s="61" t="e">
        <f>VLOOKUP(A195,'Clientes CBOT'!A:E,5,0)</f>
        <v>#N/A</v>
      </c>
      <c r="H195" t="str">
        <f t="shared" si="6"/>
        <v>Hard</v>
      </c>
      <c r="I195" s="6" t="e">
        <f t="shared" si="7"/>
        <v>#N/A</v>
      </c>
      <c r="J195" s="6" t="e">
        <f t="shared" si="8"/>
        <v>#N/A</v>
      </c>
      <c r="M195" s="64" t="s">
        <v>169</v>
      </c>
      <c r="N195" s="123">
        <v>-3993359.41</v>
      </c>
    </row>
    <row r="196" spans="1:14" x14ac:dyDescent="0.3">
      <c r="A196">
        <v>0</v>
      </c>
      <c r="B196" t="e">
        <f>VLOOKUP(A196,'Clientes CBOT'!A:D,4,0)</f>
        <v>#N/A</v>
      </c>
      <c r="C196" s="7" t="e">
        <f>VLOOKUP(A196,'Statement base'!E:AO,21,0)</f>
        <v>#N/A</v>
      </c>
      <c r="D196" s="7" t="e">
        <f>VLOOKUP(A196,'Statement base'!E:AO,10,0)-VLOOKUP(A196,'Statement base'!E:AO,21,0)</f>
        <v>#N/A</v>
      </c>
      <c r="E196" t="s">
        <v>188</v>
      </c>
      <c r="F196" s="6" t="e">
        <f>VLOOKUP(A196,'Statement base'!E:AO,10,0)+VLOOKUP(A196,'Statement base'!E:AO,14,0)</f>
        <v>#N/A</v>
      </c>
      <c r="G196" s="61" t="e">
        <f>VLOOKUP(A196,'Clientes CBOT'!A:E,5,0)</f>
        <v>#N/A</v>
      </c>
      <c r="H196" t="str">
        <f t="shared" si="6"/>
        <v>Hard</v>
      </c>
      <c r="I196" s="6" t="e">
        <f t="shared" si="7"/>
        <v>#N/A</v>
      </c>
      <c r="J196" s="6" t="e">
        <f t="shared" si="8"/>
        <v>#N/A</v>
      </c>
      <c r="M196" s="64" t="s">
        <v>191</v>
      </c>
      <c r="N196" s="123">
        <v>388043229.20999998</v>
      </c>
    </row>
    <row r="197" spans="1:14" x14ac:dyDescent="0.3">
      <c r="A197">
        <v>0</v>
      </c>
      <c r="B197" t="e">
        <f>VLOOKUP(A197,'Clientes CBOT'!A:D,4,0)</f>
        <v>#N/A</v>
      </c>
      <c r="C197" s="7" t="e">
        <f>VLOOKUP(A197,'Statement base'!E:AO,21,0)</f>
        <v>#N/A</v>
      </c>
      <c r="D197" s="7" t="e">
        <f>VLOOKUP(A197,'Statement base'!E:AO,10,0)-VLOOKUP(A197,'Statement base'!E:AO,21,0)</f>
        <v>#N/A</v>
      </c>
      <c r="E197" t="s">
        <v>188</v>
      </c>
      <c r="F197" s="6" t="e">
        <f>VLOOKUP(A197,'Statement base'!E:AO,10,0)+VLOOKUP(A197,'Statement base'!E:AO,14,0)</f>
        <v>#N/A</v>
      </c>
      <c r="G197" s="61" t="e">
        <f>VLOOKUP(A197,'Clientes CBOT'!A:E,5,0)</f>
        <v>#N/A</v>
      </c>
      <c r="H197" t="str">
        <f t="shared" ref="H197:H260" si="9">IF(E197="pesos","Ars",IF(E197="Dólar Matba Rofex","usd linked","Hard"))</f>
        <v>Hard</v>
      </c>
      <c r="I197" s="6" t="e">
        <f t="shared" ref="I197:I260" si="10">IF(H197="ars",C197/$J$1,IF(H197="hard",C197*$J$2/$J$1,C197))</f>
        <v>#N/A</v>
      </c>
      <c r="J197" s="6" t="e">
        <f t="shared" ref="J197:J260" si="11">IF(H197="ars",D197/$J$1,IF(H197="hard",D197*$J$2/$J$1,D197))</f>
        <v>#N/A</v>
      </c>
      <c r="M197" s="64" t="s">
        <v>450</v>
      </c>
      <c r="N197" s="123">
        <v>0.39</v>
      </c>
    </row>
    <row r="198" spans="1:14" x14ac:dyDescent="0.3">
      <c r="A198">
        <v>0</v>
      </c>
      <c r="B198" t="e">
        <f>VLOOKUP(A198,'Clientes CBOT'!A:D,4,0)</f>
        <v>#N/A</v>
      </c>
      <c r="C198" s="7" t="e">
        <f>VLOOKUP(A198,'Statement base'!E:AO,21,0)</f>
        <v>#N/A</v>
      </c>
      <c r="D198" s="7" t="e">
        <f>VLOOKUP(A198,'Statement base'!E:AO,10,0)-VLOOKUP(A198,'Statement base'!E:AO,21,0)</f>
        <v>#N/A</v>
      </c>
      <c r="E198" t="s">
        <v>188</v>
      </c>
      <c r="F198" s="6" t="e">
        <f>VLOOKUP(A198,'Statement base'!E:AO,10,0)+VLOOKUP(A198,'Statement base'!E:AO,14,0)</f>
        <v>#N/A</v>
      </c>
      <c r="G198" s="61" t="e">
        <f>VLOOKUP(A198,'Clientes CBOT'!A:E,5,0)</f>
        <v>#N/A</v>
      </c>
      <c r="H198" t="str">
        <f t="shared" si="9"/>
        <v>Hard</v>
      </c>
      <c r="I198" s="6" t="e">
        <f t="shared" si="10"/>
        <v>#N/A</v>
      </c>
      <c r="J198" s="6" t="e">
        <f t="shared" si="11"/>
        <v>#N/A</v>
      </c>
      <c r="M198" s="64" t="s">
        <v>287</v>
      </c>
      <c r="N198" s="123">
        <v>-1885000</v>
      </c>
    </row>
    <row r="199" spans="1:14" x14ac:dyDescent="0.3">
      <c r="A199">
        <v>0</v>
      </c>
      <c r="B199" t="e">
        <f>VLOOKUP(A199,'Clientes CBOT'!A:D,4,0)</f>
        <v>#N/A</v>
      </c>
      <c r="C199" s="7" t="e">
        <f>VLOOKUP(A199,'Statement base'!E:AO,21,0)</f>
        <v>#N/A</v>
      </c>
      <c r="D199" s="7" t="e">
        <f>VLOOKUP(A199,'Statement base'!E:AO,10,0)-VLOOKUP(A199,'Statement base'!E:AO,21,0)</f>
        <v>#N/A</v>
      </c>
      <c r="E199" t="s">
        <v>188</v>
      </c>
      <c r="F199" s="6" t="e">
        <f>VLOOKUP(A199,'Statement base'!E:AO,10,0)+VLOOKUP(A199,'Statement base'!E:AO,14,0)</f>
        <v>#N/A</v>
      </c>
      <c r="G199" s="61" t="e">
        <f>VLOOKUP(A199,'Clientes CBOT'!A:E,5,0)</f>
        <v>#N/A</v>
      </c>
      <c r="H199" t="str">
        <f t="shared" si="9"/>
        <v>Hard</v>
      </c>
      <c r="I199" s="6" t="e">
        <f t="shared" si="10"/>
        <v>#N/A</v>
      </c>
      <c r="J199" s="6" t="e">
        <f t="shared" si="11"/>
        <v>#N/A</v>
      </c>
      <c r="M199" s="64" t="s">
        <v>451</v>
      </c>
      <c r="N199" s="123">
        <v>0</v>
      </c>
    </row>
    <row r="200" spans="1:14" x14ac:dyDescent="0.3">
      <c r="A200">
        <v>0</v>
      </c>
      <c r="B200" t="e">
        <f>VLOOKUP(A200,'Clientes CBOT'!A:D,4,0)</f>
        <v>#N/A</v>
      </c>
      <c r="C200" s="7" t="e">
        <f>VLOOKUP(A200,'Statement base'!E:AO,21,0)</f>
        <v>#N/A</v>
      </c>
      <c r="D200" s="7" t="e">
        <f>VLOOKUP(A200,'Statement base'!E:AO,10,0)-VLOOKUP(A200,'Statement base'!E:AO,21,0)</f>
        <v>#N/A</v>
      </c>
      <c r="E200" t="s">
        <v>188</v>
      </c>
      <c r="F200" s="6" t="e">
        <f>VLOOKUP(A200,'Statement base'!E:AO,10,0)+VLOOKUP(A200,'Statement base'!E:AO,14,0)</f>
        <v>#N/A</v>
      </c>
      <c r="G200" s="61" t="e">
        <f>VLOOKUP(A200,'Clientes CBOT'!A:E,5,0)</f>
        <v>#N/A</v>
      </c>
      <c r="H200" t="str">
        <f t="shared" si="9"/>
        <v>Hard</v>
      </c>
      <c r="I200" s="6" t="e">
        <f t="shared" si="10"/>
        <v>#N/A</v>
      </c>
      <c r="J200" s="6" t="e">
        <f t="shared" si="11"/>
        <v>#N/A</v>
      </c>
      <c r="M200" s="64" t="s">
        <v>452</v>
      </c>
      <c r="N200" s="123">
        <v>-174250.37</v>
      </c>
    </row>
    <row r="201" spans="1:14" x14ac:dyDescent="0.3">
      <c r="A201">
        <v>0</v>
      </c>
      <c r="B201" t="e">
        <f>VLOOKUP(A201,'Clientes CBOT'!A:D,4,0)</f>
        <v>#N/A</v>
      </c>
      <c r="C201" s="7" t="e">
        <f>VLOOKUP(A201,'Statement base'!E:AO,21,0)</f>
        <v>#N/A</v>
      </c>
      <c r="D201" s="7" t="e">
        <f>VLOOKUP(A201,'Statement base'!E:AO,10,0)-VLOOKUP(A201,'Statement base'!E:AO,21,0)</f>
        <v>#N/A</v>
      </c>
      <c r="E201" t="s">
        <v>188</v>
      </c>
      <c r="F201" s="6" t="e">
        <f>VLOOKUP(A201,'Statement base'!E:AO,10,0)+VLOOKUP(A201,'Statement base'!E:AO,14,0)</f>
        <v>#N/A</v>
      </c>
      <c r="G201" s="61" t="e">
        <f>VLOOKUP(A201,'Clientes CBOT'!A:E,5,0)</f>
        <v>#N/A</v>
      </c>
      <c r="H201" t="str">
        <f t="shared" si="9"/>
        <v>Hard</v>
      </c>
      <c r="I201" s="6" t="e">
        <f t="shared" si="10"/>
        <v>#N/A</v>
      </c>
      <c r="J201" s="6" t="e">
        <f t="shared" si="11"/>
        <v>#N/A</v>
      </c>
      <c r="M201" s="64" t="s">
        <v>453</v>
      </c>
      <c r="N201" s="123">
        <v>0</v>
      </c>
    </row>
    <row r="202" spans="1:14" x14ac:dyDescent="0.3">
      <c r="A202">
        <v>0</v>
      </c>
      <c r="B202" t="e">
        <f>VLOOKUP(A202,'Clientes CBOT'!A:D,4,0)</f>
        <v>#N/A</v>
      </c>
      <c r="C202" s="7" t="e">
        <f>VLOOKUP(A202,'Statement base'!E:AO,21,0)</f>
        <v>#N/A</v>
      </c>
      <c r="D202" s="7" t="e">
        <f>VLOOKUP(A202,'Statement base'!E:AO,10,0)-VLOOKUP(A202,'Statement base'!E:AO,21,0)</f>
        <v>#N/A</v>
      </c>
      <c r="E202" t="s">
        <v>188</v>
      </c>
      <c r="F202" s="6" t="e">
        <f>VLOOKUP(A202,'Statement base'!E:AO,10,0)+VLOOKUP(A202,'Statement base'!E:AO,14,0)</f>
        <v>#N/A</v>
      </c>
      <c r="G202" s="61" t="e">
        <f>VLOOKUP(A202,'Clientes CBOT'!A:E,5,0)</f>
        <v>#N/A</v>
      </c>
      <c r="H202" t="str">
        <f t="shared" si="9"/>
        <v>Hard</v>
      </c>
      <c r="I202" s="6" t="e">
        <f t="shared" si="10"/>
        <v>#N/A</v>
      </c>
      <c r="J202" s="6" t="e">
        <f t="shared" si="11"/>
        <v>#N/A</v>
      </c>
      <c r="M202" s="64" t="s">
        <v>454</v>
      </c>
      <c r="N202" s="123">
        <v>-350071.57</v>
      </c>
    </row>
    <row r="203" spans="1:14" x14ac:dyDescent="0.3">
      <c r="A203">
        <v>0</v>
      </c>
      <c r="B203" t="e">
        <f>VLOOKUP(A203,'Clientes CBOT'!A:D,4,0)</f>
        <v>#N/A</v>
      </c>
      <c r="C203" s="7" t="e">
        <f>VLOOKUP(A203,'Statement base'!E:AO,21,0)</f>
        <v>#N/A</v>
      </c>
      <c r="D203" s="7" t="e">
        <f>VLOOKUP(A203,'Statement base'!E:AO,10,0)-VLOOKUP(A203,'Statement base'!E:AO,21,0)</f>
        <v>#N/A</v>
      </c>
      <c r="E203" t="s">
        <v>188</v>
      </c>
      <c r="F203" s="6" t="e">
        <f>VLOOKUP(A203,'Statement base'!E:AO,10,0)+VLOOKUP(A203,'Statement base'!E:AO,14,0)</f>
        <v>#N/A</v>
      </c>
      <c r="G203" s="61" t="e">
        <f>VLOOKUP(A203,'Clientes CBOT'!A:E,5,0)</f>
        <v>#N/A</v>
      </c>
      <c r="H203" t="str">
        <f t="shared" si="9"/>
        <v>Hard</v>
      </c>
      <c r="I203" s="6" t="e">
        <f t="shared" si="10"/>
        <v>#N/A</v>
      </c>
      <c r="J203" s="6" t="e">
        <f t="shared" si="11"/>
        <v>#N/A</v>
      </c>
      <c r="M203" s="64" t="s">
        <v>455</v>
      </c>
      <c r="N203" s="123">
        <v>0</v>
      </c>
    </row>
    <row r="204" spans="1:14" x14ac:dyDescent="0.3">
      <c r="A204">
        <v>0</v>
      </c>
      <c r="B204" t="e">
        <f>VLOOKUP(A204,'Clientes CBOT'!A:D,4,0)</f>
        <v>#N/A</v>
      </c>
      <c r="C204" s="7" t="e">
        <f>VLOOKUP(A204,'Statement base'!E:AO,21,0)</f>
        <v>#N/A</v>
      </c>
      <c r="D204" s="7" t="e">
        <f>VLOOKUP(A204,'Statement base'!E:AO,10,0)-VLOOKUP(A204,'Statement base'!E:AO,21,0)</f>
        <v>#N/A</v>
      </c>
      <c r="E204" t="s">
        <v>188</v>
      </c>
      <c r="F204" s="6" t="e">
        <f>VLOOKUP(A204,'Statement base'!E:AO,10,0)+VLOOKUP(A204,'Statement base'!E:AO,14,0)</f>
        <v>#N/A</v>
      </c>
      <c r="G204" s="61" t="e">
        <f>VLOOKUP(A204,'Clientes CBOT'!A:E,5,0)</f>
        <v>#N/A</v>
      </c>
      <c r="H204" t="str">
        <f t="shared" si="9"/>
        <v>Hard</v>
      </c>
      <c r="I204" s="6" t="e">
        <f t="shared" si="10"/>
        <v>#N/A</v>
      </c>
      <c r="J204" s="6" t="e">
        <f t="shared" si="11"/>
        <v>#N/A</v>
      </c>
      <c r="M204" s="64" t="s">
        <v>457</v>
      </c>
      <c r="N204" s="123">
        <v>0</v>
      </c>
    </row>
    <row r="205" spans="1:14" x14ac:dyDescent="0.3">
      <c r="A205">
        <v>0</v>
      </c>
      <c r="B205" t="e">
        <f>VLOOKUP(A205,'Clientes CBOT'!A:D,4,0)</f>
        <v>#N/A</v>
      </c>
      <c r="C205" s="7" t="e">
        <f>VLOOKUP(A205,'Statement base'!E:AO,21,0)</f>
        <v>#N/A</v>
      </c>
      <c r="D205" s="7" t="e">
        <f>VLOOKUP(A205,'Statement base'!E:AO,10,0)-VLOOKUP(A205,'Statement base'!E:AO,21,0)</f>
        <v>#N/A</v>
      </c>
      <c r="E205" t="s">
        <v>188</v>
      </c>
      <c r="F205" s="6" t="e">
        <f>VLOOKUP(A205,'Statement base'!E:AO,10,0)+VLOOKUP(A205,'Statement base'!E:AO,14,0)</f>
        <v>#N/A</v>
      </c>
      <c r="G205" s="61" t="e">
        <f>VLOOKUP(A205,'Clientes CBOT'!A:E,5,0)</f>
        <v>#N/A</v>
      </c>
      <c r="H205" t="str">
        <f t="shared" si="9"/>
        <v>Hard</v>
      </c>
      <c r="I205" s="6" t="e">
        <f t="shared" si="10"/>
        <v>#N/A</v>
      </c>
      <c r="J205" s="6" t="e">
        <f t="shared" si="11"/>
        <v>#N/A</v>
      </c>
      <c r="M205" s="64" t="s">
        <v>458</v>
      </c>
      <c r="N205" s="123">
        <v>0</v>
      </c>
    </row>
    <row r="206" spans="1:14" x14ac:dyDescent="0.3">
      <c r="A206">
        <v>0</v>
      </c>
      <c r="B206" t="e">
        <f>VLOOKUP(A206,'Clientes CBOT'!A:D,4,0)</f>
        <v>#N/A</v>
      </c>
      <c r="C206" s="7" t="e">
        <f>VLOOKUP(A206,'Statement base'!E:AO,21,0)</f>
        <v>#N/A</v>
      </c>
      <c r="D206" s="7" t="e">
        <f>VLOOKUP(A206,'Statement base'!E:AO,10,0)-VLOOKUP(A206,'Statement base'!E:AO,21,0)</f>
        <v>#N/A</v>
      </c>
      <c r="E206" t="s">
        <v>188</v>
      </c>
      <c r="F206" s="6" t="e">
        <f>VLOOKUP(A206,'Statement base'!E:AO,10,0)+VLOOKUP(A206,'Statement base'!E:AO,14,0)</f>
        <v>#N/A</v>
      </c>
      <c r="G206" s="61" t="e">
        <f>VLOOKUP(A206,'Clientes CBOT'!A:E,5,0)</f>
        <v>#N/A</v>
      </c>
      <c r="H206" t="str">
        <f t="shared" si="9"/>
        <v>Hard</v>
      </c>
      <c r="I206" s="6" t="e">
        <f t="shared" si="10"/>
        <v>#N/A</v>
      </c>
      <c r="J206" s="6" t="e">
        <f t="shared" si="11"/>
        <v>#N/A</v>
      </c>
      <c r="M206" s="64" t="s">
        <v>459</v>
      </c>
      <c r="N206" s="123">
        <v>2.02</v>
      </c>
    </row>
    <row r="207" spans="1:14" x14ac:dyDescent="0.3">
      <c r="A207">
        <v>0</v>
      </c>
      <c r="B207" t="e">
        <f>VLOOKUP(A207,'Clientes CBOT'!A:D,4,0)</f>
        <v>#N/A</v>
      </c>
      <c r="C207" s="7" t="e">
        <f>VLOOKUP(A207,'Statement base'!E:AO,21,0)</f>
        <v>#N/A</v>
      </c>
      <c r="D207" s="7" t="e">
        <f>VLOOKUP(A207,'Statement base'!E:AO,10,0)-VLOOKUP(A207,'Statement base'!E:AO,21,0)</f>
        <v>#N/A</v>
      </c>
      <c r="E207" t="s">
        <v>188</v>
      </c>
      <c r="F207" s="6" t="e">
        <f>VLOOKUP(A207,'Statement base'!E:AO,10,0)+VLOOKUP(A207,'Statement base'!E:AO,14,0)</f>
        <v>#N/A</v>
      </c>
      <c r="G207" s="61" t="e">
        <f>VLOOKUP(A207,'Clientes CBOT'!A:E,5,0)</f>
        <v>#N/A</v>
      </c>
      <c r="H207" t="str">
        <f t="shared" si="9"/>
        <v>Hard</v>
      </c>
      <c r="I207" s="6" t="e">
        <f t="shared" si="10"/>
        <v>#N/A</v>
      </c>
      <c r="J207" s="6" t="e">
        <f t="shared" si="11"/>
        <v>#N/A</v>
      </c>
      <c r="M207" s="64" t="s">
        <v>290</v>
      </c>
      <c r="N207" s="123">
        <v>-2114.2500000000005</v>
      </c>
    </row>
    <row r="208" spans="1:14" x14ac:dyDescent="0.3">
      <c r="A208">
        <v>0</v>
      </c>
      <c r="B208" t="e">
        <f>VLOOKUP(A208,'Clientes CBOT'!A:D,4,0)</f>
        <v>#N/A</v>
      </c>
      <c r="C208" s="7" t="e">
        <f>VLOOKUP(A208,'Statement base'!E:AO,21,0)</f>
        <v>#N/A</v>
      </c>
      <c r="D208" s="7" t="e">
        <f>VLOOKUP(A208,'Statement base'!E:AO,10,0)-VLOOKUP(A208,'Statement base'!E:AO,21,0)</f>
        <v>#N/A</v>
      </c>
      <c r="E208" t="s">
        <v>188</v>
      </c>
      <c r="F208" s="6" t="e">
        <f>VLOOKUP(A208,'Statement base'!E:AO,10,0)+VLOOKUP(A208,'Statement base'!E:AO,14,0)</f>
        <v>#N/A</v>
      </c>
      <c r="G208" s="61" t="e">
        <f>VLOOKUP(A208,'Clientes CBOT'!A:E,5,0)</f>
        <v>#N/A</v>
      </c>
      <c r="H208" t="str">
        <f t="shared" si="9"/>
        <v>Hard</v>
      </c>
      <c r="I208" s="6" t="e">
        <f t="shared" si="10"/>
        <v>#N/A</v>
      </c>
      <c r="J208" s="6" t="e">
        <f t="shared" si="11"/>
        <v>#N/A</v>
      </c>
      <c r="M208" s="64" t="s">
        <v>462</v>
      </c>
      <c r="N208" s="123">
        <v>133419295.70999999</v>
      </c>
    </row>
    <row r="209" spans="1:14" x14ac:dyDescent="0.3">
      <c r="A209">
        <v>0</v>
      </c>
      <c r="B209" t="e">
        <f>VLOOKUP(A209,'Clientes CBOT'!A:D,4,0)</f>
        <v>#N/A</v>
      </c>
      <c r="C209" s="7" t="e">
        <f>VLOOKUP(A209,'Statement base'!E:AO,21,0)</f>
        <v>#N/A</v>
      </c>
      <c r="D209" s="7" t="e">
        <f>VLOOKUP(A209,'Statement base'!E:AO,10,0)-VLOOKUP(A209,'Statement base'!E:AO,21,0)</f>
        <v>#N/A</v>
      </c>
      <c r="E209" t="s">
        <v>188</v>
      </c>
      <c r="F209" s="6" t="e">
        <f>VLOOKUP(A209,'Statement base'!E:AO,10,0)+VLOOKUP(A209,'Statement base'!E:AO,14,0)</f>
        <v>#N/A</v>
      </c>
      <c r="G209" s="61" t="e">
        <f>VLOOKUP(A209,'Clientes CBOT'!A:E,5,0)</f>
        <v>#N/A</v>
      </c>
      <c r="H209" t="str">
        <f t="shared" si="9"/>
        <v>Hard</v>
      </c>
      <c r="I209" s="6" t="e">
        <f t="shared" si="10"/>
        <v>#N/A</v>
      </c>
      <c r="J209" s="6" t="e">
        <f t="shared" si="11"/>
        <v>#N/A</v>
      </c>
      <c r="M209" s="64" t="s">
        <v>126</v>
      </c>
      <c r="N209" s="123">
        <v>2519.52</v>
      </c>
    </row>
    <row r="210" spans="1:14" x14ac:dyDescent="0.3">
      <c r="A210">
        <v>0</v>
      </c>
      <c r="B210" t="e">
        <f>VLOOKUP(A210,'Clientes CBOT'!A:D,4,0)</f>
        <v>#N/A</v>
      </c>
      <c r="C210" s="7" t="e">
        <f>VLOOKUP(A210,'Statement base'!E:AO,21,0)</f>
        <v>#N/A</v>
      </c>
      <c r="D210" s="7" t="e">
        <f>VLOOKUP(A210,'Statement base'!E:AO,10,0)-VLOOKUP(A210,'Statement base'!E:AO,21,0)</f>
        <v>#N/A</v>
      </c>
      <c r="E210" t="s">
        <v>188</v>
      </c>
      <c r="F210" s="6" t="e">
        <f>VLOOKUP(A210,'Statement base'!E:AO,10,0)+VLOOKUP(A210,'Statement base'!E:AO,14,0)</f>
        <v>#N/A</v>
      </c>
      <c r="G210" s="61" t="e">
        <f>VLOOKUP(A210,'Clientes CBOT'!A:E,5,0)</f>
        <v>#N/A</v>
      </c>
      <c r="H210" t="str">
        <f t="shared" si="9"/>
        <v>Hard</v>
      </c>
      <c r="I210" s="6" t="e">
        <f t="shared" si="10"/>
        <v>#N/A</v>
      </c>
      <c r="J210" s="6" t="e">
        <f t="shared" si="11"/>
        <v>#N/A</v>
      </c>
      <c r="M210" s="64" t="s">
        <v>464</v>
      </c>
      <c r="N210" s="123">
        <v>-275766386.51999998</v>
      </c>
    </row>
    <row r="211" spans="1:14" x14ac:dyDescent="0.3">
      <c r="A211">
        <v>0</v>
      </c>
      <c r="B211" t="e">
        <f>VLOOKUP(A211,'Clientes CBOT'!A:D,4,0)</f>
        <v>#N/A</v>
      </c>
      <c r="C211" s="7" t="e">
        <f>VLOOKUP(A211,'Statement base'!E:AO,21,0)</f>
        <v>#N/A</v>
      </c>
      <c r="D211" s="7" t="e">
        <f>VLOOKUP(A211,'Statement base'!E:AO,10,0)-VLOOKUP(A211,'Statement base'!E:AO,21,0)</f>
        <v>#N/A</v>
      </c>
      <c r="E211" t="s">
        <v>188</v>
      </c>
      <c r="F211" s="6" t="e">
        <f>VLOOKUP(A211,'Statement base'!E:AO,10,0)+VLOOKUP(A211,'Statement base'!E:AO,14,0)</f>
        <v>#N/A</v>
      </c>
      <c r="G211" s="61" t="e">
        <f>VLOOKUP(A211,'Clientes CBOT'!A:E,5,0)</f>
        <v>#N/A</v>
      </c>
      <c r="H211" t="str">
        <f t="shared" si="9"/>
        <v>Hard</v>
      </c>
      <c r="I211" s="6" t="e">
        <f t="shared" si="10"/>
        <v>#N/A</v>
      </c>
      <c r="J211" s="6" t="e">
        <f t="shared" si="11"/>
        <v>#N/A</v>
      </c>
      <c r="M211" s="64" t="s">
        <v>465</v>
      </c>
      <c r="N211" s="123">
        <v>-9901.48</v>
      </c>
    </row>
    <row r="212" spans="1:14" x14ac:dyDescent="0.3">
      <c r="A212">
        <v>0</v>
      </c>
      <c r="B212" t="e">
        <f>VLOOKUP(A212,'Clientes CBOT'!A:D,4,0)</f>
        <v>#N/A</v>
      </c>
      <c r="C212" s="7" t="e">
        <f>VLOOKUP(A212,'Statement base'!E:AO,21,0)</f>
        <v>#N/A</v>
      </c>
      <c r="D212" s="7" t="e">
        <f>VLOOKUP(A212,'Statement base'!E:AO,10,0)-VLOOKUP(A212,'Statement base'!E:AO,21,0)</f>
        <v>#N/A</v>
      </c>
      <c r="E212" t="s">
        <v>188</v>
      </c>
      <c r="F212" s="6" t="e">
        <f>VLOOKUP(A212,'Statement base'!E:AO,10,0)+VLOOKUP(A212,'Statement base'!E:AO,14,0)</f>
        <v>#N/A</v>
      </c>
      <c r="G212" s="61" t="e">
        <f>VLOOKUP(A212,'Clientes CBOT'!A:E,5,0)</f>
        <v>#N/A</v>
      </c>
      <c r="H212" t="str">
        <f t="shared" si="9"/>
        <v>Hard</v>
      </c>
      <c r="I212" s="6" t="e">
        <f t="shared" si="10"/>
        <v>#N/A</v>
      </c>
      <c r="J212" s="6" t="e">
        <f t="shared" si="11"/>
        <v>#N/A</v>
      </c>
      <c r="M212" s="64" t="s">
        <v>293</v>
      </c>
      <c r="N212" s="123">
        <v>-10086289.439999999</v>
      </c>
    </row>
    <row r="213" spans="1:14" x14ac:dyDescent="0.3">
      <c r="A213">
        <v>0</v>
      </c>
      <c r="B213" t="e">
        <f>VLOOKUP(A213,'Clientes CBOT'!A:D,4,0)</f>
        <v>#N/A</v>
      </c>
      <c r="C213" s="7" t="e">
        <f>VLOOKUP(A213,'Statement base'!E:AO,21,0)</f>
        <v>#N/A</v>
      </c>
      <c r="D213" s="7" t="e">
        <f>VLOOKUP(A213,'Statement base'!E:AO,10,0)-VLOOKUP(A213,'Statement base'!E:AO,21,0)</f>
        <v>#N/A</v>
      </c>
      <c r="E213" t="s">
        <v>188</v>
      </c>
      <c r="F213" s="6" t="e">
        <f>VLOOKUP(A213,'Statement base'!E:AO,10,0)+VLOOKUP(A213,'Statement base'!E:AO,14,0)</f>
        <v>#N/A</v>
      </c>
      <c r="G213" s="61" t="e">
        <f>VLOOKUP(A213,'Clientes CBOT'!A:E,5,0)</f>
        <v>#N/A</v>
      </c>
      <c r="H213" t="str">
        <f t="shared" si="9"/>
        <v>Hard</v>
      </c>
      <c r="I213" s="6" t="e">
        <f t="shared" si="10"/>
        <v>#N/A</v>
      </c>
      <c r="J213" s="6" t="e">
        <f t="shared" si="11"/>
        <v>#N/A</v>
      </c>
      <c r="M213" s="64" t="s">
        <v>467</v>
      </c>
      <c r="N213" s="123">
        <v>0.39</v>
      </c>
    </row>
    <row r="214" spans="1:14" x14ac:dyDescent="0.3">
      <c r="A214">
        <v>0</v>
      </c>
      <c r="B214" t="e">
        <f>VLOOKUP(A214,'Clientes CBOT'!A:D,4,0)</f>
        <v>#N/A</v>
      </c>
      <c r="C214" s="7" t="e">
        <f>VLOOKUP(A214,'Statement base'!E:AO,21,0)</f>
        <v>#N/A</v>
      </c>
      <c r="D214" s="7" t="e">
        <f>VLOOKUP(A214,'Statement base'!E:AO,10,0)-VLOOKUP(A214,'Statement base'!E:AO,21,0)</f>
        <v>#N/A</v>
      </c>
      <c r="E214" t="s">
        <v>188</v>
      </c>
      <c r="F214" s="6" t="e">
        <f>VLOOKUP(A214,'Statement base'!E:AO,10,0)+VLOOKUP(A214,'Statement base'!E:AO,14,0)</f>
        <v>#N/A</v>
      </c>
      <c r="G214" s="61" t="e">
        <f>VLOOKUP(A214,'Clientes CBOT'!A:E,5,0)</f>
        <v>#N/A</v>
      </c>
      <c r="H214" t="str">
        <f t="shared" si="9"/>
        <v>Hard</v>
      </c>
      <c r="I214" s="6" t="e">
        <f t="shared" si="10"/>
        <v>#N/A</v>
      </c>
      <c r="J214" s="6" t="e">
        <f t="shared" si="11"/>
        <v>#N/A</v>
      </c>
      <c r="M214" s="64" t="s">
        <v>468</v>
      </c>
      <c r="N214" s="123">
        <v>0</v>
      </c>
    </row>
    <row r="215" spans="1:14" x14ac:dyDescent="0.3">
      <c r="A215">
        <v>0</v>
      </c>
      <c r="B215" t="e">
        <f>VLOOKUP(A215,'Clientes CBOT'!A:D,4,0)</f>
        <v>#N/A</v>
      </c>
      <c r="C215" s="7" t="e">
        <f>VLOOKUP(A215,'Statement base'!E:AO,21,0)</f>
        <v>#N/A</v>
      </c>
      <c r="D215" s="7" t="e">
        <f>VLOOKUP(A215,'Statement base'!E:AO,10,0)-VLOOKUP(A215,'Statement base'!E:AO,21,0)</f>
        <v>#N/A</v>
      </c>
      <c r="E215" t="s">
        <v>188</v>
      </c>
      <c r="F215" s="6" t="e">
        <f>VLOOKUP(A215,'Statement base'!E:AO,10,0)+VLOOKUP(A215,'Statement base'!E:AO,14,0)</f>
        <v>#N/A</v>
      </c>
      <c r="G215" s="61" t="e">
        <f>VLOOKUP(A215,'Clientes CBOT'!A:E,5,0)</f>
        <v>#N/A</v>
      </c>
      <c r="H215" t="str">
        <f t="shared" si="9"/>
        <v>Hard</v>
      </c>
      <c r="I215" s="6" t="e">
        <f t="shared" si="10"/>
        <v>#N/A</v>
      </c>
      <c r="J215" s="6" t="e">
        <f t="shared" si="11"/>
        <v>#N/A</v>
      </c>
      <c r="M215" s="64" t="s">
        <v>469</v>
      </c>
      <c r="N215" s="123">
        <v>-13212183.140000001</v>
      </c>
    </row>
    <row r="216" spans="1:14" x14ac:dyDescent="0.3">
      <c r="A216">
        <v>0</v>
      </c>
      <c r="B216" t="e">
        <f>VLOOKUP(A216,'Clientes CBOT'!A:D,4,0)</f>
        <v>#N/A</v>
      </c>
      <c r="C216" s="7" t="e">
        <f>VLOOKUP(A216,'Statement base'!E:AO,21,0)</f>
        <v>#N/A</v>
      </c>
      <c r="D216" s="7" t="e">
        <f>VLOOKUP(A216,'Statement base'!E:AO,10,0)-VLOOKUP(A216,'Statement base'!E:AO,21,0)</f>
        <v>#N/A</v>
      </c>
      <c r="E216" t="s">
        <v>188</v>
      </c>
      <c r="F216" s="6" t="e">
        <f>VLOOKUP(A216,'Statement base'!E:AO,10,0)+VLOOKUP(A216,'Statement base'!E:AO,14,0)</f>
        <v>#N/A</v>
      </c>
      <c r="G216" s="61" t="e">
        <f>VLOOKUP(A216,'Clientes CBOT'!A:E,5,0)</f>
        <v>#N/A</v>
      </c>
      <c r="H216" t="str">
        <f t="shared" si="9"/>
        <v>Hard</v>
      </c>
      <c r="I216" s="6" t="e">
        <f t="shared" si="10"/>
        <v>#N/A</v>
      </c>
      <c r="J216" s="6" t="e">
        <f t="shared" si="11"/>
        <v>#N/A</v>
      </c>
      <c r="M216" s="64" t="s">
        <v>470</v>
      </c>
      <c r="N216" s="123">
        <v>0</v>
      </c>
    </row>
    <row r="217" spans="1:14" x14ac:dyDescent="0.3">
      <c r="A217">
        <v>0</v>
      </c>
      <c r="B217" t="e">
        <f>VLOOKUP(A217,'Clientes CBOT'!A:D,4,0)</f>
        <v>#N/A</v>
      </c>
      <c r="C217" s="7" t="e">
        <f>VLOOKUP(A217,'Statement base'!E:AO,21,0)</f>
        <v>#N/A</v>
      </c>
      <c r="D217" s="7" t="e">
        <f>VLOOKUP(A217,'Statement base'!E:AO,10,0)-VLOOKUP(A217,'Statement base'!E:AO,21,0)</f>
        <v>#N/A</v>
      </c>
      <c r="E217" t="s">
        <v>188</v>
      </c>
      <c r="F217" s="6" t="e">
        <f>VLOOKUP(A217,'Statement base'!E:AO,10,0)+VLOOKUP(A217,'Statement base'!E:AO,14,0)</f>
        <v>#N/A</v>
      </c>
      <c r="G217" s="61" t="e">
        <f>VLOOKUP(A217,'Clientes CBOT'!A:E,5,0)</f>
        <v>#N/A</v>
      </c>
      <c r="H217" t="str">
        <f t="shared" si="9"/>
        <v>Hard</v>
      </c>
      <c r="I217" s="6" t="e">
        <f t="shared" si="10"/>
        <v>#N/A</v>
      </c>
      <c r="J217" s="6" t="e">
        <f t="shared" si="11"/>
        <v>#N/A</v>
      </c>
      <c r="M217" s="64" t="s">
        <v>471</v>
      </c>
      <c r="N217" s="123">
        <v>0</v>
      </c>
    </row>
    <row r="218" spans="1:14" x14ac:dyDescent="0.3">
      <c r="A218">
        <v>0</v>
      </c>
      <c r="B218" t="e">
        <f>VLOOKUP(A218,'Clientes CBOT'!A:D,4,0)</f>
        <v>#N/A</v>
      </c>
      <c r="C218" s="7" t="e">
        <f>VLOOKUP(A218,'Statement base'!E:AO,21,0)</f>
        <v>#N/A</v>
      </c>
      <c r="D218" s="7" t="e">
        <f>VLOOKUP(A218,'Statement base'!E:AO,10,0)-VLOOKUP(A218,'Statement base'!E:AO,21,0)</f>
        <v>#N/A</v>
      </c>
      <c r="E218" t="s">
        <v>188</v>
      </c>
      <c r="F218" s="6" t="e">
        <f>VLOOKUP(A218,'Statement base'!E:AO,10,0)+VLOOKUP(A218,'Statement base'!E:AO,14,0)</f>
        <v>#N/A</v>
      </c>
      <c r="G218" s="61" t="e">
        <f>VLOOKUP(A218,'Clientes CBOT'!A:E,5,0)</f>
        <v>#N/A</v>
      </c>
      <c r="H218" t="str">
        <f t="shared" si="9"/>
        <v>Hard</v>
      </c>
      <c r="I218" s="6" t="e">
        <f t="shared" si="10"/>
        <v>#N/A</v>
      </c>
      <c r="J218" s="6" t="e">
        <f t="shared" si="11"/>
        <v>#N/A</v>
      </c>
      <c r="M218" s="64" t="s">
        <v>472</v>
      </c>
      <c r="N218" s="123">
        <v>0</v>
      </c>
    </row>
    <row r="219" spans="1:14" x14ac:dyDescent="0.3">
      <c r="A219">
        <v>0</v>
      </c>
      <c r="B219" t="e">
        <f>VLOOKUP(A219,'Clientes CBOT'!A:D,4,0)</f>
        <v>#N/A</v>
      </c>
      <c r="C219" s="7" t="e">
        <f>VLOOKUP(A219,'Statement base'!E:AO,21,0)</f>
        <v>#N/A</v>
      </c>
      <c r="D219" s="7" t="e">
        <f>VLOOKUP(A219,'Statement base'!E:AO,10,0)-VLOOKUP(A219,'Statement base'!E:AO,21,0)</f>
        <v>#N/A</v>
      </c>
      <c r="E219" t="s">
        <v>188</v>
      </c>
      <c r="F219" s="6" t="e">
        <f>VLOOKUP(A219,'Statement base'!E:AO,10,0)+VLOOKUP(A219,'Statement base'!E:AO,14,0)</f>
        <v>#N/A</v>
      </c>
      <c r="G219" s="61" t="e">
        <f>VLOOKUP(A219,'Clientes CBOT'!A:E,5,0)</f>
        <v>#N/A</v>
      </c>
      <c r="H219" t="str">
        <f t="shared" si="9"/>
        <v>Hard</v>
      </c>
      <c r="I219" s="6" t="e">
        <f t="shared" si="10"/>
        <v>#N/A</v>
      </c>
      <c r="J219" s="6" t="e">
        <f t="shared" si="11"/>
        <v>#N/A</v>
      </c>
      <c r="M219" s="64" t="s">
        <v>474</v>
      </c>
      <c r="N219" s="123">
        <v>13.55</v>
      </c>
    </row>
    <row r="220" spans="1:14" x14ac:dyDescent="0.3">
      <c r="A220">
        <v>0</v>
      </c>
      <c r="B220" t="e">
        <f>VLOOKUP(A220,'Clientes CBOT'!A:D,4,0)</f>
        <v>#N/A</v>
      </c>
      <c r="C220" s="7" t="e">
        <f>VLOOKUP(A220,'Statement base'!E:AO,21,0)</f>
        <v>#N/A</v>
      </c>
      <c r="D220" s="7" t="e">
        <f>VLOOKUP(A220,'Statement base'!E:AO,10,0)-VLOOKUP(A220,'Statement base'!E:AO,21,0)</f>
        <v>#N/A</v>
      </c>
      <c r="E220" t="s">
        <v>188</v>
      </c>
      <c r="F220" s="6" t="e">
        <f>VLOOKUP(A220,'Statement base'!E:AO,10,0)+VLOOKUP(A220,'Statement base'!E:AO,14,0)</f>
        <v>#N/A</v>
      </c>
      <c r="G220" s="61" t="e">
        <f>VLOOKUP(A220,'Clientes CBOT'!A:E,5,0)</f>
        <v>#N/A</v>
      </c>
      <c r="H220" t="str">
        <f t="shared" si="9"/>
        <v>Hard</v>
      </c>
      <c r="I220" s="6" t="e">
        <f t="shared" si="10"/>
        <v>#N/A</v>
      </c>
      <c r="J220" s="6" t="e">
        <f t="shared" si="11"/>
        <v>#N/A</v>
      </c>
      <c r="M220" s="64" t="s">
        <v>475</v>
      </c>
      <c r="N220" s="123">
        <v>3939.88</v>
      </c>
    </row>
    <row r="221" spans="1:14" x14ac:dyDescent="0.3">
      <c r="A221">
        <v>0</v>
      </c>
      <c r="B221" t="e">
        <f>VLOOKUP(A221,'Clientes CBOT'!A:D,4,0)</f>
        <v>#N/A</v>
      </c>
      <c r="C221" s="7" t="e">
        <f>VLOOKUP(A221,'Statement base'!E:AO,21,0)</f>
        <v>#N/A</v>
      </c>
      <c r="D221" s="7" t="e">
        <f>VLOOKUP(A221,'Statement base'!E:AO,10,0)-VLOOKUP(A221,'Statement base'!E:AO,21,0)</f>
        <v>#N/A</v>
      </c>
      <c r="E221" t="s">
        <v>188</v>
      </c>
      <c r="F221" s="6" t="e">
        <f>VLOOKUP(A221,'Statement base'!E:AO,10,0)+VLOOKUP(A221,'Statement base'!E:AO,14,0)</f>
        <v>#N/A</v>
      </c>
      <c r="G221" s="61" t="e">
        <f>VLOOKUP(A221,'Clientes CBOT'!A:E,5,0)</f>
        <v>#N/A</v>
      </c>
      <c r="H221" t="str">
        <f t="shared" si="9"/>
        <v>Hard</v>
      </c>
      <c r="I221" s="6" t="e">
        <f t="shared" si="10"/>
        <v>#N/A</v>
      </c>
      <c r="J221" s="6" t="e">
        <f t="shared" si="11"/>
        <v>#N/A</v>
      </c>
      <c r="M221" s="64" t="s">
        <v>327</v>
      </c>
      <c r="N221" s="123">
        <v>0</v>
      </c>
    </row>
    <row r="222" spans="1:14" x14ac:dyDescent="0.3">
      <c r="B222" t="e">
        <f>VLOOKUP(A222,'Clientes CBOT'!A:D,4,0)</f>
        <v>#N/A</v>
      </c>
      <c r="C222" s="7" t="e">
        <f>VLOOKUP(A222,'Statement base'!E:AO,21,0)</f>
        <v>#N/A</v>
      </c>
      <c r="D222" s="7" t="e">
        <f>VLOOKUP(A222,'Statement base'!E:AO,10,0)-VLOOKUP(A222,'Statement base'!E:AO,21,0)</f>
        <v>#N/A</v>
      </c>
      <c r="E222" t="s">
        <v>188</v>
      </c>
      <c r="F222" s="6" t="e">
        <f>VLOOKUP(A222,'Statement base'!E:AO,10,0)+VLOOKUP(A222,'Statement base'!E:AO,14,0)</f>
        <v>#N/A</v>
      </c>
      <c r="G222" s="61" t="e">
        <f>VLOOKUP(A222,'Clientes CBOT'!A:E,5,0)</f>
        <v>#N/A</v>
      </c>
      <c r="H222" t="str">
        <f t="shared" si="9"/>
        <v>Hard</v>
      </c>
      <c r="I222" s="6" t="e">
        <f t="shared" si="10"/>
        <v>#N/A</v>
      </c>
      <c r="J222" s="6" t="e">
        <f t="shared" si="11"/>
        <v>#N/A</v>
      </c>
      <c r="M222" s="64" t="s">
        <v>476</v>
      </c>
      <c r="N222" s="123">
        <v>0</v>
      </c>
    </row>
    <row r="223" spans="1:14" x14ac:dyDescent="0.3">
      <c r="B223" t="e">
        <f>VLOOKUP(A223,'Clientes CBOT'!A:D,4,0)</f>
        <v>#N/A</v>
      </c>
      <c r="C223" s="7" t="e">
        <f>VLOOKUP(A223,'Statement base'!E:AO,21,0)</f>
        <v>#N/A</v>
      </c>
      <c r="D223" s="7" t="e">
        <f>VLOOKUP(A223,'Statement base'!E:AO,10,0)-VLOOKUP(A223,'Statement base'!E:AO,21,0)</f>
        <v>#N/A</v>
      </c>
      <c r="E223" t="s">
        <v>188</v>
      </c>
      <c r="F223" s="6" t="e">
        <f>VLOOKUP(A223,'Statement base'!E:AO,10,0)+VLOOKUP(A223,'Statement base'!E:AO,14,0)</f>
        <v>#N/A</v>
      </c>
      <c r="G223" s="61" t="e">
        <f>VLOOKUP(A223,'Clientes CBOT'!A:E,5,0)</f>
        <v>#N/A</v>
      </c>
      <c r="H223" t="str">
        <f t="shared" si="9"/>
        <v>Hard</v>
      </c>
      <c r="I223" s="6" t="e">
        <f t="shared" si="10"/>
        <v>#N/A</v>
      </c>
      <c r="J223" s="6" t="e">
        <f t="shared" si="11"/>
        <v>#N/A</v>
      </c>
      <c r="M223" s="64" t="s">
        <v>298</v>
      </c>
      <c r="N223" s="123">
        <v>0</v>
      </c>
    </row>
    <row r="224" spans="1:14" x14ac:dyDescent="0.3">
      <c r="B224" t="e">
        <f>VLOOKUP(A224,'Clientes CBOT'!A:D,4,0)</f>
        <v>#N/A</v>
      </c>
      <c r="C224" s="7" t="e">
        <f>VLOOKUP(A224,'Statement base'!E:AO,21,0)</f>
        <v>#N/A</v>
      </c>
      <c r="D224" s="7" t="e">
        <f>VLOOKUP(A224,'Statement base'!E:AO,10,0)-VLOOKUP(A224,'Statement base'!E:AO,21,0)</f>
        <v>#N/A</v>
      </c>
      <c r="E224" t="s">
        <v>188</v>
      </c>
      <c r="F224" s="6" t="e">
        <f>VLOOKUP(A224,'Statement base'!E:AO,10,0)+VLOOKUP(A224,'Statement base'!E:AO,14,0)</f>
        <v>#N/A</v>
      </c>
      <c r="G224" s="61" t="e">
        <f>VLOOKUP(A224,'Clientes CBOT'!A:E,5,0)</f>
        <v>#N/A</v>
      </c>
      <c r="H224" t="str">
        <f t="shared" si="9"/>
        <v>Hard</v>
      </c>
      <c r="I224" s="6" t="e">
        <f t="shared" si="10"/>
        <v>#N/A</v>
      </c>
      <c r="J224" s="6" t="e">
        <f t="shared" si="11"/>
        <v>#N/A</v>
      </c>
      <c r="M224" s="64" t="s">
        <v>477</v>
      </c>
      <c r="N224" s="123">
        <v>1751.56</v>
      </c>
    </row>
    <row r="225" spans="2:14" x14ac:dyDescent="0.3">
      <c r="B225" t="e">
        <f>VLOOKUP(A225,'Clientes CBOT'!A:D,4,0)</f>
        <v>#N/A</v>
      </c>
      <c r="C225" s="7" t="e">
        <f>VLOOKUP(A225,'Statement base'!E:AO,21,0)</f>
        <v>#N/A</v>
      </c>
      <c r="D225" s="7" t="e">
        <f>VLOOKUP(A225,'Statement base'!E:AO,10,0)-VLOOKUP(A225,'Statement base'!E:AO,21,0)</f>
        <v>#N/A</v>
      </c>
      <c r="E225" t="s">
        <v>188</v>
      </c>
      <c r="F225" s="6" t="e">
        <f>VLOOKUP(A225,'Statement base'!E:AO,10,0)+VLOOKUP(A225,'Statement base'!E:AO,14,0)</f>
        <v>#N/A</v>
      </c>
      <c r="G225" s="61" t="e">
        <f>VLOOKUP(A225,'Clientes CBOT'!A:E,5,0)</f>
        <v>#N/A</v>
      </c>
      <c r="H225" t="str">
        <f t="shared" si="9"/>
        <v>Hard</v>
      </c>
      <c r="I225" s="6" t="e">
        <f t="shared" si="10"/>
        <v>#N/A</v>
      </c>
      <c r="J225" s="6" t="e">
        <f t="shared" si="11"/>
        <v>#N/A</v>
      </c>
      <c r="M225" s="64" t="s">
        <v>301</v>
      </c>
      <c r="N225" s="123">
        <v>-759.72</v>
      </c>
    </row>
    <row r="226" spans="2:14" x14ac:dyDescent="0.3">
      <c r="B226" t="e">
        <f>VLOOKUP(A226,'Clientes CBOT'!A:D,4,0)</f>
        <v>#N/A</v>
      </c>
      <c r="C226" s="7" t="e">
        <f>VLOOKUP(A226,'Statement base'!E:AO,21,0)</f>
        <v>#N/A</v>
      </c>
      <c r="D226" s="7" t="e">
        <f>VLOOKUP(A226,'Statement base'!E:AO,10,0)-VLOOKUP(A226,'Statement base'!E:AO,21,0)</f>
        <v>#N/A</v>
      </c>
      <c r="E226" t="s">
        <v>188</v>
      </c>
      <c r="F226" s="6" t="e">
        <f>VLOOKUP(A226,'Statement base'!E:AO,10,0)+VLOOKUP(A226,'Statement base'!E:AO,14,0)</f>
        <v>#N/A</v>
      </c>
      <c r="G226" s="61" t="e">
        <f>VLOOKUP(A226,'Clientes CBOT'!A:E,5,0)</f>
        <v>#N/A</v>
      </c>
      <c r="H226" t="str">
        <f t="shared" si="9"/>
        <v>Hard</v>
      </c>
      <c r="I226" s="6" t="e">
        <f t="shared" si="10"/>
        <v>#N/A</v>
      </c>
      <c r="J226" s="6" t="e">
        <f t="shared" si="11"/>
        <v>#N/A</v>
      </c>
      <c r="M226" s="64" t="s">
        <v>478</v>
      </c>
      <c r="N226" s="123">
        <v>16376.3</v>
      </c>
    </row>
    <row r="227" spans="2:14" x14ac:dyDescent="0.3">
      <c r="B227" t="e">
        <f>VLOOKUP(A227,'Clientes CBOT'!A:D,4,0)</f>
        <v>#N/A</v>
      </c>
      <c r="C227" s="7" t="e">
        <f>VLOOKUP(A227,'Statement base'!E:AO,21,0)</f>
        <v>#N/A</v>
      </c>
      <c r="D227" s="7" t="e">
        <f>VLOOKUP(A227,'Statement base'!E:AO,10,0)-VLOOKUP(A227,'Statement base'!E:AO,21,0)</f>
        <v>#N/A</v>
      </c>
      <c r="E227" t="s">
        <v>188</v>
      </c>
      <c r="F227" s="6" t="e">
        <f>VLOOKUP(A227,'Statement base'!E:AO,10,0)+VLOOKUP(A227,'Statement base'!E:AO,14,0)</f>
        <v>#N/A</v>
      </c>
      <c r="G227" s="61" t="e">
        <f>VLOOKUP(A227,'Clientes CBOT'!A:E,5,0)</f>
        <v>#N/A</v>
      </c>
      <c r="H227" t="str">
        <f t="shared" si="9"/>
        <v>Hard</v>
      </c>
      <c r="I227" s="6" t="e">
        <f t="shared" si="10"/>
        <v>#N/A</v>
      </c>
      <c r="J227" s="6" t="e">
        <f t="shared" si="11"/>
        <v>#N/A</v>
      </c>
      <c r="M227" s="64" t="s">
        <v>479</v>
      </c>
      <c r="N227" s="123">
        <v>431.07</v>
      </c>
    </row>
    <row r="228" spans="2:14" x14ac:dyDescent="0.3">
      <c r="B228" t="e">
        <f>VLOOKUP(A228,'Clientes CBOT'!A:D,4,0)</f>
        <v>#N/A</v>
      </c>
      <c r="C228" s="7" t="e">
        <f>VLOOKUP(A228,'Statement base'!E:AO,21,0)</f>
        <v>#N/A</v>
      </c>
      <c r="D228" s="7" t="e">
        <f>VLOOKUP(A228,'Statement base'!E:AO,10,0)-VLOOKUP(A228,'Statement base'!E:AO,21,0)</f>
        <v>#N/A</v>
      </c>
      <c r="E228" t="s">
        <v>188</v>
      </c>
      <c r="F228" s="6" t="e">
        <f>VLOOKUP(A228,'Statement base'!E:AO,10,0)+VLOOKUP(A228,'Statement base'!E:AO,14,0)</f>
        <v>#N/A</v>
      </c>
      <c r="G228" s="61" t="e">
        <f>VLOOKUP(A228,'Clientes CBOT'!A:E,5,0)</f>
        <v>#N/A</v>
      </c>
      <c r="H228" t="str">
        <f t="shared" si="9"/>
        <v>Hard</v>
      </c>
      <c r="I228" s="6" t="e">
        <f t="shared" si="10"/>
        <v>#N/A</v>
      </c>
      <c r="J228" s="6" t="e">
        <f t="shared" si="11"/>
        <v>#N/A</v>
      </c>
      <c r="M228" s="64" t="s">
        <v>480</v>
      </c>
      <c r="N228" s="123">
        <v>0</v>
      </c>
    </row>
    <row r="229" spans="2:14" x14ac:dyDescent="0.3">
      <c r="B229" t="e">
        <f>VLOOKUP(A229,'Clientes CBOT'!A:D,4,0)</f>
        <v>#N/A</v>
      </c>
      <c r="C229" s="7" t="e">
        <f>VLOOKUP(A229,'Statement base'!E:AO,21,0)</f>
        <v>#N/A</v>
      </c>
      <c r="D229" s="7" t="e">
        <f>VLOOKUP(A229,'Statement base'!E:AO,10,0)-VLOOKUP(A229,'Statement base'!E:AO,21,0)</f>
        <v>#N/A</v>
      </c>
      <c r="E229" t="s">
        <v>188</v>
      </c>
      <c r="F229" s="6" t="e">
        <f>VLOOKUP(A229,'Statement base'!E:AO,10,0)+VLOOKUP(A229,'Statement base'!E:AO,14,0)</f>
        <v>#N/A</v>
      </c>
      <c r="G229" s="61" t="e">
        <f>VLOOKUP(A229,'Clientes CBOT'!A:E,5,0)</f>
        <v>#N/A</v>
      </c>
      <c r="H229" t="str">
        <f t="shared" si="9"/>
        <v>Hard</v>
      </c>
      <c r="I229" s="6" t="e">
        <f t="shared" si="10"/>
        <v>#N/A</v>
      </c>
      <c r="J229" s="6" t="e">
        <f t="shared" si="11"/>
        <v>#N/A</v>
      </c>
      <c r="M229" s="64" t="s">
        <v>481</v>
      </c>
      <c r="N229" s="123">
        <v>-6134.13</v>
      </c>
    </row>
    <row r="230" spans="2:14" x14ac:dyDescent="0.3">
      <c r="B230" t="e">
        <f>VLOOKUP(A230,'Clientes CBOT'!A:D,4,0)</f>
        <v>#N/A</v>
      </c>
      <c r="C230" s="7" t="e">
        <f>VLOOKUP(A230,'Statement base'!E:AO,21,0)</f>
        <v>#N/A</v>
      </c>
      <c r="D230" s="7" t="e">
        <f>VLOOKUP(A230,'Statement base'!E:AO,10,0)-VLOOKUP(A230,'Statement base'!E:AO,21,0)</f>
        <v>#N/A</v>
      </c>
      <c r="E230" t="s">
        <v>188</v>
      </c>
      <c r="F230" s="6" t="e">
        <f>VLOOKUP(A230,'Statement base'!E:AO,10,0)+VLOOKUP(A230,'Statement base'!E:AO,14,0)</f>
        <v>#N/A</v>
      </c>
      <c r="G230" s="61" t="e">
        <f>VLOOKUP(A230,'Clientes CBOT'!A:E,5,0)</f>
        <v>#N/A</v>
      </c>
      <c r="H230" t="str">
        <f t="shared" si="9"/>
        <v>Hard</v>
      </c>
      <c r="I230" s="6" t="e">
        <f t="shared" si="10"/>
        <v>#N/A</v>
      </c>
      <c r="J230" s="6" t="e">
        <f t="shared" si="11"/>
        <v>#N/A</v>
      </c>
      <c r="M230" s="64" t="s">
        <v>305</v>
      </c>
      <c r="N230" s="123">
        <v>143629199.85999998</v>
      </c>
    </row>
    <row r="231" spans="2:14" x14ac:dyDescent="0.3">
      <c r="B231" t="e">
        <f>VLOOKUP(A231,'Clientes CBOT'!A:D,4,0)</f>
        <v>#N/A</v>
      </c>
      <c r="C231" s="7" t="e">
        <f>VLOOKUP(A231,'Statement base'!E:AO,21,0)</f>
        <v>#N/A</v>
      </c>
      <c r="D231" s="7" t="e">
        <f>VLOOKUP(A231,'Statement base'!E:AO,10,0)-VLOOKUP(A231,'Statement base'!E:AO,21,0)</f>
        <v>#N/A</v>
      </c>
      <c r="E231" t="s">
        <v>188</v>
      </c>
      <c r="F231" s="6" t="e">
        <f>VLOOKUP(A231,'Statement base'!E:AO,10,0)+VLOOKUP(A231,'Statement base'!E:AO,14,0)</f>
        <v>#N/A</v>
      </c>
      <c r="G231" s="61" t="e">
        <f>VLOOKUP(A231,'Clientes CBOT'!A:E,5,0)</f>
        <v>#N/A</v>
      </c>
      <c r="H231" t="str">
        <f t="shared" si="9"/>
        <v>Hard</v>
      </c>
      <c r="I231" s="6" t="e">
        <f t="shared" si="10"/>
        <v>#N/A</v>
      </c>
      <c r="J231" s="6" t="e">
        <f t="shared" si="11"/>
        <v>#N/A</v>
      </c>
      <c r="M231" s="64" t="s">
        <v>483</v>
      </c>
      <c r="N231" s="123">
        <v>0.98</v>
      </c>
    </row>
    <row r="232" spans="2:14" x14ac:dyDescent="0.3">
      <c r="B232" t="e">
        <f>VLOOKUP(A232,'Clientes CBOT'!A:D,4,0)</f>
        <v>#N/A</v>
      </c>
      <c r="C232" s="7" t="e">
        <f>VLOOKUP(A232,'Statement base'!E:AO,21,0)</f>
        <v>#N/A</v>
      </c>
      <c r="D232" s="7" t="e">
        <f>VLOOKUP(A232,'Statement base'!E:AO,10,0)-VLOOKUP(A232,'Statement base'!E:AO,21,0)</f>
        <v>#N/A</v>
      </c>
      <c r="E232" t="s">
        <v>188</v>
      </c>
      <c r="F232" s="6" t="e">
        <f>VLOOKUP(A232,'Statement base'!E:AO,10,0)+VLOOKUP(A232,'Statement base'!E:AO,14,0)</f>
        <v>#N/A</v>
      </c>
      <c r="G232" s="61" t="e">
        <f>VLOOKUP(A232,'Clientes CBOT'!A:E,5,0)</f>
        <v>#N/A</v>
      </c>
      <c r="H232" t="str">
        <f t="shared" si="9"/>
        <v>Hard</v>
      </c>
      <c r="I232" s="6" t="e">
        <f t="shared" si="10"/>
        <v>#N/A</v>
      </c>
      <c r="J232" s="6" t="e">
        <f t="shared" si="11"/>
        <v>#N/A</v>
      </c>
      <c r="M232" s="64" t="s">
        <v>484</v>
      </c>
      <c r="N232" s="123">
        <v>6762.49</v>
      </c>
    </row>
    <row r="233" spans="2:14" x14ac:dyDescent="0.3">
      <c r="B233" t="e">
        <f>VLOOKUP(A233,'Clientes CBOT'!A:D,4,0)</f>
        <v>#N/A</v>
      </c>
      <c r="C233" s="7" t="e">
        <f>VLOOKUP(A233,'Statement base'!E:AO,21,0)</f>
        <v>#N/A</v>
      </c>
      <c r="D233" s="7" t="e">
        <f>VLOOKUP(A233,'Statement base'!E:AO,10,0)-VLOOKUP(A233,'Statement base'!E:AO,21,0)</f>
        <v>#N/A</v>
      </c>
      <c r="E233" t="s">
        <v>188</v>
      </c>
      <c r="F233" s="6" t="e">
        <f>VLOOKUP(A233,'Statement base'!E:AO,10,0)+VLOOKUP(A233,'Statement base'!E:AO,14,0)</f>
        <v>#N/A</v>
      </c>
      <c r="G233" s="61" t="e">
        <f>VLOOKUP(A233,'Clientes CBOT'!A:E,5,0)</f>
        <v>#N/A</v>
      </c>
      <c r="H233" t="str">
        <f t="shared" si="9"/>
        <v>Hard</v>
      </c>
      <c r="I233" s="6" t="e">
        <f t="shared" si="10"/>
        <v>#N/A</v>
      </c>
      <c r="J233" s="6" t="e">
        <f t="shared" si="11"/>
        <v>#N/A</v>
      </c>
      <c r="M233" s="64" t="s">
        <v>309</v>
      </c>
      <c r="N233" s="123">
        <v>-32989636.360000003</v>
      </c>
    </row>
    <row r="234" spans="2:14" x14ac:dyDescent="0.3">
      <c r="B234" t="e">
        <f>VLOOKUP(A234,'Clientes CBOT'!A:D,4,0)</f>
        <v>#N/A</v>
      </c>
      <c r="C234" s="7" t="e">
        <f>VLOOKUP(A234,'Statement base'!E:AO,21,0)</f>
        <v>#N/A</v>
      </c>
      <c r="D234" s="7" t="e">
        <f>VLOOKUP(A234,'Statement base'!E:AO,10,0)-VLOOKUP(A234,'Statement base'!E:AO,21,0)</f>
        <v>#N/A</v>
      </c>
      <c r="E234" t="s">
        <v>188</v>
      </c>
      <c r="F234" s="6" t="e">
        <f>VLOOKUP(A234,'Statement base'!E:AO,10,0)+VLOOKUP(A234,'Statement base'!E:AO,14,0)</f>
        <v>#N/A</v>
      </c>
      <c r="G234" s="61" t="e">
        <f>VLOOKUP(A234,'Clientes CBOT'!A:E,5,0)</f>
        <v>#N/A</v>
      </c>
      <c r="H234" t="str">
        <f t="shared" si="9"/>
        <v>Hard</v>
      </c>
      <c r="I234" s="6" t="e">
        <f t="shared" si="10"/>
        <v>#N/A</v>
      </c>
      <c r="J234" s="6" t="e">
        <f t="shared" si="11"/>
        <v>#N/A</v>
      </c>
      <c r="M234" s="64" t="s">
        <v>487</v>
      </c>
      <c r="N234" s="123">
        <v>107.67999999999999</v>
      </c>
    </row>
    <row r="235" spans="2:14" x14ac:dyDescent="0.3">
      <c r="B235" t="e">
        <f>VLOOKUP(A235,'Clientes CBOT'!A:D,4,0)</f>
        <v>#N/A</v>
      </c>
      <c r="C235" s="7" t="e">
        <f>VLOOKUP(A235,'Statement base'!E:AO,21,0)</f>
        <v>#N/A</v>
      </c>
      <c r="D235" s="7" t="e">
        <f>VLOOKUP(A235,'Statement base'!E:AO,10,0)-VLOOKUP(A235,'Statement base'!E:AO,21,0)</f>
        <v>#N/A</v>
      </c>
      <c r="E235" t="s">
        <v>188</v>
      </c>
      <c r="F235" s="6" t="e">
        <f>VLOOKUP(A235,'Statement base'!E:AO,10,0)+VLOOKUP(A235,'Statement base'!E:AO,14,0)</f>
        <v>#N/A</v>
      </c>
      <c r="G235" s="61" t="e">
        <f>VLOOKUP(A235,'Clientes CBOT'!A:E,5,0)</f>
        <v>#N/A</v>
      </c>
      <c r="H235" t="str">
        <f t="shared" si="9"/>
        <v>Hard</v>
      </c>
      <c r="I235" s="6" t="e">
        <f t="shared" si="10"/>
        <v>#N/A</v>
      </c>
      <c r="J235" s="6" t="e">
        <f t="shared" si="11"/>
        <v>#N/A</v>
      </c>
      <c r="M235" s="64" t="s">
        <v>489</v>
      </c>
      <c r="N235" s="123">
        <v>0</v>
      </c>
    </row>
    <row r="236" spans="2:14" x14ac:dyDescent="0.3">
      <c r="B236" t="e">
        <f>VLOOKUP(A236,'Clientes CBOT'!A:D,4,0)</f>
        <v>#N/A</v>
      </c>
      <c r="C236" s="7" t="e">
        <f>VLOOKUP(A236,'Statement base'!E:AO,21,0)</f>
        <v>#N/A</v>
      </c>
      <c r="D236" s="7" t="e">
        <f>VLOOKUP(A236,'Statement base'!E:AO,10,0)-VLOOKUP(A236,'Statement base'!E:AO,21,0)</f>
        <v>#N/A</v>
      </c>
      <c r="E236" t="s">
        <v>188</v>
      </c>
      <c r="F236" s="6" t="e">
        <f>VLOOKUP(A236,'Statement base'!E:AO,10,0)+VLOOKUP(A236,'Statement base'!E:AO,14,0)</f>
        <v>#N/A</v>
      </c>
      <c r="G236" s="61" t="e">
        <f>VLOOKUP(A236,'Clientes CBOT'!A:E,5,0)</f>
        <v>#N/A</v>
      </c>
      <c r="H236" t="str">
        <f t="shared" si="9"/>
        <v>Hard</v>
      </c>
      <c r="I236" s="6" t="e">
        <f t="shared" si="10"/>
        <v>#N/A</v>
      </c>
      <c r="J236" s="6" t="e">
        <f t="shared" si="11"/>
        <v>#N/A</v>
      </c>
      <c r="M236" s="64" t="s">
        <v>490</v>
      </c>
      <c r="N236" s="123">
        <v>0</v>
      </c>
    </row>
    <row r="237" spans="2:14" x14ac:dyDescent="0.3">
      <c r="B237" t="e">
        <f>VLOOKUP(A237,'Clientes CBOT'!A:D,4,0)</f>
        <v>#N/A</v>
      </c>
      <c r="C237" s="7" t="e">
        <f>VLOOKUP(A237,'Statement base'!E:AO,21,0)</f>
        <v>#N/A</v>
      </c>
      <c r="D237" s="7" t="e">
        <f>VLOOKUP(A237,'Statement base'!E:AO,10,0)-VLOOKUP(A237,'Statement base'!E:AO,21,0)</f>
        <v>#N/A</v>
      </c>
      <c r="E237" t="s">
        <v>188</v>
      </c>
      <c r="F237" s="6" t="e">
        <f>VLOOKUP(A237,'Statement base'!E:AO,10,0)+VLOOKUP(A237,'Statement base'!E:AO,14,0)</f>
        <v>#N/A</v>
      </c>
      <c r="G237" s="61" t="e">
        <f>VLOOKUP(A237,'Clientes CBOT'!A:E,5,0)</f>
        <v>#N/A</v>
      </c>
      <c r="H237" t="str">
        <f t="shared" si="9"/>
        <v>Hard</v>
      </c>
      <c r="I237" s="6" t="e">
        <f t="shared" si="10"/>
        <v>#N/A</v>
      </c>
      <c r="J237" s="6" t="e">
        <f t="shared" si="11"/>
        <v>#N/A</v>
      </c>
      <c r="M237" s="64" t="s">
        <v>314</v>
      </c>
      <c r="N237" s="123">
        <v>-2207998.94</v>
      </c>
    </row>
    <row r="238" spans="2:14" x14ac:dyDescent="0.3">
      <c r="B238" t="e">
        <f>VLOOKUP(A238,'Clientes CBOT'!A:D,4,0)</f>
        <v>#N/A</v>
      </c>
      <c r="C238" s="7" t="e">
        <f>VLOOKUP(A238,'Statement base'!E:AO,21,0)</f>
        <v>#N/A</v>
      </c>
      <c r="D238" s="7" t="e">
        <f>VLOOKUP(A238,'Statement base'!E:AO,10,0)-VLOOKUP(A238,'Statement base'!E:AO,21,0)</f>
        <v>#N/A</v>
      </c>
      <c r="E238" t="s">
        <v>188</v>
      </c>
      <c r="F238" s="6" t="e">
        <f>VLOOKUP(A238,'Statement base'!E:AO,10,0)+VLOOKUP(A238,'Statement base'!E:AO,14,0)</f>
        <v>#N/A</v>
      </c>
      <c r="G238" s="61" t="e">
        <f>VLOOKUP(A238,'Clientes CBOT'!A:E,5,0)</f>
        <v>#N/A</v>
      </c>
      <c r="H238" t="str">
        <f t="shared" si="9"/>
        <v>Hard</v>
      </c>
      <c r="I238" s="6" t="e">
        <f t="shared" si="10"/>
        <v>#N/A</v>
      </c>
      <c r="J238" s="6" t="e">
        <f t="shared" si="11"/>
        <v>#N/A</v>
      </c>
      <c r="M238" s="64" t="s">
        <v>492</v>
      </c>
      <c r="N238" s="123">
        <v>10052.299999999999</v>
      </c>
    </row>
    <row r="239" spans="2:14" x14ac:dyDescent="0.3">
      <c r="B239" t="e">
        <f>VLOOKUP(A239,'Clientes CBOT'!A:D,4,0)</f>
        <v>#N/A</v>
      </c>
      <c r="C239" s="7" t="e">
        <f>VLOOKUP(A239,'Statement base'!E:AO,21,0)</f>
        <v>#N/A</v>
      </c>
      <c r="D239" s="7" t="e">
        <f>VLOOKUP(A239,'Statement base'!E:AO,10,0)-VLOOKUP(A239,'Statement base'!E:AO,21,0)</f>
        <v>#N/A</v>
      </c>
      <c r="E239" t="s">
        <v>188</v>
      </c>
      <c r="F239" s="6" t="e">
        <f>VLOOKUP(A239,'Statement base'!E:AO,10,0)+VLOOKUP(A239,'Statement base'!E:AO,14,0)</f>
        <v>#N/A</v>
      </c>
      <c r="G239" s="61" t="e">
        <f>VLOOKUP(A239,'Clientes CBOT'!A:E,5,0)</f>
        <v>#N/A</v>
      </c>
      <c r="H239" t="str">
        <f t="shared" si="9"/>
        <v>Hard</v>
      </c>
      <c r="I239" s="6" t="e">
        <f t="shared" si="10"/>
        <v>#N/A</v>
      </c>
      <c r="J239" s="6" t="e">
        <f t="shared" si="11"/>
        <v>#N/A</v>
      </c>
      <c r="M239" s="64" t="s">
        <v>318</v>
      </c>
      <c r="N239" s="123">
        <v>-115112.86000000002</v>
      </c>
    </row>
    <row r="240" spans="2:14" x14ac:dyDescent="0.3">
      <c r="B240" t="e">
        <f>VLOOKUP(A240,'Clientes CBOT'!A:D,4,0)</f>
        <v>#N/A</v>
      </c>
      <c r="C240" s="7" t="e">
        <f>VLOOKUP(A240,'Statement base'!E:AO,21,0)</f>
        <v>#N/A</v>
      </c>
      <c r="D240" s="7" t="e">
        <f>VLOOKUP(A240,'Statement base'!E:AO,10,0)-VLOOKUP(A240,'Statement base'!E:AO,21,0)</f>
        <v>#N/A</v>
      </c>
      <c r="E240" t="s">
        <v>188</v>
      </c>
      <c r="F240" s="6" t="e">
        <f>VLOOKUP(A240,'Statement base'!E:AO,10,0)+VLOOKUP(A240,'Statement base'!E:AO,14,0)</f>
        <v>#N/A</v>
      </c>
      <c r="G240" s="61" t="e">
        <f>VLOOKUP(A240,'Clientes CBOT'!A:E,5,0)</f>
        <v>#N/A</v>
      </c>
      <c r="H240" t="str">
        <f t="shared" si="9"/>
        <v>Hard</v>
      </c>
      <c r="I240" s="6" t="e">
        <f t="shared" si="10"/>
        <v>#N/A</v>
      </c>
      <c r="J240" s="6" t="e">
        <f t="shared" si="11"/>
        <v>#N/A</v>
      </c>
      <c r="M240" s="64" t="s">
        <v>494</v>
      </c>
      <c r="N240" s="123">
        <v>0</v>
      </c>
    </row>
    <row r="241" spans="2:14" x14ac:dyDescent="0.3">
      <c r="B241" t="e">
        <f>VLOOKUP(A241,'Clientes CBOT'!A:D,4,0)</f>
        <v>#N/A</v>
      </c>
      <c r="C241" s="7" t="e">
        <f>VLOOKUP(A241,'Statement base'!E:AO,21,0)</f>
        <v>#N/A</v>
      </c>
      <c r="D241" s="7" t="e">
        <f>VLOOKUP(A241,'Statement base'!E:AO,10,0)-VLOOKUP(A241,'Statement base'!E:AO,21,0)</f>
        <v>#N/A</v>
      </c>
      <c r="E241" t="s">
        <v>188</v>
      </c>
      <c r="F241" s="6" t="e">
        <f>VLOOKUP(A241,'Statement base'!E:AO,10,0)+VLOOKUP(A241,'Statement base'!E:AO,14,0)</f>
        <v>#N/A</v>
      </c>
      <c r="G241" s="61" t="e">
        <f>VLOOKUP(A241,'Clientes CBOT'!A:E,5,0)</f>
        <v>#N/A</v>
      </c>
      <c r="H241" t="str">
        <f t="shared" si="9"/>
        <v>Hard</v>
      </c>
      <c r="I241" s="6" t="e">
        <f t="shared" si="10"/>
        <v>#N/A</v>
      </c>
      <c r="J241" s="6" t="e">
        <f t="shared" si="11"/>
        <v>#N/A</v>
      </c>
      <c r="M241" s="64" t="s">
        <v>495</v>
      </c>
      <c r="N241" s="123">
        <v>675.98</v>
      </c>
    </row>
    <row r="242" spans="2:14" x14ac:dyDescent="0.3">
      <c r="B242" t="e">
        <f>VLOOKUP(A242,'Clientes CBOT'!A:D,4,0)</f>
        <v>#N/A</v>
      </c>
      <c r="C242" s="7" t="e">
        <f>VLOOKUP(A242,'Statement base'!E:AO,21,0)</f>
        <v>#N/A</v>
      </c>
      <c r="D242" s="7" t="e">
        <f>VLOOKUP(A242,'Statement base'!E:AO,10,0)-VLOOKUP(A242,'Statement base'!E:AO,21,0)</f>
        <v>#N/A</v>
      </c>
      <c r="E242" t="s">
        <v>188</v>
      </c>
      <c r="F242" s="6" t="e">
        <f>VLOOKUP(A242,'Statement base'!E:AO,10,0)+VLOOKUP(A242,'Statement base'!E:AO,14,0)</f>
        <v>#N/A</v>
      </c>
      <c r="G242" s="61" t="e">
        <f>VLOOKUP(A242,'Clientes CBOT'!A:E,5,0)</f>
        <v>#N/A</v>
      </c>
      <c r="H242" t="str">
        <f t="shared" si="9"/>
        <v>Hard</v>
      </c>
      <c r="I242" s="6" t="e">
        <f t="shared" si="10"/>
        <v>#N/A</v>
      </c>
      <c r="J242" s="6" t="e">
        <f t="shared" si="11"/>
        <v>#N/A</v>
      </c>
      <c r="M242" s="64" t="s">
        <v>496</v>
      </c>
      <c r="N242" s="123">
        <v>0</v>
      </c>
    </row>
    <row r="243" spans="2:14" x14ac:dyDescent="0.3">
      <c r="B243" t="e">
        <f>VLOOKUP(A243,'Clientes CBOT'!A:D,4,0)</f>
        <v>#N/A</v>
      </c>
      <c r="C243" s="7" t="e">
        <f>VLOOKUP(A243,'Statement base'!E:AO,21,0)</f>
        <v>#N/A</v>
      </c>
      <c r="D243" s="7" t="e">
        <f>VLOOKUP(A243,'Statement base'!E:AO,10,0)-VLOOKUP(A243,'Statement base'!E:AO,21,0)</f>
        <v>#N/A</v>
      </c>
      <c r="E243" t="s">
        <v>188</v>
      </c>
      <c r="F243" s="6" t="e">
        <f>VLOOKUP(A243,'Statement base'!E:AO,10,0)+VLOOKUP(A243,'Statement base'!E:AO,14,0)</f>
        <v>#N/A</v>
      </c>
      <c r="G243" s="61" t="e">
        <f>VLOOKUP(A243,'Clientes CBOT'!A:E,5,0)</f>
        <v>#N/A</v>
      </c>
      <c r="H243" t="str">
        <f t="shared" si="9"/>
        <v>Hard</v>
      </c>
      <c r="I243" s="6" t="e">
        <f t="shared" si="10"/>
        <v>#N/A</v>
      </c>
      <c r="J243" s="6" t="e">
        <f t="shared" si="11"/>
        <v>#N/A</v>
      </c>
      <c r="M243" s="64" t="s">
        <v>497</v>
      </c>
      <c r="N243" s="123">
        <v>0</v>
      </c>
    </row>
    <row r="244" spans="2:14" x14ac:dyDescent="0.3">
      <c r="B244" t="e">
        <f>VLOOKUP(A244,'Clientes CBOT'!A:D,4,0)</f>
        <v>#N/A</v>
      </c>
      <c r="C244" s="7" t="e">
        <f>VLOOKUP(A244,'Statement base'!E:AO,21,0)</f>
        <v>#N/A</v>
      </c>
      <c r="D244" s="7" t="e">
        <f>VLOOKUP(A244,'Statement base'!E:AO,10,0)-VLOOKUP(A244,'Statement base'!E:AO,21,0)</f>
        <v>#N/A</v>
      </c>
      <c r="E244" t="s">
        <v>188</v>
      </c>
      <c r="F244" s="6" t="e">
        <f>VLOOKUP(A244,'Statement base'!E:AO,10,0)+VLOOKUP(A244,'Statement base'!E:AO,14,0)</f>
        <v>#N/A</v>
      </c>
      <c r="G244" s="61" t="e">
        <f>VLOOKUP(A244,'Clientes CBOT'!A:E,5,0)</f>
        <v>#N/A</v>
      </c>
      <c r="H244" t="str">
        <f t="shared" si="9"/>
        <v>Hard</v>
      </c>
      <c r="I244" s="6" t="e">
        <f t="shared" si="10"/>
        <v>#N/A</v>
      </c>
      <c r="J244" s="6" t="e">
        <f t="shared" si="11"/>
        <v>#N/A</v>
      </c>
      <c r="M244" s="64" t="s">
        <v>498</v>
      </c>
      <c r="N244" s="123">
        <v>-29999999.870000001</v>
      </c>
    </row>
    <row r="245" spans="2:14" x14ac:dyDescent="0.3">
      <c r="B245" t="e">
        <f>VLOOKUP(A245,'Clientes CBOT'!A:D,4,0)</f>
        <v>#N/A</v>
      </c>
      <c r="C245" s="7" t="e">
        <f>VLOOKUP(A245,'Statement base'!E:AO,21,0)</f>
        <v>#N/A</v>
      </c>
      <c r="D245" s="7" t="e">
        <f>VLOOKUP(A245,'Statement base'!E:AO,10,0)-VLOOKUP(A245,'Statement base'!E:AO,21,0)</f>
        <v>#N/A</v>
      </c>
      <c r="E245" t="s">
        <v>188</v>
      </c>
      <c r="F245" s="6" t="e">
        <f>VLOOKUP(A245,'Statement base'!E:AO,10,0)+VLOOKUP(A245,'Statement base'!E:AO,14,0)</f>
        <v>#N/A</v>
      </c>
      <c r="G245" s="61" t="e">
        <f>VLOOKUP(A245,'Clientes CBOT'!A:E,5,0)</f>
        <v>#N/A</v>
      </c>
      <c r="H245" t="str">
        <f t="shared" si="9"/>
        <v>Hard</v>
      </c>
      <c r="I245" s="6" t="e">
        <f t="shared" si="10"/>
        <v>#N/A</v>
      </c>
      <c r="J245" s="6" t="e">
        <f t="shared" si="11"/>
        <v>#N/A</v>
      </c>
      <c r="M245" s="64" t="s">
        <v>500</v>
      </c>
      <c r="N245" s="123">
        <v>-112302684.83</v>
      </c>
    </row>
    <row r="246" spans="2:14" x14ac:dyDescent="0.3">
      <c r="B246" t="e">
        <f>VLOOKUP(A246,'Clientes CBOT'!A:D,4,0)</f>
        <v>#N/A</v>
      </c>
      <c r="C246" s="7" t="e">
        <f>VLOOKUP(A246,'Statement base'!E:AO,21,0)</f>
        <v>#N/A</v>
      </c>
      <c r="D246" s="7" t="e">
        <f>VLOOKUP(A246,'Statement base'!E:AO,10,0)-VLOOKUP(A246,'Statement base'!E:AO,21,0)</f>
        <v>#N/A</v>
      </c>
      <c r="E246" t="s">
        <v>188</v>
      </c>
      <c r="F246" s="6" t="e">
        <f>VLOOKUP(A246,'Statement base'!E:AO,10,0)+VLOOKUP(A246,'Statement base'!E:AO,14,0)</f>
        <v>#N/A</v>
      </c>
      <c r="G246" s="61" t="e">
        <f>VLOOKUP(A246,'Clientes CBOT'!A:E,5,0)</f>
        <v>#N/A</v>
      </c>
      <c r="H246" t="str">
        <f t="shared" si="9"/>
        <v>Hard</v>
      </c>
      <c r="I246" s="6" t="e">
        <f t="shared" si="10"/>
        <v>#N/A</v>
      </c>
      <c r="J246" s="6" t="e">
        <f t="shared" si="11"/>
        <v>#N/A</v>
      </c>
      <c r="M246" s="64" t="s">
        <v>501</v>
      </c>
      <c r="N246" s="123">
        <v>-10737.38</v>
      </c>
    </row>
    <row r="247" spans="2:14" x14ac:dyDescent="0.3">
      <c r="B247" t="e">
        <f>VLOOKUP(A247,'Clientes CBOT'!A:D,4,0)</f>
        <v>#N/A</v>
      </c>
      <c r="C247" s="7" t="e">
        <f>VLOOKUP(A247,'Statement base'!E:AO,21,0)</f>
        <v>#N/A</v>
      </c>
      <c r="D247" s="7" t="e">
        <f>VLOOKUP(A247,'Statement base'!E:AO,10,0)-VLOOKUP(A247,'Statement base'!E:AO,21,0)</f>
        <v>#N/A</v>
      </c>
      <c r="E247" t="s">
        <v>188</v>
      </c>
      <c r="F247" s="6" t="e">
        <f>VLOOKUP(A247,'Statement base'!E:AO,10,0)+VLOOKUP(A247,'Statement base'!E:AO,14,0)</f>
        <v>#N/A</v>
      </c>
      <c r="G247" s="61" t="e">
        <f>VLOOKUP(A247,'Clientes CBOT'!A:E,5,0)</f>
        <v>#N/A</v>
      </c>
      <c r="H247" t="str">
        <f t="shared" si="9"/>
        <v>Hard</v>
      </c>
      <c r="I247" s="6" t="e">
        <f t="shared" si="10"/>
        <v>#N/A</v>
      </c>
      <c r="J247" s="6" t="e">
        <f t="shared" si="11"/>
        <v>#N/A</v>
      </c>
      <c r="M247" s="64" t="s">
        <v>503</v>
      </c>
      <c r="N247" s="123">
        <v>0.01</v>
      </c>
    </row>
    <row r="248" spans="2:14" x14ac:dyDescent="0.3">
      <c r="B248" t="e">
        <f>VLOOKUP(A248,'Clientes CBOT'!A:D,4,0)</f>
        <v>#N/A</v>
      </c>
      <c r="C248" s="7" t="e">
        <f>VLOOKUP(A248,'Statement base'!E:AO,21,0)</f>
        <v>#N/A</v>
      </c>
      <c r="D248" s="7" t="e">
        <f>VLOOKUP(A248,'Statement base'!E:AO,10,0)-VLOOKUP(A248,'Statement base'!E:AO,21,0)</f>
        <v>#N/A</v>
      </c>
      <c r="E248" t="s">
        <v>188</v>
      </c>
      <c r="F248" s="6" t="e">
        <f>VLOOKUP(A248,'Statement base'!E:AO,10,0)+VLOOKUP(A248,'Statement base'!E:AO,14,0)</f>
        <v>#N/A</v>
      </c>
      <c r="G248" s="61" t="e">
        <f>VLOOKUP(A248,'Clientes CBOT'!A:E,5,0)</f>
        <v>#N/A</v>
      </c>
      <c r="H248" t="str">
        <f t="shared" si="9"/>
        <v>Hard</v>
      </c>
      <c r="I248" s="6" t="e">
        <f t="shared" si="10"/>
        <v>#N/A</v>
      </c>
      <c r="J248" s="6" t="e">
        <f t="shared" si="11"/>
        <v>#N/A</v>
      </c>
      <c r="M248" s="64" t="s">
        <v>504</v>
      </c>
      <c r="N248" s="123">
        <v>0</v>
      </c>
    </row>
    <row r="249" spans="2:14" x14ac:dyDescent="0.3">
      <c r="B249" t="e">
        <f>VLOOKUP(A249,'Clientes CBOT'!A:D,4,0)</f>
        <v>#N/A</v>
      </c>
      <c r="C249" s="7" t="e">
        <f>VLOOKUP(A249,'Statement base'!E:AO,21,0)</f>
        <v>#N/A</v>
      </c>
      <c r="D249" s="7" t="e">
        <f>VLOOKUP(A249,'Statement base'!E:AO,10,0)-VLOOKUP(A249,'Statement base'!E:AO,21,0)</f>
        <v>#N/A</v>
      </c>
      <c r="E249" t="s">
        <v>188</v>
      </c>
      <c r="F249" s="6" t="e">
        <f>VLOOKUP(A249,'Statement base'!E:AO,10,0)+VLOOKUP(A249,'Statement base'!E:AO,14,0)</f>
        <v>#N/A</v>
      </c>
      <c r="G249" s="61" t="e">
        <f>VLOOKUP(A249,'Clientes CBOT'!A:E,5,0)</f>
        <v>#N/A</v>
      </c>
      <c r="H249" t="str">
        <f t="shared" si="9"/>
        <v>Hard</v>
      </c>
      <c r="I249" s="6" t="e">
        <f t="shared" si="10"/>
        <v>#N/A</v>
      </c>
      <c r="J249" s="6" t="e">
        <f t="shared" si="11"/>
        <v>#N/A</v>
      </c>
      <c r="M249" s="64" t="s">
        <v>505</v>
      </c>
      <c r="N249" s="123">
        <v>489648.52</v>
      </c>
    </row>
    <row r="250" spans="2:14" x14ac:dyDescent="0.3">
      <c r="B250" t="e">
        <f>VLOOKUP(A250,'Clientes CBOT'!A:D,4,0)</f>
        <v>#N/A</v>
      </c>
      <c r="C250" s="7" t="e">
        <f>VLOOKUP(A250,'Statement base'!E:AO,21,0)</f>
        <v>#N/A</v>
      </c>
      <c r="D250" s="7" t="e">
        <f>VLOOKUP(A250,'Statement base'!E:AO,10,0)-VLOOKUP(A250,'Statement base'!E:AO,21,0)</f>
        <v>#N/A</v>
      </c>
      <c r="E250" t="s">
        <v>188</v>
      </c>
      <c r="F250" s="6" t="e">
        <f>VLOOKUP(A250,'Statement base'!E:AO,10,0)+VLOOKUP(A250,'Statement base'!E:AO,14,0)</f>
        <v>#N/A</v>
      </c>
      <c r="G250" s="61" t="e">
        <f>VLOOKUP(A250,'Clientes CBOT'!A:E,5,0)</f>
        <v>#N/A</v>
      </c>
      <c r="H250" t="str">
        <f t="shared" si="9"/>
        <v>Hard</v>
      </c>
      <c r="I250" s="6" t="e">
        <f t="shared" si="10"/>
        <v>#N/A</v>
      </c>
      <c r="J250" s="6" t="e">
        <f t="shared" si="11"/>
        <v>#N/A</v>
      </c>
      <c r="M250" s="64" t="s">
        <v>506</v>
      </c>
      <c r="N250" s="123">
        <v>0</v>
      </c>
    </row>
    <row r="251" spans="2:14" x14ac:dyDescent="0.3">
      <c r="B251" t="e">
        <f>VLOOKUP(A251,'Clientes CBOT'!A:D,4,0)</f>
        <v>#N/A</v>
      </c>
      <c r="C251" s="7" t="e">
        <f>VLOOKUP(A251,'Statement base'!E:AO,21,0)</f>
        <v>#N/A</v>
      </c>
      <c r="D251" s="7" t="e">
        <f>VLOOKUP(A251,'Statement base'!E:AO,10,0)-VLOOKUP(A251,'Statement base'!E:AO,21,0)</f>
        <v>#N/A</v>
      </c>
      <c r="E251" t="s">
        <v>188</v>
      </c>
      <c r="F251" s="6" t="e">
        <f>VLOOKUP(A251,'Statement base'!E:AO,10,0)+VLOOKUP(A251,'Statement base'!E:AO,14,0)</f>
        <v>#N/A</v>
      </c>
      <c r="G251" s="61" t="e">
        <f>VLOOKUP(A251,'Clientes CBOT'!A:E,5,0)</f>
        <v>#N/A</v>
      </c>
      <c r="H251" t="str">
        <f t="shared" si="9"/>
        <v>Hard</v>
      </c>
      <c r="I251" s="6" t="e">
        <f t="shared" si="10"/>
        <v>#N/A</v>
      </c>
      <c r="J251" s="6" t="e">
        <f t="shared" si="11"/>
        <v>#N/A</v>
      </c>
      <c r="M251" s="64" t="s">
        <v>418</v>
      </c>
      <c r="N251" s="123">
        <v>0</v>
      </c>
    </row>
    <row r="252" spans="2:14" x14ac:dyDescent="0.3">
      <c r="B252" t="e">
        <f>VLOOKUP(A252,'Clientes CBOT'!A:D,4,0)</f>
        <v>#N/A</v>
      </c>
      <c r="C252" s="7" t="e">
        <f>VLOOKUP(A252,'Statement base'!E:AO,21,0)</f>
        <v>#N/A</v>
      </c>
      <c r="D252" s="7" t="e">
        <f>VLOOKUP(A252,'Statement base'!E:AO,10,0)-VLOOKUP(A252,'Statement base'!E:AO,21,0)</f>
        <v>#N/A</v>
      </c>
      <c r="E252" t="s">
        <v>188</v>
      </c>
      <c r="F252" s="6" t="e">
        <f>VLOOKUP(A252,'Statement base'!E:AO,10,0)+VLOOKUP(A252,'Statement base'!E:AO,14,0)</f>
        <v>#N/A</v>
      </c>
      <c r="G252" s="61" t="e">
        <f>VLOOKUP(A252,'Clientes CBOT'!A:E,5,0)</f>
        <v>#N/A</v>
      </c>
      <c r="H252" t="str">
        <f t="shared" si="9"/>
        <v>Hard</v>
      </c>
      <c r="I252" s="6" t="e">
        <f t="shared" si="10"/>
        <v>#N/A</v>
      </c>
      <c r="J252" s="6" t="e">
        <f t="shared" si="11"/>
        <v>#N/A</v>
      </c>
      <c r="M252" s="64" t="s">
        <v>507</v>
      </c>
      <c r="N252" s="123">
        <v>0</v>
      </c>
    </row>
    <row r="253" spans="2:14" x14ac:dyDescent="0.3">
      <c r="B253" t="e">
        <f>VLOOKUP(A253,'Clientes CBOT'!A:D,4,0)</f>
        <v>#N/A</v>
      </c>
      <c r="C253" s="7" t="e">
        <f>VLOOKUP(A253,'Statement base'!E:AO,21,0)</f>
        <v>#N/A</v>
      </c>
      <c r="D253" s="7" t="e">
        <f>VLOOKUP(A253,'Statement base'!E:AO,10,0)-VLOOKUP(A253,'Statement base'!E:AO,21,0)</f>
        <v>#N/A</v>
      </c>
      <c r="E253" t="s">
        <v>188</v>
      </c>
      <c r="F253" s="6" t="e">
        <f>VLOOKUP(A253,'Statement base'!E:AO,10,0)+VLOOKUP(A253,'Statement base'!E:AO,14,0)</f>
        <v>#N/A</v>
      </c>
      <c r="G253" s="61" t="e">
        <f>VLOOKUP(A253,'Clientes CBOT'!A:E,5,0)</f>
        <v>#N/A</v>
      </c>
      <c r="H253" t="str">
        <f t="shared" si="9"/>
        <v>Hard</v>
      </c>
      <c r="I253" s="6" t="e">
        <f t="shared" si="10"/>
        <v>#N/A</v>
      </c>
      <c r="J253" s="6" t="e">
        <f t="shared" si="11"/>
        <v>#N/A</v>
      </c>
      <c r="M253" s="64" t="s">
        <v>473</v>
      </c>
      <c r="N253" s="123">
        <v>-110.77</v>
      </c>
    </row>
    <row r="254" spans="2:14" x14ac:dyDescent="0.3">
      <c r="B254" t="e">
        <f>VLOOKUP(A254,'Clientes CBOT'!A:D,4,0)</f>
        <v>#N/A</v>
      </c>
      <c r="C254" s="7" t="e">
        <f>VLOOKUP(A254,'Statement base'!E:AO,21,0)</f>
        <v>#N/A</v>
      </c>
      <c r="D254" s="7" t="e">
        <f>VLOOKUP(A254,'Statement base'!E:AO,10,0)-VLOOKUP(A254,'Statement base'!E:AO,21,0)</f>
        <v>#N/A</v>
      </c>
      <c r="E254" t="s">
        <v>188</v>
      </c>
      <c r="F254" s="6" t="e">
        <f>VLOOKUP(A254,'Statement base'!E:AO,10,0)+VLOOKUP(A254,'Statement base'!E:AO,14,0)</f>
        <v>#N/A</v>
      </c>
      <c r="G254" s="61" t="e">
        <f>VLOOKUP(A254,'Clientes CBOT'!A:E,5,0)</f>
        <v>#N/A</v>
      </c>
      <c r="H254" t="str">
        <f t="shared" si="9"/>
        <v>Hard</v>
      </c>
      <c r="I254" s="6" t="e">
        <f t="shared" si="10"/>
        <v>#N/A</v>
      </c>
      <c r="J254" s="6" t="e">
        <f t="shared" si="11"/>
        <v>#N/A</v>
      </c>
      <c r="M254" s="64" t="s">
        <v>413</v>
      </c>
      <c r="N254" s="123">
        <v>26458.559999999998</v>
      </c>
    </row>
    <row r="255" spans="2:14" x14ac:dyDescent="0.3">
      <c r="B255" t="e">
        <f>VLOOKUP(A255,'Clientes CBOT'!A:D,4,0)</f>
        <v>#N/A</v>
      </c>
      <c r="C255" s="7" t="e">
        <f>VLOOKUP(A255,'Statement base'!E:AO,21,0)</f>
        <v>#N/A</v>
      </c>
      <c r="D255" s="7" t="e">
        <f>VLOOKUP(A255,'Statement base'!E:AO,10,0)-VLOOKUP(A255,'Statement base'!E:AO,21,0)</f>
        <v>#N/A</v>
      </c>
      <c r="E255" t="s">
        <v>188</v>
      </c>
      <c r="F255" s="6" t="e">
        <f>VLOOKUP(A255,'Statement base'!E:AO,10,0)+VLOOKUP(A255,'Statement base'!E:AO,14,0)</f>
        <v>#N/A</v>
      </c>
      <c r="G255" s="61" t="e">
        <f>VLOOKUP(A255,'Clientes CBOT'!A:E,5,0)</f>
        <v>#N/A</v>
      </c>
      <c r="H255" t="str">
        <f t="shared" si="9"/>
        <v>Hard</v>
      </c>
      <c r="I255" s="6" t="e">
        <f t="shared" si="10"/>
        <v>#N/A</v>
      </c>
      <c r="J255" s="6" t="e">
        <f t="shared" si="11"/>
        <v>#N/A</v>
      </c>
      <c r="M255" s="64" t="s">
        <v>399</v>
      </c>
      <c r="N255" s="123">
        <v>13.93</v>
      </c>
    </row>
    <row r="256" spans="2:14" x14ac:dyDescent="0.3">
      <c r="B256" t="e">
        <f>VLOOKUP(A256,'Clientes CBOT'!A:D,4,0)</f>
        <v>#N/A</v>
      </c>
      <c r="C256" s="7" t="e">
        <f>VLOOKUP(A256,'Statement base'!E:AO,21,0)</f>
        <v>#N/A</v>
      </c>
      <c r="D256" s="7" t="e">
        <f>VLOOKUP(A256,'Statement base'!E:AO,10,0)-VLOOKUP(A256,'Statement base'!E:AO,21,0)</f>
        <v>#N/A</v>
      </c>
      <c r="E256" t="s">
        <v>188</v>
      </c>
      <c r="F256" s="6" t="e">
        <f>VLOOKUP(A256,'Statement base'!E:AO,10,0)+VLOOKUP(A256,'Statement base'!E:AO,14,0)</f>
        <v>#N/A</v>
      </c>
      <c r="G256" s="61" t="e">
        <f>VLOOKUP(A256,'Clientes CBOT'!A:E,5,0)</f>
        <v>#N/A</v>
      </c>
      <c r="H256" t="str">
        <f t="shared" si="9"/>
        <v>Hard</v>
      </c>
      <c r="I256" s="6" t="e">
        <f t="shared" si="10"/>
        <v>#N/A</v>
      </c>
      <c r="J256" s="6" t="e">
        <f t="shared" si="11"/>
        <v>#N/A</v>
      </c>
      <c r="M256" s="64" t="s">
        <v>509</v>
      </c>
      <c r="N256" s="123">
        <v>-0.16</v>
      </c>
    </row>
    <row r="257" spans="2:14" x14ac:dyDescent="0.3">
      <c r="B257" t="e">
        <f>VLOOKUP(A257,'Clientes CBOT'!A:D,4,0)</f>
        <v>#N/A</v>
      </c>
      <c r="C257" s="7" t="e">
        <f>VLOOKUP(A257,'Statement base'!E:AO,21,0)</f>
        <v>#N/A</v>
      </c>
      <c r="D257" s="7" t="e">
        <f>VLOOKUP(A257,'Statement base'!E:AO,10,0)-VLOOKUP(A257,'Statement base'!E:AO,21,0)</f>
        <v>#N/A</v>
      </c>
      <c r="E257" t="s">
        <v>188</v>
      </c>
      <c r="F257" s="6" t="e">
        <f>VLOOKUP(A257,'Statement base'!E:AO,10,0)+VLOOKUP(A257,'Statement base'!E:AO,14,0)</f>
        <v>#N/A</v>
      </c>
      <c r="G257" s="61" t="e">
        <f>VLOOKUP(A257,'Clientes CBOT'!A:E,5,0)</f>
        <v>#N/A</v>
      </c>
      <c r="H257" t="str">
        <f t="shared" si="9"/>
        <v>Hard</v>
      </c>
      <c r="I257" s="6" t="e">
        <f t="shared" si="10"/>
        <v>#N/A</v>
      </c>
      <c r="J257" s="6" t="e">
        <f t="shared" si="11"/>
        <v>#N/A</v>
      </c>
      <c r="M257" s="64" t="s">
        <v>488</v>
      </c>
      <c r="N257" s="123">
        <v>-50198863.969999999</v>
      </c>
    </row>
    <row r="258" spans="2:14" x14ac:dyDescent="0.3">
      <c r="B258" t="e">
        <f>VLOOKUP(A258,'Clientes CBOT'!A:D,4,0)</f>
        <v>#N/A</v>
      </c>
      <c r="C258" s="7" t="e">
        <f>VLOOKUP(A258,'Statement base'!E:AO,21,0)</f>
        <v>#N/A</v>
      </c>
      <c r="D258" s="7" t="e">
        <f>VLOOKUP(A258,'Statement base'!E:AO,10,0)-VLOOKUP(A258,'Statement base'!E:AO,21,0)</f>
        <v>#N/A</v>
      </c>
      <c r="E258" t="s">
        <v>188</v>
      </c>
      <c r="F258" s="6" t="e">
        <f>VLOOKUP(A258,'Statement base'!E:AO,10,0)+VLOOKUP(A258,'Statement base'!E:AO,14,0)</f>
        <v>#N/A</v>
      </c>
      <c r="G258" s="61" t="e">
        <f>VLOOKUP(A258,'Clientes CBOT'!A:E,5,0)</f>
        <v>#N/A</v>
      </c>
      <c r="H258" t="str">
        <f t="shared" si="9"/>
        <v>Hard</v>
      </c>
      <c r="I258" s="6" t="e">
        <f t="shared" si="10"/>
        <v>#N/A</v>
      </c>
      <c r="J258" s="6" t="e">
        <f t="shared" si="11"/>
        <v>#N/A</v>
      </c>
      <c r="M258" s="64" t="s">
        <v>511</v>
      </c>
      <c r="N258" s="123">
        <v>0</v>
      </c>
    </row>
    <row r="259" spans="2:14" x14ac:dyDescent="0.3">
      <c r="B259" t="e">
        <f>VLOOKUP(A259,'Clientes CBOT'!A:D,4,0)</f>
        <v>#N/A</v>
      </c>
      <c r="C259" s="7" t="e">
        <f>VLOOKUP(A259,'Statement base'!E:AO,21,0)</f>
        <v>#N/A</v>
      </c>
      <c r="D259" s="7" t="e">
        <f>VLOOKUP(A259,'Statement base'!E:AO,10,0)-VLOOKUP(A259,'Statement base'!E:AO,21,0)</f>
        <v>#N/A</v>
      </c>
      <c r="E259" t="s">
        <v>188</v>
      </c>
      <c r="F259" s="6" t="e">
        <f>VLOOKUP(A259,'Statement base'!E:AO,10,0)+VLOOKUP(A259,'Statement base'!E:AO,14,0)</f>
        <v>#N/A</v>
      </c>
      <c r="G259" s="61" t="e">
        <f>VLOOKUP(A259,'Clientes CBOT'!A:E,5,0)</f>
        <v>#N/A</v>
      </c>
      <c r="H259" t="str">
        <f t="shared" si="9"/>
        <v>Hard</v>
      </c>
      <c r="I259" s="6" t="e">
        <f t="shared" si="10"/>
        <v>#N/A</v>
      </c>
      <c r="J259" s="6" t="e">
        <f t="shared" si="11"/>
        <v>#N/A</v>
      </c>
      <c r="M259" s="64" t="s">
        <v>512</v>
      </c>
      <c r="N259" s="123">
        <v>0</v>
      </c>
    </row>
    <row r="260" spans="2:14" x14ac:dyDescent="0.3">
      <c r="B260" t="e">
        <f>VLOOKUP(A260,'Clientes CBOT'!A:D,4,0)</f>
        <v>#N/A</v>
      </c>
      <c r="C260" s="7" t="e">
        <f>VLOOKUP(A260,'Statement base'!E:AO,21,0)</f>
        <v>#N/A</v>
      </c>
      <c r="D260" s="7" t="e">
        <f>VLOOKUP(A260,'Statement base'!E:AO,10,0)-VLOOKUP(A260,'Statement base'!E:AO,21,0)</f>
        <v>#N/A</v>
      </c>
      <c r="E260" t="s">
        <v>188</v>
      </c>
      <c r="F260" s="6" t="e">
        <f>VLOOKUP(A260,'Statement base'!E:AO,10,0)+VLOOKUP(A260,'Statement base'!E:AO,14,0)</f>
        <v>#N/A</v>
      </c>
      <c r="G260" s="61" t="e">
        <f>VLOOKUP(A260,'Clientes CBOT'!A:E,5,0)</f>
        <v>#N/A</v>
      </c>
      <c r="H260" t="str">
        <f t="shared" si="9"/>
        <v>Hard</v>
      </c>
      <c r="I260" s="6" t="e">
        <f t="shared" si="10"/>
        <v>#N/A</v>
      </c>
      <c r="J260" s="6" t="e">
        <f t="shared" si="11"/>
        <v>#N/A</v>
      </c>
      <c r="M260" s="64" t="s">
        <v>514</v>
      </c>
      <c r="N260" s="123">
        <v>0</v>
      </c>
    </row>
    <row r="261" spans="2:14" x14ac:dyDescent="0.3">
      <c r="B261" t="e">
        <f>VLOOKUP(A261,'Clientes CBOT'!A:D,4,0)</f>
        <v>#N/A</v>
      </c>
      <c r="C261" s="7" t="e">
        <f>VLOOKUP(A261,'Statement base'!E:AO,21,0)</f>
        <v>#N/A</v>
      </c>
      <c r="D261" s="7" t="e">
        <f>VLOOKUP(A261,'Statement base'!E:AO,10,0)-VLOOKUP(A261,'Statement base'!E:AO,21,0)</f>
        <v>#N/A</v>
      </c>
      <c r="E261" t="s">
        <v>188</v>
      </c>
      <c r="F261" s="6" t="e">
        <f>VLOOKUP(A261,'Statement base'!E:AO,10,0)+VLOOKUP(A261,'Statement base'!E:AO,14,0)</f>
        <v>#N/A</v>
      </c>
      <c r="G261" s="61" t="e">
        <f>VLOOKUP(A261,'Clientes CBOT'!A:E,5,0)</f>
        <v>#N/A</v>
      </c>
      <c r="H261" t="str">
        <f t="shared" ref="H261:H324" si="12">IF(E261="pesos","Ars",IF(E261="Dólar Matba Rofex","usd linked","Hard"))</f>
        <v>Hard</v>
      </c>
      <c r="I261" s="6" t="e">
        <f t="shared" ref="I261:I324" si="13">IF(H261="ars",C261/$J$1,IF(H261="hard",C261*$J$2/$J$1,C261))</f>
        <v>#N/A</v>
      </c>
      <c r="J261" s="6" t="e">
        <f t="shared" ref="J261:J324" si="14">IF(H261="ars",D261/$J$1,IF(H261="hard",D261*$J$2/$J$1,D261))</f>
        <v>#N/A</v>
      </c>
      <c r="M261" s="64" t="s">
        <v>515</v>
      </c>
      <c r="N261" s="123">
        <v>0</v>
      </c>
    </row>
    <row r="262" spans="2:14" x14ac:dyDescent="0.3">
      <c r="B262" t="e">
        <f>VLOOKUP(A262,'Clientes CBOT'!A:D,4,0)</f>
        <v>#N/A</v>
      </c>
      <c r="C262" s="7" t="e">
        <f>VLOOKUP(A262,'Statement base'!E:AO,21,0)</f>
        <v>#N/A</v>
      </c>
      <c r="D262" s="7" t="e">
        <f>VLOOKUP(A262,'Statement base'!E:AO,10,0)-VLOOKUP(A262,'Statement base'!E:AO,21,0)</f>
        <v>#N/A</v>
      </c>
      <c r="E262" t="s">
        <v>188</v>
      </c>
      <c r="F262" s="6" t="e">
        <f>VLOOKUP(A262,'Statement base'!E:AO,10,0)+VLOOKUP(A262,'Statement base'!E:AO,14,0)</f>
        <v>#N/A</v>
      </c>
      <c r="G262" s="61" t="e">
        <f>VLOOKUP(A262,'Clientes CBOT'!A:E,5,0)</f>
        <v>#N/A</v>
      </c>
      <c r="H262" t="str">
        <f t="shared" si="12"/>
        <v>Hard</v>
      </c>
      <c r="I262" s="6" t="e">
        <f t="shared" si="13"/>
        <v>#N/A</v>
      </c>
      <c r="J262" s="6" t="e">
        <f t="shared" si="14"/>
        <v>#N/A</v>
      </c>
      <c r="M262" s="64" t="s">
        <v>449</v>
      </c>
      <c r="N262" s="123">
        <v>-3228201747.6900005</v>
      </c>
    </row>
    <row r="263" spans="2:14" x14ac:dyDescent="0.3">
      <c r="B263" t="e">
        <f>VLOOKUP(A263,'Clientes CBOT'!A:D,4,0)</f>
        <v>#N/A</v>
      </c>
      <c r="C263" s="7" t="e">
        <f>VLOOKUP(A263,'Statement base'!E:AO,21,0)</f>
        <v>#N/A</v>
      </c>
      <c r="D263" s="7" t="e">
        <f>VLOOKUP(A263,'Statement base'!E:AO,10,0)-VLOOKUP(A263,'Statement base'!E:AO,21,0)</f>
        <v>#N/A</v>
      </c>
      <c r="E263" t="s">
        <v>188</v>
      </c>
      <c r="F263" s="6" t="e">
        <f>VLOOKUP(A263,'Statement base'!E:AO,10,0)+VLOOKUP(A263,'Statement base'!E:AO,14,0)</f>
        <v>#N/A</v>
      </c>
      <c r="G263" s="61" t="e">
        <f>VLOOKUP(A263,'Clientes CBOT'!A:E,5,0)</f>
        <v>#N/A</v>
      </c>
      <c r="H263" t="str">
        <f t="shared" si="12"/>
        <v>Hard</v>
      </c>
      <c r="I263" s="6" t="e">
        <f t="shared" si="13"/>
        <v>#N/A</v>
      </c>
      <c r="J263" s="6" t="e">
        <f t="shared" si="14"/>
        <v>#N/A</v>
      </c>
      <c r="M263" s="64" t="s">
        <v>516</v>
      </c>
      <c r="N263" s="123">
        <v>2900.1299999999997</v>
      </c>
    </row>
    <row r="264" spans="2:14" x14ac:dyDescent="0.3">
      <c r="B264" t="e">
        <f>VLOOKUP(A264,'Clientes CBOT'!A:D,4,0)</f>
        <v>#N/A</v>
      </c>
      <c r="C264" s="7" t="e">
        <f>VLOOKUP(A264,'Statement base'!E:AO,21,0)</f>
        <v>#N/A</v>
      </c>
      <c r="D264" s="7" t="e">
        <f>VLOOKUP(A264,'Statement base'!E:AO,10,0)-VLOOKUP(A264,'Statement base'!E:AO,21,0)</f>
        <v>#N/A</v>
      </c>
      <c r="E264" t="s">
        <v>188</v>
      </c>
      <c r="F264" s="6" t="e">
        <f>VLOOKUP(A264,'Statement base'!E:AO,10,0)+VLOOKUP(A264,'Statement base'!E:AO,14,0)</f>
        <v>#N/A</v>
      </c>
      <c r="G264" s="61" t="e">
        <f>VLOOKUP(A264,'Clientes CBOT'!A:E,5,0)</f>
        <v>#N/A</v>
      </c>
      <c r="H264" t="str">
        <f t="shared" si="12"/>
        <v>Hard</v>
      </c>
      <c r="I264" s="6" t="e">
        <f t="shared" si="13"/>
        <v>#N/A</v>
      </c>
      <c r="J264" s="6" t="e">
        <f t="shared" si="14"/>
        <v>#N/A</v>
      </c>
      <c r="M264" s="64" t="s">
        <v>518</v>
      </c>
      <c r="N264" s="123">
        <v>0</v>
      </c>
    </row>
    <row r="265" spans="2:14" x14ac:dyDescent="0.3">
      <c r="B265" t="e">
        <f>VLOOKUP(A265,'Clientes CBOT'!A:D,4,0)</f>
        <v>#N/A</v>
      </c>
      <c r="C265" s="7" t="e">
        <f>VLOOKUP(A265,'Statement base'!E:AO,21,0)</f>
        <v>#N/A</v>
      </c>
      <c r="D265" s="7" t="e">
        <f>VLOOKUP(A265,'Statement base'!E:AO,10,0)-VLOOKUP(A265,'Statement base'!E:AO,21,0)</f>
        <v>#N/A</v>
      </c>
      <c r="E265" t="s">
        <v>188</v>
      </c>
      <c r="F265" s="6" t="e">
        <f>VLOOKUP(A265,'Statement base'!E:AO,10,0)+VLOOKUP(A265,'Statement base'!E:AO,14,0)</f>
        <v>#N/A</v>
      </c>
      <c r="G265" s="61" t="e">
        <f>VLOOKUP(A265,'Clientes CBOT'!A:E,5,0)</f>
        <v>#N/A</v>
      </c>
      <c r="H265" t="str">
        <f t="shared" si="12"/>
        <v>Hard</v>
      </c>
      <c r="I265" s="6" t="e">
        <f t="shared" si="13"/>
        <v>#N/A</v>
      </c>
      <c r="J265" s="6" t="e">
        <f t="shared" si="14"/>
        <v>#N/A</v>
      </c>
      <c r="M265" s="64" t="s">
        <v>519</v>
      </c>
      <c r="N265" s="123">
        <v>-1987.4</v>
      </c>
    </row>
    <row r="266" spans="2:14" x14ac:dyDescent="0.3">
      <c r="B266" t="e">
        <f>VLOOKUP(A266,'Clientes CBOT'!A:D,4,0)</f>
        <v>#N/A</v>
      </c>
      <c r="C266" s="7" t="e">
        <f>VLOOKUP(A266,'Statement base'!E:AO,21,0)</f>
        <v>#N/A</v>
      </c>
      <c r="D266" s="7" t="e">
        <f>VLOOKUP(A266,'Statement base'!E:AO,10,0)-VLOOKUP(A266,'Statement base'!E:AO,21,0)</f>
        <v>#N/A</v>
      </c>
      <c r="E266" t="s">
        <v>188</v>
      </c>
      <c r="F266" s="6" t="e">
        <f>VLOOKUP(A266,'Statement base'!E:AO,10,0)+VLOOKUP(A266,'Statement base'!E:AO,14,0)</f>
        <v>#N/A</v>
      </c>
      <c r="G266" s="61" t="e">
        <f>VLOOKUP(A266,'Clientes CBOT'!A:E,5,0)</f>
        <v>#N/A</v>
      </c>
      <c r="H266" t="str">
        <f t="shared" si="12"/>
        <v>Hard</v>
      </c>
      <c r="I266" s="6" t="e">
        <f t="shared" si="13"/>
        <v>#N/A</v>
      </c>
      <c r="J266" s="6" t="e">
        <f t="shared" si="14"/>
        <v>#N/A</v>
      </c>
      <c r="M266" s="64" t="s">
        <v>520</v>
      </c>
      <c r="N266" s="123">
        <v>0</v>
      </c>
    </row>
    <row r="267" spans="2:14" x14ac:dyDescent="0.3">
      <c r="B267" t="e">
        <f>VLOOKUP(A267,'Clientes CBOT'!A:D,4,0)</f>
        <v>#N/A</v>
      </c>
      <c r="C267" s="7" t="e">
        <f>VLOOKUP(A267,'Statement base'!E:AO,21,0)</f>
        <v>#N/A</v>
      </c>
      <c r="D267" s="7" t="e">
        <f>VLOOKUP(A267,'Statement base'!E:AO,10,0)-VLOOKUP(A267,'Statement base'!E:AO,21,0)</f>
        <v>#N/A</v>
      </c>
      <c r="E267" t="s">
        <v>188</v>
      </c>
      <c r="F267" s="6" t="e">
        <f>VLOOKUP(A267,'Statement base'!E:AO,10,0)+VLOOKUP(A267,'Statement base'!E:AO,14,0)</f>
        <v>#N/A</v>
      </c>
      <c r="G267" s="61" t="e">
        <f>VLOOKUP(A267,'Clientes CBOT'!A:E,5,0)</f>
        <v>#N/A</v>
      </c>
      <c r="H267" t="str">
        <f t="shared" si="12"/>
        <v>Hard</v>
      </c>
      <c r="I267" s="6" t="e">
        <f t="shared" si="13"/>
        <v>#N/A</v>
      </c>
      <c r="J267" s="6" t="e">
        <f t="shared" si="14"/>
        <v>#N/A</v>
      </c>
      <c r="M267" s="64" t="s">
        <v>521</v>
      </c>
      <c r="N267" s="123">
        <v>2875000</v>
      </c>
    </row>
    <row r="268" spans="2:14" x14ac:dyDescent="0.3">
      <c r="B268" t="e">
        <f>VLOOKUP(A268,'Clientes CBOT'!A:D,4,0)</f>
        <v>#N/A</v>
      </c>
      <c r="C268" s="7" t="e">
        <f>VLOOKUP(A268,'Statement base'!E:AO,21,0)</f>
        <v>#N/A</v>
      </c>
      <c r="D268" s="7" t="e">
        <f>VLOOKUP(A268,'Statement base'!E:AO,10,0)-VLOOKUP(A268,'Statement base'!E:AO,21,0)</f>
        <v>#N/A</v>
      </c>
      <c r="E268" t="s">
        <v>188</v>
      </c>
      <c r="F268" s="6" t="e">
        <f>VLOOKUP(A268,'Statement base'!E:AO,10,0)+VLOOKUP(A268,'Statement base'!E:AO,14,0)</f>
        <v>#N/A</v>
      </c>
      <c r="G268" s="61" t="e">
        <f>VLOOKUP(A268,'Clientes CBOT'!A:E,5,0)</f>
        <v>#N/A</v>
      </c>
      <c r="H268" t="str">
        <f t="shared" si="12"/>
        <v>Hard</v>
      </c>
      <c r="I268" s="6" t="e">
        <f t="shared" si="13"/>
        <v>#N/A</v>
      </c>
      <c r="J268" s="6" t="e">
        <f t="shared" si="14"/>
        <v>#N/A</v>
      </c>
      <c r="M268" s="64" t="s">
        <v>323</v>
      </c>
      <c r="N268" s="123">
        <v>-72761598.670000002</v>
      </c>
    </row>
    <row r="269" spans="2:14" x14ac:dyDescent="0.3">
      <c r="B269" t="e">
        <f>VLOOKUP(A269,'Clientes CBOT'!A:D,4,0)</f>
        <v>#N/A</v>
      </c>
      <c r="C269" s="7" t="e">
        <f>VLOOKUP(A269,'Statement base'!E:AO,21,0)</f>
        <v>#N/A</v>
      </c>
      <c r="D269" s="7" t="e">
        <f>VLOOKUP(A269,'Statement base'!E:AO,10,0)-VLOOKUP(A269,'Statement base'!E:AO,21,0)</f>
        <v>#N/A</v>
      </c>
      <c r="E269" t="s">
        <v>188</v>
      </c>
      <c r="F269" s="6" t="e">
        <f>VLOOKUP(A269,'Statement base'!E:AO,10,0)+VLOOKUP(A269,'Statement base'!E:AO,14,0)</f>
        <v>#N/A</v>
      </c>
      <c r="G269" s="61" t="e">
        <f>VLOOKUP(A269,'Clientes CBOT'!A:E,5,0)</f>
        <v>#N/A</v>
      </c>
      <c r="H269" t="str">
        <f t="shared" si="12"/>
        <v>Hard</v>
      </c>
      <c r="I269" s="6" t="e">
        <f t="shared" si="13"/>
        <v>#N/A</v>
      </c>
      <c r="J269" s="6" t="e">
        <f t="shared" si="14"/>
        <v>#N/A</v>
      </c>
      <c r="M269" s="64" t="s">
        <v>522</v>
      </c>
      <c r="N269" s="123">
        <v>-9002.0600000000013</v>
      </c>
    </row>
    <row r="270" spans="2:14" x14ac:dyDescent="0.3">
      <c r="B270" t="e">
        <f>VLOOKUP(A270,'Clientes CBOT'!A:D,4,0)</f>
        <v>#N/A</v>
      </c>
      <c r="C270" s="7" t="e">
        <f>VLOOKUP(A270,'Statement base'!E:AO,21,0)</f>
        <v>#N/A</v>
      </c>
      <c r="D270" s="7" t="e">
        <f>VLOOKUP(A270,'Statement base'!E:AO,10,0)-VLOOKUP(A270,'Statement base'!E:AO,21,0)</f>
        <v>#N/A</v>
      </c>
      <c r="E270" t="s">
        <v>188</v>
      </c>
      <c r="F270" s="6" t="e">
        <f>VLOOKUP(A270,'Statement base'!E:AO,10,0)+VLOOKUP(A270,'Statement base'!E:AO,14,0)</f>
        <v>#N/A</v>
      </c>
      <c r="G270" s="61" t="e">
        <f>VLOOKUP(A270,'Clientes CBOT'!A:E,5,0)</f>
        <v>#N/A</v>
      </c>
      <c r="H270" t="str">
        <f t="shared" si="12"/>
        <v>Hard</v>
      </c>
      <c r="I270" s="6" t="e">
        <f t="shared" si="13"/>
        <v>#N/A</v>
      </c>
      <c r="J270" s="6" t="e">
        <f t="shared" si="14"/>
        <v>#N/A</v>
      </c>
      <c r="M270" s="64" t="s">
        <v>196</v>
      </c>
      <c r="N270" s="123">
        <v>401739.95</v>
      </c>
    </row>
    <row r="271" spans="2:14" x14ac:dyDescent="0.3">
      <c r="B271" t="e">
        <f>VLOOKUP(A271,'Clientes CBOT'!A:D,4,0)</f>
        <v>#N/A</v>
      </c>
      <c r="C271" s="7" t="e">
        <f>VLOOKUP(A271,'Statement base'!E:AO,21,0)</f>
        <v>#N/A</v>
      </c>
      <c r="D271" s="7" t="e">
        <f>VLOOKUP(A271,'Statement base'!E:AO,10,0)-VLOOKUP(A271,'Statement base'!E:AO,21,0)</f>
        <v>#N/A</v>
      </c>
      <c r="E271" t="s">
        <v>188</v>
      </c>
      <c r="F271" s="6" t="e">
        <f>VLOOKUP(A271,'Statement base'!E:AO,10,0)+VLOOKUP(A271,'Statement base'!E:AO,14,0)</f>
        <v>#N/A</v>
      </c>
      <c r="G271" s="61" t="e">
        <f>VLOOKUP(A271,'Clientes CBOT'!A:E,5,0)</f>
        <v>#N/A</v>
      </c>
      <c r="H271" t="str">
        <f t="shared" si="12"/>
        <v>Hard</v>
      </c>
      <c r="I271" s="6" t="e">
        <f t="shared" si="13"/>
        <v>#N/A</v>
      </c>
      <c r="J271" s="6" t="e">
        <f t="shared" si="14"/>
        <v>#N/A</v>
      </c>
      <c r="M271" s="64" t="s">
        <v>123</v>
      </c>
      <c r="N271" s="123">
        <v>30</v>
      </c>
    </row>
    <row r="272" spans="2:14" x14ac:dyDescent="0.3">
      <c r="B272" t="e">
        <f>VLOOKUP(A272,'Clientes CBOT'!A:D,4,0)</f>
        <v>#N/A</v>
      </c>
      <c r="C272" s="7" t="e">
        <f>VLOOKUP(A272,'Statement base'!E:AO,21,0)</f>
        <v>#N/A</v>
      </c>
      <c r="D272" s="7" t="e">
        <f>VLOOKUP(A272,'Statement base'!E:AO,10,0)-VLOOKUP(A272,'Statement base'!E:AO,21,0)</f>
        <v>#N/A</v>
      </c>
      <c r="E272" t="s">
        <v>188</v>
      </c>
      <c r="F272" s="6" t="e">
        <f>VLOOKUP(A272,'Statement base'!E:AO,10,0)+VLOOKUP(A272,'Statement base'!E:AO,14,0)</f>
        <v>#N/A</v>
      </c>
      <c r="G272" s="61" t="e">
        <f>VLOOKUP(A272,'Clientes CBOT'!A:E,5,0)</f>
        <v>#N/A</v>
      </c>
      <c r="H272" t="str">
        <f t="shared" si="12"/>
        <v>Hard</v>
      </c>
      <c r="I272" s="6" t="e">
        <f t="shared" si="13"/>
        <v>#N/A</v>
      </c>
      <c r="J272" s="6" t="e">
        <f t="shared" si="14"/>
        <v>#N/A</v>
      </c>
      <c r="M272" s="64" t="s">
        <v>460</v>
      </c>
      <c r="N272" s="123">
        <v>1125.07</v>
      </c>
    </row>
    <row r="273" spans="2:14" x14ac:dyDescent="0.3">
      <c r="B273" t="e">
        <f>VLOOKUP(A273,'Clientes CBOT'!A:D,4,0)</f>
        <v>#N/A</v>
      </c>
      <c r="C273" s="7" t="e">
        <f>VLOOKUP(A273,'Statement base'!E:AO,21,0)</f>
        <v>#N/A</v>
      </c>
      <c r="D273" s="7" t="e">
        <f>VLOOKUP(A273,'Statement base'!E:AO,10,0)-VLOOKUP(A273,'Statement base'!E:AO,21,0)</f>
        <v>#N/A</v>
      </c>
      <c r="E273" t="s">
        <v>188</v>
      </c>
      <c r="F273" s="6" t="e">
        <f>VLOOKUP(A273,'Statement base'!E:AO,10,0)+VLOOKUP(A273,'Statement base'!E:AO,14,0)</f>
        <v>#N/A</v>
      </c>
      <c r="G273" s="61" t="e">
        <f>VLOOKUP(A273,'Clientes CBOT'!A:E,5,0)</f>
        <v>#N/A</v>
      </c>
      <c r="H273" t="str">
        <f t="shared" si="12"/>
        <v>Hard</v>
      </c>
      <c r="I273" s="6" t="e">
        <f t="shared" si="13"/>
        <v>#N/A</v>
      </c>
      <c r="J273" s="6" t="e">
        <f t="shared" si="14"/>
        <v>#N/A</v>
      </c>
      <c r="M273" s="64" t="s">
        <v>523</v>
      </c>
      <c r="N273" s="123">
        <v>-5904.19</v>
      </c>
    </row>
    <row r="274" spans="2:14" x14ac:dyDescent="0.3">
      <c r="B274" t="e">
        <f>VLOOKUP(A274,'Clientes CBOT'!A:D,4,0)</f>
        <v>#N/A</v>
      </c>
      <c r="C274" s="7" t="e">
        <f>VLOOKUP(A274,'Statement base'!E:AO,21,0)</f>
        <v>#N/A</v>
      </c>
      <c r="D274" s="7" t="e">
        <f>VLOOKUP(A274,'Statement base'!E:AO,10,0)-VLOOKUP(A274,'Statement base'!E:AO,21,0)</f>
        <v>#N/A</v>
      </c>
      <c r="E274" t="s">
        <v>188</v>
      </c>
      <c r="F274" s="6" t="e">
        <f>VLOOKUP(A274,'Statement base'!E:AO,10,0)+VLOOKUP(A274,'Statement base'!E:AO,14,0)</f>
        <v>#N/A</v>
      </c>
      <c r="G274" s="61" t="e">
        <f>VLOOKUP(A274,'Clientes CBOT'!A:E,5,0)</f>
        <v>#N/A</v>
      </c>
      <c r="H274" t="str">
        <f t="shared" si="12"/>
        <v>Hard</v>
      </c>
      <c r="I274" s="6" t="e">
        <f t="shared" si="13"/>
        <v>#N/A</v>
      </c>
      <c r="J274" s="6" t="e">
        <f t="shared" si="14"/>
        <v>#N/A</v>
      </c>
      <c r="M274" s="64" t="s">
        <v>447</v>
      </c>
      <c r="N274" s="123">
        <v>-1349785.4400000002</v>
      </c>
    </row>
    <row r="275" spans="2:14" x14ac:dyDescent="0.3">
      <c r="B275" t="e">
        <f>VLOOKUP(A275,'Clientes CBOT'!A:D,4,0)</f>
        <v>#N/A</v>
      </c>
      <c r="C275" s="7" t="e">
        <f>VLOOKUP(A275,'Statement base'!E:AO,21,0)</f>
        <v>#N/A</v>
      </c>
      <c r="D275" s="7" t="e">
        <f>VLOOKUP(A275,'Statement base'!E:AO,10,0)-VLOOKUP(A275,'Statement base'!E:AO,21,0)</f>
        <v>#N/A</v>
      </c>
      <c r="E275" t="s">
        <v>188</v>
      </c>
      <c r="F275" s="6" t="e">
        <f>VLOOKUP(A275,'Statement base'!E:AO,10,0)+VLOOKUP(A275,'Statement base'!E:AO,14,0)</f>
        <v>#N/A</v>
      </c>
      <c r="G275" s="61" t="e">
        <f>VLOOKUP(A275,'Clientes CBOT'!A:E,5,0)</f>
        <v>#N/A</v>
      </c>
      <c r="H275" t="str">
        <f t="shared" si="12"/>
        <v>Hard</v>
      </c>
      <c r="I275" s="6" t="e">
        <f t="shared" si="13"/>
        <v>#N/A</v>
      </c>
      <c r="J275" s="6" t="e">
        <f t="shared" si="14"/>
        <v>#N/A</v>
      </c>
      <c r="M275" s="64" t="s">
        <v>525</v>
      </c>
      <c r="N275" s="123">
        <v>991.75</v>
      </c>
    </row>
    <row r="276" spans="2:14" x14ac:dyDescent="0.3">
      <c r="B276" t="e">
        <f>VLOOKUP(A276,'Clientes CBOT'!A:D,4,0)</f>
        <v>#N/A</v>
      </c>
      <c r="C276" s="7" t="e">
        <f>VLOOKUP(A276,'Statement base'!E:AO,21,0)</f>
        <v>#N/A</v>
      </c>
      <c r="D276" s="7" t="e">
        <f>VLOOKUP(A276,'Statement base'!E:AO,10,0)-VLOOKUP(A276,'Statement base'!E:AO,21,0)</f>
        <v>#N/A</v>
      </c>
      <c r="E276" t="s">
        <v>188</v>
      </c>
      <c r="F276" s="6" t="e">
        <f>VLOOKUP(A276,'Statement base'!E:AO,10,0)+VLOOKUP(A276,'Statement base'!E:AO,14,0)</f>
        <v>#N/A</v>
      </c>
      <c r="G276" s="61" t="e">
        <f>VLOOKUP(A276,'Clientes CBOT'!A:E,5,0)</f>
        <v>#N/A</v>
      </c>
      <c r="H276" t="str">
        <f t="shared" si="12"/>
        <v>Hard</v>
      </c>
      <c r="I276" s="6" t="e">
        <f t="shared" si="13"/>
        <v>#N/A</v>
      </c>
      <c r="J276" s="6" t="e">
        <f t="shared" si="14"/>
        <v>#N/A</v>
      </c>
      <c r="M276" s="64" t="s">
        <v>526</v>
      </c>
      <c r="N276" s="123">
        <v>1239.33</v>
      </c>
    </row>
    <row r="277" spans="2:14" x14ac:dyDescent="0.3">
      <c r="B277" t="e">
        <f>VLOOKUP(A277,'Clientes CBOT'!A:D,4,0)</f>
        <v>#N/A</v>
      </c>
      <c r="C277" s="7" t="e">
        <f>VLOOKUP(A277,'Statement base'!E:AO,21,0)</f>
        <v>#N/A</v>
      </c>
      <c r="D277" s="7" t="e">
        <f>VLOOKUP(A277,'Statement base'!E:AO,10,0)-VLOOKUP(A277,'Statement base'!E:AO,21,0)</f>
        <v>#N/A</v>
      </c>
      <c r="E277" t="s">
        <v>188</v>
      </c>
      <c r="F277" s="6" t="e">
        <f>VLOOKUP(A277,'Statement base'!E:AO,10,0)+VLOOKUP(A277,'Statement base'!E:AO,14,0)</f>
        <v>#N/A</v>
      </c>
      <c r="G277" s="61" t="e">
        <f>VLOOKUP(A277,'Clientes CBOT'!A:E,5,0)</f>
        <v>#N/A</v>
      </c>
      <c r="H277" t="str">
        <f t="shared" si="12"/>
        <v>Hard</v>
      </c>
      <c r="I277" s="6" t="e">
        <f t="shared" si="13"/>
        <v>#N/A</v>
      </c>
      <c r="J277" s="6" t="e">
        <f t="shared" si="14"/>
        <v>#N/A</v>
      </c>
      <c r="M277" s="64" t="s">
        <v>528</v>
      </c>
      <c r="N277" s="123">
        <v>0</v>
      </c>
    </row>
    <row r="278" spans="2:14" x14ac:dyDescent="0.3">
      <c r="B278" t="e">
        <f>VLOOKUP(A278,'Clientes CBOT'!A:D,4,0)</f>
        <v>#N/A</v>
      </c>
      <c r="C278" s="7" t="e">
        <f>VLOOKUP(A278,'Statement base'!E:AO,21,0)</f>
        <v>#N/A</v>
      </c>
      <c r="D278" s="7" t="e">
        <f>VLOOKUP(A278,'Statement base'!E:AO,10,0)-VLOOKUP(A278,'Statement base'!E:AO,21,0)</f>
        <v>#N/A</v>
      </c>
      <c r="E278" t="s">
        <v>188</v>
      </c>
      <c r="F278" s="6" t="e">
        <f>VLOOKUP(A278,'Statement base'!E:AO,10,0)+VLOOKUP(A278,'Statement base'!E:AO,14,0)</f>
        <v>#N/A</v>
      </c>
      <c r="G278" s="61" t="e">
        <f>VLOOKUP(A278,'Clientes CBOT'!A:E,5,0)</f>
        <v>#N/A</v>
      </c>
      <c r="H278" t="str">
        <f t="shared" si="12"/>
        <v>Hard</v>
      </c>
      <c r="I278" s="6" t="e">
        <f t="shared" si="13"/>
        <v>#N/A</v>
      </c>
      <c r="J278" s="6" t="e">
        <f t="shared" si="14"/>
        <v>#N/A</v>
      </c>
      <c r="M278" s="64" t="s">
        <v>529</v>
      </c>
      <c r="N278" s="123">
        <v>-748.86</v>
      </c>
    </row>
    <row r="279" spans="2:14" x14ac:dyDescent="0.3">
      <c r="B279" t="e">
        <f>VLOOKUP(A279,'Clientes CBOT'!A:D,4,0)</f>
        <v>#N/A</v>
      </c>
      <c r="C279" s="7" t="e">
        <f>VLOOKUP(A279,'Statement base'!E:AO,21,0)</f>
        <v>#N/A</v>
      </c>
      <c r="D279" s="7" t="e">
        <f>VLOOKUP(A279,'Statement base'!E:AO,10,0)-VLOOKUP(A279,'Statement base'!E:AO,21,0)</f>
        <v>#N/A</v>
      </c>
      <c r="E279" t="s">
        <v>188</v>
      </c>
      <c r="F279" s="6" t="e">
        <f>VLOOKUP(A279,'Statement base'!E:AO,10,0)+VLOOKUP(A279,'Statement base'!E:AO,14,0)</f>
        <v>#N/A</v>
      </c>
      <c r="G279" s="61" t="e">
        <f>VLOOKUP(A279,'Clientes CBOT'!A:E,5,0)</f>
        <v>#N/A</v>
      </c>
      <c r="H279" t="str">
        <f t="shared" si="12"/>
        <v>Hard</v>
      </c>
      <c r="I279" s="6" t="e">
        <f t="shared" si="13"/>
        <v>#N/A</v>
      </c>
      <c r="J279" s="6" t="e">
        <f t="shared" si="14"/>
        <v>#N/A</v>
      </c>
      <c r="M279" s="64" t="s">
        <v>330</v>
      </c>
      <c r="N279" s="123">
        <v>-88787495.159999996</v>
      </c>
    </row>
    <row r="280" spans="2:14" x14ac:dyDescent="0.3">
      <c r="B280" t="e">
        <f>VLOOKUP(A280,'Clientes CBOT'!A:D,4,0)</f>
        <v>#N/A</v>
      </c>
      <c r="C280" s="7" t="e">
        <f>VLOOKUP(A280,'Statement base'!E:AO,21,0)</f>
        <v>#N/A</v>
      </c>
      <c r="D280" s="7" t="e">
        <f>VLOOKUP(A280,'Statement base'!E:AO,10,0)-VLOOKUP(A280,'Statement base'!E:AO,21,0)</f>
        <v>#N/A</v>
      </c>
      <c r="E280" t="s">
        <v>188</v>
      </c>
      <c r="F280" s="6" t="e">
        <f>VLOOKUP(A280,'Statement base'!E:AO,10,0)+VLOOKUP(A280,'Statement base'!E:AO,14,0)</f>
        <v>#N/A</v>
      </c>
      <c r="G280" s="61" t="e">
        <f>VLOOKUP(A280,'Clientes CBOT'!A:E,5,0)</f>
        <v>#N/A</v>
      </c>
      <c r="H280" t="str">
        <f t="shared" si="12"/>
        <v>Hard</v>
      </c>
      <c r="I280" s="6" t="e">
        <f t="shared" si="13"/>
        <v>#N/A</v>
      </c>
      <c r="J280" s="6" t="e">
        <f t="shared" si="14"/>
        <v>#N/A</v>
      </c>
      <c r="M280" s="64" t="s">
        <v>531</v>
      </c>
      <c r="N280" s="123">
        <v>103913641.72</v>
      </c>
    </row>
    <row r="281" spans="2:14" x14ac:dyDescent="0.3">
      <c r="B281" t="e">
        <f>VLOOKUP(A281,'Clientes CBOT'!A:D,4,0)</f>
        <v>#N/A</v>
      </c>
      <c r="C281" s="7" t="e">
        <f>VLOOKUP(A281,'Statement base'!E:AO,21,0)</f>
        <v>#N/A</v>
      </c>
      <c r="D281" s="7" t="e">
        <f>VLOOKUP(A281,'Statement base'!E:AO,10,0)-VLOOKUP(A281,'Statement base'!E:AO,21,0)</f>
        <v>#N/A</v>
      </c>
      <c r="E281" t="s">
        <v>188</v>
      </c>
      <c r="F281" s="6" t="e">
        <f>VLOOKUP(A281,'Statement base'!E:AO,10,0)+VLOOKUP(A281,'Statement base'!E:AO,14,0)</f>
        <v>#N/A</v>
      </c>
      <c r="G281" s="61" t="e">
        <f>VLOOKUP(A281,'Clientes CBOT'!A:E,5,0)</f>
        <v>#N/A</v>
      </c>
      <c r="H281" t="str">
        <f t="shared" si="12"/>
        <v>Hard</v>
      </c>
      <c r="I281" s="6" t="e">
        <f t="shared" si="13"/>
        <v>#N/A</v>
      </c>
      <c r="J281" s="6" t="e">
        <f t="shared" si="14"/>
        <v>#N/A</v>
      </c>
      <c r="M281" s="64" t="s">
        <v>485</v>
      </c>
      <c r="N281" s="123">
        <v>-96162.99</v>
      </c>
    </row>
    <row r="282" spans="2:14" x14ac:dyDescent="0.3">
      <c r="B282" t="e">
        <f>VLOOKUP(A282,'Clientes CBOT'!A:D,4,0)</f>
        <v>#N/A</v>
      </c>
      <c r="C282" s="7" t="e">
        <f>VLOOKUP(A282,'Statement base'!E:AO,21,0)</f>
        <v>#N/A</v>
      </c>
      <c r="D282" s="7" t="e">
        <f>VLOOKUP(A282,'Statement base'!E:AO,10,0)-VLOOKUP(A282,'Statement base'!E:AO,21,0)</f>
        <v>#N/A</v>
      </c>
      <c r="E282" t="s">
        <v>188</v>
      </c>
      <c r="F282" s="6" t="e">
        <f>VLOOKUP(A282,'Statement base'!E:AO,10,0)+VLOOKUP(A282,'Statement base'!E:AO,14,0)</f>
        <v>#N/A</v>
      </c>
      <c r="G282" s="61" t="e">
        <f>VLOOKUP(A282,'Clientes CBOT'!A:E,5,0)</f>
        <v>#N/A</v>
      </c>
      <c r="H282" t="str">
        <f t="shared" si="12"/>
        <v>Hard</v>
      </c>
      <c r="I282" s="6" t="e">
        <f t="shared" si="13"/>
        <v>#N/A</v>
      </c>
      <c r="J282" s="6" t="e">
        <f t="shared" si="14"/>
        <v>#N/A</v>
      </c>
      <c r="M282" s="64" t="s">
        <v>532</v>
      </c>
      <c r="N282" s="123">
        <v>64184.82</v>
      </c>
    </row>
    <row r="283" spans="2:14" x14ac:dyDescent="0.3">
      <c r="B283" t="e">
        <f>VLOOKUP(A283,'Clientes CBOT'!A:D,4,0)</f>
        <v>#N/A</v>
      </c>
      <c r="C283" s="7" t="e">
        <f>VLOOKUP(A283,'Statement base'!E:AO,21,0)</f>
        <v>#N/A</v>
      </c>
      <c r="D283" s="7" t="e">
        <f>VLOOKUP(A283,'Statement base'!E:AO,10,0)-VLOOKUP(A283,'Statement base'!E:AO,21,0)</f>
        <v>#N/A</v>
      </c>
      <c r="E283" t="s">
        <v>188</v>
      </c>
      <c r="F283" s="6" t="e">
        <f>VLOOKUP(A283,'Statement base'!E:AO,10,0)+VLOOKUP(A283,'Statement base'!E:AO,14,0)</f>
        <v>#N/A</v>
      </c>
      <c r="G283" s="61" t="e">
        <f>VLOOKUP(A283,'Clientes CBOT'!A:E,5,0)</f>
        <v>#N/A</v>
      </c>
      <c r="H283" t="str">
        <f t="shared" si="12"/>
        <v>Hard</v>
      </c>
      <c r="I283" s="6" t="e">
        <f t="shared" si="13"/>
        <v>#N/A</v>
      </c>
      <c r="J283" s="6" t="e">
        <f t="shared" si="14"/>
        <v>#N/A</v>
      </c>
      <c r="M283" s="64" t="s">
        <v>533</v>
      </c>
      <c r="N283" s="123">
        <v>-758.24</v>
      </c>
    </row>
    <row r="284" spans="2:14" x14ac:dyDescent="0.3">
      <c r="B284" t="e">
        <f>VLOOKUP(A284,'Clientes CBOT'!A:D,4,0)</f>
        <v>#N/A</v>
      </c>
      <c r="C284" s="7" t="e">
        <f>VLOOKUP(A284,'Statement base'!E:AO,21,0)</f>
        <v>#N/A</v>
      </c>
      <c r="D284" s="7" t="e">
        <f>VLOOKUP(A284,'Statement base'!E:AO,10,0)-VLOOKUP(A284,'Statement base'!E:AO,21,0)</f>
        <v>#N/A</v>
      </c>
      <c r="E284" t="s">
        <v>188</v>
      </c>
      <c r="F284" s="6" t="e">
        <f>VLOOKUP(A284,'Statement base'!E:AO,10,0)+VLOOKUP(A284,'Statement base'!E:AO,14,0)</f>
        <v>#N/A</v>
      </c>
      <c r="G284" s="61" t="e">
        <f>VLOOKUP(A284,'Clientes CBOT'!A:E,5,0)</f>
        <v>#N/A</v>
      </c>
      <c r="H284" t="str">
        <f t="shared" si="12"/>
        <v>Hard</v>
      </c>
      <c r="I284" s="6" t="e">
        <f t="shared" si="13"/>
        <v>#N/A</v>
      </c>
      <c r="J284" s="6" t="e">
        <f t="shared" si="14"/>
        <v>#N/A</v>
      </c>
      <c r="M284" s="64" t="s">
        <v>534</v>
      </c>
      <c r="N284" s="123">
        <v>0</v>
      </c>
    </row>
    <row r="285" spans="2:14" x14ac:dyDescent="0.3">
      <c r="B285" t="e">
        <f>VLOOKUP(A285,'Clientes CBOT'!A:D,4,0)</f>
        <v>#N/A</v>
      </c>
      <c r="C285" s="7" t="e">
        <f>VLOOKUP(A285,'Statement base'!E:AO,21,0)</f>
        <v>#N/A</v>
      </c>
      <c r="D285" s="7" t="e">
        <f>VLOOKUP(A285,'Statement base'!E:AO,10,0)-VLOOKUP(A285,'Statement base'!E:AO,21,0)</f>
        <v>#N/A</v>
      </c>
      <c r="E285" t="s">
        <v>188</v>
      </c>
      <c r="F285" s="6" t="e">
        <f>VLOOKUP(A285,'Statement base'!E:AO,10,0)+VLOOKUP(A285,'Statement base'!E:AO,14,0)</f>
        <v>#N/A</v>
      </c>
      <c r="G285" s="61" t="e">
        <f>VLOOKUP(A285,'Clientes CBOT'!A:E,5,0)</f>
        <v>#N/A</v>
      </c>
      <c r="H285" t="str">
        <f t="shared" si="12"/>
        <v>Hard</v>
      </c>
      <c r="I285" s="6" t="e">
        <f t="shared" si="13"/>
        <v>#N/A</v>
      </c>
      <c r="J285" s="6" t="e">
        <f t="shared" si="14"/>
        <v>#N/A</v>
      </c>
      <c r="M285" s="64" t="s">
        <v>513</v>
      </c>
      <c r="N285" s="123">
        <v>6.87</v>
      </c>
    </row>
    <row r="286" spans="2:14" x14ac:dyDescent="0.3">
      <c r="B286" t="e">
        <f>VLOOKUP(A286,'Clientes CBOT'!A:D,4,0)</f>
        <v>#N/A</v>
      </c>
      <c r="C286" s="7" t="e">
        <f>VLOOKUP(A286,'Statement base'!E:AO,21,0)</f>
        <v>#N/A</v>
      </c>
      <c r="D286" s="7" t="e">
        <f>VLOOKUP(A286,'Statement base'!E:AO,10,0)-VLOOKUP(A286,'Statement base'!E:AO,21,0)</f>
        <v>#N/A</v>
      </c>
      <c r="E286" t="s">
        <v>188</v>
      </c>
      <c r="F286" s="6" t="e">
        <f>VLOOKUP(A286,'Statement base'!E:AO,10,0)+VLOOKUP(A286,'Statement base'!E:AO,14,0)</f>
        <v>#N/A</v>
      </c>
      <c r="G286" s="61" t="e">
        <f>VLOOKUP(A286,'Clientes CBOT'!A:E,5,0)</f>
        <v>#N/A</v>
      </c>
      <c r="H286" t="str">
        <f t="shared" si="12"/>
        <v>Hard</v>
      </c>
      <c r="I286" s="6" t="e">
        <f t="shared" si="13"/>
        <v>#N/A</v>
      </c>
      <c r="J286" s="6" t="e">
        <f t="shared" si="14"/>
        <v>#N/A</v>
      </c>
      <c r="M286" s="64" t="s">
        <v>536</v>
      </c>
      <c r="N286" s="123">
        <v>-1651560</v>
      </c>
    </row>
    <row r="287" spans="2:14" x14ac:dyDescent="0.3">
      <c r="B287" t="e">
        <f>VLOOKUP(A287,'Clientes CBOT'!A:D,4,0)</f>
        <v>#N/A</v>
      </c>
      <c r="C287" s="7" t="e">
        <f>VLOOKUP(A287,'Statement base'!E:AO,21,0)</f>
        <v>#N/A</v>
      </c>
      <c r="D287" s="7" t="e">
        <f>VLOOKUP(A287,'Statement base'!E:AO,10,0)-VLOOKUP(A287,'Statement base'!E:AO,21,0)</f>
        <v>#N/A</v>
      </c>
      <c r="E287" t="s">
        <v>188</v>
      </c>
      <c r="F287" s="6" t="e">
        <f>VLOOKUP(A287,'Statement base'!E:AO,10,0)+VLOOKUP(A287,'Statement base'!E:AO,14,0)</f>
        <v>#N/A</v>
      </c>
      <c r="G287" s="61" t="e">
        <f>VLOOKUP(A287,'Clientes CBOT'!A:E,5,0)</f>
        <v>#N/A</v>
      </c>
      <c r="H287" t="str">
        <f t="shared" si="12"/>
        <v>Hard</v>
      </c>
      <c r="I287" s="6" t="e">
        <f t="shared" si="13"/>
        <v>#N/A</v>
      </c>
      <c r="J287" s="6" t="e">
        <f t="shared" si="14"/>
        <v>#N/A</v>
      </c>
      <c r="M287" s="64" t="s">
        <v>537</v>
      </c>
      <c r="N287" s="123">
        <v>-7000000</v>
      </c>
    </row>
    <row r="288" spans="2:14" x14ac:dyDescent="0.3">
      <c r="B288" t="e">
        <f>VLOOKUP(A288,'Clientes CBOT'!A:D,4,0)</f>
        <v>#N/A</v>
      </c>
      <c r="C288" s="7" t="e">
        <f>VLOOKUP(A288,'Statement base'!E:AO,21,0)</f>
        <v>#N/A</v>
      </c>
      <c r="D288" s="7" t="e">
        <f>VLOOKUP(A288,'Statement base'!E:AO,10,0)-VLOOKUP(A288,'Statement base'!E:AO,21,0)</f>
        <v>#N/A</v>
      </c>
      <c r="E288" t="s">
        <v>188</v>
      </c>
      <c r="F288" s="6" t="e">
        <f>VLOOKUP(A288,'Statement base'!E:AO,10,0)+VLOOKUP(A288,'Statement base'!E:AO,14,0)</f>
        <v>#N/A</v>
      </c>
      <c r="G288" s="61" t="e">
        <f>VLOOKUP(A288,'Clientes CBOT'!A:E,5,0)</f>
        <v>#N/A</v>
      </c>
      <c r="H288" t="str">
        <f t="shared" si="12"/>
        <v>Hard</v>
      </c>
      <c r="I288" s="6" t="e">
        <f t="shared" si="13"/>
        <v>#N/A</v>
      </c>
      <c r="J288" s="6" t="e">
        <f t="shared" si="14"/>
        <v>#N/A</v>
      </c>
      <c r="M288" s="64" t="s">
        <v>538</v>
      </c>
      <c r="N288" s="123">
        <v>-1306.4000000000001</v>
      </c>
    </row>
    <row r="289" spans="2:14" x14ac:dyDescent="0.3">
      <c r="B289" t="e">
        <f>VLOOKUP(A289,'Clientes CBOT'!A:D,4,0)</f>
        <v>#N/A</v>
      </c>
      <c r="C289" s="7" t="e">
        <f>VLOOKUP(A289,'Statement base'!E:AO,21,0)</f>
        <v>#N/A</v>
      </c>
      <c r="D289" s="7" t="e">
        <f>VLOOKUP(A289,'Statement base'!E:AO,10,0)-VLOOKUP(A289,'Statement base'!E:AO,21,0)</f>
        <v>#N/A</v>
      </c>
      <c r="E289" t="s">
        <v>188</v>
      </c>
      <c r="F289" s="6" t="e">
        <f>VLOOKUP(A289,'Statement base'!E:AO,10,0)+VLOOKUP(A289,'Statement base'!E:AO,14,0)</f>
        <v>#N/A</v>
      </c>
      <c r="G289" s="61" t="e">
        <f>VLOOKUP(A289,'Clientes CBOT'!A:E,5,0)</f>
        <v>#N/A</v>
      </c>
      <c r="H289" t="str">
        <f t="shared" si="12"/>
        <v>Hard</v>
      </c>
      <c r="I289" s="6" t="e">
        <f t="shared" si="13"/>
        <v>#N/A</v>
      </c>
      <c r="J289" s="6" t="e">
        <f t="shared" si="14"/>
        <v>#N/A</v>
      </c>
      <c r="M289" s="64" t="s">
        <v>539</v>
      </c>
      <c r="N289" s="123">
        <v>0.84</v>
      </c>
    </row>
    <row r="290" spans="2:14" x14ac:dyDescent="0.3">
      <c r="B290" t="e">
        <f>VLOOKUP(A290,'Clientes CBOT'!A:D,4,0)</f>
        <v>#N/A</v>
      </c>
      <c r="C290" s="7" t="e">
        <f>VLOOKUP(A290,'Statement base'!E:AO,21,0)</f>
        <v>#N/A</v>
      </c>
      <c r="D290" s="7" t="e">
        <f>VLOOKUP(A290,'Statement base'!E:AO,10,0)-VLOOKUP(A290,'Statement base'!E:AO,21,0)</f>
        <v>#N/A</v>
      </c>
      <c r="E290" t="s">
        <v>188</v>
      </c>
      <c r="F290" s="6" t="e">
        <f>VLOOKUP(A290,'Statement base'!E:AO,10,0)+VLOOKUP(A290,'Statement base'!E:AO,14,0)</f>
        <v>#N/A</v>
      </c>
      <c r="G290" s="61" t="e">
        <f>VLOOKUP(A290,'Clientes CBOT'!A:E,5,0)</f>
        <v>#N/A</v>
      </c>
      <c r="H290" t="str">
        <f t="shared" si="12"/>
        <v>Hard</v>
      </c>
      <c r="I290" s="6" t="e">
        <f t="shared" si="13"/>
        <v>#N/A</v>
      </c>
      <c r="J290" s="6" t="e">
        <f t="shared" si="14"/>
        <v>#N/A</v>
      </c>
      <c r="M290" s="64" t="s">
        <v>540</v>
      </c>
      <c r="N290" s="123">
        <v>5487197.46</v>
      </c>
    </row>
    <row r="291" spans="2:14" x14ac:dyDescent="0.3">
      <c r="B291" t="e">
        <f>VLOOKUP(A291,'Clientes CBOT'!A:D,4,0)</f>
        <v>#N/A</v>
      </c>
      <c r="C291" s="7" t="e">
        <f>VLOOKUP(A291,'Statement base'!E:AO,21,0)</f>
        <v>#N/A</v>
      </c>
      <c r="D291" s="7" t="e">
        <f>VLOOKUP(A291,'Statement base'!E:AO,10,0)-VLOOKUP(A291,'Statement base'!E:AO,21,0)</f>
        <v>#N/A</v>
      </c>
      <c r="E291" t="s">
        <v>188</v>
      </c>
      <c r="F291" s="6" t="e">
        <f>VLOOKUP(A291,'Statement base'!E:AO,10,0)+VLOOKUP(A291,'Statement base'!E:AO,14,0)</f>
        <v>#N/A</v>
      </c>
      <c r="G291" s="61" t="e">
        <f>VLOOKUP(A291,'Clientes CBOT'!A:E,5,0)</f>
        <v>#N/A</v>
      </c>
      <c r="H291" t="str">
        <f t="shared" si="12"/>
        <v>Hard</v>
      </c>
      <c r="I291" s="6" t="e">
        <f t="shared" si="13"/>
        <v>#N/A</v>
      </c>
      <c r="J291" s="6" t="e">
        <f t="shared" si="14"/>
        <v>#N/A</v>
      </c>
      <c r="M291" s="64" t="s">
        <v>541</v>
      </c>
      <c r="N291" s="123">
        <v>-67172164.640000001</v>
      </c>
    </row>
    <row r="292" spans="2:14" x14ac:dyDescent="0.3">
      <c r="B292" t="e">
        <f>VLOOKUP(A292,'Clientes CBOT'!A:D,4,0)</f>
        <v>#N/A</v>
      </c>
      <c r="C292" s="7" t="e">
        <f>VLOOKUP(A292,'Statement base'!E:AO,21,0)</f>
        <v>#N/A</v>
      </c>
      <c r="D292" s="7" t="e">
        <f>VLOOKUP(A292,'Statement base'!E:AO,10,0)-VLOOKUP(A292,'Statement base'!E:AO,21,0)</f>
        <v>#N/A</v>
      </c>
      <c r="E292" t="s">
        <v>188</v>
      </c>
      <c r="F292" s="6" t="e">
        <f>VLOOKUP(A292,'Statement base'!E:AO,10,0)+VLOOKUP(A292,'Statement base'!E:AO,14,0)</f>
        <v>#N/A</v>
      </c>
      <c r="G292" s="61" t="e">
        <f>VLOOKUP(A292,'Clientes CBOT'!A:E,5,0)</f>
        <v>#N/A</v>
      </c>
      <c r="H292" t="str">
        <f t="shared" si="12"/>
        <v>Hard</v>
      </c>
      <c r="I292" s="6" t="e">
        <f t="shared" si="13"/>
        <v>#N/A</v>
      </c>
      <c r="J292" s="6" t="e">
        <f t="shared" si="14"/>
        <v>#N/A</v>
      </c>
      <c r="M292" s="64" t="s">
        <v>334</v>
      </c>
      <c r="N292" s="123">
        <v>81698.05</v>
      </c>
    </row>
    <row r="293" spans="2:14" x14ac:dyDescent="0.3">
      <c r="B293" t="e">
        <f>VLOOKUP(A293,'Clientes CBOT'!A:D,4,0)</f>
        <v>#N/A</v>
      </c>
      <c r="C293" s="7" t="e">
        <f>VLOOKUP(A293,'Statement base'!E:AO,21,0)</f>
        <v>#N/A</v>
      </c>
      <c r="D293" s="7" t="e">
        <f>VLOOKUP(A293,'Statement base'!E:AO,10,0)-VLOOKUP(A293,'Statement base'!E:AO,21,0)</f>
        <v>#N/A</v>
      </c>
      <c r="E293" t="s">
        <v>188</v>
      </c>
      <c r="F293" s="6" t="e">
        <f>VLOOKUP(A293,'Statement base'!E:AO,10,0)+VLOOKUP(A293,'Statement base'!E:AO,14,0)</f>
        <v>#N/A</v>
      </c>
      <c r="G293" s="61" t="e">
        <f>VLOOKUP(A293,'Clientes CBOT'!A:E,5,0)</f>
        <v>#N/A</v>
      </c>
      <c r="H293" t="str">
        <f t="shared" si="12"/>
        <v>Hard</v>
      </c>
      <c r="I293" s="6" t="e">
        <f t="shared" si="13"/>
        <v>#N/A</v>
      </c>
      <c r="J293" s="6" t="e">
        <f t="shared" si="14"/>
        <v>#N/A</v>
      </c>
      <c r="M293" s="64" t="s">
        <v>542</v>
      </c>
      <c r="N293" s="123">
        <v>0</v>
      </c>
    </row>
    <row r="294" spans="2:14" x14ac:dyDescent="0.3">
      <c r="B294" t="e">
        <f>VLOOKUP(A294,'Clientes CBOT'!A:D,4,0)</f>
        <v>#N/A</v>
      </c>
      <c r="C294" s="7" t="e">
        <f>VLOOKUP(A294,'Statement base'!E:AO,21,0)</f>
        <v>#N/A</v>
      </c>
      <c r="D294" s="7" t="e">
        <f>VLOOKUP(A294,'Statement base'!E:AO,10,0)-VLOOKUP(A294,'Statement base'!E:AO,21,0)</f>
        <v>#N/A</v>
      </c>
      <c r="E294" t="s">
        <v>188</v>
      </c>
      <c r="F294" s="6" t="e">
        <f>VLOOKUP(A294,'Statement base'!E:AO,10,0)+VLOOKUP(A294,'Statement base'!E:AO,14,0)</f>
        <v>#N/A</v>
      </c>
      <c r="G294" s="61" t="e">
        <f>VLOOKUP(A294,'Clientes CBOT'!A:E,5,0)</f>
        <v>#N/A</v>
      </c>
      <c r="H294" t="str">
        <f t="shared" si="12"/>
        <v>Hard</v>
      </c>
      <c r="I294" s="6" t="e">
        <f t="shared" si="13"/>
        <v>#N/A</v>
      </c>
      <c r="J294" s="6" t="e">
        <f t="shared" si="14"/>
        <v>#N/A</v>
      </c>
      <c r="M294" s="64" t="s">
        <v>543</v>
      </c>
      <c r="N294" s="123">
        <v>0</v>
      </c>
    </row>
    <row r="295" spans="2:14" x14ac:dyDescent="0.3">
      <c r="B295" t="e">
        <f>VLOOKUP(A295,'Clientes CBOT'!A:D,4,0)</f>
        <v>#N/A</v>
      </c>
      <c r="C295" s="7" t="e">
        <f>VLOOKUP(A295,'Statement base'!E:AO,21,0)</f>
        <v>#N/A</v>
      </c>
      <c r="D295" s="7" t="e">
        <f>VLOOKUP(A295,'Statement base'!E:AO,10,0)-VLOOKUP(A295,'Statement base'!E:AO,21,0)</f>
        <v>#N/A</v>
      </c>
      <c r="E295" t="s">
        <v>188</v>
      </c>
      <c r="F295" s="6" t="e">
        <f>VLOOKUP(A295,'Statement base'!E:AO,10,0)+VLOOKUP(A295,'Statement base'!E:AO,14,0)</f>
        <v>#N/A</v>
      </c>
      <c r="G295" s="61" t="e">
        <f>VLOOKUP(A295,'Clientes CBOT'!A:E,5,0)</f>
        <v>#N/A</v>
      </c>
      <c r="H295" t="str">
        <f t="shared" si="12"/>
        <v>Hard</v>
      </c>
      <c r="I295" s="6" t="e">
        <f t="shared" si="13"/>
        <v>#N/A</v>
      </c>
      <c r="J295" s="6" t="e">
        <f t="shared" si="14"/>
        <v>#N/A</v>
      </c>
      <c r="M295" s="64" t="s">
        <v>544</v>
      </c>
      <c r="N295" s="123">
        <v>-4999989.42</v>
      </c>
    </row>
    <row r="296" spans="2:14" x14ac:dyDescent="0.3">
      <c r="B296" t="e">
        <f>VLOOKUP(A296,'Clientes CBOT'!A:D,4,0)</f>
        <v>#N/A</v>
      </c>
      <c r="C296" s="7" t="e">
        <f>VLOOKUP(A296,'Statement base'!E:AO,21,0)</f>
        <v>#N/A</v>
      </c>
      <c r="D296" s="7" t="e">
        <f>VLOOKUP(A296,'Statement base'!E:AO,10,0)-VLOOKUP(A296,'Statement base'!E:AO,21,0)</f>
        <v>#N/A</v>
      </c>
      <c r="E296" t="s">
        <v>188</v>
      </c>
      <c r="F296" s="6" t="e">
        <f>VLOOKUP(A296,'Statement base'!E:AO,10,0)+VLOOKUP(A296,'Statement base'!E:AO,14,0)</f>
        <v>#N/A</v>
      </c>
      <c r="G296" s="61" t="e">
        <f>VLOOKUP(A296,'Clientes CBOT'!A:E,5,0)</f>
        <v>#N/A</v>
      </c>
      <c r="H296" t="str">
        <f t="shared" si="12"/>
        <v>Hard</v>
      </c>
      <c r="I296" s="6" t="e">
        <f t="shared" si="13"/>
        <v>#N/A</v>
      </c>
      <c r="J296" s="6" t="e">
        <f t="shared" si="14"/>
        <v>#N/A</v>
      </c>
      <c r="M296" s="64" t="s">
        <v>339</v>
      </c>
      <c r="N296" s="123">
        <v>58.980000000000004</v>
      </c>
    </row>
    <row r="297" spans="2:14" x14ac:dyDescent="0.3">
      <c r="B297" t="e">
        <f>VLOOKUP(A297,'Clientes CBOT'!A:D,4,0)</f>
        <v>#N/A</v>
      </c>
      <c r="C297" s="7" t="e">
        <f>VLOOKUP(A297,'Statement base'!E:AO,21,0)</f>
        <v>#N/A</v>
      </c>
      <c r="D297" s="7" t="e">
        <f>VLOOKUP(A297,'Statement base'!E:AO,10,0)-VLOOKUP(A297,'Statement base'!E:AO,21,0)</f>
        <v>#N/A</v>
      </c>
      <c r="E297" t="s">
        <v>188</v>
      </c>
      <c r="F297" s="6" t="e">
        <f>VLOOKUP(A297,'Statement base'!E:AO,10,0)+VLOOKUP(A297,'Statement base'!E:AO,14,0)</f>
        <v>#N/A</v>
      </c>
      <c r="G297" s="61" t="e">
        <f>VLOOKUP(A297,'Clientes CBOT'!A:E,5,0)</f>
        <v>#N/A</v>
      </c>
      <c r="H297" t="str">
        <f t="shared" si="12"/>
        <v>Hard</v>
      </c>
      <c r="I297" s="6" t="e">
        <f t="shared" si="13"/>
        <v>#N/A</v>
      </c>
      <c r="J297" s="6" t="e">
        <f t="shared" si="14"/>
        <v>#N/A</v>
      </c>
      <c r="M297" s="64" t="s">
        <v>546</v>
      </c>
      <c r="N297" s="123">
        <v>-607938476.42999995</v>
      </c>
    </row>
    <row r="298" spans="2:14" x14ac:dyDescent="0.3">
      <c r="B298" t="e">
        <f>VLOOKUP(A298,'Clientes CBOT'!A:D,4,0)</f>
        <v>#N/A</v>
      </c>
      <c r="C298" s="7" t="e">
        <f>VLOOKUP(A298,'Statement base'!E:AO,21,0)</f>
        <v>#N/A</v>
      </c>
      <c r="D298" s="7" t="e">
        <f>VLOOKUP(A298,'Statement base'!E:AO,10,0)-VLOOKUP(A298,'Statement base'!E:AO,21,0)</f>
        <v>#N/A</v>
      </c>
      <c r="E298" t="s">
        <v>188</v>
      </c>
      <c r="F298" s="6" t="e">
        <f>VLOOKUP(A298,'Statement base'!E:AO,10,0)+VLOOKUP(A298,'Statement base'!E:AO,14,0)</f>
        <v>#N/A</v>
      </c>
      <c r="G298" s="61" t="e">
        <f>VLOOKUP(A298,'Clientes CBOT'!A:E,5,0)</f>
        <v>#N/A</v>
      </c>
      <c r="H298" t="str">
        <f t="shared" si="12"/>
        <v>Hard</v>
      </c>
      <c r="I298" s="6" t="e">
        <f t="shared" si="13"/>
        <v>#N/A</v>
      </c>
      <c r="J298" s="6" t="e">
        <f t="shared" si="14"/>
        <v>#N/A</v>
      </c>
      <c r="M298" s="64" t="s">
        <v>548</v>
      </c>
      <c r="N298" s="123">
        <v>0</v>
      </c>
    </row>
    <row r="299" spans="2:14" x14ac:dyDescent="0.3">
      <c r="B299" t="e">
        <f>VLOOKUP(A299,'Clientes CBOT'!A:D,4,0)</f>
        <v>#N/A</v>
      </c>
      <c r="C299" s="7" t="e">
        <f>VLOOKUP(A299,'Statement base'!E:AO,21,0)</f>
        <v>#N/A</v>
      </c>
      <c r="D299" s="7" t="e">
        <f>VLOOKUP(A299,'Statement base'!E:AO,10,0)-VLOOKUP(A299,'Statement base'!E:AO,21,0)</f>
        <v>#N/A</v>
      </c>
      <c r="E299" t="s">
        <v>188</v>
      </c>
      <c r="F299" s="6" t="e">
        <f>VLOOKUP(A299,'Statement base'!E:AO,10,0)+VLOOKUP(A299,'Statement base'!E:AO,14,0)</f>
        <v>#N/A</v>
      </c>
      <c r="G299" s="61" t="e">
        <f>VLOOKUP(A299,'Clientes CBOT'!A:E,5,0)</f>
        <v>#N/A</v>
      </c>
      <c r="H299" t="str">
        <f t="shared" si="12"/>
        <v>Hard</v>
      </c>
      <c r="I299" s="6" t="e">
        <f t="shared" si="13"/>
        <v>#N/A</v>
      </c>
      <c r="J299" s="6" t="e">
        <f t="shared" si="14"/>
        <v>#N/A</v>
      </c>
      <c r="M299" s="64" t="s">
        <v>549</v>
      </c>
      <c r="N299" s="123">
        <v>2463.3000000000002</v>
      </c>
    </row>
    <row r="300" spans="2:14" x14ac:dyDescent="0.3">
      <c r="B300" t="e">
        <f>VLOOKUP(A300,'Clientes CBOT'!A:D,4,0)</f>
        <v>#N/A</v>
      </c>
      <c r="C300" s="7" t="e">
        <f>VLOOKUP(A300,'Statement base'!E:AO,21,0)</f>
        <v>#N/A</v>
      </c>
      <c r="D300" s="7" t="e">
        <f>VLOOKUP(A300,'Statement base'!E:AO,10,0)-VLOOKUP(A300,'Statement base'!E:AO,21,0)</f>
        <v>#N/A</v>
      </c>
      <c r="E300" t="s">
        <v>188</v>
      </c>
      <c r="F300" s="6" t="e">
        <f>VLOOKUP(A300,'Statement base'!E:AO,10,0)+VLOOKUP(A300,'Statement base'!E:AO,14,0)</f>
        <v>#N/A</v>
      </c>
      <c r="G300" s="61" t="e">
        <f>VLOOKUP(A300,'Clientes CBOT'!A:E,5,0)</f>
        <v>#N/A</v>
      </c>
      <c r="H300" t="str">
        <f t="shared" si="12"/>
        <v>Hard</v>
      </c>
      <c r="I300" s="6" t="e">
        <f t="shared" si="13"/>
        <v>#N/A</v>
      </c>
      <c r="J300" s="6" t="e">
        <f t="shared" si="14"/>
        <v>#N/A</v>
      </c>
      <c r="M300" s="64" t="s">
        <v>530</v>
      </c>
      <c r="N300" s="123">
        <v>-1651.09</v>
      </c>
    </row>
    <row r="301" spans="2:14" x14ac:dyDescent="0.3">
      <c r="B301" t="e">
        <f>VLOOKUP(A301,'Clientes CBOT'!A:D,4,0)</f>
        <v>#N/A</v>
      </c>
      <c r="C301" s="7" t="e">
        <f>VLOOKUP(A301,'Statement base'!E:AO,21,0)</f>
        <v>#N/A</v>
      </c>
      <c r="D301" s="7" t="e">
        <f>VLOOKUP(A301,'Statement base'!E:AO,10,0)-VLOOKUP(A301,'Statement base'!E:AO,21,0)</f>
        <v>#N/A</v>
      </c>
      <c r="E301" t="s">
        <v>188</v>
      </c>
      <c r="F301" s="6" t="e">
        <f>VLOOKUP(A301,'Statement base'!E:AO,10,0)+VLOOKUP(A301,'Statement base'!E:AO,14,0)</f>
        <v>#N/A</v>
      </c>
      <c r="G301" s="61" t="e">
        <f>VLOOKUP(A301,'Clientes CBOT'!A:E,5,0)</f>
        <v>#N/A</v>
      </c>
      <c r="H301" t="str">
        <f t="shared" si="12"/>
        <v>Hard</v>
      </c>
      <c r="I301" s="6" t="e">
        <f t="shared" si="13"/>
        <v>#N/A</v>
      </c>
      <c r="J301" s="6" t="e">
        <f t="shared" si="14"/>
        <v>#N/A</v>
      </c>
      <c r="M301" s="64" t="s">
        <v>550</v>
      </c>
      <c r="N301" s="123">
        <v>0</v>
      </c>
    </row>
    <row r="302" spans="2:14" x14ac:dyDescent="0.3">
      <c r="B302" t="e">
        <f>VLOOKUP(A302,'Clientes CBOT'!A:D,4,0)</f>
        <v>#N/A</v>
      </c>
      <c r="C302" s="7" t="e">
        <f>VLOOKUP(A302,'Statement base'!E:AO,21,0)</f>
        <v>#N/A</v>
      </c>
      <c r="D302" s="7" t="e">
        <f>VLOOKUP(A302,'Statement base'!E:AO,10,0)-VLOOKUP(A302,'Statement base'!E:AO,21,0)</f>
        <v>#N/A</v>
      </c>
      <c r="E302" t="s">
        <v>188</v>
      </c>
      <c r="F302" s="6" t="e">
        <f>VLOOKUP(A302,'Statement base'!E:AO,10,0)+VLOOKUP(A302,'Statement base'!E:AO,14,0)</f>
        <v>#N/A</v>
      </c>
      <c r="G302" s="61" t="e">
        <f>VLOOKUP(A302,'Clientes CBOT'!A:E,5,0)</f>
        <v>#N/A</v>
      </c>
      <c r="H302" t="str">
        <f t="shared" si="12"/>
        <v>Hard</v>
      </c>
      <c r="I302" s="6" t="e">
        <f t="shared" si="13"/>
        <v>#N/A</v>
      </c>
      <c r="J302" s="6" t="e">
        <f t="shared" si="14"/>
        <v>#N/A</v>
      </c>
      <c r="M302" s="64" t="s">
        <v>551</v>
      </c>
      <c r="N302" s="123">
        <v>0</v>
      </c>
    </row>
    <row r="303" spans="2:14" x14ac:dyDescent="0.3">
      <c r="B303" t="e">
        <f>VLOOKUP(A303,'Clientes CBOT'!A:D,4,0)</f>
        <v>#N/A</v>
      </c>
      <c r="C303" s="7" t="e">
        <f>VLOOKUP(A303,'Statement base'!E:AO,21,0)</f>
        <v>#N/A</v>
      </c>
      <c r="D303" s="7" t="e">
        <f>VLOOKUP(A303,'Statement base'!E:AO,10,0)-VLOOKUP(A303,'Statement base'!E:AO,21,0)</f>
        <v>#N/A</v>
      </c>
      <c r="E303" t="s">
        <v>188</v>
      </c>
      <c r="F303" s="6" t="e">
        <f>VLOOKUP(A303,'Statement base'!E:AO,10,0)+VLOOKUP(A303,'Statement base'!E:AO,14,0)</f>
        <v>#N/A</v>
      </c>
      <c r="G303" s="61" t="e">
        <f>VLOOKUP(A303,'Clientes CBOT'!A:E,5,0)</f>
        <v>#N/A</v>
      </c>
      <c r="H303" t="str">
        <f t="shared" si="12"/>
        <v>Hard</v>
      </c>
      <c r="I303" s="6" t="e">
        <f t="shared" si="13"/>
        <v>#N/A</v>
      </c>
      <c r="J303" s="6" t="e">
        <f t="shared" si="14"/>
        <v>#N/A</v>
      </c>
      <c r="M303" s="64" t="s">
        <v>552</v>
      </c>
      <c r="N303" s="123">
        <v>2933.42</v>
      </c>
    </row>
    <row r="304" spans="2:14" x14ac:dyDescent="0.3">
      <c r="B304" t="e">
        <f>VLOOKUP(A304,'Clientes CBOT'!A:D,4,0)</f>
        <v>#N/A</v>
      </c>
      <c r="C304" s="7" t="e">
        <f>VLOOKUP(A304,'Statement base'!E:AO,21,0)</f>
        <v>#N/A</v>
      </c>
      <c r="D304" s="7" t="e">
        <f>VLOOKUP(A304,'Statement base'!E:AO,10,0)-VLOOKUP(A304,'Statement base'!E:AO,21,0)</f>
        <v>#N/A</v>
      </c>
      <c r="E304" t="s">
        <v>188</v>
      </c>
      <c r="F304" s="6" t="e">
        <f>VLOOKUP(A304,'Statement base'!E:AO,10,0)+VLOOKUP(A304,'Statement base'!E:AO,14,0)</f>
        <v>#N/A</v>
      </c>
      <c r="G304" s="61" t="e">
        <f>VLOOKUP(A304,'Clientes CBOT'!A:E,5,0)</f>
        <v>#N/A</v>
      </c>
      <c r="H304" t="str">
        <f t="shared" si="12"/>
        <v>Hard</v>
      </c>
      <c r="I304" s="6" t="e">
        <f t="shared" si="13"/>
        <v>#N/A</v>
      </c>
      <c r="J304" s="6" t="e">
        <f t="shared" si="14"/>
        <v>#N/A</v>
      </c>
      <c r="M304" s="64" t="s">
        <v>425</v>
      </c>
      <c r="N304" s="123">
        <v>98869106.590000004</v>
      </c>
    </row>
    <row r="305" spans="2:14" x14ac:dyDescent="0.3">
      <c r="B305" t="e">
        <f>VLOOKUP(A305,'Clientes CBOT'!A:D,4,0)</f>
        <v>#N/A</v>
      </c>
      <c r="C305" s="7" t="e">
        <f>VLOOKUP(A305,'Statement base'!E:AO,21,0)</f>
        <v>#N/A</v>
      </c>
      <c r="D305" s="7" t="e">
        <f>VLOOKUP(A305,'Statement base'!E:AO,10,0)-VLOOKUP(A305,'Statement base'!E:AO,21,0)</f>
        <v>#N/A</v>
      </c>
      <c r="E305" t="s">
        <v>188</v>
      </c>
      <c r="F305" s="6" t="e">
        <f>VLOOKUP(A305,'Statement base'!E:AO,10,0)+VLOOKUP(A305,'Statement base'!E:AO,14,0)</f>
        <v>#N/A</v>
      </c>
      <c r="G305" s="61" t="e">
        <f>VLOOKUP(A305,'Clientes CBOT'!A:E,5,0)</f>
        <v>#N/A</v>
      </c>
      <c r="H305" t="str">
        <f t="shared" si="12"/>
        <v>Hard</v>
      </c>
      <c r="I305" s="6" t="e">
        <f t="shared" si="13"/>
        <v>#N/A</v>
      </c>
      <c r="J305" s="6" t="e">
        <f t="shared" si="14"/>
        <v>#N/A</v>
      </c>
      <c r="M305" s="64" t="s">
        <v>553</v>
      </c>
      <c r="N305" s="123">
        <v>-0.16</v>
      </c>
    </row>
    <row r="306" spans="2:14" x14ac:dyDescent="0.3">
      <c r="B306" t="e">
        <f>VLOOKUP(A306,'Clientes CBOT'!A:D,4,0)</f>
        <v>#N/A</v>
      </c>
      <c r="C306" s="7" t="e">
        <f>VLOOKUP(A306,'Statement base'!E:AO,21,0)</f>
        <v>#N/A</v>
      </c>
      <c r="D306" s="7" t="e">
        <f>VLOOKUP(A306,'Statement base'!E:AO,10,0)-VLOOKUP(A306,'Statement base'!E:AO,21,0)</f>
        <v>#N/A</v>
      </c>
      <c r="E306" t="s">
        <v>188</v>
      </c>
      <c r="F306" s="6" t="e">
        <f>VLOOKUP(A306,'Statement base'!E:AO,10,0)+VLOOKUP(A306,'Statement base'!E:AO,14,0)</f>
        <v>#N/A</v>
      </c>
      <c r="G306" s="61" t="e">
        <f>VLOOKUP(A306,'Clientes CBOT'!A:E,5,0)</f>
        <v>#N/A</v>
      </c>
      <c r="H306" t="str">
        <f t="shared" si="12"/>
        <v>Hard</v>
      </c>
      <c r="I306" s="6" t="e">
        <f t="shared" si="13"/>
        <v>#N/A</v>
      </c>
      <c r="J306" s="6" t="e">
        <f t="shared" si="14"/>
        <v>#N/A</v>
      </c>
      <c r="M306" s="64" t="s">
        <v>554</v>
      </c>
      <c r="N306" s="123">
        <v>0</v>
      </c>
    </row>
    <row r="307" spans="2:14" x14ac:dyDescent="0.3">
      <c r="B307" t="e">
        <f>VLOOKUP(A307,'Clientes CBOT'!A:D,4,0)</f>
        <v>#N/A</v>
      </c>
      <c r="C307" s="7" t="e">
        <f>VLOOKUP(A307,'Statement base'!E:AO,21,0)</f>
        <v>#N/A</v>
      </c>
      <c r="D307" s="7" t="e">
        <f>VLOOKUP(A307,'Statement base'!E:AO,10,0)-VLOOKUP(A307,'Statement base'!E:AO,21,0)</f>
        <v>#N/A</v>
      </c>
      <c r="E307" t="s">
        <v>188</v>
      </c>
      <c r="F307" s="6" t="e">
        <f>VLOOKUP(A307,'Statement base'!E:AO,10,0)+VLOOKUP(A307,'Statement base'!E:AO,14,0)</f>
        <v>#N/A</v>
      </c>
      <c r="G307" s="61" t="e">
        <f>VLOOKUP(A307,'Clientes CBOT'!A:E,5,0)</f>
        <v>#N/A</v>
      </c>
      <c r="H307" t="str">
        <f t="shared" si="12"/>
        <v>Hard</v>
      </c>
      <c r="I307" s="6" t="e">
        <f t="shared" si="13"/>
        <v>#N/A</v>
      </c>
      <c r="J307" s="6" t="e">
        <f t="shared" si="14"/>
        <v>#N/A</v>
      </c>
      <c r="M307" s="64" t="s">
        <v>555</v>
      </c>
      <c r="N307" s="123">
        <v>0</v>
      </c>
    </row>
    <row r="308" spans="2:14" x14ac:dyDescent="0.3">
      <c r="B308" t="e">
        <f>VLOOKUP(A308,'Clientes CBOT'!A:D,4,0)</f>
        <v>#N/A</v>
      </c>
      <c r="C308" s="7" t="e">
        <f>VLOOKUP(A308,'Statement base'!E:AO,21,0)</f>
        <v>#N/A</v>
      </c>
      <c r="D308" s="7" t="e">
        <f>VLOOKUP(A308,'Statement base'!E:AO,10,0)-VLOOKUP(A308,'Statement base'!E:AO,21,0)</f>
        <v>#N/A</v>
      </c>
      <c r="E308" t="s">
        <v>188</v>
      </c>
      <c r="F308" s="6" t="e">
        <f>VLOOKUP(A308,'Statement base'!E:AO,10,0)+VLOOKUP(A308,'Statement base'!E:AO,14,0)</f>
        <v>#N/A</v>
      </c>
      <c r="G308" s="61" t="e">
        <f>VLOOKUP(A308,'Clientes CBOT'!A:E,5,0)</f>
        <v>#N/A</v>
      </c>
      <c r="H308" t="str">
        <f t="shared" si="12"/>
        <v>Hard</v>
      </c>
      <c r="I308" s="6" t="e">
        <f t="shared" si="13"/>
        <v>#N/A</v>
      </c>
      <c r="J308" s="6" t="e">
        <f t="shared" si="14"/>
        <v>#N/A</v>
      </c>
      <c r="M308" s="64" t="s">
        <v>556</v>
      </c>
      <c r="N308" s="123">
        <v>16519.03</v>
      </c>
    </row>
    <row r="309" spans="2:14" x14ac:dyDescent="0.3">
      <c r="B309" t="e">
        <f>VLOOKUP(A309,'Clientes CBOT'!A:D,4,0)</f>
        <v>#N/A</v>
      </c>
      <c r="C309" s="7" t="e">
        <f>VLOOKUP(A309,'Statement base'!E:AO,21,0)</f>
        <v>#N/A</v>
      </c>
      <c r="D309" s="7" t="e">
        <f>VLOOKUP(A309,'Statement base'!E:AO,10,0)-VLOOKUP(A309,'Statement base'!E:AO,21,0)</f>
        <v>#N/A</v>
      </c>
      <c r="E309" t="s">
        <v>188</v>
      </c>
      <c r="F309" s="6" t="e">
        <f>VLOOKUP(A309,'Statement base'!E:AO,10,0)+VLOOKUP(A309,'Statement base'!E:AO,14,0)</f>
        <v>#N/A</v>
      </c>
      <c r="G309" s="61" t="e">
        <f>VLOOKUP(A309,'Clientes CBOT'!A:E,5,0)</f>
        <v>#N/A</v>
      </c>
      <c r="H309" t="str">
        <f t="shared" si="12"/>
        <v>Hard</v>
      </c>
      <c r="I309" s="6" t="e">
        <f t="shared" si="13"/>
        <v>#N/A</v>
      </c>
      <c r="J309" s="6" t="e">
        <f t="shared" si="14"/>
        <v>#N/A</v>
      </c>
      <c r="M309" s="64" t="s">
        <v>499</v>
      </c>
      <c r="N309" s="123">
        <v>0</v>
      </c>
    </row>
    <row r="310" spans="2:14" x14ac:dyDescent="0.3">
      <c r="B310" t="e">
        <f>VLOOKUP(A310,'Clientes CBOT'!A:D,4,0)</f>
        <v>#N/A</v>
      </c>
      <c r="C310" s="7" t="e">
        <f>VLOOKUP(A310,'Statement base'!E:AO,21,0)</f>
        <v>#N/A</v>
      </c>
      <c r="D310" s="7" t="e">
        <f>VLOOKUP(A310,'Statement base'!E:AO,10,0)-VLOOKUP(A310,'Statement base'!E:AO,21,0)</f>
        <v>#N/A</v>
      </c>
      <c r="E310" t="s">
        <v>188</v>
      </c>
      <c r="F310" s="6" t="e">
        <f>VLOOKUP(A310,'Statement base'!E:AO,10,0)+VLOOKUP(A310,'Statement base'!E:AO,14,0)</f>
        <v>#N/A</v>
      </c>
      <c r="G310" s="61" t="e">
        <f>VLOOKUP(A310,'Clientes CBOT'!A:E,5,0)</f>
        <v>#N/A</v>
      </c>
      <c r="H310" t="str">
        <f t="shared" si="12"/>
        <v>Hard</v>
      </c>
      <c r="I310" s="6" t="e">
        <f t="shared" si="13"/>
        <v>#N/A</v>
      </c>
      <c r="J310" s="6" t="e">
        <f t="shared" si="14"/>
        <v>#N/A</v>
      </c>
      <c r="M310" s="64" t="s">
        <v>557</v>
      </c>
      <c r="N310" s="123">
        <v>-3470.7599999999998</v>
      </c>
    </row>
    <row r="311" spans="2:14" x14ac:dyDescent="0.3">
      <c r="B311" t="e">
        <f>VLOOKUP(A311,'Clientes CBOT'!A:D,4,0)</f>
        <v>#N/A</v>
      </c>
      <c r="C311" s="7" t="e">
        <f>VLOOKUP(A311,'Statement base'!E:AO,21,0)</f>
        <v>#N/A</v>
      </c>
      <c r="D311" s="7" t="e">
        <f>VLOOKUP(A311,'Statement base'!E:AO,10,0)-VLOOKUP(A311,'Statement base'!E:AO,21,0)</f>
        <v>#N/A</v>
      </c>
      <c r="E311" t="s">
        <v>188</v>
      </c>
      <c r="F311" s="6" t="e">
        <f>VLOOKUP(A311,'Statement base'!E:AO,10,0)+VLOOKUP(A311,'Statement base'!E:AO,14,0)</f>
        <v>#N/A</v>
      </c>
      <c r="G311" s="61" t="e">
        <f>VLOOKUP(A311,'Clientes CBOT'!A:E,5,0)</f>
        <v>#N/A</v>
      </c>
      <c r="H311" t="str">
        <f t="shared" si="12"/>
        <v>Hard</v>
      </c>
      <c r="I311" s="6" t="e">
        <f t="shared" si="13"/>
        <v>#N/A</v>
      </c>
      <c r="J311" s="6" t="e">
        <f t="shared" si="14"/>
        <v>#N/A</v>
      </c>
      <c r="M311" s="64" t="s">
        <v>558</v>
      </c>
      <c r="N311" s="123">
        <v>-0.2</v>
      </c>
    </row>
    <row r="312" spans="2:14" x14ac:dyDescent="0.3">
      <c r="B312" t="e">
        <f>VLOOKUP(A312,'Clientes CBOT'!A:D,4,0)</f>
        <v>#N/A</v>
      </c>
      <c r="C312" s="7" t="e">
        <f>VLOOKUP(A312,'Statement base'!E:AO,21,0)</f>
        <v>#N/A</v>
      </c>
      <c r="D312" s="7" t="e">
        <f>VLOOKUP(A312,'Statement base'!E:AO,10,0)-VLOOKUP(A312,'Statement base'!E:AO,21,0)</f>
        <v>#N/A</v>
      </c>
      <c r="E312" t="s">
        <v>188</v>
      </c>
      <c r="F312" s="6" t="e">
        <f>VLOOKUP(A312,'Statement base'!E:AO,10,0)+VLOOKUP(A312,'Statement base'!E:AO,14,0)</f>
        <v>#N/A</v>
      </c>
      <c r="G312" s="61" t="e">
        <f>VLOOKUP(A312,'Clientes CBOT'!A:E,5,0)</f>
        <v>#N/A</v>
      </c>
      <c r="H312" t="str">
        <f t="shared" si="12"/>
        <v>Hard</v>
      </c>
      <c r="I312" s="6" t="e">
        <f t="shared" si="13"/>
        <v>#N/A</v>
      </c>
      <c r="J312" s="6" t="e">
        <f t="shared" si="14"/>
        <v>#N/A</v>
      </c>
      <c r="M312" s="64" t="s">
        <v>392</v>
      </c>
      <c r="N312" s="123">
        <v>1723.07</v>
      </c>
    </row>
    <row r="313" spans="2:14" x14ac:dyDescent="0.3">
      <c r="B313" t="e">
        <f>VLOOKUP(A313,'Clientes CBOT'!A:D,4,0)</f>
        <v>#N/A</v>
      </c>
      <c r="C313" s="7" t="e">
        <f>VLOOKUP(A313,'Statement base'!E:AO,21,0)</f>
        <v>#N/A</v>
      </c>
      <c r="D313" s="7" t="e">
        <f>VLOOKUP(A313,'Statement base'!E:AO,10,0)-VLOOKUP(A313,'Statement base'!E:AO,21,0)</f>
        <v>#N/A</v>
      </c>
      <c r="E313" t="s">
        <v>188</v>
      </c>
      <c r="F313" s="6" t="e">
        <f>VLOOKUP(A313,'Statement base'!E:AO,10,0)+VLOOKUP(A313,'Statement base'!E:AO,14,0)</f>
        <v>#N/A</v>
      </c>
      <c r="G313" s="61" t="e">
        <f>VLOOKUP(A313,'Clientes CBOT'!A:E,5,0)</f>
        <v>#N/A</v>
      </c>
      <c r="H313" t="str">
        <f t="shared" si="12"/>
        <v>Hard</v>
      </c>
      <c r="I313" s="6" t="e">
        <f t="shared" si="13"/>
        <v>#N/A</v>
      </c>
      <c r="J313" s="6" t="e">
        <f t="shared" si="14"/>
        <v>#N/A</v>
      </c>
      <c r="M313" s="64" t="s">
        <v>125</v>
      </c>
      <c r="N313" s="123">
        <v>2392.9299999999998</v>
      </c>
    </row>
    <row r="314" spans="2:14" x14ac:dyDescent="0.3">
      <c r="B314" t="e">
        <f>VLOOKUP(A314,'Clientes CBOT'!A:D,4,0)</f>
        <v>#N/A</v>
      </c>
      <c r="C314" s="7" t="e">
        <f>VLOOKUP(A314,'Statement base'!E:AO,21,0)</f>
        <v>#N/A</v>
      </c>
      <c r="D314" s="7" t="e">
        <f>VLOOKUP(A314,'Statement base'!E:AO,10,0)-VLOOKUP(A314,'Statement base'!E:AO,21,0)</f>
        <v>#N/A</v>
      </c>
      <c r="E314" t="s">
        <v>188</v>
      </c>
      <c r="F314" s="6" t="e">
        <f>VLOOKUP(A314,'Statement base'!E:AO,10,0)+VLOOKUP(A314,'Statement base'!E:AO,14,0)</f>
        <v>#N/A</v>
      </c>
      <c r="G314" s="61" t="e">
        <f>VLOOKUP(A314,'Clientes CBOT'!A:E,5,0)</f>
        <v>#N/A</v>
      </c>
      <c r="H314" t="str">
        <f t="shared" si="12"/>
        <v>Hard</v>
      </c>
      <c r="I314" s="6" t="e">
        <f t="shared" si="13"/>
        <v>#N/A</v>
      </c>
      <c r="J314" s="6" t="e">
        <f t="shared" si="14"/>
        <v>#N/A</v>
      </c>
      <c r="M314" s="64" t="s">
        <v>559</v>
      </c>
      <c r="N314" s="123">
        <v>-70161.710000000006</v>
      </c>
    </row>
    <row r="315" spans="2:14" x14ac:dyDescent="0.3">
      <c r="B315" t="e">
        <f>VLOOKUP(A315,'Clientes CBOT'!A:D,4,0)</f>
        <v>#N/A</v>
      </c>
      <c r="C315" s="7" t="e">
        <f>VLOOKUP(A315,'Statement base'!E:AO,21,0)</f>
        <v>#N/A</v>
      </c>
      <c r="D315" s="7" t="e">
        <f>VLOOKUP(A315,'Statement base'!E:AO,10,0)-VLOOKUP(A315,'Statement base'!E:AO,21,0)</f>
        <v>#N/A</v>
      </c>
      <c r="E315" t="s">
        <v>188</v>
      </c>
      <c r="F315" s="6" t="e">
        <f>VLOOKUP(A315,'Statement base'!E:AO,10,0)+VLOOKUP(A315,'Statement base'!E:AO,14,0)</f>
        <v>#N/A</v>
      </c>
      <c r="G315" s="61" t="e">
        <f>VLOOKUP(A315,'Clientes CBOT'!A:E,5,0)</f>
        <v>#N/A</v>
      </c>
      <c r="H315" t="str">
        <f t="shared" si="12"/>
        <v>Hard</v>
      </c>
      <c r="I315" s="6" t="e">
        <f t="shared" si="13"/>
        <v>#N/A</v>
      </c>
      <c r="J315" s="6" t="e">
        <f t="shared" si="14"/>
        <v>#N/A</v>
      </c>
      <c r="M315" s="64" t="s">
        <v>560</v>
      </c>
      <c r="N315" s="123">
        <v>0</v>
      </c>
    </row>
    <row r="316" spans="2:14" x14ac:dyDescent="0.3">
      <c r="B316" t="e">
        <f>VLOOKUP(A316,'Clientes CBOT'!A:D,4,0)</f>
        <v>#N/A</v>
      </c>
      <c r="C316" s="7" t="e">
        <f>VLOOKUP(A316,'Statement base'!E:AO,21,0)</f>
        <v>#N/A</v>
      </c>
      <c r="D316" s="7" t="e">
        <f>VLOOKUP(A316,'Statement base'!E:AO,10,0)-VLOOKUP(A316,'Statement base'!E:AO,21,0)</f>
        <v>#N/A</v>
      </c>
      <c r="E316" t="s">
        <v>188</v>
      </c>
      <c r="F316" s="6" t="e">
        <f>VLOOKUP(A316,'Statement base'!E:AO,10,0)+VLOOKUP(A316,'Statement base'!E:AO,14,0)</f>
        <v>#N/A</v>
      </c>
      <c r="G316" s="61" t="e">
        <f>VLOOKUP(A316,'Clientes CBOT'!A:E,5,0)</f>
        <v>#N/A</v>
      </c>
      <c r="H316" t="str">
        <f t="shared" si="12"/>
        <v>Hard</v>
      </c>
      <c r="I316" s="6" t="e">
        <f t="shared" si="13"/>
        <v>#N/A</v>
      </c>
      <c r="J316" s="6" t="e">
        <f t="shared" si="14"/>
        <v>#N/A</v>
      </c>
      <c r="M316" s="64" t="s">
        <v>527</v>
      </c>
      <c r="N316" s="123">
        <v>-15045875.65</v>
      </c>
    </row>
    <row r="317" spans="2:14" x14ac:dyDescent="0.3">
      <c r="B317" t="e">
        <f>VLOOKUP(A317,'Clientes CBOT'!A:D,4,0)</f>
        <v>#N/A</v>
      </c>
      <c r="C317" s="7" t="e">
        <f>VLOOKUP(A317,'Statement base'!E:AO,21,0)</f>
        <v>#N/A</v>
      </c>
      <c r="D317" s="7" t="e">
        <f>VLOOKUP(A317,'Statement base'!E:AO,10,0)-VLOOKUP(A317,'Statement base'!E:AO,21,0)</f>
        <v>#N/A</v>
      </c>
      <c r="E317" t="s">
        <v>188</v>
      </c>
      <c r="F317" s="6" t="e">
        <f>VLOOKUP(A317,'Statement base'!E:AO,10,0)+VLOOKUP(A317,'Statement base'!E:AO,14,0)</f>
        <v>#N/A</v>
      </c>
      <c r="G317" s="61" t="e">
        <f>VLOOKUP(A317,'Clientes CBOT'!A:E,5,0)</f>
        <v>#N/A</v>
      </c>
      <c r="H317" t="str">
        <f t="shared" si="12"/>
        <v>Hard</v>
      </c>
      <c r="I317" s="6" t="e">
        <f t="shared" si="13"/>
        <v>#N/A</v>
      </c>
      <c r="J317" s="6" t="e">
        <f t="shared" si="14"/>
        <v>#N/A</v>
      </c>
      <c r="M317" s="64" t="s">
        <v>562</v>
      </c>
      <c r="N317" s="123">
        <v>0</v>
      </c>
    </row>
    <row r="318" spans="2:14" x14ac:dyDescent="0.3">
      <c r="B318" t="e">
        <f>VLOOKUP(A318,'Clientes CBOT'!A:D,4,0)</f>
        <v>#N/A</v>
      </c>
      <c r="C318" s="7" t="e">
        <f>VLOOKUP(A318,'Statement base'!E:AO,21,0)</f>
        <v>#N/A</v>
      </c>
      <c r="D318" s="7" t="e">
        <f>VLOOKUP(A318,'Statement base'!E:AO,10,0)-VLOOKUP(A318,'Statement base'!E:AO,21,0)</f>
        <v>#N/A</v>
      </c>
      <c r="E318" t="s">
        <v>188</v>
      </c>
      <c r="F318" s="6" t="e">
        <f>VLOOKUP(A318,'Statement base'!E:AO,10,0)+VLOOKUP(A318,'Statement base'!E:AO,14,0)</f>
        <v>#N/A</v>
      </c>
      <c r="G318" s="61" t="e">
        <f>VLOOKUP(A318,'Clientes CBOT'!A:E,5,0)</f>
        <v>#N/A</v>
      </c>
      <c r="H318" t="str">
        <f t="shared" si="12"/>
        <v>Hard</v>
      </c>
      <c r="I318" s="6" t="e">
        <f t="shared" si="13"/>
        <v>#N/A</v>
      </c>
      <c r="J318" s="6" t="e">
        <f t="shared" si="14"/>
        <v>#N/A</v>
      </c>
      <c r="M318" s="64" t="s">
        <v>563</v>
      </c>
      <c r="N318" s="123">
        <v>-3783.93</v>
      </c>
    </row>
    <row r="319" spans="2:14" x14ac:dyDescent="0.3">
      <c r="B319" t="e">
        <f>VLOOKUP(A319,'Clientes CBOT'!A:D,4,0)</f>
        <v>#N/A</v>
      </c>
      <c r="C319" s="7" t="e">
        <f>VLOOKUP(A319,'Statement base'!E:AO,21,0)</f>
        <v>#N/A</v>
      </c>
      <c r="D319" s="7" t="e">
        <f>VLOOKUP(A319,'Statement base'!E:AO,10,0)-VLOOKUP(A319,'Statement base'!E:AO,21,0)</f>
        <v>#N/A</v>
      </c>
      <c r="E319" t="s">
        <v>188</v>
      </c>
      <c r="F319" s="6" t="e">
        <f>VLOOKUP(A319,'Statement base'!E:AO,10,0)+VLOOKUP(A319,'Statement base'!E:AO,14,0)</f>
        <v>#N/A</v>
      </c>
      <c r="G319" s="61" t="e">
        <f>VLOOKUP(A319,'Clientes CBOT'!A:E,5,0)</f>
        <v>#N/A</v>
      </c>
      <c r="H319" t="str">
        <f t="shared" si="12"/>
        <v>Hard</v>
      </c>
      <c r="I319" s="6" t="e">
        <f t="shared" si="13"/>
        <v>#N/A</v>
      </c>
      <c r="J319" s="6" t="e">
        <f t="shared" si="14"/>
        <v>#N/A</v>
      </c>
      <c r="M319" s="64" t="s">
        <v>343</v>
      </c>
      <c r="N319" s="123">
        <v>113217.61</v>
      </c>
    </row>
    <row r="320" spans="2:14" x14ac:dyDescent="0.3">
      <c r="B320" t="e">
        <f>VLOOKUP(A320,'Clientes CBOT'!A:D,4,0)</f>
        <v>#N/A</v>
      </c>
      <c r="C320" s="7" t="e">
        <f>VLOOKUP(A320,'Statement base'!E:AO,21,0)</f>
        <v>#N/A</v>
      </c>
      <c r="D320" s="7" t="e">
        <f>VLOOKUP(A320,'Statement base'!E:AO,10,0)-VLOOKUP(A320,'Statement base'!E:AO,21,0)</f>
        <v>#N/A</v>
      </c>
      <c r="E320" t="s">
        <v>188</v>
      </c>
      <c r="F320" s="6" t="e">
        <f>VLOOKUP(A320,'Statement base'!E:AO,10,0)+VLOOKUP(A320,'Statement base'!E:AO,14,0)</f>
        <v>#N/A</v>
      </c>
      <c r="G320" s="61" t="e">
        <f>VLOOKUP(A320,'Clientes CBOT'!A:E,5,0)</f>
        <v>#N/A</v>
      </c>
      <c r="H320" t="str">
        <f t="shared" si="12"/>
        <v>Hard</v>
      </c>
      <c r="I320" s="6" t="e">
        <f t="shared" si="13"/>
        <v>#N/A</v>
      </c>
      <c r="J320" s="6" t="e">
        <f t="shared" si="14"/>
        <v>#N/A</v>
      </c>
      <c r="M320" s="64" t="s">
        <v>564</v>
      </c>
      <c r="N320" s="123">
        <v>2315.31</v>
      </c>
    </row>
    <row r="321" spans="2:14" x14ac:dyDescent="0.3">
      <c r="B321" t="e">
        <f>VLOOKUP(A321,'Clientes CBOT'!A:D,4,0)</f>
        <v>#N/A</v>
      </c>
      <c r="C321" s="7" t="e">
        <f>VLOOKUP(A321,'Statement base'!E:AO,21,0)</f>
        <v>#N/A</v>
      </c>
      <c r="D321" s="7" t="e">
        <f>VLOOKUP(A321,'Statement base'!E:AO,10,0)-VLOOKUP(A321,'Statement base'!E:AO,21,0)</f>
        <v>#N/A</v>
      </c>
      <c r="E321" t="s">
        <v>188</v>
      </c>
      <c r="F321" s="6" t="e">
        <f>VLOOKUP(A321,'Statement base'!E:AO,10,0)+VLOOKUP(A321,'Statement base'!E:AO,14,0)</f>
        <v>#N/A</v>
      </c>
      <c r="G321" s="61" t="e">
        <f>VLOOKUP(A321,'Clientes CBOT'!A:E,5,0)</f>
        <v>#N/A</v>
      </c>
      <c r="H321" t="str">
        <f t="shared" si="12"/>
        <v>Hard</v>
      </c>
      <c r="I321" s="6" t="e">
        <f t="shared" si="13"/>
        <v>#N/A</v>
      </c>
      <c r="J321" s="6" t="e">
        <f t="shared" si="14"/>
        <v>#N/A</v>
      </c>
      <c r="M321" s="64" t="s">
        <v>565</v>
      </c>
      <c r="N321" s="123">
        <v>0</v>
      </c>
    </row>
    <row r="322" spans="2:14" x14ac:dyDescent="0.3">
      <c r="B322" t="e">
        <f>VLOOKUP(A322,'Clientes CBOT'!A:D,4,0)</f>
        <v>#N/A</v>
      </c>
      <c r="C322" s="7" t="e">
        <f>VLOOKUP(A322,'Statement base'!E:AO,21,0)</f>
        <v>#N/A</v>
      </c>
      <c r="D322" s="7" t="e">
        <f>VLOOKUP(A322,'Statement base'!E:AO,10,0)-VLOOKUP(A322,'Statement base'!E:AO,21,0)</f>
        <v>#N/A</v>
      </c>
      <c r="E322" t="s">
        <v>188</v>
      </c>
      <c r="F322" s="6" t="e">
        <f>VLOOKUP(A322,'Statement base'!E:AO,10,0)+VLOOKUP(A322,'Statement base'!E:AO,14,0)</f>
        <v>#N/A</v>
      </c>
      <c r="G322" s="61" t="e">
        <f>VLOOKUP(A322,'Clientes CBOT'!A:E,5,0)</f>
        <v>#N/A</v>
      </c>
      <c r="H322" t="str">
        <f t="shared" si="12"/>
        <v>Hard</v>
      </c>
      <c r="I322" s="6" t="e">
        <f t="shared" si="13"/>
        <v>#N/A</v>
      </c>
      <c r="J322" s="6" t="e">
        <f t="shared" si="14"/>
        <v>#N/A</v>
      </c>
      <c r="M322" s="64" t="s">
        <v>566</v>
      </c>
      <c r="N322" s="123">
        <v>0</v>
      </c>
    </row>
    <row r="323" spans="2:14" x14ac:dyDescent="0.3">
      <c r="B323" t="e">
        <f>VLOOKUP(A323,'Clientes CBOT'!A:D,4,0)</f>
        <v>#N/A</v>
      </c>
      <c r="C323" s="7" t="e">
        <f>VLOOKUP(A323,'Statement base'!E:AO,21,0)</f>
        <v>#N/A</v>
      </c>
      <c r="D323" s="7" t="e">
        <f>VLOOKUP(A323,'Statement base'!E:AO,10,0)-VLOOKUP(A323,'Statement base'!E:AO,21,0)</f>
        <v>#N/A</v>
      </c>
      <c r="E323" t="s">
        <v>188</v>
      </c>
      <c r="F323" s="6" t="e">
        <f>VLOOKUP(A323,'Statement base'!E:AO,10,0)+VLOOKUP(A323,'Statement base'!E:AO,14,0)</f>
        <v>#N/A</v>
      </c>
      <c r="G323" s="61" t="e">
        <f>VLOOKUP(A323,'Clientes CBOT'!A:E,5,0)</f>
        <v>#N/A</v>
      </c>
      <c r="H323" t="str">
        <f t="shared" si="12"/>
        <v>Hard</v>
      </c>
      <c r="I323" s="6" t="e">
        <f t="shared" si="13"/>
        <v>#N/A</v>
      </c>
      <c r="J323" s="6" t="e">
        <f t="shared" si="14"/>
        <v>#N/A</v>
      </c>
      <c r="M323" s="64" t="s">
        <v>567</v>
      </c>
      <c r="N323" s="123">
        <v>0</v>
      </c>
    </row>
    <row r="324" spans="2:14" x14ac:dyDescent="0.3">
      <c r="B324" t="e">
        <f>VLOOKUP(A324,'Clientes CBOT'!A:D,4,0)</f>
        <v>#N/A</v>
      </c>
      <c r="C324" s="7" t="e">
        <f>VLOOKUP(A324,'Statement base'!E:AO,21,0)</f>
        <v>#N/A</v>
      </c>
      <c r="D324" s="7" t="e">
        <f>VLOOKUP(A324,'Statement base'!E:AO,10,0)-VLOOKUP(A324,'Statement base'!E:AO,21,0)</f>
        <v>#N/A</v>
      </c>
      <c r="E324" t="s">
        <v>188</v>
      </c>
      <c r="F324" s="6" t="e">
        <f>VLOOKUP(A324,'Statement base'!E:AO,10,0)+VLOOKUP(A324,'Statement base'!E:AO,14,0)</f>
        <v>#N/A</v>
      </c>
      <c r="G324" s="61" t="e">
        <f>VLOOKUP(A324,'Clientes CBOT'!A:E,5,0)</f>
        <v>#N/A</v>
      </c>
      <c r="H324" t="str">
        <f t="shared" si="12"/>
        <v>Hard</v>
      </c>
      <c r="I324" s="6" t="e">
        <f t="shared" si="13"/>
        <v>#N/A</v>
      </c>
      <c r="J324" s="6" t="e">
        <f t="shared" si="14"/>
        <v>#N/A</v>
      </c>
      <c r="M324" s="64" t="s">
        <v>568</v>
      </c>
      <c r="N324" s="123">
        <v>0</v>
      </c>
    </row>
    <row r="325" spans="2:14" x14ac:dyDescent="0.3">
      <c r="B325" t="e">
        <f>VLOOKUP(A325,'Clientes CBOT'!A:D,4,0)</f>
        <v>#N/A</v>
      </c>
      <c r="C325" s="7" t="e">
        <f>VLOOKUP(A325,'Statement base'!E:AO,21,0)</f>
        <v>#N/A</v>
      </c>
      <c r="D325" s="7" t="e">
        <f>VLOOKUP(A325,'Statement base'!E:AO,10,0)-VLOOKUP(A325,'Statement base'!E:AO,21,0)</f>
        <v>#N/A</v>
      </c>
      <c r="E325" t="s">
        <v>188</v>
      </c>
      <c r="F325" s="6" t="e">
        <f>VLOOKUP(A325,'Statement base'!E:AO,10,0)+VLOOKUP(A325,'Statement base'!E:AO,14,0)</f>
        <v>#N/A</v>
      </c>
      <c r="G325" s="61" t="e">
        <f>VLOOKUP(A325,'Clientes CBOT'!A:E,5,0)</f>
        <v>#N/A</v>
      </c>
      <c r="H325" t="str">
        <f t="shared" ref="H325:H388" si="15">IF(E325="pesos","Ars",IF(E325="Dólar Matba Rofex","usd linked","Hard"))</f>
        <v>Hard</v>
      </c>
      <c r="I325" s="6" t="e">
        <f t="shared" ref="I325:I388" si="16">IF(H325="ars",C325/$J$1,IF(H325="hard",C325*$J$2/$J$1,C325))</f>
        <v>#N/A</v>
      </c>
      <c r="J325" s="6" t="e">
        <f t="shared" ref="J325:J388" si="17">IF(H325="ars",D325/$J$1,IF(H325="hard",D325*$J$2/$J$1,D325))</f>
        <v>#N/A</v>
      </c>
      <c r="M325" s="64" t="s">
        <v>569</v>
      </c>
      <c r="N325" s="123">
        <v>0</v>
      </c>
    </row>
    <row r="326" spans="2:14" x14ac:dyDescent="0.3">
      <c r="B326" t="e">
        <f>VLOOKUP(A326,'Clientes CBOT'!A:D,4,0)</f>
        <v>#N/A</v>
      </c>
      <c r="C326" s="7" t="e">
        <f>VLOOKUP(A326,'Statement base'!E:AO,21,0)</f>
        <v>#N/A</v>
      </c>
      <c r="D326" s="7" t="e">
        <f>VLOOKUP(A326,'Statement base'!E:AO,10,0)-VLOOKUP(A326,'Statement base'!E:AO,21,0)</f>
        <v>#N/A</v>
      </c>
      <c r="E326" t="s">
        <v>188</v>
      </c>
      <c r="F326" s="6" t="e">
        <f>VLOOKUP(A326,'Statement base'!E:AO,10,0)+VLOOKUP(A326,'Statement base'!E:AO,14,0)</f>
        <v>#N/A</v>
      </c>
      <c r="G326" s="61" t="e">
        <f>VLOOKUP(A326,'Clientes CBOT'!A:E,5,0)</f>
        <v>#N/A</v>
      </c>
      <c r="H326" t="str">
        <f t="shared" si="15"/>
        <v>Hard</v>
      </c>
      <c r="I326" s="6" t="e">
        <f t="shared" si="16"/>
        <v>#N/A</v>
      </c>
      <c r="J326" s="6" t="e">
        <f t="shared" si="17"/>
        <v>#N/A</v>
      </c>
      <c r="M326" s="64" t="s">
        <v>347</v>
      </c>
      <c r="N326" s="123">
        <v>144.99</v>
      </c>
    </row>
    <row r="327" spans="2:14" x14ac:dyDescent="0.3">
      <c r="B327" t="e">
        <f>VLOOKUP(A327,'Clientes CBOT'!A:D,4,0)</f>
        <v>#N/A</v>
      </c>
      <c r="C327" s="7" t="e">
        <f>VLOOKUP(A327,'Statement base'!E:AO,21,0)</f>
        <v>#N/A</v>
      </c>
      <c r="D327" s="7" t="e">
        <f>VLOOKUP(A327,'Statement base'!E:AO,10,0)-VLOOKUP(A327,'Statement base'!E:AO,21,0)</f>
        <v>#N/A</v>
      </c>
      <c r="E327" t="s">
        <v>188</v>
      </c>
      <c r="F327" s="6" t="e">
        <f>VLOOKUP(A327,'Statement base'!E:AO,10,0)+VLOOKUP(A327,'Statement base'!E:AO,14,0)</f>
        <v>#N/A</v>
      </c>
      <c r="G327" s="61" t="e">
        <f>VLOOKUP(A327,'Clientes CBOT'!A:E,5,0)</f>
        <v>#N/A</v>
      </c>
      <c r="H327" t="str">
        <f t="shared" si="15"/>
        <v>Hard</v>
      </c>
      <c r="I327" s="6" t="e">
        <f t="shared" si="16"/>
        <v>#N/A</v>
      </c>
      <c r="J327" s="6" t="e">
        <f t="shared" si="17"/>
        <v>#N/A</v>
      </c>
      <c r="M327" s="64" t="s">
        <v>570</v>
      </c>
      <c r="N327" s="123">
        <v>0.4</v>
      </c>
    </row>
    <row r="328" spans="2:14" x14ac:dyDescent="0.3">
      <c r="B328" t="e">
        <f>VLOOKUP(A328,'Clientes CBOT'!A:D,4,0)</f>
        <v>#N/A</v>
      </c>
      <c r="C328" s="7" t="e">
        <f>VLOOKUP(A328,'Statement base'!E:AO,21,0)</f>
        <v>#N/A</v>
      </c>
      <c r="D328" s="7" t="e">
        <f>VLOOKUP(A328,'Statement base'!E:AO,10,0)-VLOOKUP(A328,'Statement base'!E:AO,21,0)</f>
        <v>#N/A</v>
      </c>
      <c r="E328" t="s">
        <v>188</v>
      </c>
      <c r="F328" s="6" t="e">
        <f>VLOOKUP(A328,'Statement base'!E:AO,10,0)+VLOOKUP(A328,'Statement base'!E:AO,14,0)</f>
        <v>#N/A</v>
      </c>
      <c r="G328" s="61" t="e">
        <f>VLOOKUP(A328,'Clientes CBOT'!A:E,5,0)</f>
        <v>#N/A</v>
      </c>
      <c r="H328" t="str">
        <f t="shared" si="15"/>
        <v>Hard</v>
      </c>
      <c r="I328" s="6" t="e">
        <f t="shared" si="16"/>
        <v>#N/A</v>
      </c>
      <c r="J328" s="6" t="e">
        <f t="shared" si="17"/>
        <v>#N/A</v>
      </c>
      <c r="M328" s="64" t="s">
        <v>456</v>
      </c>
      <c r="N328" s="123">
        <v>-6683501808.0699997</v>
      </c>
    </row>
    <row r="329" spans="2:14" x14ac:dyDescent="0.3">
      <c r="B329" t="e">
        <f>VLOOKUP(A329,'Clientes CBOT'!A:D,4,0)</f>
        <v>#N/A</v>
      </c>
      <c r="C329" s="7" t="e">
        <f>VLOOKUP(A329,'Statement base'!E:AO,21,0)</f>
        <v>#N/A</v>
      </c>
      <c r="D329" s="7" t="e">
        <f>VLOOKUP(A329,'Statement base'!E:AO,10,0)-VLOOKUP(A329,'Statement base'!E:AO,21,0)</f>
        <v>#N/A</v>
      </c>
      <c r="E329" t="s">
        <v>188</v>
      </c>
      <c r="F329" s="6" t="e">
        <f>VLOOKUP(A329,'Statement base'!E:AO,10,0)+VLOOKUP(A329,'Statement base'!E:AO,14,0)</f>
        <v>#N/A</v>
      </c>
      <c r="G329" s="61" t="e">
        <f>VLOOKUP(A329,'Clientes CBOT'!A:E,5,0)</f>
        <v>#N/A</v>
      </c>
      <c r="H329" t="str">
        <f t="shared" si="15"/>
        <v>Hard</v>
      </c>
      <c r="I329" s="6" t="e">
        <f t="shared" si="16"/>
        <v>#N/A</v>
      </c>
      <c r="J329" s="6" t="e">
        <f t="shared" si="17"/>
        <v>#N/A</v>
      </c>
      <c r="M329" s="64" t="s">
        <v>572</v>
      </c>
      <c r="N329" s="123">
        <v>0.28000000000000003</v>
      </c>
    </row>
    <row r="330" spans="2:14" x14ac:dyDescent="0.3">
      <c r="B330" t="e">
        <f>VLOOKUP(A330,'Clientes CBOT'!A:D,4,0)</f>
        <v>#N/A</v>
      </c>
      <c r="C330" s="7" t="e">
        <f>VLOOKUP(A330,'Statement base'!E:AO,21,0)</f>
        <v>#N/A</v>
      </c>
      <c r="D330" s="7" t="e">
        <f>VLOOKUP(A330,'Statement base'!E:AO,10,0)-VLOOKUP(A330,'Statement base'!E:AO,21,0)</f>
        <v>#N/A</v>
      </c>
      <c r="E330" t="s">
        <v>188</v>
      </c>
      <c r="F330" s="6" t="e">
        <f>VLOOKUP(A330,'Statement base'!E:AO,10,0)+VLOOKUP(A330,'Statement base'!E:AO,14,0)</f>
        <v>#N/A</v>
      </c>
      <c r="G330" s="61" t="e">
        <f>VLOOKUP(A330,'Clientes CBOT'!A:E,5,0)</f>
        <v>#N/A</v>
      </c>
      <c r="H330" t="str">
        <f t="shared" si="15"/>
        <v>Hard</v>
      </c>
      <c r="I330" s="6" t="e">
        <f t="shared" si="16"/>
        <v>#N/A</v>
      </c>
      <c r="J330" s="6" t="e">
        <f t="shared" si="17"/>
        <v>#N/A</v>
      </c>
      <c r="M330" s="64" t="s">
        <v>428</v>
      </c>
      <c r="N330" s="123">
        <v>0</v>
      </c>
    </row>
    <row r="331" spans="2:14" x14ac:dyDescent="0.3">
      <c r="B331" t="e">
        <f>VLOOKUP(A331,'Clientes CBOT'!A:D,4,0)</f>
        <v>#N/A</v>
      </c>
      <c r="C331" s="7" t="e">
        <f>VLOOKUP(A331,'Statement base'!E:AO,21,0)</f>
        <v>#N/A</v>
      </c>
      <c r="D331" s="7" t="e">
        <f>VLOOKUP(A331,'Statement base'!E:AO,10,0)-VLOOKUP(A331,'Statement base'!E:AO,21,0)</f>
        <v>#N/A</v>
      </c>
      <c r="E331" t="s">
        <v>188</v>
      </c>
      <c r="F331" s="6" t="e">
        <f>VLOOKUP(A331,'Statement base'!E:AO,10,0)+VLOOKUP(A331,'Statement base'!E:AO,14,0)</f>
        <v>#N/A</v>
      </c>
      <c r="G331" s="61" t="e">
        <f>VLOOKUP(A331,'Clientes CBOT'!A:E,5,0)</f>
        <v>#N/A</v>
      </c>
      <c r="H331" t="str">
        <f t="shared" si="15"/>
        <v>Hard</v>
      </c>
      <c r="I331" s="6" t="e">
        <f t="shared" si="16"/>
        <v>#N/A</v>
      </c>
      <c r="J331" s="6" t="e">
        <f t="shared" si="17"/>
        <v>#N/A</v>
      </c>
      <c r="M331" s="64" t="s">
        <v>573</v>
      </c>
      <c r="N331" s="123">
        <v>561.80999999999995</v>
      </c>
    </row>
    <row r="332" spans="2:14" x14ac:dyDescent="0.3">
      <c r="B332" t="e">
        <f>VLOOKUP(A332,'Clientes CBOT'!A:D,4,0)</f>
        <v>#N/A</v>
      </c>
      <c r="C332" s="7" t="e">
        <f>VLOOKUP(A332,'Statement base'!E:AO,21,0)</f>
        <v>#N/A</v>
      </c>
      <c r="D332" s="7" t="e">
        <f>VLOOKUP(A332,'Statement base'!E:AO,10,0)-VLOOKUP(A332,'Statement base'!E:AO,21,0)</f>
        <v>#N/A</v>
      </c>
      <c r="E332" t="s">
        <v>188</v>
      </c>
      <c r="F332" s="6" t="e">
        <f>VLOOKUP(A332,'Statement base'!E:AO,10,0)+VLOOKUP(A332,'Statement base'!E:AO,14,0)</f>
        <v>#N/A</v>
      </c>
      <c r="G332" s="61" t="e">
        <f>VLOOKUP(A332,'Clientes CBOT'!A:E,5,0)</f>
        <v>#N/A</v>
      </c>
      <c r="H332" t="str">
        <f t="shared" si="15"/>
        <v>Hard</v>
      </c>
      <c r="I332" s="6" t="e">
        <f t="shared" si="16"/>
        <v>#N/A</v>
      </c>
      <c r="J332" s="6" t="e">
        <f t="shared" si="17"/>
        <v>#N/A</v>
      </c>
      <c r="M332" s="64" t="s">
        <v>574</v>
      </c>
      <c r="N332" s="123">
        <v>-10081229.289999999</v>
      </c>
    </row>
    <row r="333" spans="2:14" x14ac:dyDescent="0.3">
      <c r="B333" t="e">
        <f>VLOOKUP(A333,'Clientes CBOT'!A:D,4,0)</f>
        <v>#N/A</v>
      </c>
      <c r="C333" s="7" t="e">
        <f>VLOOKUP(A333,'Statement base'!E:AO,21,0)</f>
        <v>#N/A</v>
      </c>
      <c r="D333" s="7" t="e">
        <f>VLOOKUP(A333,'Statement base'!E:AO,10,0)-VLOOKUP(A333,'Statement base'!E:AO,21,0)</f>
        <v>#N/A</v>
      </c>
      <c r="E333" t="s">
        <v>188</v>
      </c>
      <c r="F333" s="6" t="e">
        <f>VLOOKUP(A333,'Statement base'!E:AO,10,0)+VLOOKUP(A333,'Statement base'!E:AO,14,0)</f>
        <v>#N/A</v>
      </c>
      <c r="G333" s="61" t="e">
        <f>VLOOKUP(A333,'Clientes CBOT'!A:E,5,0)</f>
        <v>#N/A</v>
      </c>
      <c r="H333" t="str">
        <f t="shared" si="15"/>
        <v>Hard</v>
      </c>
      <c r="I333" s="6" t="e">
        <f t="shared" si="16"/>
        <v>#N/A</v>
      </c>
      <c r="J333" s="6" t="e">
        <f t="shared" si="17"/>
        <v>#N/A</v>
      </c>
      <c r="M333" s="64" t="s">
        <v>575</v>
      </c>
      <c r="N333" s="123">
        <v>-4391.26</v>
      </c>
    </row>
    <row r="334" spans="2:14" x14ac:dyDescent="0.3">
      <c r="B334" t="e">
        <f>VLOOKUP(A334,'Clientes CBOT'!A:D,4,0)</f>
        <v>#N/A</v>
      </c>
      <c r="C334" s="7" t="e">
        <f>VLOOKUP(A334,'Statement base'!E:AO,21,0)</f>
        <v>#N/A</v>
      </c>
      <c r="D334" s="7" t="e">
        <f>VLOOKUP(A334,'Statement base'!E:AO,10,0)-VLOOKUP(A334,'Statement base'!E:AO,21,0)</f>
        <v>#N/A</v>
      </c>
      <c r="E334" t="s">
        <v>188</v>
      </c>
      <c r="F334" s="6" t="e">
        <f>VLOOKUP(A334,'Statement base'!E:AO,10,0)+VLOOKUP(A334,'Statement base'!E:AO,14,0)</f>
        <v>#N/A</v>
      </c>
      <c r="G334" s="61" t="e">
        <f>VLOOKUP(A334,'Clientes CBOT'!A:E,5,0)</f>
        <v>#N/A</v>
      </c>
      <c r="H334" t="str">
        <f t="shared" si="15"/>
        <v>Hard</v>
      </c>
      <c r="I334" s="6" t="e">
        <f t="shared" si="16"/>
        <v>#N/A</v>
      </c>
      <c r="J334" s="6" t="e">
        <f t="shared" si="17"/>
        <v>#N/A</v>
      </c>
      <c r="M334" s="64" t="s">
        <v>120</v>
      </c>
      <c r="N334" s="123">
        <v>5682.4</v>
      </c>
    </row>
    <row r="335" spans="2:14" x14ac:dyDescent="0.3">
      <c r="B335" t="e">
        <f>VLOOKUP(A335,'Clientes CBOT'!A:D,4,0)</f>
        <v>#N/A</v>
      </c>
      <c r="C335" s="7" t="e">
        <f>VLOOKUP(A335,'Statement base'!E:AO,21,0)</f>
        <v>#N/A</v>
      </c>
      <c r="D335" s="7" t="e">
        <f>VLOOKUP(A335,'Statement base'!E:AO,10,0)-VLOOKUP(A335,'Statement base'!E:AO,21,0)</f>
        <v>#N/A</v>
      </c>
      <c r="E335" t="s">
        <v>188</v>
      </c>
      <c r="F335" s="6" t="e">
        <f>VLOOKUP(A335,'Statement base'!E:AO,10,0)+VLOOKUP(A335,'Statement base'!E:AO,14,0)</f>
        <v>#N/A</v>
      </c>
      <c r="G335" s="61" t="e">
        <f>VLOOKUP(A335,'Clientes CBOT'!A:E,5,0)</f>
        <v>#N/A</v>
      </c>
      <c r="H335" t="str">
        <f t="shared" si="15"/>
        <v>Hard</v>
      </c>
      <c r="I335" s="6" t="e">
        <f t="shared" si="16"/>
        <v>#N/A</v>
      </c>
      <c r="J335" s="6" t="e">
        <f t="shared" si="17"/>
        <v>#N/A</v>
      </c>
      <c r="M335" s="64" t="s">
        <v>576</v>
      </c>
      <c r="N335" s="123">
        <v>0</v>
      </c>
    </row>
    <row r="336" spans="2:14" x14ac:dyDescent="0.3">
      <c r="B336" t="e">
        <f>VLOOKUP(A336,'Clientes CBOT'!A:D,4,0)</f>
        <v>#N/A</v>
      </c>
      <c r="C336" s="7" t="e">
        <f>VLOOKUP(A336,'Statement base'!E:AO,21,0)</f>
        <v>#N/A</v>
      </c>
      <c r="D336" s="7" t="e">
        <f>VLOOKUP(A336,'Statement base'!E:AO,10,0)-VLOOKUP(A336,'Statement base'!E:AO,21,0)</f>
        <v>#N/A</v>
      </c>
      <c r="E336" t="s">
        <v>188</v>
      </c>
      <c r="F336" s="6" t="e">
        <f>VLOOKUP(A336,'Statement base'!E:AO,10,0)+VLOOKUP(A336,'Statement base'!E:AO,14,0)</f>
        <v>#N/A</v>
      </c>
      <c r="G336" s="61" t="e">
        <f>VLOOKUP(A336,'Clientes CBOT'!A:E,5,0)</f>
        <v>#N/A</v>
      </c>
      <c r="H336" t="str">
        <f t="shared" si="15"/>
        <v>Hard</v>
      </c>
      <c r="I336" s="6" t="e">
        <f t="shared" si="16"/>
        <v>#N/A</v>
      </c>
      <c r="J336" s="6" t="e">
        <f t="shared" si="17"/>
        <v>#N/A</v>
      </c>
      <c r="M336" s="64" t="s">
        <v>353</v>
      </c>
      <c r="N336" s="123">
        <v>0</v>
      </c>
    </row>
    <row r="337" spans="2:14" x14ac:dyDescent="0.3">
      <c r="B337" t="e">
        <f>VLOOKUP(A337,'Clientes CBOT'!A:D,4,0)</f>
        <v>#N/A</v>
      </c>
      <c r="C337" s="7" t="e">
        <f>VLOOKUP(A337,'Statement base'!E:AO,21,0)</f>
        <v>#N/A</v>
      </c>
      <c r="D337" s="7" t="e">
        <f>VLOOKUP(A337,'Statement base'!E:AO,10,0)-VLOOKUP(A337,'Statement base'!E:AO,21,0)</f>
        <v>#N/A</v>
      </c>
      <c r="E337" t="s">
        <v>188</v>
      </c>
      <c r="F337" s="6" t="e">
        <f>VLOOKUP(A337,'Statement base'!E:AO,10,0)+VLOOKUP(A337,'Statement base'!E:AO,14,0)</f>
        <v>#N/A</v>
      </c>
      <c r="G337" s="61" t="e">
        <f>VLOOKUP(A337,'Clientes CBOT'!A:E,5,0)</f>
        <v>#N/A</v>
      </c>
      <c r="H337" t="str">
        <f t="shared" si="15"/>
        <v>Hard</v>
      </c>
      <c r="I337" s="6" t="e">
        <f t="shared" si="16"/>
        <v>#N/A</v>
      </c>
      <c r="J337" s="6" t="e">
        <f t="shared" si="17"/>
        <v>#N/A</v>
      </c>
      <c r="M337" s="64" t="s">
        <v>577</v>
      </c>
      <c r="N337" s="123">
        <v>0</v>
      </c>
    </row>
    <row r="338" spans="2:14" x14ac:dyDescent="0.3">
      <c r="B338" t="e">
        <f>VLOOKUP(A338,'Clientes CBOT'!A:D,4,0)</f>
        <v>#N/A</v>
      </c>
      <c r="C338" s="7" t="e">
        <f>VLOOKUP(A338,'Statement base'!E:AO,21,0)</f>
        <v>#N/A</v>
      </c>
      <c r="D338" s="7" t="e">
        <f>VLOOKUP(A338,'Statement base'!E:AO,10,0)-VLOOKUP(A338,'Statement base'!E:AO,21,0)</f>
        <v>#N/A</v>
      </c>
      <c r="E338" t="s">
        <v>188</v>
      </c>
      <c r="F338" s="6" t="e">
        <f>VLOOKUP(A338,'Statement base'!E:AO,10,0)+VLOOKUP(A338,'Statement base'!E:AO,14,0)</f>
        <v>#N/A</v>
      </c>
      <c r="G338" s="61" t="e">
        <f>VLOOKUP(A338,'Clientes CBOT'!A:E,5,0)</f>
        <v>#N/A</v>
      </c>
      <c r="H338" t="str">
        <f t="shared" si="15"/>
        <v>Hard</v>
      </c>
      <c r="I338" s="6" t="e">
        <f t="shared" si="16"/>
        <v>#N/A</v>
      </c>
      <c r="J338" s="6" t="e">
        <f t="shared" si="17"/>
        <v>#N/A</v>
      </c>
      <c r="M338" s="64" t="s">
        <v>578</v>
      </c>
      <c r="N338" s="123">
        <v>1869.56</v>
      </c>
    </row>
    <row r="339" spans="2:14" x14ac:dyDescent="0.3">
      <c r="B339" t="e">
        <f>VLOOKUP(A339,'Clientes CBOT'!A:D,4,0)</f>
        <v>#N/A</v>
      </c>
      <c r="C339" s="7" t="e">
        <f>VLOOKUP(A339,'Statement base'!E:AO,21,0)</f>
        <v>#N/A</v>
      </c>
      <c r="D339" s="7" t="e">
        <f>VLOOKUP(A339,'Statement base'!E:AO,10,0)-VLOOKUP(A339,'Statement base'!E:AO,21,0)</f>
        <v>#N/A</v>
      </c>
      <c r="E339" t="s">
        <v>188</v>
      </c>
      <c r="F339" s="6" t="e">
        <f>VLOOKUP(A339,'Statement base'!E:AO,10,0)+VLOOKUP(A339,'Statement base'!E:AO,14,0)</f>
        <v>#N/A</v>
      </c>
      <c r="G339" s="61" t="e">
        <f>VLOOKUP(A339,'Clientes CBOT'!A:E,5,0)</f>
        <v>#N/A</v>
      </c>
      <c r="H339" t="str">
        <f t="shared" si="15"/>
        <v>Hard</v>
      </c>
      <c r="I339" s="6" t="e">
        <f t="shared" si="16"/>
        <v>#N/A</v>
      </c>
      <c r="J339" s="6" t="e">
        <f t="shared" si="17"/>
        <v>#N/A</v>
      </c>
      <c r="M339" s="64" t="s">
        <v>357</v>
      </c>
      <c r="N339" s="123">
        <v>75812659.550000012</v>
      </c>
    </row>
    <row r="340" spans="2:14" x14ac:dyDescent="0.3">
      <c r="B340" t="e">
        <f>VLOOKUP(A340,'Clientes CBOT'!A:D,4,0)</f>
        <v>#N/A</v>
      </c>
      <c r="C340" s="7" t="e">
        <f>VLOOKUP(A340,'Statement base'!E:AO,21,0)</f>
        <v>#N/A</v>
      </c>
      <c r="D340" s="7" t="e">
        <f>VLOOKUP(A340,'Statement base'!E:AO,10,0)-VLOOKUP(A340,'Statement base'!E:AO,21,0)</f>
        <v>#N/A</v>
      </c>
      <c r="E340" t="s">
        <v>188</v>
      </c>
      <c r="F340" s="6" t="e">
        <f>VLOOKUP(A340,'Statement base'!E:AO,10,0)+VLOOKUP(A340,'Statement base'!E:AO,14,0)</f>
        <v>#N/A</v>
      </c>
      <c r="G340" s="61" t="e">
        <f>VLOOKUP(A340,'Clientes CBOT'!A:E,5,0)</f>
        <v>#N/A</v>
      </c>
      <c r="H340" t="str">
        <f t="shared" si="15"/>
        <v>Hard</v>
      </c>
      <c r="I340" s="6" t="e">
        <f t="shared" si="16"/>
        <v>#N/A</v>
      </c>
      <c r="J340" s="6" t="e">
        <f t="shared" si="17"/>
        <v>#N/A</v>
      </c>
      <c r="M340" s="64" t="s">
        <v>580</v>
      </c>
      <c r="N340" s="123">
        <v>0</v>
      </c>
    </row>
    <row r="341" spans="2:14" x14ac:dyDescent="0.3">
      <c r="B341" t="e">
        <f>VLOOKUP(A341,'Clientes CBOT'!A:D,4,0)</f>
        <v>#N/A</v>
      </c>
      <c r="C341" s="7" t="e">
        <f>VLOOKUP(A341,'Statement base'!E:AO,21,0)</f>
        <v>#N/A</v>
      </c>
      <c r="D341" s="7" t="e">
        <f>VLOOKUP(A341,'Statement base'!E:AO,10,0)-VLOOKUP(A341,'Statement base'!E:AO,21,0)</f>
        <v>#N/A</v>
      </c>
      <c r="E341" t="s">
        <v>188</v>
      </c>
      <c r="F341" s="6" t="e">
        <f>VLOOKUP(A341,'Statement base'!E:AO,10,0)+VLOOKUP(A341,'Statement base'!E:AO,14,0)</f>
        <v>#N/A</v>
      </c>
      <c r="G341" s="61" t="e">
        <f>VLOOKUP(A341,'Clientes CBOT'!A:E,5,0)</f>
        <v>#N/A</v>
      </c>
      <c r="H341" t="str">
        <f t="shared" si="15"/>
        <v>Hard</v>
      </c>
      <c r="I341" s="6" t="e">
        <f t="shared" si="16"/>
        <v>#N/A</v>
      </c>
      <c r="J341" s="6" t="e">
        <f t="shared" si="17"/>
        <v>#N/A</v>
      </c>
      <c r="M341" s="64" t="s">
        <v>581</v>
      </c>
      <c r="N341" s="123">
        <v>0</v>
      </c>
    </row>
    <row r="342" spans="2:14" x14ac:dyDescent="0.3">
      <c r="B342" t="e">
        <f>VLOOKUP(A342,'Clientes CBOT'!A:D,4,0)</f>
        <v>#N/A</v>
      </c>
      <c r="C342" s="7" t="e">
        <f>VLOOKUP(A342,'Statement base'!E:AO,21,0)</f>
        <v>#N/A</v>
      </c>
      <c r="D342" s="7" t="e">
        <f>VLOOKUP(A342,'Statement base'!E:AO,10,0)-VLOOKUP(A342,'Statement base'!E:AO,21,0)</f>
        <v>#N/A</v>
      </c>
      <c r="E342" t="s">
        <v>188</v>
      </c>
      <c r="F342" s="6" t="e">
        <f>VLOOKUP(A342,'Statement base'!E:AO,10,0)+VLOOKUP(A342,'Statement base'!E:AO,14,0)</f>
        <v>#N/A</v>
      </c>
      <c r="G342" s="61" t="e">
        <f>VLOOKUP(A342,'Clientes CBOT'!A:E,5,0)</f>
        <v>#N/A</v>
      </c>
      <c r="H342" t="str">
        <f t="shared" si="15"/>
        <v>Hard</v>
      </c>
      <c r="I342" s="6" t="e">
        <f t="shared" si="16"/>
        <v>#N/A</v>
      </c>
      <c r="J342" s="6" t="e">
        <f t="shared" si="17"/>
        <v>#N/A</v>
      </c>
      <c r="M342" s="64" t="s">
        <v>582</v>
      </c>
      <c r="N342" s="123">
        <v>0</v>
      </c>
    </row>
    <row r="343" spans="2:14" x14ac:dyDescent="0.3">
      <c r="B343" t="e">
        <f>VLOOKUP(A343,'Clientes CBOT'!A:D,4,0)</f>
        <v>#N/A</v>
      </c>
      <c r="C343" s="7" t="e">
        <f>VLOOKUP(A343,'Statement base'!E:AO,21,0)</f>
        <v>#N/A</v>
      </c>
      <c r="D343" s="7" t="e">
        <f>VLOOKUP(A343,'Statement base'!E:AO,10,0)-VLOOKUP(A343,'Statement base'!E:AO,21,0)</f>
        <v>#N/A</v>
      </c>
      <c r="E343" t="s">
        <v>188</v>
      </c>
      <c r="F343" s="6" t="e">
        <f>VLOOKUP(A343,'Statement base'!E:AO,10,0)+VLOOKUP(A343,'Statement base'!E:AO,14,0)</f>
        <v>#N/A</v>
      </c>
      <c r="G343" s="61" t="e">
        <f>VLOOKUP(A343,'Clientes CBOT'!A:E,5,0)</f>
        <v>#N/A</v>
      </c>
      <c r="H343" t="str">
        <f t="shared" si="15"/>
        <v>Hard</v>
      </c>
      <c r="I343" s="6" t="e">
        <f t="shared" si="16"/>
        <v>#N/A</v>
      </c>
      <c r="J343" s="6" t="e">
        <f t="shared" si="17"/>
        <v>#N/A</v>
      </c>
      <c r="M343" s="64" t="s">
        <v>583</v>
      </c>
      <c r="N343" s="123">
        <v>0</v>
      </c>
    </row>
    <row r="344" spans="2:14" x14ac:dyDescent="0.3">
      <c r="B344" t="e">
        <f>VLOOKUP(A344,'Clientes CBOT'!A:D,4,0)</f>
        <v>#N/A</v>
      </c>
      <c r="C344" s="7" t="e">
        <f>VLOOKUP(A344,'Statement base'!E:AO,21,0)</f>
        <v>#N/A</v>
      </c>
      <c r="D344" s="7" t="e">
        <f>VLOOKUP(A344,'Statement base'!E:AO,10,0)-VLOOKUP(A344,'Statement base'!E:AO,21,0)</f>
        <v>#N/A</v>
      </c>
      <c r="E344" t="s">
        <v>188</v>
      </c>
      <c r="F344" s="6" t="e">
        <f>VLOOKUP(A344,'Statement base'!E:AO,10,0)+VLOOKUP(A344,'Statement base'!E:AO,14,0)</f>
        <v>#N/A</v>
      </c>
      <c r="G344" s="61" t="e">
        <f>VLOOKUP(A344,'Clientes CBOT'!A:E,5,0)</f>
        <v>#N/A</v>
      </c>
      <c r="H344" t="str">
        <f t="shared" si="15"/>
        <v>Hard</v>
      </c>
      <c r="I344" s="6" t="e">
        <f t="shared" si="16"/>
        <v>#N/A</v>
      </c>
      <c r="J344" s="6" t="e">
        <f t="shared" si="17"/>
        <v>#N/A</v>
      </c>
      <c r="M344" s="64" t="s">
        <v>584</v>
      </c>
      <c r="N344" s="123">
        <v>0</v>
      </c>
    </row>
    <row r="345" spans="2:14" x14ac:dyDescent="0.3">
      <c r="B345" t="e">
        <f>VLOOKUP(A345,'Clientes CBOT'!A:D,4,0)</f>
        <v>#N/A</v>
      </c>
      <c r="C345" s="7" t="e">
        <f>VLOOKUP(A345,'Statement base'!E:AO,21,0)</f>
        <v>#N/A</v>
      </c>
      <c r="D345" s="7" t="e">
        <f>VLOOKUP(A345,'Statement base'!E:AO,10,0)-VLOOKUP(A345,'Statement base'!E:AO,21,0)</f>
        <v>#N/A</v>
      </c>
      <c r="E345" t="s">
        <v>188</v>
      </c>
      <c r="F345" s="6" t="e">
        <f>VLOOKUP(A345,'Statement base'!E:AO,10,0)+VLOOKUP(A345,'Statement base'!E:AO,14,0)</f>
        <v>#N/A</v>
      </c>
      <c r="G345" s="61" t="e">
        <f>VLOOKUP(A345,'Clientes CBOT'!A:E,5,0)</f>
        <v>#N/A</v>
      </c>
      <c r="H345" t="str">
        <f t="shared" si="15"/>
        <v>Hard</v>
      </c>
      <c r="I345" s="6" t="e">
        <f t="shared" si="16"/>
        <v>#N/A</v>
      </c>
      <c r="J345" s="6" t="e">
        <f t="shared" si="17"/>
        <v>#N/A</v>
      </c>
      <c r="M345" s="64" t="s">
        <v>502</v>
      </c>
      <c r="N345" s="123">
        <v>26656.2</v>
      </c>
    </row>
    <row r="346" spans="2:14" x14ac:dyDescent="0.3">
      <c r="B346" t="e">
        <f>VLOOKUP(A346,'Clientes CBOT'!A:D,4,0)</f>
        <v>#N/A</v>
      </c>
      <c r="C346" s="7" t="e">
        <f>VLOOKUP(A346,'Statement base'!E:AO,21,0)</f>
        <v>#N/A</v>
      </c>
      <c r="D346" s="7" t="e">
        <f>VLOOKUP(A346,'Statement base'!E:AO,10,0)-VLOOKUP(A346,'Statement base'!E:AO,21,0)</f>
        <v>#N/A</v>
      </c>
      <c r="E346" t="s">
        <v>188</v>
      </c>
      <c r="F346" s="6" t="e">
        <f>VLOOKUP(A346,'Statement base'!E:AO,10,0)+VLOOKUP(A346,'Statement base'!E:AO,14,0)</f>
        <v>#N/A</v>
      </c>
      <c r="G346" s="61" t="e">
        <f>VLOOKUP(A346,'Clientes CBOT'!A:E,5,0)</f>
        <v>#N/A</v>
      </c>
      <c r="H346" t="str">
        <f t="shared" si="15"/>
        <v>Hard</v>
      </c>
      <c r="I346" s="6" t="e">
        <f t="shared" si="16"/>
        <v>#N/A</v>
      </c>
      <c r="J346" s="6" t="e">
        <f t="shared" si="17"/>
        <v>#N/A</v>
      </c>
      <c r="M346" s="64" t="s">
        <v>362</v>
      </c>
      <c r="N346" s="123">
        <v>-15250.78</v>
      </c>
    </row>
    <row r="347" spans="2:14" x14ac:dyDescent="0.3">
      <c r="B347" t="e">
        <f>VLOOKUP(A347,'Clientes CBOT'!A:D,4,0)</f>
        <v>#N/A</v>
      </c>
      <c r="C347" s="7" t="e">
        <f>VLOOKUP(A347,'Statement base'!E:AO,21,0)</f>
        <v>#N/A</v>
      </c>
      <c r="D347" s="7" t="e">
        <f>VLOOKUP(A347,'Statement base'!E:AO,10,0)-VLOOKUP(A347,'Statement base'!E:AO,21,0)</f>
        <v>#N/A</v>
      </c>
      <c r="E347" t="s">
        <v>188</v>
      </c>
      <c r="F347" s="6" t="e">
        <f>VLOOKUP(A347,'Statement base'!E:AO,10,0)+VLOOKUP(A347,'Statement base'!E:AO,14,0)</f>
        <v>#N/A</v>
      </c>
      <c r="G347" s="61" t="e">
        <f>VLOOKUP(A347,'Clientes CBOT'!A:E,5,0)</f>
        <v>#N/A</v>
      </c>
      <c r="H347" t="str">
        <f t="shared" si="15"/>
        <v>Hard</v>
      </c>
      <c r="I347" s="6" t="e">
        <f t="shared" si="16"/>
        <v>#N/A</v>
      </c>
      <c r="J347" s="6" t="e">
        <f t="shared" si="17"/>
        <v>#N/A</v>
      </c>
      <c r="M347" s="64" t="s">
        <v>586</v>
      </c>
      <c r="N347" s="123">
        <v>0.44</v>
      </c>
    </row>
    <row r="348" spans="2:14" x14ac:dyDescent="0.3">
      <c r="B348" t="e">
        <f>VLOOKUP(A348,'Clientes CBOT'!A:D,4,0)</f>
        <v>#N/A</v>
      </c>
      <c r="C348" s="7" t="e">
        <f>VLOOKUP(A348,'Statement base'!E:AO,21,0)</f>
        <v>#N/A</v>
      </c>
      <c r="D348" s="7" t="e">
        <f>VLOOKUP(A348,'Statement base'!E:AO,10,0)-VLOOKUP(A348,'Statement base'!E:AO,21,0)</f>
        <v>#N/A</v>
      </c>
      <c r="E348" t="s">
        <v>188</v>
      </c>
      <c r="F348" s="6" t="e">
        <f>VLOOKUP(A348,'Statement base'!E:AO,10,0)+VLOOKUP(A348,'Statement base'!E:AO,14,0)</f>
        <v>#N/A</v>
      </c>
      <c r="G348" s="61" t="e">
        <f>VLOOKUP(A348,'Clientes CBOT'!A:E,5,0)</f>
        <v>#N/A</v>
      </c>
      <c r="H348" t="str">
        <f t="shared" si="15"/>
        <v>Hard</v>
      </c>
      <c r="I348" s="6" t="e">
        <f t="shared" si="16"/>
        <v>#N/A</v>
      </c>
      <c r="J348" s="6" t="e">
        <f t="shared" si="17"/>
        <v>#N/A</v>
      </c>
      <c r="M348" s="64" t="s">
        <v>587</v>
      </c>
      <c r="N348" s="123">
        <v>-710.98</v>
      </c>
    </row>
    <row r="349" spans="2:14" x14ac:dyDescent="0.3">
      <c r="B349" t="e">
        <f>VLOOKUP(A349,'Clientes CBOT'!A:D,4,0)</f>
        <v>#N/A</v>
      </c>
      <c r="C349" s="7" t="e">
        <f>VLOOKUP(A349,'Statement base'!E:AO,21,0)</f>
        <v>#N/A</v>
      </c>
      <c r="D349" s="7" t="e">
        <f>VLOOKUP(A349,'Statement base'!E:AO,10,0)-VLOOKUP(A349,'Statement base'!E:AO,21,0)</f>
        <v>#N/A</v>
      </c>
      <c r="E349" t="s">
        <v>188</v>
      </c>
      <c r="F349" s="6" t="e">
        <f>VLOOKUP(A349,'Statement base'!E:AO,10,0)+VLOOKUP(A349,'Statement base'!E:AO,14,0)</f>
        <v>#N/A</v>
      </c>
      <c r="G349" s="61" t="e">
        <f>VLOOKUP(A349,'Clientes CBOT'!A:E,5,0)</f>
        <v>#N/A</v>
      </c>
      <c r="H349" t="str">
        <f t="shared" si="15"/>
        <v>Hard</v>
      </c>
      <c r="I349" s="6" t="e">
        <f t="shared" si="16"/>
        <v>#N/A</v>
      </c>
      <c r="J349" s="6" t="e">
        <f t="shared" si="17"/>
        <v>#N/A</v>
      </c>
      <c r="M349" s="64" t="s">
        <v>588</v>
      </c>
      <c r="N349" s="123">
        <v>-551.88</v>
      </c>
    </row>
    <row r="350" spans="2:14" x14ac:dyDescent="0.3">
      <c r="B350" t="e">
        <f>VLOOKUP(A350,'Clientes CBOT'!A:D,4,0)</f>
        <v>#N/A</v>
      </c>
      <c r="C350" s="7" t="e">
        <f>VLOOKUP(A350,'Statement base'!E:AO,21,0)</f>
        <v>#N/A</v>
      </c>
      <c r="D350" s="7" t="e">
        <f>VLOOKUP(A350,'Statement base'!E:AO,10,0)-VLOOKUP(A350,'Statement base'!E:AO,21,0)</f>
        <v>#N/A</v>
      </c>
      <c r="E350" t="s">
        <v>188</v>
      </c>
      <c r="F350" s="6" t="e">
        <f>VLOOKUP(A350,'Statement base'!E:AO,10,0)+VLOOKUP(A350,'Statement base'!E:AO,14,0)</f>
        <v>#N/A</v>
      </c>
      <c r="G350" s="61" t="e">
        <f>VLOOKUP(A350,'Clientes CBOT'!A:E,5,0)</f>
        <v>#N/A</v>
      </c>
      <c r="H350" t="str">
        <f t="shared" si="15"/>
        <v>Hard</v>
      </c>
      <c r="I350" s="6" t="e">
        <f t="shared" si="16"/>
        <v>#N/A</v>
      </c>
      <c r="J350" s="6" t="e">
        <f t="shared" si="17"/>
        <v>#N/A</v>
      </c>
      <c r="M350" s="64" t="s">
        <v>590</v>
      </c>
      <c r="N350" s="123">
        <v>8873379.2899999991</v>
      </c>
    </row>
    <row r="351" spans="2:14" x14ac:dyDescent="0.3">
      <c r="B351" t="e">
        <f>VLOOKUP(A351,'Clientes CBOT'!A:D,4,0)</f>
        <v>#N/A</v>
      </c>
      <c r="C351" s="7" t="e">
        <f>VLOOKUP(A351,'Statement base'!E:AO,21,0)</f>
        <v>#N/A</v>
      </c>
      <c r="D351" s="7" t="e">
        <f>VLOOKUP(A351,'Statement base'!E:AO,10,0)-VLOOKUP(A351,'Statement base'!E:AO,21,0)</f>
        <v>#N/A</v>
      </c>
      <c r="E351" t="s">
        <v>188</v>
      </c>
      <c r="F351" s="6" t="e">
        <f>VLOOKUP(A351,'Statement base'!E:AO,10,0)+VLOOKUP(A351,'Statement base'!E:AO,14,0)</f>
        <v>#N/A</v>
      </c>
      <c r="G351" s="61" t="e">
        <f>VLOOKUP(A351,'Clientes CBOT'!A:E,5,0)</f>
        <v>#N/A</v>
      </c>
      <c r="H351" t="str">
        <f t="shared" si="15"/>
        <v>Hard</v>
      </c>
      <c r="I351" s="6" t="e">
        <f t="shared" si="16"/>
        <v>#N/A</v>
      </c>
      <c r="J351" s="6" t="e">
        <f t="shared" si="17"/>
        <v>#N/A</v>
      </c>
      <c r="M351" s="64" t="s">
        <v>592</v>
      </c>
      <c r="N351" s="123">
        <v>15302080.41</v>
      </c>
    </row>
    <row r="352" spans="2:14" x14ac:dyDescent="0.3">
      <c r="B352" t="e">
        <f>VLOOKUP(A352,'Clientes CBOT'!A:D,4,0)</f>
        <v>#N/A</v>
      </c>
      <c r="C352" s="7" t="e">
        <f>VLOOKUP(A352,'Statement base'!E:AO,21,0)</f>
        <v>#N/A</v>
      </c>
      <c r="D352" s="7" t="e">
        <f>VLOOKUP(A352,'Statement base'!E:AO,10,0)-VLOOKUP(A352,'Statement base'!E:AO,21,0)</f>
        <v>#N/A</v>
      </c>
      <c r="E352" t="s">
        <v>188</v>
      </c>
      <c r="F352" s="6" t="e">
        <f>VLOOKUP(A352,'Statement base'!E:AO,10,0)+VLOOKUP(A352,'Statement base'!E:AO,14,0)</f>
        <v>#N/A</v>
      </c>
      <c r="G352" s="61" t="e">
        <f>VLOOKUP(A352,'Clientes CBOT'!A:E,5,0)</f>
        <v>#N/A</v>
      </c>
      <c r="H352" t="str">
        <f t="shared" si="15"/>
        <v>Hard</v>
      </c>
      <c r="I352" s="6" t="e">
        <f t="shared" si="16"/>
        <v>#N/A</v>
      </c>
      <c r="J352" s="6" t="e">
        <f t="shared" si="17"/>
        <v>#N/A</v>
      </c>
      <c r="M352" s="64" t="s">
        <v>366</v>
      </c>
      <c r="N352" s="123">
        <v>41.03</v>
      </c>
    </row>
    <row r="353" spans="2:14" x14ac:dyDescent="0.3">
      <c r="B353" t="e">
        <f>VLOOKUP(A353,'Clientes CBOT'!A:D,4,0)</f>
        <v>#N/A</v>
      </c>
      <c r="C353" s="7" t="e">
        <f>VLOOKUP(A353,'Statement base'!E:AO,21,0)</f>
        <v>#N/A</v>
      </c>
      <c r="D353" s="7" t="e">
        <f>VLOOKUP(A353,'Statement base'!E:AO,10,0)-VLOOKUP(A353,'Statement base'!E:AO,21,0)</f>
        <v>#N/A</v>
      </c>
      <c r="E353" t="s">
        <v>188</v>
      </c>
      <c r="F353" s="6" t="e">
        <f>VLOOKUP(A353,'Statement base'!E:AO,10,0)+VLOOKUP(A353,'Statement base'!E:AO,14,0)</f>
        <v>#N/A</v>
      </c>
      <c r="G353" s="61" t="e">
        <f>VLOOKUP(A353,'Clientes CBOT'!A:E,5,0)</f>
        <v>#N/A</v>
      </c>
      <c r="H353" t="str">
        <f t="shared" si="15"/>
        <v>Hard</v>
      </c>
      <c r="I353" s="6" t="e">
        <f t="shared" si="16"/>
        <v>#N/A</v>
      </c>
      <c r="J353" s="6" t="e">
        <f t="shared" si="17"/>
        <v>#N/A</v>
      </c>
      <c r="M353" s="64" t="s">
        <v>593</v>
      </c>
      <c r="N353" s="123">
        <v>0</v>
      </c>
    </row>
    <row r="354" spans="2:14" x14ac:dyDescent="0.3">
      <c r="B354" t="e">
        <f>VLOOKUP(A354,'Clientes CBOT'!A:D,4,0)</f>
        <v>#N/A</v>
      </c>
      <c r="C354" s="7" t="e">
        <f>VLOOKUP(A354,'Statement base'!E:AO,21,0)</f>
        <v>#N/A</v>
      </c>
      <c r="D354" s="7" t="e">
        <f>VLOOKUP(A354,'Statement base'!E:AO,10,0)-VLOOKUP(A354,'Statement base'!E:AO,21,0)</f>
        <v>#N/A</v>
      </c>
      <c r="E354" t="s">
        <v>188</v>
      </c>
      <c r="F354" s="6" t="e">
        <f>VLOOKUP(A354,'Statement base'!E:AO,10,0)+VLOOKUP(A354,'Statement base'!E:AO,14,0)</f>
        <v>#N/A</v>
      </c>
      <c r="G354" s="61" t="e">
        <f>VLOOKUP(A354,'Clientes CBOT'!A:E,5,0)</f>
        <v>#N/A</v>
      </c>
      <c r="H354" t="str">
        <f t="shared" si="15"/>
        <v>Hard</v>
      </c>
      <c r="I354" s="6" t="e">
        <f t="shared" si="16"/>
        <v>#N/A</v>
      </c>
      <c r="J354" s="6" t="e">
        <f t="shared" si="17"/>
        <v>#N/A</v>
      </c>
      <c r="M354" s="64" t="s">
        <v>594</v>
      </c>
      <c r="N354" s="123">
        <v>0</v>
      </c>
    </row>
    <row r="355" spans="2:14" x14ac:dyDescent="0.3">
      <c r="B355" t="e">
        <f>VLOOKUP(A355,'Clientes CBOT'!A:D,4,0)</f>
        <v>#N/A</v>
      </c>
      <c r="C355" s="7" t="e">
        <f>VLOOKUP(A355,'Statement base'!E:AO,21,0)</f>
        <v>#N/A</v>
      </c>
      <c r="D355" s="7" t="e">
        <f>VLOOKUP(A355,'Statement base'!E:AO,10,0)-VLOOKUP(A355,'Statement base'!E:AO,21,0)</f>
        <v>#N/A</v>
      </c>
      <c r="E355" t="s">
        <v>188</v>
      </c>
      <c r="F355" s="6" t="e">
        <f>VLOOKUP(A355,'Statement base'!E:AO,10,0)+VLOOKUP(A355,'Statement base'!E:AO,14,0)</f>
        <v>#N/A</v>
      </c>
      <c r="G355" s="61" t="e">
        <f>VLOOKUP(A355,'Clientes CBOT'!A:E,5,0)</f>
        <v>#N/A</v>
      </c>
      <c r="H355" t="str">
        <f t="shared" si="15"/>
        <v>Hard</v>
      </c>
      <c r="I355" s="6" t="e">
        <f t="shared" si="16"/>
        <v>#N/A</v>
      </c>
      <c r="J355" s="6" t="e">
        <f t="shared" si="17"/>
        <v>#N/A</v>
      </c>
      <c r="M355" s="64" t="s">
        <v>370</v>
      </c>
      <c r="N355" s="123">
        <v>-189752.5</v>
      </c>
    </row>
    <row r="356" spans="2:14" x14ac:dyDescent="0.3">
      <c r="B356" t="e">
        <f>VLOOKUP(A356,'Clientes CBOT'!A:D,4,0)</f>
        <v>#N/A</v>
      </c>
      <c r="C356" s="7" t="e">
        <f>VLOOKUP(A356,'Statement base'!E:AO,21,0)</f>
        <v>#N/A</v>
      </c>
      <c r="D356" s="7" t="e">
        <f>VLOOKUP(A356,'Statement base'!E:AO,10,0)-VLOOKUP(A356,'Statement base'!E:AO,21,0)</f>
        <v>#N/A</v>
      </c>
      <c r="E356" t="s">
        <v>188</v>
      </c>
      <c r="F356" s="6" t="e">
        <f>VLOOKUP(A356,'Statement base'!E:AO,10,0)+VLOOKUP(A356,'Statement base'!E:AO,14,0)</f>
        <v>#N/A</v>
      </c>
      <c r="G356" s="61" t="e">
        <f>VLOOKUP(A356,'Clientes CBOT'!A:E,5,0)</f>
        <v>#N/A</v>
      </c>
      <c r="H356" t="str">
        <f t="shared" si="15"/>
        <v>Hard</v>
      </c>
      <c r="I356" s="6" t="e">
        <f t="shared" si="16"/>
        <v>#N/A</v>
      </c>
      <c r="J356" s="6" t="e">
        <f t="shared" si="17"/>
        <v>#N/A</v>
      </c>
      <c r="M356" s="64" t="s">
        <v>595</v>
      </c>
      <c r="N356" s="123">
        <v>0</v>
      </c>
    </row>
    <row r="357" spans="2:14" x14ac:dyDescent="0.3">
      <c r="B357" t="e">
        <f>VLOOKUP(A357,'Clientes CBOT'!A:D,4,0)</f>
        <v>#N/A</v>
      </c>
      <c r="C357" s="7" t="e">
        <f>VLOOKUP(A357,'Statement base'!E:AO,21,0)</f>
        <v>#N/A</v>
      </c>
      <c r="D357" s="7" t="e">
        <f>VLOOKUP(A357,'Statement base'!E:AO,10,0)-VLOOKUP(A357,'Statement base'!E:AO,21,0)</f>
        <v>#N/A</v>
      </c>
      <c r="E357" t="s">
        <v>188</v>
      </c>
      <c r="F357" s="6" t="e">
        <f>VLOOKUP(A357,'Statement base'!E:AO,10,0)+VLOOKUP(A357,'Statement base'!E:AO,14,0)</f>
        <v>#N/A</v>
      </c>
      <c r="G357" s="61" t="e">
        <f>VLOOKUP(A357,'Clientes CBOT'!A:E,5,0)</f>
        <v>#N/A</v>
      </c>
      <c r="H357" t="str">
        <f t="shared" si="15"/>
        <v>Hard</v>
      </c>
      <c r="I357" s="6" t="e">
        <f t="shared" si="16"/>
        <v>#N/A</v>
      </c>
      <c r="J357" s="6" t="e">
        <f t="shared" si="17"/>
        <v>#N/A</v>
      </c>
      <c r="M357" s="64" t="s">
        <v>128</v>
      </c>
      <c r="N357" s="123">
        <v>250933.62999999998</v>
      </c>
    </row>
    <row r="358" spans="2:14" x14ac:dyDescent="0.3">
      <c r="B358" t="e">
        <f>VLOOKUP(A358,'Clientes CBOT'!A:D,4,0)</f>
        <v>#N/A</v>
      </c>
      <c r="C358" s="7" t="e">
        <f>VLOOKUP(A358,'Statement base'!E:AO,21,0)</f>
        <v>#N/A</v>
      </c>
      <c r="D358" s="7" t="e">
        <f>VLOOKUP(A358,'Statement base'!E:AO,10,0)-VLOOKUP(A358,'Statement base'!E:AO,21,0)</f>
        <v>#N/A</v>
      </c>
      <c r="E358" t="s">
        <v>188</v>
      </c>
      <c r="F358" s="6" t="e">
        <f>VLOOKUP(A358,'Statement base'!E:AO,10,0)+VLOOKUP(A358,'Statement base'!E:AO,14,0)</f>
        <v>#N/A</v>
      </c>
      <c r="G358" s="61" t="e">
        <f>VLOOKUP(A358,'Clientes CBOT'!A:E,5,0)</f>
        <v>#N/A</v>
      </c>
      <c r="H358" t="str">
        <f t="shared" si="15"/>
        <v>Hard</v>
      </c>
      <c r="I358" s="6" t="e">
        <f t="shared" si="16"/>
        <v>#N/A</v>
      </c>
      <c r="J358" s="6" t="e">
        <f t="shared" si="17"/>
        <v>#N/A</v>
      </c>
      <c r="M358" s="64" t="s">
        <v>596</v>
      </c>
      <c r="N358" s="123">
        <v>0</v>
      </c>
    </row>
    <row r="359" spans="2:14" x14ac:dyDescent="0.3">
      <c r="B359" t="e">
        <f>VLOOKUP(A359,'Clientes CBOT'!A:D,4,0)</f>
        <v>#N/A</v>
      </c>
      <c r="C359" s="7" t="e">
        <f>VLOOKUP(A359,'Statement base'!E:AO,21,0)</f>
        <v>#N/A</v>
      </c>
      <c r="D359" s="7" t="e">
        <f>VLOOKUP(A359,'Statement base'!E:AO,10,0)-VLOOKUP(A359,'Statement base'!E:AO,21,0)</f>
        <v>#N/A</v>
      </c>
      <c r="E359" t="s">
        <v>188</v>
      </c>
      <c r="F359" s="6" t="e">
        <f>VLOOKUP(A359,'Statement base'!E:AO,10,0)+VLOOKUP(A359,'Statement base'!E:AO,14,0)</f>
        <v>#N/A</v>
      </c>
      <c r="G359" s="61" t="e">
        <f>VLOOKUP(A359,'Clientes CBOT'!A:E,5,0)</f>
        <v>#N/A</v>
      </c>
      <c r="H359" t="str">
        <f t="shared" si="15"/>
        <v>Hard</v>
      </c>
      <c r="I359" s="6" t="e">
        <f t="shared" si="16"/>
        <v>#N/A</v>
      </c>
      <c r="J359" s="6" t="e">
        <f t="shared" si="17"/>
        <v>#N/A</v>
      </c>
      <c r="M359" s="64" t="s">
        <v>535</v>
      </c>
      <c r="N359" s="123">
        <v>-3184.83</v>
      </c>
    </row>
    <row r="360" spans="2:14" x14ac:dyDescent="0.3">
      <c r="B360" t="e">
        <f>VLOOKUP(A360,'Clientes CBOT'!A:D,4,0)</f>
        <v>#N/A</v>
      </c>
      <c r="C360" s="7" t="e">
        <f>VLOOKUP(A360,'Statement base'!E:AO,21,0)</f>
        <v>#N/A</v>
      </c>
      <c r="D360" s="7" t="e">
        <f>VLOOKUP(A360,'Statement base'!E:AO,10,0)-VLOOKUP(A360,'Statement base'!E:AO,21,0)</f>
        <v>#N/A</v>
      </c>
      <c r="E360" t="s">
        <v>188</v>
      </c>
      <c r="F360" s="6" t="e">
        <f>VLOOKUP(A360,'Statement base'!E:AO,10,0)+VLOOKUP(A360,'Statement base'!E:AO,14,0)</f>
        <v>#N/A</v>
      </c>
      <c r="G360" s="61" t="e">
        <f>VLOOKUP(A360,'Clientes CBOT'!A:E,5,0)</f>
        <v>#N/A</v>
      </c>
      <c r="H360" t="str">
        <f t="shared" si="15"/>
        <v>Hard</v>
      </c>
      <c r="I360" s="6" t="e">
        <f t="shared" si="16"/>
        <v>#N/A</v>
      </c>
      <c r="J360" s="6" t="e">
        <f t="shared" si="17"/>
        <v>#N/A</v>
      </c>
      <c r="M360" s="64" t="s">
        <v>372</v>
      </c>
      <c r="N360" s="123">
        <v>2099.92</v>
      </c>
    </row>
    <row r="361" spans="2:14" x14ac:dyDescent="0.3">
      <c r="B361" t="e">
        <f>VLOOKUP(A361,'Clientes CBOT'!A:D,4,0)</f>
        <v>#N/A</v>
      </c>
      <c r="C361" s="7" t="e">
        <f>VLOOKUP(A361,'Statement base'!E:AO,21,0)</f>
        <v>#N/A</v>
      </c>
      <c r="D361" s="7" t="e">
        <f>VLOOKUP(A361,'Statement base'!E:AO,10,0)-VLOOKUP(A361,'Statement base'!E:AO,21,0)</f>
        <v>#N/A</v>
      </c>
      <c r="E361" t="s">
        <v>188</v>
      </c>
      <c r="F361" s="6" t="e">
        <f>VLOOKUP(A361,'Statement base'!E:AO,10,0)+VLOOKUP(A361,'Statement base'!E:AO,14,0)</f>
        <v>#N/A</v>
      </c>
      <c r="G361" s="61" t="e">
        <f>VLOOKUP(A361,'Clientes CBOT'!A:E,5,0)</f>
        <v>#N/A</v>
      </c>
      <c r="H361" t="str">
        <f t="shared" si="15"/>
        <v>Hard</v>
      </c>
      <c r="I361" s="6" t="e">
        <f t="shared" si="16"/>
        <v>#N/A</v>
      </c>
      <c r="J361" s="6" t="e">
        <f t="shared" si="17"/>
        <v>#N/A</v>
      </c>
      <c r="M361" s="64" t="s">
        <v>598</v>
      </c>
      <c r="N361" s="123">
        <v>25849.059999999998</v>
      </c>
    </row>
    <row r="362" spans="2:14" x14ac:dyDescent="0.3">
      <c r="B362" t="e">
        <f>VLOOKUP(A362,'Clientes CBOT'!A:D,4,0)</f>
        <v>#N/A</v>
      </c>
      <c r="C362" s="7" t="e">
        <f>VLOOKUP(A362,'Statement base'!E:AO,21,0)</f>
        <v>#N/A</v>
      </c>
      <c r="D362" s="7" t="e">
        <f>VLOOKUP(A362,'Statement base'!E:AO,10,0)-VLOOKUP(A362,'Statement base'!E:AO,21,0)</f>
        <v>#N/A</v>
      </c>
      <c r="E362" t="s">
        <v>188</v>
      </c>
      <c r="F362" s="6" t="e">
        <f>VLOOKUP(A362,'Statement base'!E:AO,10,0)+VLOOKUP(A362,'Statement base'!E:AO,14,0)</f>
        <v>#N/A</v>
      </c>
      <c r="G362" s="61" t="e">
        <f>VLOOKUP(A362,'Clientes CBOT'!A:E,5,0)</f>
        <v>#N/A</v>
      </c>
      <c r="H362" t="str">
        <f t="shared" si="15"/>
        <v>Hard</v>
      </c>
      <c r="I362" s="6" t="e">
        <f t="shared" si="16"/>
        <v>#N/A</v>
      </c>
      <c r="J362" s="6" t="e">
        <f t="shared" si="17"/>
        <v>#N/A</v>
      </c>
      <c r="M362" s="64" t="s">
        <v>402</v>
      </c>
      <c r="N362" s="123">
        <v>-5988763.7300000004</v>
      </c>
    </row>
    <row r="363" spans="2:14" x14ac:dyDescent="0.3">
      <c r="B363" t="e">
        <f>VLOOKUP(A363,'Clientes CBOT'!A:D,4,0)</f>
        <v>#N/A</v>
      </c>
      <c r="C363" s="7" t="e">
        <f>VLOOKUP(A363,'Statement base'!E:AO,21,0)</f>
        <v>#N/A</v>
      </c>
      <c r="D363" s="7" t="e">
        <f>VLOOKUP(A363,'Statement base'!E:AO,10,0)-VLOOKUP(A363,'Statement base'!E:AO,21,0)</f>
        <v>#N/A</v>
      </c>
      <c r="E363" t="s">
        <v>188</v>
      </c>
      <c r="F363" s="6" t="e">
        <f>VLOOKUP(A363,'Statement base'!E:AO,10,0)+VLOOKUP(A363,'Statement base'!E:AO,14,0)</f>
        <v>#N/A</v>
      </c>
      <c r="G363" s="61" t="e">
        <f>VLOOKUP(A363,'Clientes CBOT'!A:E,5,0)</f>
        <v>#N/A</v>
      </c>
      <c r="H363" t="str">
        <f t="shared" si="15"/>
        <v>Hard</v>
      </c>
      <c r="I363" s="6" t="e">
        <f t="shared" si="16"/>
        <v>#N/A</v>
      </c>
      <c r="J363" s="6" t="e">
        <f t="shared" si="17"/>
        <v>#N/A</v>
      </c>
      <c r="M363" s="64" t="s">
        <v>600</v>
      </c>
      <c r="N363" s="123">
        <v>-0.02</v>
      </c>
    </row>
    <row r="364" spans="2:14" x14ac:dyDescent="0.3">
      <c r="B364" t="e">
        <f>VLOOKUP(A364,'Clientes CBOT'!A:D,4,0)</f>
        <v>#N/A</v>
      </c>
      <c r="C364" s="7" t="e">
        <f>VLOOKUP(A364,'Statement base'!E:AO,21,0)</f>
        <v>#N/A</v>
      </c>
      <c r="D364" s="7" t="e">
        <f>VLOOKUP(A364,'Statement base'!E:AO,10,0)-VLOOKUP(A364,'Statement base'!E:AO,21,0)</f>
        <v>#N/A</v>
      </c>
      <c r="E364" t="s">
        <v>188</v>
      </c>
      <c r="F364" s="6" t="e">
        <f>VLOOKUP(A364,'Statement base'!E:AO,10,0)+VLOOKUP(A364,'Statement base'!E:AO,14,0)</f>
        <v>#N/A</v>
      </c>
      <c r="G364" s="61" t="e">
        <f>VLOOKUP(A364,'Clientes CBOT'!A:E,5,0)</f>
        <v>#N/A</v>
      </c>
      <c r="H364" t="str">
        <f t="shared" si="15"/>
        <v>Hard</v>
      </c>
      <c r="I364" s="6" t="e">
        <f t="shared" si="16"/>
        <v>#N/A</v>
      </c>
      <c r="J364" s="6" t="e">
        <f t="shared" si="17"/>
        <v>#N/A</v>
      </c>
      <c r="M364" s="64" t="s">
        <v>601</v>
      </c>
      <c r="N364" s="123">
        <v>0</v>
      </c>
    </row>
    <row r="365" spans="2:14" x14ac:dyDescent="0.3">
      <c r="B365" t="e">
        <f>VLOOKUP(A365,'Clientes CBOT'!A:D,4,0)</f>
        <v>#N/A</v>
      </c>
      <c r="C365" s="7" t="e">
        <f>VLOOKUP(A365,'Statement base'!E:AO,21,0)</f>
        <v>#N/A</v>
      </c>
      <c r="D365" s="7" t="e">
        <f>VLOOKUP(A365,'Statement base'!E:AO,10,0)-VLOOKUP(A365,'Statement base'!E:AO,21,0)</f>
        <v>#N/A</v>
      </c>
      <c r="E365" t="s">
        <v>188</v>
      </c>
      <c r="F365" s="6" t="e">
        <f>VLOOKUP(A365,'Statement base'!E:AO,10,0)+VLOOKUP(A365,'Statement base'!E:AO,14,0)</f>
        <v>#N/A</v>
      </c>
      <c r="G365" s="61" t="e">
        <f>VLOOKUP(A365,'Clientes CBOT'!A:E,5,0)</f>
        <v>#N/A</v>
      </c>
      <c r="H365" t="str">
        <f t="shared" si="15"/>
        <v>Hard</v>
      </c>
      <c r="I365" s="6" t="e">
        <f t="shared" si="16"/>
        <v>#N/A</v>
      </c>
      <c r="J365" s="6" t="e">
        <f t="shared" si="17"/>
        <v>#N/A</v>
      </c>
      <c r="M365" s="64" t="s">
        <v>463</v>
      </c>
      <c r="N365" s="123">
        <v>2462.54</v>
      </c>
    </row>
    <row r="366" spans="2:14" x14ac:dyDescent="0.3">
      <c r="B366" t="e">
        <f>VLOOKUP(A366,'Clientes CBOT'!A:D,4,0)</f>
        <v>#N/A</v>
      </c>
      <c r="C366" s="7" t="e">
        <f>VLOOKUP(A366,'Statement base'!E:AO,21,0)</f>
        <v>#N/A</v>
      </c>
      <c r="D366" s="7" t="e">
        <f>VLOOKUP(A366,'Statement base'!E:AO,10,0)-VLOOKUP(A366,'Statement base'!E:AO,21,0)</f>
        <v>#N/A</v>
      </c>
      <c r="E366" t="s">
        <v>188</v>
      </c>
      <c r="F366" s="6" t="e">
        <f>VLOOKUP(A366,'Statement base'!E:AO,10,0)+VLOOKUP(A366,'Statement base'!E:AO,14,0)</f>
        <v>#N/A</v>
      </c>
      <c r="G366" s="61" t="e">
        <f>VLOOKUP(A366,'Clientes CBOT'!A:E,5,0)</f>
        <v>#N/A</v>
      </c>
      <c r="H366" t="str">
        <f t="shared" si="15"/>
        <v>Hard</v>
      </c>
      <c r="I366" s="6" t="e">
        <f t="shared" si="16"/>
        <v>#N/A</v>
      </c>
      <c r="J366" s="6" t="e">
        <f t="shared" si="17"/>
        <v>#N/A</v>
      </c>
      <c r="M366" s="64" t="s">
        <v>602</v>
      </c>
      <c r="N366" s="123">
        <v>-0.01</v>
      </c>
    </row>
    <row r="367" spans="2:14" x14ac:dyDescent="0.3">
      <c r="B367" t="e">
        <f>VLOOKUP(A367,'Clientes CBOT'!A:D,4,0)</f>
        <v>#N/A</v>
      </c>
      <c r="C367" s="7" t="e">
        <f>VLOOKUP(A367,'Statement base'!E:AO,21,0)</f>
        <v>#N/A</v>
      </c>
      <c r="D367" s="7" t="e">
        <f>VLOOKUP(A367,'Statement base'!E:AO,10,0)-VLOOKUP(A367,'Statement base'!E:AO,21,0)</f>
        <v>#N/A</v>
      </c>
      <c r="E367" t="s">
        <v>188</v>
      </c>
      <c r="F367" s="6" t="e">
        <f>VLOOKUP(A367,'Statement base'!E:AO,10,0)+VLOOKUP(A367,'Statement base'!E:AO,14,0)</f>
        <v>#N/A</v>
      </c>
      <c r="G367" s="61" t="e">
        <f>VLOOKUP(A367,'Clientes CBOT'!A:E,5,0)</f>
        <v>#N/A</v>
      </c>
      <c r="H367" t="str">
        <f t="shared" si="15"/>
        <v>Hard</v>
      </c>
      <c r="I367" s="6" t="e">
        <f t="shared" si="16"/>
        <v>#N/A</v>
      </c>
      <c r="J367" s="6" t="e">
        <f t="shared" si="17"/>
        <v>#N/A</v>
      </c>
      <c r="M367" s="64" t="s">
        <v>603</v>
      </c>
      <c r="N367" s="123">
        <v>-51617439.940000005</v>
      </c>
    </row>
    <row r="368" spans="2:14" x14ac:dyDescent="0.3">
      <c r="B368" t="e">
        <f>VLOOKUP(A368,'Clientes CBOT'!A:D,4,0)</f>
        <v>#N/A</v>
      </c>
      <c r="C368" s="7" t="e">
        <f>VLOOKUP(A368,'Statement base'!E:AO,21,0)</f>
        <v>#N/A</v>
      </c>
      <c r="D368" s="7" t="e">
        <f>VLOOKUP(A368,'Statement base'!E:AO,10,0)-VLOOKUP(A368,'Statement base'!E:AO,21,0)</f>
        <v>#N/A</v>
      </c>
      <c r="E368" t="s">
        <v>188</v>
      </c>
      <c r="F368" s="6" t="e">
        <f>VLOOKUP(A368,'Statement base'!E:AO,10,0)+VLOOKUP(A368,'Statement base'!E:AO,14,0)</f>
        <v>#N/A</v>
      </c>
      <c r="G368" s="61" t="e">
        <f>VLOOKUP(A368,'Clientes CBOT'!A:E,5,0)</f>
        <v>#N/A</v>
      </c>
      <c r="H368" t="str">
        <f t="shared" si="15"/>
        <v>Hard</v>
      </c>
      <c r="I368" s="6" t="e">
        <f t="shared" si="16"/>
        <v>#N/A</v>
      </c>
      <c r="J368" s="6" t="e">
        <f t="shared" si="17"/>
        <v>#N/A</v>
      </c>
      <c r="M368" s="64" t="s">
        <v>605</v>
      </c>
      <c r="N368" s="123">
        <v>8.14</v>
      </c>
    </row>
    <row r="369" spans="2:14" x14ac:dyDescent="0.3">
      <c r="B369" t="e">
        <f>VLOOKUP(A369,'Clientes CBOT'!A:D,4,0)</f>
        <v>#N/A</v>
      </c>
      <c r="C369" s="7" t="e">
        <f>VLOOKUP(A369,'Statement base'!E:AO,21,0)</f>
        <v>#N/A</v>
      </c>
      <c r="D369" s="7" t="e">
        <f>VLOOKUP(A369,'Statement base'!E:AO,10,0)-VLOOKUP(A369,'Statement base'!E:AO,21,0)</f>
        <v>#N/A</v>
      </c>
      <c r="E369" t="s">
        <v>188</v>
      </c>
      <c r="F369" s="6" t="e">
        <f>VLOOKUP(A369,'Statement base'!E:AO,10,0)+VLOOKUP(A369,'Statement base'!E:AO,14,0)</f>
        <v>#N/A</v>
      </c>
      <c r="G369" s="61" t="e">
        <f>VLOOKUP(A369,'Clientes CBOT'!A:E,5,0)</f>
        <v>#N/A</v>
      </c>
      <c r="H369" t="str">
        <f t="shared" si="15"/>
        <v>Hard</v>
      </c>
      <c r="I369" s="6" t="e">
        <f t="shared" si="16"/>
        <v>#N/A</v>
      </c>
      <c r="J369" s="6" t="e">
        <f t="shared" si="17"/>
        <v>#N/A</v>
      </c>
      <c r="M369" s="64" t="s">
        <v>606</v>
      </c>
      <c r="N369" s="123">
        <v>15.15</v>
      </c>
    </row>
    <row r="370" spans="2:14" x14ac:dyDescent="0.3">
      <c r="B370" t="e">
        <f>VLOOKUP(A370,'Clientes CBOT'!A:D,4,0)</f>
        <v>#N/A</v>
      </c>
      <c r="C370" s="7" t="e">
        <f>VLOOKUP(A370,'Statement base'!E:AO,21,0)</f>
        <v>#N/A</v>
      </c>
      <c r="D370" s="7" t="e">
        <f>VLOOKUP(A370,'Statement base'!E:AO,10,0)-VLOOKUP(A370,'Statement base'!E:AO,21,0)</f>
        <v>#N/A</v>
      </c>
      <c r="E370" t="s">
        <v>188</v>
      </c>
      <c r="F370" s="6" t="e">
        <f>VLOOKUP(A370,'Statement base'!E:AO,10,0)+VLOOKUP(A370,'Statement base'!E:AO,14,0)</f>
        <v>#N/A</v>
      </c>
      <c r="G370" s="61" t="e">
        <f>VLOOKUP(A370,'Clientes CBOT'!A:E,5,0)</f>
        <v>#N/A</v>
      </c>
      <c r="H370" t="str">
        <f t="shared" si="15"/>
        <v>Hard</v>
      </c>
      <c r="I370" s="6" t="e">
        <f t="shared" si="16"/>
        <v>#N/A</v>
      </c>
      <c r="J370" s="6" t="e">
        <f t="shared" si="17"/>
        <v>#N/A</v>
      </c>
      <c r="M370" s="64" t="s">
        <v>607</v>
      </c>
      <c r="N370" s="123">
        <v>-1013623410.11</v>
      </c>
    </row>
    <row r="371" spans="2:14" x14ac:dyDescent="0.3">
      <c r="B371" t="e">
        <f>VLOOKUP(A371,'Clientes CBOT'!A:D,4,0)</f>
        <v>#N/A</v>
      </c>
      <c r="C371" s="7" t="e">
        <f>VLOOKUP(A371,'Statement base'!E:AO,21,0)</f>
        <v>#N/A</v>
      </c>
      <c r="D371" s="7" t="e">
        <f>VLOOKUP(A371,'Statement base'!E:AO,10,0)-VLOOKUP(A371,'Statement base'!E:AO,21,0)</f>
        <v>#N/A</v>
      </c>
      <c r="E371" t="s">
        <v>188</v>
      </c>
      <c r="F371" s="6" t="e">
        <f>VLOOKUP(A371,'Statement base'!E:AO,10,0)+VLOOKUP(A371,'Statement base'!E:AO,14,0)</f>
        <v>#N/A</v>
      </c>
      <c r="G371" s="61" t="e">
        <f>VLOOKUP(A371,'Clientes CBOT'!A:E,5,0)</f>
        <v>#N/A</v>
      </c>
      <c r="H371" t="str">
        <f t="shared" si="15"/>
        <v>Hard</v>
      </c>
      <c r="I371" s="6" t="e">
        <f t="shared" si="16"/>
        <v>#N/A</v>
      </c>
      <c r="J371" s="6" t="e">
        <f t="shared" si="17"/>
        <v>#N/A</v>
      </c>
      <c r="M371" s="64" t="s">
        <v>608</v>
      </c>
      <c r="N371" s="123">
        <v>-17854.169999999998</v>
      </c>
    </row>
    <row r="372" spans="2:14" x14ac:dyDescent="0.3">
      <c r="B372" t="e">
        <f>VLOOKUP(A372,'Clientes CBOT'!A:D,4,0)</f>
        <v>#N/A</v>
      </c>
      <c r="C372" s="7" t="e">
        <f>VLOOKUP(A372,'Statement base'!E:AO,21,0)</f>
        <v>#N/A</v>
      </c>
      <c r="D372" s="7" t="e">
        <f>VLOOKUP(A372,'Statement base'!E:AO,10,0)-VLOOKUP(A372,'Statement base'!E:AO,21,0)</f>
        <v>#N/A</v>
      </c>
      <c r="E372" t="s">
        <v>188</v>
      </c>
      <c r="F372" s="6" t="e">
        <f>VLOOKUP(A372,'Statement base'!E:AO,10,0)+VLOOKUP(A372,'Statement base'!E:AO,14,0)</f>
        <v>#N/A</v>
      </c>
      <c r="G372" s="61" t="e">
        <f>VLOOKUP(A372,'Clientes CBOT'!A:E,5,0)</f>
        <v>#N/A</v>
      </c>
      <c r="H372" t="str">
        <f t="shared" si="15"/>
        <v>Hard</v>
      </c>
      <c r="I372" s="6" t="e">
        <f t="shared" si="16"/>
        <v>#N/A</v>
      </c>
      <c r="J372" s="6" t="e">
        <f t="shared" si="17"/>
        <v>#N/A</v>
      </c>
      <c r="M372" s="64" t="s">
        <v>609</v>
      </c>
      <c r="N372" s="123">
        <v>24.74</v>
      </c>
    </row>
    <row r="373" spans="2:14" x14ac:dyDescent="0.3">
      <c r="B373" t="e">
        <f>VLOOKUP(A373,'Clientes CBOT'!A:D,4,0)</f>
        <v>#N/A</v>
      </c>
      <c r="C373" s="7" t="e">
        <f>VLOOKUP(A373,'Statement base'!E:AO,21,0)</f>
        <v>#N/A</v>
      </c>
      <c r="D373" s="7" t="e">
        <f>VLOOKUP(A373,'Statement base'!E:AO,10,0)-VLOOKUP(A373,'Statement base'!E:AO,21,0)</f>
        <v>#N/A</v>
      </c>
      <c r="E373" t="s">
        <v>188</v>
      </c>
      <c r="F373" s="6" t="e">
        <f>VLOOKUP(A373,'Statement base'!E:AO,10,0)+VLOOKUP(A373,'Statement base'!E:AO,14,0)</f>
        <v>#N/A</v>
      </c>
      <c r="G373" s="61" t="e">
        <f>VLOOKUP(A373,'Clientes CBOT'!A:E,5,0)</f>
        <v>#N/A</v>
      </c>
      <c r="H373" t="str">
        <f t="shared" si="15"/>
        <v>Hard</v>
      </c>
      <c r="I373" s="6" t="e">
        <f t="shared" si="16"/>
        <v>#N/A</v>
      </c>
      <c r="J373" s="6" t="e">
        <f t="shared" si="17"/>
        <v>#N/A</v>
      </c>
      <c r="M373" s="64" t="s">
        <v>491</v>
      </c>
      <c r="N373" s="123">
        <v>0</v>
      </c>
    </row>
    <row r="374" spans="2:14" x14ac:dyDescent="0.3">
      <c r="B374" t="e">
        <f>VLOOKUP(A374,'Clientes CBOT'!A:D,4,0)</f>
        <v>#N/A</v>
      </c>
      <c r="C374" s="7" t="e">
        <f>VLOOKUP(A374,'Statement base'!E:AO,21,0)</f>
        <v>#N/A</v>
      </c>
      <c r="D374" s="7" t="e">
        <f>VLOOKUP(A374,'Statement base'!E:AO,10,0)-VLOOKUP(A374,'Statement base'!E:AO,21,0)</f>
        <v>#N/A</v>
      </c>
      <c r="E374" t="s">
        <v>188</v>
      </c>
      <c r="F374" s="6" t="e">
        <f>VLOOKUP(A374,'Statement base'!E:AO,10,0)+VLOOKUP(A374,'Statement base'!E:AO,14,0)</f>
        <v>#N/A</v>
      </c>
      <c r="G374" s="61" t="e">
        <f>VLOOKUP(A374,'Clientes CBOT'!A:E,5,0)</f>
        <v>#N/A</v>
      </c>
      <c r="H374" t="str">
        <f t="shared" si="15"/>
        <v>Hard</v>
      </c>
      <c r="I374" s="6" t="e">
        <f t="shared" si="16"/>
        <v>#N/A</v>
      </c>
      <c r="J374" s="6" t="e">
        <f t="shared" si="17"/>
        <v>#N/A</v>
      </c>
      <c r="M374" s="64" t="s">
        <v>610</v>
      </c>
      <c r="N374" s="123">
        <v>0</v>
      </c>
    </row>
    <row r="375" spans="2:14" x14ac:dyDescent="0.3">
      <c r="B375" t="e">
        <f>VLOOKUP(A375,'Clientes CBOT'!A:D,4,0)</f>
        <v>#N/A</v>
      </c>
      <c r="C375" s="7" t="e">
        <f>VLOOKUP(A375,'Statement base'!E:AO,21,0)</f>
        <v>#N/A</v>
      </c>
      <c r="D375" s="7" t="e">
        <f>VLOOKUP(A375,'Statement base'!E:AO,10,0)-VLOOKUP(A375,'Statement base'!E:AO,21,0)</f>
        <v>#N/A</v>
      </c>
      <c r="E375" t="s">
        <v>188</v>
      </c>
      <c r="F375" s="6" t="e">
        <f>VLOOKUP(A375,'Statement base'!E:AO,10,0)+VLOOKUP(A375,'Statement base'!E:AO,14,0)</f>
        <v>#N/A</v>
      </c>
      <c r="G375" s="61" t="e">
        <f>VLOOKUP(A375,'Clientes CBOT'!A:E,5,0)</f>
        <v>#N/A</v>
      </c>
      <c r="H375" t="str">
        <f t="shared" si="15"/>
        <v>Hard</v>
      </c>
      <c r="I375" s="6" t="e">
        <f t="shared" si="16"/>
        <v>#N/A</v>
      </c>
      <c r="J375" s="6" t="e">
        <f t="shared" si="17"/>
        <v>#N/A</v>
      </c>
      <c r="M375" s="64" t="s">
        <v>611</v>
      </c>
      <c r="N375" s="123">
        <v>-48742760.880000003</v>
      </c>
    </row>
    <row r="376" spans="2:14" x14ac:dyDescent="0.3">
      <c r="B376" t="e">
        <f>VLOOKUP(A376,'Clientes CBOT'!A:D,4,0)</f>
        <v>#N/A</v>
      </c>
      <c r="C376" s="7" t="e">
        <f>VLOOKUP(A376,'Statement base'!E:AO,21,0)</f>
        <v>#N/A</v>
      </c>
      <c r="D376" s="7" t="e">
        <f>VLOOKUP(A376,'Statement base'!E:AO,10,0)-VLOOKUP(A376,'Statement base'!E:AO,21,0)</f>
        <v>#N/A</v>
      </c>
      <c r="E376" t="s">
        <v>188</v>
      </c>
      <c r="F376" s="6" t="e">
        <f>VLOOKUP(A376,'Statement base'!E:AO,10,0)+VLOOKUP(A376,'Statement base'!E:AO,14,0)</f>
        <v>#N/A</v>
      </c>
      <c r="G376" s="61" t="e">
        <f>VLOOKUP(A376,'Clientes CBOT'!A:E,5,0)</f>
        <v>#N/A</v>
      </c>
      <c r="H376" t="str">
        <f t="shared" si="15"/>
        <v>Hard</v>
      </c>
      <c r="I376" s="6" t="e">
        <f t="shared" si="16"/>
        <v>#N/A</v>
      </c>
      <c r="J376" s="6" t="e">
        <f t="shared" si="17"/>
        <v>#N/A</v>
      </c>
      <c r="M376" s="64" t="s">
        <v>612</v>
      </c>
      <c r="N376" s="123">
        <v>0</v>
      </c>
    </row>
    <row r="377" spans="2:14" x14ac:dyDescent="0.3">
      <c r="B377" t="e">
        <f>VLOOKUP(A377,'Clientes CBOT'!A:D,4,0)</f>
        <v>#N/A</v>
      </c>
      <c r="C377" s="7" t="e">
        <f>VLOOKUP(A377,'Statement base'!E:AO,21,0)</f>
        <v>#N/A</v>
      </c>
      <c r="D377" s="7" t="e">
        <f>VLOOKUP(A377,'Statement base'!E:AO,10,0)-VLOOKUP(A377,'Statement base'!E:AO,21,0)</f>
        <v>#N/A</v>
      </c>
      <c r="E377" t="s">
        <v>188</v>
      </c>
      <c r="F377" s="6" t="e">
        <f>VLOOKUP(A377,'Statement base'!E:AO,10,0)+VLOOKUP(A377,'Statement base'!E:AO,14,0)</f>
        <v>#N/A</v>
      </c>
      <c r="G377" s="61" t="e">
        <f>VLOOKUP(A377,'Clientes CBOT'!A:E,5,0)</f>
        <v>#N/A</v>
      </c>
      <c r="H377" t="str">
        <f t="shared" si="15"/>
        <v>Hard</v>
      </c>
      <c r="I377" s="6" t="e">
        <f t="shared" si="16"/>
        <v>#N/A</v>
      </c>
      <c r="J377" s="6" t="e">
        <f t="shared" si="17"/>
        <v>#N/A</v>
      </c>
      <c r="M377" s="64" t="s">
        <v>613</v>
      </c>
      <c r="N377" s="123">
        <v>0.8</v>
      </c>
    </row>
    <row r="378" spans="2:14" x14ac:dyDescent="0.3">
      <c r="B378" t="e">
        <f>VLOOKUP(A378,'Clientes CBOT'!A:D,4,0)</f>
        <v>#N/A</v>
      </c>
      <c r="C378" s="7" t="e">
        <f>VLOOKUP(A378,'Statement base'!E:AO,21,0)</f>
        <v>#N/A</v>
      </c>
      <c r="D378" s="7" t="e">
        <f>VLOOKUP(A378,'Statement base'!E:AO,10,0)-VLOOKUP(A378,'Statement base'!E:AO,21,0)</f>
        <v>#N/A</v>
      </c>
      <c r="E378" t="s">
        <v>188</v>
      </c>
      <c r="F378" s="6" t="e">
        <f>VLOOKUP(A378,'Statement base'!E:AO,10,0)+VLOOKUP(A378,'Statement base'!E:AO,14,0)</f>
        <v>#N/A</v>
      </c>
      <c r="G378" s="61" t="e">
        <f>VLOOKUP(A378,'Clientes CBOT'!A:E,5,0)</f>
        <v>#N/A</v>
      </c>
      <c r="H378" t="str">
        <f t="shared" si="15"/>
        <v>Hard</v>
      </c>
      <c r="I378" s="6" t="e">
        <f t="shared" si="16"/>
        <v>#N/A</v>
      </c>
      <c r="J378" s="6" t="e">
        <f t="shared" si="17"/>
        <v>#N/A</v>
      </c>
      <c r="M378" s="64" t="s">
        <v>614</v>
      </c>
      <c r="N378" s="123">
        <v>3567</v>
      </c>
    </row>
    <row r="379" spans="2:14" x14ac:dyDescent="0.3">
      <c r="B379" t="e">
        <f>VLOOKUP(A379,'Clientes CBOT'!A:D,4,0)</f>
        <v>#N/A</v>
      </c>
      <c r="C379" s="7" t="e">
        <f>VLOOKUP(A379,'Statement base'!E:AO,21,0)</f>
        <v>#N/A</v>
      </c>
      <c r="D379" s="7" t="e">
        <f>VLOOKUP(A379,'Statement base'!E:AO,10,0)-VLOOKUP(A379,'Statement base'!E:AO,21,0)</f>
        <v>#N/A</v>
      </c>
      <c r="E379" t="s">
        <v>188</v>
      </c>
      <c r="F379" s="6" t="e">
        <f>VLOOKUP(A379,'Statement base'!E:AO,10,0)+VLOOKUP(A379,'Statement base'!E:AO,14,0)</f>
        <v>#N/A</v>
      </c>
      <c r="G379" s="61" t="e">
        <f>VLOOKUP(A379,'Clientes CBOT'!A:E,5,0)</f>
        <v>#N/A</v>
      </c>
      <c r="H379" t="str">
        <f t="shared" si="15"/>
        <v>Hard</v>
      </c>
      <c r="I379" s="6" t="e">
        <f t="shared" si="16"/>
        <v>#N/A</v>
      </c>
      <c r="J379" s="6" t="e">
        <f t="shared" si="17"/>
        <v>#N/A</v>
      </c>
      <c r="M379" s="64" t="s">
        <v>377</v>
      </c>
      <c r="N379" s="123">
        <v>-98158.3</v>
      </c>
    </row>
    <row r="380" spans="2:14" x14ac:dyDescent="0.3">
      <c r="B380" t="e">
        <f>VLOOKUP(A380,'Clientes CBOT'!A:D,4,0)</f>
        <v>#N/A</v>
      </c>
      <c r="C380" s="7" t="e">
        <f>VLOOKUP(A380,'Statement base'!E:AO,21,0)</f>
        <v>#N/A</v>
      </c>
      <c r="D380" s="7" t="e">
        <f>VLOOKUP(A380,'Statement base'!E:AO,10,0)-VLOOKUP(A380,'Statement base'!E:AO,21,0)</f>
        <v>#N/A</v>
      </c>
      <c r="E380" t="s">
        <v>188</v>
      </c>
      <c r="F380" s="6" t="e">
        <f>VLOOKUP(A380,'Statement base'!E:AO,10,0)+VLOOKUP(A380,'Statement base'!E:AO,14,0)</f>
        <v>#N/A</v>
      </c>
      <c r="G380" s="61" t="e">
        <f>VLOOKUP(A380,'Clientes CBOT'!A:E,5,0)</f>
        <v>#N/A</v>
      </c>
      <c r="H380" t="str">
        <f t="shared" si="15"/>
        <v>Hard</v>
      </c>
      <c r="I380" s="6" t="e">
        <f t="shared" si="16"/>
        <v>#N/A</v>
      </c>
      <c r="J380" s="6" t="e">
        <f t="shared" si="17"/>
        <v>#N/A</v>
      </c>
      <c r="M380" s="64" t="s">
        <v>615</v>
      </c>
      <c r="N380" s="123">
        <v>0</v>
      </c>
    </row>
    <row r="381" spans="2:14" x14ac:dyDescent="0.3">
      <c r="B381" t="e">
        <f>VLOOKUP(A381,'Clientes CBOT'!A:D,4,0)</f>
        <v>#N/A</v>
      </c>
      <c r="C381" s="7" t="e">
        <f>VLOOKUP(A381,'Statement base'!E:AO,21,0)</f>
        <v>#N/A</v>
      </c>
      <c r="D381" s="7" t="e">
        <f>VLOOKUP(A381,'Statement base'!E:AO,10,0)-VLOOKUP(A381,'Statement base'!E:AO,21,0)</f>
        <v>#N/A</v>
      </c>
      <c r="E381" t="s">
        <v>188</v>
      </c>
      <c r="F381" s="6" t="e">
        <f>VLOOKUP(A381,'Statement base'!E:AO,10,0)+VLOOKUP(A381,'Statement base'!E:AO,14,0)</f>
        <v>#N/A</v>
      </c>
      <c r="G381" s="61" t="e">
        <f>VLOOKUP(A381,'Clientes CBOT'!A:E,5,0)</f>
        <v>#N/A</v>
      </c>
      <c r="H381" t="str">
        <f t="shared" si="15"/>
        <v>Hard</v>
      </c>
      <c r="I381" s="6" t="e">
        <f t="shared" si="16"/>
        <v>#N/A</v>
      </c>
      <c r="J381" s="6" t="e">
        <f t="shared" si="17"/>
        <v>#N/A</v>
      </c>
      <c r="M381" s="64" t="s">
        <v>616</v>
      </c>
      <c r="N381" s="123">
        <v>-36.57</v>
      </c>
    </row>
    <row r="382" spans="2:14" x14ac:dyDescent="0.3">
      <c r="B382" t="e">
        <f>VLOOKUP(A382,'Clientes CBOT'!A:D,4,0)</f>
        <v>#N/A</v>
      </c>
      <c r="C382" s="7" t="e">
        <f>VLOOKUP(A382,'Statement base'!E:AO,21,0)</f>
        <v>#N/A</v>
      </c>
      <c r="D382" s="7" t="e">
        <f>VLOOKUP(A382,'Statement base'!E:AO,10,0)-VLOOKUP(A382,'Statement base'!E:AO,21,0)</f>
        <v>#N/A</v>
      </c>
      <c r="E382" t="s">
        <v>188</v>
      </c>
      <c r="F382" s="6" t="e">
        <f>VLOOKUP(A382,'Statement base'!E:AO,10,0)+VLOOKUP(A382,'Statement base'!E:AO,14,0)</f>
        <v>#N/A</v>
      </c>
      <c r="G382" s="61" t="e">
        <f>VLOOKUP(A382,'Clientes CBOT'!A:E,5,0)</f>
        <v>#N/A</v>
      </c>
      <c r="H382" t="str">
        <f t="shared" si="15"/>
        <v>Hard</v>
      </c>
      <c r="I382" s="6" t="e">
        <f t="shared" si="16"/>
        <v>#N/A</v>
      </c>
      <c r="J382" s="6" t="e">
        <f t="shared" si="17"/>
        <v>#N/A</v>
      </c>
      <c r="M382" s="64" t="s">
        <v>617</v>
      </c>
      <c r="N382" s="123">
        <v>0</v>
      </c>
    </row>
    <row r="383" spans="2:14" x14ac:dyDescent="0.3">
      <c r="B383" t="e">
        <f>VLOOKUP(A383,'Clientes CBOT'!A:D,4,0)</f>
        <v>#N/A</v>
      </c>
      <c r="C383" s="7" t="e">
        <f>VLOOKUP(A383,'Statement base'!E:AO,21,0)</f>
        <v>#N/A</v>
      </c>
      <c r="D383" s="7" t="e">
        <f>VLOOKUP(A383,'Statement base'!E:AO,10,0)-VLOOKUP(A383,'Statement base'!E:AO,21,0)</f>
        <v>#N/A</v>
      </c>
      <c r="E383" t="s">
        <v>188</v>
      </c>
      <c r="F383" s="6" t="e">
        <f>VLOOKUP(A383,'Statement base'!E:AO,10,0)+VLOOKUP(A383,'Statement base'!E:AO,14,0)</f>
        <v>#N/A</v>
      </c>
      <c r="G383" s="61" t="e">
        <f>VLOOKUP(A383,'Clientes CBOT'!A:E,5,0)</f>
        <v>#N/A</v>
      </c>
      <c r="H383" t="str">
        <f t="shared" si="15"/>
        <v>Hard</v>
      </c>
      <c r="I383" s="6" t="e">
        <f t="shared" si="16"/>
        <v>#N/A</v>
      </c>
      <c r="J383" s="6" t="e">
        <f t="shared" si="17"/>
        <v>#N/A</v>
      </c>
      <c r="M383" s="64" t="s">
        <v>618</v>
      </c>
      <c r="N383" s="123">
        <v>0.97</v>
      </c>
    </row>
    <row r="384" spans="2:14" x14ac:dyDescent="0.3">
      <c r="B384" t="e">
        <f>VLOOKUP(A384,'Clientes CBOT'!A:D,4,0)</f>
        <v>#N/A</v>
      </c>
      <c r="C384" s="7" t="e">
        <f>VLOOKUP(A384,'Statement base'!E:AO,21,0)</f>
        <v>#N/A</v>
      </c>
      <c r="D384" s="7" t="e">
        <f>VLOOKUP(A384,'Statement base'!E:AO,10,0)-VLOOKUP(A384,'Statement base'!E:AO,21,0)</f>
        <v>#N/A</v>
      </c>
      <c r="E384" t="s">
        <v>188</v>
      </c>
      <c r="F384" s="6" t="e">
        <f>VLOOKUP(A384,'Statement base'!E:AO,10,0)+VLOOKUP(A384,'Statement base'!E:AO,14,0)</f>
        <v>#N/A</v>
      </c>
      <c r="G384" s="61" t="e">
        <f>VLOOKUP(A384,'Clientes CBOT'!A:E,5,0)</f>
        <v>#N/A</v>
      </c>
      <c r="H384" t="str">
        <f t="shared" si="15"/>
        <v>Hard</v>
      </c>
      <c r="I384" s="6" t="e">
        <f t="shared" si="16"/>
        <v>#N/A</v>
      </c>
      <c r="J384" s="6" t="e">
        <f t="shared" si="17"/>
        <v>#N/A</v>
      </c>
      <c r="M384" s="64" t="s">
        <v>619</v>
      </c>
      <c r="N384" s="123">
        <v>339973.76</v>
      </c>
    </row>
    <row r="385" spans="2:14" x14ac:dyDescent="0.3">
      <c r="B385" t="e">
        <f>VLOOKUP(A385,'Clientes CBOT'!A:D,4,0)</f>
        <v>#N/A</v>
      </c>
      <c r="C385" s="7" t="e">
        <f>VLOOKUP(A385,'Statement base'!E:AO,21,0)</f>
        <v>#N/A</v>
      </c>
      <c r="D385" s="7" t="e">
        <f>VLOOKUP(A385,'Statement base'!E:AO,10,0)-VLOOKUP(A385,'Statement base'!E:AO,21,0)</f>
        <v>#N/A</v>
      </c>
      <c r="E385" t="s">
        <v>188</v>
      </c>
      <c r="F385" s="6" t="e">
        <f>VLOOKUP(A385,'Statement base'!E:AO,10,0)+VLOOKUP(A385,'Statement base'!E:AO,14,0)</f>
        <v>#N/A</v>
      </c>
      <c r="G385" s="61" t="e">
        <f>VLOOKUP(A385,'Clientes CBOT'!A:E,5,0)</f>
        <v>#N/A</v>
      </c>
      <c r="H385" t="str">
        <f t="shared" si="15"/>
        <v>Hard</v>
      </c>
      <c r="I385" s="6" t="e">
        <f t="shared" si="16"/>
        <v>#N/A</v>
      </c>
      <c r="J385" s="6" t="e">
        <f t="shared" si="17"/>
        <v>#N/A</v>
      </c>
      <c r="M385" s="64" t="s">
        <v>122</v>
      </c>
      <c r="N385" s="123">
        <v>-193604484.66000003</v>
      </c>
    </row>
    <row r="386" spans="2:14" x14ac:dyDescent="0.3">
      <c r="B386" t="e">
        <f>VLOOKUP(A386,'Clientes CBOT'!A:D,4,0)</f>
        <v>#N/A</v>
      </c>
      <c r="C386" s="7" t="e">
        <f>VLOOKUP(A386,'Statement base'!E:AO,21,0)</f>
        <v>#N/A</v>
      </c>
      <c r="D386" s="7" t="e">
        <f>VLOOKUP(A386,'Statement base'!E:AO,10,0)-VLOOKUP(A386,'Statement base'!E:AO,21,0)</f>
        <v>#N/A</v>
      </c>
      <c r="E386" t="s">
        <v>188</v>
      </c>
      <c r="F386" s="6" t="e">
        <f>VLOOKUP(A386,'Statement base'!E:AO,10,0)+VLOOKUP(A386,'Statement base'!E:AO,14,0)</f>
        <v>#N/A</v>
      </c>
      <c r="G386" s="61" t="e">
        <f>VLOOKUP(A386,'Clientes CBOT'!A:E,5,0)</f>
        <v>#N/A</v>
      </c>
      <c r="H386" t="str">
        <f t="shared" si="15"/>
        <v>Hard</v>
      </c>
      <c r="I386" s="6" t="e">
        <f t="shared" si="16"/>
        <v>#N/A</v>
      </c>
      <c r="J386" s="6" t="e">
        <f t="shared" si="17"/>
        <v>#N/A</v>
      </c>
      <c r="M386" s="64" t="s">
        <v>620</v>
      </c>
      <c r="N386" s="123">
        <v>1110.5</v>
      </c>
    </row>
    <row r="387" spans="2:14" x14ac:dyDescent="0.3">
      <c r="B387" t="e">
        <f>VLOOKUP(A387,'Clientes CBOT'!A:D,4,0)</f>
        <v>#N/A</v>
      </c>
      <c r="C387" s="7" t="e">
        <f>VLOOKUP(A387,'Statement base'!E:AO,21,0)</f>
        <v>#N/A</v>
      </c>
      <c r="D387" s="7" t="e">
        <f>VLOOKUP(A387,'Statement base'!E:AO,10,0)-VLOOKUP(A387,'Statement base'!E:AO,21,0)</f>
        <v>#N/A</v>
      </c>
      <c r="E387" t="s">
        <v>188</v>
      </c>
      <c r="F387" s="6" t="e">
        <f>VLOOKUP(A387,'Statement base'!E:AO,10,0)+VLOOKUP(A387,'Statement base'!E:AO,14,0)</f>
        <v>#N/A</v>
      </c>
      <c r="G387" s="61" t="e">
        <f>VLOOKUP(A387,'Clientes CBOT'!A:E,5,0)</f>
        <v>#N/A</v>
      </c>
      <c r="H387" t="str">
        <f t="shared" si="15"/>
        <v>Hard</v>
      </c>
      <c r="I387" s="6" t="e">
        <f t="shared" si="16"/>
        <v>#N/A</v>
      </c>
      <c r="J387" s="6" t="e">
        <f t="shared" si="17"/>
        <v>#N/A</v>
      </c>
      <c r="M387" s="64" t="s">
        <v>621</v>
      </c>
      <c r="N387" s="123">
        <v>-0.01</v>
      </c>
    </row>
    <row r="388" spans="2:14" x14ac:dyDescent="0.3">
      <c r="B388" t="e">
        <f>VLOOKUP(A388,'Clientes CBOT'!A:D,4,0)</f>
        <v>#N/A</v>
      </c>
      <c r="C388" s="7" t="e">
        <f>VLOOKUP(A388,'Statement base'!E:AO,21,0)</f>
        <v>#N/A</v>
      </c>
      <c r="D388" s="7" t="e">
        <f>VLOOKUP(A388,'Statement base'!E:AO,10,0)-VLOOKUP(A388,'Statement base'!E:AO,21,0)</f>
        <v>#N/A</v>
      </c>
      <c r="E388" t="s">
        <v>188</v>
      </c>
      <c r="F388" s="6" t="e">
        <f>VLOOKUP(A388,'Statement base'!E:AO,10,0)+VLOOKUP(A388,'Statement base'!E:AO,14,0)</f>
        <v>#N/A</v>
      </c>
      <c r="G388" s="61" t="e">
        <f>VLOOKUP(A388,'Clientes CBOT'!A:E,5,0)</f>
        <v>#N/A</v>
      </c>
      <c r="H388" t="str">
        <f t="shared" si="15"/>
        <v>Hard</v>
      </c>
      <c r="I388" s="6" t="e">
        <f t="shared" si="16"/>
        <v>#N/A</v>
      </c>
      <c r="J388" s="6" t="e">
        <f t="shared" si="17"/>
        <v>#N/A</v>
      </c>
      <c r="M388" s="64" t="s">
        <v>585</v>
      </c>
      <c r="N388" s="123">
        <v>11.88</v>
      </c>
    </row>
    <row r="389" spans="2:14" x14ac:dyDescent="0.3">
      <c r="B389" t="e">
        <f>VLOOKUP(A389,'Clientes CBOT'!A:D,4,0)</f>
        <v>#N/A</v>
      </c>
      <c r="C389" s="7" t="e">
        <f>VLOOKUP(A389,'Statement base'!E:AO,21,0)</f>
        <v>#N/A</v>
      </c>
      <c r="D389" s="7" t="e">
        <f>VLOOKUP(A389,'Statement base'!E:AO,10,0)-VLOOKUP(A389,'Statement base'!E:AO,21,0)</f>
        <v>#N/A</v>
      </c>
      <c r="E389" t="s">
        <v>188</v>
      </c>
      <c r="F389" s="6" t="e">
        <f>VLOOKUP(A389,'Statement base'!E:AO,10,0)+VLOOKUP(A389,'Statement base'!E:AO,14,0)</f>
        <v>#N/A</v>
      </c>
      <c r="G389" s="61" t="e">
        <f>VLOOKUP(A389,'Clientes CBOT'!A:E,5,0)</f>
        <v>#N/A</v>
      </c>
      <c r="H389" t="str">
        <f t="shared" ref="H389:H452" si="18">IF(E389="pesos","Ars",IF(E389="Dólar Matba Rofex","usd linked","Hard"))</f>
        <v>Hard</v>
      </c>
      <c r="I389" s="6" t="e">
        <f t="shared" ref="I389:I452" si="19">IF(H389="ars",C389/$J$1,IF(H389="hard",C389*$J$2/$J$1,C389))</f>
        <v>#N/A</v>
      </c>
      <c r="J389" s="6" t="e">
        <f t="shared" ref="J389:J452" si="20">IF(H389="ars",D389/$J$1,IF(H389="hard",D389*$J$2/$J$1,D389))</f>
        <v>#N/A</v>
      </c>
      <c r="M389" s="64" t="s">
        <v>508</v>
      </c>
      <c r="N389" s="123">
        <v>0</v>
      </c>
    </row>
    <row r="390" spans="2:14" x14ac:dyDescent="0.3">
      <c r="B390" t="e">
        <f>VLOOKUP(A390,'Clientes CBOT'!A:D,4,0)</f>
        <v>#N/A</v>
      </c>
      <c r="C390" s="7" t="e">
        <f>VLOOKUP(A390,'Statement base'!E:AO,21,0)</f>
        <v>#N/A</v>
      </c>
      <c r="D390" s="7" t="e">
        <f>VLOOKUP(A390,'Statement base'!E:AO,10,0)-VLOOKUP(A390,'Statement base'!E:AO,21,0)</f>
        <v>#N/A</v>
      </c>
      <c r="E390" t="s">
        <v>188</v>
      </c>
      <c r="F390" s="6" t="e">
        <f>VLOOKUP(A390,'Statement base'!E:AO,10,0)+VLOOKUP(A390,'Statement base'!E:AO,14,0)</f>
        <v>#N/A</v>
      </c>
      <c r="G390" s="61" t="e">
        <f>VLOOKUP(A390,'Clientes CBOT'!A:E,5,0)</f>
        <v>#N/A</v>
      </c>
      <c r="H390" t="str">
        <f t="shared" si="18"/>
        <v>Hard</v>
      </c>
      <c r="I390" s="6" t="e">
        <f t="shared" si="19"/>
        <v>#N/A</v>
      </c>
      <c r="J390" s="6" t="e">
        <f t="shared" si="20"/>
        <v>#N/A</v>
      </c>
      <c r="M390" s="64" t="s">
        <v>431</v>
      </c>
      <c r="N390" s="123">
        <v>-511540.73</v>
      </c>
    </row>
    <row r="391" spans="2:14" x14ac:dyDescent="0.3">
      <c r="B391" t="e">
        <f>VLOOKUP(A391,'Clientes CBOT'!A:D,4,0)</f>
        <v>#N/A</v>
      </c>
      <c r="C391" s="7" t="e">
        <f>VLOOKUP(A391,'Statement base'!E:AO,21,0)</f>
        <v>#N/A</v>
      </c>
      <c r="D391" s="7" t="e">
        <f>VLOOKUP(A391,'Statement base'!E:AO,10,0)-VLOOKUP(A391,'Statement base'!E:AO,21,0)</f>
        <v>#N/A</v>
      </c>
      <c r="E391" t="s">
        <v>188</v>
      </c>
      <c r="F391" s="6" t="e">
        <f>VLOOKUP(A391,'Statement base'!E:AO,10,0)+VLOOKUP(A391,'Statement base'!E:AO,14,0)</f>
        <v>#N/A</v>
      </c>
      <c r="G391" s="61" t="e">
        <f>VLOOKUP(A391,'Clientes CBOT'!A:E,5,0)</f>
        <v>#N/A</v>
      </c>
      <c r="H391" t="str">
        <f t="shared" si="18"/>
        <v>Hard</v>
      </c>
      <c r="I391" s="6" t="e">
        <f t="shared" si="19"/>
        <v>#N/A</v>
      </c>
      <c r="J391" s="6" t="e">
        <f t="shared" si="20"/>
        <v>#N/A</v>
      </c>
      <c r="M391" s="64" t="s">
        <v>517</v>
      </c>
      <c r="N391" s="123">
        <v>0</v>
      </c>
    </row>
    <row r="392" spans="2:14" x14ac:dyDescent="0.3">
      <c r="B392" t="e">
        <f>VLOOKUP(A392,'Clientes CBOT'!A:D,4,0)</f>
        <v>#N/A</v>
      </c>
      <c r="C392" s="7" t="e">
        <f>VLOOKUP(A392,'Statement base'!E:AO,21,0)</f>
        <v>#N/A</v>
      </c>
      <c r="D392" s="7" t="e">
        <f>VLOOKUP(A392,'Statement base'!E:AO,10,0)-VLOOKUP(A392,'Statement base'!E:AO,21,0)</f>
        <v>#N/A</v>
      </c>
      <c r="E392" t="s">
        <v>188</v>
      </c>
      <c r="F392" s="6" t="e">
        <f>VLOOKUP(A392,'Statement base'!E:AO,10,0)+VLOOKUP(A392,'Statement base'!E:AO,14,0)</f>
        <v>#N/A</v>
      </c>
      <c r="G392" s="61" t="e">
        <f>VLOOKUP(A392,'Clientes CBOT'!A:E,5,0)</f>
        <v>#N/A</v>
      </c>
      <c r="H392" t="str">
        <f t="shared" si="18"/>
        <v>Hard</v>
      </c>
      <c r="I392" s="6" t="e">
        <f t="shared" si="19"/>
        <v>#N/A</v>
      </c>
      <c r="J392" s="6" t="e">
        <f t="shared" si="20"/>
        <v>#N/A</v>
      </c>
      <c r="M392" s="64" t="s">
        <v>493</v>
      </c>
      <c r="N392" s="123">
        <v>0</v>
      </c>
    </row>
    <row r="393" spans="2:14" x14ac:dyDescent="0.3">
      <c r="B393" t="e">
        <f>VLOOKUP(A393,'Clientes CBOT'!A:D,4,0)</f>
        <v>#N/A</v>
      </c>
      <c r="C393" s="7" t="e">
        <f>VLOOKUP(A393,'Statement base'!E:AO,21,0)</f>
        <v>#N/A</v>
      </c>
      <c r="D393" s="7" t="e">
        <f>VLOOKUP(A393,'Statement base'!E:AO,10,0)-VLOOKUP(A393,'Statement base'!E:AO,21,0)</f>
        <v>#N/A</v>
      </c>
      <c r="E393" t="s">
        <v>188</v>
      </c>
      <c r="F393" s="6" t="e">
        <f>VLOOKUP(A393,'Statement base'!E:AO,10,0)+VLOOKUP(A393,'Statement base'!E:AO,14,0)</f>
        <v>#N/A</v>
      </c>
      <c r="G393" s="61" t="e">
        <f>VLOOKUP(A393,'Clientes CBOT'!A:E,5,0)</f>
        <v>#N/A</v>
      </c>
      <c r="H393" t="str">
        <f t="shared" si="18"/>
        <v>Hard</v>
      </c>
      <c r="I393" s="6" t="e">
        <f t="shared" si="19"/>
        <v>#N/A</v>
      </c>
      <c r="J393" s="6" t="e">
        <f t="shared" si="20"/>
        <v>#N/A</v>
      </c>
      <c r="M393" s="64" t="s">
        <v>622</v>
      </c>
      <c r="N393" s="123">
        <v>0</v>
      </c>
    </row>
    <row r="394" spans="2:14" x14ac:dyDescent="0.3">
      <c r="B394" t="e">
        <f>VLOOKUP(A394,'Clientes CBOT'!A:D,4,0)</f>
        <v>#N/A</v>
      </c>
      <c r="C394" s="7" t="e">
        <f>VLOOKUP(A394,'Statement base'!E:AO,21,0)</f>
        <v>#N/A</v>
      </c>
      <c r="D394" s="7" t="e">
        <f>VLOOKUP(A394,'Statement base'!E:AO,10,0)-VLOOKUP(A394,'Statement base'!E:AO,21,0)</f>
        <v>#N/A</v>
      </c>
      <c r="E394" t="s">
        <v>188</v>
      </c>
      <c r="F394" s="6" t="e">
        <f>VLOOKUP(A394,'Statement base'!E:AO,10,0)+VLOOKUP(A394,'Statement base'!E:AO,14,0)</f>
        <v>#N/A</v>
      </c>
      <c r="G394" s="61" t="e">
        <f>VLOOKUP(A394,'Clientes CBOT'!A:E,5,0)</f>
        <v>#N/A</v>
      </c>
      <c r="H394" t="str">
        <f t="shared" si="18"/>
        <v>Hard</v>
      </c>
      <c r="I394" s="6" t="e">
        <f t="shared" si="19"/>
        <v>#N/A</v>
      </c>
      <c r="J394" s="6" t="e">
        <f t="shared" si="20"/>
        <v>#N/A</v>
      </c>
      <c r="M394" s="64" t="s">
        <v>623</v>
      </c>
      <c r="N394" s="123">
        <v>0</v>
      </c>
    </row>
    <row r="395" spans="2:14" x14ac:dyDescent="0.3">
      <c r="B395" t="e">
        <f>VLOOKUP(A395,'Clientes CBOT'!A:D,4,0)</f>
        <v>#N/A</v>
      </c>
      <c r="C395" s="7" t="e">
        <f>VLOOKUP(A395,'Statement base'!E:AO,21,0)</f>
        <v>#N/A</v>
      </c>
      <c r="D395" s="7" t="e">
        <f>VLOOKUP(A395,'Statement base'!E:AO,10,0)-VLOOKUP(A395,'Statement base'!E:AO,21,0)</f>
        <v>#N/A</v>
      </c>
      <c r="E395" t="s">
        <v>188</v>
      </c>
      <c r="F395" s="6" t="e">
        <f>VLOOKUP(A395,'Statement base'!E:AO,10,0)+VLOOKUP(A395,'Statement base'!E:AO,14,0)</f>
        <v>#N/A</v>
      </c>
      <c r="G395" s="61" t="e">
        <f>VLOOKUP(A395,'Clientes CBOT'!A:E,5,0)</f>
        <v>#N/A</v>
      </c>
      <c r="H395" t="str">
        <f t="shared" si="18"/>
        <v>Hard</v>
      </c>
      <c r="I395" s="6" t="e">
        <f t="shared" si="19"/>
        <v>#N/A</v>
      </c>
      <c r="J395" s="6" t="e">
        <f t="shared" si="20"/>
        <v>#N/A</v>
      </c>
      <c r="M395" s="64" t="s">
        <v>438</v>
      </c>
      <c r="N395" s="123">
        <v>1007.7</v>
      </c>
    </row>
    <row r="396" spans="2:14" x14ac:dyDescent="0.3">
      <c r="B396" t="e">
        <f>VLOOKUP(A396,'Clientes CBOT'!A:D,4,0)</f>
        <v>#N/A</v>
      </c>
      <c r="C396" s="7" t="e">
        <f>VLOOKUP(A396,'Statement base'!E:AO,21,0)</f>
        <v>#N/A</v>
      </c>
      <c r="D396" s="7" t="e">
        <f>VLOOKUP(A396,'Statement base'!E:AO,10,0)-VLOOKUP(A396,'Statement base'!E:AO,21,0)</f>
        <v>#N/A</v>
      </c>
      <c r="E396" t="s">
        <v>188</v>
      </c>
      <c r="F396" s="6" t="e">
        <f>VLOOKUP(A396,'Statement base'!E:AO,10,0)+VLOOKUP(A396,'Statement base'!E:AO,14,0)</f>
        <v>#N/A</v>
      </c>
      <c r="G396" s="61" t="e">
        <f>VLOOKUP(A396,'Clientes CBOT'!A:E,5,0)</f>
        <v>#N/A</v>
      </c>
      <c r="H396" t="str">
        <f t="shared" si="18"/>
        <v>Hard</v>
      </c>
      <c r="I396" s="6" t="e">
        <f t="shared" si="19"/>
        <v>#N/A</v>
      </c>
      <c r="J396" s="6" t="e">
        <f t="shared" si="20"/>
        <v>#N/A</v>
      </c>
      <c r="M396" s="64" t="s">
        <v>625</v>
      </c>
      <c r="N396" s="123">
        <v>2820.94</v>
      </c>
    </row>
    <row r="397" spans="2:14" x14ac:dyDescent="0.3">
      <c r="B397" t="e">
        <f>VLOOKUP(A397,'Clientes CBOT'!A:D,4,0)</f>
        <v>#N/A</v>
      </c>
      <c r="C397" s="7" t="e">
        <f>VLOOKUP(A397,'Statement base'!E:AO,21,0)</f>
        <v>#N/A</v>
      </c>
      <c r="D397" s="7" t="e">
        <f>VLOOKUP(A397,'Statement base'!E:AO,10,0)-VLOOKUP(A397,'Statement base'!E:AO,21,0)</f>
        <v>#N/A</v>
      </c>
      <c r="E397" t="s">
        <v>188</v>
      </c>
      <c r="F397" s="6" t="e">
        <f>VLOOKUP(A397,'Statement base'!E:AO,10,0)+VLOOKUP(A397,'Statement base'!E:AO,14,0)</f>
        <v>#N/A</v>
      </c>
      <c r="G397" s="61" t="e">
        <f>VLOOKUP(A397,'Clientes CBOT'!A:E,5,0)</f>
        <v>#N/A</v>
      </c>
      <c r="H397" t="str">
        <f t="shared" si="18"/>
        <v>Hard</v>
      </c>
      <c r="I397" s="6" t="e">
        <f t="shared" si="19"/>
        <v>#N/A</v>
      </c>
      <c r="J397" s="6" t="e">
        <f t="shared" si="20"/>
        <v>#N/A</v>
      </c>
      <c r="M397" s="64" t="s">
        <v>626</v>
      </c>
      <c r="N397" s="123">
        <v>59570.280000000006</v>
      </c>
    </row>
    <row r="398" spans="2:14" x14ac:dyDescent="0.3">
      <c r="B398" t="e">
        <f>VLOOKUP(A398,'Clientes CBOT'!A:D,4,0)</f>
        <v>#N/A</v>
      </c>
      <c r="C398" s="7" t="e">
        <f>VLOOKUP(A398,'Statement base'!E:AO,21,0)</f>
        <v>#N/A</v>
      </c>
      <c r="D398" s="7" t="e">
        <f>VLOOKUP(A398,'Statement base'!E:AO,10,0)-VLOOKUP(A398,'Statement base'!E:AO,21,0)</f>
        <v>#N/A</v>
      </c>
      <c r="E398" t="s">
        <v>188</v>
      </c>
      <c r="F398" s="6" t="e">
        <f>VLOOKUP(A398,'Statement base'!E:AO,10,0)+VLOOKUP(A398,'Statement base'!E:AO,14,0)</f>
        <v>#N/A</v>
      </c>
      <c r="G398" s="61" t="e">
        <f>VLOOKUP(A398,'Clientes CBOT'!A:E,5,0)</f>
        <v>#N/A</v>
      </c>
      <c r="H398" t="str">
        <f t="shared" si="18"/>
        <v>Hard</v>
      </c>
      <c r="I398" s="6" t="e">
        <f t="shared" si="19"/>
        <v>#N/A</v>
      </c>
      <c r="J398" s="6" t="e">
        <f t="shared" si="20"/>
        <v>#N/A</v>
      </c>
      <c r="M398" s="64" t="s">
        <v>374</v>
      </c>
      <c r="N398" s="123">
        <v>29.6</v>
      </c>
    </row>
    <row r="399" spans="2:14" x14ac:dyDescent="0.3">
      <c r="B399" t="e">
        <f>VLOOKUP(A399,'Clientes CBOT'!A:D,4,0)</f>
        <v>#N/A</v>
      </c>
      <c r="C399" s="7" t="e">
        <f>VLOOKUP(A399,'Statement base'!E:AO,21,0)</f>
        <v>#N/A</v>
      </c>
      <c r="D399" s="7" t="e">
        <f>VLOOKUP(A399,'Statement base'!E:AO,10,0)-VLOOKUP(A399,'Statement base'!E:AO,21,0)</f>
        <v>#N/A</v>
      </c>
      <c r="E399" t="s">
        <v>188</v>
      </c>
      <c r="F399" s="6" t="e">
        <f>VLOOKUP(A399,'Statement base'!E:AO,10,0)+VLOOKUP(A399,'Statement base'!E:AO,14,0)</f>
        <v>#N/A</v>
      </c>
      <c r="G399" s="61" t="e">
        <f>VLOOKUP(A399,'Clientes CBOT'!A:E,5,0)</f>
        <v>#N/A</v>
      </c>
      <c r="H399" t="str">
        <f t="shared" si="18"/>
        <v>Hard</v>
      </c>
      <c r="I399" s="6" t="e">
        <f t="shared" si="19"/>
        <v>#N/A</v>
      </c>
      <c r="J399" s="6" t="e">
        <f t="shared" si="20"/>
        <v>#N/A</v>
      </c>
      <c r="M399" s="64" t="s">
        <v>482</v>
      </c>
      <c r="N399" s="123">
        <v>-101.21</v>
      </c>
    </row>
    <row r="400" spans="2:14" x14ac:dyDescent="0.3">
      <c r="B400" t="e">
        <f>VLOOKUP(A400,'Clientes CBOT'!A:D,4,0)</f>
        <v>#N/A</v>
      </c>
      <c r="C400" s="7" t="e">
        <f>VLOOKUP(A400,'Statement base'!E:AO,21,0)</f>
        <v>#N/A</v>
      </c>
      <c r="D400" s="7" t="e">
        <f>VLOOKUP(A400,'Statement base'!E:AO,10,0)-VLOOKUP(A400,'Statement base'!E:AO,21,0)</f>
        <v>#N/A</v>
      </c>
      <c r="E400" t="s">
        <v>188</v>
      </c>
      <c r="F400" s="6" t="e">
        <f>VLOOKUP(A400,'Statement base'!E:AO,10,0)+VLOOKUP(A400,'Statement base'!E:AO,14,0)</f>
        <v>#N/A</v>
      </c>
      <c r="G400" s="61" t="e">
        <f>VLOOKUP(A400,'Clientes CBOT'!A:E,5,0)</f>
        <v>#N/A</v>
      </c>
      <c r="H400" t="str">
        <f t="shared" si="18"/>
        <v>Hard</v>
      </c>
      <c r="I400" s="6" t="e">
        <f t="shared" si="19"/>
        <v>#N/A</v>
      </c>
      <c r="J400" s="6" t="e">
        <f t="shared" si="20"/>
        <v>#N/A</v>
      </c>
      <c r="M400" s="64" t="s">
        <v>589</v>
      </c>
      <c r="N400" s="123">
        <v>-209136.61</v>
      </c>
    </row>
    <row r="401" spans="2:14" x14ac:dyDescent="0.3">
      <c r="B401" t="e">
        <f>VLOOKUP(A401,'Clientes CBOT'!A:D,4,0)</f>
        <v>#N/A</v>
      </c>
      <c r="C401" s="7" t="e">
        <f>VLOOKUP(A401,'Statement base'!E:AO,21,0)</f>
        <v>#N/A</v>
      </c>
      <c r="D401" s="7" t="e">
        <f>VLOOKUP(A401,'Statement base'!E:AO,10,0)-VLOOKUP(A401,'Statement base'!E:AO,21,0)</f>
        <v>#N/A</v>
      </c>
      <c r="E401" t="s">
        <v>188</v>
      </c>
      <c r="F401" s="6" t="e">
        <f>VLOOKUP(A401,'Statement base'!E:AO,10,0)+VLOOKUP(A401,'Statement base'!E:AO,14,0)</f>
        <v>#N/A</v>
      </c>
      <c r="G401" s="61" t="e">
        <f>VLOOKUP(A401,'Clientes CBOT'!A:E,5,0)</f>
        <v>#N/A</v>
      </c>
      <c r="H401" t="str">
        <f t="shared" si="18"/>
        <v>Hard</v>
      </c>
      <c r="I401" s="6" t="e">
        <f t="shared" si="19"/>
        <v>#N/A</v>
      </c>
      <c r="J401" s="6" t="e">
        <f t="shared" si="20"/>
        <v>#N/A</v>
      </c>
      <c r="M401" s="64" t="s">
        <v>627</v>
      </c>
      <c r="N401" s="123">
        <v>0</v>
      </c>
    </row>
    <row r="402" spans="2:14" x14ac:dyDescent="0.3">
      <c r="B402" t="e">
        <f>VLOOKUP(A402,'Clientes CBOT'!A:D,4,0)</f>
        <v>#N/A</v>
      </c>
      <c r="C402" s="7" t="e">
        <f>VLOOKUP(A402,'Statement base'!E:AO,21,0)</f>
        <v>#N/A</v>
      </c>
      <c r="D402" s="7" t="e">
        <f>VLOOKUP(A402,'Statement base'!E:AO,10,0)-VLOOKUP(A402,'Statement base'!E:AO,21,0)</f>
        <v>#N/A</v>
      </c>
      <c r="E402" t="s">
        <v>188</v>
      </c>
      <c r="F402" s="6" t="e">
        <f>VLOOKUP(A402,'Statement base'!E:AO,10,0)+VLOOKUP(A402,'Statement base'!E:AO,14,0)</f>
        <v>#N/A</v>
      </c>
      <c r="G402" s="61" t="e">
        <f>VLOOKUP(A402,'Clientes CBOT'!A:E,5,0)</f>
        <v>#N/A</v>
      </c>
      <c r="H402" t="str">
        <f t="shared" si="18"/>
        <v>Hard</v>
      </c>
      <c r="I402" s="6" t="e">
        <f t="shared" si="19"/>
        <v>#N/A</v>
      </c>
      <c r="J402" s="6" t="e">
        <f t="shared" si="20"/>
        <v>#N/A</v>
      </c>
      <c r="M402" s="64" t="s">
        <v>384</v>
      </c>
      <c r="N402" s="123">
        <v>4146655.53</v>
      </c>
    </row>
    <row r="403" spans="2:14" x14ac:dyDescent="0.3">
      <c r="B403" t="e">
        <f>VLOOKUP(A403,'Clientes CBOT'!A:D,4,0)</f>
        <v>#N/A</v>
      </c>
      <c r="C403" s="7" t="e">
        <f>VLOOKUP(A403,'Statement base'!E:AO,21,0)</f>
        <v>#N/A</v>
      </c>
      <c r="D403" s="7" t="e">
        <f>VLOOKUP(A403,'Statement base'!E:AO,10,0)-VLOOKUP(A403,'Statement base'!E:AO,21,0)</f>
        <v>#N/A</v>
      </c>
      <c r="E403" t="s">
        <v>188</v>
      </c>
      <c r="F403" s="6" t="e">
        <f>VLOOKUP(A403,'Statement base'!E:AO,10,0)+VLOOKUP(A403,'Statement base'!E:AO,14,0)</f>
        <v>#N/A</v>
      </c>
      <c r="G403" s="61" t="e">
        <f>VLOOKUP(A403,'Clientes CBOT'!A:E,5,0)</f>
        <v>#N/A</v>
      </c>
      <c r="H403" t="str">
        <f t="shared" si="18"/>
        <v>Hard</v>
      </c>
      <c r="I403" s="6" t="e">
        <f t="shared" si="19"/>
        <v>#N/A</v>
      </c>
      <c r="J403" s="6" t="e">
        <f t="shared" si="20"/>
        <v>#N/A</v>
      </c>
      <c r="M403" s="64" t="s">
        <v>628</v>
      </c>
      <c r="N403" s="123">
        <v>0.53</v>
      </c>
    </row>
    <row r="404" spans="2:14" x14ac:dyDescent="0.3">
      <c r="B404" t="e">
        <f>VLOOKUP(A404,'Clientes CBOT'!A:D,4,0)</f>
        <v>#N/A</v>
      </c>
      <c r="C404" s="7" t="e">
        <f>VLOOKUP(A404,'Statement base'!E:AO,21,0)</f>
        <v>#N/A</v>
      </c>
      <c r="D404" s="7" t="e">
        <f>VLOOKUP(A404,'Statement base'!E:AO,10,0)-VLOOKUP(A404,'Statement base'!E:AO,21,0)</f>
        <v>#N/A</v>
      </c>
      <c r="E404" t="s">
        <v>188</v>
      </c>
      <c r="F404" s="6" t="e">
        <f>VLOOKUP(A404,'Statement base'!E:AO,10,0)+VLOOKUP(A404,'Statement base'!E:AO,14,0)</f>
        <v>#N/A</v>
      </c>
      <c r="G404" s="61" t="e">
        <f>VLOOKUP(A404,'Clientes CBOT'!A:E,5,0)</f>
        <v>#N/A</v>
      </c>
      <c r="H404" t="str">
        <f t="shared" si="18"/>
        <v>Hard</v>
      </c>
      <c r="I404" s="6" t="e">
        <f t="shared" si="19"/>
        <v>#N/A</v>
      </c>
      <c r="J404" s="6" t="e">
        <f t="shared" si="20"/>
        <v>#N/A</v>
      </c>
      <c r="M404" s="64" t="s">
        <v>629</v>
      </c>
      <c r="N404" s="123">
        <v>26759.239999999998</v>
      </c>
    </row>
    <row r="405" spans="2:14" x14ac:dyDescent="0.3">
      <c r="B405" t="e">
        <f>VLOOKUP(A405,'Clientes CBOT'!A:D,4,0)</f>
        <v>#N/A</v>
      </c>
      <c r="C405" s="7" t="e">
        <f>VLOOKUP(A405,'Statement base'!E:AO,21,0)</f>
        <v>#N/A</v>
      </c>
      <c r="D405" s="7" t="e">
        <f>VLOOKUP(A405,'Statement base'!E:AO,10,0)-VLOOKUP(A405,'Statement base'!E:AO,21,0)</f>
        <v>#N/A</v>
      </c>
      <c r="E405" t="s">
        <v>188</v>
      </c>
      <c r="F405" s="6" t="e">
        <f>VLOOKUP(A405,'Statement base'!E:AO,10,0)+VLOOKUP(A405,'Statement base'!E:AO,14,0)</f>
        <v>#N/A</v>
      </c>
      <c r="G405" s="61" t="e">
        <f>VLOOKUP(A405,'Clientes CBOT'!A:E,5,0)</f>
        <v>#N/A</v>
      </c>
      <c r="H405" t="str">
        <f t="shared" si="18"/>
        <v>Hard</v>
      </c>
      <c r="I405" s="6" t="e">
        <f t="shared" si="19"/>
        <v>#N/A</v>
      </c>
      <c r="J405" s="6" t="e">
        <f t="shared" si="20"/>
        <v>#N/A</v>
      </c>
      <c r="M405" s="64" t="s">
        <v>630</v>
      </c>
      <c r="N405" s="123">
        <v>0</v>
      </c>
    </row>
    <row r="406" spans="2:14" x14ac:dyDescent="0.3">
      <c r="B406" t="e">
        <f>VLOOKUP(A406,'Clientes CBOT'!A:D,4,0)</f>
        <v>#N/A</v>
      </c>
      <c r="C406" s="7" t="e">
        <f>VLOOKUP(A406,'Statement base'!E:AO,21,0)</f>
        <v>#N/A</v>
      </c>
      <c r="D406" s="7" t="e">
        <f>VLOOKUP(A406,'Statement base'!E:AO,10,0)-VLOOKUP(A406,'Statement base'!E:AO,21,0)</f>
        <v>#N/A</v>
      </c>
      <c r="E406" t="s">
        <v>188</v>
      </c>
      <c r="F406" s="6" t="e">
        <f>VLOOKUP(A406,'Statement base'!E:AO,10,0)+VLOOKUP(A406,'Statement base'!E:AO,14,0)</f>
        <v>#N/A</v>
      </c>
      <c r="G406" s="61" t="e">
        <f>VLOOKUP(A406,'Clientes CBOT'!A:E,5,0)</f>
        <v>#N/A</v>
      </c>
      <c r="H406" t="str">
        <f t="shared" si="18"/>
        <v>Hard</v>
      </c>
      <c r="I406" s="6" t="e">
        <f t="shared" si="19"/>
        <v>#N/A</v>
      </c>
      <c r="J406" s="6" t="e">
        <f t="shared" si="20"/>
        <v>#N/A</v>
      </c>
      <c r="M406" s="64" t="s">
        <v>646</v>
      </c>
      <c r="N406" s="123">
        <v>0</v>
      </c>
    </row>
    <row r="407" spans="2:14" x14ac:dyDescent="0.3">
      <c r="B407" t="e">
        <f>VLOOKUP(A407,'Clientes CBOT'!A:D,4,0)</f>
        <v>#N/A</v>
      </c>
      <c r="C407" s="7" t="e">
        <f>VLOOKUP(A407,'Statement base'!E:AO,21,0)</f>
        <v>#N/A</v>
      </c>
      <c r="D407" s="7" t="e">
        <f>VLOOKUP(A407,'Statement base'!E:AO,10,0)-VLOOKUP(A407,'Statement base'!E:AO,21,0)</f>
        <v>#N/A</v>
      </c>
      <c r="E407" t="s">
        <v>188</v>
      </c>
      <c r="F407" s="6" t="e">
        <f>VLOOKUP(A407,'Statement base'!E:AO,10,0)+VLOOKUP(A407,'Statement base'!E:AO,14,0)</f>
        <v>#N/A</v>
      </c>
      <c r="G407" s="61" t="e">
        <f>VLOOKUP(A407,'Clientes CBOT'!A:E,5,0)</f>
        <v>#N/A</v>
      </c>
      <c r="H407" t="str">
        <f t="shared" si="18"/>
        <v>Hard</v>
      </c>
      <c r="I407" s="6" t="e">
        <f t="shared" si="19"/>
        <v>#N/A</v>
      </c>
      <c r="J407" s="6" t="e">
        <f t="shared" si="20"/>
        <v>#N/A</v>
      </c>
      <c r="M407" s="64" t="s">
        <v>647</v>
      </c>
      <c r="N407" s="123">
        <v>8039.65</v>
      </c>
    </row>
    <row r="408" spans="2:14" x14ac:dyDescent="0.3">
      <c r="B408" t="e">
        <f>VLOOKUP(A408,'Clientes CBOT'!A:D,4,0)</f>
        <v>#N/A</v>
      </c>
      <c r="C408" s="7" t="e">
        <f>VLOOKUP(A408,'Statement base'!E:AO,21,0)</f>
        <v>#N/A</v>
      </c>
      <c r="D408" s="7" t="e">
        <f>VLOOKUP(A408,'Statement base'!E:AO,10,0)-VLOOKUP(A408,'Statement base'!E:AO,21,0)</f>
        <v>#N/A</v>
      </c>
      <c r="E408" t="s">
        <v>188</v>
      </c>
      <c r="F408" s="6" t="e">
        <f>VLOOKUP(A408,'Statement base'!E:AO,10,0)+VLOOKUP(A408,'Statement base'!E:AO,14,0)</f>
        <v>#N/A</v>
      </c>
      <c r="G408" s="61" t="e">
        <f>VLOOKUP(A408,'Clientes CBOT'!A:E,5,0)</f>
        <v>#N/A</v>
      </c>
      <c r="H408" t="str">
        <f t="shared" si="18"/>
        <v>Hard</v>
      </c>
      <c r="I408" s="6" t="e">
        <f t="shared" si="19"/>
        <v>#N/A</v>
      </c>
      <c r="J408" s="6" t="e">
        <f t="shared" si="20"/>
        <v>#N/A</v>
      </c>
      <c r="M408" s="64" t="s">
        <v>649</v>
      </c>
      <c r="N408" s="123">
        <v>-2.46</v>
      </c>
    </row>
    <row r="409" spans="2:14" x14ac:dyDescent="0.3">
      <c r="B409" t="e">
        <f>VLOOKUP(A409,'Clientes CBOT'!A:D,4,0)</f>
        <v>#N/A</v>
      </c>
      <c r="C409" s="7" t="e">
        <f>VLOOKUP(A409,'Statement base'!E:AO,21,0)</f>
        <v>#N/A</v>
      </c>
      <c r="D409" s="7" t="e">
        <f>VLOOKUP(A409,'Statement base'!E:AO,10,0)-VLOOKUP(A409,'Statement base'!E:AO,21,0)</f>
        <v>#N/A</v>
      </c>
      <c r="E409" t="s">
        <v>188</v>
      </c>
      <c r="F409" s="6" t="e">
        <f>VLOOKUP(A409,'Statement base'!E:AO,10,0)+VLOOKUP(A409,'Statement base'!E:AO,14,0)</f>
        <v>#N/A</v>
      </c>
      <c r="G409" s="61" t="e">
        <f>VLOOKUP(A409,'Clientes CBOT'!A:E,5,0)</f>
        <v>#N/A</v>
      </c>
      <c r="H409" t="str">
        <f t="shared" si="18"/>
        <v>Hard</v>
      </c>
      <c r="I409" s="6" t="e">
        <f t="shared" si="19"/>
        <v>#N/A</v>
      </c>
      <c r="J409" s="6" t="e">
        <f t="shared" si="20"/>
        <v>#N/A</v>
      </c>
      <c r="M409" s="64" t="s">
        <v>650</v>
      </c>
      <c r="N409" s="123">
        <v>29499.38</v>
      </c>
    </row>
    <row r="410" spans="2:14" x14ac:dyDescent="0.3">
      <c r="B410" t="e">
        <f>VLOOKUP(A410,'Clientes CBOT'!A:D,4,0)</f>
        <v>#N/A</v>
      </c>
      <c r="C410" s="7" t="e">
        <f>VLOOKUP(A410,'Statement base'!E:AO,21,0)</f>
        <v>#N/A</v>
      </c>
      <c r="D410" s="7" t="e">
        <f>VLOOKUP(A410,'Statement base'!E:AO,10,0)-VLOOKUP(A410,'Statement base'!E:AO,21,0)</f>
        <v>#N/A</v>
      </c>
      <c r="E410" t="s">
        <v>188</v>
      </c>
      <c r="F410" s="6" t="e">
        <f>VLOOKUP(A410,'Statement base'!E:AO,10,0)+VLOOKUP(A410,'Statement base'!E:AO,14,0)</f>
        <v>#N/A</v>
      </c>
      <c r="G410" s="61" t="e">
        <f>VLOOKUP(A410,'Clientes CBOT'!A:E,5,0)</f>
        <v>#N/A</v>
      </c>
      <c r="H410" t="str">
        <f t="shared" si="18"/>
        <v>Hard</v>
      </c>
      <c r="I410" s="6" t="e">
        <f t="shared" si="19"/>
        <v>#N/A</v>
      </c>
      <c r="J410" s="6" t="e">
        <f t="shared" si="20"/>
        <v>#N/A</v>
      </c>
      <c r="M410" s="64" t="s">
        <v>673</v>
      </c>
      <c r="N410" s="123">
        <v>0</v>
      </c>
    </row>
    <row r="411" spans="2:14" x14ac:dyDescent="0.3">
      <c r="B411" t="e">
        <f>VLOOKUP(A411,'Clientes CBOT'!A:D,4,0)</f>
        <v>#N/A</v>
      </c>
      <c r="C411" s="7" t="e">
        <f>VLOOKUP(A411,'Statement base'!E:AO,21,0)</f>
        <v>#N/A</v>
      </c>
      <c r="D411" s="7" t="e">
        <f>VLOOKUP(A411,'Statement base'!E:AO,10,0)-VLOOKUP(A411,'Statement base'!E:AO,21,0)</f>
        <v>#N/A</v>
      </c>
      <c r="E411" t="s">
        <v>188</v>
      </c>
      <c r="F411" s="6" t="e">
        <f>VLOOKUP(A411,'Statement base'!E:AO,10,0)+VLOOKUP(A411,'Statement base'!E:AO,14,0)</f>
        <v>#N/A</v>
      </c>
      <c r="G411" s="61" t="e">
        <f>VLOOKUP(A411,'Clientes CBOT'!A:E,5,0)</f>
        <v>#N/A</v>
      </c>
      <c r="H411" t="str">
        <f t="shared" si="18"/>
        <v>Hard</v>
      </c>
      <c r="I411" s="6" t="e">
        <f t="shared" si="19"/>
        <v>#N/A</v>
      </c>
      <c r="J411" s="6" t="e">
        <f t="shared" si="20"/>
        <v>#N/A</v>
      </c>
      <c r="M411" s="64" t="s">
        <v>674</v>
      </c>
      <c r="N411" s="123">
        <v>0</v>
      </c>
    </row>
    <row r="412" spans="2:14" x14ac:dyDescent="0.3">
      <c r="B412" t="e">
        <f>VLOOKUP(A412,'Clientes CBOT'!A:D,4,0)</f>
        <v>#N/A</v>
      </c>
      <c r="C412" s="7" t="e">
        <f>VLOOKUP(A412,'Statement base'!E:AO,21,0)</f>
        <v>#N/A</v>
      </c>
      <c r="D412" s="7" t="e">
        <f>VLOOKUP(A412,'Statement base'!E:AO,10,0)-VLOOKUP(A412,'Statement base'!E:AO,21,0)</f>
        <v>#N/A</v>
      </c>
      <c r="E412" t="s">
        <v>188</v>
      </c>
      <c r="F412" s="6" t="e">
        <f>VLOOKUP(A412,'Statement base'!E:AO,10,0)+VLOOKUP(A412,'Statement base'!E:AO,14,0)</f>
        <v>#N/A</v>
      </c>
      <c r="G412" s="61" t="e">
        <f>VLOOKUP(A412,'Clientes CBOT'!A:E,5,0)</f>
        <v>#N/A</v>
      </c>
      <c r="H412" t="str">
        <f t="shared" si="18"/>
        <v>Hard</v>
      </c>
      <c r="I412" s="6" t="e">
        <f t="shared" si="19"/>
        <v>#N/A</v>
      </c>
      <c r="J412" s="6" t="e">
        <f t="shared" si="20"/>
        <v>#N/A</v>
      </c>
      <c r="M412" s="64" t="s">
        <v>675</v>
      </c>
      <c r="N412" s="123">
        <v>0</v>
      </c>
    </row>
    <row r="413" spans="2:14" x14ac:dyDescent="0.3">
      <c r="B413" t="e">
        <f>VLOOKUP(A413,'Clientes CBOT'!A:D,4,0)</f>
        <v>#N/A</v>
      </c>
      <c r="C413" s="7" t="e">
        <f>VLOOKUP(A413,'Statement base'!E:AO,21,0)</f>
        <v>#N/A</v>
      </c>
      <c r="D413" s="7" t="e">
        <f>VLOOKUP(A413,'Statement base'!E:AO,10,0)-VLOOKUP(A413,'Statement base'!E:AO,21,0)</f>
        <v>#N/A</v>
      </c>
      <c r="E413" t="s">
        <v>188</v>
      </c>
      <c r="F413" s="6" t="e">
        <f>VLOOKUP(A413,'Statement base'!E:AO,10,0)+VLOOKUP(A413,'Statement base'!E:AO,14,0)</f>
        <v>#N/A</v>
      </c>
      <c r="G413" s="61" t="e">
        <f>VLOOKUP(A413,'Clientes CBOT'!A:E,5,0)</f>
        <v>#N/A</v>
      </c>
      <c r="H413" t="str">
        <f t="shared" si="18"/>
        <v>Hard</v>
      </c>
      <c r="I413" s="6" t="e">
        <f t="shared" si="19"/>
        <v>#N/A</v>
      </c>
      <c r="J413" s="6" t="e">
        <f t="shared" si="20"/>
        <v>#N/A</v>
      </c>
      <c r="M413" s="64" t="s">
        <v>677</v>
      </c>
      <c r="N413" s="123">
        <v>0</v>
      </c>
    </row>
    <row r="414" spans="2:14" x14ac:dyDescent="0.3">
      <c r="B414" t="e">
        <f>VLOOKUP(A414,'Clientes CBOT'!A:D,4,0)</f>
        <v>#N/A</v>
      </c>
      <c r="C414" s="7" t="e">
        <f>VLOOKUP(A414,'Statement base'!E:AO,21,0)</f>
        <v>#N/A</v>
      </c>
      <c r="D414" s="7" t="e">
        <f>VLOOKUP(A414,'Statement base'!E:AO,10,0)-VLOOKUP(A414,'Statement base'!E:AO,21,0)</f>
        <v>#N/A</v>
      </c>
      <c r="E414" t="s">
        <v>188</v>
      </c>
      <c r="F414" s="6" t="e">
        <f>VLOOKUP(A414,'Statement base'!E:AO,10,0)+VLOOKUP(A414,'Statement base'!E:AO,14,0)</f>
        <v>#N/A</v>
      </c>
      <c r="G414" s="61" t="e">
        <f>VLOOKUP(A414,'Clientes CBOT'!A:E,5,0)</f>
        <v>#N/A</v>
      </c>
      <c r="H414" t="str">
        <f t="shared" si="18"/>
        <v>Hard</v>
      </c>
      <c r="I414" s="6" t="e">
        <f t="shared" si="19"/>
        <v>#N/A</v>
      </c>
      <c r="J414" s="6" t="e">
        <f t="shared" si="20"/>
        <v>#N/A</v>
      </c>
      <c r="M414" s="64" t="s">
        <v>680</v>
      </c>
      <c r="N414" s="123">
        <v>2765.88</v>
      </c>
    </row>
    <row r="415" spans="2:14" x14ac:dyDescent="0.3">
      <c r="B415" t="e">
        <f>VLOOKUP(A415,'Clientes CBOT'!A:D,4,0)</f>
        <v>#N/A</v>
      </c>
      <c r="C415" s="7" t="e">
        <f>VLOOKUP(A415,'Statement base'!E:AO,21,0)</f>
        <v>#N/A</v>
      </c>
      <c r="D415" s="7" t="e">
        <f>VLOOKUP(A415,'Statement base'!E:AO,10,0)-VLOOKUP(A415,'Statement base'!E:AO,21,0)</f>
        <v>#N/A</v>
      </c>
      <c r="E415" t="s">
        <v>188</v>
      </c>
      <c r="F415" s="6" t="e">
        <f>VLOOKUP(A415,'Statement base'!E:AO,10,0)+VLOOKUP(A415,'Statement base'!E:AO,14,0)</f>
        <v>#N/A</v>
      </c>
      <c r="G415" s="61" t="e">
        <f>VLOOKUP(A415,'Clientes CBOT'!A:E,5,0)</f>
        <v>#N/A</v>
      </c>
      <c r="H415" t="str">
        <f t="shared" si="18"/>
        <v>Hard</v>
      </c>
      <c r="I415" s="6" t="e">
        <f t="shared" si="19"/>
        <v>#N/A</v>
      </c>
      <c r="J415" s="6" t="e">
        <f t="shared" si="20"/>
        <v>#N/A</v>
      </c>
      <c r="M415" s="64" t="s">
        <v>681</v>
      </c>
      <c r="N415" s="123">
        <v>51.910000000000004</v>
      </c>
    </row>
    <row r="416" spans="2:14" x14ac:dyDescent="0.3">
      <c r="B416" t="e">
        <f>VLOOKUP(A416,'Clientes CBOT'!A:D,4,0)</f>
        <v>#N/A</v>
      </c>
      <c r="C416" s="7" t="e">
        <f>VLOOKUP(A416,'Statement base'!E:AO,21,0)</f>
        <v>#N/A</v>
      </c>
      <c r="D416" s="7" t="e">
        <f>VLOOKUP(A416,'Statement base'!E:AO,10,0)-VLOOKUP(A416,'Statement base'!E:AO,21,0)</f>
        <v>#N/A</v>
      </c>
      <c r="E416" t="s">
        <v>188</v>
      </c>
      <c r="F416" s="6" t="e">
        <f>VLOOKUP(A416,'Statement base'!E:AO,10,0)+VLOOKUP(A416,'Statement base'!E:AO,14,0)</f>
        <v>#N/A</v>
      </c>
      <c r="G416" s="61" t="e">
        <f>VLOOKUP(A416,'Clientes CBOT'!A:E,5,0)</f>
        <v>#N/A</v>
      </c>
      <c r="H416" t="str">
        <f t="shared" si="18"/>
        <v>Hard</v>
      </c>
      <c r="I416" s="6" t="e">
        <f t="shared" si="19"/>
        <v>#N/A</v>
      </c>
      <c r="J416" s="6" t="e">
        <f t="shared" si="20"/>
        <v>#N/A</v>
      </c>
      <c r="M416" s="64" t="s">
        <v>682</v>
      </c>
      <c r="N416" s="123">
        <v>-10938597.449999999</v>
      </c>
    </row>
    <row r="417" spans="2:14" x14ac:dyDescent="0.3">
      <c r="B417" t="e">
        <f>VLOOKUP(A417,'Clientes CBOT'!A:D,4,0)</f>
        <v>#N/A</v>
      </c>
      <c r="C417" s="7" t="e">
        <f>VLOOKUP(A417,'Statement base'!E:AO,21,0)</f>
        <v>#N/A</v>
      </c>
      <c r="D417" s="7" t="e">
        <f>VLOOKUP(A417,'Statement base'!E:AO,10,0)-VLOOKUP(A417,'Statement base'!E:AO,21,0)</f>
        <v>#N/A</v>
      </c>
      <c r="E417" t="s">
        <v>188</v>
      </c>
      <c r="F417" s="6" t="e">
        <f>VLOOKUP(A417,'Statement base'!E:AO,10,0)+VLOOKUP(A417,'Statement base'!E:AO,14,0)</f>
        <v>#N/A</v>
      </c>
      <c r="G417" s="61" t="e">
        <f>VLOOKUP(A417,'Clientes CBOT'!A:E,5,0)</f>
        <v>#N/A</v>
      </c>
      <c r="H417" t="str">
        <f t="shared" si="18"/>
        <v>Hard</v>
      </c>
      <c r="I417" s="6" t="e">
        <f t="shared" si="19"/>
        <v>#N/A</v>
      </c>
      <c r="J417" s="6" t="e">
        <f t="shared" si="20"/>
        <v>#N/A</v>
      </c>
      <c r="M417" s="64" t="s">
        <v>683</v>
      </c>
      <c r="N417" s="123">
        <v>0</v>
      </c>
    </row>
    <row r="418" spans="2:14" x14ac:dyDescent="0.3">
      <c r="B418" t="e">
        <f>VLOOKUP(A418,'Clientes CBOT'!A:D,4,0)</f>
        <v>#N/A</v>
      </c>
      <c r="C418" s="7" t="e">
        <f>VLOOKUP(A418,'Statement base'!E:AO,21,0)</f>
        <v>#N/A</v>
      </c>
      <c r="D418" s="7" t="e">
        <f>VLOOKUP(A418,'Statement base'!E:AO,10,0)-VLOOKUP(A418,'Statement base'!E:AO,21,0)</f>
        <v>#N/A</v>
      </c>
      <c r="E418" t="s">
        <v>188</v>
      </c>
      <c r="F418" s="6" t="e">
        <f>VLOOKUP(A418,'Statement base'!E:AO,10,0)+VLOOKUP(A418,'Statement base'!E:AO,14,0)</f>
        <v>#N/A</v>
      </c>
      <c r="G418" s="61" t="e">
        <f>VLOOKUP(A418,'Clientes CBOT'!A:E,5,0)</f>
        <v>#N/A</v>
      </c>
      <c r="H418" t="str">
        <f t="shared" si="18"/>
        <v>Hard</v>
      </c>
      <c r="I418" s="6" t="e">
        <f t="shared" si="19"/>
        <v>#N/A</v>
      </c>
      <c r="J418" s="6" t="e">
        <f t="shared" si="20"/>
        <v>#N/A</v>
      </c>
      <c r="M418" s="64" t="s">
        <v>684</v>
      </c>
      <c r="N418" s="123">
        <v>0</v>
      </c>
    </row>
    <row r="419" spans="2:14" x14ac:dyDescent="0.3">
      <c r="B419" t="e">
        <f>VLOOKUP(A419,'Clientes CBOT'!A:D,4,0)</f>
        <v>#N/A</v>
      </c>
      <c r="C419" s="7" t="e">
        <f>VLOOKUP(A419,'Statement base'!E:AO,21,0)</f>
        <v>#N/A</v>
      </c>
      <c r="D419" s="7" t="e">
        <f>VLOOKUP(A419,'Statement base'!E:AO,10,0)-VLOOKUP(A419,'Statement base'!E:AO,21,0)</f>
        <v>#N/A</v>
      </c>
      <c r="E419" t="s">
        <v>188</v>
      </c>
      <c r="F419" s="6" t="e">
        <f>VLOOKUP(A419,'Statement base'!E:AO,10,0)+VLOOKUP(A419,'Statement base'!E:AO,14,0)</f>
        <v>#N/A</v>
      </c>
      <c r="G419" s="61" t="e">
        <f>VLOOKUP(A419,'Clientes CBOT'!A:E,5,0)</f>
        <v>#N/A</v>
      </c>
      <c r="H419" t="str">
        <f t="shared" si="18"/>
        <v>Hard</v>
      </c>
      <c r="I419" s="6" t="e">
        <f t="shared" si="19"/>
        <v>#N/A</v>
      </c>
      <c r="J419" s="6" t="e">
        <f t="shared" si="20"/>
        <v>#N/A</v>
      </c>
      <c r="M419" s="64" t="s">
        <v>685</v>
      </c>
      <c r="N419" s="123">
        <v>0</v>
      </c>
    </row>
    <row r="420" spans="2:14" x14ac:dyDescent="0.3">
      <c r="B420" t="e">
        <f>VLOOKUP(A420,'Clientes CBOT'!A:D,4,0)</f>
        <v>#N/A</v>
      </c>
      <c r="C420" s="7" t="e">
        <f>VLOOKUP(A420,'Statement base'!E:AO,21,0)</f>
        <v>#N/A</v>
      </c>
      <c r="D420" s="7" t="e">
        <f>VLOOKUP(A420,'Statement base'!E:AO,10,0)-VLOOKUP(A420,'Statement base'!E:AO,21,0)</f>
        <v>#N/A</v>
      </c>
      <c r="E420" t="s">
        <v>188</v>
      </c>
      <c r="F420" s="6" t="e">
        <f>VLOOKUP(A420,'Statement base'!E:AO,10,0)+VLOOKUP(A420,'Statement base'!E:AO,14,0)</f>
        <v>#N/A</v>
      </c>
      <c r="G420" s="61" t="e">
        <f>VLOOKUP(A420,'Clientes CBOT'!A:E,5,0)</f>
        <v>#N/A</v>
      </c>
      <c r="H420" t="str">
        <f t="shared" si="18"/>
        <v>Hard</v>
      </c>
      <c r="I420" s="6" t="e">
        <f t="shared" si="19"/>
        <v>#N/A</v>
      </c>
      <c r="J420" s="6" t="e">
        <f t="shared" si="20"/>
        <v>#N/A</v>
      </c>
      <c r="M420" s="64" t="s">
        <v>686</v>
      </c>
      <c r="N420" s="123">
        <v>4740875</v>
      </c>
    </row>
    <row r="421" spans="2:14" x14ac:dyDescent="0.3">
      <c r="B421" t="e">
        <f>VLOOKUP(A421,'Clientes CBOT'!A:D,4,0)</f>
        <v>#N/A</v>
      </c>
      <c r="C421" s="7" t="e">
        <f>VLOOKUP(A421,'Statement base'!E:AO,21,0)</f>
        <v>#N/A</v>
      </c>
      <c r="D421" s="7" t="e">
        <f>VLOOKUP(A421,'Statement base'!E:AO,10,0)-VLOOKUP(A421,'Statement base'!E:AO,21,0)</f>
        <v>#N/A</v>
      </c>
      <c r="E421" t="s">
        <v>188</v>
      </c>
      <c r="F421" s="6" t="e">
        <f>VLOOKUP(A421,'Statement base'!E:AO,10,0)+VLOOKUP(A421,'Statement base'!E:AO,14,0)</f>
        <v>#N/A</v>
      </c>
      <c r="G421" s="61" t="e">
        <f>VLOOKUP(A421,'Clientes CBOT'!A:E,5,0)</f>
        <v>#N/A</v>
      </c>
      <c r="H421" t="str">
        <f t="shared" si="18"/>
        <v>Hard</v>
      </c>
      <c r="I421" s="6" t="e">
        <f t="shared" si="19"/>
        <v>#N/A</v>
      </c>
      <c r="J421" s="6" t="e">
        <f t="shared" si="20"/>
        <v>#N/A</v>
      </c>
      <c r="M421" s="64" t="s">
        <v>687</v>
      </c>
      <c r="N421" s="123">
        <v>199.02</v>
      </c>
    </row>
    <row r="422" spans="2:14" x14ac:dyDescent="0.3">
      <c r="B422" t="e">
        <f>VLOOKUP(A422,'Clientes CBOT'!A:D,4,0)</f>
        <v>#N/A</v>
      </c>
      <c r="C422" s="7" t="e">
        <f>VLOOKUP(A422,'Statement base'!E:AO,21,0)</f>
        <v>#N/A</v>
      </c>
      <c r="D422" s="7" t="e">
        <f>VLOOKUP(A422,'Statement base'!E:AO,10,0)-VLOOKUP(A422,'Statement base'!E:AO,21,0)</f>
        <v>#N/A</v>
      </c>
      <c r="E422" t="s">
        <v>188</v>
      </c>
      <c r="F422" s="6" t="e">
        <f>VLOOKUP(A422,'Statement base'!E:AO,10,0)+VLOOKUP(A422,'Statement base'!E:AO,14,0)</f>
        <v>#N/A</v>
      </c>
      <c r="G422" s="61" t="e">
        <f>VLOOKUP(A422,'Clientes CBOT'!A:E,5,0)</f>
        <v>#N/A</v>
      </c>
      <c r="H422" t="str">
        <f t="shared" si="18"/>
        <v>Hard</v>
      </c>
      <c r="I422" s="6" t="e">
        <f t="shared" si="19"/>
        <v>#N/A</v>
      </c>
      <c r="J422" s="6" t="e">
        <f t="shared" si="20"/>
        <v>#N/A</v>
      </c>
      <c r="M422" s="64" t="s">
        <v>688</v>
      </c>
      <c r="N422" s="123">
        <v>-136702.92000000001</v>
      </c>
    </row>
    <row r="423" spans="2:14" x14ac:dyDescent="0.3">
      <c r="B423" t="e">
        <f>VLOOKUP(A423,'Clientes CBOT'!A:D,4,0)</f>
        <v>#N/A</v>
      </c>
      <c r="C423" s="7" t="e">
        <f>VLOOKUP(A423,'Statement base'!E:AO,21,0)</f>
        <v>#N/A</v>
      </c>
      <c r="D423" s="7" t="e">
        <f>VLOOKUP(A423,'Statement base'!E:AO,10,0)-VLOOKUP(A423,'Statement base'!E:AO,21,0)</f>
        <v>#N/A</v>
      </c>
      <c r="E423" t="s">
        <v>188</v>
      </c>
      <c r="F423" s="6" t="e">
        <f>VLOOKUP(A423,'Statement base'!E:AO,10,0)+VLOOKUP(A423,'Statement base'!E:AO,14,0)</f>
        <v>#N/A</v>
      </c>
      <c r="G423" s="61" t="e">
        <f>VLOOKUP(A423,'Clientes CBOT'!A:E,5,0)</f>
        <v>#N/A</v>
      </c>
      <c r="H423" t="str">
        <f t="shared" si="18"/>
        <v>Hard</v>
      </c>
      <c r="I423" s="6" t="e">
        <f t="shared" si="19"/>
        <v>#N/A</v>
      </c>
      <c r="J423" s="6" t="e">
        <f t="shared" si="20"/>
        <v>#N/A</v>
      </c>
      <c r="M423" s="64" t="s">
        <v>689</v>
      </c>
      <c r="N423" s="123">
        <v>-643.88</v>
      </c>
    </row>
    <row r="424" spans="2:14" x14ac:dyDescent="0.3">
      <c r="B424" t="e">
        <f>VLOOKUP(A424,'Clientes CBOT'!A:D,4,0)</f>
        <v>#N/A</v>
      </c>
      <c r="C424" s="7" t="e">
        <f>VLOOKUP(A424,'Statement base'!E:AO,21,0)</f>
        <v>#N/A</v>
      </c>
      <c r="D424" s="7" t="e">
        <f>VLOOKUP(A424,'Statement base'!E:AO,10,0)-VLOOKUP(A424,'Statement base'!E:AO,21,0)</f>
        <v>#N/A</v>
      </c>
      <c r="E424" t="s">
        <v>188</v>
      </c>
      <c r="F424" s="6" t="e">
        <f>VLOOKUP(A424,'Statement base'!E:AO,10,0)+VLOOKUP(A424,'Statement base'!E:AO,14,0)</f>
        <v>#N/A</v>
      </c>
      <c r="G424" s="61" t="e">
        <f>VLOOKUP(A424,'Clientes CBOT'!A:E,5,0)</f>
        <v>#N/A</v>
      </c>
      <c r="H424" t="str">
        <f t="shared" si="18"/>
        <v>Hard</v>
      </c>
      <c r="I424" s="6" t="e">
        <f t="shared" si="19"/>
        <v>#N/A</v>
      </c>
      <c r="J424" s="6" t="e">
        <f t="shared" si="20"/>
        <v>#N/A</v>
      </c>
      <c r="M424" s="64" t="s">
        <v>690</v>
      </c>
      <c r="N424" s="123">
        <v>-166179.09</v>
      </c>
    </row>
    <row r="425" spans="2:14" x14ac:dyDescent="0.3">
      <c r="B425" t="e">
        <f>VLOOKUP(A425,'Clientes CBOT'!A:D,4,0)</f>
        <v>#N/A</v>
      </c>
      <c r="C425" s="7" t="e">
        <f>VLOOKUP(A425,'Statement base'!E:AO,21,0)</f>
        <v>#N/A</v>
      </c>
      <c r="D425" s="7" t="e">
        <f>VLOOKUP(A425,'Statement base'!E:AO,10,0)-VLOOKUP(A425,'Statement base'!E:AO,21,0)</f>
        <v>#N/A</v>
      </c>
      <c r="E425" t="s">
        <v>188</v>
      </c>
      <c r="F425" s="6" t="e">
        <f>VLOOKUP(A425,'Statement base'!E:AO,10,0)+VLOOKUP(A425,'Statement base'!E:AO,14,0)</f>
        <v>#N/A</v>
      </c>
      <c r="G425" s="61" t="e">
        <f>VLOOKUP(A425,'Clientes CBOT'!A:E,5,0)</f>
        <v>#N/A</v>
      </c>
      <c r="H425" t="str">
        <f t="shared" si="18"/>
        <v>Hard</v>
      </c>
      <c r="I425" s="6" t="e">
        <f t="shared" si="19"/>
        <v>#N/A</v>
      </c>
      <c r="J425" s="6" t="e">
        <f t="shared" si="20"/>
        <v>#N/A</v>
      </c>
      <c r="M425" s="64" t="s">
        <v>691</v>
      </c>
      <c r="N425" s="123">
        <v>0</v>
      </c>
    </row>
    <row r="426" spans="2:14" x14ac:dyDescent="0.3">
      <c r="B426" t="e">
        <f>VLOOKUP(A426,'Clientes CBOT'!A:D,4,0)</f>
        <v>#N/A</v>
      </c>
      <c r="C426" s="7" t="e">
        <f>VLOOKUP(A426,'Statement base'!E:AO,21,0)</f>
        <v>#N/A</v>
      </c>
      <c r="D426" s="7" t="e">
        <f>VLOOKUP(A426,'Statement base'!E:AO,10,0)-VLOOKUP(A426,'Statement base'!E:AO,21,0)</f>
        <v>#N/A</v>
      </c>
      <c r="E426" t="s">
        <v>188</v>
      </c>
      <c r="F426" s="6" t="e">
        <f>VLOOKUP(A426,'Statement base'!E:AO,10,0)+VLOOKUP(A426,'Statement base'!E:AO,14,0)</f>
        <v>#N/A</v>
      </c>
      <c r="G426" s="61" t="e">
        <f>VLOOKUP(A426,'Clientes CBOT'!A:E,5,0)</f>
        <v>#N/A</v>
      </c>
      <c r="H426" t="str">
        <f t="shared" si="18"/>
        <v>Hard</v>
      </c>
      <c r="I426" s="6" t="e">
        <f t="shared" si="19"/>
        <v>#N/A</v>
      </c>
      <c r="J426" s="6" t="e">
        <f t="shared" si="20"/>
        <v>#N/A</v>
      </c>
      <c r="M426" s="64" t="s">
        <v>692</v>
      </c>
      <c r="N426" s="123">
        <v>-86559.19</v>
      </c>
    </row>
    <row r="427" spans="2:14" x14ac:dyDescent="0.3">
      <c r="B427" t="e">
        <f>VLOOKUP(A427,'Clientes CBOT'!A:D,4,0)</f>
        <v>#N/A</v>
      </c>
      <c r="C427" s="7" t="e">
        <f>VLOOKUP(A427,'Statement base'!E:AO,21,0)</f>
        <v>#N/A</v>
      </c>
      <c r="D427" s="7" t="e">
        <f>VLOOKUP(A427,'Statement base'!E:AO,10,0)-VLOOKUP(A427,'Statement base'!E:AO,21,0)</f>
        <v>#N/A</v>
      </c>
      <c r="E427" t="s">
        <v>188</v>
      </c>
      <c r="F427" s="6" t="e">
        <f>VLOOKUP(A427,'Statement base'!E:AO,10,0)+VLOOKUP(A427,'Statement base'!E:AO,14,0)</f>
        <v>#N/A</v>
      </c>
      <c r="G427" s="61" t="e">
        <f>VLOOKUP(A427,'Clientes CBOT'!A:E,5,0)</f>
        <v>#N/A</v>
      </c>
      <c r="H427" t="str">
        <f t="shared" si="18"/>
        <v>Hard</v>
      </c>
      <c r="I427" s="6" t="e">
        <f t="shared" si="19"/>
        <v>#N/A</v>
      </c>
      <c r="J427" s="6" t="e">
        <f t="shared" si="20"/>
        <v>#N/A</v>
      </c>
      <c r="M427" s="64" t="s">
        <v>693</v>
      </c>
      <c r="N427" s="123">
        <v>14.040000000000001</v>
      </c>
    </row>
    <row r="428" spans="2:14" x14ac:dyDescent="0.3">
      <c r="B428" t="e">
        <f>VLOOKUP(A428,'Clientes CBOT'!A:D,4,0)</f>
        <v>#N/A</v>
      </c>
      <c r="C428" s="7" t="e">
        <f>VLOOKUP(A428,'Statement base'!E:AO,21,0)</f>
        <v>#N/A</v>
      </c>
      <c r="D428" s="7" t="e">
        <f>VLOOKUP(A428,'Statement base'!E:AO,10,0)-VLOOKUP(A428,'Statement base'!E:AO,21,0)</f>
        <v>#N/A</v>
      </c>
      <c r="E428" t="s">
        <v>188</v>
      </c>
      <c r="F428" s="6" t="e">
        <f>VLOOKUP(A428,'Statement base'!E:AO,10,0)+VLOOKUP(A428,'Statement base'!E:AO,14,0)</f>
        <v>#N/A</v>
      </c>
      <c r="G428" s="61" t="e">
        <f>VLOOKUP(A428,'Clientes CBOT'!A:E,5,0)</f>
        <v>#N/A</v>
      </c>
      <c r="H428" t="str">
        <f t="shared" si="18"/>
        <v>Hard</v>
      </c>
      <c r="I428" s="6" t="e">
        <f t="shared" si="19"/>
        <v>#N/A</v>
      </c>
      <c r="J428" s="6" t="e">
        <f t="shared" si="20"/>
        <v>#N/A</v>
      </c>
      <c r="M428" s="64" t="s">
        <v>694</v>
      </c>
      <c r="N428" s="123">
        <v>148909.52000000002</v>
      </c>
    </row>
    <row r="429" spans="2:14" x14ac:dyDescent="0.3">
      <c r="B429" t="e">
        <f>VLOOKUP(A429,'Clientes CBOT'!A:D,4,0)</f>
        <v>#N/A</v>
      </c>
      <c r="C429" s="7" t="e">
        <f>VLOOKUP(A429,'Statement base'!E:AO,21,0)</f>
        <v>#N/A</v>
      </c>
      <c r="D429" s="7" t="e">
        <f>VLOOKUP(A429,'Statement base'!E:AO,10,0)-VLOOKUP(A429,'Statement base'!E:AO,21,0)</f>
        <v>#N/A</v>
      </c>
      <c r="E429" t="s">
        <v>188</v>
      </c>
      <c r="F429" s="6" t="e">
        <f>VLOOKUP(A429,'Statement base'!E:AO,10,0)+VLOOKUP(A429,'Statement base'!E:AO,14,0)</f>
        <v>#N/A</v>
      </c>
      <c r="G429" s="61" t="e">
        <f>VLOOKUP(A429,'Clientes CBOT'!A:E,5,0)</f>
        <v>#N/A</v>
      </c>
      <c r="H429" t="str">
        <f t="shared" si="18"/>
        <v>Hard</v>
      </c>
      <c r="I429" s="6" t="e">
        <f t="shared" si="19"/>
        <v>#N/A</v>
      </c>
      <c r="J429" s="6" t="e">
        <f t="shared" si="20"/>
        <v>#N/A</v>
      </c>
      <c r="M429" s="64" t="s">
        <v>695</v>
      </c>
      <c r="N429" s="123">
        <v>31769.280000000002</v>
      </c>
    </row>
    <row r="430" spans="2:14" x14ac:dyDescent="0.3">
      <c r="B430" t="e">
        <f>VLOOKUP(A430,'Clientes CBOT'!A:D,4,0)</f>
        <v>#N/A</v>
      </c>
      <c r="C430" s="7" t="e">
        <f>VLOOKUP(A430,'Statement base'!E:AO,21,0)</f>
        <v>#N/A</v>
      </c>
      <c r="D430" s="7" t="e">
        <f>VLOOKUP(A430,'Statement base'!E:AO,10,0)-VLOOKUP(A430,'Statement base'!E:AO,21,0)</f>
        <v>#N/A</v>
      </c>
      <c r="E430" t="s">
        <v>188</v>
      </c>
      <c r="F430" s="6" t="e">
        <f>VLOOKUP(A430,'Statement base'!E:AO,10,0)+VLOOKUP(A430,'Statement base'!E:AO,14,0)</f>
        <v>#N/A</v>
      </c>
      <c r="G430" s="61" t="e">
        <f>VLOOKUP(A430,'Clientes CBOT'!A:E,5,0)</f>
        <v>#N/A</v>
      </c>
      <c r="H430" t="str">
        <f t="shared" si="18"/>
        <v>Hard</v>
      </c>
      <c r="I430" s="6" t="e">
        <f t="shared" si="19"/>
        <v>#N/A</v>
      </c>
      <c r="J430" s="6" t="e">
        <f t="shared" si="20"/>
        <v>#N/A</v>
      </c>
      <c r="M430" s="64" t="s">
        <v>696</v>
      </c>
      <c r="N430" s="123">
        <v>0.78</v>
      </c>
    </row>
    <row r="431" spans="2:14" x14ac:dyDescent="0.3">
      <c r="B431" t="e">
        <f>VLOOKUP(A431,'Clientes CBOT'!A:D,4,0)</f>
        <v>#N/A</v>
      </c>
      <c r="C431" s="7" t="e">
        <f>VLOOKUP(A431,'Statement base'!E:AO,21,0)</f>
        <v>#N/A</v>
      </c>
      <c r="D431" s="7" t="e">
        <f>VLOOKUP(A431,'Statement base'!E:AO,10,0)-VLOOKUP(A431,'Statement base'!E:AO,21,0)</f>
        <v>#N/A</v>
      </c>
      <c r="E431" t="s">
        <v>188</v>
      </c>
      <c r="F431" s="6" t="e">
        <f>VLOOKUP(A431,'Statement base'!E:AO,10,0)+VLOOKUP(A431,'Statement base'!E:AO,14,0)</f>
        <v>#N/A</v>
      </c>
      <c r="G431" s="61" t="e">
        <f>VLOOKUP(A431,'Clientes CBOT'!A:E,5,0)</f>
        <v>#N/A</v>
      </c>
      <c r="H431" t="str">
        <f t="shared" si="18"/>
        <v>Hard</v>
      </c>
      <c r="I431" s="6" t="e">
        <f t="shared" si="19"/>
        <v>#N/A</v>
      </c>
      <c r="J431" s="6" t="e">
        <f t="shared" si="20"/>
        <v>#N/A</v>
      </c>
      <c r="M431" s="64" t="s">
        <v>697</v>
      </c>
      <c r="N431" s="123">
        <v>0</v>
      </c>
    </row>
    <row r="432" spans="2:14" x14ac:dyDescent="0.3">
      <c r="B432" t="e">
        <f>VLOOKUP(A432,'Clientes CBOT'!A:D,4,0)</f>
        <v>#N/A</v>
      </c>
      <c r="C432" s="7" t="e">
        <f>VLOOKUP(A432,'Statement base'!E:AO,21,0)</f>
        <v>#N/A</v>
      </c>
      <c r="D432" s="7" t="e">
        <f>VLOOKUP(A432,'Statement base'!E:AO,10,0)-VLOOKUP(A432,'Statement base'!E:AO,21,0)</f>
        <v>#N/A</v>
      </c>
      <c r="E432" t="s">
        <v>188</v>
      </c>
      <c r="F432" s="6" t="e">
        <f>VLOOKUP(A432,'Statement base'!E:AO,10,0)+VLOOKUP(A432,'Statement base'!E:AO,14,0)</f>
        <v>#N/A</v>
      </c>
      <c r="G432" s="61" t="e">
        <f>VLOOKUP(A432,'Clientes CBOT'!A:E,5,0)</f>
        <v>#N/A</v>
      </c>
      <c r="H432" t="str">
        <f t="shared" si="18"/>
        <v>Hard</v>
      </c>
      <c r="I432" s="6" t="e">
        <f t="shared" si="19"/>
        <v>#N/A</v>
      </c>
      <c r="J432" s="6" t="e">
        <f t="shared" si="20"/>
        <v>#N/A</v>
      </c>
      <c r="M432" s="64" t="s">
        <v>698</v>
      </c>
      <c r="N432" s="123">
        <v>0</v>
      </c>
    </row>
    <row r="433" spans="2:14" x14ac:dyDescent="0.3">
      <c r="B433" t="e">
        <f>VLOOKUP(A433,'Clientes CBOT'!A:D,4,0)</f>
        <v>#N/A</v>
      </c>
      <c r="C433" s="7" t="e">
        <f>VLOOKUP(A433,'Statement base'!E:AO,21,0)</f>
        <v>#N/A</v>
      </c>
      <c r="D433" s="7" t="e">
        <f>VLOOKUP(A433,'Statement base'!E:AO,10,0)-VLOOKUP(A433,'Statement base'!E:AO,21,0)</f>
        <v>#N/A</v>
      </c>
      <c r="E433" t="s">
        <v>188</v>
      </c>
      <c r="F433" s="6" t="e">
        <f>VLOOKUP(A433,'Statement base'!E:AO,10,0)+VLOOKUP(A433,'Statement base'!E:AO,14,0)</f>
        <v>#N/A</v>
      </c>
      <c r="G433" s="61" t="e">
        <f>VLOOKUP(A433,'Clientes CBOT'!A:E,5,0)</f>
        <v>#N/A</v>
      </c>
      <c r="H433" t="str">
        <f t="shared" si="18"/>
        <v>Hard</v>
      </c>
      <c r="I433" s="6" t="e">
        <f t="shared" si="19"/>
        <v>#N/A</v>
      </c>
      <c r="J433" s="6" t="e">
        <f t="shared" si="20"/>
        <v>#N/A</v>
      </c>
      <c r="M433" s="64" t="s">
        <v>699</v>
      </c>
      <c r="N433" s="123">
        <v>0</v>
      </c>
    </row>
    <row r="434" spans="2:14" x14ac:dyDescent="0.3">
      <c r="B434" t="e">
        <f>VLOOKUP(A434,'Clientes CBOT'!A:D,4,0)</f>
        <v>#N/A</v>
      </c>
      <c r="C434" s="7" t="e">
        <f>VLOOKUP(A434,'Statement base'!E:AO,21,0)</f>
        <v>#N/A</v>
      </c>
      <c r="D434" s="7" t="e">
        <f>VLOOKUP(A434,'Statement base'!E:AO,10,0)-VLOOKUP(A434,'Statement base'!E:AO,21,0)</f>
        <v>#N/A</v>
      </c>
      <c r="E434" t="s">
        <v>188</v>
      </c>
      <c r="F434" s="6" t="e">
        <f>VLOOKUP(A434,'Statement base'!E:AO,10,0)+VLOOKUP(A434,'Statement base'!E:AO,14,0)</f>
        <v>#N/A</v>
      </c>
      <c r="G434" s="61" t="e">
        <f>VLOOKUP(A434,'Clientes CBOT'!A:E,5,0)</f>
        <v>#N/A</v>
      </c>
      <c r="H434" t="str">
        <f t="shared" si="18"/>
        <v>Hard</v>
      </c>
      <c r="I434" s="6" t="e">
        <f t="shared" si="19"/>
        <v>#N/A</v>
      </c>
      <c r="J434" s="6" t="e">
        <f t="shared" si="20"/>
        <v>#N/A</v>
      </c>
      <c r="M434" s="64" t="s">
        <v>700</v>
      </c>
      <c r="N434" s="123">
        <v>0</v>
      </c>
    </row>
    <row r="435" spans="2:14" x14ac:dyDescent="0.3">
      <c r="B435" t="e">
        <f>VLOOKUP(A435,'Clientes CBOT'!A:D,4,0)</f>
        <v>#N/A</v>
      </c>
      <c r="C435" s="7" t="e">
        <f>VLOOKUP(A435,'Statement base'!E:AO,21,0)</f>
        <v>#N/A</v>
      </c>
      <c r="D435" s="7" t="e">
        <f>VLOOKUP(A435,'Statement base'!E:AO,10,0)-VLOOKUP(A435,'Statement base'!E:AO,21,0)</f>
        <v>#N/A</v>
      </c>
      <c r="E435" t="s">
        <v>188</v>
      </c>
      <c r="F435" s="6" t="e">
        <f>VLOOKUP(A435,'Statement base'!E:AO,10,0)+VLOOKUP(A435,'Statement base'!E:AO,14,0)</f>
        <v>#N/A</v>
      </c>
      <c r="G435" s="61" t="e">
        <f>VLOOKUP(A435,'Clientes CBOT'!A:E,5,0)</f>
        <v>#N/A</v>
      </c>
      <c r="H435" t="str">
        <f t="shared" si="18"/>
        <v>Hard</v>
      </c>
      <c r="I435" s="6" t="e">
        <f t="shared" si="19"/>
        <v>#N/A</v>
      </c>
      <c r="J435" s="6" t="e">
        <f t="shared" si="20"/>
        <v>#N/A</v>
      </c>
      <c r="M435" s="64" t="s">
        <v>701</v>
      </c>
      <c r="N435" s="123">
        <v>-41159.21</v>
      </c>
    </row>
    <row r="436" spans="2:14" x14ac:dyDescent="0.3">
      <c r="B436" t="e">
        <f>VLOOKUP(A436,'Clientes CBOT'!A:D,4,0)</f>
        <v>#N/A</v>
      </c>
      <c r="C436" s="7" t="e">
        <f>VLOOKUP(A436,'Statement base'!E:AO,21,0)</f>
        <v>#N/A</v>
      </c>
      <c r="D436" s="7" t="e">
        <f>VLOOKUP(A436,'Statement base'!E:AO,10,0)-VLOOKUP(A436,'Statement base'!E:AO,21,0)</f>
        <v>#N/A</v>
      </c>
      <c r="E436" t="s">
        <v>188</v>
      </c>
      <c r="F436" s="6" t="e">
        <f>VLOOKUP(A436,'Statement base'!E:AO,10,0)+VLOOKUP(A436,'Statement base'!E:AO,14,0)</f>
        <v>#N/A</v>
      </c>
      <c r="G436" s="61" t="e">
        <f>VLOOKUP(A436,'Clientes CBOT'!A:E,5,0)</f>
        <v>#N/A</v>
      </c>
      <c r="H436" t="str">
        <f t="shared" si="18"/>
        <v>Hard</v>
      </c>
      <c r="I436" s="6" t="e">
        <f t="shared" si="19"/>
        <v>#N/A</v>
      </c>
      <c r="J436" s="6" t="e">
        <f t="shared" si="20"/>
        <v>#N/A</v>
      </c>
      <c r="M436" s="64" t="s">
        <v>702</v>
      </c>
      <c r="N436" s="123">
        <v>-656727514.31999993</v>
      </c>
    </row>
    <row r="437" spans="2:14" x14ac:dyDescent="0.3">
      <c r="B437" t="e">
        <f>VLOOKUP(A437,'Clientes CBOT'!A:D,4,0)</f>
        <v>#N/A</v>
      </c>
      <c r="C437" s="7" t="e">
        <f>VLOOKUP(A437,'Statement base'!E:AO,21,0)</f>
        <v>#N/A</v>
      </c>
      <c r="D437" s="7" t="e">
        <f>VLOOKUP(A437,'Statement base'!E:AO,10,0)-VLOOKUP(A437,'Statement base'!E:AO,21,0)</f>
        <v>#N/A</v>
      </c>
      <c r="E437" t="s">
        <v>188</v>
      </c>
      <c r="F437" s="6" t="e">
        <f>VLOOKUP(A437,'Statement base'!E:AO,10,0)+VLOOKUP(A437,'Statement base'!E:AO,14,0)</f>
        <v>#N/A</v>
      </c>
      <c r="G437" s="61" t="e">
        <f>VLOOKUP(A437,'Clientes CBOT'!A:E,5,0)</f>
        <v>#N/A</v>
      </c>
      <c r="H437" t="str">
        <f t="shared" si="18"/>
        <v>Hard</v>
      </c>
      <c r="I437" s="6" t="e">
        <f t="shared" si="19"/>
        <v>#N/A</v>
      </c>
      <c r="J437" s="6" t="e">
        <f t="shared" si="20"/>
        <v>#N/A</v>
      </c>
      <c r="M437" s="64" t="s">
        <v>703</v>
      </c>
      <c r="N437" s="123">
        <v>-586215.6</v>
      </c>
    </row>
    <row r="438" spans="2:14" x14ac:dyDescent="0.3">
      <c r="B438" t="e">
        <f>VLOOKUP(A438,'Clientes CBOT'!A:D,4,0)</f>
        <v>#N/A</v>
      </c>
      <c r="C438" s="7" t="e">
        <f>VLOOKUP(A438,'Statement base'!E:AO,21,0)</f>
        <v>#N/A</v>
      </c>
      <c r="D438" s="7" t="e">
        <f>VLOOKUP(A438,'Statement base'!E:AO,10,0)-VLOOKUP(A438,'Statement base'!E:AO,21,0)</f>
        <v>#N/A</v>
      </c>
      <c r="E438" t="s">
        <v>188</v>
      </c>
      <c r="F438" s="6" t="e">
        <f>VLOOKUP(A438,'Statement base'!E:AO,10,0)+VLOOKUP(A438,'Statement base'!E:AO,14,0)</f>
        <v>#N/A</v>
      </c>
      <c r="G438" s="61" t="e">
        <f>VLOOKUP(A438,'Clientes CBOT'!A:E,5,0)</f>
        <v>#N/A</v>
      </c>
      <c r="H438" t="str">
        <f t="shared" si="18"/>
        <v>Hard</v>
      </c>
      <c r="I438" s="6" t="e">
        <f t="shared" si="19"/>
        <v>#N/A</v>
      </c>
      <c r="J438" s="6" t="e">
        <f t="shared" si="20"/>
        <v>#N/A</v>
      </c>
      <c r="M438" s="64" t="s">
        <v>704</v>
      </c>
      <c r="N438" s="123">
        <v>-45955.41</v>
      </c>
    </row>
    <row r="439" spans="2:14" x14ac:dyDescent="0.3">
      <c r="B439" t="e">
        <f>VLOOKUP(A439,'Clientes CBOT'!A:D,4,0)</f>
        <v>#N/A</v>
      </c>
      <c r="C439" s="7" t="e">
        <f>VLOOKUP(A439,'Statement base'!E:AO,21,0)</f>
        <v>#N/A</v>
      </c>
      <c r="D439" s="7" t="e">
        <f>VLOOKUP(A439,'Statement base'!E:AO,10,0)-VLOOKUP(A439,'Statement base'!E:AO,21,0)</f>
        <v>#N/A</v>
      </c>
      <c r="E439" t="s">
        <v>188</v>
      </c>
      <c r="F439" s="6" t="e">
        <f>VLOOKUP(A439,'Statement base'!E:AO,10,0)+VLOOKUP(A439,'Statement base'!E:AO,14,0)</f>
        <v>#N/A</v>
      </c>
      <c r="G439" s="61" t="e">
        <f>VLOOKUP(A439,'Clientes CBOT'!A:E,5,0)</f>
        <v>#N/A</v>
      </c>
      <c r="H439" t="str">
        <f t="shared" si="18"/>
        <v>Hard</v>
      </c>
      <c r="I439" s="6" t="e">
        <f t="shared" si="19"/>
        <v>#N/A</v>
      </c>
      <c r="J439" s="6" t="e">
        <f t="shared" si="20"/>
        <v>#N/A</v>
      </c>
      <c r="M439" s="64" t="s">
        <v>705</v>
      </c>
      <c r="N439" s="123">
        <v>0</v>
      </c>
    </row>
    <row r="440" spans="2:14" x14ac:dyDescent="0.3">
      <c r="B440" t="e">
        <f>VLOOKUP(A440,'Clientes CBOT'!A:D,4,0)</f>
        <v>#N/A</v>
      </c>
      <c r="C440" s="7" t="e">
        <f>VLOOKUP(A440,'Statement base'!E:AO,21,0)</f>
        <v>#N/A</v>
      </c>
      <c r="D440" s="7" t="e">
        <f>VLOOKUP(A440,'Statement base'!E:AO,10,0)-VLOOKUP(A440,'Statement base'!E:AO,21,0)</f>
        <v>#N/A</v>
      </c>
      <c r="E440" t="s">
        <v>188</v>
      </c>
      <c r="F440" s="6" t="e">
        <f>VLOOKUP(A440,'Statement base'!E:AO,10,0)+VLOOKUP(A440,'Statement base'!E:AO,14,0)</f>
        <v>#N/A</v>
      </c>
      <c r="G440" s="61" t="e">
        <f>VLOOKUP(A440,'Clientes CBOT'!A:E,5,0)</f>
        <v>#N/A</v>
      </c>
      <c r="H440" t="str">
        <f t="shared" si="18"/>
        <v>Hard</v>
      </c>
      <c r="I440" s="6" t="e">
        <f t="shared" si="19"/>
        <v>#N/A</v>
      </c>
      <c r="J440" s="6" t="e">
        <f t="shared" si="20"/>
        <v>#N/A</v>
      </c>
      <c r="M440" s="64" t="s">
        <v>706</v>
      </c>
      <c r="N440" s="123">
        <v>129819.79</v>
      </c>
    </row>
    <row r="441" spans="2:14" x14ac:dyDescent="0.3">
      <c r="B441" t="e">
        <f>VLOOKUP(A441,'Clientes CBOT'!A:D,4,0)</f>
        <v>#N/A</v>
      </c>
      <c r="C441" s="7" t="e">
        <f>VLOOKUP(A441,'Statement base'!E:AO,21,0)</f>
        <v>#N/A</v>
      </c>
      <c r="D441" s="7" t="e">
        <f>VLOOKUP(A441,'Statement base'!E:AO,10,0)-VLOOKUP(A441,'Statement base'!E:AO,21,0)</f>
        <v>#N/A</v>
      </c>
      <c r="E441" t="s">
        <v>188</v>
      </c>
      <c r="F441" s="6" t="e">
        <f>VLOOKUP(A441,'Statement base'!E:AO,10,0)+VLOOKUP(A441,'Statement base'!E:AO,14,0)</f>
        <v>#N/A</v>
      </c>
      <c r="G441" s="61" t="e">
        <f>VLOOKUP(A441,'Clientes CBOT'!A:E,5,0)</f>
        <v>#N/A</v>
      </c>
      <c r="H441" t="str">
        <f t="shared" si="18"/>
        <v>Hard</v>
      </c>
      <c r="I441" s="6" t="e">
        <f t="shared" si="19"/>
        <v>#N/A</v>
      </c>
      <c r="J441" s="6" t="e">
        <f t="shared" si="20"/>
        <v>#N/A</v>
      </c>
      <c r="M441" s="64" t="s">
        <v>707</v>
      </c>
      <c r="N441" s="123">
        <v>0</v>
      </c>
    </row>
    <row r="442" spans="2:14" x14ac:dyDescent="0.3">
      <c r="B442" t="e">
        <f>VLOOKUP(A442,'Clientes CBOT'!A:D,4,0)</f>
        <v>#N/A</v>
      </c>
      <c r="C442" s="7" t="e">
        <f>VLOOKUP(A442,'Statement base'!E:AO,21,0)</f>
        <v>#N/A</v>
      </c>
      <c r="D442" s="7" t="e">
        <f>VLOOKUP(A442,'Statement base'!E:AO,10,0)-VLOOKUP(A442,'Statement base'!E:AO,21,0)</f>
        <v>#N/A</v>
      </c>
      <c r="E442" t="s">
        <v>188</v>
      </c>
      <c r="F442" s="6" t="e">
        <f>VLOOKUP(A442,'Statement base'!E:AO,10,0)+VLOOKUP(A442,'Statement base'!E:AO,14,0)</f>
        <v>#N/A</v>
      </c>
      <c r="G442" s="61" t="e">
        <f>VLOOKUP(A442,'Clientes CBOT'!A:E,5,0)</f>
        <v>#N/A</v>
      </c>
      <c r="H442" t="str">
        <f t="shared" si="18"/>
        <v>Hard</v>
      </c>
      <c r="I442" s="6" t="e">
        <f t="shared" si="19"/>
        <v>#N/A</v>
      </c>
      <c r="J442" s="6" t="e">
        <f t="shared" si="20"/>
        <v>#N/A</v>
      </c>
      <c r="M442" s="64" t="s">
        <v>803</v>
      </c>
      <c r="N442" s="123">
        <v>16118.39</v>
      </c>
    </row>
    <row r="443" spans="2:14" x14ac:dyDescent="0.3">
      <c r="B443" t="e">
        <f>VLOOKUP(A443,'Clientes CBOT'!A:D,4,0)</f>
        <v>#N/A</v>
      </c>
      <c r="C443" s="7" t="e">
        <f>VLOOKUP(A443,'Statement base'!E:AO,21,0)</f>
        <v>#N/A</v>
      </c>
      <c r="D443" s="7" t="e">
        <f>VLOOKUP(A443,'Statement base'!E:AO,10,0)-VLOOKUP(A443,'Statement base'!E:AO,21,0)</f>
        <v>#N/A</v>
      </c>
      <c r="E443" t="s">
        <v>188</v>
      </c>
      <c r="F443" s="6" t="e">
        <f>VLOOKUP(A443,'Statement base'!E:AO,10,0)+VLOOKUP(A443,'Statement base'!E:AO,14,0)</f>
        <v>#N/A</v>
      </c>
      <c r="G443" s="61" t="e">
        <f>VLOOKUP(A443,'Clientes CBOT'!A:E,5,0)</f>
        <v>#N/A</v>
      </c>
      <c r="H443" t="str">
        <f t="shared" si="18"/>
        <v>Hard</v>
      </c>
      <c r="I443" s="6" t="e">
        <f t="shared" si="19"/>
        <v>#N/A</v>
      </c>
      <c r="J443" s="6" t="e">
        <f t="shared" si="20"/>
        <v>#N/A</v>
      </c>
      <c r="M443" s="64" t="s">
        <v>804</v>
      </c>
      <c r="N443" s="123">
        <v>0.8</v>
      </c>
    </row>
    <row r="444" spans="2:14" x14ac:dyDescent="0.3">
      <c r="B444" t="e">
        <f>VLOOKUP(A444,'Clientes CBOT'!A:D,4,0)</f>
        <v>#N/A</v>
      </c>
      <c r="C444" s="7" t="e">
        <f>VLOOKUP(A444,'Statement base'!E:AO,21,0)</f>
        <v>#N/A</v>
      </c>
      <c r="D444" s="7" t="e">
        <f>VLOOKUP(A444,'Statement base'!E:AO,10,0)-VLOOKUP(A444,'Statement base'!E:AO,21,0)</f>
        <v>#N/A</v>
      </c>
      <c r="E444" t="s">
        <v>188</v>
      </c>
      <c r="F444" s="6" t="e">
        <f>VLOOKUP(A444,'Statement base'!E:AO,10,0)+VLOOKUP(A444,'Statement base'!E:AO,14,0)</f>
        <v>#N/A</v>
      </c>
      <c r="G444" s="61" t="e">
        <f>VLOOKUP(A444,'Clientes CBOT'!A:E,5,0)</f>
        <v>#N/A</v>
      </c>
      <c r="H444" t="str">
        <f t="shared" si="18"/>
        <v>Hard</v>
      </c>
      <c r="I444" s="6" t="e">
        <f t="shared" si="19"/>
        <v>#N/A</v>
      </c>
      <c r="J444" s="6" t="e">
        <f t="shared" si="20"/>
        <v>#N/A</v>
      </c>
      <c r="M444" s="64" t="s">
        <v>737</v>
      </c>
      <c r="N444" s="123">
        <v>0</v>
      </c>
    </row>
    <row r="445" spans="2:14" x14ac:dyDescent="0.3">
      <c r="B445" t="e">
        <f>VLOOKUP(A445,'Clientes CBOT'!A:D,4,0)</f>
        <v>#N/A</v>
      </c>
      <c r="C445" s="7" t="e">
        <f>VLOOKUP(A445,'Statement base'!E:AO,21,0)</f>
        <v>#N/A</v>
      </c>
      <c r="D445" s="7" t="e">
        <f>VLOOKUP(A445,'Statement base'!E:AO,10,0)-VLOOKUP(A445,'Statement base'!E:AO,21,0)</f>
        <v>#N/A</v>
      </c>
      <c r="E445" t="s">
        <v>188</v>
      </c>
      <c r="F445" s="6" t="e">
        <f>VLOOKUP(A445,'Statement base'!E:AO,10,0)+VLOOKUP(A445,'Statement base'!E:AO,14,0)</f>
        <v>#N/A</v>
      </c>
      <c r="G445" s="61" t="e">
        <f>VLOOKUP(A445,'Clientes CBOT'!A:E,5,0)</f>
        <v>#N/A</v>
      </c>
      <c r="H445" t="str">
        <f t="shared" si="18"/>
        <v>Hard</v>
      </c>
      <c r="I445" s="6" t="e">
        <f t="shared" si="19"/>
        <v>#N/A</v>
      </c>
      <c r="J445" s="6" t="e">
        <f t="shared" si="20"/>
        <v>#N/A</v>
      </c>
      <c r="M445" s="64" t="s">
        <v>824</v>
      </c>
      <c r="N445" s="123">
        <v>0</v>
      </c>
    </row>
    <row r="446" spans="2:14" x14ac:dyDescent="0.3">
      <c r="B446" t="e">
        <f>VLOOKUP(A446,'Clientes CBOT'!A:D,4,0)</f>
        <v>#N/A</v>
      </c>
      <c r="C446" s="7" t="e">
        <f>VLOOKUP(A446,'Statement base'!E:AO,21,0)</f>
        <v>#N/A</v>
      </c>
      <c r="D446" s="7" t="e">
        <f>VLOOKUP(A446,'Statement base'!E:AO,10,0)-VLOOKUP(A446,'Statement base'!E:AO,21,0)</f>
        <v>#N/A</v>
      </c>
      <c r="E446" t="s">
        <v>188</v>
      </c>
      <c r="F446" s="6" t="e">
        <f>VLOOKUP(A446,'Statement base'!E:AO,10,0)+VLOOKUP(A446,'Statement base'!E:AO,14,0)</f>
        <v>#N/A</v>
      </c>
      <c r="G446" s="61" t="e">
        <f>VLOOKUP(A446,'Clientes CBOT'!A:E,5,0)</f>
        <v>#N/A</v>
      </c>
      <c r="H446" t="str">
        <f t="shared" si="18"/>
        <v>Hard</v>
      </c>
      <c r="I446" s="6" t="e">
        <f t="shared" si="19"/>
        <v>#N/A</v>
      </c>
      <c r="J446" s="6" t="e">
        <f t="shared" si="20"/>
        <v>#N/A</v>
      </c>
      <c r="M446" s="64" t="s">
        <v>827</v>
      </c>
      <c r="N446" s="123">
        <v>0</v>
      </c>
    </row>
    <row r="447" spans="2:14" x14ac:dyDescent="0.3">
      <c r="B447" t="e">
        <f>VLOOKUP(A447,'Clientes CBOT'!A:D,4,0)</f>
        <v>#N/A</v>
      </c>
      <c r="C447" s="7" t="e">
        <f>VLOOKUP(A447,'Statement base'!E:AO,21,0)</f>
        <v>#N/A</v>
      </c>
      <c r="D447" s="7" t="e">
        <f>VLOOKUP(A447,'Statement base'!E:AO,10,0)-VLOOKUP(A447,'Statement base'!E:AO,21,0)</f>
        <v>#N/A</v>
      </c>
      <c r="E447" t="s">
        <v>188</v>
      </c>
      <c r="F447" s="6" t="e">
        <f>VLOOKUP(A447,'Statement base'!E:AO,10,0)+VLOOKUP(A447,'Statement base'!E:AO,14,0)</f>
        <v>#N/A</v>
      </c>
      <c r="G447" s="61" t="e">
        <f>VLOOKUP(A447,'Clientes CBOT'!A:E,5,0)</f>
        <v>#N/A</v>
      </c>
      <c r="H447" t="str">
        <f t="shared" si="18"/>
        <v>Hard</v>
      </c>
      <c r="I447" s="6" t="e">
        <f t="shared" si="19"/>
        <v>#N/A</v>
      </c>
      <c r="J447" s="6" t="e">
        <f t="shared" si="20"/>
        <v>#N/A</v>
      </c>
      <c r="M447" s="64" t="s">
        <v>840</v>
      </c>
      <c r="N447" s="123">
        <v>962.32</v>
      </c>
    </row>
    <row r="448" spans="2:14" x14ac:dyDescent="0.3">
      <c r="B448" t="e">
        <f>VLOOKUP(A448,'Clientes CBOT'!A:D,4,0)</f>
        <v>#N/A</v>
      </c>
      <c r="C448" s="7" t="e">
        <f>VLOOKUP(A448,'Statement base'!E:AO,21,0)</f>
        <v>#N/A</v>
      </c>
      <c r="D448" s="7" t="e">
        <f>VLOOKUP(A448,'Statement base'!E:AO,10,0)-VLOOKUP(A448,'Statement base'!E:AO,21,0)</f>
        <v>#N/A</v>
      </c>
      <c r="E448" t="s">
        <v>188</v>
      </c>
      <c r="F448" s="6" t="e">
        <f>VLOOKUP(A448,'Statement base'!E:AO,10,0)+VLOOKUP(A448,'Statement base'!E:AO,14,0)</f>
        <v>#N/A</v>
      </c>
      <c r="G448" s="61" t="e">
        <f>VLOOKUP(A448,'Clientes CBOT'!A:E,5,0)</f>
        <v>#N/A</v>
      </c>
      <c r="H448" t="str">
        <f t="shared" si="18"/>
        <v>Hard</v>
      </c>
      <c r="I448" s="6" t="e">
        <f t="shared" si="19"/>
        <v>#N/A</v>
      </c>
      <c r="J448" s="6" t="e">
        <f t="shared" si="20"/>
        <v>#N/A</v>
      </c>
      <c r="M448" s="64" t="s">
        <v>845</v>
      </c>
      <c r="N448" s="123">
        <v>0</v>
      </c>
    </row>
    <row r="449" spans="2:14" x14ac:dyDescent="0.3">
      <c r="B449" t="e">
        <f>VLOOKUP(A449,'Clientes CBOT'!A:D,4,0)</f>
        <v>#N/A</v>
      </c>
      <c r="C449" s="7" t="e">
        <f>VLOOKUP(A449,'Statement base'!E:AO,21,0)</f>
        <v>#N/A</v>
      </c>
      <c r="D449" s="7" t="e">
        <f>VLOOKUP(A449,'Statement base'!E:AO,10,0)-VLOOKUP(A449,'Statement base'!E:AO,21,0)</f>
        <v>#N/A</v>
      </c>
      <c r="E449" t="s">
        <v>188</v>
      </c>
      <c r="F449" s="6" t="e">
        <f>VLOOKUP(A449,'Statement base'!E:AO,10,0)+VLOOKUP(A449,'Statement base'!E:AO,14,0)</f>
        <v>#N/A</v>
      </c>
      <c r="G449" s="61" t="e">
        <f>VLOOKUP(A449,'Clientes CBOT'!A:E,5,0)</f>
        <v>#N/A</v>
      </c>
      <c r="H449" t="str">
        <f t="shared" si="18"/>
        <v>Hard</v>
      </c>
      <c r="I449" s="6" t="e">
        <f t="shared" si="19"/>
        <v>#N/A</v>
      </c>
      <c r="J449" s="6" t="e">
        <f t="shared" si="20"/>
        <v>#N/A</v>
      </c>
      <c r="M449" s="64" t="s">
        <v>846</v>
      </c>
      <c r="N449" s="123">
        <v>-3016.9</v>
      </c>
    </row>
    <row r="450" spans="2:14" x14ac:dyDescent="0.3">
      <c r="B450" t="e">
        <f>VLOOKUP(A450,'Clientes CBOT'!A:D,4,0)</f>
        <v>#N/A</v>
      </c>
      <c r="C450" s="7" t="e">
        <f>VLOOKUP(A450,'Statement base'!E:AO,21,0)</f>
        <v>#N/A</v>
      </c>
      <c r="D450" s="7" t="e">
        <f>VLOOKUP(A450,'Statement base'!E:AO,10,0)-VLOOKUP(A450,'Statement base'!E:AO,21,0)</f>
        <v>#N/A</v>
      </c>
      <c r="E450" t="s">
        <v>188</v>
      </c>
      <c r="F450" s="6" t="e">
        <f>VLOOKUP(A450,'Statement base'!E:AO,10,0)+VLOOKUP(A450,'Statement base'!E:AO,14,0)</f>
        <v>#N/A</v>
      </c>
      <c r="G450" s="61" t="e">
        <f>VLOOKUP(A450,'Clientes CBOT'!A:E,5,0)</f>
        <v>#N/A</v>
      </c>
      <c r="H450" t="str">
        <f t="shared" si="18"/>
        <v>Hard</v>
      </c>
      <c r="I450" s="6" t="e">
        <f t="shared" si="19"/>
        <v>#N/A</v>
      </c>
      <c r="J450" s="6" t="e">
        <f t="shared" si="20"/>
        <v>#N/A</v>
      </c>
      <c r="M450" s="64" t="s">
        <v>847</v>
      </c>
      <c r="N450" s="123">
        <v>0</v>
      </c>
    </row>
    <row r="451" spans="2:14" x14ac:dyDescent="0.3">
      <c r="B451" t="e">
        <f>VLOOKUP(A451,'Clientes CBOT'!A:D,4,0)</f>
        <v>#N/A</v>
      </c>
      <c r="C451" s="7" t="e">
        <f>VLOOKUP(A451,'Statement base'!E:AO,21,0)</f>
        <v>#N/A</v>
      </c>
      <c r="D451" s="7" t="e">
        <f>VLOOKUP(A451,'Statement base'!E:AO,10,0)-VLOOKUP(A451,'Statement base'!E:AO,21,0)</f>
        <v>#N/A</v>
      </c>
      <c r="E451" t="s">
        <v>188</v>
      </c>
      <c r="F451" s="6" t="e">
        <f>VLOOKUP(A451,'Statement base'!E:AO,10,0)+VLOOKUP(A451,'Statement base'!E:AO,14,0)</f>
        <v>#N/A</v>
      </c>
      <c r="G451" s="61" t="e">
        <f>VLOOKUP(A451,'Clientes CBOT'!A:E,5,0)</f>
        <v>#N/A</v>
      </c>
      <c r="H451" t="str">
        <f t="shared" si="18"/>
        <v>Hard</v>
      </c>
      <c r="I451" s="6" t="e">
        <f t="shared" si="19"/>
        <v>#N/A</v>
      </c>
      <c r="J451" s="6" t="e">
        <f t="shared" si="20"/>
        <v>#N/A</v>
      </c>
      <c r="M451" s="64" t="s">
        <v>848</v>
      </c>
      <c r="N451" s="123">
        <v>40.950000000000003</v>
      </c>
    </row>
    <row r="452" spans="2:14" x14ac:dyDescent="0.3">
      <c r="B452" t="e">
        <f>VLOOKUP(A452,'Clientes CBOT'!A:D,4,0)</f>
        <v>#N/A</v>
      </c>
      <c r="C452" s="7" t="e">
        <f>VLOOKUP(A452,'Statement base'!E:AO,21,0)</f>
        <v>#N/A</v>
      </c>
      <c r="D452" s="7" t="e">
        <f>VLOOKUP(A452,'Statement base'!E:AO,10,0)-VLOOKUP(A452,'Statement base'!E:AO,21,0)</f>
        <v>#N/A</v>
      </c>
      <c r="E452" t="s">
        <v>188</v>
      </c>
      <c r="F452" s="6" t="e">
        <f>VLOOKUP(A452,'Statement base'!E:AO,10,0)+VLOOKUP(A452,'Statement base'!E:AO,14,0)</f>
        <v>#N/A</v>
      </c>
      <c r="G452" s="61" t="e">
        <f>VLOOKUP(A452,'Clientes CBOT'!A:E,5,0)</f>
        <v>#N/A</v>
      </c>
      <c r="H452" t="str">
        <f t="shared" si="18"/>
        <v>Hard</v>
      </c>
      <c r="I452" s="6" t="e">
        <f t="shared" si="19"/>
        <v>#N/A</v>
      </c>
      <c r="J452" s="6" t="e">
        <f t="shared" si="20"/>
        <v>#N/A</v>
      </c>
      <c r="M452" s="64" t="s">
        <v>855</v>
      </c>
      <c r="N452" s="123">
        <v>0</v>
      </c>
    </row>
    <row r="453" spans="2:14" x14ac:dyDescent="0.3">
      <c r="B453" t="e">
        <f>VLOOKUP(A453,'Clientes CBOT'!A:D,4,0)</f>
        <v>#N/A</v>
      </c>
      <c r="C453" s="7" t="e">
        <f>VLOOKUP(A453,'Statement base'!E:AO,21,0)</f>
        <v>#N/A</v>
      </c>
      <c r="D453" s="7" t="e">
        <f>VLOOKUP(A453,'Statement base'!E:AO,10,0)-VLOOKUP(A453,'Statement base'!E:AO,21,0)</f>
        <v>#N/A</v>
      </c>
      <c r="E453" t="s">
        <v>188</v>
      </c>
      <c r="F453" s="6" t="e">
        <f>VLOOKUP(A453,'Statement base'!E:AO,10,0)+VLOOKUP(A453,'Statement base'!E:AO,14,0)</f>
        <v>#N/A</v>
      </c>
      <c r="G453" s="61" t="e">
        <f>VLOOKUP(A453,'Clientes CBOT'!A:E,5,0)</f>
        <v>#N/A</v>
      </c>
      <c r="H453" t="str">
        <f t="shared" ref="H453:H516" si="21">IF(E453="pesos","Ars",IF(E453="Dólar Matba Rofex","usd linked","Hard"))</f>
        <v>Hard</v>
      </c>
      <c r="I453" s="6" t="e">
        <f t="shared" ref="I453:I516" si="22">IF(H453="ars",C453/$J$1,IF(H453="hard",C453*$J$2/$J$1,C453))</f>
        <v>#N/A</v>
      </c>
      <c r="J453" s="6" t="e">
        <f t="shared" ref="J453:J516" si="23">IF(H453="ars",D453/$J$1,IF(H453="hard",D453*$J$2/$J$1,D453))</f>
        <v>#N/A</v>
      </c>
      <c r="M453" s="64" t="s">
        <v>856</v>
      </c>
      <c r="N453" s="123">
        <v>0</v>
      </c>
    </row>
    <row r="454" spans="2:14" x14ac:dyDescent="0.3">
      <c r="B454" t="e">
        <f>VLOOKUP(A454,'Clientes CBOT'!A:D,4,0)</f>
        <v>#N/A</v>
      </c>
      <c r="C454" s="7" t="e">
        <f>VLOOKUP(A454,'Statement base'!E:AO,21,0)</f>
        <v>#N/A</v>
      </c>
      <c r="D454" s="7" t="e">
        <f>VLOOKUP(A454,'Statement base'!E:AO,10,0)-VLOOKUP(A454,'Statement base'!E:AO,21,0)</f>
        <v>#N/A</v>
      </c>
      <c r="E454" t="s">
        <v>188</v>
      </c>
      <c r="F454" s="6" t="e">
        <f>VLOOKUP(A454,'Statement base'!E:AO,10,0)+VLOOKUP(A454,'Statement base'!E:AO,14,0)</f>
        <v>#N/A</v>
      </c>
      <c r="G454" s="61" t="e">
        <f>VLOOKUP(A454,'Clientes CBOT'!A:E,5,0)</f>
        <v>#N/A</v>
      </c>
      <c r="H454" t="str">
        <f t="shared" si="21"/>
        <v>Hard</v>
      </c>
      <c r="I454" s="6" t="e">
        <f t="shared" si="22"/>
        <v>#N/A</v>
      </c>
      <c r="J454" s="6" t="e">
        <f t="shared" si="23"/>
        <v>#N/A</v>
      </c>
      <c r="M454" s="64" t="s">
        <v>857</v>
      </c>
      <c r="N454" s="123">
        <v>2016.77</v>
      </c>
    </row>
    <row r="455" spans="2:14" x14ac:dyDescent="0.3">
      <c r="B455" t="e">
        <f>VLOOKUP(A455,'Clientes CBOT'!A:D,4,0)</f>
        <v>#N/A</v>
      </c>
      <c r="C455" s="7" t="e">
        <f>VLOOKUP(A455,'Statement base'!E:AO,21,0)</f>
        <v>#N/A</v>
      </c>
      <c r="D455" s="7" t="e">
        <f>VLOOKUP(A455,'Statement base'!E:AO,10,0)-VLOOKUP(A455,'Statement base'!E:AO,21,0)</f>
        <v>#N/A</v>
      </c>
      <c r="E455" t="s">
        <v>188</v>
      </c>
      <c r="F455" s="6" t="e">
        <f>VLOOKUP(A455,'Statement base'!E:AO,10,0)+VLOOKUP(A455,'Statement base'!E:AO,14,0)</f>
        <v>#N/A</v>
      </c>
      <c r="G455" s="61" t="e">
        <f>VLOOKUP(A455,'Clientes CBOT'!A:E,5,0)</f>
        <v>#N/A</v>
      </c>
      <c r="H455" t="str">
        <f t="shared" si="21"/>
        <v>Hard</v>
      </c>
      <c r="I455" s="6" t="e">
        <f t="shared" si="22"/>
        <v>#N/A</v>
      </c>
      <c r="J455" s="6" t="e">
        <f t="shared" si="23"/>
        <v>#N/A</v>
      </c>
      <c r="M455" s="64" t="s">
        <v>858</v>
      </c>
      <c r="N455" s="123">
        <v>0.28999999999999998</v>
      </c>
    </row>
    <row r="456" spans="2:14" x14ac:dyDescent="0.3">
      <c r="B456" t="e">
        <f>VLOOKUP(A456,'Clientes CBOT'!A:D,4,0)</f>
        <v>#N/A</v>
      </c>
      <c r="C456" s="7" t="e">
        <f>VLOOKUP(A456,'Statement base'!E:AO,21,0)</f>
        <v>#N/A</v>
      </c>
      <c r="D456" s="7" t="e">
        <f>VLOOKUP(A456,'Statement base'!E:AO,10,0)-VLOOKUP(A456,'Statement base'!E:AO,21,0)</f>
        <v>#N/A</v>
      </c>
      <c r="E456" t="s">
        <v>188</v>
      </c>
      <c r="F456" s="6" t="e">
        <f>VLOOKUP(A456,'Statement base'!E:AO,10,0)+VLOOKUP(A456,'Statement base'!E:AO,14,0)</f>
        <v>#N/A</v>
      </c>
      <c r="G456" s="61" t="e">
        <f>VLOOKUP(A456,'Clientes CBOT'!A:E,5,0)</f>
        <v>#N/A</v>
      </c>
      <c r="H456" t="str">
        <f t="shared" si="21"/>
        <v>Hard</v>
      </c>
      <c r="I456" s="6" t="e">
        <f t="shared" si="22"/>
        <v>#N/A</v>
      </c>
      <c r="J456" s="6" t="e">
        <f t="shared" si="23"/>
        <v>#N/A</v>
      </c>
      <c r="M456" s="64" t="s">
        <v>874</v>
      </c>
      <c r="N456" s="123">
        <v>26231699.420000002</v>
      </c>
    </row>
    <row r="457" spans="2:14" x14ac:dyDescent="0.3">
      <c r="B457" t="e">
        <f>VLOOKUP(A457,'Clientes CBOT'!A:D,4,0)</f>
        <v>#N/A</v>
      </c>
      <c r="C457" s="7" t="e">
        <f>VLOOKUP(A457,'Statement base'!E:AO,21,0)</f>
        <v>#N/A</v>
      </c>
      <c r="D457" s="7" t="e">
        <f>VLOOKUP(A457,'Statement base'!E:AO,10,0)-VLOOKUP(A457,'Statement base'!E:AO,21,0)</f>
        <v>#N/A</v>
      </c>
      <c r="E457" t="s">
        <v>188</v>
      </c>
      <c r="F457" s="6" t="e">
        <f>VLOOKUP(A457,'Statement base'!E:AO,10,0)+VLOOKUP(A457,'Statement base'!E:AO,14,0)</f>
        <v>#N/A</v>
      </c>
      <c r="G457" s="61" t="e">
        <f>VLOOKUP(A457,'Clientes CBOT'!A:E,5,0)</f>
        <v>#N/A</v>
      </c>
      <c r="H457" t="str">
        <f t="shared" si="21"/>
        <v>Hard</v>
      </c>
      <c r="I457" s="6" t="e">
        <f t="shared" si="22"/>
        <v>#N/A</v>
      </c>
      <c r="J457" s="6" t="e">
        <f t="shared" si="23"/>
        <v>#N/A</v>
      </c>
      <c r="M457" s="64" t="s">
        <v>875</v>
      </c>
      <c r="N457" s="123">
        <v>0</v>
      </c>
    </row>
    <row r="458" spans="2:14" x14ac:dyDescent="0.3">
      <c r="B458" t="e">
        <f>VLOOKUP(A458,'Clientes CBOT'!A:D,4,0)</f>
        <v>#N/A</v>
      </c>
      <c r="C458" s="7" t="e">
        <f>VLOOKUP(A458,'Statement base'!E:AO,21,0)</f>
        <v>#N/A</v>
      </c>
      <c r="D458" s="7" t="e">
        <f>VLOOKUP(A458,'Statement base'!E:AO,10,0)-VLOOKUP(A458,'Statement base'!E:AO,21,0)</f>
        <v>#N/A</v>
      </c>
      <c r="E458" t="s">
        <v>188</v>
      </c>
      <c r="F458" s="6" t="e">
        <f>VLOOKUP(A458,'Statement base'!E:AO,10,0)+VLOOKUP(A458,'Statement base'!E:AO,14,0)</f>
        <v>#N/A</v>
      </c>
      <c r="G458" s="61" t="e">
        <f>VLOOKUP(A458,'Clientes CBOT'!A:E,5,0)</f>
        <v>#N/A</v>
      </c>
      <c r="H458" t="str">
        <f t="shared" si="21"/>
        <v>Hard</v>
      </c>
      <c r="I458" s="6" t="e">
        <f t="shared" si="22"/>
        <v>#N/A</v>
      </c>
      <c r="J458" s="6" t="e">
        <f t="shared" si="23"/>
        <v>#N/A</v>
      </c>
      <c r="M458" s="64" t="s">
        <v>899</v>
      </c>
      <c r="N458" s="123">
        <v>13294.67</v>
      </c>
    </row>
    <row r="459" spans="2:14" x14ac:dyDescent="0.3">
      <c r="B459" t="e">
        <f>VLOOKUP(A459,'Clientes CBOT'!A:D,4,0)</f>
        <v>#N/A</v>
      </c>
      <c r="C459" s="7" t="e">
        <f>VLOOKUP(A459,'Statement base'!E:AO,21,0)</f>
        <v>#N/A</v>
      </c>
      <c r="D459" s="7" t="e">
        <f>VLOOKUP(A459,'Statement base'!E:AO,10,0)-VLOOKUP(A459,'Statement base'!E:AO,21,0)</f>
        <v>#N/A</v>
      </c>
      <c r="E459" t="s">
        <v>188</v>
      </c>
      <c r="F459" s="6" t="e">
        <f>VLOOKUP(A459,'Statement base'!E:AO,10,0)+VLOOKUP(A459,'Statement base'!E:AO,14,0)</f>
        <v>#N/A</v>
      </c>
      <c r="G459" s="61" t="e">
        <f>VLOOKUP(A459,'Clientes CBOT'!A:E,5,0)</f>
        <v>#N/A</v>
      </c>
      <c r="H459" t="str">
        <f t="shared" si="21"/>
        <v>Hard</v>
      </c>
      <c r="I459" s="6" t="e">
        <f t="shared" si="22"/>
        <v>#N/A</v>
      </c>
      <c r="J459" s="6" t="e">
        <f t="shared" si="23"/>
        <v>#N/A</v>
      </c>
      <c r="M459" s="64" t="s">
        <v>900</v>
      </c>
      <c r="N459" s="123">
        <v>-61362.16</v>
      </c>
    </row>
    <row r="460" spans="2:14" x14ac:dyDescent="0.3">
      <c r="B460" t="e">
        <f>VLOOKUP(A460,'Clientes CBOT'!A:D,4,0)</f>
        <v>#N/A</v>
      </c>
      <c r="C460" s="7" t="e">
        <f>VLOOKUP(A460,'Statement base'!E:AO,21,0)</f>
        <v>#N/A</v>
      </c>
      <c r="D460" s="7" t="e">
        <f>VLOOKUP(A460,'Statement base'!E:AO,10,0)-VLOOKUP(A460,'Statement base'!E:AO,21,0)</f>
        <v>#N/A</v>
      </c>
      <c r="E460" t="s">
        <v>188</v>
      </c>
      <c r="F460" s="6" t="e">
        <f>VLOOKUP(A460,'Statement base'!E:AO,10,0)+VLOOKUP(A460,'Statement base'!E:AO,14,0)</f>
        <v>#N/A</v>
      </c>
      <c r="G460" s="61" t="e">
        <f>VLOOKUP(A460,'Clientes CBOT'!A:E,5,0)</f>
        <v>#N/A</v>
      </c>
      <c r="H460" t="str">
        <f t="shared" si="21"/>
        <v>Hard</v>
      </c>
      <c r="I460" s="6" t="e">
        <f t="shared" si="22"/>
        <v>#N/A</v>
      </c>
      <c r="J460" s="6" t="e">
        <f t="shared" si="23"/>
        <v>#N/A</v>
      </c>
      <c r="M460" s="64" t="s">
        <v>1475</v>
      </c>
      <c r="N460" s="123">
        <v>428669.64</v>
      </c>
    </row>
    <row r="461" spans="2:14" x14ac:dyDescent="0.3">
      <c r="B461" t="e">
        <f>VLOOKUP(A461,'Clientes CBOT'!A:D,4,0)</f>
        <v>#N/A</v>
      </c>
      <c r="C461" s="7" t="e">
        <f>VLOOKUP(A461,'Statement base'!E:AO,21,0)</f>
        <v>#N/A</v>
      </c>
      <c r="D461" s="7" t="e">
        <f>VLOOKUP(A461,'Statement base'!E:AO,10,0)-VLOOKUP(A461,'Statement base'!E:AO,21,0)</f>
        <v>#N/A</v>
      </c>
      <c r="E461" t="s">
        <v>188</v>
      </c>
      <c r="F461" s="6" t="e">
        <f>VLOOKUP(A461,'Statement base'!E:AO,10,0)+VLOOKUP(A461,'Statement base'!E:AO,14,0)</f>
        <v>#N/A</v>
      </c>
      <c r="G461" s="61" t="e">
        <f>VLOOKUP(A461,'Clientes CBOT'!A:E,5,0)</f>
        <v>#N/A</v>
      </c>
      <c r="H461" t="str">
        <f t="shared" si="21"/>
        <v>Hard</v>
      </c>
      <c r="I461" s="6" t="e">
        <f t="shared" si="22"/>
        <v>#N/A</v>
      </c>
      <c r="J461" s="6" t="e">
        <f t="shared" si="23"/>
        <v>#N/A</v>
      </c>
      <c r="M461" s="64" t="s">
        <v>1498</v>
      </c>
      <c r="N461" s="123">
        <v>40481.03</v>
      </c>
    </row>
    <row r="462" spans="2:14" x14ac:dyDescent="0.3">
      <c r="B462" t="e">
        <f>VLOOKUP(A462,'Clientes CBOT'!A:D,4,0)</f>
        <v>#N/A</v>
      </c>
      <c r="C462" s="7" t="e">
        <f>VLOOKUP(A462,'Statement base'!E:AO,21,0)</f>
        <v>#N/A</v>
      </c>
      <c r="D462" s="7" t="e">
        <f>VLOOKUP(A462,'Statement base'!E:AO,10,0)-VLOOKUP(A462,'Statement base'!E:AO,21,0)</f>
        <v>#N/A</v>
      </c>
      <c r="E462" t="s">
        <v>188</v>
      </c>
      <c r="F462" s="6" t="e">
        <f>VLOOKUP(A462,'Statement base'!E:AO,10,0)+VLOOKUP(A462,'Statement base'!E:AO,14,0)</f>
        <v>#N/A</v>
      </c>
      <c r="G462" s="61" t="e">
        <f>VLOOKUP(A462,'Clientes CBOT'!A:E,5,0)</f>
        <v>#N/A</v>
      </c>
      <c r="H462" t="str">
        <f t="shared" si="21"/>
        <v>Hard</v>
      </c>
      <c r="I462" s="6" t="e">
        <f t="shared" si="22"/>
        <v>#N/A</v>
      </c>
      <c r="J462" s="6" t="e">
        <f t="shared" si="23"/>
        <v>#N/A</v>
      </c>
      <c r="M462" s="64" t="s">
        <v>1510</v>
      </c>
      <c r="N462" s="123">
        <v>-55596.670000000006</v>
      </c>
    </row>
    <row r="463" spans="2:14" x14ac:dyDescent="0.3">
      <c r="B463" t="e">
        <f>VLOOKUP(A463,'Clientes CBOT'!A:D,4,0)</f>
        <v>#N/A</v>
      </c>
      <c r="C463" s="7" t="e">
        <f>VLOOKUP(A463,'Statement base'!E:AO,21,0)</f>
        <v>#N/A</v>
      </c>
      <c r="D463" s="7" t="e">
        <f>VLOOKUP(A463,'Statement base'!E:AO,10,0)-VLOOKUP(A463,'Statement base'!E:AO,21,0)</f>
        <v>#N/A</v>
      </c>
      <c r="E463" t="s">
        <v>188</v>
      </c>
      <c r="F463" s="6" t="e">
        <f>VLOOKUP(A463,'Statement base'!E:AO,10,0)+VLOOKUP(A463,'Statement base'!E:AO,14,0)</f>
        <v>#N/A</v>
      </c>
      <c r="G463" s="61" t="e">
        <f>VLOOKUP(A463,'Clientes CBOT'!A:E,5,0)</f>
        <v>#N/A</v>
      </c>
      <c r="H463" t="str">
        <f t="shared" si="21"/>
        <v>Hard</v>
      </c>
      <c r="I463" s="6" t="e">
        <f t="shared" si="22"/>
        <v>#N/A</v>
      </c>
      <c r="J463" s="6" t="e">
        <f t="shared" si="23"/>
        <v>#N/A</v>
      </c>
      <c r="M463" s="64" t="s">
        <v>1511</v>
      </c>
      <c r="N463" s="123">
        <v>0</v>
      </c>
    </row>
    <row r="464" spans="2:14" x14ac:dyDescent="0.3">
      <c r="B464" t="e">
        <f>VLOOKUP(A464,'Clientes CBOT'!A:D,4,0)</f>
        <v>#N/A</v>
      </c>
      <c r="C464" s="7" t="e">
        <f>VLOOKUP(A464,'Statement base'!E:AO,21,0)</f>
        <v>#N/A</v>
      </c>
      <c r="D464" s="7" t="e">
        <f>VLOOKUP(A464,'Statement base'!E:AO,10,0)-VLOOKUP(A464,'Statement base'!E:AO,21,0)</f>
        <v>#N/A</v>
      </c>
      <c r="E464" t="s">
        <v>188</v>
      </c>
      <c r="F464" s="6" t="e">
        <f>VLOOKUP(A464,'Statement base'!E:AO,10,0)+VLOOKUP(A464,'Statement base'!E:AO,14,0)</f>
        <v>#N/A</v>
      </c>
      <c r="G464" s="61" t="e">
        <f>VLOOKUP(A464,'Clientes CBOT'!A:E,5,0)</f>
        <v>#N/A</v>
      </c>
      <c r="H464" t="str">
        <f t="shared" si="21"/>
        <v>Hard</v>
      </c>
      <c r="I464" s="6" t="e">
        <f t="shared" si="22"/>
        <v>#N/A</v>
      </c>
      <c r="J464" s="6" t="e">
        <f t="shared" si="23"/>
        <v>#N/A</v>
      </c>
      <c r="M464" s="64" t="s">
        <v>1512</v>
      </c>
      <c r="N464" s="123">
        <v>-43769.739999999991</v>
      </c>
    </row>
    <row r="465" spans="2:14" x14ac:dyDescent="0.3">
      <c r="B465" t="e">
        <f>VLOOKUP(A465,'Clientes CBOT'!A:D,4,0)</f>
        <v>#N/A</v>
      </c>
      <c r="C465" s="7" t="e">
        <f>VLOOKUP(A465,'Statement base'!E:AO,21,0)</f>
        <v>#N/A</v>
      </c>
      <c r="D465" s="7" t="e">
        <f>VLOOKUP(A465,'Statement base'!E:AO,10,0)-VLOOKUP(A465,'Statement base'!E:AO,21,0)</f>
        <v>#N/A</v>
      </c>
      <c r="E465" t="s">
        <v>188</v>
      </c>
      <c r="F465" s="6" t="e">
        <f>VLOOKUP(A465,'Statement base'!E:AO,10,0)+VLOOKUP(A465,'Statement base'!E:AO,14,0)</f>
        <v>#N/A</v>
      </c>
      <c r="G465" s="61" t="e">
        <f>VLOOKUP(A465,'Clientes CBOT'!A:E,5,0)</f>
        <v>#N/A</v>
      </c>
      <c r="H465" t="str">
        <f t="shared" si="21"/>
        <v>Hard</v>
      </c>
      <c r="I465" s="6" t="e">
        <f t="shared" si="22"/>
        <v>#N/A</v>
      </c>
      <c r="J465" s="6" t="e">
        <f t="shared" si="23"/>
        <v>#N/A</v>
      </c>
      <c r="M465" s="64" t="s">
        <v>1520</v>
      </c>
      <c r="N465" s="123">
        <v>0</v>
      </c>
    </row>
    <row r="466" spans="2:14" x14ac:dyDescent="0.3">
      <c r="B466" t="e">
        <f>VLOOKUP(A466,'Clientes CBOT'!A:D,4,0)</f>
        <v>#N/A</v>
      </c>
      <c r="C466" s="7" t="e">
        <f>VLOOKUP(A466,'Statement base'!E:AO,21,0)</f>
        <v>#N/A</v>
      </c>
      <c r="D466" s="7" t="e">
        <f>VLOOKUP(A466,'Statement base'!E:AO,10,0)-VLOOKUP(A466,'Statement base'!E:AO,21,0)</f>
        <v>#N/A</v>
      </c>
      <c r="E466" t="s">
        <v>188</v>
      </c>
      <c r="F466" s="6" t="e">
        <f>VLOOKUP(A466,'Statement base'!E:AO,10,0)+VLOOKUP(A466,'Statement base'!E:AO,14,0)</f>
        <v>#N/A</v>
      </c>
      <c r="G466" s="61" t="e">
        <f>VLOOKUP(A466,'Clientes CBOT'!A:E,5,0)</f>
        <v>#N/A</v>
      </c>
      <c r="H466" t="str">
        <f t="shared" si="21"/>
        <v>Hard</v>
      </c>
      <c r="I466" s="6" t="e">
        <f t="shared" si="22"/>
        <v>#N/A</v>
      </c>
      <c r="J466" s="6" t="e">
        <f t="shared" si="23"/>
        <v>#N/A</v>
      </c>
      <c r="M466" s="64" t="s">
        <v>1602</v>
      </c>
      <c r="N466" s="123">
        <v>0.2</v>
      </c>
    </row>
    <row r="467" spans="2:14" x14ac:dyDescent="0.3">
      <c r="B467" t="e">
        <f>VLOOKUP(A467,'Clientes CBOT'!A:D,4,0)</f>
        <v>#N/A</v>
      </c>
      <c r="C467" s="7" t="e">
        <f>VLOOKUP(A467,'Statement base'!E:AO,21,0)</f>
        <v>#N/A</v>
      </c>
      <c r="D467" s="7" t="e">
        <f>VLOOKUP(A467,'Statement base'!E:AO,10,0)-VLOOKUP(A467,'Statement base'!E:AO,21,0)</f>
        <v>#N/A</v>
      </c>
      <c r="E467" t="s">
        <v>188</v>
      </c>
      <c r="F467" s="6" t="e">
        <f>VLOOKUP(A467,'Statement base'!E:AO,10,0)+VLOOKUP(A467,'Statement base'!E:AO,14,0)</f>
        <v>#N/A</v>
      </c>
      <c r="G467" s="61" t="e">
        <f>VLOOKUP(A467,'Clientes CBOT'!A:E,5,0)</f>
        <v>#N/A</v>
      </c>
      <c r="H467" t="str">
        <f t="shared" si="21"/>
        <v>Hard</v>
      </c>
      <c r="I467" s="6" t="e">
        <f t="shared" si="22"/>
        <v>#N/A</v>
      </c>
      <c r="J467" s="6" t="e">
        <f t="shared" si="23"/>
        <v>#N/A</v>
      </c>
      <c r="M467" s="64" t="s">
        <v>1603</v>
      </c>
      <c r="N467" s="123">
        <v>-0.2</v>
      </c>
    </row>
    <row r="468" spans="2:14" x14ac:dyDescent="0.3">
      <c r="B468" t="e">
        <f>VLOOKUP(A468,'Clientes CBOT'!A:D,4,0)</f>
        <v>#N/A</v>
      </c>
      <c r="C468" s="7" t="e">
        <f>VLOOKUP(A468,'Statement base'!E:AO,21,0)</f>
        <v>#N/A</v>
      </c>
      <c r="D468" s="7" t="e">
        <f>VLOOKUP(A468,'Statement base'!E:AO,10,0)-VLOOKUP(A468,'Statement base'!E:AO,21,0)</f>
        <v>#N/A</v>
      </c>
      <c r="E468" t="s">
        <v>188</v>
      </c>
      <c r="F468" s="6" t="e">
        <f>VLOOKUP(A468,'Statement base'!E:AO,10,0)+VLOOKUP(A468,'Statement base'!E:AO,14,0)</f>
        <v>#N/A</v>
      </c>
      <c r="G468" s="61" t="e">
        <f>VLOOKUP(A468,'Clientes CBOT'!A:E,5,0)</f>
        <v>#N/A</v>
      </c>
      <c r="H468" t="str">
        <f t="shared" si="21"/>
        <v>Hard</v>
      </c>
      <c r="I468" s="6" t="e">
        <f t="shared" si="22"/>
        <v>#N/A</v>
      </c>
      <c r="J468" s="6" t="e">
        <f t="shared" si="23"/>
        <v>#N/A</v>
      </c>
      <c r="M468" s="64" t="s">
        <v>1617</v>
      </c>
      <c r="N468" s="123">
        <v>0</v>
      </c>
    </row>
    <row r="469" spans="2:14" x14ac:dyDescent="0.3">
      <c r="B469" t="e">
        <f>VLOOKUP(A469,'Clientes CBOT'!A:D,4,0)</f>
        <v>#N/A</v>
      </c>
      <c r="C469" s="7" t="e">
        <f>VLOOKUP(A469,'Statement base'!E:AO,21,0)</f>
        <v>#N/A</v>
      </c>
      <c r="D469" s="7" t="e">
        <f>VLOOKUP(A469,'Statement base'!E:AO,10,0)-VLOOKUP(A469,'Statement base'!E:AO,21,0)</f>
        <v>#N/A</v>
      </c>
      <c r="E469" t="s">
        <v>188</v>
      </c>
      <c r="F469" s="6" t="e">
        <f>VLOOKUP(A469,'Statement base'!E:AO,10,0)+VLOOKUP(A469,'Statement base'!E:AO,14,0)</f>
        <v>#N/A</v>
      </c>
      <c r="G469" s="61" t="e">
        <f>VLOOKUP(A469,'Clientes CBOT'!A:E,5,0)</f>
        <v>#N/A</v>
      </c>
      <c r="H469" t="str">
        <f t="shared" si="21"/>
        <v>Hard</v>
      </c>
      <c r="I469" s="6" t="e">
        <f t="shared" si="22"/>
        <v>#N/A</v>
      </c>
      <c r="J469" s="6" t="e">
        <f t="shared" si="23"/>
        <v>#N/A</v>
      </c>
      <c r="M469" s="64" t="s">
        <v>1620</v>
      </c>
      <c r="N469" s="123">
        <v>2000</v>
      </c>
    </row>
    <row r="470" spans="2:14" x14ac:dyDescent="0.3">
      <c r="B470" t="e">
        <f>VLOOKUP(A470,'Clientes CBOT'!A:D,4,0)</f>
        <v>#N/A</v>
      </c>
      <c r="C470" s="7" t="e">
        <f>VLOOKUP(A470,'Statement base'!E:AO,21,0)</f>
        <v>#N/A</v>
      </c>
      <c r="D470" s="7" t="e">
        <f>VLOOKUP(A470,'Statement base'!E:AO,10,0)-VLOOKUP(A470,'Statement base'!E:AO,21,0)</f>
        <v>#N/A</v>
      </c>
      <c r="E470" t="s">
        <v>188</v>
      </c>
      <c r="F470" s="6" t="e">
        <f>VLOOKUP(A470,'Statement base'!E:AO,10,0)+VLOOKUP(A470,'Statement base'!E:AO,14,0)</f>
        <v>#N/A</v>
      </c>
      <c r="G470" s="61" t="e">
        <f>VLOOKUP(A470,'Clientes CBOT'!A:E,5,0)</f>
        <v>#N/A</v>
      </c>
      <c r="H470" t="str">
        <f t="shared" si="21"/>
        <v>Hard</v>
      </c>
      <c r="I470" s="6" t="e">
        <f t="shared" si="22"/>
        <v>#N/A</v>
      </c>
      <c r="J470" s="6" t="e">
        <f t="shared" si="23"/>
        <v>#N/A</v>
      </c>
      <c r="M470" s="64" t="s">
        <v>1621</v>
      </c>
      <c r="N470" s="123">
        <v>16967.7</v>
      </c>
    </row>
    <row r="471" spans="2:14" x14ac:dyDescent="0.3">
      <c r="B471" t="e">
        <f>VLOOKUP(A471,'Clientes CBOT'!A:D,4,0)</f>
        <v>#N/A</v>
      </c>
      <c r="C471" s="7" t="e">
        <f>VLOOKUP(A471,'Statement base'!E:AO,21,0)</f>
        <v>#N/A</v>
      </c>
      <c r="D471" s="7" t="e">
        <f>VLOOKUP(A471,'Statement base'!E:AO,10,0)-VLOOKUP(A471,'Statement base'!E:AO,21,0)</f>
        <v>#N/A</v>
      </c>
      <c r="E471" t="s">
        <v>188</v>
      </c>
      <c r="F471" s="6" t="e">
        <f>VLOOKUP(A471,'Statement base'!E:AO,10,0)+VLOOKUP(A471,'Statement base'!E:AO,14,0)</f>
        <v>#N/A</v>
      </c>
      <c r="G471" s="61" t="e">
        <f>VLOOKUP(A471,'Clientes CBOT'!A:E,5,0)</f>
        <v>#N/A</v>
      </c>
      <c r="H471" t="str">
        <f t="shared" si="21"/>
        <v>Hard</v>
      </c>
      <c r="I471" s="6" t="e">
        <f t="shared" si="22"/>
        <v>#N/A</v>
      </c>
      <c r="J471" s="6" t="e">
        <f t="shared" si="23"/>
        <v>#N/A</v>
      </c>
      <c r="M471" s="64" t="s">
        <v>633</v>
      </c>
      <c r="N471" s="123">
        <v>-14753768590.159992</v>
      </c>
    </row>
    <row r="472" spans="2:14" x14ac:dyDescent="0.3">
      <c r="B472" t="e">
        <f>VLOOKUP(A472,'Clientes CBOT'!A:D,4,0)</f>
        <v>#N/A</v>
      </c>
      <c r="C472" s="7" t="e">
        <f>VLOOKUP(A472,'Statement base'!E:AO,21,0)</f>
        <v>#N/A</v>
      </c>
      <c r="D472" s="7" t="e">
        <f>VLOOKUP(A472,'Statement base'!E:AO,10,0)-VLOOKUP(A472,'Statement base'!E:AO,21,0)</f>
        <v>#N/A</v>
      </c>
      <c r="E472" t="s">
        <v>188</v>
      </c>
      <c r="F472" s="6" t="e">
        <f>VLOOKUP(A472,'Statement base'!E:AO,10,0)+VLOOKUP(A472,'Statement base'!E:AO,14,0)</f>
        <v>#N/A</v>
      </c>
      <c r="G472" s="61" t="e">
        <f>VLOOKUP(A472,'Clientes CBOT'!A:E,5,0)</f>
        <v>#N/A</v>
      </c>
      <c r="H472" t="str">
        <f t="shared" si="21"/>
        <v>Hard</v>
      </c>
      <c r="I472" s="6" t="e">
        <f t="shared" si="22"/>
        <v>#N/A</v>
      </c>
      <c r="J472" s="6" t="e">
        <f t="shared" si="23"/>
        <v>#N/A</v>
      </c>
    </row>
    <row r="473" spans="2:14" x14ac:dyDescent="0.3">
      <c r="B473" t="e">
        <f>VLOOKUP(A473,'Clientes CBOT'!A:D,4,0)</f>
        <v>#N/A</v>
      </c>
      <c r="C473" s="7" t="e">
        <f>VLOOKUP(A473,'Statement base'!E:AO,21,0)</f>
        <v>#N/A</v>
      </c>
      <c r="D473" s="7" t="e">
        <f>VLOOKUP(A473,'Statement base'!E:AO,10,0)-VLOOKUP(A473,'Statement base'!E:AO,21,0)</f>
        <v>#N/A</v>
      </c>
      <c r="E473" t="s">
        <v>188</v>
      </c>
      <c r="F473" s="6" t="e">
        <f>VLOOKUP(A473,'Statement base'!E:AO,10,0)+VLOOKUP(A473,'Statement base'!E:AO,14,0)</f>
        <v>#N/A</v>
      </c>
      <c r="G473" s="61" t="e">
        <f>VLOOKUP(A473,'Clientes CBOT'!A:E,5,0)</f>
        <v>#N/A</v>
      </c>
      <c r="H473" t="str">
        <f t="shared" si="21"/>
        <v>Hard</v>
      </c>
      <c r="I473" s="6" t="e">
        <f t="shared" si="22"/>
        <v>#N/A</v>
      </c>
      <c r="J473" s="6" t="e">
        <f t="shared" si="23"/>
        <v>#N/A</v>
      </c>
    </row>
    <row r="474" spans="2:14" x14ac:dyDescent="0.3">
      <c r="B474" t="e">
        <f>VLOOKUP(A474,'Clientes CBOT'!A:D,4,0)</f>
        <v>#N/A</v>
      </c>
      <c r="C474" s="7" t="e">
        <f>VLOOKUP(A474,'Statement base'!E:AO,21,0)</f>
        <v>#N/A</v>
      </c>
      <c r="D474" s="7" t="e">
        <f>VLOOKUP(A474,'Statement base'!E:AO,10,0)-VLOOKUP(A474,'Statement base'!E:AO,21,0)</f>
        <v>#N/A</v>
      </c>
      <c r="E474" t="s">
        <v>188</v>
      </c>
      <c r="F474" s="6" t="e">
        <f>VLOOKUP(A474,'Statement base'!E:AO,10,0)+VLOOKUP(A474,'Statement base'!E:AO,14,0)</f>
        <v>#N/A</v>
      </c>
      <c r="G474" s="61" t="e">
        <f>VLOOKUP(A474,'Clientes CBOT'!A:E,5,0)</f>
        <v>#N/A</v>
      </c>
      <c r="H474" t="str">
        <f t="shared" si="21"/>
        <v>Hard</v>
      </c>
      <c r="I474" s="6" t="e">
        <f t="shared" si="22"/>
        <v>#N/A</v>
      </c>
      <c r="J474" s="6" t="e">
        <f t="shared" si="23"/>
        <v>#N/A</v>
      </c>
    </row>
    <row r="475" spans="2:14" x14ac:dyDescent="0.3">
      <c r="B475" t="e">
        <f>VLOOKUP(A475,'Clientes CBOT'!A:D,4,0)</f>
        <v>#N/A</v>
      </c>
      <c r="C475" s="7" t="e">
        <f>VLOOKUP(A475,'Statement base'!E:AO,21,0)</f>
        <v>#N/A</v>
      </c>
      <c r="D475" s="7" t="e">
        <f>VLOOKUP(A475,'Statement base'!E:AO,10,0)-VLOOKUP(A475,'Statement base'!E:AO,21,0)</f>
        <v>#N/A</v>
      </c>
      <c r="E475" t="s">
        <v>188</v>
      </c>
      <c r="F475" s="6" t="e">
        <f>VLOOKUP(A475,'Statement base'!E:AO,10,0)+VLOOKUP(A475,'Statement base'!E:AO,14,0)</f>
        <v>#N/A</v>
      </c>
      <c r="G475" s="61" t="e">
        <f>VLOOKUP(A475,'Clientes CBOT'!A:E,5,0)</f>
        <v>#N/A</v>
      </c>
      <c r="H475" t="str">
        <f t="shared" si="21"/>
        <v>Hard</v>
      </c>
      <c r="I475" s="6" t="e">
        <f t="shared" si="22"/>
        <v>#N/A</v>
      </c>
      <c r="J475" s="6" t="e">
        <f t="shared" si="23"/>
        <v>#N/A</v>
      </c>
    </row>
    <row r="476" spans="2:14" x14ac:dyDescent="0.3">
      <c r="B476" t="e">
        <f>VLOOKUP(A476,'Clientes CBOT'!A:D,4,0)</f>
        <v>#N/A</v>
      </c>
      <c r="C476" s="7" t="e">
        <f>VLOOKUP(A476,'Statement base'!E:AO,21,0)</f>
        <v>#N/A</v>
      </c>
      <c r="D476" s="7" t="e">
        <f>VLOOKUP(A476,'Statement base'!E:AO,10,0)-VLOOKUP(A476,'Statement base'!E:AO,21,0)</f>
        <v>#N/A</v>
      </c>
      <c r="E476" t="s">
        <v>188</v>
      </c>
      <c r="F476" s="6" t="e">
        <f>VLOOKUP(A476,'Statement base'!E:AO,10,0)+VLOOKUP(A476,'Statement base'!E:AO,14,0)</f>
        <v>#N/A</v>
      </c>
      <c r="G476" s="61" t="e">
        <f>VLOOKUP(A476,'Clientes CBOT'!A:E,5,0)</f>
        <v>#N/A</v>
      </c>
      <c r="H476" t="str">
        <f t="shared" si="21"/>
        <v>Hard</v>
      </c>
      <c r="I476" s="6" t="e">
        <f t="shared" si="22"/>
        <v>#N/A</v>
      </c>
      <c r="J476" s="6" t="e">
        <f t="shared" si="23"/>
        <v>#N/A</v>
      </c>
    </row>
    <row r="477" spans="2:14" x14ac:dyDescent="0.3">
      <c r="B477" t="e">
        <f>VLOOKUP(A477,'Clientes CBOT'!A:D,4,0)</f>
        <v>#N/A</v>
      </c>
      <c r="C477" s="7" t="e">
        <f>VLOOKUP(A477,'Statement base'!E:AO,21,0)</f>
        <v>#N/A</v>
      </c>
      <c r="D477" s="7" t="e">
        <f>VLOOKUP(A477,'Statement base'!E:AO,10,0)-VLOOKUP(A477,'Statement base'!E:AO,21,0)</f>
        <v>#N/A</v>
      </c>
      <c r="E477" t="s">
        <v>188</v>
      </c>
      <c r="F477" s="6" t="e">
        <f>VLOOKUP(A477,'Statement base'!E:AO,10,0)+VLOOKUP(A477,'Statement base'!E:AO,14,0)</f>
        <v>#N/A</v>
      </c>
      <c r="G477" s="61" t="e">
        <f>VLOOKUP(A477,'Clientes CBOT'!A:E,5,0)</f>
        <v>#N/A</v>
      </c>
      <c r="H477" t="str">
        <f t="shared" si="21"/>
        <v>Hard</v>
      </c>
      <c r="I477" s="6" t="e">
        <f t="shared" si="22"/>
        <v>#N/A</v>
      </c>
      <c r="J477" s="6" t="e">
        <f t="shared" si="23"/>
        <v>#N/A</v>
      </c>
    </row>
    <row r="478" spans="2:14" x14ac:dyDescent="0.3">
      <c r="B478" t="e">
        <f>VLOOKUP(A478,'Clientes CBOT'!A:D,4,0)</f>
        <v>#N/A</v>
      </c>
      <c r="C478" s="7" t="e">
        <f>VLOOKUP(A478,'Statement base'!E:AO,21,0)</f>
        <v>#N/A</v>
      </c>
      <c r="D478" s="7" t="e">
        <f>VLOOKUP(A478,'Statement base'!E:AO,10,0)-VLOOKUP(A478,'Statement base'!E:AO,21,0)</f>
        <v>#N/A</v>
      </c>
      <c r="E478" t="s">
        <v>188</v>
      </c>
      <c r="F478" s="6" t="e">
        <f>VLOOKUP(A478,'Statement base'!E:AO,10,0)+VLOOKUP(A478,'Statement base'!E:AO,14,0)</f>
        <v>#N/A</v>
      </c>
      <c r="G478" s="61" t="e">
        <f>VLOOKUP(A478,'Clientes CBOT'!A:E,5,0)</f>
        <v>#N/A</v>
      </c>
      <c r="H478" t="str">
        <f t="shared" si="21"/>
        <v>Hard</v>
      </c>
      <c r="I478" s="6" t="e">
        <f t="shared" si="22"/>
        <v>#N/A</v>
      </c>
      <c r="J478" s="6" t="e">
        <f t="shared" si="23"/>
        <v>#N/A</v>
      </c>
    </row>
    <row r="479" spans="2:14" x14ac:dyDescent="0.3">
      <c r="B479" t="e">
        <f>VLOOKUP(A479,'Clientes CBOT'!A:D,4,0)</f>
        <v>#N/A</v>
      </c>
      <c r="C479" s="7" t="e">
        <f>VLOOKUP(A479,'Statement base'!E:AO,21,0)</f>
        <v>#N/A</v>
      </c>
      <c r="D479" s="7" t="e">
        <f>VLOOKUP(A479,'Statement base'!E:AO,10,0)-VLOOKUP(A479,'Statement base'!E:AO,21,0)</f>
        <v>#N/A</v>
      </c>
      <c r="E479" t="s">
        <v>188</v>
      </c>
      <c r="F479" s="6" t="e">
        <f>VLOOKUP(A479,'Statement base'!E:AO,10,0)+VLOOKUP(A479,'Statement base'!E:AO,14,0)</f>
        <v>#N/A</v>
      </c>
      <c r="G479" s="61" t="e">
        <f>VLOOKUP(A479,'Clientes CBOT'!A:E,5,0)</f>
        <v>#N/A</v>
      </c>
      <c r="H479" t="str">
        <f t="shared" si="21"/>
        <v>Hard</v>
      </c>
      <c r="I479" s="6" t="e">
        <f t="shared" si="22"/>
        <v>#N/A</v>
      </c>
      <c r="J479" s="6" t="e">
        <f t="shared" si="23"/>
        <v>#N/A</v>
      </c>
    </row>
    <row r="480" spans="2:14" x14ac:dyDescent="0.3">
      <c r="B480" t="e">
        <f>VLOOKUP(A480,'Clientes CBOT'!A:D,4,0)</f>
        <v>#N/A</v>
      </c>
      <c r="C480" s="7" t="e">
        <f>VLOOKUP(A480,'Statement base'!E:AO,21,0)</f>
        <v>#N/A</v>
      </c>
      <c r="D480" s="7" t="e">
        <f>VLOOKUP(A480,'Statement base'!E:AO,10,0)-VLOOKUP(A480,'Statement base'!E:AO,21,0)</f>
        <v>#N/A</v>
      </c>
      <c r="E480" t="s">
        <v>188</v>
      </c>
      <c r="F480" s="6" t="e">
        <f>VLOOKUP(A480,'Statement base'!E:AO,10,0)+VLOOKUP(A480,'Statement base'!E:AO,14,0)</f>
        <v>#N/A</v>
      </c>
      <c r="G480" s="61" t="e">
        <f>VLOOKUP(A480,'Clientes CBOT'!A:E,5,0)</f>
        <v>#N/A</v>
      </c>
      <c r="H480" t="str">
        <f t="shared" si="21"/>
        <v>Hard</v>
      </c>
      <c r="I480" s="6" t="e">
        <f t="shared" si="22"/>
        <v>#N/A</v>
      </c>
      <c r="J480" s="6" t="e">
        <f t="shared" si="23"/>
        <v>#N/A</v>
      </c>
    </row>
    <row r="481" spans="2:10" x14ac:dyDescent="0.3">
      <c r="B481" t="e">
        <f>VLOOKUP(A481,'Clientes CBOT'!A:D,4,0)</f>
        <v>#N/A</v>
      </c>
      <c r="C481" s="7" t="e">
        <f>VLOOKUP(A481,'Statement base'!E:AO,21,0)</f>
        <v>#N/A</v>
      </c>
      <c r="D481" s="7" t="e">
        <f>VLOOKUP(A481,'Statement base'!E:AO,10,0)-VLOOKUP(A481,'Statement base'!E:AO,21,0)</f>
        <v>#N/A</v>
      </c>
      <c r="E481" t="s">
        <v>188</v>
      </c>
      <c r="F481" s="6" t="e">
        <f>VLOOKUP(A481,'Statement base'!E:AO,10,0)+VLOOKUP(A481,'Statement base'!E:AO,14,0)</f>
        <v>#N/A</v>
      </c>
      <c r="G481" s="61" t="e">
        <f>VLOOKUP(A481,'Clientes CBOT'!A:E,5,0)</f>
        <v>#N/A</v>
      </c>
      <c r="H481" t="str">
        <f t="shared" si="21"/>
        <v>Hard</v>
      </c>
      <c r="I481" s="6" t="e">
        <f t="shared" si="22"/>
        <v>#N/A</v>
      </c>
      <c r="J481" s="6" t="e">
        <f t="shared" si="23"/>
        <v>#N/A</v>
      </c>
    </row>
    <row r="482" spans="2:10" x14ac:dyDescent="0.3">
      <c r="B482" t="e">
        <f>VLOOKUP(A482,'Clientes CBOT'!A:D,4,0)</f>
        <v>#N/A</v>
      </c>
      <c r="C482" s="7" t="e">
        <f>VLOOKUP(A482,'Statement base'!E:AO,21,0)</f>
        <v>#N/A</v>
      </c>
      <c r="D482" s="7" t="e">
        <f>VLOOKUP(A482,'Statement base'!E:AO,10,0)-VLOOKUP(A482,'Statement base'!E:AO,21,0)</f>
        <v>#N/A</v>
      </c>
      <c r="E482" t="s">
        <v>188</v>
      </c>
      <c r="F482" s="6" t="e">
        <f>VLOOKUP(A482,'Statement base'!E:AO,10,0)+VLOOKUP(A482,'Statement base'!E:AO,14,0)</f>
        <v>#N/A</v>
      </c>
      <c r="G482" s="61" t="e">
        <f>VLOOKUP(A482,'Clientes CBOT'!A:E,5,0)</f>
        <v>#N/A</v>
      </c>
      <c r="H482" t="str">
        <f t="shared" si="21"/>
        <v>Hard</v>
      </c>
      <c r="I482" s="6" t="e">
        <f t="shared" si="22"/>
        <v>#N/A</v>
      </c>
      <c r="J482" s="6" t="e">
        <f t="shared" si="23"/>
        <v>#N/A</v>
      </c>
    </row>
    <row r="483" spans="2:10" x14ac:dyDescent="0.3">
      <c r="B483" t="e">
        <f>VLOOKUP(A483,'Clientes CBOT'!A:D,4,0)</f>
        <v>#N/A</v>
      </c>
      <c r="C483" s="7" t="e">
        <f>VLOOKUP(A483,'Statement base'!E:AO,21,0)</f>
        <v>#N/A</v>
      </c>
      <c r="D483" s="7" t="e">
        <f>VLOOKUP(A483,'Statement base'!E:AO,10,0)-VLOOKUP(A483,'Statement base'!E:AO,21,0)</f>
        <v>#N/A</v>
      </c>
      <c r="E483" t="s">
        <v>188</v>
      </c>
      <c r="F483" s="6" t="e">
        <f>VLOOKUP(A483,'Statement base'!E:AO,10,0)+VLOOKUP(A483,'Statement base'!E:AO,14,0)</f>
        <v>#N/A</v>
      </c>
      <c r="G483" s="61" t="e">
        <f>VLOOKUP(A483,'Clientes CBOT'!A:E,5,0)</f>
        <v>#N/A</v>
      </c>
      <c r="H483" t="str">
        <f t="shared" si="21"/>
        <v>Hard</v>
      </c>
      <c r="I483" s="6" t="e">
        <f t="shared" si="22"/>
        <v>#N/A</v>
      </c>
      <c r="J483" s="6" t="e">
        <f t="shared" si="23"/>
        <v>#N/A</v>
      </c>
    </row>
    <row r="484" spans="2:10" x14ac:dyDescent="0.3">
      <c r="B484" t="e">
        <f>VLOOKUP(A484,'Clientes CBOT'!A:D,4,0)</f>
        <v>#N/A</v>
      </c>
      <c r="C484" s="7" t="e">
        <f>VLOOKUP(A484,'Statement base'!E:AO,21,0)</f>
        <v>#N/A</v>
      </c>
      <c r="D484" s="7" t="e">
        <f>VLOOKUP(A484,'Statement base'!E:AO,10,0)-VLOOKUP(A484,'Statement base'!E:AO,21,0)</f>
        <v>#N/A</v>
      </c>
      <c r="E484" t="s">
        <v>188</v>
      </c>
      <c r="F484" s="6" t="e">
        <f>VLOOKUP(A484,'Statement base'!E:AO,10,0)+VLOOKUP(A484,'Statement base'!E:AO,14,0)</f>
        <v>#N/A</v>
      </c>
      <c r="G484" s="61" t="e">
        <f>VLOOKUP(A484,'Clientes CBOT'!A:E,5,0)</f>
        <v>#N/A</v>
      </c>
      <c r="H484" t="str">
        <f t="shared" si="21"/>
        <v>Hard</v>
      </c>
      <c r="I484" s="6" t="e">
        <f t="shared" si="22"/>
        <v>#N/A</v>
      </c>
      <c r="J484" s="6" t="e">
        <f t="shared" si="23"/>
        <v>#N/A</v>
      </c>
    </row>
    <row r="485" spans="2:10" x14ac:dyDescent="0.3">
      <c r="B485" t="e">
        <f>VLOOKUP(A485,'Clientes CBOT'!A:D,4,0)</f>
        <v>#N/A</v>
      </c>
      <c r="C485" s="7" t="e">
        <f>VLOOKUP(A485,'Statement base'!E:AO,21,0)</f>
        <v>#N/A</v>
      </c>
      <c r="D485" s="7" t="e">
        <f>VLOOKUP(A485,'Statement base'!E:AO,10,0)-VLOOKUP(A485,'Statement base'!E:AO,21,0)</f>
        <v>#N/A</v>
      </c>
      <c r="E485" t="s">
        <v>188</v>
      </c>
      <c r="F485" s="6" t="e">
        <f>VLOOKUP(A485,'Statement base'!E:AO,10,0)+VLOOKUP(A485,'Statement base'!E:AO,14,0)</f>
        <v>#N/A</v>
      </c>
      <c r="G485" s="61" t="e">
        <f>VLOOKUP(A485,'Clientes CBOT'!A:E,5,0)</f>
        <v>#N/A</v>
      </c>
      <c r="H485" t="str">
        <f t="shared" si="21"/>
        <v>Hard</v>
      </c>
      <c r="I485" s="6" t="e">
        <f t="shared" si="22"/>
        <v>#N/A</v>
      </c>
      <c r="J485" s="6" t="e">
        <f t="shared" si="23"/>
        <v>#N/A</v>
      </c>
    </row>
    <row r="486" spans="2:10" x14ac:dyDescent="0.3">
      <c r="B486" t="e">
        <f>VLOOKUP(A486,'Clientes CBOT'!A:D,4,0)</f>
        <v>#N/A</v>
      </c>
      <c r="C486" s="7" t="e">
        <f>VLOOKUP(A486,'Statement base'!E:AO,21,0)</f>
        <v>#N/A</v>
      </c>
      <c r="D486" s="7" t="e">
        <f>VLOOKUP(A486,'Statement base'!E:AO,10,0)-VLOOKUP(A486,'Statement base'!E:AO,21,0)</f>
        <v>#N/A</v>
      </c>
      <c r="E486" t="s">
        <v>188</v>
      </c>
      <c r="F486" s="6" t="e">
        <f>VLOOKUP(A486,'Statement base'!E:AO,10,0)+VLOOKUP(A486,'Statement base'!E:AO,14,0)</f>
        <v>#N/A</v>
      </c>
      <c r="G486" s="61" t="e">
        <f>VLOOKUP(A486,'Clientes CBOT'!A:E,5,0)</f>
        <v>#N/A</v>
      </c>
      <c r="H486" t="str">
        <f t="shared" si="21"/>
        <v>Hard</v>
      </c>
      <c r="I486" s="6" t="e">
        <f t="shared" si="22"/>
        <v>#N/A</v>
      </c>
      <c r="J486" s="6" t="e">
        <f t="shared" si="23"/>
        <v>#N/A</v>
      </c>
    </row>
    <row r="487" spans="2:10" x14ac:dyDescent="0.3">
      <c r="B487" t="e">
        <f>VLOOKUP(A487,'Clientes CBOT'!A:D,4,0)</f>
        <v>#N/A</v>
      </c>
      <c r="C487" s="7" t="e">
        <f>VLOOKUP(A487,'Statement base'!E:AO,21,0)</f>
        <v>#N/A</v>
      </c>
      <c r="D487" s="7" t="e">
        <f>VLOOKUP(A487,'Statement base'!E:AO,10,0)-VLOOKUP(A487,'Statement base'!E:AO,21,0)</f>
        <v>#N/A</v>
      </c>
      <c r="E487" t="s">
        <v>188</v>
      </c>
      <c r="F487" s="6" t="e">
        <f>VLOOKUP(A487,'Statement base'!E:AO,10,0)+VLOOKUP(A487,'Statement base'!E:AO,14,0)</f>
        <v>#N/A</v>
      </c>
      <c r="G487" s="61" t="e">
        <f>VLOOKUP(A487,'Clientes CBOT'!A:E,5,0)</f>
        <v>#N/A</v>
      </c>
      <c r="H487" t="str">
        <f t="shared" si="21"/>
        <v>Hard</v>
      </c>
      <c r="I487" s="6" t="e">
        <f t="shared" si="22"/>
        <v>#N/A</v>
      </c>
      <c r="J487" s="6" t="e">
        <f t="shared" si="23"/>
        <v>#N/A</v>
      </c>
    </row>
    <row r="488" spans="2:10" x14ac:dyDescent="0.3">
      <c r="B488" t="e">
        <f>VLOOKUP(A488,'Clientes CBOT'!A:D,4,0)</f>
        <v>#N/A</v>
      </c>
      <c r="C488" s="7" t="e">
        <f>VLOOKUP(A488,'Statement base'!E:AO,21,0)</f>
        <v>#N/A</v>
      </c>
      <c r="D488" s="7" t="e">
        <f>VLOOKUP(A488,'Statement base'!E:AO,10,0)-VLOOKUP(A488,'Statement base'!E:AO,21,0)</f>
        <v>#N/A</v>
      </c>
      <c r="E488" t="s">
        <v>188</v>
      </c>
      <c r="F488" s="6" t="e">
        <f>VLOOKUP(A488,'Statement base'!E:AO,10,0)+VLOOKUP(A488,'Statement base'!E:AO,14,0)</f>
        <v>#N/A</v>
      </c>
      <c r="G488" s="61" t="e">
        <f>VLOOKUP(A488,'Clientes CBOT'!A:E,5,0)</f>
        <v>#N/A</v>
      </c>
      <c r="H488" t="str">
        <f t="shared" si="21"/>
        <v>Hard</v>
      </c>
      <c r="I488" s="6" t="e">
        <f t="shared" si="22"/>
        <v>#N/A</v>
      </c>
      <c r="J488" s="6" t="e">
        <f t="shared" si="23"/>
        <v>#N/A</v>
      </c>
    </row>
    <row r="489" spans="2:10" x14ac:dyDescent="0.3">
      <c r="B489" t="e">
        <f>VLOOKUP(A489,'Clientes CBOT'!A:D,4,0)</f>
        <v>#N/A</v>
      </c>
      <c r="C489" s="7" t="e">
        <f>VLOOKUP(A489,'Statement base'!E:AO,21,0)</f>
        <v>#N/A</v>
      </c>
      <c r="D489" s="7" t="e">
        <f>VLOOKUP(A489,'Statement base'!E:AO,10,0)-VLOOKUP(A489,'Statement base'!E:AO,21,0)</f>
        <v>#N/A</v>
      </c>
      <c r="E489" t="s">
        <v>188</v>
      </c>
      <c r="F489" s="6" t="e">
        <f>VLOOKUP(A489,'Statement base'!E:AO,10,0)+VLOOKUP(A489,'Statement base'!E:AO,14,0)</f>
        <v>#N/A</v>
      </c>
      <c r="G489" s="61" t="e">
        <f>VLOOKUP(A489,'Clientes CBOT'!A:E,5,0)</f>
        <v>#N/A</v>
      </c>
      <c r="H489" t="str">
        <f t="shared" si="21"/>
        <v>Hard</v>
      </c>
      <c r="I489" s="6" t="e">
        <f t="shared" si="22"/>
        <v>#N/A</v>
      </c>
      <c r="J489" s="6" t="e">
        <f t="shared" si="23"/>
        <v>#N/A</v>
      </c>
    </row>
    <row r="490" spans="2:10" x14ac:dyDescent="0.3">
      <c r="B490" t="e">
        <f>VLOOKUP(A490,'Clientes CBOT'!A:D,4,0)</f>
        <v>#N/A</v>
      </c>
      <c r="C490" s="7" t="e">
        <f>VLOOKUP(A490,'Statement base'!E:AO,21,0)</f>
        <v>#N/A</v>
      </c>
      <c r="D490" s="7" t="e">
        <f>VLOOKUP(A490,'Statement base'!E:AO,10,0)-VLOOKUP(A490,'Statement base'!E:AO,21,0)</f>
        <v>#N/A</v>
      </c>
      <c r="E490" t="s">
        <v>188</v>
      </c>
      <c r="F490" s="6" t="e">
        <f>VLOOKUP(A490,'Statement base'!E:AO,10,0)+VLOOKUP(A490,'Statement base'!E:AO,14,0)</f>
        <v>#N/A</v>
      </c>
      <c r="G490" s="61" t="e">
        <f>VLOOKUP(A490,'Clientes CBOT'!A:E,5,0)</f>
        <v>#N/A</v>
      </c>
      <c r="H490" t="str">
        <f t="shared" si="21"/>
        <v>Hard</v>
      </c>
      <c r="I490" s="6" t="e">
        <f t="shared" si="22"/>
        <v>#N/A</v>
      </c>
      <c r="J490" s="6" t="e">
        <f t="shared" si="23"/>
        <v>#N/A</v>
      </c>
    </row>
    <row r="491" spans="2:10" x14ac:dyDescent="0.3">
      <c r="B491" t="e">
        <f>VLOOKUP(A491,'Clientes CBOT'!A:D,4,0)</f>
        <v>#N/A</v>
      </c>
      <c r="C491" s="7" t="e">
        <f>VLOOKUP(A491,'Statement base'!E:AO,21,0)</f>
        <v>#N/A</v>
      </c>
      <c r="D491" s="7" t="e">
        <f>VLOOKUP(A491,'Statement base'!E:AO,10,0)-VLOOKUP(A491,'Statement base'!E:AO,21,0)</f>
        <v>#N/A</v>
      </c>
      <c r="E491" t="s">
        <v>188</v>
      </c>
      <c r="F491" s="6" t="e">
        <f>VLOOKUP(A491,'Statement base'!E:AO,10,0)+VLOOKUP(A491,'Statement base'!E:AO,14,0)</f>
        <v>#N/A</v>
      </c>
      <c r="G491" s="61" t="e">
        <f>VLOOKUP(A491,'Clientes CBOT'!A:E,5,0)</f>
        <v>#N/A</v>
      </c>
      <c r="H491" t="str">
        <f t="shared" si="21"/>
        <v>Hard</v>
      </c>
      <c r="I491" s="6" t="e">
        <f t="shared" si="22"/>
        <v>#N/A</v>
      </c>
      <c r="J491" s="6" t="e">
        <f t="shared" si="23"/>
        <v>#N/A</v>
      </c>
    </row>
    <row r="492" spans="2:10" x14ac:dyDescent="0.3">
      <c r="B492" t="e">
        <f>VLOOKUP(A492,'Clientes CBOT'!A:D,4,0)</f>
        <v>#N/A</v>
      </c>
      <c r="C492" s="7" t="e">
        <f>VLOOKUP(A492,'Statement base'!E:AO,21,0)</f>
        <v>#N/A</v>
      </c>
      <c r="D492" s="7" t="e">
        <f>VLOOKUP(A492,'Statement base'!E:AO,10,0)-VLOOKUP(A492,'Statement base'!E:AO,21,0)</f>
        <v>#N/A</v>
      </c>
      <c r="E492" t="s">
        <v>188</v>
      </c>
      <c r="F492" s="6" t="e">
        <f>VLOOKUP(A492,'Statement base'!E:AO,10,0)+VLOOKUP(A492,'Statement base'!E:AO,14,0)</f>
        <v>#N/A</v>
      </c>
      <c r="G492" s="61" t="e">
        <f>VLOOKUP(A492,'Clientes CBOT'!A:E,5,0)</f>
        <v>#N/A</v>
      </c>
      <c r="H492" t="str">
        <f t="shared" si="21"/>
        <v>Hard</v>
      </c>
      <c r="I492" s="6" t="e">
        <f t="shared" si="22"/>
        <v>#N/A</v>
      </c>
      <c r="J492" s="6" t="e">
        <f t="shared" si="23"/>
        <v>#N/A</v>
      </c>
    </row>
    <row r="493" spans="2:10" x14ac:dyDescent="0.3">
      <c r="B493" t="e">
        <f>VLOOKUP(A493,'Clientes CBOT'!A:D,4,0)</f>
        <v>#N/A</v>
      </c>
      <c r="C493" s="7" t="e">
        <f>VLOOKUP(A493,'Statement base'!E:AO,21,0)</f>
        <v>#N/A</v>
      </c>
      <c r="D493" s="7" t="e">
        <f>VLOOKUP(A493,'Statement base'!E:AO,10,0)-VLOOKUP(A493,'Statement base'!E:AO,21,0)</f>
        <v>#N/A</v>
      </c>
      <c r="E493" t="s">
        <v>188</v>
      </c>
      <c r="F493" s="6" t="e">
        <f>VLOOKUP(A493,'Statement base'!E:AO,10,0)+VLOOKUP(A493,'Statement base'!E:AO,14,0)</f>
        <v>#N/A</v>
      </c>
      <c r="G493" s="61" t="e">
        <f>VLOOKUP(A493,'Clientes CBOT'!A:E,5,0)</f>
        <v>#N/A</v>
      </c>
      <c r="H493" t="str">
        <f t="shared" si="21"/>
        <v>Hard</v>
      </c>
      <c r="I493" s="6" t="e">
        <f t="shared" si="22"/>
        <v>#N/A</v>
      </c>
      <c r="J493" s="6" t="e">
        <f t="shared" si="23"/>
        <v>#N/A</v>
      </c>
    </row>
    <row r="494" spans="2:10" x14ac:dyDescent="0.3">
      <c r="B494" t="e">
        <f>VLOOKUP(A494,'Clientes CBOT'!A:D,4,0)</f>
        <v>#N/A</v>
      </c>
      <c r="C494" s="7" t="e">
        <f>VLOOKUP(A494,'Statement base'!E:AO,21,0)</f>
        <v>#N/A</v>
      </c>
      <c r="D494" s="7" t="e">
        <f>VLOOKUP(A494,'Statement base'!E:AO,10,0)-VLOOKUP(A494,'Statement base'!E:AO,21,0)</f>
        <v>#N/A</v>
      </c>
      <c r="E494" t="s">
        <v>188</v>
      </c>
      <c r="F494" s="6" t="e">
        <f>VLOOKUP(A494,'Statement base'!E:AO,10,0)+VLOOKUP(A494,'Statement base'!E:AO,14,0)</f>
        <v>#N/A</v>
      </c>
      <c r="G494" s="61" t="e">
        <f>VLOOKUP(A494,'Clientes CBOT'!A:E,5,0)</f>
        <v>#N/A</v>
      </c>
      <c r="H494" t="str">
        <f t="shared" si="21"/>
        <v>Hard</v>
      </c>
      <c r="I494" s="6" t="e">
        <f t="shared" si="22"/>
        <v>#N/A</v>
      </c>
      <c r="J494" s="6" t="e">
        <f t="shared" si="23"/>
        <v>#N/A</v>
      </c>
    </row>
    <row r="495" spans="2:10" x14ac:dyDescent="0.3">
      <c r="B495" t="e">
        <f>VLOOKUP(A495,'Clientes CBOT'!A:D,4,0)</f>
        <v>#N/A</v>
      </c>
      <c r="C495" s="7" t="e">
        <f>VLOOKUP(A495,'Statement base'!E:AO,21,0)</f>
        <v>#N/A</v>
      </c>
      <c r="D495" s="7" t="e">
        <f>VLOOKUP(A495,'Statement base'!E:AO,10,0)-VLOOKUP(A495,'Statement base'!E:AO,21,0)</f>
        <v>#N/A</v>
      </c>
      <c r="E495" t="s">
        <v>188</v>
      </c>
      <c r="F495" s="6" t="e">
        <f>VLOOKUP(A495,'Statement base'!E:AO,10,0)+VLOOKUP(A495,'Statement base'!E:AO,14,0)</f>
        <v>#N/A</v>
      </c>
      <c r="G495" s="61" t="e">
        <f>VLOOKUP(A495,'Clientes CBOT'!A:E,5,0)</f>
        <v>#N/A</v>
      </c>
      <c r="H495" t="str">
        <f t="shared" si="21"/>
        <v>Hard</v>
      </c>
      <c r="I495" s="6" t="e">
        <f t="shared" si="22"/>
        <v>#N/A</v>
      </c>
      <c r="J495" s="6" t="e">
        <f t="shared" si="23"/>
        <v>#N/A</v>
      </c>
    </row>
    <row r="496" spans="2:10" x14ac:dyDescent="0.3">
      <c r="B496" t="e">
        <f>VLOOKUP(A496,'Clientes CBOT'!A:D,4,0)</f>
        <v>#N/A</v>
      </c>
      <c r="C496" s="7" t="e">
        <f>VLOOKUP(A496,'Statement base'!E:AO,21,0)</f>
        <v>#N/A</v>
      </c>
      <c r="D496" s="7" t="e">
        <f>VLOOKUP(A496,'Statement base'!E:AO,10,0)-VLOOKUP(A496,'Statement base'!E:AO,21,0)</f>
        <v>#N/A</v>
      </c>
      <c r="E496" t="s">
        <v>188</v>
      </c>
      <c r="F496" s="6" t="e">
        <f>VLOOKUP(A496,'Statement base'!E:AO,10,0)+VLOOKUP(A496,'Statement base'!E:AO,14,0)</f>
        <v>#N/A</v>
      </c>
      <c r="G496" s="61" t="e">
        <f>VLOOKUP(A496,'Clientes CBOT'!A:E,5,0)</f>
        <v>#N/A</v>
      </c>
      <c r="H496" t="str">
        <f t="shared" si="21"/>
        <v>Hard</v>
      </c>
      <c r="I496" s="6" t="e">
        <f t="shared" si="22"/>
        <v>#N/A</v>
      </c>
      <c r="J496" s="6" t="e">
        <f t="shared" si="23"/>
        <v>#N/A</v>
      </c>
    </row>
    <row r="497" spans="2:10" x14ac:dyDescent="0.3">
      <c r="B497" t="e">
        <f>VLOOKUP(A497,'Clientes CBOT'!A:D,4,0)</f>
        <v>#N/A</v>
      </c>
      <c r="C497" s="7" t="e">
        <f>VLOOKUP(A497,'Statement base'!E:AO,21,0)</f>
        <v>#N/A</v>
      </c>
      <c r="D497" s="7" t="e">
        <f>VLOOKUP(A497,'Statement base'!E:AO,10,0)-VLOOKUP(A497,'Statement base'!E:AO,21,0)</f>
        <v>#N/A</v>
      </c>
      <c r="E497" t="s">
        <v>188</v>
      </c>
      <c r="F497" s="6" t="e">
        <f>VLOOKUP(A497,'Statement base'!E:AO,10,0)+VLOOKUP(A497,'Statement base'!E:AO,14,0)</f>
        <v>#N/A</v>
      </c>
      <c r="G497" s="61" t="e">
        <f>VLOOKUP(A497,'Clientes CBOT'!A:E,5,0)</f>
        <v>#N/A</v>
      </c>
      <c r="H497" t="str">
        <f t="shared" si="21"/>
        <v>Hard</v>
      </c>
      <c r="I497" s="6" t="e">
        <f t="shared" si="22"/>
        <v>#N/A</v>
      </c>
      <c r="J497" s="6" t="e">
        <f t="shared" si="23"/>
        <v>#N/A</v>
      </c>
    </row>
    <row r="498" spans="2:10" x14ac:dyDescent="0.3">
      <c r="B498" t="e">
        <f>VLOOKUP(A498,'Clientes CBOT'!A:D,4,0)</f>
        <v>#N/A</v>
      </c>
      <c r="C498" s="7" t="e">
        <f>VLOOKUP(A498,'Statement base'!E:AO,21,0)</f>
        <v>#N/A</v>
      </c>
      <c r="D498" s="7" t="e">
        <f>VLOOKUP(A498,'Statement base'!E:AO,10,0)-VLOOKUP(A498,'Statement base'!E:AO,21,0)</f>
        <v>#N/A</v>
      </c>
      <c r="E498" t="s">
        <v>188</v>
      </c>
      <c r="F498" s="6" t="e">
        <f>VLOOKUP(A498,'Statement base'!E:AO,10,0)+VLOOKUP(A498,'Statement base'!E:AO,14,0)</f>
        <v>#N/A</v>
      </c>
      <c r="G498" s="61" t="e">
        <f>VLOOKUP(A498,'Clientes CBOT'!A:E,5,0)</f>
        <v>#N/A</v>
      </c>
      <c r="H498" t="str">
        <f t="shared" si="21"/>
        <v>Hard</v>
      </c>
      <c r="I498" s="6" t="e">
        <f t="shared" si="22"/>
        <v>#N/A</v>
      </c>
      <c r="J498" s="6" t="e">
        <f t="shared" si="23"/>
        <v>#N/A</v>
      </c>
    </row>
    <row r="499" spans="2:10" x14ac:dyDescent="0.3">
      <c r="B499" t="e">
        <f>VLOOKUP(A499,'Clientes CBOT'!A:D,4,0)</f>
        <v>#N/A</v>
      </c>
      <c r="C499" s="7" t="e">
        <f>VLOOKUP(A499,'Statement base'!E:AO,21,0)</f>
        <v>#N/A</v>
      </c>
      <c r="D499" s="7" t="e">
        <f>VLOOKUP(A499,'Statement base'!E:AO,10,0)-VLOOKUP(A499,'Statement base'!E:AO,21,0)</f>
        <v>#N/A</v>
      </c>
      <c r="E499" t="s">
        <v>188</v>
      </c>
      <c r="F499" s="6" t="e">
        <f>VLOOKUP(A499,'Statement base'!E:AO,10,0)+VLOOKUP(A499,'Statement base'!E:AO,14,0)</f>
        <v>#N/A</v>
      </c>
      <c r="G499" s="61" t="e">
        <f>VLOOKUP(A499,'Clientes CBOT'!A:E,5,0)</f>
        <v>#N/A</v>
      </c>
      <c r="H499" t="str">
        <f t="shared" si="21"/>
        <v>Hard</v>
      </c>
      <c r="I499" s="6" t="e">
        <f t="shared" si="22"/>
        <v>#N/A</v>
      </c>
      <c r="J499" s="6" t="e">
        <f t="shared" si="23"/>
        <v>#N/A</v>
      </c>
    </row>
    <row r="500" spans="2:10" x14ac:dyDescent="0.3">
      <c r="B500" t="e">
        <f>VLOOKUP(A500,'Clientes CBOT'!A:D,4,0)</f>
        <v>#N/A</v>
      </c>
      <c r="C500" s="7" t="e">
        <f>VLOOKUP(A500,'Statement base'!E:AO,21,0)</f>
        <v>#N/A</v>
      </c>
      <c r="D500" s="7" t="e">
        <f>VLOOKUP(A500,'Statement base'!E:AO,10,0)-VLOOKUP(A500,'Statement base'!E:AO,21,0)</f>
        <v>#N/A</v>
      </c>
      <c r="E500" t="s">
        <v>188</v>
      </c>
      <c r="F500" s="6" t="e">
        <f>VLOOKUP(A500,'Statement base'!E:AO,10,0)+VLOOKUP(A500,'Statement base'!E:AO,14,0)</f>
        <v>#N/A</v>
      </c>
      <c r="G500" s="61" t="e">
        <f>VLOOKUP(A500,'Clientes CBOT'!A:E,5,0)</f>
        <v>#N/A</v>
      </c>
      <c r="H500" t="str">
        <f t="shared" si="21"/>
        <v>Hard</v>
      </c>
      <c r="I500" s="6" t="e">
        <f t="shared" si="22"/>
        <v>#N/A</v>
      </c>
      <c r="J500" s="6" t="e">
        <f t="shared" si="23"/>
        <v>#N/A</v>
      </c>
    </row>
    <row r="501" spans="2:10" x14ac:dyDescent="0.3">
      <c r="B501" t="e">
        <f>VLOOKUP(A501,'Clientes CBOT'!A:D,4,0)</f>
        <v>#N/A</v>
      </c>
      <c r="C501" s="7" t="e">
        <f>VLOOKUP(A501,'Statement base'!E:AO,21,0)</f>
        <v>#N/A</v>
      </c>
      <c r="D501" s="7" t="e">
        <f>VLOOKUP(A501,'Statement base'!E:AO,10,0)-VLOOKUP(A501,'Statement base'!E:AO,21,0)</f>
        <v>#N/A</v>
      </c>
      <c r="E501" t="s">
        <v>188</v>
      </c>
      <c r="F501" s="6" t="e">
        <f>VLOOKUP(A501,'Statement base'!E:AO,10,0)+VLOOKUP(A501,'Statement base'!E:AO,14,0)</f>
        <v>#N/A</v>
      </c>
      <c r="G501" s="61" t="e">
        <f>VLOOKUP(A501,'Clientes CBOT'!A:E,5,0)</f>
        <v>#N/A</v>
      </c>
      <c r="H501" t="str">
        <f t="shared" si="21"/>
        <v>Hard</v>
      </c>
      <c r="I501" s="6" t="e">
        <f t="shared" si="22"/>
        <v>#N/A</v>
      </c>
      <c r="J501" s="6" t="e">
        <f t="shared" si="23"/>
        <v>#N/A</v>
      </c>
    </row>
    <row r="502" spans="2:10" x14ac:dyDescent="0.3">
      <c r="B502" t="e">
        <f>VLOOKUP(A502,'Clientes CBOT'!A:D,4,0)</f>
        <v>#N/A</v>
      </c>
      <c r="C502" s="7" t="e">
        <f>VLOOKUP(A502,'Statement base'!E:AO,21,0)</f>
        <v>#N/A</v>
      </c>
      <c r="D502" s="7" t="e">
        <f>VLOOKUP(A502,'Statement base'!E:AO,10,0)-VLOOKUP(A502,'Statement base'!E:AO,21,0)</f>
        <v>#N/A</v>
      </c>
      <c r="E502" t="s">
        <v>188</v>
      </c>
      <c r="F502" s="6" t="e">
        <f>VLOOKUP(A502,'Statement base'!E:AO,10,0)+VLOOKUP(A502,'Statement base'!E:AO,14,0)</f>
        <v>#N/A</v>
      </c>
      <c r="G502" s="61" t="e">
        <f>VLOOKUP(A502,'Clientes CBOT'!A:E,5,0)</f>
        <v>#N/A</v>
      </c>
      <c r="H502" t="str">
        <f t="shared" si="21"/>
        <v>Hard</v>
      </c>
      <c r="I502" s="6" t="e">
        <f t="shared" si="22"/>
        <v>#N/A</v>
      </c>
      <c r="J502" s="6" t="e">
        <f t="shared" si="23"/>
        <v>#N/A</v>
      </c>
    </row>
    <row r="503" spans="2:10" x14ac:dyDescent="0.3">
      <c r="B503" t="e">
        <f>VLOOKUP(A503,'Clientes CBOT'!A:D,4,0)</f>
        <v>#N/A</v>
      </c>
      <c r="C503" s="7" t="e">
        <f>VLOOKUP(A503,'Statement base'!E:AO,21,0)</f>
        <v>#N/A</v>
      </c>
      <c r="D503" s="7" t="e">
        <f>VLOOKUP(A503,'Statement base'!E:AO,10,0)-VLOOKUP(A503,'Statement base'!E:AO,21,0)</f>
        <v>#N/A</v>
      </c>
      <c r="E503" t="s">
        <v>188</v>
      </c>
      <c r="F503" s="6" t="e">
        <f>VLOOKUP(A503,'Statement base'!E:AO,10,0)+VLOOKUP(A503,'Statement base'!E:AO,14,0)</f>
        <v>#N/A</v>
      </c>
      <c r="G503" s="61" t="e">
        <f>VLOOKUP(A503,'Clientes CBOT'!A:E,5,0)</f>
        <v>#N/A</v>
      </c>
      <c r="H503" t="str">
        <f t="shared" si="21"/>
        <v>Hard</v>
      </c>
      <c r="I503" s="6" t="e">
        <f t="shared" si="22"/>
        <v>#N/A</v>
      </c>
      <c r="J503" s="6" t="e">
        <f t="shared" si="23"/>
        <v>#N/A</v>
      </c>
    </row>
    <row r="504" spans="2:10" x14ac:dyDescent="0.3">
      <c r="B504" t="e">
        <f>VLOOKUP(A504,'Clientes CBOT'!A:D,4,0)</f>
        <v>#N/A</v>
      </c>
      <c r="C504" s="7" t="e">
        <f>VLOOKUP(A504,'Statement base'!E:AO,21,0)</f>
        <v>#N/A</v>
      </c>
      <c r="D504" s="7" t="e">
        <f>VLOOKUP(A504,'Statement base'!E:AO,10,0)-VLOOKUP(A504,'Statement base'!E:AO,21,0)</f>
        <v>#N/A</v>
      </c>
      <c r="E504" t="s">
        <v>188</v>
      </c>
      <c r="F504" s="6" t="e">
        <f>VLOOKUP(A504,'Statement base'!E:AO,10,0)+VLOOKUP(A504,'Statement base'!E:AO,14,0)</f>
        <v>#N/A</v>
      </c>
      <c r="G504" s="61" t="e">
        <f>VLOOKUP(A504,'Clientes CBOT'!A:E,5,0)</f>
        <v>#N/A</v>
      </c>
      <c r="H504" t="str">
        <f t="shared" si="21"/>
        <v>Hard</v>
      </c>
      <c r="I504" s="6" t="e">
        <f t="shared" si="22"/>
        <v>#N/A</v>
      </c>
      <c r="J504" s="6" t="e">
        <f t="shared" si="23"/>
        <v>#N/A</v>
      </c>
    </row>
    <row r="505" spans="2:10" x14ac:dyDescent="0.3">
      <c r="B505" t="e">
        <f>VLOOKUP(A505,'Clientes CBOT'!A:D,4,0)</f>
        <v>#N/A</v>
      </c>
      <c r="C505" s="7" t="e">
        <f>VLOOKUP(A505,'Statement base'!E:AO,21,0)</f>
        <v>#N/A</v>
      </c>
      <c r="D505" s="7" t="e">
        <f>VLOOKUP(A505,'Statement base'!E:AO,10,0)-VLOOKUP(A505,'Statement base'!E:AO,21,0)</f>
        <v>#N/A</v>
      </c>
      <c r="E505" t="s">
        <v>188</v>
      </c>
      <c r="F505" s="6" t="e">
        <f>VLOOKUP(A505,'Statement base'!E:AO,10,0)+VLOOKUP(A505,'Statement base'!E:AO,14,0)</f>
        <v>#N/A</v>
      </c>
      <c r="G505" s="61" t="e">
        <f>VLOOKUP(A505,'Clientes CBOT'!A:E,5,0)</f>
        <v>#N/A</v>
      </c>
      <c r="H505" t="str">
        <f t="shared" si="21"/>
        <v>Hard</v>
      </c>
      <c r="I505" s="6" t="e">
        <f t="shared" si="22"/>
        <v>#N/A</v>
      </c>
      <c r="J505" s="6" t="e">
        <f t="shared" si="23"/>
        <v>#N/A</v>
      </c>
    </row>
    <row r="506" spans="2:10" x14ac:dyDescent="0.3">
      <c r="B506" t="e">
        <f>VLOOKUP(A506,'Clientes CBOT'!A:D,4,0)</f>
        <v>#N/A</v>
      </c>
      <c r="C506" s="7" t="e">
        <f>VLOOKUP(A506,'Statement base'!E:AO,21,0)</f>
        <v>#N/A</v>
      </c>
      <c r="D506" s="7" t="e">
        <f>VLOOKUP(A506,'Statement base'!E:AO,10,0)-VLOOKUP(A506,'Statement base'!E:AO,21,0)</f>
        <v>#N/A</v>
      </c>
      <c r="E506" t="s">
        <v>188</v>
      </c>
      <c r="F506" s="6" t="e">
        <f>VLOOKUP(A506,'Statement base'!E:AO,10,0)+VLOOKUP(A506,'Statement base'!E:AO,14,0)</f>
        <v>#N/A</v>
      </c>
      <c r="G506" s="61" t="e">
        <f>VLOOKUP(A506,'Clientes CBOT'!A:E,5,0)</f>
        <v>#N/A</v>
      </c>
      <c r="H506" t="str">
        <f t="shared" si="21"/>
        <v>Hard</v>
      </c>
      <c r="I506" s="6" t="e">
        <f t="shared" si="22"/>
        <v>#N/A</v>
      </c>
      <c r="J506" s="6" t="e">
        <f t="shared" si="23"/>
        <v>#N/A</v>
      </c>
    </row>
    <row r="507" spans="2:10" x14ac:dyDescent="0.3">
      <c r="B507" t="e">
        <f>VLOOKUP(A507,'Clientes CBOT'!A:D,4,0)</f>
        <v>#N/A</v>
      </c>
      <c r="C507" s="7" t="e">
        <f>VLOOKUP(A507,'Statement base'!E:AO,21,0)</f>
        <v>#N/A</v>
      </c>
      <c r="D507" s="7" t="e">
        <f>VLOOKUP(A507,'Statement base'!E:AO,10,0)-VLOOKUP(A507,'Statement base'!E:AO,21,0)</f>
        <v>#N/A</v>
      </c>
      <c r="E507" t="s">
        <v>188</v>
      </c>
      <c r="F507" s="6" t="e">
        <f>VLOOKUP(A507,'Statement base'!E:AO,10,0)+VLOOKUP(A507,'Statement base'!E:AO,14,0)</f>
        <v>#N/A</v>
      </c>
      <c r="G507" s="61" t="e">
        <f>VLOOKUP(A507,'Clientes CBOT'!A:E,5,0)</f>
        <v>#N/A</v>
      </c>
      <c r="H507" t="str">
        <f t="shared" si="21"/>
        <v>Hard</v>
      </c>
      <c r="I507" s="6" t="e">
        <f t="shared" si="22"/>
        <v>#N/A</v>
      </c>
      <c r="J507" s="6" t="e">
        <f t="shared" si="23"/>
        <v>#N/A</v>
      </c>
    </row>
    <row r="508" spans="2:10" x14ac:dyDescent="0.3">
      <c r="B508" t="e">
        <f>VLOOKUP(A508,'Clientes CBOT'!A:D,4,0)</f>
        <v>#N/A</v>
      </c>
      <c r="C508" s="7" t="e">
        <f>VLOOKUP(A508,'Statement base'!E:AO,21,0)</f>
        <v>#N/A</v>
      </c>
      <c r="D508" s="7" t="e">
        <f>VLOOKUP(A508,'Statement base'!E:AO,10,0)-VLOOKUP(A508,'Statement base'!E:AO,21,0)</f>
        <v>#N/A</v>
      </c>
      <c r="E508" t="s">
        <v>188</v>
      </c>
      <c r="F508" s="6" t="e">
        <f>VLOOKUP(A508,'Statement base'!E:AO,10,0)+VLOOKUP(A508,'Statement base'!E:AO,14,0)</f>
        <v>#N/A</v>
      </c>
      <c r="G508" s="61" t="e">
        <f>VLOOKUP(A508,'Clientes CBOT'!A:E,5,0)</f>
        <v>#N/A</v>
      </c>
      <c r="H508" t="str">
        <f t="shared" si="21"/>
        <v>Hard</v>
      </c>
      <c r="I508" s="6" t="e">
        <f t="shared" si="22"/>
        <v>#N/A</v>
      </c>
      <c r="J508" s="6" t="e">
        <f t="shared" si="23"/>
        <v>#N/A</v>
      </c>
    </row>
    <row r="509" spans="2:10" x14ac:dyDescent="0.3">
      <c r="B509" t="e">
        <f>VLOOKUP(A509,'Clientes CBOT'!A:D,4,0)</f>
        <v>#N/A</v>
      </c>
      <c r="C509" s="7" t="e">
        <f>VLOOKUP(A509,'Statement base'!E:AO,21,0)</f>
        <v>#N/A</v>
      </c>
      <c r="D509" s="7" t="e">
        <f>VLOOKUP(A509,'Statement base'!E:AO,10,0)-VLOOKUP(A509,'Statement base'!E:AO,21,0)</f>
        <v>#N/A</v>
      </c>
      <c r="E509" t="s">
        <v>188</v>
      </c>
      <c r="F509" s="6" t="e">
        <f>VLOOKUP(A509,'Statement base'!E:AO,10,0)+VLOOKUP(A509,'Statement base'!E:AO,14,0)</f>
        <v>#N/A</v>
      </c>
      <c r="G509" s="61" t="e">
        <f>VLOOKUP(A509,'Clientes CBOT'!A:E,5,0)</f>
        <v>#N/A</v>
      </c>
      <c r="H509" t="str">
        <f t="shared" si="21"/>
        <v>Hard</v>
      </c>
      <c r="I509" s="6" t="e">
        <f t="shared" si="22"/>
        <v>#N/A</v>
      </c>
      <c r="J509" s="6" t="e">
        <f t="shared" si="23"/>
        <v>#N/A</v>
      </c>
    </row>
    <row r="510" spans="2:10" x14ac:dyDescent="0.3">
      <c r="B510" t="e">
        <f>VLOOKUP(A510,'Clientes CBOT'!A:D,4,0)</f>
        <v>#N/A</v>
      </c>
      <c r="C510" s="7" t="e">
        <f>VLOOKUP(A510,'Statement base'!E:AO,21,0)</f>
        <v>#N/A</v>
      </c>
      <c r="D510" s="7" t="e">
        <f>VLOOKUP(A510,'Statement base'!E:AO,10,0)-VLOOKUP(A510,'Statement base'!E:AO,21,0)</f>
        <v>#N/A</v>
      </c>
      <c r="E510" t="s">
        <v>188</v>
      </c>
      <c r="F510" s="6" t="e">
        <f>VLOOKUP(A510,'Statement base'!E:AO,10,0)+VLOOKUP(A510,'Statement base'!E:AO,14,0)</f>
        <v>#N/A</v>
      </c>
      <c r="G510" s="61" t="e">
        <f>VLOOKUP(A510,'Clientes CBOT'!A:E,5,0)</f>
        <v>#N/A</v>
      </c>
      <c r="H510" t="str">
        <f t="shared" si="21"/>
        <v>Hard</v>
      </c>
      <c r="I510" s="6" t="e">
        <f t="shared" si="22"/>
        <v>#N/A</v>
      </c>
      <c r="J510" s="6" t="e">
        <f t="shared" si="23"/>
        <v>#N/A</v>
      </c>
    </row>
    <row r="511" spans="2:10" x14ac:dyDescent="0.3">
      <c r="B511" t="e">
        <f>VLOOKUP(A511,'Clientes CBOT'!A:D,4,0)</f>
        <v>#N/A</v>
      </c>
      <c r="C511" s="7" t="e">
        <f>VLOOKUP(A511,'Statement base'!E:AO,21,0)</f>
        <v>#N/A</v>
      </c>
      <c r="D511" s="7" t="e">
        <f>VLOOKUP(A511,'Statement base'!E:AO,10,0)-VLOOKUP(A511,'Statement base'!E:AO,21,0)</f>
        <v>#N/A</v>
      </c>
      <c r="E511" t="s">
        <v>188</v>
      </c>
      <c r="F511" s="6" t="e">
        <f>VLOOKUP(A511,'Statement base'!E:AO,10,0)+VLOOKUP(A511,'Statement base'!E:AO,14,0)</f>
        <v>#N/A</v>
      </c>
      <c r="G511" s="61" t="e">
        <f>VLOOKUP(A511,'Clientes CBOT'!A:E,5,0)</f>
        <v>#N/A</v>
      </c>
      <c r="H511" t="str">
        <f t="shared" si="21"/>
        <v>Hard</v>
      </c>
      <c r="I511" s="6" t="e">
        <f t="shared" si="22"/>
        <v>#N/A</v>
      </c>
      <c r="J511" s="6" t="e">
        <f t="shared" si="23"/>
        <v>#N/A</v>
      </c>
    </row>
    <row r="512" spans="2:10" x14ac:dyDescent="0.3">
      <c r="B512" t="e">
        <f>VLOOKUP(A512,'Clientes CBOT'!A:D,4,0)</f>
        <v>#N/A</v>
      </c>
      <c r="C512" s="7" t="e">
        <f>VLOOKUP(A512,'Statement base'!E:AO,21,0)</f>
        <v>#N/A</v>
      </c>
      <c r="D512" s="7" t="e">
        <f>VLOOKUP(A512,'Statement base'!E:AO,10,0)-VLOOKUP(A512,'Statement base'!E:AO,21,0)</f>
        <v>#N/A</v>
      </c>
      <c r="E512" t="s">
        <v>188</v>
      </c>
      <c r="F512" s="6" t="e">
        <f>VLOOKUP(A512,'Statement base'!E:AO,10,0)+VLOOKUP(A512,'Statement base'!E:AO,14,0)</f>
        <v>#N/A</v>
      </c>
      <c r="G512" s="61" t="e">
        <f>VLOOKUP(A512,'Clientes CBOT'!A:E,5,0)</f>
        <v>#N/A</v>
      </c>
      <c r="H512" t="str">
        <f t="shared" si="21"/>
        <v>Hard</v>
      </c>
      <c r="I512" s="6" t="e">
        <f t="shared" si="22"/>
        <v>#N/A</v>
      </c>
      <c r="J512" s="6" t="e">
        <f t="shared" si="23"/>
        <v>#N/A</v>
      </c>
    </row>
    <row r="513" spans="2:10" x14ac:dyDescent="0.3">
      <c r="B513" t="e">
        <f>VLOOKUP(A513,'Clientes CBOT'!A:D,4,0)</f>
        <v>#N/A</v>
      </c>
      <c r="C513" s="7" t="e">
        <f>VLOOKUP(A513,'Statement base'!E:AO,21,0)</f>
        <v>#N/A</v>
      </c>
      <c r="D513" s="7" t="e">
        <f>VLOOKUP(A513,'Statement base'!E:AO,10,0)-VLOOKUP(A513,'Statement base'!E:AO,21,0)</f>
        <v>#N/A</v>
      </c>
      <c r="E513" t="s">
        <v>188</v>
      </c>
      <c r="F513" s="6" t="e">
        <f>VLOOKUP(A513,'Statement base'!E:AO,10,0)+VLOOKUP(A513,'Statement base'!E:AO,14,0)</f>
        <v>#N/A</v>
      </c>
      <c r="G513" s="61" t="e">
        <f>VLOOKUP(A513,'Clientes CBOT'!A:E,5,0)</f>
        <v>#N/A</v>
      </c>
      <c r="H513" t="str">
        <f t="shared" si="21"/>
        <v>Hard</v>
      </c>
      <c r="I513" s="6" t="e">
        <f t="shared" si="22"/>
        <v>#N/A</v>
      </c>
      <c r="J513" s="6" t="e">
        <f t="shared" si="23"/>
        <v>#N/A</v>
      </c>
    </row>
    <row r="514" spans="2:10" x14ac:dyDescent="0.3">
      <c r="B514" t="e">
        <f>VLOOKUP(A514,'Clientes CBOT'!A:D,4,0)</f>
        <v>#N/A</v>
      </c>
      <c r="C514" s="7" t="e">
        <f>VLOOKUP(A514,'Statement base'!E:AO,21,0)</f>
        <v>#N/A</v>
      </c>
      <c r="D514" s="7" t="e">
        <f>VLOOKUP(A514,'Statement base'!E:AO,10,0)-VLOOKUP(A514,'Statement base'!E:AO,21,0)</f>
        <v>#N/A</v>
      </c>
      <c r="E514" t="s">
        <v>188</v>
      </c>
      <c r="F514" s="6" t="e">
        <f>VLOOKUP(A514,'Statement base'!E:AO,10,0)+VLOOKUP(A514,'Statement base'!E:AO,14,0)</f>
        <v>#N/A</v>
      </c>
      <c r="G514" s="61" t="e">
        <f>VLOOKUP(A514,'Clientes CBOT'!A:E,5,0)</f>
        <v>#N/A</v>
      </c>
      <c r="H514" t="str">
        <f t="shared" si="21"/>
        <v>Hard</v>
      </c>
      <c r="I514" s="6" t="e">
        <f t="shared" si="22"/>
        <v>#N/A</v>
      </c>
      <c r="J514" s="6" t="e">
        <f t="shared" si="23"/>
        <v>#N/A</v>
      </c>
    </row>
    <row r="515" spans="2:10" x14ac:dyDescent="0.3">
      <c r="B515" t="e">
        <f>VLOOKUP(A515,'Clientes CBOT'!A:D,4,0)</f>
        <v>#N/A</v>
      </c>
      <c r="C515" s="7" t="e">
        <f>VLOOKUP(A515,'Statement base'!E:AO,21,0)</f>
        <v>#N/A</v>
      </c>
      <c r="D515" s="7" t="e">
        <f>VLOOKUP(A515,'Statement base'!E:AO,10,0)-VLOOKUP(A515,'Statement base'!E:AO,21,0)</f>
        <v>#N/A</v>
      </c>
      <c r="E515" t="s">
        <v>188</v>
      </c>
      <c r="F515" s="6" t="e">
        <f>VLOOKUP(A515,'Statement base'!E:AO,10,0)+VLOOKUP(A515,'Statement base'!E:AO,14,0)</f>
        <v>#N/A</v>
      </c>
      <c r="G515" s="61" t="e">
        <f>VLOOKUP(A515,'Clientes CBOT'!A:E,5,0)</f>
        <v>#N/A</v>
      </c>
      <c r="H515" t="str">
        <f t="shared" si="21"/>
        <v>Hard</v>
      </c>
      <c r="I515" s="6" t="e">
        <f t="shared" si="22"/>
        <v>#N/A</v>
      </c>
      <c r="J515" s="6" t="e">
        <f t="shared" si="23"/>
        <v>#N/A</v>
      </c>
    </row>
    <row r="516" spans="2:10" x14ac:dyDescent="0.3">
      <c r="B516" t="e">
        <f>VLOOKUP(A516,'Clientes CBOT'!A:D,4,0)</f>
        <v>#N/A</v>
      </c>
      <c r="C516" s="7" t="e">
        <f>VLOOKUP(A516,'Statement base'!E:AO,21,0)</f>
        <v>#N/A</v>
      </c>
      <c r="D516" s="7" t="e">
        <f>VLOOKUP(A516,'Statement base'!E:AO,10,0)-VLOOKUP(A516,'Statement base'!E:AO,21,0)</f>
        <v>#N/A</v>
      </c>
      <c r="E516" t="s">
        <v>188</v>
      </c>
      <c r="F516" s="6" t="e">
        <f>VLOOKUP(A516,'Statement base'!E:AO,10,0)+VLOOKUP(A516,'Statement base'!E:AO,14,0)</f>
        <v>#N/A</v>
      </c>
      <c r="G516" s="61" t="e">
        <f>VLOOKUP(A516,'Clientes CBOT'!A:E,5,0)</f>
        <v>#N/A</v>
      </c>
      <c r="H516" t="str">
        <f t="shared" si="21"/>
        <v>Hard</v>
      </c>
      <c r="I516" s="6" t="e">
        <f t="shared" si="22"/>
        <v>#N/A</v>
      </c>
      <c r="J516" s="6" t="e">
        <f t="shared" si="23"/>
        <v>#N/A</v>
      </c>
    </row>
    <row r="517" spans="2:10" x14ac:dyDescent="0.3">
      <c r="B517" t="e">
        <f>VLOOKUP(A517,'Clientes CBOT'!A:D,4,0)</f>
        <v>#N/A</v>
      </c>
      <c r="C517" s="7" t="e">
        <f>VLOOKUP(A517,'Statement base'!E:AO,21,0)</f>
        <v>#N/A</v>
      </c>
      <c r="D517" s="7" t="e">
        <f>VLOOKUP(A517,'Statement base'!E:AO,10,0)-VLOOKUP(A517,'Statement base'!E:AO,21,0)</f>
        <v>#N/A</v>
      </c>
      <c r="E517" t="s">
        <v>188</v>
      </c>
      <c r="F517" s="6" t="e">
        <f>VLOOKUP(A517,'Statement base'!E:AO,10,0)+VLOOKUP(A517,'Statement base'!E:AO,14,0)</f>
        <v>#N/A</v>
      </c>
      <c r="G517" s="61" t="e">
        <f>VLOOKUP(A517,'Clientes CBOT'!A:E,5,0)</f>
        <v>#N/A</v>
      </c>
      <c r="H517" t="str">
        <f t="shared" ref="H517:H580" si="24">IF(E517="pesos","Ars",IF(E517="Dólar Matba Rofex","usd linked","Hard"))</f>
        <v>Hard</v>
      </c>
      <c r="I517" s="6" t="e">
        <f t="shared" ref="I517:I580" si="25">IF(H517="ars",C517/$J$1,IF(H517="hard",C517*$J$2/$J$1,C517))</f>
        <v>#N/A</v>
      </c>
      <c r="J517" s="6" t="e">
        <f t="shared" ref="J517:J580" si="26">IF(H517="ars",D517/$J$1,IF(H517="hard",D517*$J$2/$J$1,D517))</f>
        <v>#N/A</v>
      </c>
    </row>
    <row r="518" spans="2:10" x14ac:dyDescent="0.3">
      <c r="B518" t="e">
        <f>VLOOKUP(A518,'Clientes CBOT'!A:D,4,0)</f>
        <v>#N/A</v>
      </c>
      <c r="C518" s="7" t="e">
        <f>VLOOKUP(A518,'Statement base'!E:AO,21,0)</f>
        <v>#N/A</v>
      </c>
      <c r="D518" s="7" t="e">
        <f>VLOOKUP(A518,'Statement base'!E:AO,10,0)-VLOOKUP(A518,'Statement base'!E:AO,21,0)</f>
        <v>#N/A</v>
      </c>
      <c r="E518" t="s">
        <v>188</v>
      </c>
      <c r="F518" s="6" t="e">
        <f>VLOOKUP(A518,'Statement base'!E:AO,10,0)+VLOOKUP(A518,'Statement base'!E:AO,14,0)</f>
        <v>#N/A</v>
      </c>
      <c r="G518" s="61" t="e">
        <f>VLOOKUP(A518,'Clientes CBOT'!A:E,5,0)</f>
        <v>#N/A</v>
      </c>
      <c r="H518" t="str">
        <f t="shared" si="24"/>
        <v>Hard</v>
      </c>
      <c r="I518" s="6" t="e">
        <f t="shared" si="25"/>
        <v>#N/A</v>
      </c>
      <c r="J518" s="6" t="e">
        <f t="shared" si="26"/>
        <v>#N/A</v>
      </c>
    </row>
    <row r="519" spans="2:10" x14ac:dyDescent="0.3">
      <c r="B519" t="e">
        <f>VLOOKUP(A519,'Clientes CBOT'!A:D,4,0)</f>
        <v>#N/A</v>
      </c>
      <c r="C519" s="7" t="e">
        <f>VLOOKUP(A519,'Statement base'!E:AO,21,0)</f>
        <v>#N/A</v>
      </c>
      <c r="D519" s="7" t="e">
        <f>VLOOKUP(A519,'Statement base'!E:AO,10,0)-VLOOKUP(A519,'Statement base'!E:AO,21,0)</f>
        <v>#N/A</v>
      </c>
      <c r="E519" t="s">
        <v>188</v>
      </c>
      <c r="F519" s="6" t="e">
        <f>VLOOKUP(A519,'Statement base'!E:AO,10,0)+VLOOKUP(A519,'Statement base'!E:AO,14,0)</f>
        <v>#N/A</v>
      </c>
      <c r="G519" s="61" t="e">
        <f>VLOOKUP(A519,'Clientes CBOT'!A:E,5,0)</f>
        <v>#N/A</v>
      </c>
      <c r="H519" t="str">
        <f t="shared" si="24"/>
        <v>Hard</v>
      </c>
      <c r="I519" s="6" t="e">
        <f t="shared" si="25"/>
        <v>#N/A</v>
      </c>
      <c r="J519" s="6" t="e">
        <f t="shared" si="26"/>
        <v>#N/A</v>
      </c>
    </row>
    <row r="520" spans="2:10" x14ac:dyDescent="0.3">
      <c r="B520" t="e">
        <f>VLOOKUP(A520,'Clientes CBOT'!A:D,4,0)</f>
        <v>#N/A</v>
      </c>
      <c r="C520" s="7" t="e">
        <f>VLOOKUP(A520,'Statement base'!E:AO,21,0)</f>
        <v>#N/A</v>
      </c>
      <c r="D520" s="7" t="e">
        <f>VLOOKUP(A520,'Statement base'!E:AO,10,0)-VLOOKUP(A520,'Statement base'!E:AO,21,0)</f>
        <v>#N/A</v>
      </c>
      <c r="E520" t="s">
        <v>188</v>
      </c>
      <c r="F520" s="6" t="e">
        <f>VLOOKUP(A520,'Statement base'!E:AO,10,0)+VLOOKUP(A520,'Statement base'!E:AO,14,0)</f>
        <v>#N/A</v>
      </c>
      <c r="G520" s="61" t="e">
        <f>VLOOKUP(A520,'Clientes CBOT'!A:E,5,0)</f>
        <v>#N/A</v>
      </c>
      <c r="H520" t="str">
        <f t="shared" si="24"/>
        <v>Hard</v>
      </c>
      <c r="I520" s="6" t="e">
        <f t="shared" si="25"/>
        <v>#N/A</v>
      </c>
      <c r="J520" s="6" t="e">
        <f t="shared" si="26"/>
        <v>#N/A</v>
      </c>
    </row>
    <row r="521" spans="2:10" x14ac:dyDescent="0.3">
      <c r="B521" t="e">
        <f>VLOOKUP(A521,'Clientes CBOT'!A:D,4,0)</f>
        <v>#N/A</v>
      </c>
      <c r="C521" s="7" t="e">
        <f>VLOOKUP(A521,'Statement base'!E:AO,21,0)</f>
        <v>#N/A</v>
      </c>
      <c r="D521" s="7" t="e">
        <f>VLOOKUP(A521,'Statement base'!E:AO,10,0)-VLOOKUP(A521,'Statement base'!E:AO,21,0)</f>
        <v>#N/A</v>
      </c>
      <c r="E521" t="s">
        <v>188</v>
      </c>
      <c r="F521" s="6" t="e">
        <f>VLOOKUP(A521,'Statement base'!E:AO,10,0)+VLOOKUP(A521,'Statement base'!E:AO,14,0)</f>
        <v>#N/A</v>
      </c>
      <c r="G521" s="61" t="e">
        <f>VLOOKUP(A521,'Clientes CBOT'!A:E,5,0)</f>
        <v>#N/A</v>
      </c>
      <c r="H521" t="str">
        <f t="shared" si="24"/>
        <v>Hard</v>
      </c>
      <c r="I521" s="6" t="e">
        <f t="shared" si="25"/>
        <v>#N/A</v>
      </c>
      <c r="J521" s="6" t="e">
        <f t="shared" si="26"/>
        <v>#N/A</v>
      </c>
    </row>
    <row r="522" spans="2:10" x14ac:dyDescent="0.3">
      <c r="B522" t="e">
        <f>VLOOKUP(A522,'Clientes CBOT'!A:D,4,0)</f>
        <v>#N/A</v>
      </c>
      <c r="C522" s="7" t="e">
        <f>VLOOKUP(A522,'Statement base'!E:AO,21,0)</f>
        <v>#N/A</v>
      </c>
      <c r="D522" s="7" t="e">
        <f>VLOOKUP(A522,'Statement base'!E:AO,10,0)-VLOOKUP(A522,'Statement base'!E:AO,21,0)</f>
        <v>#N/A</v>
      </c>
      <c r="E522" t="s">
        <v>188</v>
      </c>
      <c r="F522" s="6" t="e">
        <f>VLOOKUP(A522,'Statement base'!E:AO,10,0)+VLOOKUP(A522,'Statement base'!E:AO,14,0)</f>
        <v>#N/A</v>
      </c>
      <c r="G522" s="61" t="e">
        <f>VLOOKUP(A522,'Clientes CBOT'!A:E,5,0)</f>
        <v>#N/A</v>
      </c>
      <c r="H522" t="str">
        <f t="shared" si="24"/>
        <v>Hard</v>
      </c>
      <c r="I522" s="6" t="e">
        <f t="shared" si="25"/>
        <v>#N/A</v>
      </c>
      <c r="J522" s="6" t="e">
        <f t="shared" si="26"/>
        <v>#N/A</v>
      </c>
    </row>
    <row r="523" spans="2:10" x14ac:dyDescent="0.3">
      <c r="B523" t="e">
        <f>VLOOKUP(A523,'Clientes CBOT'!A:D,4,0)</f>
        <v>#N/A</v>
      </c>
      <c r="C523" s="7" t="e">
        <f>VLOOKUP(A523,'Statement base'!E:AO,21,0)</f>
        <v>#N/A</v>
      </c>
      <c r="D523" s="7" t="e">
        <f>VLOOKUP(A523,'Statement base'!E:AO,10,0)-VLOOKUP(A523,'Statement base'!E:AO,21,0)</f>
        <v>#N/A</v>
      </c>
      <c r="E523" t="s">
        <v>188</v>
      </c>
      <c r="F523" s="6" t="e">
        <f>VLOOKUP(A523,'Statement base'!E:AO,10,0)+VLOOKUP(A523,'Statement base'!E:AO,14,0)</f>
        <v>#N/A</v>
      </c>
      <c r="G523" s="61" t="e">
        <f>VLOOKUP(A523,'Clientes CBOT'!A:E,5,0)</f>
        <v>#N/A</v>
      </c>
      <c r="H523" t="str">
        <f t="shared" si="24"/>
        <v>Hard</v>
      </c>
      <c r="I523" s="6" t="e">
        <f t="shared" si="25"/>
        <v>#N/A</v>
      </c>
      <c r="J523" s="6" t="e">
        <f t="shared" si="26"/>
        <v>#N/A</v>
      </c>
    </row>
    <row r="524" spans="2:10" x14ac:dyDescent="0.3">
      <c r="B524" t="e">
        <f>VLOOKUP(A524,'Clientes CBOT'!A:D,4,0)</f>
        <v>#N/A</v>
      </c>
      <c r="C524" s="7" t="e">
        <f>VLOOKUP(A524,'Statement base'!E:AO,21,0)</f>
        <v>#N/A</v>
      </c>
      <c r="D524" s="7" t="e">
        <f>VLOOKUP(A524,'Statement base'!E:AO,10,0)-VLOOKUP(A524,'Statement base'!E:AO,21,0)</f>
        <v>#N/A</v>
      </c>
      <c r="E524" t="s">
        <v>188</v>
      </c>
      <c r="F524" s="6" t="e">
        <f>VLOOKUP(A524,'Statement base'!E:AO,10,0)+VLOOKUP(A524,'Statement base'!E:AO,14,0)</f>
        <v>#N/A</v>
      </c>
      <c r="G524" s="61" t="e">
        <f>VLOOKUP(A524,'Clientes CBOT'!A:E,5,0)</f>
        <v>#N/A</v>
      </c>
      <c r="H524" t="str">
        <f t="shared" si="24"/>
        <v>Hard</v>
      </c>
      <c r="I524" s="6" t="e">
        <f t="shared" si="25"/>
        <v>#N/A</v>
      </c>
      <c r="J524" s="6" t="e">
        <f t="shared" si="26"/>
        <v>#N/A</v>
      </c>
    </row>
    <row r="525" spans="2:10" x14ac:dyDescent="0.3">
      <c r="B525" t="e">
        <f>VLOOKUP(A525,'Clientes CBOT'!A:D,4,0)</f>
        <v>#N/A</v>
      </c>
      <c r="C525" s="7" t="e">
        <f>VLOOKUP(A525,'Statement base'!E:AO,21,0)</f>
        <v>#N/A</v>
      </c>
      <c r="D525" s="7" t="e">
        <f>VLOOKUP(A525,'Statement base'!E:AO,10,0)-VLOOKUP(A525,'Statement base'!E:AO,21,0)</f>
        <v>#N/A</v>
      </c>
      <c r="E525" t="s">
        <v>188</v>
      </c>
      <c r="F525" s="6" t="e">
        <f>VLOOKUP(A525,'Statement base'!E:AO,10,0)+VLOOKUP(A525,'Statement base'!E:AO,14,0)</f>
        <v>#N/A</v>
      </c>
      <c r="G525" s="61" t="e">
        <f>VLOOKUP(A525,'Clientes CBOT'!A:E,5,0)</f>
        <v>#N/A</v>
      </c>
      <c r="H525" t="str">
        <f t="shared" si="24"/>
        <v>Hard</v>
      </c>
      <c r="I525" s="6" t="e">
        <f t="shared" si="25"/>
        <v>#N/A</v>
      </c>
      <c r="J525" s="6" t="e">
        <f t="shared" si="26"/>
        <v>#N/A</v>
      </c>
    </row>
    <row r="526" spans="2:10" x14ac:dyDescent="0.3">
      <c r="B526" t="e">
        <f>VLOOKUP(A526,'Clientes CBOT'!A:D,4,0)</f>
        <v>#N/A</v>
      </c>
      <c r="C526" s="7" t="e">
        <f>VLOOKUP(A526,'Statement base'!E:AO,21,0)</f>
        <v>#N/A</v>
      </c>
      <c r="D526" s="7" t="e">
        <f>VLOOKUP(A526,'Statement base'!E:AO,10,0)-VLOOKUP(A526,'Statement base'!E:AO,21,0)</f>
        <v>#N/A</v>
      </c>
      <c r="E526" t="s">
        <v>188</v>
      </c>
      <c r="F526" s="6" t="e">
        <f>VLOOKUP(A526,'Statement base'!E:AO,10,0)+VLOOKUP(A526,'Statement base'!E:AO,14,0)</f>
        <v>#N/A</v>
      </c>
      <c r="G526" s="61" t="e">
        <f>VLOOKUP(A526,'Clientes CBOT'!A:E,5,0)</f>
        <v>#N/A</v>
      </c>
      <c r="H526" t="str">
        <f t="shared" si="24"/>
        <v>Hard</v>
      </c>
      <c r="I526" s="6" t="e">
        <f t="shared" si="25"/>
        <v>#N/A</v>
      </c>
      <c r="J526" s="6" t="e">
        <f t="shared" si="26"/>
        <v>#N/A</v>
      </c>
    </row>
    <row r="527" spans="2:10" x14ac:dyDescent="0.3">
      <c r="B527" t="e">
        <f>VLOOKUP(A527,'Clientes CBOT'!A:D,4,0)</f>
        <v>#N/A</v>
      </c>
      <c r="C527" s="7" t="e">
        <f>VLOOKUP(A527,'Statement base'!E:AO,21,0)</f>
        <v>#N/A</v>
      </c>
      <c r="D527" s="7" t="e">
        <f>VLOOKUP(A527,'Statement base'!E:AO,10,0)-VLOOKUP(A527,'Statement base'!E:AO,21,0)</f>
        <v>#N/A</v>
      </c>
      <c r="E527" t="s">
        <v>188</v>
      </c>
      <c r="F527" s="6" t="e">
        <f>VLOOKUP(A527,'Statement base'!E:AO,10,0)+VLOOKUP(A527,'Statement base'!E:AO,14,0)</f>
        <v>#N/A</v>
      </c>
      <c r="G527" s="61" t="e">
        <f>VLOOKUP(A527,'Clientes CBOT'!A:E,5,0)</f>
        <v>#N/A</v>
      </c>
      <c r="H527" t="str">
        <f t="shared" si="24"/>
        <v>Hard</v>
      </c>
      <c r="I527" s="6" t="e">
        <f t="shared" si="25"/>
        <v>#N/A</v>
      </c>
      <c r="J527" s="6" t="e">
        <f t="shared" si="26"/>
        <v>#N/A</v>
      </c>
    </row>
    <row r="528" spans="2:10" x14ac:dyDescent="0.3">
      <c r="B528" t="e">
        <f>VLOOKUP(A528,'Clientes CBOT'!A:D,4,0)</f>
        <v>#N/A</v>
      </c>
      <c r="C528" s="7" t="e">
        <f>VLOOKUP(A528,'Statement base'!E:AO,21,0)</f>
        <v>#N/A</v>
      </c>
      <c r="D528" s="7" t="e">
        <f>VLOOKUP(A528,'Statement base'!E:AO,10,0)-VLOOKUP(A528,'Statement base'!E:AO,21,0)</f>
        <v>#N/A</v>
      </c>
      <c r="E528" t="s">
        <v>188</v>
      </c>
      <c r="F528" s="6" t="e">
        <f>VLOOKUP(A528,'Statement base'!E:AO,10,0)+VLOOKUP(A528,'Statement base'!E:AO,14,0)</f>
        <v>#N/A</v>
      </c>
      <c r="G528" s="61" t="e">
        <f>VLOOKUP(A528,'Clientes CBOT'!A:E,5,0)</f>
        <v>#N/A</v>
      </c>
      <c r="H528" t="str">
        <f t="shared" si="24"/>
        <v>Hard</v>
      </c>
      <c r="I528" s="6" t="e">
        <f t="shared" si="25"/>
        <v>#N/A</v>
      </c>
      <c r="J528" s="6" t="e">
        <f t="shared" si="26"/>
        <v>#N/A</v>
      </c>
    </row>
    <row r="529" spans="2:10" x14ac:dyDescent="0.3">
      <c r="B529" t="e">
        <f>VLOOKUP(A529,'Clientes CBOT'!A:D,4,0)</f>
        <v>#N/A</v>
      </c>
      <c r="C529" s="7" t="e">
        <f>VLOOKUP(A529,'Statement base'!E:AO,21,0)</f>
        <v>#N/A</v>
      </c>
      <c r="D529" s="7" t="e">
        <f>VLOOKUP(A529,'Statement base'!E:AO,10,0)-VLOOKUP(A529,'Statement base'!E:AO,21,0)</f>
        <v>#N/A</v>
      </c>
      <c r="E529" t="s">
        <v>188</v>
      </c>
      <c r="F529" s="6" t="e">
        <f>VLOOKUP(A529,'Statement base'!E:AO,10,0)+VLOOKUP(A529,'Statement base'!E:AO,14,0)</f>
        <v>#N/A</v>
      </c>
      <c r="G529" s="61" t="e">
        <f>VLOOKUP(A529,'Clientes CBOT'!A:E,5,0)</f>
        <v>#N/A</v>
      </c>
      <c r="H529" t="str">
        <f t="shared" si="24"/>
        <v>Hard</v>
      </c>
      <c r="I529" s="6" t="e">
        <f t="shared" si="25"/>
        <v>#N/A</v>
      </c>
      <c r="J529" s="6" t="e">
        <f t="shared" si="26"/>
        <v>#N/A</v>
      </c>
    </row>
    <row r="530" spans="2:10" x14ac:dyDescent="0.3">
      <c r="B530" t="e">
        <f>VLOOKUP(A530,'Clientes CBOT'!A:D,4,0)</f>
        <v>#N/A</v>
      </c>
      <c r="C530" s="7" t="e">
        <f>VLOOKUP(A530,'Statement base'!E:AO,21,0)</f>
        <v>#N/A</v>
      </c>
      <c r="D530" s="7" t="e">
        <f>VLOOKUP(A530,'Statement base'!E:AO,10,0)-VLOOKUP(A530,'Statement base'!E:AO,21,0)</f>
        <v>#N/A</v>
      </c>
      <c r="E530" t="s">
        <v>188</v>
      </c>
      <c r="F530" s="6" t="e">
        <f>VLOOKUP(A530,'Statement base'!E:AO,10,0)+VLOOKUP(A530,'Statement base'!E:AO,14,0)</f>
        <v>#N/A</v>
      </c>
      <c r="G530" s="61" t="e">
        <f>VLOOKUP(A530,'Clientes CBOT'!A:E,5,0)</f>
        <v>#N/A</v>
      </c>
      <c r="H530" t="str">
        <f t="shared" si="24"/>
        <v>Hard</v>
      </c>
      <c r="I530" s="6" t="e">
        <f t="shared" si="25"/>
        <v>#N/A</v>
      </c>
      <c r="J530" s="6" t="e">
        <f t="shared" si="26"/>
        <v>#N/A</v>
      </c>
    </row>
    <row r="531" spans="2:10" x14ac:dyDescent="0.3">
      <c r="B531" t="e">
        <f>VLOOKUP(A531,'Clientes CBOT'!A:D,4,0)</f>
        <v>#N/A</v>
      </c>
      <c r="C531" s="7" t="e">
        <f>VLOOKUP(A531,'Statement base'!E:AO,21,0)</f>
        <v>#N/A</v>
      </c>
      <c r="D531" s="7" t="e">
        <f>VLOOKUP(A531,'Statement base'!E:AO,10,0)-VLOOKUP(A531,'Statement base'!E:AO,21,0)</f>
        <v>#N/A</v>
      </c>
      <c r="E531" t="s">
        <v>188</v>
      </c>
      <c r="F531" s="6" t="e">
        <f>VLOOKUP(A531,'Statement base'!E:AO,10,0)+VLOOKUP(A531,'Statement base'!E:AO,14,0)</f>
        <v>#N/A</v>
      </c>
      <c r="G531" s="61" t="e">
        <f>VLOOKUP(A531,'Clientes CBOT'!A:E,5,0)</f>
        <v>#N/A</v>
      </c>
      <c r="H531" t="str">
        <f t="shared" si="24"/>
        <v>Hard</v>
      </c>
      <c r="I531" s="6" t="e">
        <f t="shared" si="25"/>
        <v>#N/A</v>
      </c>
      <c r="J531" s="6" t="e">
        <f t="shared" si="26"/>
        <v>#N/A</v>
      </c>
    </row>
    <row r="532" spans="2:10" x14ac:dyDescent="0.3">
      <c r="B532" t="e">
        <f>VLOOKUP(A532,'Clientes CBOT'!A:D,4,0)</f>
        <v>#N/A</v>
      </c>
      <c r="C532" s="7" t="e">
        <f>VLOOKUP(A532,'Statement base'!E:AO,21,0)</f>
        <v>#N/A</v>
      </c>
      <c r="D532" s="7" t="e">
        <f>VLOOKUP(A532,'Statement base'!E:AO,10,0)-VLOOKUP(A532,'Statement base'!E:AO,21,0)</f>
        <v>#N/A</v>
      </c>
      <c r="E532" t="s">
        <v>188</v>
      </c>
      <c r="F532" s="6" t="e">
        <f>VLOOKUP(A532,'Statement base'!E:AO,10,0)+VLOOKUP(A532,'Statement base'!E:AO,14,0)</f>
        <v>#N/A</v>
      </c>
      <c r="G532" s="61" t="e">
        <f>VLOOKUP(A532,'Clientes CBOT'!A:E,5,0)</f>
        <v>#N/A</v>
      </c>
      <c r="H532" t="str">
        <f t="shared" si="24"/>
        <v>Hard</v>
      </c>
      <c r="I532" s="6" t="e">
        <f t="shared" si="25"/>
        <v>#N/A</v>
      </c>
      <c r="J532" s="6" t="e">
        <f t="shared" si="26"/>
        <v>#N/A</v>
      </c>
    </row>
    <row r="533" spans="2:10" x14ac:dyDescent="0.3">
      <c r="B533" t="e">
        <f>VLOOKUP(A533,'Clientes CBOT'!A:D,4,0)</f>
        <v>#N/A</v>
      </c>
      <c r="C533" s="7" t="e">
        <f>VLOOKUP(A533,'Statement base'!E:AO,21,0)</f>
        <v>#N/A</v>
      </c>
      <c r="D533" s="7" t="e">
        <f>VLOOKUP(A533,'Statement base'!E:AO,10,0)-VLOOKUP(A533,'Statement base'!E:AO,21,0)</f>
        <v>#N/A</v>
      </c>
      <c r="E533" t="s">
        <v>188</v>
      </c>
      <c r="F533" s="6" t="e">
        <f>VLOOKUP(A533,'Statement base'!E:AO,10,0)+VLOOKUP(A533,'Statement base'!E:AO,14,0)</f>
        <v>#N/A</v>
      </c>
      <c r="G533" s="61" t="e">
        <f>VLOOKUP(A533,'Clientes CBOT'!A:E,5,0)</f>
        <v>#N/A</v>
      </c>
      <c r="H533" t="str">
        <f t="shared" si="24"/>
        <v>Hard</v>
      </c>
      <c r="I533" s="6" t="e">
        <f t="shared" si="25"/>
        <v>#N/A</v>
      </c>
      <c r="J533" s="6" t="e">
        <f t="shared" si="26"/>
        <v>#N/A</v>
      </c>
    </row>
    <row r="534" spans="2:10" x14ac:dyDescent="0.3">
      <c r="B534" t="e">
        <f>VLOOKUP(A534,'Clientes CBOT'!A:D,4,0)</f>
        <v>#N/A</v>
      </c>
      <c r="C534" s="7" t="e">
        <f>VLOOKUP(A534,'Statement base'!E:AO,21,0)</f>
        <v>#N/A</v>
      </c>
      <c r="D534" s="7" t="e">
        <f>VLOOKUP(A534,'Statement base'!E:AO,10,0)-VLOOKUP(A534,'Statement base'!E:AO,21,0)</f>
        <v>#N/A</v>
      </c>
      <c r="E534" t="s">
        <v>188</v>
      </c>
      <c r="F534" s="6" t="e">
        <f>VLOOKUP(A534,'Statement base'!E:AO,10,0)+VLOOKUP(A534,'Statement base'!E:AO,14,0)</f>
        <v>#N/A</v>
      </c>
      <c r="G534" s="61" t="e">
        <f>VLOOKUP(A534,'Clientes CBOT'!A:E,5,0)</f>
        <v>#N/A</v>
      </c>
      <c r="H534" t="str">
        <f t="shared" si="24"/>
        <v>Hard</v>
      </c>
      <c r="I534" s="6" t="e">
        <f t="shared" si="25"/>
        <v>#N/A</v>
      </c>
      <c r="J534" s="6" t="e">
        <f t="shared" si="26"/>
        <v>#N/A</v>
      </c>
    </row>
    <row r="535" spans="2:10" x14ac:dyDescent="0.3">
      <c r="B535" t="e">
        <f>VLOOKUP(A535,'Clientes CBOT'!A:D,4,0)</f>
        <v>#N/A</v>
      </c>
      <c r="C535" s="7" t="e">
        <f>VLOOKUP(A535,'Statement base'!E:AO,21,0)</f>
        <v>#N/A</v>
      </c>
      <c r="D535" s="7" t="e">
        <f>VLOOKUP(A535,'Statement base'!E:AO,10,0)-VLOOKUP(A535,'Statement base'!E:AO,21,0)</f>
        <v>#N/A</v>
      </c>
      <c r="E535" t="s">
        <v>188</v>
      </c>
      <c r="F535" s="6" t="e">
        <f>VLOOKUP(A535,'Statement base'!E:AO,10,0)+VLOOKUP(A535,'Statement base'!E:AO,14,0)</f>
        <v>#N/A</v>
      </c>
      <c r="G535" s="61" t="e">
        <f>VLOOKUP(A535,'Clientes CBOT'!A:E,5,0)</f>
        <v>#N/A</v>
      </c>
      <c r="H535" t="str">
        <f t="shared" si="24"/>
        <v>Hard</v>
      </c>
      <c r="I535" s="6" t="e">
        <f t="shared" si="25"/>
        <v>#N/A</v>
      </c>
      <c r="J535" s="6" t="e">
        <f t="shared" si="26"/>
        <v>#N/A</v>
      </c>
    </row>
    <row r="536" spans="2:10" x14ac:dyDescent="0.3">
      <c r="B536" t="e">
        <f>VLOOKUP(A536,'Clientes CBOT'!A:D,4,0)</f>
        <v>#N/A</v>
      </c>
      <c r="C536" s="7" t="e">
        <f>VLOOKUP(A536,'Statement base'!E:AO,21,0)</f>
        <v>#N/A</v>
      </c>
      <c r="D536" s="7" t="e">
        <f>VLOOKUP(A536,'Statement base'!E:AO,10,0)-VLOOKUP(A536,'Statement base'!E:AO,21,0)</f>
        <v>#N/A</v>
      </c>
      <c r="E536" t="s">
        <v>188</v>
      </c>
      <c r="F536" s="6" t="e">
        <f>VLOOKUP(A536,'Statement base'!E:AO,10,0)+VLOOKUP(A536,'Statement base'!E:AO,14,0)</f>
        <v>#N/A</v>
      </c>
      <c r="G536" s="61" t="e">
        <f>VLOOKUP(A536,'Clientes CBOT'!A:E,5,0)</f>
        <v>#N/A</v>
      </c>
      <c r="H536" t="str">
        <f t="shared" si="24"/>
        <v>Hard</v>
      </c>
      <c r="I536" s="6" t="e">
        <f t="shared" si="25"/>
        <v>#N/A</v>
      </c>
      <c r="J536" s="6" t="e">
        <f t="shared" si="26"/>
        <v>#N/A</v>
      </c>
    </row>
    <row r="537" spans="2:10" x14ac:dyDescent="0.3">
      <c r="B537" t="e">
        <f>VLOOKUP(A537,'Clientes CBOT'!A:D,4,0)</f>
        <v>#N/A</v>
      </c>
      <c r="C537" s="7" t="e">
        <f>VLOOKUP(A537,'Statement base'!E:AO,21,0)</f>
        <v>#N/A</v>
      </c>
      <c r="D537" s="7" t="e">
        <f>VLOOKUP(A537,'Statement base'!E:AO,10,0)-VLOOKUP(A537,'Statement base'!E:AO,21,0)</f>
        <v>#N/A</v>
      </c>
      <c r="E537" t="s">
        <v>188</v>
      </c>
      <c r="F537" s="6" t="e">
        <f>VLOOKUP(A537,'Statement base'!E:AO,10,0)+VLOOKUP(A537,'Statement base'!E:AO,14,0)</f>
        <v>#N/A</v>
      </c>
      <c r="G537" s="61" t="e">
        <f>VLOOKUP(A537,'Clientes CBOT'!A:E,5,0)</f>
        <v>#N/A</v>
      </c>
      <c r="H537" t="str">
        <f t="shared" si="24"/>
        <v>Hard</v>
      </c>
      <c r="I537" s="6" t="e">
        <f t="shared" si="25"/>
        <v>#N/A</v>
      </c>
      <c r="J537" s="6" t="e">
        <f t="shared" si="26"/>
        <v>#N/A</v>
      </c>
    </row>
    <row r="538" spans="2:10" x14ac:dyDescent="0.3">
      <c r="B538" t="e">
        <f>VLOOKUP(A538,'Clientes CBOT'!A:D,4,0)</f>
        <v>#N/A</v>
      </c>
      <c r="C538" s="7" t="e">
        <f>VLOOKUP(A538,'Statement base'!E:AO,21,0)</f>
        <v>#N/A</v>
      </c>
      <c r="D538" s="7" t="e">
        <f>VLOOKUP(A538,'Statement base'!E:AO,10,0)-VLOOKUP(A538,'Statement base'!E:AO,21,0)</f>
        <v>#N/A</v>
      </c>
      <c r="E538" t="s">
        <v>188</v>
      </c>
      <c r="F538" s="6" t="e">
        <f>VLOOKUP(A538,'Statement base'!E:AO,10,0)+VLOOKUP(A538,'Statement base'!E:AO,14,0)</f>
        <v>#N/A</v>
      </c>
      <c r="G538" s="61" t="e">
        <f>VLOOKUP(A538,'Clientes CBOT'!A:E,5,0)</f>
        <v>#N/A</v>
      </c>
      <c r="H538" t="str">
        <f t="shared" si="24"/>
        <v>Hard</v>
      </c>
      <c r="I538" s="6" t="e">
        <f t="shared" si="25"/>
        <v>#N/A</v>
      </c>
      <c r="J538" s="6" t="e">
        <f t="shared" si="26"/>
        <v>#N/A</v>
      </c>
    </row>
    <row r="539" spans="2:10" x14ac:dyDescent="0.3">
      <c r="B539" t="e">
        <f>VLOOKUP(A539,'Clientes CBOT'!A:D,4,0)</f>
        <v>#N/A</v>
      </c>
      <c r="C539" s="7" t="e">
        <f>VLOOKUP(A539,'Statement base'!E:AO,21,0)</f>
        <v>#N/A</v>
      </c>
      <c r="D539" s="7" t="e">
        <f>VLOOKUP(A539,'Statement base'!E:AO,10,0)-VLOOKUP(A539,'Statement base'!E:AO,21,0)</f>
        <v>#N/A</v>
      </c>
      <c r="E539" t="s">
        <v>188</v>
      </c>
      <c r="F539" s="6" t="e">
        <f>VLOOKUP(A539,'Statement base'!E:AO,10,0)+VLOOKUP(A539,'Statement base'!E:AO,14,0)</f>
        <v>#N/A</v>
      </c>
      <c r="G539" s="61" t="e">
        <f>VLOOKUP(A539,'Clientes CBOT'!A:E,5,0)</f>
        <v>#N/A</v>
      </c>
      <c r="H539" t="str">
        <f t="shared" si="24"/>
        <v>Hard</v>
      </c>
      <c r="I539" s="6" t="e">
        <f t="shared" si="25"/>
        <v>#N/A</v>
      </c>
      <c r="J539" s="6" t="e">
        <f t="shared" si="26"/>
        <v>#N/A</v>
      </c>
    </row>
    <row r="540" spans="2:10" x14ac:dyDescent="0.3">
      <c r="B540" t="e">
        <f>VLOOKUP(A540,'Clientes CBOT'!A:D,4,0)</f>
        <v>#N/A</v>
      </c>
      <c r="C540" s="7" t="e">
        <f>VLOOKUP(A540,'Statement base'!E:AO,21,0)</f>
        <v>#N/A</v>
      </c>
      <c r="D540" s="7" t="e">
        <f>VLOOKUP(A540,'Statement base'!E:AO,10,0)-VLOOKUP(A540,'Statement base'!E:AO,21,0)</f>
        <v>#N/A</v>
      </c>
      <c r="E540" t="s">
        <v>188</v>
      </c>
      <c r="F540" s="6" t="e">
        <f>VLOOKUP(A540,'Statement base'!E:AO,10,0)+VLOOKUP(A540,'Statement base'!E:AO,14,0)</f>
        <v>#N/A</v>
      </c>
      <c r="G540" s="61" t="e">
        <f>VLOOKUP(A540,'Clientes CBOT'!A:E,5,0)</f>
        <v>#N/A</v>
      </c>
      <c r="H540" t="str">
        <f t="shared" si="24"/>
        <v>Hard</v>
      </c>
      <c r="I540" s="6" t="e">
        <f t="shared" si="25"/>
        <v>#N/A</v>
      </c>
      <c r="J540" s="6" t="e">
        <f t="shared" si="26"/>
        <v>#N/A</v>
      </c>
    </row>
    <row r="541" spans="2:10" x14ac:dyDescent="0.3">
      <c r="B541" t="e">
        <f>VLOOKUP(A541,'Clientes CBOT'!A:D,4,0)</f>
        <v>#N/A</v>
      </c>
      <c r="C541" s="7" t="e">
        <f>VLOOKUP(A541,'Statement base'!E:AO,21,0)</f>
        <v>#N/A</v>
      </c>
      <c r="D541" s="7" t="e">
        <f>VLOOKUP(A541,'Statement base'!E:AO,10,0)-VLOOKUP(A541,'Statement base'!E:AO,21,0)</f>
        <v>#N/A</v>
      </c>
      <c r="E541" t="s">
        <v>188</v>
      </c>
      <c r="F541" s="6" t="e">
        <f>VLOOKUP(A541,'Statement base'!E:AO,10,0)+VLOOKUP(A541,'Statement base'!E:AO,14,0)</f>
        <v>#N/A</v>
      </c>
      <c r="G541" s="61" t="e">
        <f>VLOOKUP(A541,'Clientes CBOT'!A:E,5,0)</f>
        <v>#N/A</v>
      </c>
      <c r="H541" t="str">
        <f t="shared" si="24"/>
        <v>Hard</v>
      </c>
      <c r="I541" s="6" t="e">
        <f t="shared" si="25"/>
        <v>#N/A</v>
      </c>
      <c r="J541" s="6" t="e">
        <f t="shared" si="26"/>
        <v>#N/A</v>
      </c>
    </row>
    <row r="542" spans="2:10" x14ac:dyDescent="0.3">
      <c r="B542" t="e">
        <f>VLOOKUP(A542,'Clientes CBOT'!A:D,4,0)</f>
        <v>#N/A</v>
      </c>
      <c r="C542" s="7" t="e">
        <f>VLOOKUP(A542,'Statement base'!E:AO,21,0)</f>
        <v>#N/A</v>
      </c>
      <c r="D542" s="7" t="e">
        <f>VLOOKUP(A542,'Statement base'!E:AO,10,0)-VLOOKUP(A542,'Statement base'!E:AO,21,0)</f>
        <v>#N/A</v>
      </c>
      <c r="E542" t="s">
        <v>188</v>
      </c>
      <c r="F542" s="6" t="e">
        <f>VLOOKUP(A542,'Statement base'!E:AO,10,0)+VLOOKUP(A542,'Statement base'!E:AO,14,0)</f>
        <v>#N/A</v>
      </c>
      <c r="G542" s="61" t="e">
        <f>VLOOKUP(A542,'Clientes CBOT'!A:E,5,0)</f>
        <v>#N/A</v>
      </c>
      <c r="H542" t="str">
        <f t="shared" si="24"/>
        <v>Hard</v>
      </c>
      <c r="I542" s="6" t="e">
        <f t="shared" si="25"/>
        <v>#N/A</v>
      </c>
      <c r="J542" s="6" t="e">
        <f t="shared" si="26"/>
        <v>#N/A</v>
      </c>
    </row>
    <row r="543" spans="2:10" x14ac:dyDescent="0.3">
      <c r="B543" t="e">
        <f>VLOOKUP(A543,'Clientes CBOT'!A:D,4,0)</f>
        <v>#N/A</v>
      </c>
      <c r="C543" s="7" t="e">
        <f>VLOOKUP(A543,'Statement base'!E:AO,21,0)</f>
        <v>#N/A</v>
      </c>
      <c r="D543" s="7" t="e">
        <f>VLOOKUP(A543,'Statement base'!E:AO,10,0)-VLOOKUP(A543,'Statement base'!E:AO,21,0)</f>
        <v>#N/A</v>
      </c>
      <c r="E543" t="s">
        <v>188</v>
      </c>
      <c r="F543" s="6" t="e">
        <f>VLOOKUP(A543,'Statement base'!E:AO,10,0)+VLOOKUP(A543,'Statement base'!E:AO,14,0)</f>
        <v>#N/A</v>
      </c>
      <c r="G543" s="61" t="e">
        <f>VLOOKUP(A543,'Clientes CBOT'!A:E,5,0)</f>
        <v>#N/A</v>
      </c>
      <c r="H543" t="str">
        <f t="shared" si="24"/>
        <v>Hard</v>
      </c>
      <c r="I543" s="6" t="e">
        <f t="shared" si="25"/>
        <v>#N/A</v>
      </c>
      <c r="J543" s="6" t="e">
        <f t="shared" si="26"/>
        <v>#N/A</v>
      </c>
    </row>
    <row r="544" spans="2:10" x14ac:dyDescent="0.3">
      <c r="B544" t="e">
        <f>VLOOKUP(A544,'Clientes CBOT'!A:D,4,0)</f>
        <v>#N/A</v>
      </c>
      <c r="C544" s="7" t="e">
        <f>VLOOKUP(A544,'Statement base'!E:AO,21,0)</f>
        <v>#N/A</v>
      </c>
      <c r="D544" s="7" t="e">
        <f>VLOOKUP(A544,'Statement base'!E:AO,10,0)-VLOOKUP(A544,'Statement base'!E:AO,21,0)</f>
        <v>#N/A</v>
      </c>
      <c r="E544" t="s">
        <v>188</v>
      </c>
      <c r="F544" s="6" t="e">
        <f>VLOOKUP(A544,'Statement base'!E:AO,10,0)+VLOOKUP(A544,'Statement base'!E:AO,14,0)</f>
        <v>#N/A</v>
      </c>
      <c r="G544" s="61" t="e">
        <f>VLOOKUP(A544,'Clientes CBOT'!A:E,5,0)</f>
        <v>#N/A</v>
      </c>
      <c r="H544" t="str">
        <f t="shared" si="24"/>
        <v>Hard</v>
      </c>
      <c r="I544" s="6" t="e">
        <f t="shared" si="25"/>
        <v>#N/A</v>
      </c>
      <c r="J544" s="6" t="e">
        <f t="shared" si="26"/>
        <v>#N/A</v>
      </c>
    </row>
    <row r="545" spans="2:10" x14ac:dyDescent="0.3">
      <c r="B545" t="e">
        <f>VLOOKUP(A545,'Clientes CBOT'!A:D,4,0)</f>
        <v>#N/A</v>
      </c>
      <c r="C545" s="7" t="e">
        <f>VLOOKUP(A545,'Statement base'!E:AO,21,0)</f>
        <v>#N/A</v>
      </c>
      <c r="D545" s="7" t="e">
        <f>VLOOKUP(A545,'Statement base'!E:AO,10,0)-VLOOKUP(A545,'Statement base'!E:AO,21,0)</f>
        <v>#N/A</v>
      </c>
      <c r="E545" t="s">
        <v>188</v>
      </c>
      <c r="F545" s="6" t="e">
        <f>VLOOKUP(A545,'Statement base'!E:AO,10,0)+VLOOKUP(A545,'Statement base'!E:AO,14,0)</f>
        <v>#N/A</v>
      </c>
      <c r="G545" s="61" t="e">
        <f>VLOOKUP(A545,'Clientes CBOT'!A:E,5,0)</f>
        <v>#N/A</v>
      </c>
      <c r="H545" t="str">
        <f t="shared" si="24"/>
        <v>Hard</v>
      </c>
      <c r="I545" s="6" t="e">
        <f t="shared" si="25"/>
        <v>#N/A</v>
      </c>
      <c r="J545" s="6" t="e">
        <f t="shared" si="26"/>
        <v>#N/A</v>
      </c>
    </row>
    <row r="546" spans="2:10" x14ac:dyDescent="0.3">
      <c r="B546" t="e">
        <f>VLOOKUP(A546,'Clientes CBOT'!A:D,4,0)</f>
        <v>#N/A</v>
      </c>
      <c r="C546" s="7" t="e">
        <f>VLOOKUP(A546,'Statement base'!E:AO,21,0)</f>
        <v>#N/A</v>
      </c>
      <c r="D546" s="7" t="e">
        <f>VLOOKUP(A546,'Statement base'!E:AO,10,0)-VLOOKUP(A546,'Statement base'!E:AO,21,0)</f>
        <v>#N/A</v>
      </c>
      <c r="E546" t="s">
        <v>188</v>
      </c>
      <c r="F546" s="6" t="e">
        <f>VLOOKUP(A546,'Statement base'!E:AO,10,0)+VLOOKUP(A546,'Statement base'!E:AO,14,0)</f>
        <v>#N/A</v>
      </c>
      <c r="G546" s="61" t="e">
        <f>VLOOKUP(A546,'Clientes CBOT'!A:E,5,0)</f>
        <v>#N/A</v>
      </c>
      <c r="H546" t="str">
        <f t="shared" si="24"/>
        <v>Hard</v>
      </c>
      <c r="I546" s="6" t="e">
        <f t="shared" si="25"/>
        <v>#N/A</v>
      </c>
      <c r="J546" s="6" t="e">
        <f t="shared" si="26"/>
        <v>#N/A</v>
      </c>
    </row>
    <row r="547" spans="2:10" x14ac:dyDescent="0.3">
      <c r="B547" t="e">
        <f>VLOOKUP(A547,'Clientes CBOT'!A:D,4,0)</f>
        <v>#N/A</v>
      </c>
      <c r="C547" s="7" t="e">
        <f>VLOOKUP(A547,'Statement base'!E:AO,21,0)</f>
        <v>#N/A</v>
      </c>
      <c r="D547" s="7" t="e">
        <f>VLOOKUP(A547,'Statement base'!E:AO,10,0)-VLOOKUP(A547,'Statement base'!E:AO,21,0)</f>
        <v>#N/A</v>
      </c>
      <c r="E547" t="s">
        <v>188</v>
      </c>
      <c r="F547" s="6" t="e">
        <f>VLOOKUP(A547,'Statement base'!E:AO,10,0)+VLOOKUP(A547,'Statement base'!E:AO,14,0)</f>
        <v>#N/A</v>
      </c>
      <c r="G547" s="61" t="e">
        <f>VLOOKUP(A547,'Clientes CBOT'!A:E,5,0)</f>
        <v>#N/A</v>
      </c>
      <c r="H547" t="str">
        <f t="shared" si="24"/>
        <v>Hard</v>
      </c>
      <c r="I547" s="6" t="e">
        <f t="shared" si="25"/>
        <v>#N/A</v>
      </c>
      <c r="J547" s="6" t="e">
        <f t="shared" si="26"/>
        <v>#N/A</v>
      </c>
    </row>
    <row r="548" spans="2:10" x14ac:dyDescent="0.3">
      <c r="B548" t="e">
        <f>VLOOKUP(A548,'Clientes CBOT'!A:D,4,0)</f>
        <v>#N/A</v>
      </c>
      <c r="C548" s="7" t="e">
        <f>VLOOKUP(A548,'Statement base'!E:AO,21,0)</f>
        <v>#N/A</v>
      </c>
      <c r="D548" s="7" t="e">
        <f>VLOOKUP(A548,'Statement base'!E:AO,10,0)-VLOOKUP(A548,'Statement base'!E:AO,21,0)</f>
        <v>#N/A</v>
      </c>
      <c r="E548" t="s">
        <v>188</v>
      </c>
      <c r="F548" s="6" t="e">
        <f>VLOOKUP(A548,'Statement base'!E:AO,10,0)+VLOOKUP(A548,'Statement base'!E:AO,14,0)</f>
        <v>#N/A</v>
      </c>
      <c r="G548" s="61" t="e">
        <f>VLOOKUP(A548,'Clientes CBOT'!A:E,5,0)</f>
        <v>#N/A</v>
      </c>
      <c r="H548" t="str">
        <f t="shared" si="24"/>
        <v>Hard</v>
      </c>
      <c r="I548" s="6" t="e">
        <f t="shared" si="25"/>
        <v>#N/A</v>
      </c>
      <c r="J548" s="6" t="e">
        <f t="shared" si="26"/>
        <v>#N/A</v>
      </c>
    </row>
    <row r="549" spans="2:10" x14ac:dyDescent="0.3">
      <c r="B549" t="e">
        <f>VLOOKUP(A549,'Clientes CBOT'!A:D,4,0)</f>
        <v>#N/A</v>
      </c>
      <c r="C549" s="7" t="e">
        <f>VLOOKUP(A549,'Statement base'!E:AO,21,0)</f>
        <v>#N/A</v>
      </c>
      <c r="D549" s="7" t="e">
        <f>VLOOKUP(A549,'Statement base'!E:AO,10,0)-VLOOKUP(A549,'Statement base'!E:AO,21,0)</f>
        <v>#N/A</v>
      </c>
      <c r="E549" t="s">
        <v>188</v>
      </c>
      <c r="F549" s="6" t="e">
        <f>VLOOKUP(A549,'Statement base'!E:AO,10,0)+VLOOKUP(A549,'Statement base'!E:AO,14,0)</f>
        <v>#N/A</v>
      </c>
      <c r="G549" s="61" t="e">
        <f>VLOOKUP(A549,'Clientes CBOT'!A:E,5,0)</f>
        <v>#N/A</v>
      </c>
      <c r="H549" t="str">
        <f t="shared" si="24"/>
        <v>Hard</v>
      </c>
      <c r="I549" s="6" t="e">
        <f t="shared" si="25"/>
        <v>#N/A</v>
      </c>
      <c r="J549" s="6" t="e">
        <f t="shared" si="26"/>
        <v>#N/A</v>
      </c>
    </row>
    <row r="550" spans="2:10" x14ac:dyDescent="0.3">
      <c r="B550" t="e">
        <f>VLOOKUP(A550,'Clientes CBOT'!A:D,4,0)</f>
        <v>#N/A</v>
      </c>
      <c r="C550" s="7" t="e">
        <f>VLOOKUP(A550,'Statement base'!E:AO,21,0)</f>
        <v>#N/A</v>
      </c>
      <c r="D550" s="7" t="e">
        <f>VLOOKUP(A550,'Statement base'!E:AO,10,0)-VLOOKUP(A550,'Statement base'!E:AO,21,0)</f>
        <v>#N/A</v>
      </c>
      <c r="E550" t="s">
        <v>188</v>
      </c>
      <c r="F550" s="6" t="e">
        <f>VLOOKUP(A550,'Statement base'!E:AO,10,0)+VLOOKUP(A550,'Statement base'!E:AO,14,0)</f>
        <v>#N/A</v>
      </c>
      <c r="G550" s="61" t="e">
        <f>VLOOKUP(A550,'Clientes CBOT'!A:E,5,0)</f>
        <v>#N/A</v>
      </c>
      <c r="H550" t="str">
        <f t="shared" si="24"/>
        <v>Hard</v>
      </c>
      <c r="I550" s="6" t="e">
        <f t="shared" si="25"/>
        <v>#N/A</v>
      </c>
      <c r="J550" s="6" t="e">
        <f t="shared" si="26"/>
        <v>#N/A</v>
      </c>
    </row>
    <row r="551" spans="2:10" x14ac:dyDescent="0.3">
      <c r="B551" t="e">
        <f>VLOOKUP(A551,'Clientes CBOT'!A:D,4,0)</f>
        <v>#N/A</v>
      </c>
      <c r="C551" s="7" t="e">
        <f>VLOOKUP(A551,'Statement base'!E:AO,21,0)</f>
        <v>#N/A</v>
      </c>
      <c r="D551" s="7" t="e">
        <f>VLOOKUP(A551,'Statement base'!E:AO,10,0)-VLOOKUP(A551,'Statement base'!E:AO,21,0)</f>
        <v>#N/A</v>
      </c>
      <c r="E551" t="s">
        <v>188</v>
      </c>
      <c r="F551" s="6" t="e">
        <f>VLOOKUP(A551,'Statement base'!E:AO,10,0)+VLOOKUP(A551,'Statement base'!E:AO,14,0)</f>
        <v>#N/A</v>
      </c>
      <c r="G551" s="61" t="e">
        <f>VLOOKUP(A551,'Clientes CBOT'!A:E,5,0)</f>
        <v>#N/A</v>
      </c>
      <c r="H551" t="str">
        <f t="shared" si="24"/>
        <v>Hard</v>
      </c>
      <c r="I551" s="6" t="e">
        <f t="shared" si="25"/>
        <v>#N/A</v>
      </c>
      <c r="J551" s="6" t="e">
        <f t="shared" si="26"/>
        <v>#N/A</v>
      </c>
    </row>
    <row r="552" spans="2:10" x14ac:dyDescent="0.3">
      <c r="B552" t="e">
        <f>VLOOKUP(A552,'Clientes CBOT'!A:D,4,0)</f>
        <v>#N/A</v>
      </c>
      <c r="C552" s="7" t="e">
        <f>VLOOKUP(A552,'Statement base'!E:AO,21,0)</f>
        <v>#N/A</v>
      </c>
      <c r="D552" s="7" t="e">
        <f>VLOOKUP(A552,'Statement base'!E:AO,10,0)-VLOOKUP(A552,'Statement base'!E:AO,21,0)</f>
        <v>#N/A</v>
      </c>
      <c r="E552" t="s">
        <v>188</v>
      </c>
      <c r="F552" s="6" t="e">
        <f>VLOOKUP(A552,'Statement base'!E:AO,10,0)+VLOOKUP(A552,'Statement base'!E:AO,14,0)</f>
        <v>#N/A</v>
      </c>
      <c r="G552" s="61" t="e">
        <f>VLOOKUP(A552,'Clientes CBOT'!A:E,5,0)</f>
        <v>#N/A</v>
      </c>
      <c r="H552" t="str">
        <f t="shared" si="24"/>
        <v>Hard</v>
      </c>
      <c r="I552" s="6" t="e">
        <f t="shared" si="25"/>
        <v>#N/A</v>
      </c>
      <c r="J552" s="6" t="e">
        <f t="shared" si="26"/>
        <v>#N/A</v>
      </c>
    </row>
    <row r="553" spans="2:10" x14ac:dyDescent="0.3">
      <c r="B553" t="e">
        <f>VLOOKUP(A553,'Clientes CBOT'!A:D,4,0)</f>
        <v>#N/A</v>
      </c>
      <c r="C553" s="7" t="e">
        <f>VLOOKUP(A553,'Statement base'!E:AO,21,0)</f>
        <v>#N/A</v>
      </c>
      <c r="D553" s="7" t="e">
        <f>VLOOKUP(A553,'Statement base'!E:AO,10,0)-VLOOKUP(A553,'Statement base'!E:AO,21,0)</f>
        <v>#N/A</v>
      </c>
      <c r="E553" t="s">
        <v>188</v>
      </c>
      <c r="F553" s="6" t="e">
        <f>VLOOKUP(A553,'Statement base'!E:AO,10,0)+VLOOKUP(A553,'Statement base'!E:AO,14,0)</f>
        <v>#N/A</v>
      </c>
      <c r="G553" s="61" t="e">
        <f>VLOOKUP(A553,'Clientes CBOT'!A:E,5,0)</f>
        <v>#N/A</v>
      </c>
      <c r="H553" t="str">
        <f t="shared" si="24"/>
        <v>Hard</v>
      </c>
      <c r="I553" s="6" t="e">
        <f t="shared" si="25"/>
        <v>#N/A</v>
      </c>
      <c r="J553" s="6" t="e">
        <f t="shared" si="26"/>
        <v>#N/A</v>
      </c>
    </row>
    <row r="554" spans="2:10" x14ac:dyDescent="0.3">
      <c r="B554" t="e">
        <f>VLOOKUP(A554,'Clientes CBOT'!A:D,4,0)</f>
        <v>#N/A</v>
      </c>
      <c r="C554" s="7" t="e">
        <f>VLOOKUP(A554,'Statement base'!E:AO,21,0)</f>
        <v>#N/A</v>
      </c>
      <c r="D554" s="7" t="e">
        <f>VLOOKUP(A554,'Statement base'!E:AO,10,0)-VLOOKUP(A554,'Statement base'!E:AO,21,0)</f>
        <v>#N/A</v>
      </c>
      <c r="E554" t="s">
        <v>188</v>
      </c>
      <c r="F554" s="6" t="e">
        <f>VLOOKUP(A554,'Statement base'!E:AO,10,0)+VLOOKUP(A554,'Statement base'!E:AO,14,0)</f>
        <v>#N/A</v>
      </c>
      <c r="G554" s="61" t="e">
        <f>VLOOKUP(A554,'Clientes CBOT'!A:E,5,0)</f>
        <v>#N/A</v>
      </c>
      <c r="H554" t="str">
        <f t="shared" si="24"/>
        <v>Hard</v>
      </c>
      <c r="I554" s="6" t="e">
        <f t="shared" si="25"/>
        <v>#N/A</v>
      </c>
      <c r="J554" s="6" t="e">
        <f t="shared" si="26"/>
        <v>#N/A</v>
      </c>
    </row>
    <row r="555" spans="2:10" x14ac:dyDescent="0.3">
      <c r="B555" t="e">
        <f>VLOOKUP(A555,'Clientes CBOT'!A:D,4,0)</f>
        <v>#N/A</v>
      </c>
      <c r="C555" s="7" t="e">
        <f>VLOOKUP(A555,'Statement base'!E:AO,21,0)</f>
        <v>#N/A</v>
      </c>
      <c r="D555" s="7" t="e">
        <f>VLOOKUP(A555,'Statement base'!E:AO,10,0)-VLOOKUP(A555,'Statement base'!E:AO,21,0)</f>
        <v>#N/A</v>
      </c>
      <c r="E555" t="s">
        <v>188</v>
      </c>
      <c r="F555" s="6" t="e">
        <f>VLOOKUP(A555,'Statement base'!E:AO,10,0)+VLOOKUP(A555,'Statement base'!E:AO,14,0)</f>
        <v>#N/A</v>
      </c>
      <c r="G555" s="61" t="e">
        <f>VLOOKUP(A555,'Clientes CBOT'!A:E,5,0)</f>
        <v>#N/A</v>
      </c>
      <c r="H555" t="str">
        <f t="shared" si="24"/>
        <v>Hard</v>
      </c>
      <c r="I555" s="6" t="e">
        <f t="shared" si="25"/>
        <v>#N/A</v>
      </c>
      <c r="J555" s="6" t="e">
        <f t="shared" si="26"/>
        <v>#N/A</v>
      </c>
    </row>
    <row r="556" spans="2:10" x14ac:dyDescent="0.3">
      <c r="B556" t="e">
        <f>VLOOKUP(A556,'Clientes CBOT'!A:D,4,0)</f>
        <v>#N/A</v>
      </c>
      <c r="C556" s="7" t="e">
        <f>VLOOKUP(A556,'Statement base'!E:AO,21,0)</f>
        <v>#N/A</v>
      </c>
      <c r="D556" s="7" t="e">
        <f>VLOOKUP(A556,'Statement base'!E:AO,10,0)-VLOOKUP(A556,'Statement base'!E:AO,21,0)</f>
        <v>#N/A</v>
      </c>
      <c r="E556" t="s">
        <v>188</v>
      </c>
      <c r="F556" s="6" t="e">
        <f>VLOOKUP(A556,'Statement base'!E:AO,10,0)+VLOOKUP(A556,'Statement base'!E:AO,14,0)</f>
        <v>#N/A</v>
      </c>
      <c r="G556" s="61" t="e">
        <f>VLOOKUP(A556,'Clientes CBOT'!A:E,5,0)</f>
        <v>#N/A</v>
      </c>
      <c r="H556" t="str">
        <f t="shared" si="24"/>
        <v>Hard</v>
      </c>
      <c r="I556" s="6" t="e">
        <f t="shared" si="25"/>
        <v>#N/A</v>
      </c>
      <c r="J556" s="6" t="e">
        <f t="shared" si="26"/>
        <v>#N/A</v>
      </c>
    </row>
    <row r="557" spans="2:10" x14ac:dyDescent="0.3">
      <c r="B557" t="e">
        <f>VLOOKUP(A557,'Clientes CBOT'!A:D,4,0)</f>
        <v>#N/A</v>
      </c>
      <c r="C557" s="7" t="e">
        <f>VLOOKUP(A557,'Statement base'!E:AO,21,0)</f>
        <v>#N/A</v>
      </c>
      <c r="D557" s="7" t="e">
        <f>VLOOKUP(A557,'Statement base'!E:AO,10,0)-VLOOKUP(A557,'Statement base'!E:AO,21,0)</f>
        <v>#N/A</v>
      </c>
      <c r="E557" t="s">
        <v>188</v>
      </c>
      <c r="F557" s="6" t="e">
        <f>VLOOKUP(A557,'Statement base'!E:AO,10,0)+VLOOKUP(A557,'Statement base'!E:AO,14,0)</f>
        <v>#N/A</v>
      </c>
      <c r="G557" s="61" t="e">
        <f>VLOOKUP(A557,'Clientes CBOT'!A:E,5,0)</f>
        <v>#N/A</v>
      </c>
      <c r="H557" t="str">
        <f t="shared" si="24"/>
        <v>Hard</v>
      </c>
      <c r="I557" s="6" t="e">
        <f t="shared" si="25"/>
        <v>#N/A</v>
      </c>
      <c r="J557" s="6" t="e">
        <f t="shared" si="26"/>
        <v>#N/A</v>
      </c>
    </row>
    <row r="558" spans="2:10" x14ac:dyDescent="0.3">
      <c r="B558" t="e">
        <f>VLOOKUP(A558,'Clientes CBOT'!A:D,4,0)</f>
        <v>#N/A</v>
      </c>
      <c r="C558" s="7" t="e">
        <f>VLOOKUP(A558,'Statement base'!E:AO,21,0)</f>
        <v>#N/A</v>
      </c>
      <c r="D558" s="7" t="e">
        <f>VLOOKUP(A558,'Statement base'!E:AO,10,0)-VLOOKUP(A558,'Statement base'!E:AO,21,0)</f>
        <v>#N/A</v>
      </c>
      <c r="E558" t="s">
        <v>188</v>
      </c>
      <c r="F558" s="6" t="e">
        <f>VLOOKUP(A558,'Statement base'!E:AO,10,0)+VLOOKUP(A558,'Statement base'!E:AO,14,0)</f>
        <v>#N/A</v>
      </c>
      <c r="G558" s="61" t="e">
        <f>VLOOKUP(A558,'Clientes CBOT'!A:E,5,0)</f>
        <v>#N/A</v>
      </c>
      <c r="H558" t="str">
        <f t="shared" si="24"/>
        <v>Hard</v>
      </c>
      <c r="I558" s="6" t="e">
        <f t="shared" si="25"/>
        <v>#N/A</v>
      </c>
      <c r="J558" s="6" t="e">
        <f t="shared" si="26"/>
        <v>#N/A</v>
      </c>
    </row>
    <row r="559" spans="2:10" x14ac:dyDescent="0.3">
      <c r="B559" t="e">
        <f>VLOOKUP(A559,'Clientes CBOT'!A:D,4,0)</f>
        <v>#N/A</v>
      </c>
      <c r="C559" s="7" t="e">
        <f>VLOOKUP(A559,'Statement base'!E:AO,21,0)</f>
        <v>#N/A</v>
      </c>
      <c r="D559" s="7" t="e">
        <f>VLOOKUP(A559,'Statement base'!E:AO,10,0)-VLOOKUP(A559,'Statement base'!E:AO,21,0)</f>
        <v>#N/A</v>
      </c>
      <c r="E559" t="s">
        <v>188</v>
      </c>
      <c r="F559" s="6" t="e">
        <f>VLOOKUP(A559,'Statement base'!E:AO,10,0)+VLOOKUP(A559,'Statement base'!E:AO,14,0)</f>
        <v>#N/A</v>
      </c>
      <c r="G559" s="61" t="e">
        <f>VLOOKUP(A559,'Clientes CBOT'!A:E,5,0)</f>
        <v>#N/A</v>
      </c>
      <c r="H559" t="str">
        <f t="shared" si="24"/>
        <v>Hard</v>
      </c>
      <c r="I559" s="6" t="e">
        <f t="shared" si="25"/>
        <v>#N/A</v>
      </c>
      <c r="J559" s="6" t="e">
        <f t="shared" si="26"/>
        <v>#N/A</v>
      </c>
    </row>
    <row r="560" spans="2:10" x14ac:dyDescent="0.3">
      <c r="B560" t="e">
        <f>VLOOKUP(A560,'Clientes CBOT'!A:D,4,0)</f>
        <v>#N/A</v>
      </c>
      <c r="C560" s="7" t="e">
        <f>VLOOKUP(A560,'Statement base'!E:AO,21,0)</f>
        <v>#N/A</v>
      </c>
      <c r="D560" s="7" t="e">
        <f>VLOOKUP(A560,'Statement base'!E:AO,10,0)-VLOOKUP(A560,'Statement base'!E:AO,21,0)</f>
        <v>#N/A</v>
      </c>
      <c r="E560" t="s">
        <v>188</v>
      </c>
      <c r="F560" s="6" t="e">
        <f>VLOOKUP(A560,'Statement base'!E:AO,10,0)+VLOOKUP(A560,'Statement base'!E:AO,14,0)</f>
        <v>#N/A</v>
      </c>
      <c r="G560" s="61" t="e">
        <f>VLOOKUP(A560,'Clientes CBOT'!A:E,5,0)</f>
        <v>#N/A</v>
      </c>
      <c r="H560" t="str">
        <f t="shared" si="24"/>
        <v>Hard</v>
      </c>
      <c r="I560" s="6" t="e">
        <f t="shared" si="25"/>
        <v>#N/A</v>
      </c>
      <c r="J560" s="6" t="e">
        <f t="shared" si="26"/>
        <v>#N/A</v>
      </c>
    </row>
    <row r="561" spans="2:10" x14ac:dyDescent="0.3">
      <c r="B561" t="e">
        <f>VLOOKUP(A561,'Clientes CBOT'!A:D,4,0)</f>
        <v>#N/A</v>
      </c>
      <c r="C561" s="7" t="e">
        <f>VLOOKUP(A561,'Statement base'!E:AO,21,0)</f>
        <v>#N/A</v>
      </c>
      <c r="D561" s="7" t="e">
        <f>VLOOKUP(A561,'Statement base'!E:AO,10,0)-VLOOKUP(A561,'Statement base'!E:AO,21,0)</f>
        <v>#N/A</v>
      </c>
      <c r="E561" t="s">
        <v>188</v>
      </c>
      <c r="F561" s="6" t="e">
        <f>VLOOKUP(A561,'Statement base'!E:AO,10,0)+VLOOKUP(A561,'Statement base'!E:AO,14,0)</f>
        <v>#N/A</v>
      </c>
      <c r="G561" s="61" t="e">
        <f>VLOOKUP(A561,'Clientes CBOT'!A:E,5,0)</f>
        <v>#N/A</v>
      </c>
      <c r="H561" t="str">
        <f t="shared" si="24"/>
        <v>Hard</v>
      </c>
      <c r="I561" s="6" t="e">
        <f t="shared" si="25"/>
        <v>#N/A</v>
      </c>
      <c r="J561" s="6" t="e">
        <f t="shared" si="26"/>
        <v>#N/A</v>
      </c>
    </row>
    <row r="562" spans="2:10" x14ac:dyDescent="0.3">
      <c r="B562" t="e">
        <f>VLOOKUP(A562,'Clientes CBOT'!A:D,4,0)</f>
        <v>#N/A</v>
      </c>
      <c r="C562" s="7" t="e">
        <f>VLOOKUP(A562,'Statement base'!E:AO,21,0)</f>
        <v>#N/A</v>
      </c>
      <c r="D562" s="7" t="e">
        <f>VLOOKUP(A562,'Statement base'!E:AO,10,0)-VLOOKUP(A562,'Statement base'!E:AO,21,0)</f>
        <v>#N/A</v>
      </c>
      <c r="E562" t="s">
        <v>188</v>
      </c>
      <c r="F562" s="6" t="e">
        <f>VLOOKUP(A562,'Statement base'!E:AO,10,0)+VLOOKUP(A562,'Statement base'!E:AO,14,0)</f>
        <v>#N/A</v>
      </c>
      <c r="G562" s="61" t="e">
        <f>VLOOKUP(A562,'Clientes CBOT'!A:E,5,0)</f>
        <v>#N/A</v>
      </c>
      <c r="H562" t="str">
        <f t="shared" si="24"/>
        <v>Hard</v>
      </c>
      <c r="I562" s="6" t="e">
        <f t="shared" si="25"/>
        <v>#N/A</v>
      </c>
      <c r="J562" s="6" t="e">
        <f t="shared" si="26"/>
        <v>#N/A</v>
      </c>
    </row>
    <row r="563" spans="2:10" x14ac:dyDescent="0.3">
      <c r="B563" t="e">
        <f>VLOOKUP(A563,'Clientes CBOT'!A:D,4,0)</f>
        <v>#N/A</v>
      </c>
      <c r="C563" s="7" t="e">
        <f>VLOOKUP(A563,'Statement base'!E:AO,21,0)</f>
        <v>#N/A</v>
      </c>
      <c r="D563" s="7" t="e">
        <f>VLOOKUP(A563,'Statement base'!E:AO,10,0)-VLOOKUP(A563,'Statement base'!E:AO,21,0)</f>
        <v>#N/A</v>
      </c>
      <c r="E563" t="s">
        <v>188</v>
      </c>
      <c r="F563" s="6" t="e">
        <f>VLOOKUP(A563,'Statement base'!E:AO,10,0)+VLOOKUP(A563,'Statement base'!E:AO,14,0)</f>
        <v>#N/A</v>
      </c>
      <c r="G563" s="61" t="e">
        <f>VLOOKUP(A563,'Clientes CBOT'!A:E,5,0)</f>
        <v>#N/A</v>
      </c>
      <c r="H563" t="str">
        <f t="shared" si="24"/>
        <v>Hard</v>
      </c>
      <c r="I563" s="6" t="e">
        <f t="shared" si="25"/>
        <v>#N/A</v>
      </c>
      <c r="J563" s="6" t="e">
        <f t="shared" si="26"/>
        <v>#N/A</v>
      </c>
    </row>
    <row r="564" spans="2:10" x14ac:dyDescent="0.3">
      <c r="B564" t="e">
        <f>VLOOKUP(A564,'Clientes CBOT'!A:D,4,0)</f>
        <v>#N/A</v>
      </c>
      <c r="C564" s="7" t="e">
        <f>VLOOKUP(A564,'Statement base'!E:AO,21,0)</f>
        <v>#N/A</v>
      </c>
      <c r="D564" s="7" t="e">
        <f>VLOOKUP(A564,'Statement base'!E:AO,10,0)-VLOOKUP(A564,'Statement base'!E:AO,21,0)</f>
        <v>#N/A</v>
      </c>
      <c r="E564" t="s">
        <v>188</v>
      </c>
      <c r="F564" s="6" t="e">
        <f>VLOOKUP(A564,'Statement base'!E:AO,10,0)+VLOOKUP(A564,'Statement base'!E:AO,14,0)</f>
        <v>#N/A</v>
      </c>
      <c r="G564" s="61" t="e">
        <f>VLOOKUP(A564,'Clientes CBOT'!A:E,5,0)</f>
        <v>#N/A</v>
      </c>
      <c r="H564" t="str">
        <f t="shared" si="24"/>
        <v>Hard</v>
      </c>
      <c r="I564" s="6" t="e">
        <f t="shared" si="25"/>
        <v>#N/A</v>
      </c>
      <c r="J564" s="6" t="e">
        <f t="shared" si="26"/>
        <v>#N/A</v>
      </c>
    </row>
    <row r="565" spans="2:10" x14ac:dyDescent="0.3">
      <c r="B565" t="e">
        <f>VLOOKUP(A565,'Clientes CBOT'!A:D,4,0)</f>
        <v>#N/A</v>
      </c>
      <c r="C565" s="7" t="e">
        <f>VLOOKUP(A565,'Statement base'!E:AO,21,0)</f>
        <v>#N/A</v>
      </c>
      <c r="D565" s="7" t="e">
        <f>VLOOKUP(A565,'Statement base'!E:AO,10,0)-VLOOKUP(A565,'Statement base'!E:AO,21,0)</f>
        <v>#N/A</v>
      </c>
      <c r="E565" t="s">
        <v>188</v>
      </c>
      <c r="F565" s="6" t="e">
        <f>VLOOKUP(A565,'Statement base'!E:AO,10,0)+VLOOKUP(A565,'Statement base'!E:AO,14,0)</f>
        <v>#N/A</v>
      </c>
      <c r="G565" s="61" t="e">
        <f>VLOOKUP(A565,'Clientes CBOT'!A:E,5,0)</f>
        <v>#N/A</v>
      </c>
      <c r="H565" t="str">
        <f t="shared" si="24"/>
        <v>Hard</v>
      </c>
      <c r="I565" s="6" t="e">
        <f t="shared" si="25"/>
        <v>#N/A</v>
      </c>
      <c r="J565" s="6" t="e">
        <f t="shared" si="26"/>
        <v>#N/A</v>
      </c>
    </row>
    <row r="566" spans="2:10" x14ac:dyDescent="0.3">
      <c r="B566" t="e">
        <f>VLOOKUP(A566,'Clientes CBOT'!A:D,4,0)</f>
        <v>#N/A</v>
      </c>
      <c r="C566" s="7" t="e">
        <f>VLOOKUP(A566,'Statement base'!E:AO,21,0)</f>
        <v>#N/A</v>
      </c>
      <c r="D566" s="7" t="e">
        <f>VLOOKUP(A566,'Statement base'!E:AO,10,0)-VLOOKUP(A566,'Statement base'!E:AO,21,0)</f>
        <v>#N/A</v>
      </c>
      <c r="E566" t="s">
        <v>188</v>
      </c>
      <c r="F566" s="6" t="e">
        <f>VLOOKUP(A566,'Statement base'!E:AO,10,0)+VLOOKUP(A566,'Statement base'!E:AO,14,0)</f>
        <v>#N/A</v>
      </c>
      <c r="G566" s="61" t="e">
        <f>VLOOKUP(A566,'Clientes CBOT'!A:E,5,0)</f>
        <v>#N/A</v>
      </c>
      <c r="H566" t="str">
        <f t="shared" si="24"/>
        <v>Hard</v>
      </c>
      <c r="I566" s="6" t="e">
        <f t="shared" si="25"/>
        <v>#N/A</v>
      </c>
      <c r="J566" s="6" t="e">
        <f t="shared" si="26"/>
        <v>#N/A</v>
      </c>
    </row>
    <row r="567" spans="2:10" x14ac:dyDescent="0.3">
      <c r="B567" t="e">
        <f>VLOOKUP(A567,'Clientes CBOT'!A:D,4,0)</f>
        <v>#N/A</v>
      </c>
      <c r="C567" s="7" t="e">
        <f>VLOOKUP(A567,'Statement base'!E:AO,21,0)</f>
        <v>#N/A</v>
      </c>
      <c r="D567" s="7" t="e">
        <f>VLOOKUP(A567,'Statement base'!E:AO,10,0)-VLOOKUP(A567,'Statement base'!E:AO,21,0)</f>
        <v>#N/A</v>
      </c>
      <c r="E567" t="s">
        <v>188</v>
      </c>
      <c r="F567" s="6" t="e">
        <f>VLOOKUP(A567,'Statement base'!E:AO,10,0)+VLOOKUP(A567,'Statement base'!E:AO,14,0)</f>
        <v>#N/A</v>
      </c>
      <c r="G567" s="61" t="e">
        <f>VLOOKUP(A567,'Clientes CBOT'!A:E,5,0)</f>
        <v>#N/A</v>
      </c>
      <c r="H567" t="str">
        <f t="shared" si="24"/>
        <v>Hard</v>
      </c>
      <c r="I567" s="6" t="e">
        <f t="shared" si="25"/>
        <v>#N/A</v>
      </c>
      <c r="J567" s="6" t="e">
        <f t="shared" si="26"/>
        <v>#N/A</v>
      </c>
    </row>
    <row r="568" spans="2:10" x14ac:dyDescent="0.3">
      <c r="B568" t="e">
        <f>VLOOKUP(A568,'Clientes CBOT'!A:D,4,0)</f>
        <v>#N/A</v>
      </c>
      <c r="C568" s="7" t="e">
        <f>VLOOKUP(A568,'Statement base'!E:AO,21,0)</f>
        <v>#N/A</v>
      </c>
      <c r="D568" s="7" t="e">
        <f>VLOOKUP(A568,'Statement base'!E:AO,10,0)-VLOOKUP(A568,'Statement base'!E:AO,21,0)</f>
        <v>#N/A</v>
      </c>
      <c r="E568" t="s">
        <v>188</v>
      </c>
      <c r="F568" s="6" t="e">
        <f>VLOOKUP(A568,'Statement base'!E:AO,10,0)+VLOOKUP(A568,'Statement base'!E:AO,14,0)</f>
        <v>#N/A</v>
      </c>
      <c r="G568" s="61" t="e">
        <f>VLOOKUP(A568,'Clientes CBOT'!A:E,5,0)</f>
        <v>#N/A</v>
      </c>
      <c r="H568" t="str">
        <f t="shared" si="24"/>
        <v>Hard</v>
      </c>
      <c r="I568" s="6" t="e">
        <f t="shared" si="25"/>
        <v>#N/A</v>
      </c>
      <c r="J568" s="6" t="e">
        <f t="shared" si="26"/>
        <v>#N/A</v>
      </c>
    </row>
    <row r="569" spans="2:10" x14ac:dyDescent="0.3">
      <c r="B569" t="e">
        <f>VLOOKUP(A569,'Clientes CBOT'!A:D,4,0)</f>
        <v>#N/A</v>
      </c>
      <c r="C569" s="7" t="e">
        <f>VLOOKUP(A569,'Statement base'!E:AO,21,0)</f>
        <v>#N/A</v>
      </c>
      <c r="D569" s="7" t="e">
        <f>VLOOKUP(A569,'Statement base'!E:AO,10,0)-VLOOKUP(A569,'Statement base'!E:AO,21,0)</f>
        <v>#N/A</v>
      </c>
      <c r="E569" t="s">
        <v>188</v>
      </c>
      <c r="F569" s="6" t="e">
        <f>VLOOKUP(A569,'Statement base'!E:AO,10,0)+VLOOKUP(A569,'Statement base'!E:AO,14,0)</f>
        <v>#N/A</v>
      </c>
      <c r="G569" s="61" t="e">
        <f>VLOOKUP(A569,'Clientes CBOT'!A:E,5,0)</f>
        <v>#N/A</v>
      </c>
      <c r="H569" t="str">
        <f t="shared" si="24"/>
        <v>Hard</v>
      </c>
      <c r="I569" s="6" t="e">
        <f t="shared" si="25"/>
        <v>#N/A</v>
      </c>
      <c r="J569" s="6" t="e">
        <f t="shared" si="26"/>
        <v>#N/A</v>
      </c>
    </row>
    <row r="570" spans="2:10" x14ac:dyDescent="0.3">
      <c r="B570" t="e">
        <f>VLOOKUP(A570,'Clientes CBOT'!A:D,4,0)</f>
        <v>#N/A</v>
      </c>
      <c r="C570" s="7" t="e">
        <f>VLOOKUP(A570,'Statement base'!E:AO,21,0)</f>
        <v>#N/A</v>
      </c>
      <c r="D570" s="7" t="e">
        <f>VLOOKUP(A570,'Statement base'!E:AO,10,0)-VLOOKUP(A570,'Statement base'!E:AO,21,0)</f>
        <v>#N/A</v>
      </c>
      <c r="E570" t="s">
        <v>188</v>
      </c>
      <c r="F570" s="6" t="e">
        <f>VLOOKUP(A570,'Statement base'!E:AO,10,0)+VLOOKUP(A570,'Statement base'!E:AO,14,0)</f>
        <v>#N/A</v>
      </c>
      <c r="G570" s="61" t="e">
        <f>VLOOKUP(A570,'Clientes CBOT'!A:E,5,0)</f>
        <v>#N/A</v>
      </c>
      <c r="H570" t="str">
        <f t="shared" si="24"/>
        <v>Hard</v>
      </c>
      <c r="I570" s="6" t="e">
        <f t="shared" si="25"/>
        <v>#N/A</v>
      </c>
      <c r="J570" s="6" t="e">
        <f t="shared" si="26"/>
        <v>#N/A</v>
      </c>
    </row>
    <row r="571" spans="2:10" x14ac:dyDescent="0.3">
      <c r="B571" t="e">
        <f>VLOOKUP(A571,'Clientes CBOT'!A:D,4,0)</f>
        <v>#N/A</v>
      </c>
      <c r="C571" s="7" t="e">
        <f>VLOOKUP(A571,'Statement base'!E:AO,21,0)</f>
        <v>#N/A</v>
      </c>
      <c r="D571" s="7" t="e">
        <f>VLOOKUP(A571,'Statement base'!E:AO,10,0)-VLOOKUP(A571,'Statement base'!E:AO,21,0)</f>
        <v>#N/A</v>
      </c>
      <c r="E571" t="s">
        <v>188</v>
      </c>
      <c r="F571" s="6" t="e">
        <f>VLOOKUP(A571,'Statement base'!E:AO,10,0)+VLOOKUP(A571,'Statement base'!E:AO,14,0)</f>
        <v>#N/A</v>
      </c>
      <c r="G571" s="61" t="e">
        <f>VLOOKUP(A571,'Clientes CBOT'!A:E,5,0)</f>
        <v>#N/A</v>
      </c>
      <c r="H571" t="str">
        <f t="shared" si="24"/>
        <v>Hard</v>
      </c>
      <c r="I571" s="6" t="e">
        <f t="shared" si="25"/>
        <v>#N/A</v>
      </c>
      <c r="J571" s="6" t="e">
        <f t="shared" si="26"/>
        <v>#N/A</v>
      </c>
    </row>
    <row r="572" spans="2:10" x14ac:dyDescent="0.3">
      <c r="B572" t="e">
        <f>VLOOKUP(A572,'Clientes CBOT'!A:D,4,0)</f>
        <v>#N/A</v>
      </c>
      <c r="C572" s="7" t="e">
        <f>VLOOKUP(A572,'Statement base'!E:AO,21,0)</f>
        <v>#N/A</v>
      </c>
      <c r="D572" s="7" t="e">
        <f>VLOOKUP(A572,'Statement base'!E:AO,10,0)-VLOOKUP(A572,'Statement base'!E:AO,21,0)</f>
        <v>#N/A</v>
      </c>
      <c r="E572" t="s">
        <v>188</v>
      </c>
      <c r="F572" s="6" t="e">
        <f>VLOOKUP(A572,'Statement base'!E:AO,10,0)+VLOOKUP(A572,'Statement base'!E:AO,14,0)</f>
        <v>#N/A</v>
      </c>
      <c r="G572" s="61" t="e">
        <f>VLOOKUP(A572,'Clientes CBOT'!A:E,5,0)</f>
        <v>#N/A</v>
      </c>
      <c r="H572" t="str">
        <f t="shared" si="24"/>
        <v>Hard</v>
      </c>
      <c r="I572" s="6" t="e">
        <f t="shared" si="25"/>
        <v>#N/A</v>
      </c>
      <c r="J572" s="6" t="e">
        <f t="shared" si="26"/>
        <v>#N/A</v>
      </c>
    </row>
    <row r="573" spans="2:10" x14ac:dyDescent="0.3">
      <c r="B573" t="e">
        <f>VLOOKUP(A573,'Clientes CBOT'!A:D,4,0)</f>
        <v>#N/A</v>
      </c>
      <c r="C573" s="7" t="e">
        <f>VLOOKUP(A573,'Statement base'!E:AO,21,0)</f>
        <v>#N/A</v>
      </c>
      <c r="D573" s="7" t="e">
        <f>VLOOKUP(A573,'Statement base'!E:AO,10,0)-VLOOKUP(A573,'Statement base'!E:AO,21,0)</f>
        <v>#N/A</v>
      </c>
      <c r="E573" t="s">
        <v>188</v>
      </c>
      <c r="F573" s="6" t="e">
        <f>VLOOKUP(A573,'Statement base'!E:AO,10,0)+VLOOKUP(A573,'Statement base'!E:AO,14,0)</f>
        <v>#N/A</v>
      </c>
      <c r="G573" s="61" t="e">
        <f>VLOOKUP(A573,'Clientes CBOT'!A:E,5,0)</f>
        <v>#N/A</v>
      </c>
      <c r="H573" t="str">
        <f t="shared" si="24"/>
        <v>Hard</v>
      </c>
      <c r="I573" s="6" t="e">
        <f t="shared" si="25"/>
        <v>#N/A</v>
      </c>
      <c r="J573" s="6" t="e">
        <f t="shared" si="26"/>
        <v>#N/A</v>
      </c>
    </row>
    <row r="574" spans="2:10" x14ac:dyDescent="0.3">
      <c r="B574" t="e">
        <f>VLOOKUP(A574,'Clientes CBOT'!A:D,4,0)</f>
        <v>#N/A</v>
      </c>
      <c r="C574" s="7" t="e">
        <f>VLOOKUP(A574,'Statement base'!E:AO,21,0)</f>
        <v>#N/A</v>
      </c>
      <c r="D574" s="7" t="e">
        <f>VLOOKUP(A574,'Statement base'!E:AO,10,0)-VLOOKUP(A574,'Statement base'!E:AO,21,0)</f>
        <v>#N/A</v>
      </c>
      <c r="E574" t="s">
        <v>188</v>
      </c>
      <c r="F574" s="6" t="e">
        <f>VLOOKUP(A574,'Statement base'!E:AO,10,0)+VLOOKUP(A574,'Statement base'!E:AO,14,0)</f>
        <v>#N/A</v>
      </c>
      <c r="G574" s="61" t="e">
        <f>VLOOKUP(A574,'Clientes CBOT'!A:E,5,0)</f>
        <v>#N/A</v>
      </c>
      <c r="H574" t="str">
        <f t="shared" si="24"/>
        <v>Hard</v>
      </c>
      <c r="I574" s="6" t="e">
        <f t="shared" si="25"/>
        <v>#N/A</v>
      </c>
      <c r="J574" s="6" t="e">
        <f t="shared" si="26"/>
        <v>#N/A</v>
      </c>
    </row>
    <row r="575" spans="2:10" x14ac:dyDescent="0.3">
      <c r="B575" t="e">
        <f>VLOOKUP(A575,'Clientes CBOT'!A:D,4,0)</f>
        <v>#N/A</v>
      </c>
      <c r="C575" s="7" t="e">
        <f>VLOOKUP(A575,'Statement base'!E:AO,21,0)</f>
        <v>#N/A</v>
      </c>
      <c r="D575" s="7" t="e">
        <f>VLOOKUP(A575,'Statement base'!E:AO,10,0)-VLOOKUP(A575,'Statement base'!E:AO,21,0)</f>
        <v>#N/A</v>
      </c>
      <c r="E575" t="s">
        <v>188</v>
      </c>
      <c r="F575" s="6" t="e">
        <f>VLOOKUP(A575,'Statement base'!E:AO,10,0)+VLOOKUP(A575,'Statement base'!E:AO,14,0)</f>
        <v>#N/A</v>
      </c>
      <c r="G575" s="61" t="e">
        <f>VLOOKUP(A575,'Clientes CBOT'!A:E,5,0)</f>
        <v>#N/A</v>
      </c>
      <c r="H575" t="str">
        <f t="shared" si="24"/>
        <v>Hard</v>
      </c>
      <c r="I575" s="6" t="e">
        <f t="shared" si="25"/>
        <v>#N/A</v>
      </c>
      <c r="J575" s="6" t="e">
        <f t="shared" si="26"/>
        <v>#N/A</v>
      </c>
    </row>
    <row r="576" spans="2:10" x14ac:dyDescent="0.3">
      <c r="B576" t="e">
        <f>VLOOKUP(A576,'Clientes CBOT'!A:D,4,0)</f>
        <v>#N/A</v>
      </c>
      <c r="C576" s="7" t="e">
        <f>VLOOKUP(A576,'Statement base'!E:AO,21,0)</f>
        <v>#N/A</v>
      </c>
      <c r="D576" s="7" t="e">
        <f>VLOOKUP(A576,'Statement base'!E:AO,10,0)-VLOOKUP(A576,'Statement base'!E:AO,21,0)</f>
        <v>#N/A</v>
      </c>
      <c r="E576" t="s">
        <v>188</v>
      </c>
      <c r="F576" s="6" t="e">
        <f>VLOOKUP(A576,'Statement base'!E:AO,10,0)+VLOOKUP(A576,'Statement base'!E:AO,14,0)</f>
        <v>#N/A</v>
      </c>
      <c r="G576" s="61" t="e">
        <f>VLOOKUP(A576,'Clientes CBOT'!A:E,5,0)</f>
        <v>#N/A</v>
      </c>
      <c r="H576" t="str">
        <f t="shared" si="24"/>
        <v>Hard</v>
      </c>
      <c r="I576" s="6" t="e">
        <f t="shared" si="25"/>
        <v>#N/A</v>
      </c>
      <c r="J576" s="6" t="e">
        <f t="shared" si="26"/>
        <v>#N/A</v>
      </c>
    </row>
    <row r="577" spans="2:10" x14ac:dyDescent="0.3">
      <c r="B577" t="e">
        <f>VLOOKUP(A577,'Clientes CBOT'!A:D,4,0)</f>
        <v>#N/A</v>
      </c>
      <c r="C577" s="7" t="e">
        <f>VLOOKUP(A577,'Statement base'!E:AO,21,0)</f>
        <v>#N/A</v>
      </c>
      <c r="D577" s="7" t="e">
        <f>VLOOKUP(A577,'Statement base'!E:AO,10,0)-VLOOKUP(A577,'Statement base'!E:AO,21,0)</f>
        <v>#N/A</v>
      </c>
      <c r="E577" t="s">
        <v>188</v>
      </c>
      <c r="F577" s="6" t="e">
        <f>VLOOKUP(A577,'Statement base'!E:AO,10,0)+VLOOKUP(A577,'Statement base'!E:AO,14,0)</f>
        <v>#N/A</v>
      </c>
      <c r="G577" s="61" t="e">
        <f>VLOOKUP(A577,'Clientes CBOT'!A:E,5,0)</f>
        <v>#N/A</v>
      </c>
      <c r="H577" t="str">
        <f t="shared" si="24"/>
        <v>Hard</v>
      </c>
      <c r="I577" s="6" t="e">
        <f t="shared" si="25"/>
        <v>#N/A</v>
      </c>
      <c r="J577" s="6" t="e">
        <f t="shared" si="26"/>
        <v>#N/A</v>
      </c>
    </row>
    <row r="578" spans="2:10" x14ac:dyDescent="0.3">
      <c r="B578" t="e">
        <f>VLOOKUP(A578,'Clientes CBOT'!A:D,4,0)</f>
        <v>#N/A</v>
      </c>
      <c r="C578" s="7" t="e">
        <f>VLOOKUP(A578,'Statement base'!E:AO,21,0)</f>
        <v>#N/A</v>
      </c>
      <c r="D578" s="7" t="e">
        <f>VLOOKUP(A578,'Statement base'!E:AO,10,0)-VLOOKUP(A578,'Statement base'!E:AO,21,0)</f>
        <v>#N/A</v>
      </c>
      <c r="E578" t="s">
        <v>188</v>
      </c>
      <c r="F578" s="6" t="e">
        <f>VLOOKUP(A578,'Statement base'!E:AO,10,0)+VLOOKUP(A578,'Statement base'!E:AO,14,0)</f>
        <v>#N/A</v>
      </c>
      <c r="G578" s="61" t="e">
        <f>VLOOKUP(A578,'Clientes CBOT'!A:E,5,0)</f>
        <v>#N/A</v>
      </c>
      <c r="H578" t="str">
        <f t="shared" si="24"/>
        <v>Hard</v>
      </c>
      <c r="I578" s="6" t="e">
        <f t="shared" si="25"/>
        <v>#N/A</v>
      </c>
      <c r="J578" s="6" t="e">
        <f t="shared" si="26"/>
        <v>#N/A</v>
      </c>
    </row>
    <row r="579" spans="2:10" x14ac:dyDescent="0.3">
      <c r="B579" t="e">
        <f>VLOOKUP(A579,'Clientes CBOT'!A:D,4,0)</f>
        <v>#N/A</v>
      </c>
      <c r="C579" s="7" t="e">
        <f>VLOOKUP(A579,'Statement base'!E:AO,21,0)</f>
        <v>#N/A</v>
      </c>
      <c r="D579" s="7" t="e">
        <f>VLOOKUP(A579,'Statement base'!E:AO,10,0)-VLOOKUP(A579,'Statement base'!E:AO,21,0)</f>
        <v>#N/A</v>
      </c>
      <c r="E579" t="s">
        <v>188</v>
      </c>
      <c r="F579" s="6" t="e">
        <f>VLOOKUP(A579,'Statement base'!E:AO,10,0)+VLOOKUP(A579,'Statement base'!E:AO,14,0)</f>
        <v>#N/A</v>
      </c>
      <c r="G579" s="61" t="e">
        <f>VLOOKUP(A579,'Clientes CBOT'!A:E,5,0)</f>
        <v>#N/A</v>
      </c>
      <c r="H579" t="str">
        <f t="shared" si="24"/>
        <v>Hard</v>
      </c>
      <c r="I579" s="6" t="e">
        <f t="shared" si="25"/>
        <v>#N/A</v>
      </c>
      <c r="J579" s="6" t="e">
        <f t="shared" si="26"/>
        <v>#N/A</v>
      </c>
    </row>
    <row r="580" spans="2:10" x14ac:dyDescent="0.3">
      <c r="B580" t="e">
        <f>VLOOKUP(A580,'Clientes CBOT'!A:D,4,0)</f>
        <v>#N/A</v>
      </c>
      <c r="C580" s="7" t="e">
        <f>VLOOKUP(A580,'Statement base'!E:AO,21,0)</f>
        <v>#N/A</v>
      </c>
      <c r="D580" s="7" t="e">
        <f>VLOOKUP(A580,'Statement base'!E:AO,10,0)-VLOOKUP(A580,'Statement base'!E:AO,21,0)</f>
        <v>#N/A</v>
      </c>
      <c r="E580" t="s">
        <v>188</v>
      </c>
      <c r="F580" s="6" t="e">
        <f>VLOOKUP(A580,'Statement base'!E:AO,10,0)+VLOOKUP(A580,'Statement base'!E:AO,14,0)</f>
        <v>#N/A</v>
      </c>
      <c r="G580" s="61" t="e">
        <f>VLOOKUP(A580,'Clientes CBOT'!A:E,5,0)</f>
        <v>#N/A</v>
      </c>
      <c r="H580" t="str">
        <f t="shared" si="24"/>
        <v>Hard</v>
      </c>
      <c r="I580" s="6" t="e">
        <f t="shared" si="25"/>
        <v>#N/A</v>
      </c>
      <c r="J580" s="6" t="e">
        <f t="shared" si="26"/>
        <v>#N/A</v>
      </c>
    </row>
    <row r="581" spans="2:10" x14ac:dyDescent="0.3">
      <c r="B581" t="e">
        <f>VLOOKUP(A581,'Clientes CBOT'!A:D,4,0)</f>
        <v>#N/A</v>
      </c>
      <c r="C581" s="7" t="e">
        <f>VLOOKUP(A581,'Statement base'!E:AO,21,0)</f>
        <v>#N/A</v>
      </c>
      <c r="D581" s="7" t="e">
        <f>VLOOKUP(A581,'Statement base'!E:AO,10,0)-VLOOKUP(A581,'Statement base'!E:AO,21,0)</f>
        <v>#N/A</v>
      </c>
      <c r="E581" t="s">
        <v>188</v>
      </c>
      <c r="F581" s="6" t="e">
        <f>VLOOKUP(A581,'Statement base'!E:AO,10,0)+VLOOKUP(A581,'Statement base'!E:AO,14,0)</f>
        <v>#N/A</v>
      </c>
      <c r="G581" s="61" t="e">
        <f>VLOOKUP(A581,'Clientes CBOT'!A:E,5,0)</f>
        <v>#N/A</v>
      </c>
      <c r="H581" t="str">
        <f t="shared" ref="H581:H644" si="27">IF(E581="pesos","Ars",IF(E581="Dólar Matba Rofex","usd linked","Hard"))</f>
        <v>Hard</v>
      </c>
      <c r="I581" s="6" t="e">
        <f t="shared" ref="I581:I644" si="28">IF(H581="ars",C581/$J$1,IF(H581="hard",C581*$J$2/$J$1,C581))</f>
        <v>#N/A</v>
      </c>
      <c r="J581" s="6" t="e">
        <f t="shared" ref="J581:J644" si="29">IF(H581="ars",D581/$J$1,IF(H581="hard",D581*$J$2/$J$1,D581))</f>
        <v>#N/A</v>
      </c>
    </row>
    <row r="582" spans="2:10" x14ac:dyDescent="0.3">
      <c r="B582" t="e">
        <f>VLOOKUP(A582,'Clientes CBOT'!A:D,4,0)</f>
        <v>#N/A</v>
      </c>
      <c r="C582" s="7" t="e">
        <f>VLOOKUP(A582,'Statement base'!E:AO,21,0)</f>
        <v>#N/A</v>
      </c>
      <c r="D582" s="7" t="e">
        <f>VLOOKUP(A582,'Statement base'!E:AO,10,0)-VLOOKUP(A582,'Statement base'!E:AO,21,0)</f>
        <v>#N/A</v>
      </c>
      <c r="E582" t="s">
        <v>188</v>
      </c>
      <c r="F582" s="6" t="e">
        <f>VLOOKUP(A582,'Statement base'!E:AO,10,0)+VLOOKUP(A582,'Statement base'!E:AO,14,0)</f>
        <v>#N/A</v>
      </c>
      <c r="G582" s="61" t="e">
        <f>VLOOKUP(A582,'Clientes CBOT'!A:E,5,0)</f>
        <v>#N/A</v>
      </c>
      <c r="H582" t="str">
        <f t="shared" si="27"/>
        <v>Hard</v>
      </c>
      <c r="I582" s="6" t="e">
        <f t="shared" si="28"/>
        <v>#N/A</v>
      </c>
      <c r="J582" s="6" t="e">
        <f t="shared" si="29"/>
        <v>#N/A</v>
      </c>
    </row>
    <row r="583" spans="2:10" x14ac:dyDescent="0.3">
      <c r="B583" t="e">
        <f>VLOOKUP(A583,'Clientes CBOT'!A:D,4,0)</f>
        <v>#N/A</v>
      </c>
      <c r="C583" s="7" t="e">
        <f>VLOOKUP(A583,'Statement base'!E:AO,21,0)</f>
        <v>#N/A</v>
      </c>
      <c r="D583" s="7" t="e">
        <f>VLOOKUP(A583,'Statement base'!E:AO,10,0)-VLOOKUP(A583,'Statement base'!E:AO,21,0)</f>
        <v>#N/A</v>
      </c>
      <c r="E583" t="s">
        <v>188</v>
      </c>
      <c r="F583" s="6" t="e">
        <f>VLOOKUP(A583,'Statement base'!E:AO,10,0)+VLOOKUP(A583,'Statement base'!E:AO,14,0)</f>
        <v>#N/A</v>
      </c>
      <c r="G583" s="61" t="e">
        <f>VLOOKUP(A583,'Clientes CBOT'!A:E,5,0)</f>
        <v>#N/A</v>
      </c>
      <c r="H583" t="str">
        <f t="shared" si="27"/>
        <v>Hard</v>
      </c>
      <c r="I583" s="6" t="e">
        <f t="shared" si="28"/>
        <v>#N/A</v>
      </c>
      <c r="J583" s="6" t="e">
        <f t="shared" si="29"/>
        <v>#N/A</v>
      </c>
    </row>
    <row r="584" spans="2:10" x14ac:dyDescent="0.3">
      <c r="B584" t="e">
        <f>VLOOKUP(A584,'Clientes CBOT'!A:D,4,0)</f>
        <v>#N/A</v>
      </c>
      <c r="C584" s="7" t="e">
        <f>VLOOKUP(A584,'Statement base'!E:AO,21,0)</f>
        <v>#N/A</v>
      </c>
      <c r="D584" s="7" t="e">
        <f>VLOOKUP(A584,'Statement base'!E:AO,10,0)-VLOOKUP(A584,'Statement base'!E:AO,21,0)</f>
        <v>#N/A</v>
      </c>
      <c r="E584" t="s">
        <v>188</v>
      </c>
      <c r="F584" s="6" t="e">
        <f>VLOOKUP(A584,'Statement base'!E:AO,10,0)+VLOOKUP(A584,'Statement base'!E:AO,14,0)</f>
        <v>#N/A</v>
      </c>
      <c r="G584" s="61" t="e">
        <f>VLOOKUP(A584,'Clientes CBOT'!A:E,5,0)</f>
        <v>#N/A</v>
      </c>
      <c r="H584" t="str">
        <f t="shared" si="27"/>
        <v>Hard</v>
      </c>
      <c r="I584" s="6" t="e">
        <f t="shared" si="28"/>
        <v>#N/A</v>
      </c>
      <c r="J584" s="6" t="e">
        <f t="shared" si="29"/>
        <v>#N/A</v>
      </c>
    </row>
    <row r="585" spans="2:10" x14ac:dyDescent="0.3">
      <c r="B585" t="e">
        <f>VLOOKUP(A585,'Clientes CBOT'!A:D,4,0)</f>
        <v>#N/A</v>
      </c>
      <c r="C585" s="7" t="e">
        <f>VLOOKUP(A585,'Statement base'!E:AO,21,0)</f>
        <v>#N/A</v>
      </c>
      <c r="D585" s="7" t="e">
        <f>VLOOKUP(A585,'Statement base'!E:AO,10,0)-VLOOKUP(A585,'Statement base'!E:AO,21,0)</f>
        <v>#N/A</v>
      </c>
      <c r="E585" t="s">
        <v>188</v>
      </c>
      <c r="F585" s="6" t="e">
        <f>VLOOKUP(A585,'Statement base'!E:AO,10,0)+VLOOKUP(A585,'Statement base'!E:AO,14,0)</f>
        <v>#N/A</v>
      </c>
      <c r="G585" s="61" t="e">
        <f>VLOOKUP(A585,'Clientes CBOT'!A:E,5,0)</f>
        <v>#N/A</v>
      </c>
      <c r="H585" t="str">
        <f t="shared" si="27"/>
        <v>Hard</v>
      </c>
      <c r="I585" s="6" t="e">
        <f t="shared" si="28"/>
        <v>#N/A</v>
      </c>
      <c r="J585" s="6" t="e">
        <f t="shared" si="29"/>
        <v>#N/A</v>
      </c>
    </row>
    <row r="586" spans="2:10" x14ac:dyDescent="0.3">
      <c r="B586" t="e">
        <f>VLOOKUP(A586,'Clientes CBOT'!A:D,4,0)</f>
        <v>#N/A</v>
      </c>
      <c r="C586" s="7" t="e">
        <f>VLOOKUP(A586,'Statement base'!E:AO,21,0)</f>
        <v>#N/A</v>
      </c>
      <c r="D586" s="7" t="e">
        <f>VLOOKUP(A586,'Statement base'!E:AO,10,0)-VLOOKUP(A586,'Statement base'!E:AO,21,0)</f>
        <v>#N/A</v>
      </c>
      <c r="E586" t="s">
        <v>188</v>
      </c>
      <c r="F586" s="6" t="e">
        <f>VLOOKUP(A586,'Statement base'!E:AO,10,0)+VLOOKUP(A586,'Statement base'!E:AO,14,0)</f>
        <v>#N/A</v>
      </c>
      <c r="G586" s="61" t="e">
        <f>VLOOKUP(A586,'Clientes CBOT'!A:E,5,0)</f>
        <v>#N/A</v>
      </c>
      <c r="H586" t="str">
        <f t="shared" si="27"/>
        <v>Hard</v>
      </c>
      <c r="I586" s="6" t="e">
        <f t="shared" si="28"/>
        <v>#N/A</v>
      </c>
      <c r="J586" s="6" t="e">
        <f t="shared" si="29"/>
        <v>#N/A</v>
      </c>
    </row>
    <row r="587" spans="2:10" x14ac:dyDescent="0.3">
      <c r="B587" t="e">
        <f>VLOOKUP(A587,'Clientes CBOT'!A:D,4,0)</f>
        <v>#N/A</v>
      </c>
      <c r="C587" s="7" t="e">
        <f>VLOOKUP(A587,'Statement base'!E:AO,21,0)</f>
        <v>#N/A</v>
      </c>
      <c r="D587" s="7" t="e">
        <f>VLOOKUP(A587,'Statement base'!E:AO,10,0)-VLOOKUP(A587,'Statement base'!E:AO,21,0)</f>
        <v>#N/A</v>
      </c>
      <c r="E587" t="s">
        <v>188</v>
      </c>
      <c r="F587" s="6" t="e">
        <f>VLOOKUP(A587,'Statement base'!E:AO,10,0)+VLOOKUP(A587,'Statement base'!E:AO,14,0)</f>
        <v>#N/A</v>
      </c>
      <c r="G587" s="61" t="e">
        <f>VLOOKUP(A587,'Clientes CBOT'!A:E,5,0)</f>
        <v>#N/A</v>
      </c>
      <c r="H587" t="str">
        <f t="shared" si="27"/>
        <v>Hard</v>
      </c>
      <c r="I587" s="6" t="e">
        <f t="shared" si="28"/>
        <v>#N/A</v>
      </c>
      <c r="J587" s="6" t="e">
        <f t="shared" si="29"/>
        <v>#N/A</v>
      </c>
    </row>
    <row r="588" spans="2:10" x14ac:dyDescent="0.3">
      <c r="B588" t="e">
        <f>VLOOKUP(A588,'Clientes CBOT'!A:D,4,0)</f>
        <v>#N/A</v>
      </c>
      <c r="C588" s="7" t="e">
        <f>VLOOKUP(A588,'Statement base'!E:AO,21,0)</f>
        <v>#N/A</v>
      </c>
      <c r="D588" s="7" t="e">
        <f>VLOOKUP(A588,'Statement base'!E:AO,10,0)-VLOOKUP(A588,'Statement base'!E:AO,21,0)</f>
        <v>#N/A</v>
      </c>
      <c r="E588" t="s">
        <v>188</v>
      </c>
      <c r="F588" s="6" t="e">
        <f>VLOOKUP(A588,'Statement base'!E:AO,10,0)+VLOOKUP(A588,'Statement base'!E:AO,14,0)</f>
        <v>#N/A</v>
      </c>
      <c r="G588" s="61" t="e">
        <f>VLOOKUP(A588,'Clientes CBOT'!A:E,5,0)</f>
        <v>#N/A</v>
      </c>
      <c r="H588" t="str">
        <f t="shared" si="27"/>
        <v>Hard</v>
      </c>
      <c r="I588" s="6" t="e">
        <f t="shared" si="28"/>
        <v>#N/A</v>
      </c>
      <c r="J588" s="6" t="e">
        <f t="shared" si="29"/>
        <v>#N/A</v>
      </c>
    </row>
    <row r="589" spans="2:10" x14ac:dyDescent="0.3">
      <c r="B589" t="e">
        <f>VLOOKUP(A589,'Clientes CBOT'!A:D,4,0)</f>
        <v>#N/A</v>
      </c>
      <c r="C589" s="7" t="e">
        <f>VLOOKUP(A589,'Statement base'!E:AO,21,0)</f>
        <v>#N/A</v>
      </c>
      <c r="D589" s="7" t="e">
        <f>VLOOKUP(A589,'Statement base'!E:AO,10,0)-VLOOKUP(A589,'Statement base'!E:AO,21,0)</f>
        <v>#N/A</v>
      </c>
      <c r="E589" t="s">
        <v>188</v>
      </c>
      <c r="F589" s="6" t="e">
        <f>VLOOKUP(A589,'Statement base'!E:AO,10,0)+VLOOKUP(A589,'Statement base'!E:AO,14,0)</f>
        <v>#N/A</v>
      </c>
      <c r="G589" s="61" t="e">
        <f>VLOOKUP(A589,'Clientes CBOT'!A:E,5,0)</f>
        <v>#N/A</v>
      </c>
      <c r="H589" t="str">
        <f t="shared" si="27"/>
        <v>Hard</v>
      </c>
      <c r="I589" s="6" t="e">
        <f t="shared" si="28"/>
        <v>#N/A</v>
      </c>
      <c r="J589" s="6" t="e">
        <f t="shared" si="29"/>
        <v>#N/A</v>
      </c>
    </row>
    <row r="590" spans="2:10" x14ac:dyDescent="0.3">
      <c r="B590" t="e">
        <f>VLOOKUP(A590,'Clientes CBOT'!A:D,4,0)</f>
        <v>#N/A</v>
      </c>
      <c r="C590" s="7" t="e">
        <f>VLOOKUP(A590,'Statement base'!E:AO,21,0)</f>
        <v>#N/A</v>
      </c>
      <c r="D590" s="7" t="e">
        <f>VLOOKUP(A590,'Statement base'!E:AO,10,0)-VLOOKUP(A590,'Statement base'!E:AO,21,0)</f>
        <v>#N/A</v>
      </c>
      <c r="E590" t="s">
        <v>188</v>
      </c>
      <c r="F590" s="6" t="e">
        <f>VLOOKUP(A590,'Statement base'!E:AO,10,0)+VLOOKUP(A590,'Statement base'!E:AO,14,0)</f>
        <v>#N/A</v>
      </c>
      <c r="G590" s="61" t="e">
        <f>VLOOKUP(A590,'Clientes CBOT'!A:E,5,0)</f>
        <v>#N/A</v>
      </c>
      <c r="H590" t="str">
        <f t="shared" si="27"/>
        <v>Hard</v>
      </c>
      <c r="I590" s="6" t="e">
        <f t="shared" si="28"/>
        <v>#N/A</v>
      </c>
      <c r="J590" s="6" t="e">
        <f t="shared" si="29"/>
        <v>#N/A</v>
      </c>
    </row>
    <row r="591" spans="2:10" x14ac:dyDescent="0.3">
      <c r="B591" t="e">
        <f>VLOOKUP(A591,'Clientes CBOT'!A:D,4,0)</f>
        <v>#N/A</v>
      </c>
      <c r="C591" s="7" t="e">
        <f>VLOOKUP(A591,'Statement base'!E:AO,21,0)</f>
        <v>#N/A</v>
      </c>
      <c r="D591" s="7" t="e">
        <f>VLOOKUP(A591,'Statement base'!E:AO,10,0)-VLOOKUP(A591,'Statement base'!E:AO,21,0)</f>
        <v>#N/A</v>
      </c>
      <c r="E591" t="s">
        <v>188</v>
      </c>
      <c r="F591" s="6" t="e">
        <f>VLOOKUP(A591,'Statement base'!E:AO,10,0)+VLOOKUP(A591,'Statement base'!E:AO,14,0)</f>
        <v>#N/A</v>
      </c>
      <c r="G591" s="61" t="e">
        <f>VLOOKUP(A591,'Clientes CBOT'!A:E,5,0)</f>
        <v>#N/A</v>
      </c>
      <c r="H591" t="str">
        <f t="shared" si="27"/>
        <v>Hard</v>
      </c>
      <c r="I591" s="6" t="e">
        <f t="shared" si="28"/>
        <v>#N/A</v>
      </c>
      <c r="J591" s="6" t="e">
        <f t="shared" si="29"/>
        <v>#N/A</v>
      </c>
    </row>
    <row r="592" spans="2:10" x14ac:dyDescent="0.3">
      <c r="B592" t="e">
        <f>VLOOKUP(A592,'Clientes CBOT'!A:D,4,0)</f>
        <v>#N/A</v>
      </c>
      <c r="C592" s="7" t="e">
        <f>VLOOKUP(A592,'Statement base'!E:AO,21,0)</f>
        <v>#N/A</v>
      </c>
      <c r="D592" s="7" t="e">
        <f>VLOOKUP(A592,'Statement base'!E:AO,10,0)-VLOOKUP(A592,'Statement base'!E:AO,21,0)</f>
        <v>#N/A</v>
      </c>
      <c r="E592" t="s">
        <v>188</v>
      </c>
      <c r="F592" s="6" t="e">
        <f>VLOOKUP(A592,'Statement base'!E:AO,10,0)+VLOOKUP(A592,'Statement base'!E:AO,14,0)</f>
        <v>#N/A</v>
      </c>
      <c r="G592" s="61" t="e">
        <f>VLOOKUP(A592,'Clientes CBOT'!A:E,5,0)</f>
        <v>#N/A</v>
      </c>
      <c r="H592" t="str">
        <f t="shared" si="27"/>
        <v>Hard</v>
      </c>
      <c r="I592" s="6" t="e">
        <f t="shared" si="28"/>
        <v>#N/A</v>
      </c>
      <c r="J592" s="6" t="e">
        <f t="shared" si="29"/>
        <v>#N/A</v>
      </c>
    </row>
    <row r="593" spans="2:10" x14ac:dyDescent="0.3">
      <c r="B593" t="e">
        <f>VLOOKUP(A593,'Clientes CBOT'!A:D,4,0)</f>
        <v>#N/A</v>
      </c>
      <c r="C593" s="7" t="e">
        <f>VLOOKUP(A593,'Statement base'!E:AO,21,0)</f>
        <v>#N/A</v>
      </c>
      <c r="D593" s="7" t="e">
        <f>VLOOKUP(A593,'Statement base'!E:AO,10,0)-VLOOKUP(A593,'Statement base'!E:AO,21,0)</f>
        <v>#N/A</v>
      </c>
      <c r="E593" t="s">
        <v>188</v>
      </c>
      <c r="F593" s="6" t="e">
        <f>VLOOKUP(A593,'Statement base'!E:AO,10,0)+VLOOKUP(A593,'Statement base'!E:AO,14,0)</f>
        <v>#N/A</v>
      </c>
      <c r="G593" s="61" t="e">
        <f>VLOOKUP(A593,'Clientes CBOT'!A:E,5,0)</f>
        <v>#N/A</v>
      </c>
      <c r="H593" t="str">
        <f t="shared" si="27"/>
        <v>Hard</v>
      </c>
      <c r="I593" s="6" t="e">
        <f t="shared" si="28"/>
        <v>#N/A</v>
      </c>
      <c r="J593" s="6" t="e">
        <f t="shared" si="29"/>
        <v>#N/A</v>
      </c>
    </row>
    <row r="594" spans="2:10" x14ac:dyDescent="0.3">
      <c r="B594" t="e">
        <f>VLOOKUP(A594,'Clientes CBOT'!A:D,4,0)</f>
        <v>#N/A</v>
      </c>
      <c r="C594" s="7" t="e">
        <f>VLOOKUP(A594,'Statement base'!E:AO,21,0)</f>
        <v>#N/A</v>
      </c>
      <c r="D594" s="7" t="e">
        <f>VLOOKUP(A594,'Statement base'!E:AO,10,0)-VLOOKUP(A594,'Statement base'!E:AO,21,0)</f>
        <v>#N/A</v>
      </c>
      <c r="E594" t="s">
        <v>188</v>
      </c>
      <c r="F594" s="6" t="e">
        <f>VLOOKUP(A594,'Statement base'!E:AO,10,0)+VLOOKUP(A594,'Statement base'!E:AO,14,0)</f>
        <v>#N/A</v>
      </c>
      <c r="G594" s="61" t="e">
        <f>VLOOKUP(A594,'Clientes CBOT'!A:E,5,0)</f>
        <v>#N/A</v>
      </c>
      <c r="H594" t="str">
        <f t="shared" si="27"/>
        <v>Hard</v>
      </c>
      <c r="I594" s="6" t="e">
        <f t="shared" si="28"/>
        <v>#N/A</v>
      </c>
      <c r="J594" s="6" t="e">
        <f t="shared" si="29"/>
        <v>#N/A</v>
      </c>
    </row>
    <row r="595" spans="2:10" x14ac:dyDescent="0.3">
      <c r="B595" t="e">
        <f>VLOOKUP(A595,'Clientes CBOT'!A:D,4,0)</f>
        <v>#N/A</v>
      </c>
      <c r="C595" s="7" t="e">
        <f>VLOOKUP(A595,'Statement base'!E:AO,21,0)</f>
        <v>#N/A</v>
      </c>
      <c r="D595" s="7" t="e">
        <f>VLOOKUP(A595,'Statement base'!E:AO,10,0)-VLOOKUP(A595,'Statement base'!E:AO,21,0)</f>
        <v>#N/A</v>
      </c>
      <c r="E595" t="s">
        <v>188</v>
      </c>
      <c r="F595" s="6" t="e">
        <f>VLOOKUP(A595,'Statement base'!E:AO,10,0)+VLOOKUP(A595,'Statement base'!E:AO,14,0)</f>
        <v>#N/A</v>
      </c>
      <c r="G595" s="61" t="e">
        <f>VLOOKUP(A595,'Clientes CBOT'!A:E,5,0)</f>
        <v>#N/A</v>
      </c>
      <c r="H595" t="str">
        <f t="shared" si="27"/>
        <v>Hard</v>
      </c>
      <c r="I595" s="6" t="e">
        <f t="shared" si="28"/>
        <v>#N/A</v>
      </c>
      <c r="J595" s="6" t="e">
        <f t="shared" si="29"/>
        <v>#N/A</v>
      </c>
    </row>
    <row r="596" spans="2:10" x14ac:dyDescent="0.3">
      <c r="B596" t="e">
        <f>VLOOKUP(A596,'Clientes CBOT'!A:D,4,0)</f>
        <v>#N/A</v>
      </c>
      <c r="C596" s="7" t="e">
        <f>VLOOKUP(A596,'Statement base'!E:AO,21,0)</f>
        <v>#N/A</v>
      </c>
      <c r="D596" s="7" t="e">
        <f>VLOOKUP(A596,'Statement base'!E:AO,10,0)-VLOOKUP(A596,'Statement base'!E:AO,21,0)</f>
        <v>#N/A</v>
      </c>
      <c r="E596" t="s">
        <v>188</v>
      </c>
      <c r="F596" s="6" t="e">
        <f>VLOOKUP(A596,'Statement base'!E:AO,10,0)+VLOOKUP(A596,'Statement base'!E:AO,14,0)</f>
        <v>#N/A</v>
      </c>
      <c r="G596" s="61" t="e">
        <f>VLOOKUP(A596,'Clientes CBOT'!A:E,5,0)</f>
        <v>#N/A</v>
      </c>
      <c r="H596" t="str">
        <f t="shared" si="27"/>
        <v>Hard</v>
      </c>
      <c r="I596" s="6" t="e">
        <f t="shared" si="28"/>
        <v>#N/A</v>
      </c>
      <c r="J596" s="6" t="e">
        <f t="shared" si="29"/>
        <v>#N/A</v>
      </c>
    </row>
    <row r="597" spans="2:10" x14ac:dyDescent="0.3">
      <c r="B597" t="e">
        <f>VLOOKUP(A597,'Clientes CBOT'!A:D,4,0)</f>
        <v>#N/A</v>
      </c>
      <c r="C597" s="7" t="e">
        <f>VLOOKUP(A597,'Statement base'!E:AO,21,0)</f>
        <v>#N/A</v>
      </c>
      <c r="D597" s="7" t="e">
        <f>VLOOKUP(A597,'Statement base'!E:AO,10,0)-VLOOKUP(A597,'Statement base'!E:AO,21,0)</f>
        <v>#N/A</v>
      </c>
      <c r="E597" t="s">
        <v>188</v>
      </c>
      <c r="F597" s="6" t="e">
        <f>VLOOKUP(A597,'Statement base'!E:AO,10,0)+VLOOKUP(A597,'Statement base'!E:AO,14,0)</f>
        <v>#N/A</v>
      </c>
      <c r="G597" s="61" t="e">
        <f>VLOOKUP(A597,'Clientes CBOT'!A:E,5,0)</f>
        <v>#N/A</v>
      </c>
      <c r="H597" t="str">
        <f t="shared" si="27"/>
        <v>Hard</v>
      </c>
      <c r="I597" s="6" t="e">
        <f t="shared" si="28"/>
        <v>#N/A</v>
      </c>
      <c r="J597" s="6" t="e">
        <f t="shared" si="29"/>
        <v>#N/A</v>
      </c>
    </row>
    <row r="598" spans="2:10" x14ac:dyDescent="0.3">
      <c r="B598" t="e">
        <f>VLOOKUP(A598,'Clientes CBOT'!A:D,4,0)</f>
        <v>#N/A</v>
      </c>
      <c r="C598" s="7" t="e">
        <f>VLOOKUP(A598,'Statement base'!E:AO,21,0)</f>
        <v>#N/A</v>
      </c>
      <c r="D598" s="7" t="e">
        <f>VLOOKUP(A598,'Statement base'!E:AO,10,0)-VLOOKUP(A598,'Statement base'!E:AO,21,0)</f>
        <v>#N/A</v>
      </c>
      <c r="E598" t="s">
        <v>188</v>
      </c>
      <c r="F598" s="6" t="e">
        <f>VLOOKUP(A598,'Statement base'!E:AO,10,0)+VLOOKUP(A598,'Statement base'!E:AO,14,0)</f>
        <v>#N/A</v>
      </c>
      <c r="G598" s="61" t="e">
        <f>VLOOKUP(A598,'Clientes CBOT'!A:E,5,0)</f>
        <v>#N/A</v>
      </c>
      <c r="H598" t="str">
        <f t="shared" si="27"/>
        <v>Hard</v>
      </c>
      <c r="I598" s="6" t="e">
        <f t="shared" si="28"/>
        <v>#N/A</v>
      </c>
      <c r="J598" s="6" t="e">
        <f t="shared" si="29"/>
        <v>#N/A</v>
      </c>
    </row>
    <row r="599" spans="2:10" x14ac:dyDescent="0.3">
      <c r="B599" t="e">
        <f>VLOOKUP(A599,'Clientes CBOT'!A:D,4,0)</f>
        <v>#N/A</v>
      </c>
      <c r="C599" s="7" t="e">
        <f>VLOOKUP(A599,'Statement base'!E:AO,21,0)</f>
        <v>#N/A</v>
      </c>
      <c r="D599" s="7" t="e">
        <f>VLOOKUP(A599,'Statement base'!E:AO,10,0)-VLOOKUP(A599,'Statement base'!E:AO,21,0)</f>
        <v>#N/A</v>
      </c>
      <c r="E599" t="s">
        <v>188</v>
      </c>
      <c r="F599" s="6" t="e">
        <f>VLOOKUP(A599,'Statement base'!E:AO,10,0)+VLOOKUP(A599,'Statement base'!E:AO,14,0)</f>
        <v>#N/A</v>
      </c>
      <c r="G599" s="61" t="e">
        <f>VLOOKUP(A599,'Clientes CBOT'!A:E,5,0)</f>
        <v>#N/A</v>
      </c>
      <c r="H599" t="str">
        <f t="shared" si="27"/>
        <v>Hard</v>
      </c>
      <c r="I599" s="6" t="e">
        <f t="shared" si="28"/>
        <v>#N/A</v>
      </c>
      <c r="J599" s="6" t="e">
        <f t="shared" si="29"/>
        <v>#N/A</v>
      </c>
    </row>
    <row r="600" spans="2:10" x14ac:dyDescent="0.3">
      <c r="B600" t="e">
        <f>VLOOKUP(A600,'Clientes CBOT'!A:D,4,0)</f>
        <v>#N/A</v>
      </c>
      <c r="C600" s="7" t="e">
        <f>VLOOKUP(A600,'Statement base'!E:AO,21,0)</f>
        <v>#N/A</v>
      </c>
      <c r="D600" s="7" t="e">
        <f>VLOOKUP(A600,'Statement base'!E:AO,10,0)-VLOOKUP(A600,'Statement base'!E:AO,21,0)</f>
        <v>#N/A</v>
      </c>
      <c r="E600" t="s">
        <v>188</v>
      </c>
      <c r="F600" s="6" t="e">
        <f>VLOOKUP(A600,'Statement base'!E:AO,10,0)+VLOOKUP(A600,'Statement base'!E:AO,14,0)</f>
        <v>#N/A</v>
      </c>
      <c r="G600" s="61" t="e">
        <f>VLOOKUP(A600,'Clientes CBOT'!A:E,5,0)</f>
        <v>#N/A</v>
      </c>
      <c r="H600" t="str">
        <f t="shared" si="27"/>
        <v>Hard</v>
      </c>
      <c r="I600" s="6" t="e">
        <f t="shared" si="28"/>
        <v>#N/A</v>
      </c>
      <c r="J600" s="6" t="e">
        <f t="shared" si="29"/>
        <v>#N/A</v>
      </c>
    </row>
    <row r="601" spans="2:10" x14ac:dyDescent="0.3">
      <c r="B601" t="e">
        <f>VLOOKUP(A601,'Clientes CBOT'!A:D,4,0)</f>
        <v>#N/A</v>
      </c>
      <c r="C601" s="7" t="e">
        <f>VLOOKUP(A601,'Statement base'!E:AO,21,0)</f>
        <v>#N/A</v>
      </c>
      <c r="D601" s="7" t="e">
        <f>VLOOKUP(A601,'Statement base'!E:AO,10,0)-VLOOKUP(A601,'Statement base'!E:AO,21,0)</f>
        <v>#N/A</v>
      </c>
      <c r="E601" t="s">
        <v>188</v>
      </c>
      <c r="F601" s="6" t="e">
        <f>VLOOKUP(A601,'Statement base'!E:AO,10,0)+VLOOKUP(A601,'Statement base'!E:AO,14,0)</f>
        <v>#N/A</v>
      </c>
      <c r="G601" s="61" t="e">
        <f>VLOOKUP(A601,'Clientes CBOT'!A:E,5,0)</f>
        <v>#N/A</v>
      </c>
      <c r="H601" t="str">
        <f t="shared" si="27"/>
        <v>Hard</v>
      </c>
      <c r="I601" s="6" t="e">
        <f t="shared" si="28"/>
        <v>#N/A</v>
      </c>
      <c r="J601" s="6" t="e">
        <f t="shared" si="29"/>
        <v>#N/A</v>
      </c>
    </row>
    <row r="602" spans="2:10" x14ac:dyDescent="0.3">
      <c r="B602" t="e">
        <f>VLOOKUP(A602,'Clientes CBOT'!A:D,4,0)</f>
        <v>#N/A</v>
      </c>
      <c r="C602" s="7" t="e">
        <f>VLOOKUP(A602,'Statement base'!E:AO,21,0)</f>
        <v>#N/A</v>
      </c>
      <c r="D602" s="7" t="e">
        <f>VLOOKUP(A602,'Statement base'!E:AO,10,0)-VLOOKUP(A602,'Statement base'!E:AO,21,0)</f>
        <v>#N/A</v>
      </c>
      <c r="E602" t="s">
        <v>188</v>
      </c>
      <c r="F602" s="6" t="e">
        <f>VLOOKUP(A602,'Statement base'!E:AO,10,0)+VLOOKUP(A602,'Statement base'!E:AO,14,0)</f>
        <v>#N/A</v>
      </c>
      <c r="G602" s="61" t="e">
        <f>VLOOKUP(A602,'Clientes CBOT'!A:E,5,0)</f>
        <v>#N/A</v>
      </c>
      <c r="H602" t="str">
        <f t="shared" si="27"/>
        <v>Hard</v>
      </c>
      <c r="I602" s="6" t="e">
        <f t="shared" si="28"/>
        <v>#N/A</v>
      </c>
      <c r="J602" s="6" t="e">
        <f t="shared" si="29"/>
        <v>#N/A</v>
      </c>
    </row>
    <row r="603" spans="2:10" x14ac:dyDescent="0.3">
      <c r="B603" t="e">
        <f>VLOOKUP(A603,'Clientes CBOT'!A:D,4,0)</f>
        <v>#N/A</v>
      </c>
      <c r="C603" s="7" t="e">
        <f>VLOOKUP(A603,'Statement base'!E:AO,21,0)</f>
        <v>#N/A</v>
      </c>
      <c r="D603" s="7" t="e">
        <f>VLOOKUP(A603,'Statement base'!E:AO,10,0)-VLOOKUP(A603,'Statement base'!E:AO,21,0)</f>
        <v>#N/A</v>
      </c>
      <c r="E603" t="s">
        <v>188</v>
      </c>
      <c r="F603" s="6" t="e">
        <f>VLOOKUP(A603,'Statement base'!E:AO,10,0)+VLOOKUP(A603,'Statement base'!E:AO,14,0)</f>
        <v>#N/A</v>
      </c>
      <c r="G603" s="61" t="e">
        <f>VLOOKUP(A603,'Clientes CBOT'!A:E,5,0)</f>
        <v>#N/A</v>
      </c>
      <c r="H603" t="str">
        <f t="shared" si="27"/>
        <v>Hard</v>
      </c>
      <c r="I603" s="6" t="e">
        <f t="shared" si="28"/>
        <v>#N/A</v>
      </c>
      <c r="J603" s="6" t="e">
        <f t="shared" si="29"/>
        <v>#N/A</v>
      </c>
    </row>
    <row r="604" spans="2:10" x14ac:dyDescent="0.3">
      <c r="B604" t="e">
        <f>VLOOKUP(A604,'Clientes CBOT'!A:D,4,0)</f>
        <v>#N/A</v>
      </c>
      <c r="C604" s="7" t="e">
        <f>VLOOKUP(A604,'Statement base'!E:AO,21,0)</f>
        <v>#N/A</v>
      </c>
      <c r="D604" s="7" t="e">
        <f>VLOOKUP(A604,'Statement base'!E:AO,10,0)-VLOOKUP(A604,'Statement base'!E:AO,21,0)</f>
        <v>#N/A</v>
      </c>
      <c r="E604" t="s">
        <v>188</v>
      </c>
      <c r="F604" s="6" t="e">
        <f>VLOOKUP(A604,'Statement base'!E:AO,10,0)+VLOOKUP(A604,'Statement base'!E:AO,14,0)</f>
        <v>#N/A</v>
      </c>
      <c r="G604" s="61" t="e">
        <f>VLOOKUP(A604,'Clientes CBOT'!A:E,5,0)</f>
        <v>#N/A</v>
      </c>
      <c r="H604" t="str">
        <f t="shared" si="27"/>
        <v>Hard</v>
      </c>
      <c r="I604" s="6" t="e">
        <f t="shared" si="28"/>
        <v>#N/A</v>
      </c>
      <c r="J604" s="6" t="e">
        <f t="shared" si="29"/>
        <v>#N/A</v>
      </c>
    </row>
    <row r="605" spans="2:10" x14ac:dyDescent="0.3">
      <c r="B605" t="e">
        <f>VLOOKUP(A605,'Clientes CBOT'!A:D,4,0)</f>
        <v>#N/A</v>
      </c>
      <c r="C605" s="7" t="e">
        <f>VLOOKUP(A605,'Statement base'!E:AO,21,0)</f>
        <v>#N/A</v>
      </c>
      <c r="D605" s="7" t="e">
        <f>VLOOKUP(A605,'Statement base'!E:AO,10,0)-VLOOKUP(A605,'Statement base'!E:AO,21,0)</f>
        <v>#N/A</v>
      </c>
      <c r="E605" t="s">
        <v>188</v>
      </c>
      <c r="F605" s="6" t="e">
        <f>VLOOKUP(A605,'Statement base'!E:AO,10,0)+VLOOKUP(A605,'Statement base'!E:AO,14,0)</f>
        <v>#N/A</v>
      </c>
      <c r="G605" s="61" t="e">
        <f>VLOOKUP(A605,'Clientes CBOT'!A:E,5,0)</f>
        <v>#N/A</v>
      </c>
      <c r="H605" t="str">
        <f t="shared" si="27"/>
        <v>Hard</v>
      </c>
      <c r="I605" s="6" t="e">
        <f t="shared" si="28"/>
        <v>#N/A</v>
      </c>
      <c r="J605" s="6" t="e">
        <f t="shared" si="29"/>
        <v>#N/A</v>
      </c>
    </row>
    <row r="606" spans="2:10" x14ac:dyDescent="0.3">
      <c r="B606" t="e">
        <f>VLOOKUP(A606,'Clientes CBOT'!A:D,4,0)</f>
        <v>#N/A</v>
      </c>
      <c r="C606" s="7" t="e">
        <f>VLOOKUP(A606,'Statement base'!E:AO,21,0)</f>
        <v>#N/A</v>
      </c>
      <c r="D606" s="7" t="e">
        <f>VLOOKUP(A606,'Statement base'!E:AO,10,0)-VLOOKUP(A606,'Statement base'!E:AO,21,0)</f>
        <v>#N/A</v>
      </c>
      <c r="E606" t="s">
        <v>188</v>
      </c>
      <c r="F606" s="6" t="e">
        <f>VLOOKUP(A606,'Statement base'!E:AO,10,0)+VLOOKUP(A606,'Statement base'!E:AO,14,0)</f>
        <v>#N/A</v>
      </c>
      <c r="G606" s="61" t="e">
        <f>VLOOKUP(A606,'Clientes CBOT'!A:E,5,0)</f>
        <v>#N/A</v>
      </c>
      <c r="H606" t="str">
        <f t="shared" si="27"/>
        <v>Hard</v>
      </c>
      <c r="I606" s="6" t="e">
        <f t="shared" si="28"/>
        <v>#N/A</v>
      </c>
      <c r="J606" s="6" t="e">
        <f t="shared" si="29"/>
        <v>#N/A</v>
      </c>
    </row>
    <row r="607" spans="2:10" x14ac:dyDescent="0.3">
      <c r="B607" t="e">
        <f>VLOOKUP(A607,'Clientes CBOT'!A:D,4,0)</f>
        <v>#N/A</v>
      </c>
      <c r="C607" s="7" t="e">
        <f>VLOOKUP(A607,'Statement base'!E:AO,21,0)</f>
        <v>#N/A</v>
      </c>
      <c r="D607" s="7" t="e">
        <f>VLOOKUP(A607,'Statement base'!E:AO,10,0)-VLOOKUP(A607,'Statement base'!E:AO,21,0)</f>
        <v>#N/A</v>
      </c>
      <c r="E607" t="s">
        <v>188</v>
      </c>
      <c r="F607" s="6" t="e">
        <f>VLOOKUP(A607,'Statement base'!E:AO,10,0)+VLOOKUP(A607,'Statement base'!E:AO,14,0)</f>
        <v>#N/A</v>
      </c>
      <c r="G607" s="61" t="e">
        <f>VLOOKUP(A607,'Clientes CBOT'!A:E,5,0)</f>
        <v>#N/A</v>
      </c>
      <c r="H607" t="str">
        <f t="shared" si="27"/>
        <v>Hard</v>
      </c>
      <c r="I607" s="6" t="e">
        <f t="shared" si="28"/>
        <v>#N/A</v>
      </c>
      <c r="J607" s="6" t="e">
        <f t="shared" si="29"/>
        <v>#N/A</v>
      </c>
    </row>
    <row r="608" spans="2:10" x14ac:dyDescent="0.3">
      <c r="B608" t="e">
        <f>VLOOKUP(A608,'Clientes CBOT'!A:D,4,0)</f>
        <v>#N/A</v>
      </c>
      <c r="C608" s="7" t="e">
        <f>VLOOKUP(A608,'Statement base'!E:AO,21,0)</f>
        <v>#N/A</v>
      </c>
      <c r="D608" s="7" t="e">
        <f>VLOOKUP(A608,'Statement base'!E:AO,10,0)-VLOOKUP(A608,'Statement base'!E:AO,21,0)</f>
        <v>#N/A</v>
      </c>
      <c r="E608" t="s">
        <v>188</v>
      </c>
      <c r="F608" s="6" t="e">
        <f>VLOOKUP(A608,'Statement base'!E:AO,10,0)+VLOOKUP(A608,'Statement base'!E:AO,14,0)</f>
        <v>#N/A</v>
      </c>
      <c r="G608" s="61" t="e">
        <f>VLOOKUP(A608,'Clientes CBOT'!A:E,5,0)</f>
        <v>#N/A</v>
      </c>
      <c r="H608" t="str">
        <f t="shared" si="27"/>
        <v>Hard</v>
      </c>
      <c r="I608" s="6" t="e">
        <f t="shared" si="28"/>
        <v>#N/A</v>
      </c>
      <c r="J608" s="6" t="e">
        <f t="shared" si="29"/>
        <v>#N/A</v>
      </c>
    </row>
    <row r="609" spans="2:10" x14ac:dyDescent="0.3">
      <c r="B609" t="e">
        <f>VLOOKUP(A609,'Clientes CBOT'!A:D,4,0)</f>
        <v>#N/A</v>
      </c>
      <c r="C609" s="7" t="e">
        <f>VLOOKUP(A609,'Statement base'!E:AO,21,0)</f>
        <v>#N/A</v>
      </c>
      <c r="D609" s="7" t="e">
        <f>VLOOKUP(A609,'Statement base'!E:AO,10,0)-VLOOKUP(A609,'Statement base'!E:AO,21,0)</f>
        <v>#N/A</v>
      </c>
      <c r="E609" t="s">
        <v>188</v>
      </c>
      <c r="F609" s="6" t="e">
        <f>VLOOKUP(A609,'Statement base'!E:AO,10,0)+VLOOKUP(A609,'Statement base'!E:AO,14,0)</f>
        <v>#N/A</v>
      </c>
      <c r="G609" s="61" t="e">
        <f>VLOOKUP(A609,'Clientes CBOT'!A:E,5,0)</f>
        <v>#N/A</v>
      </c>
      <c r="H609" t="str">
        <f t="shared" si="27"/>
        <v>Hard</v>
      </c>
      <c r="I609" s="6" t="e">
        <f t="shared" si="28"/>
        <v>#N/A</v>
      </c>
      <c r="J609" s="6" t="e">
        <f t="shared" si="29"/>
        <v>#N/A</v>
      </c>
    </row>
    <row r="610" spans="2:10" x14ac:dyDescent="0.3">
      <c r="B610" t="e">
        <f>VLOOKUP(A610,'Clientes CBOT'!A:D,4,0)</f>
        <v>#N/A</v>
      </c>
      <c r="C610" s="7" t="e">
        <f>VLOOKUP(A610,'Statement base'!E:AO,21,0)</f>
        <v>#N/A</v>
      </c>
      <c r="D610" s="7" t="e">
        <f>VLOOKUP(A610,'Statement base'!E:AO,10,0)-VLOOKUP(A610,'Statement base'!E:AO,21,0)</f>
        <v>#N/A</v>
      </c>
      <c r="E610" t="s">
        <v>188</v>
      </c>
      <c r="F610" s="6" t="e">
        <f>VLOOKUP(A610,'Statement base'!E:AO,10,0)+VLOOKUP(A610,'Statement base'!E:AO,14,0)</f>
        <v>#N/A</v>
      </c>
      <c r="G610" s="61" t="e">
        <f>VLOOKUP(A610,'Clientes CBOT'!A:E,5,0)</f>
        <v>#N/A</v>
      </c>
      <c r="H610" t="str">
        <f t="shared" si="27"/>
        <v>Hard</v>
      </c>
      <c r="I610" s="6" t="e">
        <f t="shared" si="28"/>
        <v>#N/A</v>
      </c>
      <c r="J610" s="6" t="e">
        <f t="shared" si="29"/>
        <v>#N/A</v>
      </c>
    </row>
    <row r="611" spans="2:10" x14ac:dyDescent="0.3">
      <c r="B611" t="e">
        <f>VLOOKUP(A611,'Clientes CBOT'!A:D,4,0)</f>
        <v>#N/A</v>
      </c>
      <c r="C611" s="7" t="e">
        <f>VLOOKUP(A611,'Statement base'!E:AO,21,0)</f>
        <v>#N/A</v>
      </c>
      <c r="D611" s="7" t="e">
        <f>VLOOKUP(A611,'Statement base'!E:AO,10,0)-VLOOKUP(A611,'Statement base'!E:AO,21,0)</f>
        <v>#N/A</v>
      </c>
      <c r="E611" t="s">
        <v>188</v>
      </c>
      <c r="F611" s="6" t="e">
        <f>VLOOKUP(A611,'Statement base'!E:AO,10,0)+VLOOKUP(A611,'Statement base'!E:AO,14,0)</f>
        <v>#N/A</v>
      </c>
      <c r="G611" s="61" t="e">
        <f>VLOOKUP(A611,'Clientes CBOT'!A:E,5,0)</f>
        <v>#N/A</v>
      </c>
      <c r="H611" t="str">
        <f t="shared" si="27"/>
        <v>Hard</v>
      </c>
      <c r="I611" s="6" t="e">
        <f t="shared" si="28"/>
        <v>#N/A</v>
      </c>
      <c r="J611" s="6" t="e">
        <f t="shared" si="29"/>
        <v>#N/A</v>
      </c>
    </row>
    <row r="612" spans="2:10" x14ac:dyDescent="0.3">
      <c r="B612" t="e">
        <f>VLOOKUP(A612,'Clientes CBOT'!A:D,4,0)</f>
        <v>#N/A</v>
      </c>
      <c r="C612" s="7" t="e">
        <f>VLOOKUP(A612,'Statement base'!E:AO,21,0)</f>
        <v>#N/A</v>
      </c>
      <c r="D612" s="7" t="e">
        <f>VLOOKUP(A612,'Statement base'!E:AO,10,0)-VLOOKUP(A612,'Statement base'!E:AO,21,0)</f>
        <v>#N/A</v>
      </c>
      <c r="E612" t="s">
        <v>188</v>
      </c>
      <c r="F612" s="6" t="e">
        <f>VLOOKUP(A612,'Statement base'!E:AO,10,0)+VLOOKUP(A612,'Statement base'!E:AO,14,0)</f>
        <v>#N/A</v>
      </c>
      <c r="G612" s="61" t="e">
        <f>VLOOKUP(A612,'Clientes CBOT'!A:E,5,0)</f>
        <v>#N/A</v>
      </c>
      <c r="H612" t="str">
        <f t="shared" si="27"/>
        <v>Hard</v>
      </c>
      <c r="I612" s="6" t="e">
        <f t="shared" si="28"/>
        <v>#N/A</v>
      </c>
      <c r="J612" s="6" t="e">
        <f t="shared" si="29"/>
        <v>#N/A</v>
      </c>
    </row>
    <row r="613" spans="2:10" x14ac:dyDescent="0.3">
      <c r="B613" t="e">
        <f>VLOOKUP(A613,'Clientes CBOT'!A:D,4,0)</f>
        <v>#N/A</v>
      </c>
      <c r="C613" s="7" t="e">
        <f>VLOOKUP(A613,'Statement base'!E:AO,21,0)</f>
        <v>#N/A</v>
      </c>
      <c r="D613" s="7" t="e">
        <f>VLOOKUP(A613,'Statement base'!E:AO,10,0)-VLOOKUP(A613,'Statement base'!E:AO,21,0)</f>
        <v>#N/A</v>
      </c>
      <c r="E613" t="s">
        <v>188</v>
      </c>
      <c r="F613" s="6" t="e">
        <f>VLOOKUP(A613,'Statement base'!E:AO,10,0)+VLOOKUP(A613,'Statement base'!E:AO,14,0)</f>
        <v>#N/A</v>
      </c>
      <c r="G613" s="61" t="e">
        <f>VLOOKUP(A613,'Clientes CBOT'!A:E,5,0)</f>
        <v>#N/A</v>
      </c>
      <c r="H613" t="str">
        <f t="shared" si="27"/>
        <v>Hard</v>
      </c>
      <c r="I613" s="6" t="e">
        <f t="shared" si="28"/>
        <v>#N/A</v>
      </c>
      <c r="J613" s="6" t="e">
        <f t="shared" si="29"/>
        <v>#N/A</v>
      </c>
    </row>
    <row r="614" spans="2:10" x14ac:dyDescent="0.3">
      <c r="B614" t="e">
        <f>VLOOKUP(A614,'Clientes CBOT'!A:D,4,0)</f>
        <v>#N/A</v>
      </c>
      <c r="C614" s="7" t="e">
        <f>VLOOKUP(A614,'Statement base'!E:AO,21,0)</f>
        <v>#N/A</v>
      </c>
      <c r="D614" s="7" t="e">
        <f>VLOOKUP(A614,'Statement base'!E:AO,10,0)-VLOOKUP(A614,'Statement base'!E:AO,21,0)</f>
        <v>#N/A</v>
      </c>
      <c r="E614" t="s">
        <v>188</v>
      </c>
      <c r="F614" s="6" t="e">
        <f>VLOOKUP(A614,'Statement base'!E:AO,10,0)+VLOOKUP(A614,'Statement base'!E:AO,14,0)</f>
        <v>#N/A</v>
      </c>
      <c r="G614" s="61" t="e">
        <f>VLOOKUP(A614,'Clientes CBOT'!A:E,5,0)</f>
        <v>#N/A</v>
      </c>
      <c r="H614" t="str">
        <f t="shared" si="27"/>
        <v>Hard</v>
      </c>
      <c r="I614" s="6" t="e">
        <f t="shared" si="28"/>
        <v>#N/A</v>
      </c>
      <c r="J614" s="6" t="e">
        <f t="shared" si="29"/>
        <v>#N/A</v>
      </c>
    </row>
    <row r="615" spans="2:10" x14ac:dyDescent="0.3">
      <c r="B615" t="e">
        <f>VLOOKUP(A615,'Clientes CBOT'!A:D,4,0)</f>
        <v>#N/A</v>
      </c>
      <c r="C615" s="7" t="e">
        <f>VLOOKUP(A615,'Statement base'!E:AO,21,0)</f>
        <v>#N/A</v>
      </c>
      <c r="D615" s="7" t="e">
        <f>VLOOKUP(A615,'Statement base'!E:AO,10,0)-VLOOKUP(A615,'Statement base'!E:AO,21,0)</f>
        <v>#N/A</v>
      </c>
      <c r="E615" t="s">
        <v>188</v>
      </c>
      <c r="F615" s="6" t="e">
        <f>VLOOKUP(A615,'Statement base'!E:AO,10,0)+VLOOKUP(A615,'Statement base'!E:AO,14,0)</f>
        <v>#N/A</v>
      </c>
      <c r="G615" s="61" t="e">
        <f>VLOOKUP(A615,'Clientes CBOT'!A:E,5,0)</f>
        <v>#N/A</v>
      </c>
      <c r="H615" t="str">
        <f t="shared" si="27"/>
        <v>Hard</v>
      </c>
      <c r="I615" s="6" t="e">
        <f t="shared" si="28"/>
        <v>#N/A</v>
      </c>
      <c r="J615" s="6" t="e">
        <f t="shared" si="29"/>
        <v>#N/A</v>
      </c>
    </row>
    <row r="616" spans="2:10" x14ac:dyDescent="0.3">
      <c r="B616" t="e">
        <f>VLOOKUP(A616,'Clientes CBOT'!A:D,4,0)</f>
        <v>#N/A</v>
      </c>
      <c r="C616" s="7" t="e">
        <f>VLOOKUP(A616,'Statement base'!E:AO,21,0)</f>
        <v>#N/A</v>
      </c>
      <c r="D616" s="7" t="e">
        <f>VLOOKUP(A616,'Statement base'!E:AO,10,0)-VLOOKUP(A616,'Statement base'!E:AO,21,0)</f>
        <v>#N/A</v>
      </c>
      <c r="E616" t="s">
        <v>188</v>
      </c>
      <c r="F616" s="6" t="e">
        <f>VLOOKUP(A616,'Statement base'!E:AO,10,0)+VLOOKUP(A616,'Statement base'!E:AO,14,0)</f>
        <v>#N/A</v>
      </c>
      <c r="G616" s="61" t="e">
        <f>VLOOKUP(A616,'Clientes CBOT'!A:E,5,0)</f>
        <v>#N/A</v>
      </c>
      <c r="H616" t="str">
        <f t="shared" si="27"/>
        <v>Hard</v>
      </c>
      <c r="I616" s="6" t="e">
        <f t="shared" si="28"/>
        <v>#N/A</v>
      </c>
      <c r="J616" s="6" t="e">
        <f t="shared" si="29"/>
        <v>#N/A</v>
      </c>
    </row>
    <row r="617" spans="2:10" x14ac:dyDescent="0.3">
      <c r="B617" t="e">
        <f>VLOOKUP(A617,'Clientes CBOT'!A:D,4,0)</f>
        <v>#N/A</v>
      </c>
      <c r="C617" s="7" t="e">
        <f>VLOOKUP(A617,'Statement base'!E:AO,21,0)</f>
        <v>#N/A</v>
      </c>
      <c r="D617" s="7" t="e">
        <f>VLOOKUP(A617,'Statement base'!E:AO,10,0)-VLOOKUP(A617,'Statement base'!E:AO,21,0)</f>
        <v>#N/A</v>
      </c>
      <c r="E617" t="s">
        <v>188</v>
      </c>
      <c r="F617" s="6" t="e">
        <f>VLOOKUP(A617,'Statement base'!E:AO,10,0)+VLOOKUP(A617,'Statement base'!E:AO,14,0)</f>
        <v>#N/A</v>
      </c>
      <c r="G617" s="61" t="e">
        <f>VLOOKUP(A617,'Clientes CBOT'!A:E,5,0)</f>
        <v>#N/A</v>
      </c>
      <c r="H617" t="str">
        <f t="shared" si="27"/>
        <v>Hard</v>
      </c>
      <c r="I617" s="6" t="e">
        <f t="shared" si="28"/>
        <v>#N/A</v>
      </c>
      <c r="J617" s="6" t="e">
        <f t="shared" si="29"/>
        <v>#N/A</v>
      </c>
    </row>
    <row r="618" spans="2:10" x14ac:dyDescent="0.3">
      <c r="B618" t="e">
        <f>VLOOKUP(A618,'Clientes CBOT'!A:D,4,0)</f>
        <v>#N/A</v>
      </c>
      <c r="C618" s="7" t="e">
        <f>VLOOKUP(A618,'Statement base'!E:AO,21,0)</f>
        <v>#N/A</v>
      </c>
      <c r="D618" s="7" t="e">
        <f>VLOOKUP(A618,'Statement base'!E:AO,10,0)-VLOOKUP(A618,'Statement base'!E:AO,21,0)</f>
        <v>#N/A</v>
      </c>
      <c r="E618" t="s">
        <v>188</v>
      </c>
      <c r="F618" s="6" t="e">
        <f>VLOOKUP(A618,'Statement base'!E:AO,10,0)+VLOOKUP(A618,'Statement base'!E:AO,14,0)</f>
        <v>#N/A</v>
      </c>
      <c r="G618" s="61" t="e">
        <f>VLOOKUP(A618,'Clientes CBOT'!A:E,5,0)</f>
        <v>#N/A</v>
      </c>
      <c r="H618" t="str">
        <f t="shared" si="27"/>
        <v>Hard</v>
      </c>
      <c r="I618" s="6" t="e">
        <f t="shared" si="28"/>
        <v>#N/A</v>
      </c>
      <c r="J618" s="6" t="e">
        <f t="shared" si="29"/>
        <v>#N/A</v>
      </c>
    </row>
    <row r="619" spans="2:10" x14ac:dyDescent="0.3">
      <c r="B619" t="e">
        <f>VLOOKUP(A619,'Clientes CBOT'!A:D,4,0)</f>
        <v>#N/A</v>
      </c>
      <c r="C619" s="7" t="e">
        <f>VLOOKUP(A619,'Statement base'!E:AO,21,0)</f>
        <v>#N/A</v>
      </c>
      <c r="D619" s="7" t="e">
        <f>VLOOKUP(A619,'Statement base'!E:AO,10,0)-VLOOKUP(A619,'Statement base'!E:AO,21,0)</f>
        <v>#N/A</v>
      </c>
      <c r="E619" t="s">
        <v>188</v>
      </c>
      <c r="F619" s="6" t="e">
        <f>VLOOKUP(A619,'Statement base'!E:AO,10,0)+VLOOKUP(A619,'Statement base'!E:AO,14,0)</f>
        <v>#N/A</v>
      </c>
      <c r="G619" s="61" t="e">
        <f>VLOOKUP(A619,'Clientes CBOT'!A:E,5,0)</f>
        <v>#N/A</v>
      </c>
      <c r="H619" t="str">
        <f t="shared" si="27"/>
        <v>Hard</v>
      </c>
      <c r="I619" s="6" t="e">
        <f t="shared" si="28"/>
        <v>#N/A</v>
      </c>
      <c r="J619" s="6" t="e">
        <f t="shared" si="29"/>
        <v>#N/A</v>
      </c>
    </row>
    <row r="620" spans="2:10" x14ac:dyDescent="0.3">
      <c r="B620" t="e">
        <f>VLOOKUP(A620,'Clientes CBOT'!A:D,4,0)</f>
        <v>#N/A</v>
      </c>
      <c r="C620" s="7" t="e">
        <f>VLOOKUP(A620,'Statement base'!E:AO,21,0)</f>
        <v>#N/A</v>
      </c>
      <c r="D620" s="7" t="e">
        <f>VLOOKUP(A620,'Statement base'!E:AO,10,0)-VLOOKUP(A620,'Statement base'!E:AO,21,0)</f>
        <v>#N/A</v>
      </c>
      <c r="E620" t="s">
        <v>188</v>
      </c>
      <c r="F620" s="6" t="e">
        <f>VLOOKUP(A620,'Statement base'!E:AO,10,0)+VLOOKUP(A620,'Statement base'!E:AO,14,0)</f>
        <v>#N/A</v>
      </c>
      <c r="G620" s="61" t="e">
        <f>VLOOKUP(A620,'Clientes CBOT'!A:E,5,0)</f>
        <v>#N/A</v>
      </c>
      <c r="H620" t="str">
        <f t="shared" si="27"/>
        <v>Hard</v>
      </c>
      <c r="I620" s="6" t="e">
        <f t="shared" si="28"/>
        <v>#N/A</v>
      </c>
      <c r="J620" s="6" t="e">
        <f t="shared" si="29"/>
        <v>#N/A</v>
      </c>
    </row>
    <row r="621" spans="2:10" x14ac:dyDescent="0.3">
      <c r="B621" t="e">
        <f>VLOOKUP(A621,'Clientes CBOT'!A:D,4,0)</f>
        <v>#N/A</v>
      </c>
      <c r="C621" s="7" t="e">
        <f>VLOOKUP(A621,'Statement base'!E:AO,21,0)</f>
        <v>#N/A</v>
      </c>
      <c r="D621" s="7" t="e">
        <f>VLOOKUP(A621,'Statement base'!E:AO,10,0)-VLOOKUP(A621,'Statement base'!E:AO,21,0)</f>
        <v>#N/A</v>
      </c>
      <c r="E621" t="s">
        <v>188</v>
      </c>
      <c r="F621" s="6" t="e">
        <f>VLOOKUP(A621,'Statement base'!E:AO,10,0)+VLOOKUP(A621,'Statement base'!E:AO,14,0)</f>
        <v>#N/A</v>
      </c>
      <c r="G621" s="61" t="e">
        <f>VLOOKUP(A621,'Clientes CBOT'!A:E,5,0)</f>
        <v>#N/A</v>
      </c>
      <c r="H621" t="str">
        <f t="shared" si="27"/>
        <v>Hard</v>
      </c>
      <c r="I621" s="6" t="e">
        <f t="shared" si="28"/>
        <v>#N/A</v>
      </c>
      <c r="J621" s="6" t="e">
        <f t="shared" si="29"/>
        <v>#N/A</v>
      </c>
    </row>
    <row r="622" spans="2:10" x14ac:dyDescent="0.3">
      <c r="B622" t="e">
        <f>VLOOKUP(A622,'Clientes CBOT'!A:D,4,0)</f>
        <v>#N/A</v>
      </c>
      <c r="C622" s="7" t="e">
        <f>VLOOKUP(A622,'Statement base'!E:AO,21,0)</f>
        <v>#N/A</v>
      </c>
      <c r="D622" s="7" t="e">
        <f>VLOOKUP(A622,'Statement base'!E:AO,10,0)-VLOOKUP(A622,'Statement base'!E:AO,21,0)</f>
        <v>#N/A</v>
      </c>
      <c r="E622" t="s">
        <v>188</v>
      </c>
      <c r="F622" s="6" t="e">
        <f>VLOOKUP(A622,'Statement base'!E:AO,10,0)+VLOOKUP(A622,'Statement base'!E:AO,14,0)</f>
        <v>#N/A</v>
      </c>
      <c r="G622" s="61" t="e">
        <f>VLOOKUP(A622,'Clientes CBOT'!A:E,5,0)</f>
        <v>#N/A</v>
      </c>
      <c r="H622" t="str">
        <f t="shared" si="27"/>
        <v>Hard</v>
      </c>
      <c r="I622" s="6" t="e">
        <f t="shared" si="28"/>
        <v>#N/A</v>
      </c>
      <c r="J622" s="6" t="e">
        <f t="shared" si="29"/>
        <v>#N/A</v>
      </c>
    </row>
    <row r="623" spans="2:10" x14ac:dyDescent="0.3">
      <c r="B623" t="e">
        <f>VLOOKUP(A623,'Clientes CBOT'!A:D,4,0)</f>
        <v>#N/A</v>
      </c>
      <c r="C623" s="7" t="e">
        <f>VLOOKUP(A623,'Statement base'!E:AO,21,0)</f>
        <v>#N/A</v>
      </c>
      <c r="D623" s="7" t="e">
        <f>VLOOKUP(A623,'Statement base'!E:AO,10,0)-VLOOKUP(A623,'Statement base'!E:AO,21,0)</f>
        <v>#N/A</v>
      </c>
      <c r="E623" t="s">
        <v>188</v>
      </c>
      <c r="F623" s="6" t="e">
        <f>VLOOKUP(A623,'Statement base'!E:AO,10,0)+VLOOKUP(A623,'Statement base'!E:AO,14,0)</f>
        <v>#N/A</v>
      </c>
      <c r="G623" s="61" t="e">
        <f>VLOOKUP(A623,'Clientes CBOT'!A:E,5,0)</f>
        <v>#N/A</v>
      </c>
      <c r="H623" t="str">
        <f t="shared" si="27"/>
        <v>Hard</v>
      </c>
      <c r="I623" s="6" t="e">
        <f t="shared" si="28"/>
        <v>#N/A</v>
      </c>
      <c r="J623" s="6" t="e">
        <f t="shared" si="29"/>
        <v>#N/A</v>
      </c>
    </row>
    <row r="624" spans="2:10" x14ac:dyDescent="0.3">
      <c r="B624" t="e">
        <f>VLOOKUP(A624,'Clientes CBOT'!A:D,4,0)</f>
        <v>#N/A</v>
      </c>
      <c r="C624" s="7" t="e">
        <f>VLOOKUP(A624,'Statement base'!E:AO,21,0)</f>
        <v>#N/A</v>
      </c>
      <c r="D624" s="7" t="e">
        <f>VLOOKUP(A624,'Statement base'!E:AO,10,0)-VLOOKUP(A624,'Statement base'!E:AO,21,0)</f>
        <v>#N/A</v>
      </c>
      <c r="E624" t="s">
        <v>188</v>
      </c>
      <c r="F624" s="6" t="e">
        <f>VLOOKUP(A624,'Statement base'!E:AO,10,0)+VLOOKUP(A624,'Statement base'!E:AO,14,0)</f>
        <v>#N/A</v>
      </c>
      <c r="G624" s="61" t="e">
        <f>VLOOKUP(A624,'Clientes CBOT'!A:E,5,0)</f>
        <v>#N/A</v>
      </c>
      <c r="H624" t="str">
        <f t="shared" si="27"/>
        <v>Hard</v>
      </c>
      <c r="I624" s="6" t="e">
        <f t="shared" si="28"/>
        <v>#N/A</v>
      </c>
      <c r="J624" s="6" t="e">
        <f t="shared" si="29"/>
        <v>#N/A</v>
      </c>
    </row>
    <row r="625" spans="2:10" x14ac:dyDescent="0.3">
      <c r="B625" t="e">
        <f>VLOOKUP(A625,'Clientes CBOT'!A:D,4,0)</f>
        <v>#N/A</v>
      </c>
      <c r="C625" s="7" t="e">
        <f>VLOOKUP(A625,'Statement base'!E:AO,21,0)</f>
        <v>#N/A</v>
      </c>
      <c r="D625" s="7" t="e">
        <f>VLOOKUP(A625,'Statement base'!E:AO,10,0)-VLOOKUP(A625,'Statement base'!E:AO,21,0)</f>
        <v>#N/A</v>
      </c>
      <c r="E625" t="s">
        <v>188</v>
      </c>
      <c r="F625" s="6" t="e">
        <f>VLOOKUP(A625,'Statement base'!E:AO,10,0)+VLOOKUP(A625,'Statement base'!E:AO,14,0)</f>
        <v>#N/A</v>
      </c>
      <c r="G625" s="61" t="e">
        <f>VLOOKUP(A625,'Clientes CBOT'!A:E,5,0)</f>
        <v>#N/A</v>
      </c>
      <c r="H625" t="str">
        <f t="shared" si="27"/>
        <v>Hard</v>
      </c>
      <c r="I625" s="6" t="e">
        <f t="shared" si="28"/>
        <v>#N/A</v>
      </c>
      <c r="J625" s="6" t="e">
        <f t="shared" si="29"/>
        <v>#N/A</v>
      </c>
    </row>
    <row r="626" spans="2:10" x14ac:dyDescent="0.3">
      <c r="B626" t="e">
        <f>VLOOKUP(A626,'Clientes CBOT'!A:D,4,0)</f>
        <v>#N/A</v>
      </c>
      <c r="C626" s="7" t="e">
        <f>VLOOKUP(A626,'Statement base'!E:AO,21,0)</f>
        <v>#N/A</v>
      </c>
      <c r="D626" s="7" t="e">
        <f>VLOOKUP(A626,'Statement base'!E:AO,10,0)-VLOOKUP(A626,'Statement base'!E:AO,21,0)</f>
        <v>#N/A</v>
      </c>
      <c r="E626" t="s">
        <v>188</v>
      </c>
      <c r="F626" s="6" t="e">
        <f>VLOOKUP(A626,'Statement base'!E:AO,10,0)+VLOOKUP(A626,'Statement base'!E:AO,14,0)</f>
        <v>#N/A</v>
      </c>
      <c r="G626" s="61" t="e">
        <f>VLOOKUP(A626,'Clientes CBOT'!A:E,5,0)</f>
        <v>#N/A</v>
      </c>
      <c r="H626" t="str">
        <f t="shared" si="27"/>
        <v>Hard</v>
      </c>
      <c r="I626" s="6" t="e">
        <f t="shared" si="28"/>
        <v>#N/A</v>
      </c>
      <c r="J626" s="6" t="e">
        <f t="shared" si="29"/>
        <v>#N/A</v>
      </c>
    </row>
    <row r="627" spans="2:10" x14ac:dyDescent="0.3">
      <c r="B627" t="e">
        <f>VLOOKUP(A627,'Clientes CBOT'!A:D,4,0)</f>
        <v>#N/A</v>
      </c>
      <c r="C627" s="7" t="e">
        <f>VLOOKUP(A627,'Statement base'!E:AO,21,0)</f>
        <v>#N/A</v>
      </c>
      <c r="D627" s="7" t="e">
        <f>VLOOKUP(A627,'Statement base'!E:AO,10,0)-VLOOKUP(A627,'Statement base'!E:AO,21,0)</f>
        <v>#N/A</v>
      </c>
      <c r="E627" t="s">
        <v>188</v>
      </c>
      <c r="F627" s="6" t="e">
        <f>VLOOKUP(A627,'Statement base'!E:AO,10,0)+VLOOKUP(A627,'Statement base'!E:AO,14,0)</f>
        <v>#N/A</v>
      </c>
      <c r="G627" s="61" t="e">
        <f>VLOOKUP(A627,'Clientes CBOT'!A:E,5,0)</f>
        <v>#N/A</v>
      </c>
      <c r="H627" t="str">
        <f t="shared" si="27"/>
        <v>Hard</v>
      </c>
      <c r="I627" s="6" t="e">
        <f t="shared" si="28"/>
        <v>#N/A</v>
      </c>
      <c r="J627" s="6" t="e">
        <f t="shared" si="29"/>
        <v>#N/A</v>
      </c>
    </row>
    <row r="628" spans="2:10" x14ac:dyDescent="0.3">
      <c r="B628" t="e">
        <f>VLOOKUP(A628,'Clientes CBOT'!A:D,4,0)</f>
        <v>#N/A</v>
      </c>
      <c r="C628" s="7" t="e">
        <f>VLOOKUP(A628,'Statement base'!E:AO,21,0)</f>
        <v>#N/A</v>
      </c>
      <c r="D628" s="7" t="e">
        <f>VLOOKUP(A628,'Statement base'!E:AO,10,0)-VLOOKUP(A628,'Statement base'!E:AO,21,0)</f>
        <v>#N/A</v>
      </c>
      <c r="E628" t="s">
        <v>188</v>
      </c>
      <c r="F628" s="6" t="e">
        <f>VLOOKUP(A628,'Statement base'!E:AO,10,0)+VLOOKUP(A628,'Statement base'!E:AO,14,0)</f>
        <v>#N/A</v>
      </c>
      <c r="G628" s="61" t="e">
        <f>VLOOKUP(A628,'Clientes CBOT'!A:E,5,0)</f>
        <v>#N/A</v>
      </c>
      <c r="H628" t="str">
        <f t="shared" si="27"/>
        <v>Hard</v>
      </c>
      <c r="I628" s="6" t="e">
        <f t="shared" si="28"/>
        <v>#N/A</v>
      </c>
      <c r="J628" s="6" t="e">
        <f t="shared" si="29"/>
        <v>#N/A</v>
      </c>
    </row>
    <row r="629" spans="2:10" x14ac:dyDescent="0.3">
      <c r="B629" t="e">
        <f>VLOOKUP(A629,'Clientes CBOT'!A:D,4,0)</f>
        <v>#N/A</v>
      </c>
      <c r="C629" s="7" t="e">
        <f>VLOOKUP(A629,'Statement base'!E:AO,21,0)</f>
        <v>#N/A</v>
      </c>
      <c r="D629" s="7" t="e">
        <f>VLOOKUP(A629,'Statement base'!E:AO,10,0)-VLOOKUP(A629,'Statement base'!E:AO,21,0)</f>
        <v>#N/A</v>
      </c>
      <c r="E629" t="s">
        <v>188</v>
      </c>
      <c r="F629" s="6" t="e">
        <f>VLOOKUP(A629,'Statement base'!E:AO,10,0)+VLOOKUP(A629,'Statement base'!E:AO,14,0)</f>
        <v>#N/A</v>
      </c>
      <c r="G629" s="61" t="e">
        <f>VLOOKUP(A629,'Clientes CBOT'!A:E,5,0)</f>
        <v>#N/A</v>
      </c>
      <c r="H629" t="str">
        <f t="shared" si="27"/>
        <v>Hard</v>
      </c>
      <c r="I629" s="6" t="e">
        <f t="shared" si="28"/>
        <v>#N/A</v>
      </c>
      <c r="J629" s="6" t="e">
        <f t="shared" si="29"/>
        <v>#N/A</v>
      </c>
    </row>
    <row r="630" spans="2:10" x14ac:dyDescent="0.3">
      <c r="B630" t="e">
        <f>VLOOKUP(A630,'Clientes CBOT'!A:D,4,0)</f>
        <v>#N/A</v>
      </c>
      <c r="C630" s="7" t="e">
        <f>VLOOKUP(A630,'Statement base'!E:AO,21,0)</f>
        <v>#N/A</v>
      </c>
      <c r="D630" s="7" t="e">
        <f>VLOOKUP(A630,'Statement base'!E:AO,10,0)-VLOOKUP(A630,'Statement base'!E:AO,21,0)</f>
        <v>#N/A</v>
      </c>
      <c r="E630" t="s">
        <v>188</v>
      </c>
      <c r="F630" s="6" t="e">
        <f>VLOOKUP(A630,'Statement base'!E:AO,10,0)+VLOOKUP(A630,'Statement base'!E:AO,14,0)</f>
        <v>#N/A</v>
      </c>
      <c r="G630" s="61" t="e">
        <f>VLOOKUP(A630,'Clientes CBOT'!A:E,5,0)</f>
        <v>#N/A</v>
      </c>
      <c r="H630" t="str">
        <f t="shared" si="27"/>
        <v>Hard</v>
      </c>
      <c r="I630" s="6" t="e">
        <f t="shared" si="28"/>
        <v>#N/A</v>
      </c>
      <c r="J630" s="6" t="e">
        <f t="shared" si="29"/>
        <v>#N/A</v>
      </c>
    </row>
    <row r="631" spans="2:10" x14ac:dyDescent="0.3">
      <c r="B631" t="e">
        <f>VLOOKUP(A631,'Clientes CBOT'!A:D,4,0)</f>
        <v>#N/A</v>
      </c>
      <c r="C631" s="7" t="e">
        <f>VLOOKUP(A631,'Statement base'!E:AO,21,0)</f>
        <v>#N/A</v>
      </c>
      <c r="D631" s="7" t="e">
        <f>VLOOKUP(A631,'Statement base'!E:AO,10,0)-VLOOKUP(A631,'Statement base'!E:AO,21,0)</f>
        <v>#N/A</v>
      </c>
      <c r="E631" t="s">
        <v>188</v>
      </c>
      <c r="F631" s="6" t="e">
        <f>VLOOKUP(A631,'Statement base'!E:AO,10,0)+VLOOKUP(A631,'Statement base'!E:AO,14,0)</f>
        <v>#N/A</v>
      </c>
      <c r="G631" s="61" t="e">
        <f>VLOOKUP(A631,'Clientes CBOT'!A:E,5,0)</f>
        <v>#N/A</v>
      </c>
      <c r="H631" t="str">
        <f t="shared" si="27"/>
        <v>Hard</v>
      </c>
      <c r="I631" s="6" t="e">
        <f t="shared" si="28"/>
        <v>#N/A</v>
      </c>
      <c r="J631" s="6" t="e">
        <f t="shared" si="29"/>
        <v>#N/A</v>
      </c>
    </row>
    <row r="632" spans="2:10" x14ac:dyDescent="0.3">
      <c r="B632" t="e">
        <f>VLOOKUP(A632,'Clientes CBOT'!A:D,4,0)</f>
        <v>#N/A</v>
      </c>
      <c r="C632" s="7" t="e">
        <f>VLOOKUP(A632,'Statement base'!E:AO,21,0)</f>
        <v>#N/A</v>
      </c>
      <c r="D632" s="7" t="e">
        <f>VLOOKUP(A632,'Statement base'!E:AO,10,0)-VLOOKUP(A632,'Statement base'!E:AO,21,0)</f>
        <v>#N/A</v>
      </c>
      <c r="E632" t="s">
        <v>188</v>
      </c>
      <c r="F632" s="6" t="e">
        <f>VLOOKUP(A632,'Statement base'!E:AO,10,0)+VLOOKUP(A632,'Statement base'!E:AO,14,0)</f>
        <v>#N/A</v>
      </c>
      <c r="G632" s="61" t="e">
        <f>VLOOKUP(A632,'Clientes CBOT'!A:E,5,0)</f>
        <v>#N/A</v>
      </c>
      <c r="H632" t="str">
        <f t="shared" si="27"/>
        <v>Hard</v>
      </c>
      <c r="I632" s="6" t="e">
        <f t="shared" si="28"/>
        <v>#N/A</v>
      </c>
      <c r="J632" s="6" t="e">
        <f t="shared" si="29"/>
        <v>#N/A</v>
      </c>
    </row>
    <row r="633" spans="2:10" x14ac:dyDescent="0.3">
      <c r="B633" t="e">
        <f>VLOOKUP(A633,'Clientes CBOT'!A:D,4,0)</f>
        <v>#N/A</v>
      </c>
      <c r="C633" s="7" t="e">
        <f>VLOOKUP(A633,'Statement base'!E:AO,21,0)</f>
        <v>#N/A</v>
      </c>
      <c r="D633" s="7" t="e">
        <f>VLOOKUP(A633,'Statement base'!E:AO,10,0)-VLOOKUP(A633,'Statement base'!E:AO,21,0)</f>
        <v>#N/A</v>
      </c>
      <c r="E633" t="s">
        <v>188</v>
      </c>
      <c r="F633" s="6" t="e">
        <f>VLOOKUP(A633,'Statement base'!E:AO,10,0)+VLOOKUP(A633,'Statement base'!E:AO,14,0)</f>
        <v>#N/A</v>
      </c>
      <c r="G633" s="61" t="e">
        <f>VLOOKUP(A633,'Clientes CBOT'!A:E,5,0)</f>
        <v>#N/A</v>
      </c>
      <c r="H633" t="str">
        <f t="shared" si="27"/>
        <v>Hard</v>
      </c>
      <c r="I633" s="6" t="e">
        <f t="shared" si="28"/>
        <v>#N/A</v>
      </c>
      <c r="J633" s="6" t="e">
        <f t="shared" si="29"/>
        <v>#N/A</v>
      </c>
    </row>
    <row r="634" spans="2:10" x14ac:dyDescent="0.3">
      <c r="B634" t="e">
        <f>VLOOKUP(A634,'Clientes CBOT'!A:D,4,0)</f>
        <v>#N/A</v>
      </c>
      <c r="C634" s="7" t="e">
        <f>VLOOKUP(A634,'Statement base'!E:AO,21,0)</f>
        <v>#N/A</v>
      </c>
      <c r="D634" s="7" t="e">
        <f>VLOOKUP(A634,'Statement base'!E:AO,10,0)-VLOOKUP(A634,'Statement base'!E:AO,21,0)</f>
        <v>#N/A</v>
      </c>
      <c r="E634" t="s">
        <v>188</v>
      </c>
      <c r="F634" s="6" t="e">
        <f>VLOOKUP(A634,'Statement base'!E:AO,10,0)+VLOOKUP(A634,'Statement base'!E:AO,14,0)</f>
        <v>#N/A</v>
      </c>
      <c r="G634" s="61" t="e">
        <f>VLOOKUP(A634,'Clientes CBOT'!A:E,5,0)</f>
        <v>#N/A</v>
      </c>
      <c r="H634" t="str">
        <f t="shared" si="27"/>
        <v>Hard</v>
      </c>
      <c r="I634" s="6" t="e">
        <f t="shared" si="28"/>
        <v>#N/A</v>
      </c>
      <c r="J634" s="6" t="e">
        <f t="shared" si="29"/>
        <v>#N/A</v>
      </c>
    </row>
    <row r="635" spans="2:10" x14ac:dyDescent="0.3">
      <c r="B635" t="e">
        <f>VLOOKUP(A635,'Clientes CBOT'!A:D,4,0)</f>
        <v>#N/A</v>
      </c>
      <c r="C635" s="7" t="e">
        <f>VLOOKUP(A635,'Statement base'!E:AO,21,0)</f>
        <v>#N/A</v>
      </c>
      <c r="D635" s="7" t="e">
        <f>VLOOKUP(A635,'Statement base'!E:AO,10,0)-VLOOKUP(A635,'Statement base'!E:AO,21,0)</f>
        <v>#N/A</v>
      </c>
      <c r="E635" t="s">
        <v>188</v>
      </c>
      <c r="F635" s="6" t="e">
        <f>VLOOKUP(A635,'Statement base'!E:AO,10,0)+VLOOKUP(A635,'Statement base'!E:AO,14,0)</f>
        <v>#N/A</v>
      </c>
      <c r="G635" s="61" t="e">
        <f>VLOOKUP(A635,'Clientes CBOT'!A:E,5,0)</f>
        <v>#N/A</v>
      </c>
      <c r="H635" t="str">
        <f t="shared" si="27"/>
        <v>Hard</v>
      </c>
      <c r="I635" s="6" t="e">
        <f t="shared" si="28"/>
        <v>#N/A</v>
      </c>
      <c r="J635" s="6" t="e">
        <f t="shared" si="29"/>
        <v>#N/A</v>
      </c>
    </row>
    <row r="636" spans="2:10" x14ac:dyDescent="0.3">
      <c r="B636" t="e">
        <f>VLOOKUP(A636,'Clientes CBOT'!A:D,4,0)</f>
        <v>#N/A</v>
      </c>
      <c r="C636" s="7" t="e">
        <f>VLOOKUP(A636,'Statement base'!E:AO,21,0)</f>
        <v>#N/A</v>
      </c>
      <c r="D636" s="7" t="e">
        <f>VLOOKUP(A636,'Statement base'!E:AO,10,0)-VLOOKUP(A636,'Statement base'!E:AO,21,0)</f>
        <v>#N/A</v>
      </c>
      <c r="E636" t="s">
        <v>188</v>
      </c>
      <c r="F636" s="6" t="e">
        <f>VLOOKUP(A636,'Statement base'!E:AO,10,0)+VLOOKUP(A636,'Statement base'!E:AO,14,0)</f>
        <v>#N/A</v>
      </c>
      <c r="G636" s="61" t="e">
        <f>VLOOKUP(A636,'Clientes CBOT'!A:E,5,0)</f>
        <v>#N/A</v>
      </c>
      <c r="H636" t="str">
        <f t="shared" si="27"/>
        <v>Hard</v>
      </c>
      <c r="I636" s="6" t="e">
        <f t="shared" si="28"/>
        <v>#N/A</v>
      </c>
      <c r="J636" s="6" t="e">
        <f t="shared" si="29"/>
        <v>#N/A</v>
      </c>
    </row>
    <row r="637" spans="2:10" x14ac:dyDescent="0.3">
      <c r="B637" t="e">
        <f>VLOOKUP(A637,'Clientes CBOT'!A:D,4,0)</f>
        <v>#N/A</v>
      </c>
      <c r="C637" s="7" t="e">
        <f>VLOOKUP(A637,'Statement base'!E:AO,21,0)</f>
        <v>#N/A</v>
      </c>
      <c r="D637" s="7" t="e">
        <f>VLOOKUP(A637,'Statement base'!E:AO,10,0)-VLOOKUP(A637,'Statement base'!E:AO,21,0)</f>
        <v>#N/A</v>
      </c>
      <c r="E637" t="s">
        <v>188</v>
      </c>
      <c r="F637" s="6" t="e">
        <f>VLOOKUP(A637,'Statement base'!E:AO,10,0)+VLOOKUP(A637,'Statement base'!E:AO,14,0)</f>
        <v>#N/A</v>
      </c>
      <c r="G637" s="61" t="e">
        <f>VLOOKUP(A637,'Clientes CBOT'!A:E,5,0)</f>
        <v>#N/A</v>
      </c>
      <c r="H637" t="str">
        <f t="shared" si="27"/>
        <v>Hard</v>
      </c>
      <c r="I637" s="6" t="e">
        <f t="shared" si="28"/>
        <v>#N/A</v>
      </c>
      <c r="J637" s="6" t="e">
        <f t="shared" si="29"/>
        <v>#N/A</v>
      </c>
    </row>
    <row r="638" spans="2:10" x14ac:dyDescent="0.3">
      <c r="B638" t="e">
        <f>VLOOKUP(A638,'Clientes CBOT'!A:D,4,0)</f>
        <v>#N/A</v>
      </c>
      <c r="C638" s="7" t="e">
        <f>VLOOKUP(A638,'Statement base'!E:AO,21,0)</f>
        <v>#N/A</v>
      </c>
      <c r="D638" s="7" t="e">
        <f>VLOOKUP(A638,'Statement base'!E:AO,10,0)-VLOOKUP(A638,'Statement base'!E:AO,21,0)</f>
        <v>#N/A</v>
      </c>
      <c r="E638" t="s">
        <v>188</v>
      </c>
      <c r="F638" s="6" t="e">
        <f>VLOOKUP(A638,'Statement base'!E:AO,10,0)+VLOOKUP(A638,'Statement base'!E:AO,14,0)</f>
        <v>#N/A</v>
      </c>
      <c r="G638" s="61" t="e">
        <f>VLOOKUP(A638,'Clientes CBOT'!A:E,5,0)</f>
        <v>#N/A</v>
      </c>
      <c r="H638" t="str">
        <f t="shared" si="27"/>
        <v>Hard</v>
      </c>
      <c r="I638" s="6" t="e">
        <f t="shared" si="28"/>
        <v>#N/A</v>
      </c>
      <c r="J638" s="6" t="e">
        <f t="shared" si="29"/>
        <v>#N/A</v>
      </c>
    </row>
    <row r="639" spans="2:10" x14ac:dyDescent="0.3">
      <c r="B639" t="e">
        <f>VLOOKUP(A639,'Clientes CBOT'!A:D,4,0)</f>
        <v>#N/A</v>
      </c>
      <c r="C639" s="7" t="e">
        <f>VLOOKUP(A639,'Statement base'!E:AO,21,0)</f>
        <v>#N/A</v>
      </c>
      <c r="D639" s="7" t="e">
        <f>VLOOKUP(A639,'Statement base'!E:AO,10,0)-VLOOKUP(A639,'Statement base'!E:AO,21,0)</f>
        <v>#N/A</v>
      </c>
      <c r="E639" t="s">
        <v>188</v>
      </c>
      <c r="F639" s="6" t="e">
        <f>VLOOKUP(A639,'Statement base'!E:AO,10,0)+VLOOKUP(A639,'Statement base'!E:AO,14,0)</f>
        <v>#N/A</v>
      </c>
      <c r="G639" s="61" t="e">
        <f>VLOOKUP(A639,'Clientes CBOT'!A:E,5,0)</f>
        <v>#N/A</v>
      </c>
      <c r="H639" t="str">
        <f t="shared" si="27"/>
        <v>Hard</v>
      </c>
      <c r="I639" s="6" t="e">
        <f t="shared" si="28"/>
        <v>#N/A</v>
      </c>
      <c r="J639" s="6" t="e">
        <f t="shared" si="29"/>
        <v>#N/A</v>
      </c>
    </row>
    <row r="640" spans="2:10" x14ac:dyDescent="0.3">
      <c r="B640" t="e">
        <f>VLOOKUP(A640,'Clientes CBOT'!A:D,4,0)</f>
        <v>#N/A</v>
      </c>
      <c r="C640" s="7" t="e">
        <f>VLOOKUP(A640,'Statement base'!E:AO,21,0)</f>
        <v>#N/A</v>
      </c>
      <c r="D640" s="7" t="e">
        <f>VLOOKUP(A640,'Statement base'!E:AO,10,0)-VLOOKUP(A640,'Statement base'!E:AO,21,0)</f>
        <v>#N/A</v>
      </c>
      <c r="E640" t="s">
        <v>188</v>
      </c>
      <c r="F640" s="6" t="e">
        <f>VLOOKUP(A640,'Statement base'!E:AO,10,0)+VLOOKUP(A640,'Statement base'!E:AO,14,0)</f>
        <v>#N/A</v>
      </c>
      <c r="G640" s="61" t="e">
        <f>VLOOKUP(A640,'Clientes CBOT'!A:E,5,0)</f>
        <v>#N/A</v>
      </c>
      <c r="H640" t="str">
        <f t="shared" si="27"/>
        <v>Hard</v>
      </c>
      <c r="I640" s="6" t="e">
        <f t="shared" si="28"/>
        <v>#N/A</v>
      </c>
      <c r="J640" s="6" t="e">
        <f t="shared" si="29"/>
        <v>#N/A</v>
      </c>
    </row>
    <row r="641" spans="2:10" x14ac:dyDescent="0.3">
      <c r="B641" t="e">
        <f>VLOOKUP(A641,'Clientes CBOT'!A:D,4,0)</f>
        <v>#N/A</v>
      </c>
      <c r="C641" s="7" t="e">
        <f>VLOOKUP(A641,'Statement base'!E:AO,21,0)</f>
        <v>#N/A</v>
      </c>
      <c r="D641" s="7" t="e">
        <f>VLOOKUP(A641,'Statement base'!E:AO,10,0)-VLOOKUP(A641,'Statement base'!E:AO,21,0)</f>
        <v>#N/A</v>
      </c>
      <c r="E641" t="s">
        <v>188</v>
      </c>
      <c r="F641" s="6" t="e">
        <f>VLOOKUP(A641,'Statement base'!E:AO,10,0)+VLOOKUP(A641,'Statement base'!E:AO,14,0)</f>
        <v>#N/A</v>
      </c>
      <c r="G641" s="61" t="e">
        <f>VLOOKUP(A641,'Clientes CBOT'!A:E,5,0)</f>
        <v>#N/A</v>
      </c>
      <c r="H641" t="str">
        <f t="shared" si="27"/>
        <v>Hard</v>
      </c>
      <c r="I641" s="6" t="e">
        <f t="shared" si="28"/>
        <v>#N/A</v>
      </c>
      <c r="J641" s="6" t="e">
        <f t="shared" si="29"/>
        <v>#N/A</v>
      </c>
    </row>
    <row r="642" spans="2:10" x14ac:dyDescent="0.3">
      <c r="B642" t="e">
        <f>VLOOKUP(A642,'Clientes CBOT'!A:D,4,0)</f>
        <v>#N/A</v>
      </c>
      <c r="C642" s="7" t="e">
        <f>VLOOKUP(A642,'Statement base'!E:AO,21,0)</f>
        <v>#N/A</v>
      </c>
      <c r="D642" s="7" t="e">
        <f>VLOOKUP(A642,'Statement base'!E:AO,10,0)-VLOOKUP(A642,'Statement base'!E:AO,21,0)</f>
        <v>#N/A</v>
      </c>
      <c r="E642" t="s">
        <v>188</v>
      </c>
      <c r="F642" s="6" t="e">
        <f>VLOOKUP(A642,'Statement base'!E:AO,10,0)+VLOOKUP(A642,'Statement base'!E:AO,14,0)</f>
        <v>#N/A</v>
      </c>
      <c r="G642" s="61" t="e">
        <f>VLOOKUP(A642,'Clientes CBOT'!A:E,5,0)</f>
        <v>#N/A</v>
      </c>
      <c r="H642" t="str">
        <f t="shared" si="27"/>
        <v>Hard</v>
      </c>
      <c r="I642" s="6" t="e">
        <f t="shared" si="28"/>
        <v>#N/A</v>
      </c>
      <c r="J642" s="6" t="e">
        <f t="shared" si="29"/>
        <v>#N/A</v>
      </c>
    </row>
    <row r="643" spans="2:10" x14ac:dyDescent="0.3">
      <c r="B643" t="e">
        <f>VLOOKUP(A643,'Clientes CBOT'!A:D,4,0)</f>
        <v>#N/A</v>
      </c>
      <c r="C643" s="7" t="e">
        <f>VLOOKUP(A643,'Statement base'!E:AO,21,0)</f>
        <v>#N/A</v>
      </c>
      <c r="D643" s="7" t="e">
        <f>VLOOKUP(A643,'Statement base'!E:AO,10,0)-VLOOKUP(A643,'Statement base'!E:AO,21,0)</f>
        <v>#N/A</v>
      </c>
      <c r="E643" t="s">
        <v>188</v>
      </c>
      <c r="F643" s="6" t="e">
        <f>VLOOKUP(A643,'Statement base'!E:AO,10,0)+VLOOKUP(A643,'Statement base'!E:AO,14,0)</f>
        <v>#N/A</v>
      </c>
      <c r="G643" s="61" t="e">
        <f>VLOOKUP(A643,'Clientes CBOT'!A:E,5,0)</f>
        <v>#N/A</v>
      </c>
      <c r="H643" t="str">
        <f t="shared" si="27"/>
        <v>Hard</v>
      </c>
      <c r="I643" s="6" t="e">
        <f t="shared" si="28"/>
        <v>#N/A</v>
      </c>
      <c r="J643" s="6" t="e">
        <f t="shared" si="29"/>
        <v>#N/A</v>
      </c>
    </row>
    <row r="644" spans="2:10" x14ac:dyDescent="0.3">
      <c r="B644" t="e">
        <f>VLOOKUP(A644,'Clientes CBOT'!A:D,4,0)</f>
        <v>#N/A</v>
      </c>
      <c r="C644" s="7" t="e">
        <f>VLOOKUP(A644,'Statement base'!E:AO,21,0)</f>
        <v>#N/A</v>
      </c>
      <c r="D644" s="7" t="e">
        <f>VLOOKUP(A644,'Statement base'!E:AO,10,0)-VLOOKUP(A644,'Statement base'!E:AO,21,0)</f>
        <v>#N/A</v>
      </c>
      <c r="E644" t="s">
        <v>188</v>
      </c>
      <c r="F644" s="6" t="e">
        <f>VLOOKUP(A644,'Statement base'!E:AO,10,0)+VLOOKUP(A644,'Statement base'!E:AO,14,0)</f>
        <v>#N/A</v>
      </c>
      <c r="G644" s="61" t="e">
        <f>VLOOKUP(A644,'Clientes CBOT'!A:E,5,0)</f>
        <v>#N/A</v>
      </c>
      <c r="H644" t="str">
        <f t="shared" si="27"/>
        <v>Hard</v>
      </c>
      <c r="I644" s="6" t="e">
        <f t="shared" si="28"/>
        <v>#N/A</v>
      </c>
      <c r="J644" s="6" t="e">
        <f t="shared" si="29"/>
        <v>#N/A</v>
      </c>
    </row>
    <row r="645" spans="2:10" x14ac:dyDescent="0.3">
      <c r="B645" t="e">
        <f>VLOOKUP(A645,'Clientes CBOT'!A:D,4,0)</f>
        <v>#N/A</v>
      </c>
      <c r="C645" s="7" t="e">
        <f>VLOOKUP(A645,'Statement base'!E:AO,21,0)</f>
        <v>#N/A</v>
      </c>
      <c r="D645" s="7" t="e">
        <f>VLOOKUP(A645,'Statement base'!E:AO,10,0)-VLOOKUP(A645,'Statement base'!E:AO,21,0)</f>
        <v>#N/A</v>
      </c>
      <c r="E645" t="s">
        <v>188</v>
      </c>
      <c r="F645" s="6" t="e">
        <f>VLOOKUP(A645,'Statement base'!E:AO,10,0)+VLOOKUP(A645,'Statement base'!E:AO,14,0)</f>
        <v>#N/A</v>
      </c>
      <c r="G645" s="61" t="e">
        <f>VLOOKUP(A645,'Clientes CBOT'!A:E,5,0)</f>
        <v>#N/A</v>
      </c>
      <c r="H645" t="str">
        <f t="shared" ref="H645:H708" si="30">IF(E645="pesos","Ars",IF(E645="Dólar Matba Rofex","usd linked","Hard"))</f>
        <v>Hard</v>
      </c>
      <c r="I645" s="6" t="e">
        <f t="shared" ref="I645:I708" si="31">IF(H645="ars",C645/$J$1,IF(H645="hard",C645*$J$2/$J$1,C645))</f>
        <v>#N/A</v>
      </c>
      <c r="J645" s="6" t="e">
        <f t="shared" ref="J645:J708" si="32">IF(H645="ars",D645/$J$1,IF(H645="hard",D645*$J$2/$J$1,D645))</f>
        <v>#N/A</v>
      </c>
    </row>
    <row r="646" spans="2:10" x14ac:dyDescent="0.3">
      <c r="B646" t="e">
        <f>VLOOKUP(A646,'Clientes CBOT'!A:D,4,0)</f>
        <v>#N/A</v>
      </c>
      <c r="C646" s="7" t="e">
        <f>VLOOKUP(A646,'Statement base'!E:AO,21,0)</f>
        <v>#N/A</v>
      </c>
      <c r="D646" s="7" t="e">
        <f>VLOOKUP(A646,'Statement base'!E:AO,10,0)-VLOOKUP(A646,'Statement base'!E:AO,21,0)</f>
        <v>#N/A</v>
      </c>
      <c r="E646" t="s">
        <v>188</v>
      </c>
      <c r="F646" s="6" t="e">
        <f>VLOOKUP(A646,'Statement base'!E:AO,10,0)+VLOOKUP(A646,'Statement base'!E:AO,14,0)</f>
        <v>#N/A</v>
      </c>
      <c r="G646" s="61" t="e">
        <f>VLOOKUP(A646,'Clientes CBOT'!A:E,5,0)</f>
        <v>#N/A</v>
      </c>
      <c r="H646" t="str">
        <f t="shared" si="30"/>
        <v>Hard</v>
      </c>
      <c r="I646" s="6" t="e">
        <f t="shared" si="31"/>
        <v>#N/A</v>
      </c>
      <c r="J646" s="6" t="e">
        <f t="shared" si="32"/>
        <v>#N/A</v>
      </c>
    </row>
    <row r="647" spans="2:10" x14ac:dyDescent="0.3">
      <c r="B647" t="e">
        <f>VLOOKUP(A647,'Clientes CBOT'!A:D,4,0)</f>
        <v>#N/A</v>
      </c>
      <c r="C647" s="7" t="e">
        <f>VLOOKUP(A647,'Statement base'!E:AO,21,0)</f>
        <v>#N/A</v>
      </c>
      <c r="D647" s="7" t="e">
        <f>VLOOKUP(A647,'Statement base'!E:AO,10,0)-VLOOKUP(A647,'Statement base'!E:AO,21,0)</f>
        <v>#N/A</v>
      </c>
      <c r="E647" t="s">
        <v>188</v>
      </c>
      <c r="F647" s="6" t="e">
        <f>VLOOKUP(A647,'Statement base'!E:AO,10,0)+VLOOKUP(A647,'Statement base'!E:AO,14,0)</f>
        <v>#N/A</v>
      </c>
      <c r="G647" s="61" t="e">
        <f>VLOOKUP(A647,'Clientes CBOT'!A:E,5,0)</f>
        <v>#N/A</v>
      </c>
      <c r="H647" t="str">
        <f t="shared" si="30"/>
        <v>Hard</v>
      </c>
      <c r="I647" s="6" t="e">
        <f t="shared" si="31"/>
        <v>#N/A</v>
      </c>
      <c r="J647" s="6" t="e">
        <f t="shared" si="32"/>
        <v>#N/A</v>
      </c>
    </row>
    <row r="648" spans="2:10" x14ac:dyDescent="0.3">
      <c r="B648" t="e">
        <f>VLOOKUP(A648,'Clientes CBOT'!A:D,4,0)</f>
        <v>#N/A</v>
      </c>
      <c r="C648" s="7" t="e">
        <f>VLOOKUP(A648,'Statement base'!E:AO,21,0)</f>
        <v>#N/A</v>
      </c>
      <c r="D648" s="7" t="e">
        <f>VLOOKUP(A648,'Statement base'!E:AO,10,0)-VLOOKUP(A648,'Statement base'!E:AO,21,0)</f>
        <v>#N/A</v>
      </c>
      <c r="E648" t="s">
        <v>188</v>
      </c>
      <c r="F648" s="6" t="e">
        <f>VLOOKUP(A648,'Statement base'!E:AO,10,0)+VLOOKUP(A648,'Statement base'!E:AO,14,0)</f>
        <v>#N/A</v>
      </c>
      <c r="G648" s="61" t="e">
        <f>VLOOKUP(A648,'Clientes CBOT'!A:E,5,0)</f>
        <v>#N/A</v>
      </c>
      <c r="H648" t="str">
        <f t="shared" si="30"/>
        <v>Hard</v>
      </c>
      <c r="I648" s="6" t="e">
        <f t="shared" si="31"/>
        <v>#N/A</v>
      </c>
      <c r="J648" s="6" t="e">
        <f t="shared" si="32"/>
        <v>#N/A</v>
      </c>
    </row>
    <row r="649" spans="2:10" x14ac:dyDescent="0.3">
      <c r="B649" t="e">
        <f>VLOOKUP(A649,'Clientes CBOT'!A:D,4,0)</f>
        <v>#N/A</v>
      </c>
      <c r="C649" s="7" t="e">
        <f>VLOOKUP(A649,'Statement base'!E:AO,21,0)</f>
        <v>#N/A</v>
      </c>
      <c r="D649" s="7" t="e">
        <f>VLOOKUP(A649,'Statement base'!E:AO,10,0)-VLOOKUP(A649,'Statement base'!E:AO,21,0)</f>
        <v>#N/A</v>
      </c>
      <c r="E649" t="s">
        <v>188</v>
      </c>
      <c r="F649" s="6" t="e">
        <f>VLOOKUP(A649,'Statement base'!E:AO,10,0)+VLOOKUP(A649,'Statement base'!E:AO,14,0)</f>
        <v>#N/A</v>
      </c>
      <c r="G649" s="61" t="e">
        <f>VLOOKUP(A649,'Clientes CBOT'!A:E,5,0)</f>
        <v>#N/A</v>
      </c>
      <c r="H649" t="str">
        <f t="shared" si="30"/>
        <v>Hard</v>
      </c>
      <c r="I649" s="6" t="e">
        <f t="shared" si="31"/>
        <v>#N/A</v>
      </c>
      <c r="J649" s="6" t="e">
        <f t="shared" si="32"/>
        <v>#N/A</v>
      </c>
    </row>
    <row r="650" spans="2:10" x14ac:dyDescent="0.3">
      <c r="B650" t="e">
        <f>VLOOKUP(A650,'Clientes CBOT'!A:D,4,0)</f>
        <v>#N/A</v>
      </c>
      <c r="C650" s="7" t="e">
        <f>VLOOKUP(A650,'Statement base'!E:AO,21,0)</f>
        <v>#N/A</v>
      </c>
      <c r="D650" s="7" t="e">
        <f>VLOOKUP(A650,'Statement base'!E:AO,10,0)-VLOOKUP(A650,'Statement base'!E:AO,21,0)</f>
        <v>#N/A</v>
      </c>
      <c r="E650" t="s">
        <v>188</v>
      </c>
      <c r="F650" s="6" t="e">
        <f>VLOOKUP(A650,'Statement base'!E:AO,10,0)+VLOOKUP(A650,'Statement base'!E:AO,14,0)</f>
        <v>#N/A</v>
      </c>
      <c r="G650" s="61" t="e">
        <f>VLOOKUP(A650,'Clientes CBOT'!A:E,5,0)</f>
        <v>#N/A</v>
      </c>
      <c r="H650" t="str">
        <f t="shared" si="30"/>
        <v>Hard</v>
      </c>
      <c r="I650" s="6" t="e">
        <f t="shared" si="31"/>
        <v>#N/A</v>
      </c>
      <c r="J650" s="6" t="e">
        <f t="shared" si="32"/>
        <v>#N/A</v>
      </c>
    </row>
    <row r="651" spans="2:10" x14ac:dyDescent="0.3">
      <c r="B651" t="e">
        <f>VLOOKUP(A651,'Clientes CBOT'!A:D,4,0)</f>
        <v>#N/A</v>
      </c>
      <c r="C651" s="7" t="e">
        <f>VLOOKUP(A651,'Statement base'!E:AO,21,0)</f>
        <v>#N/A</v>
      </c>
      <c r="D651" s="7" t="e">
        <f>VLOOKUP(A651,'Statement base'!E:AO,10,0)-VLOOKUP(A651,'Statement base'!E:AO,21,0)</f>
        <v>#N/A</v>
      </c>
      <c r="E651" t="s">
        <v>188</v>
      </c>
      <c r="F651" s="6" t="e">
        <f>VLOOKUP(A651,'Statement base'!E:AO,10,0)+VLOOKUP(A651,'Statement base'!E:AO,14,0)</f>
        <v>#N/A</v>
      </c>
      <c r="G651" s="61" t="e">
        <f>VLOOKUP(A651,'Clientes CBOT'!A:E,5,0)</f>
        <v>#N/A</v>
      </c>
      <c r="H651" t="str">
        <f t="shared" si="30"/>
        <v>Hard</v>
      </c>
      <c r="I651" s="6" t="e">
        <f t="shared" si="31"/>
        <v>#N/A</v>
      </c>
      <c r="J651" s="6" t="e">
        <f t="shared" si="32"/>
        <v>#N/A</v>
      </c>
    </row>
    <row r="652" spans="2:10" x14ac:dyDescent="0.3">
      <c r="B652" t="e">
        <f>VLOOKUP(A652,'Clientes CBOT'!A:D,4,0)</f>
        <v>#N/A</v>
      </c>
      <c r="C652" s="7" t="e">
        <f>VLOOKUP(A652,'Statement base'!E:AO,21,0)</f>
        <v>#N/A</v>
      </c>
      <c r="D652" s="7" t="e">
        <f>VLOOKUP(A652,'Statement base'!E:AO,10,0)-VLOOKUP(A652,'Statement base'!E:AO,21,0)</f>
        <v>#N/A</v>
      </c>
      <c r="E652" t="s">
        <v>188</v>
      </c>
      <c r="F652" s="6" t="e">
        <f>VLOOKUP(A652,'Statement base'!E:AO,10,0)+VLOOKUP(A652,'Statement base'!E:AO,14,0)</f>
        <v>#N/A</v>
      </c>
      <c r="G652" s="61" t="e">
        <f>VLOOKUP(A652,'Clientes CBOT'!A:E,5,0)</f>
        <v>#N/A</v>
      </c>
      <c r="H652" t="str">
        <f t="shared" si="30"/>
        <v>Hard</v>
      </c>
      <c r="I652" s="6" t="e">
        <f t="shared" si="31"/>
        <v>#N/A</v>
      </c>
      <c r="J652" s="6" t="e">
        <f t="shared" si="32"/>
        <v>#N/A</v>
      </c>
    </row>
    <row r="653" spans="2:10" x14ac:dyDescent="0.3">
      <c r="B653" t="e">
        <f>VLOOKUP(A653,'Clientes CBOT'!A:D,4,0)</f>
        <v>#N/A</v>
      </c>
      <c r="C653" s="7" t="e">
        <f>VLOOKUP(A653,'Statement base'!E:AO,21,0)</f>
        <v>#N/A</v>
      </c>
      <c r="D653" s="7" t="e">
        <f>VLOOKUP(A653,'Statement base'!E:AO,10,0)-VLOOKUP(A653,'Statement base'!E:AO,21,0)</f>
        <v>#N/A</v>
      </c>
      <c r="E653" t="s">
        <v>188</v>
      </c>
      <c r="F653" s="6" t="e">
        <f>VLOOKUP(A653,'Statement base'!E:AO,10,0)+VLOOKUP(A653,'Statement base'!E:AO,14,0)</f>
        <v>#N/A</v>
      </c>
      <c r="G653" s="61" t="e">
        <f>VLOOKUP(A653,'Clientes CBOT'!A:E,5,0)</f>
        <v>#N/A</v>
      </c>
      <c r="H653" t="str">
        <f t="shared" si="30"/>
        <v>Hard</v>
      </c>
      <c r="I653" s="6" t="e">
        <f t="shared" si="31"/>
        <v>#N/A</v>
      </c>
      <c r="J653" s="6" t="e">
        <f t="shared" si="32"/>
        <v>#N/A</v>
      </c>
    </row>
    <row r="654" spans="2:10" x14ac:dyDescent="0.3">
      <c r="B654" t="e">
        <f>VLOOKUP(A654,'Clientes CBOT'!A:D,4,0)</f>
        <v>#N/A</v>
      </c>
      <c r="C654" s="7" t="e">
        <f>VLOOKUP(A654,'Statement base'!E:AO,21,0)</f>
        <v>#N/A</v>
      </c>
      <c r="D654" s="7" t="e">
        <f>VLOOKUP(A654,'Statement base'!E:AO,10,0)-VLOOKUP(A654,'Statement base'!E:AO,21,0)</f>
        <v>#N/A</v>
      </c>
      <c r="E654" t="s">
        <v>188</v>
      </c>
      <c r="F654" s="6" t="e">
        <f>VLOOKUP(A654,'Statement base'!E:AO,10,0)+VLOOKUP(A654,'Statement base'!E:AO,14,0)</f>
        <v>#N/A</v>
      </c>
      <c r="G654" s="61" t="e">
        <f>VLOOKUP(A654,'Clientes CBOT'!A:E,5,0)</f>
        <v>#N/A</v>
      </c>
      <c r="H654" t="str">
        <f t="shared" si="30"/>
        <v>Hard</v>
      </c>
      <c r="I654" s="6" t="e">
        <f t="shared" si="31"/>
        <v>#N/A</v>
      </c>
      <c r="J654" s="6" t="e">
        <f t="shared" si="32"/>
        <v>#N/A</v>
      </c>
    </row>
    <row r="655" spans="2:10" x14ac:dyDescent="0.3">
      <c r="B655" t="e">
        <f>VLOOKUP(A655,'Clientes CBOT'!A:D,4,0)</f>
        <v>#N/A</v>
      </c>
      <c r="C655" s="7" t="e">
        <f>VLOOKUP(A655,'Statement base'!E:AO,21,0)</f>
        <v>#N/A</v>
      </c>
      <c r="D655" s="7" t="e">
        <f>VLOOKUP(A655,'Statement base'!E:AO,10,0)-VLOOKUP(A655,'Statement base'!E:AO,21,0)</f>
        <v>#N/A</v>
      </c>
      <c r="E655" t="s">
        <v>188</v>
      </c>
      <c r="F655" s="6" t="e">
        <f>VLOOKUP(A655,'Statement base'!E:AO,10,0)+VLOOKUP(A655,'Statement base'!E:AO,14,0)</f>
        <v>#N/A</v>
      </c>
      <c r="G655" s="61" t="e">
        <f>VLOOKUP(A655,'Clientes CBOT'!A:E,5,0)</f>
        <v>#N/A</v>
      </c>
      <c r="H655" t="str">
        <f t="shared" si="30"/>
        <v>Hard</v>
      </c>
      <c r="I655" s="6" t="e">
        <f t="shared" si="31"/>
        <v>#N/A</v>
      </c>
      <c r="J655" s="6" t="e">
        <f t="shared" si="32"/>
        <v>#N/A</v>
      </c>
    </row>
    <row r="656" spans="2:10" x14ac:dyDescent="0.3">
      <c r="B656" t="e">
        <f>VLOOKUP(A656,'Clientes CBOT'!A:D,4,0)</f>
        <v>#N/A</v>
      </c>
      <c r="C656" s="7" t="e">
        <f>VLOOKUP(A656,'Statement base'!E:AO,21,0)</f>
        <v>#N/A</v>
      </c>
      <c r="D656" s="7" t="e">
        <f>VLOOKUP(A656,'Statement base'!E:AO,10,0)-VLOOKUP(A656,'Statement base'!E:AO,21,0)</f>
        <v>#N/A</v>
      </c>
      <c r="E656" t="s">
        <v>188</v>
      </c>
      <c r="F656" s="6" t="e">
        <f>VLOOKUP(A656,'Statement base'!E:AO,10,0)+VLOOKUP(A656,'Statement base'!E:AO,14,0)</f>
        <v>#N/A</v>
      </c>
      <c r="G656" s="61" t="e">
        <f>VLOOKUP(A656,'Clientes CBOT'!A:E,5,0)</f>
        <v>#N/A</v>
      </c>
      <c r="H656" t="str">
        <f t="shared" si="30"/>
        <v>Hard</v>
      </c>
      <c r="I656" s="6" t="e">
        <f t="shared" si="31"/>
        <v>#N/A</v>
      </c>
      <c r="J656" s="6" t="e">
        <f t="shared" si="32"/>
        <v>#N/A</v>
      </c>
    </row>
    <row r="657" spans="2:10" x14ac:dyDescent="0.3">
      <c r="B657" t="e">
        <f>VLOOKUP(A657,'Clientes CBOT'!A:D,4,0)</f>
        <v>#N/A</v>
      </c>
      <c r="C657" s="7" t="e">
        <f>VLOOKUP(A657,'Statement base'!E:AO,21,0)</f>
        <v>#N/A</v>
      </c>
      <c r="D657" s="7" t="e">
        <f>VLOOKUP(A657,'Statement base'!E:AO,10,0)-VLOOKUP(A657,'Statement base'!E:AO,21,0)</f>
        <v>#N/A</v>
      </c>
      <c r="E657" t="s">
        <v>188</v>
      </c>
      <c r="F657" s="6" t="e">
        <f>VLOOKUP(A657,'Statement base'!E:AO,10,0)+VLOOKUP(A657,'Statement base'!E:AO,14,0)</f>
        <v>#N/A</v>
      </c>
      <c r="G657" s="61" t="e">
        <f>VLOOKUP(A657,'Clientes CBOT'!A:E,5,0)</f>
        <v>#N/A</v>
      </c>
      <c r="H657" t="str">
        <f t="shared" si="30"/>
        <v>Hard</v>
      </c>
      <c r="I657" s="6" t="e">
        <f t="shared" si="31"/>
        <v>#N/A</v>
      </c>
      <c r="J657" s="6" t="e">
        <f t="shared" si="32"/>
        <v>#N/A</v>
      </c>
    </row>
    <row r="658" spans="2:10" x14ac:dyDescent="0.3">
      <c r="B658" t="e">
        <f>VLOOKUP(A658,'Clientes CBOT'!A:D,4,0)</f>
        <v>#N/A</v>
      </c>
      <c r="C658" s="7" t="e">
        <f>VLOOKUP(A658,'Statement base'!E:AO,21,0)</f>
        <v>#N/A</v>
      </c>
      <c r="D658" s="7" t="e">
        <f>VLOOKUP(A658,'Statement base'!E:AO,10,0)-VLOOKUP(A658,'Statement base'!E:AO,21,0)</f>
        <v>#N/A</v>
      </c>
      <c r="E658" t="s">
        <v>188</v>
      </c>
      <c r="F658" s="6" t="e">
        <f>VLOOKUP(A658,'Statement base'!E:AO,10,0)+VLOOKUP(A658,'Statement base'!E:AO,14,0)</f>
        <v>#N/A</v>
      </c>
      <c r="G658" s="61" t="e">
        <f>VLOOKUP(A658,'Clientes CBOT'!A:E,5,0)</f>
        <v>#N/A</v>
      </c>
      <c r="H658" t="str">
        <f t="shared" si="30"/>
        <v>Hard</v>
      </c>
      <c r="I658" s="6" t="e">
        <f t="shared" si="31"/>
        <v>#N/A</v>
      </c>
      <c r="J658" s="6" t="e">
        <f t="shared" si="32"/>
        <v>#N/A</v>
      </c>
    </row>
    <row r="659" spans="2:10" x14ac:dyDescent="0.3">
      <c r="B659" t="e">
        <f>VLOOKUP(A659,'Clientes CBOT'!A:D,4,0)</f>
        <v>#N/A</v>
      </c>
      <c r="C659" s="7" t="e">
        <f>VLOOKUP(A659,'Statement base'!E:AO,21,0)</f>
        <v>#N/A</v>
      </c>
      <c r="D659" s="7" t="e">
        <f>VLOOKUP(A659,'Statement base'!E:AO,10,0)-VLOOKUP(A659,'Statement base'!E:AO,21,0)</f>
        <v>#N/A</v>
      </c>
      <c r="E659" t="s">
        <v>188</v>
      </c>
      <c r="F659" s="6" t="e">
        <f>VLOOKUP(A659,'Statement base'!E:AO,10,0)+VLOOKUP(A659,'Statement base'!E:AO,14,0)</f>
        <v>#N/A</v>
      </c>
      <c r="G659" s="61" t="e">
        <f>VLOOKUP(A659,'Clientes CBOT'!A:E,5,0)</f>
        <v>#N/A</v>
      </c>
      <c r="H659" t="str">
        <f t="shared" si="30"/>
        <v>Hard</v>
      </c>
      <c r="I659" s="6" t="e">
        <f t="shared" si="31"/>
        <v>#N/A</v>
      </c>
      <c r="J659" s="6" t="e">
        <f t="shared" si="32"/>
        <v>#N/A</v>
      </c>
    </row>
    <row r="660" spans="2:10" x14ac:dyDescent="0.3">
      <c r="B660" t="e">
        <f>VLOOKUP(A660,'Clientes CBOT'!A:D,4,0)</f>
        <v>#N/A</v>
      </c>
      <c r="C660" s="7" t="e">
        <f>VLOOKUP(A660,'Statement base'!E:AO,21,0)</f>
        <v>#N/A</v>
      </c>
      <c r="D660" s="7" t="e">
        <f>VLOOKUP(A660,'Statement base'!E:AO,10,0)-VLOOKUP(A660,'Statement base'!E:AO,21,0)</f>
        <v>#N/A</v>
      </c>
      <c r="E660" t="s">
        <v>188</v>
      </c>
      <c r="F660" s="6" t="e">
        <f>VLOOKUP(A660,'Statement base'!E:AO,10,0)+VLOOKUP(A660,'Statement base'!E:AO,14,0)</f>
        <v>#N/A</v>
      </c>
      <c r="G660" s="61" t="e">
        <f>VLOOKUP(A660,'Clientes CBOT'!A:E,5,0)</f>
        <v>#N/A</v>
      </c>
      <c r="H660" t="str">
        <f t="shared" si="30"/>
        <v>Hard</v>
      </c>
      <c r="I660" s="6" t="e">
        <f t="shared" si="31"/>
        <v>#N/A</v>
      </c>
      <c r="J660" s="6" t="e">
        <f t="shared" si="32"/>
        <v>#N/A</v>
      </c>
    </row>
    <row r="661" spans="2:10" x14ac:dyDescent="0.3">
      <c r="B661" t="e">
        <f>VLOOKUP(A661,'Clientes CBOT'!A:D,4,0)</f>
        <v>#N/A</v>
      </c>
      <c r="C661" s="7" t="e">
        <f>VLOOKUP(A661,'Statement base'!E:AO,21,0)</f>
        <v>#N/A</v>
      </c>
      <c r="D661" s="7" t="e">
        <f>VLOOKUP(A661,'Statement base'!E:AO,10,0)-VLOOKUP(A661,'Statement base'!E:AO,21,0)</f>
        <v>#N/A</v>
      </c>
      <c r="E661" t="s">
        <v>188</v>
      </c>
      <c r="F661" s="6" t="e">
        <f>VLOOKUP(A661,'Statement base'!E:AO,10,0)+VLOOKUP(A661,'Statement base'!E:AO,14,0)</f>
        <v>#N/A</v>
      </c>
      <c r="G661" s="61" t="e">
        <f>VLOOKUP(A661,'Clientes CBOT'!A:E,5,0)</f>
        <v>#N/A</v>
      </c>
      <c r="H661" t="str">
        <f t="shared" si="30"/>
        <v>Hard</v>
      </c>
      <c r="I661" s="6" t="e">
        <f t="shared" si="31"/>
        <v>#N/A</v>
      </c>
      <c r="J661" s="6" t="e">
        <f t="shared" si="32"/>
        <v>#N/A</v>
      </c>
    </row>
    <row r="662" spans="2:10" x14ac:dyDescent="0.3">
      <c r="B662" t="e">
        <f>VLOOKUP(A662,'Clientes CBOT'!A:D,4,0)</f>
        <v>#N/A</v>
      </c>
      <c r="C662" s="7" t="e">
        <f>VLOOKUP(A662,'Statement base'!E:AO,21,0)</f>
        <v>#N/A</v>
      </c>
      <c r="D662" s="7" t="e">
        <f>VLOOKUP(A662,'Statement base'!E:AO,10,0)-VLOOKUP(A662,'Statement base'!E:AO,21,0)</f>
        <v>#N/A</v>
      </c>
      <c r="E662" t="s">
        <v>188</v>
      </c>
      <c r="F662" s="6" t="e">
        <f>VLOOKUP(A662,'Statement base'!E:AO,10,0)+VLOOKUP(A662,'Statement base'!E:AO,14,0)</f>
        <v>#N/A</v>
      </c>
      <c r="G662" s="61" t="e">
        <f>VLOOKUP(A662,'Clientes CBOT'!A:E,5,0)</f>
        <v>#N/A</v>
      </c>
      <c r="H662" t="str">
        <f t="shared" si="30"/>
        <v>Hard</v>
      </c>
      <c r="I662" s="6" t="e">
        <f t="shared" si="31"/>
        <v>#N/A</v>
      </c>
      <c r="J662" s="6" t="e">
        <f t="shared" si="32"/>
        <v>#N/A</v>
      </c>
    </row>
    <row r="663" spans="2:10" x14ac:dyDescent="0.3">
      <c r="B663" t="e">
        <f>VLOOKUP(A663,'Clientes CBOT'!A:D,4,0)</f>
        <v>#N/A</v>
      </c>
      <c r="C663" s="7" t="e">
        <f>VLOOKUP(A663,'Statement base'!E:AO,21,0)</f>
        <v>#N/A</v>
      </c>
      <c r="D663" s="7" t="e">
        <f>VLOOKUP(A663,'Statement base'!E:AO,10,0)-VLOOKUP(A663,'Statement base'!E:AO,21,0)</f>
        <v>#N/A</v>
      </c>
      <c r="E663" t="s">
        <v>188</v>
      </c>
      <c r="F663" s="6" t="e">
        <f>VLOOKUP(A663,'Statement base'!E:AO,10,0)+VLOOKUP(A663,'Statement base'!E:AO,14,0)</f>
        <v>#N/A</v>
      </c>
      <c r="G663" s="61" t="e">
        <f>VLOOKUP(A663,'Clientes CBOT'!A:E,5,0)</f>
        <v>#N/A</v>
      </c>
      <c r="H663" t="str">
        <f t="shared" si="30"/>
        <v>Hard</v>
      </c>
      <c r="I663" s="6" t="e">
        <f t="shared" si="31"/>
        <v>#N/A</v>
      </c>
      <c r="J663" s="6" t="e">
        <f t="shared" si="32"/>
        <v>#N/A</v>
      </c>
    </row>
    <row r="664" spans="2:10" x14ac:dyDescent="0.3">
      <c r="B664" t="e">
        <f>VLOOKUP(A664,'Clientes CBOT'!A:D,4,0)</f>
        <v>#N/A</v>
      </c>
      <c r="C664" s="7" t="e">
        <f>VLOOKUP(A664,'Statement base'!E:AO,21,0)</f>
        <v>#N/A</v>
      </c>
      <c r="D664" s="7" t="e">
        <f>VLOOKUP(A664,'Statement base'!E:AO,10,0)-VLOOKUP(A664,'Statement base'!E:AO,21,0)</f>
        <v>#N/A</v>
      </c>
      <c r="E664" t="s">
        <v>188</v>
      </c>
      <c r="F664" s="6" t="e">
        <f>VLOOKUP(A664,'Statement base'!E:AO,10,0)+VLOOKUP(A664,'Statement base'!E:AO,14,0)</f>
        <v>#N/A</v>
      </c>
      <c r="G664" s="61" t="e">
        <f>VLOOKUP(A664,'Clientes CBOT'!A:E,5,0)</f>
        <v>#N/A</v>
      </c>
      <c r="H664" t="str">
        <f t="shared" si="30"/>
        <v>Hard</v>
      </c>
      <c r="I664" s="6" t="e">
        <f t="shared" si="31"/>
        <v>#N/A</v>
      </c>
      <c r="J664" s="6" t="e">
        <f t="shared" si="32"/>
        <v>#N/A</v>
      </c>
    </row>
    <row r="665" spans="2:10" x14ac:dyDescent="0.3">
      <c r="B665" t="e">
        <f>VLOOKUP(A665,'Clientes CBOT'!A:D,4,0)</f>
        <v>#N/A</v>
      </c>
      <c r="C665" s="7" t="e">
        <f>VLOOKUP(A665,'Statement base'!E:AO,21,0)</f>
        <v>#N/A</v>
      </c>
      <c r="D665" s="7" t="e">
        <f>VLOOKUP(A665,'Statement base'!E:AO,10,0)-VLOOKUP(A665,'Statement base'!E:AO,21,0)</f>
        <v>#N/A</v>
      </c>
      <c r="E665" t="s">
        <v>188</v>
      </c>
      <c r="F665" s="6" t="e">
        <f>VLOOKUP(A665,'Statement base'!E:AO,10,0)+VLOOKUP(A665,'Statement base'!E:AO,14,0)</f>
        <v>#N/A</v>
      </c>
      <c r="G665" s="61" t="e">
        <f>VLOOKUP(A665,'Clientes CBOT'!A:E,5,0)</f>
        <v>#N/A</v>
      </c>
      <c r="H665" t="str">
        <f t="shared" si="30"/>
        <v>Hard</v>
      </c>
      <c r="I665" s="6" t="e">
        <f t="shared" si="31"/>
        <v>#N/A</v>
      </c>
      <c r="J665" s="6" t="e">
        <f t="shared" si="32"/>
        <v>#N/A</v>
      </c>
    </row>
    <row r="666" spans="2:10" x14ac:dyDescent="0.3">
      <c r="B666" t="e">
        <f>VLOOKUP(A666,'Clientes CBOT'!A:D,4,0)</f>
        <v>#N/A</v>
      </c>
      <c r="C666" s="7" t="e">
        <f>VLOOKUP(A666,'Statement base'!E:AO,21,0)</f>
        <v>#N/A</v>
      </c>
      <c r="D666" s="7" t="e">
        <f>VLOOKUP(A666,'Statement base'!E:AO,10,0)-VLOOKUP(A666,'Statement base'!E:AO,21,0)</f>
        <v>#N/A</v>
      </c>
      <c r="E666" t="s">
        <v>188</v>
      </c>
      <c r="F666" s="6" t="e">
        <f>VLOOKUP(A666,'Statement base'!E:AO,10,0)+VLOOKUP(A666,'Statement base'!E:AO,14,0)</f>
        <v>#N/A</v>
      </c>
      <c r="G666" s="61" t="e">
        <f>VLOOKUP(A666,'Clientes CBOT'!A:E,5,0)</f>
        <v>#N/A</v>
      </c>
      <c r="H666" t="str">
        <f t="shared" si="30"/>
        <v>Hard</v>
      </c>
      <c r="I666" s="6" t="e">
        <f t="shared" si="31"/>
        <v>#N/A</v>
      </c>
      <c r="J666" s="6" t="e">
        <f t="shared" si="32"/>
        <v>#N/A</v>
      </c>
    </row>
    <row r="667" spans="2:10" x14ac:dyDescent="0.3">
      <c r="B667" t="e">
        <f>VLOOKUP(A667,'Clientes CBOT'!A:D,4,0)</f>
        <v>#N/A</v>
      </c>
      <c r="C667" s="7" t="e">
        <f>VLOOKUP(A667,'Statement base'!E:AO,21,0)</f>
        <v>#N/A</v>
      </c>
      <c r="D667" s="7" t="e">
        <f>VLOOKUP(A667,'Statement base'!E:AO,10,0)-VLOOKUP(A667,'Statement base'!E:AO,21,0)</f>
        <v>#N/A</v>
      </c>
      <c r="E667" t="s">
        <v>188</v>
      </c>
      <c r="F667" s="6" t="e">
        <f>VLOOKUP(A667,'Statement base'!E:AO,10,0)+VLOOKUP(A667,'Statement base'!E:AO,14,0)</f>
        <v>#N/A</v>
      </c>
      <c r="G667" s="61" t="e">
        <f>VLOOKUP(A667,'Clientes CBOT'!A:E,5,0)</f>
        <v>#N/A</v>
      </c>
      <c r="H667" t="str">
        <f t="shared" si="30"/>
        <v>Hard</v>
      </c>
      <c r="I667" s="6" t="e">
        <f t="shared" si="31"/>
        <v>#N/A</v>
      </c>
      <c r="J667" s="6" t="e">
        <f t="shared" si="32"/>
        <v>#N/A</v>
      </c>
    </row>
    <row r="668" spans="2:10" x14ac:dyDescent="0.3">
      <c r="B668" t="e">
        <f>VLOOKUP(A668,'Clientes CBOT'!A:D,4,0)</f>
        <v>#N/A</v>
      </c>
      <c r="C668" s="7" t="e">
        <f>VLOOKUP(A668,'Statement base'!E:AO,21,0)</f>
        <v>#N/A</v>
      </c>
      <c r="D668" s="7" t="e">
        <f>VLOOKUP(A668,'Statement base'!E:AO,10,0)-VLOOKUP(A668,'Statement base'!E:AO,21,0)</f>
        <v>#N/A</v>
      </c>
      <c r="E668" t="s">
        <v>188</v>
      </c>
      <c r="F668" s="6" t="e">
        <f>VLOOKUP(A668,'Statement base'!E:AO,10,0)+VLOOKUP(A668,'Statement base'!E:AO,14,0)</f>
        <v>#N/A</v>
      </c>
      <c r="G668" s="61" t="e">
        <f>VLOOKUP(A668,'Clientes CBOT'!A:E,5,0)</f>
        <v>#N/A</v>
      </c>
      <c r="H668" t="str">
        <f t="shared" si="30"/>
        <v>Hard</v>
      </c>
      <c r="I668" s="6" t="e">
        <f t="shared" si="31"/>
        <v>#N/A</v>
      </c>
      <c r="J668" s="6" t="e">
        <f t="shared" si="32"/>
        <v>#N/A</v>
      </c>
    </row>
    <row r="669" spans="2:10" x14ac:dyDescent="0.3">
      <c r="B669" t="e">
        <f>VLOOKUP(A669,'Clientes CBOT'!A:D,4,0)</f>
        <v>#N/A</v>
      </c>
      <c r="C669" s="7" t="e">
        <f>VLOOKUP(A669,'Statement base'!E:AO,21,0)</f>
        <v>#N/A</v>
      </c>
      <c r="D669" s="7" t="e">
        <f>VLOOKUP(A669,'Statement base'!E:AO,10,0)-VLOOKUP(A669,'Statement base'!E:AO,21,0)</f>
        <v>#N/A</v>
      </c>
      <c r="E669" t="s">
        <v>188</v>
      </c>
      <c r="F669" s="6" t="e">
        <f>VLOOKUP(A669,'Statement base'!E:AO,10,0)+VLOOKUP(A669,'Statement base'!E:AO,14,0)</f>
        <v>#N/A</v>
      </c>
      <c r="G669" s="61" t="e">
        <f>VLOOKUP(A669,'Clientes CBOT'!A:E,5,0)</f>
        <v>#N/A</v>
      </c>
      <c r="H669" t="str">
        <f t="shared" si="30"/>
        <v>Hard</v>
      </c>
      <c r="I669" s="6" t="e">
        <f t="shared" si="31"/>
        <v>#N/A</v>
      </c>
      <c r="J669" s="6" t="e">
        <f t="shared" si="32"/>
        <v>#N/A</v>
      </c>
    </row>
    <row r="670" spans="2:10" x14ac:dyDescent="0.3">
      <c r="B670" t="e">
        <f>VLOOKUP(A670,'Clientes CBOT'!A:D,4,0)</f>
        <v>#N/A</v>
      </c>
      <c r="C670" s="7" t="e">
        <f>VLOOKUP(A670,'Statement base'!E:AO,21,0)</f>
        <v>#N/A</v>
      </c>
      <c r="D670" s="7" t="e">
        <f>VLOOKUP(A670,'Statement base'!E:AO,10,0)-VLOOKUP(A670,'Statement base'!E:AO,21,0)</f>
        <v>#N/A</v>
      </c>
      <c r="E670" t="s">
        <v>188</v>
      </c>
      <c r="F670" s="6" t="e">
        <f>VLOOKUP(A670,'Statement base'!E:AO,10,0)+VLOOKUP(A670,'Statement base'!E:AO,14,0)</f>
        <v>#N/A</v>
      </c>
      <c r="G670" s="61" t="e">
        <f>VLOOKUP(A670,'Clientes CBOT'!A:E,5,0)</f>
        <v>#N/A</v>
      </c>
      <c r="H670" t="str">
        <f t="shared" si="30"/>
        <v>Hard</v>
      </c>
      <c r="I670" s="6" t="e">
        <f t="shared" si="31"/>
        <v>#N/A</v>
      </c>
      <c r="J670" s="6" t="e">
        <f t="shared" si="32"/>
        <v>#N/A</v>
      </c>
    </row>
    <row r="671" spans="2:10" x14ac:dyDescent="0.3">
      <c r="B671" t="e">
        <f>VLOOKUP(A671,'Clientes CBOT'!A:D,4,0)</f>
        <v>#N/A</v>
      </c>
      <c r="C671" s="7" t="e">
        <f>VLOOKUP(A671,'Statement base'!E:AO,21,0)</f>
        <v>#N/A</v>
      </c>
      <c r="D671" s="7" t="e">
        <f>VLOOKUP(A671,'Statement base'!E:AO,10,0)-VLOOKUP(A671,'Statement base'!E:AO,21,0)</f>
        <v>#N/A</v>
      </c>
      <c r="E671" t="s">
        <v>188</v>
      </c>
      <c r="F671" s="6" t="e">
        <f>VLOOKUP(A671,'Statement base'!E:AO,10,0)+VLOOKUP(A671,'Statement base'!E:AO,14,0)</f>
        <v>#N/A</v>
      </c>
      <c r="G671" s="61" t="e">
        <f>VLOOKUP(A671,'Clientes CBOT'!A:E,5,0)</f>
        <v>#N/A</v>
      </c>
      <c r="H671" t="str">
        <f t="shared" si="30"/>
        <v>Hard</v>
      </c>
      <c r="I671" s="6" t="e">
        <f t="shared" si="31"/>
        <v>#N/A</v>
      </c>
      <c r="J671" s="6" t="e">
        <f t="shared" si="32"/>
        <v>#N/A</v>
      </c>
    </row>
    <row r="672" spans="2:10" x14ac:dyDescent="0.3">
      <c r="B672" t="e">
        <f>VLOOKUP(A672,'Clientes CBOT'!A:D,4,0)</f>
        <v>#N/A</v>
      </c>
      <c r="C672" s="7" t="e">
        <f>VLOOKUP(A672,'Statement base'!E:AO,21,0)</f>
        <v>#N/A</v>
      </c>
      <c r="D672" s="7" t="e">
        <f>VLOOKUP(A672,'Statement base'!E:AO,10,0)-VLOOKUP(A672,'Statement base'!E:AO,21,0)</f>
        <v>#N/A</v>
      </c>
      <c r="E672" t="s">
        <v>188</v>
      </c>
      <c r="F672" s="6" t="e">
        <f>VLOOKUP(A672,'Statement base'!E:AO,10,0)+VLOOKUP(A672,'Statement base'!E:AO,14,0)</f>
        <v>#N/A</v>
      </c>
      <c r="G672" s="61" t="e">
        <f>VLOOKUP(A672,'Clientes CBOT'!A:E,5,0)</f>
        <v>#N/A</v>
      </c>
      <c r="H672" t="str">
        <f t="shared" si="30"/>
        <v>Hard</v>
      </c>
      <c r="I672" s="6" t="e">
        <f t="shared" si="31"/>
        <v>#N/A</v>
      </c>
      <c r="J672" s="6" t="e">
        <f t="shared" si="32"/>
        <v>#N/A</v>
      </c>
    </row>
    <row r="673" spans="2:10" x14ac:dyDescent="0.3">
      <c r="B673" t="e">
        <f>VLOOKUP(A673,'Clientes CBOT'!A:D,4,0)</f>
        <v>#N/A</v>
      </c>
      <c r="C673" s="7" t="e">
        <f>VLOOKUP(A673,'Statement base'!E:AO,21,0)</f>
        <v>#N/A</v>
      </c>
      <c r="D673" s="7" t="e">
        <f>VLOOKUP(A673,'Statement base'!E:AO,10,0)-VLOOKUP(A673,'Statement base'!E:AO,21,0)</f>
        <v>#N/A</v>
      </c>
      <c r="E673" t="s">
        <v>188</v>
      </c>
      <c r="F673" s="6" t="e">
        <f>VLOOKUP(A673,'Statement base'!E:AO,10,0)+VLOOKUP(A673,'Statement base'!E:AO,14,0)</f>
        <v>#N/A</v>
      </c>
      <c r="G673" s="61" t="e">
        <f>VLOOKUP(A673,'Clientes CBOT'!A:E,5,0)</f>
        <v>#N/A</v>
      </c>
      <c r="H673" t="str">
        <f t="shared" si="30"/>
        <v>Hard</v>
      </c>
      <c r="I673" s="6" t="e">
        <f t="shared" si="31"/>
        <v>#N/A</v>
      </c>
      <c r="J673" s="6" t="e">
        <f t="shared" si="32"/>
        <v>#N/A</v>
      </c>
    </row>
    <row r="674" spans="2:10" x14ac:dyDescent="0.3">
      <c r="B674" t="e">
        <f>VLOOKUP(A674,'Clientes CBOT'!A:D,4,0)</f>
        <v>#N/A</v>
      </c>
      <c r="C674" s="7" t="e">
        <f>VLOOKUP(A674,'Statement base'!E:AO,21,0)</f>
        <v>#N/A</v>
      </c>
      <c r="D674" s="7" t="e">
        <f>VLOOKUP(A674,'Statement base'!E:AO,10,0)-VLOOKUP(A674,'Statement base'!E:AO,21,0)</f>
        <v>#N/A</v>
      </c>
      <c r="E674" t="s">
        <v>188</v>
      </c>
      <c r="F674" s="6" t="e">
        <f>VLOOKUP(A674,'Statement base'!E:AO,10,0)+VLOOKUP(A674,'Statement base'!E:AO,14,0)</f>
        <v>#N/A</v>
      </c>
      <c r="G674" s="61" t="e">
        <f>VLOOKUP(A674,'Clientes CBOT'!A:E,5,0)</f>
        <v>#N/A</v>
      </c>
      <c r="H674" t="str">
        <f t="shared" si="30"/>
        <v>Hard</v>
      </c>
      <c r="I674" s="6" t="e">
        <f t="shared" si="31"/>
        <v>#N/A</v>
      </c>
      <c r="J674" s="6" t="e">
        <f t="shared" si="32"/>
        <v>#N/A</v>
      </c>
    </row>
    <row r="675" spans="2:10" x14ac:dyDescent="0.3">
      <c r="B675" t="e">
        <f>VLOOKUP(A675,'Clientes CBOT'!A:D,4,0)</f>
        <v>#N/A</v>
      </c>
      <c r="C675" s="7" t="e">
        <f>VLOOKUP(A675,'Statement base'!E:AO,21,0)</f>
        <v>#N/A</v>
      </c>
      <c r="D675" s="7" t="e">
        <f>VLOOKUP(A675,'Statement base'!E:AO,10,0)-VLOOKUP(A675,'Statement base'!E:AO,21,0)</f>
        <v>#N/A</v>
      </c>
      <c r="E675" t="s">
        <v>188</v>
      </c>
      <c r="F675" s="6" t="e">
        <f>VLOOKUP(A675,'Statement base'!E:AO,10,0)+VLOOKUP(A675,'Statement base'!E:AO,14,0)</f>
        <v>#N/A</v>
      </c>
      <c r="G675" s="61" t="e">
        <f>VLOOKUP(A675,'Clientes CBOT'!A:E,5,0)</f>
        <v>#N/A</v>
      </c>
      <c r="H675" t="str">
        <f t="shared" si="30"/>
        <v>Hard</v>
      </c>
      <c r="I675" s="6" t="e">
        <f t="shared" si="31"/>
        <v>#N/A</v>
      </c>
      <c r="J675" s="6" t="e">
        <f t="shared" si="32"/>
        <v>#N/A</v>
      </c>
    </row>
    <row r="676" spans="2:10" x14ac:dyDescent="0.3">
      <c r="B676" t="e">
        <f>VLOOKUP(A676,'Clientes CBOT'!A:D,4,0)</f>
        <v>#N/A</v>
      </c>
      <c r="C676" s="7" t="e">
        <f>VLOOKUP(A676,'Statement base'!E:AO,21,0)</f>
        <v>#N/A</v>
      </c>
      <c r="D676" s="7" t="e">
        <f>VLOOKUP(A676,'Statement base'!E:AO,10,0)-VLOOKUP(A676,'Statement base'!E:AO,21,0)</f>
        <v>#N/A</v>
      </c>
      <c r="E676" t="s">
        <v>188</v>
      </c>
      <c r="F676" s="6" t="e">
        <f>VLOOKUP(A676,'Statement base'!E:AO,10,0)+VLOOKUP(A676,'Statement base'!E:AO,14,0)</f>
        <v>#N/A</v>
      </c>
      <c r="G676" s="61" t="e">
        <f>VLOOKUP(A676,'Clientes CBOT'!A:E,5,0)</f>
        <v>#N/A</v>
      </c>
      <c r="H676" t="str">
        <f t="shared" si="30"/>
        <v>Hard</v>
      </c>
      <c r="I676" s="6" t="e">
        <f t="shared" si="31"/>
        <v>#N/A</v>
      </c>
      <c r="J676" s="6" t="e">
        <f t="shared" si="32"/>
        <v>#N/A</v>
      </c>
    </row>
    <row r="677" spans="2:10" x14ac:dyDescent="0.3">
      <c r="B677" t="e">
        <f>VLOOKUP(A677,'Clientes CBOT'!A:D,4,0)</f>
        <v>#N/A</v>
      </c>
      <c r="C677" s="7" t="e">
        <f>VLOOKUP(A677,'Statement base'!E:AO,21,0)</f>
        <v>#N/A</v>
      </c>
      <c r="D677" s="7" t="e">
        <f>VLOOKUP(A677,'Statement base'!E:AO,10,0)-VLOOKUP(A677,'Statement base'!E:AO,21,0)</f>
        <v>#N/A</v>
      </c>
      <c r="E677" t="s">
        <v>188</v>
      </c>
      <c r="F677" s="6" t="e">
        <f>VLOOKUP(A677,'Statement base'!E:AO,10,0)+VLOOKUP(A677,'Statement base'!E:AO,14,0)</f>
        <v>#N/A</v>
      </c>
      <c r="G677" s="61" t="e">
        <f>VLOOKUP(A677,'Clientes CBOT'!A:E,5,0)</f>
        <v>#N/A</v>
      </c>
      <c r="H677" t="str">
        <f t="shared" si="30"/>
        <v>Hard</v>
      </c>
      <c r="I677" s="6" t="e">
        <f t="shared" si="31"/>
        <v>#N/A</v>
      </c>
      <c r="J677" s="6" t="e">
        <f t="shared" si="32"/>
        <v>#N/A</v>
      </c>
    </row>
    <row r="678" spans="2:10" x14ac:dyDescent="0.3">
      <c r="B678" t="e">
        <f>VLOOKUP(A678,'Clientes CBOT'!A:D,4,0)</f>
        <v>#N/A</v>
      </c>
      <c r="C678" s="7" t="e">
        <f>VLOOKUP(A678,'Statement base'!E:AO,21,0)</f>
        <v>#N/A</v>
      </c>
      <c r="D678" s="7" t="e">
        <f>VLOOKUP(A678,'Statement base'!E:AO,10,0)-VLOOKUP(A678,'Statement base'!E:AO,21,0)</f>
        <v>#N/A</v>
      </c>
      <c r="E678" t="s">
        <v>188</v>
      </c>
      <c r="F678" s="6" t="e">
        <f>VLOOKUP(A678,'Statement base'!E:AO,10,0)+VLOOKUP(A678,'Statement base'!E:AO,14,0)</f>
        <v>#N/A</v>
      </c>
      <c r="G678" s="61" t="e">
        <f>VLOOKUP(A678,'Clientes CBOT'!A:E,5,0)</f>
        <v>#N/A</v>
      </c>
      <c r="H678" t="str">
        <f t="shared" si="30"/>
        <v>Hard</v>
      </c>
      <c r="I678" s="6" t="e">
        <f t="shared" si="31"/>
        <v>#N/A</v>
      </c>
      <c r="J678" s="6" t="e">
        <f t="shared" si="32"/>
        <v>#N/A</v>
      </c>
    </row>
    <row r="679" spans="2:10" x14ac:dyDescent="0.3">
      <c r="B679" t="e">
        <f>VLOOKUP(A679,'Clientes CBOT'!A:D,4,0)</f>
        <v>#N/A</v>
      </c>
      <c r="C679" s="7" t="e">
        <f>VLOOKUP(A679,'Statement base'!E:AO,21,0)</f>
        <v>#N/A</v>
      </c>
      <c r="D679" s="7" t="e">
        <f>VLOOKUP(A679,'Statement base'!E:AO,10,0)-VLOOKUP(A679,'Statement base'!E:AO,21,0)</f>
        <v>#N/A</v>
      </c>
      <c r="E679" t="s">
        <v>188</v>
      </c>
      <c r="F679" s="6" t="e">
        <f>VLOOKUP(A679,'Statement base'!E:AO,10,0)+VLOOKUP(A679,'Statement base'!E:AO,14,0)</f>
        <v>#N/A</v>
      </c>
      <c r="G679" s="61" t="e">
        <f>VLOOKUP(A679,'Clientes CBOT'!A:E,5,0)</f>
        <v>#N/A</v>
      </c>
      <c r="H679" t="str">
        <f t="shared" si="30"/>
        <v>Hard</v>
      </c>
      <c r="I679" s="6" t="e">
        <f t="shared" si="31"/>
        <v>#N/A</v>
      </c>
      <c r="J679" s="6" t="e">
        <f t="shared" si="32"/>
        <v>#N/A</v>
      </c>
    </row>
    <row r="680" spans="2:10" x14ac:dyDescent="0.3">
      <c r="B680" t="e">
        <f>VLOOKUP(A680,'Clientes CBOT'!A:D,4,0)</f>
        <v>#N/A</v>
      </c>
      <c r="C680" s="7" t="e">
        <f>VLOOKUP(A680,'Statement base'!E:AO,21,0)</f>
        <v>#N/A</v>
      </c>
      <c r="D680" s="7" t="e">
        <f>VLOOKUP(A680,'Statement base'!E:AO,10,0)-VLOOKUP(A680,'Statement base'!E:AO,21,0)</f>
        <v>#N/A</v>
      </c>
      <c r="E680" t="s">
        <v>188</v>
      </c>
      <c r="F680" s="6" t="e">
        <f>VLOOKUP(A680,'Statement base'!E:AO,10,0)+VLOOKUP(A680,'Statement base'!E:AO,14,0)</f>
        <v>#N/A</v>
      </c>
      <c r="G680" s="61" t="e">
        <f>VLOOKUP(A680,'Clientes CBOT'!A:E,5,0)</f>
        <v>#N/A</v>
      </c>
      <c r="H680" t="str">
        <f t="shared" si="30"/>
        <v>Hard</v>
      </c>
      <c r="I680" s="6" t="e">
        <f t="shared" si="31"/>
        <v>#N/A</v>
      </c>
      <c r="J680" s="6" t="e">
        <f t="shared" si="32"/>
        <v>#N/A</v>
      </c>
    </row>
    <row r="681" spans="2:10" x14ac:dyDescent="0.3">
      <c r="B681" t="e">
        <f>VLOOKUP(A681,'Clientes CBOT'!A:D,4,0)</f>
        <v>#N/A</v>
      </c>
      <c r="C681" s="7" t="e">
        <f>VLOOKUP(A681,'Statement base'!E:AO,21,0)</f>
        <v>#N/A</v>
      </c>
      <c r="D681" s="7" t="e">
        <f>VLOOKUP(A681,'Statement base'!E:AO,10,0)-VLOOKUP(A681,'Statement base'!E:AO,21,0)</f>
        <v>#N/A</v>
      </c>
      <c r="E681" t="s">
        <v>188</v>
      </c>
      <c r="F681" s="6" t="e">
        <f>VLOOKUP(A681,'Statement base'!E:AO,10,0)+VLOOKUP(A681,'Statement base'!E:AO,14,0)</f>
        <v>#N/A</v>
      </c>
      <c r="G681" s="61" t="e">
        <f>VLOOKUP(A681,'Clientes CBOT'!A:E,5,0)</f>
        <v>#N/A</v>
      </c>
      <c r="H681" t="str">
        <f t="shared" si="30"/>
        <v>Hard</v>
      </c>
      <c r="I681" s="6" t="e">
        <f t="shared" si="31"/>
        <v>#N/A</v>
      </c>
      <c r="J681" s="6" t="e">
        <f t="shared" si="32"/>
        <v>#N/A</v>
      </c>
    </row>
    <row r="682" spans="2:10" x14ac:dyDescent="0.3">
      <c r="B682" t="e">
        <f>VLOOKUP(A682,'Clientes CBOT'!A:D,4,0)</f>
        <v>#N/A</v>
      </c>
      <c r="C682" s="7" t="e">
        <f>VLOOKUP(A682,'Statement base'!E:AO,21,0)</f>
        <v>#N/A</v>
      </c>
      <c r="D682" s="7" t="e">
        <f>VLOOKUP(A682,'Statement base'!E:AO,10,0)-VLOOKUP(A682,'Statement base'!E:AO,21,0)</f>
        <v>#N/A</v>
      </c>
      <c r="E682" t="s">
        <v>188</v>
      </c>
      <c r="F682" s="6" t="e">
        <f>VLOOKUP(A682,'Statement base'!E:AO,10,0)+VLOOKUP(A682,'Statement base'!E:AO,14,0)</f>
        <v>#N/A</v>
      </c>
      <c r="G682" s="61" t="e">
        <f>VLOOKUP(A682,'Clientes CBOT'!A:E,5,0)</f>
        <v>#N/A</v>
      </c>
      <c r="H682" t="str">
        <f t="shared" si="30"/>
        <v>Hard</v>
      </c>
      <c r="I682" s="6" t="e">
        <f t="shared" si="31"/>
        <v>#N/A</v>
      </c>
      <c r="J682" s="6" t="e">
        <f t="shared" si="32"/>
        <v>#N/A</v>
      </c>
    </row>
    <row r="683" spans="2:10" x14ac:dyDescent="0.3">
      <c r="B683" t="e">
        <f>VLOOKUP(A683,'Clientes CBOT'!A:D,4,0)</f>
        <v>#N/A</v>
      </c>
      <c r="C683" s="7" t="e">
        <f>VLOOKUP(A683,'Statement base'!E:AO,21,0)</f>
        <v>#N/A</v>
      </c>
      <c r="D683" s="7" t="e">
        <f>VLOOKUP(A683,'Statement base'!E:AO,10,0)-VLOOKUP(A683,'Statement base'!E:AO,21,0)</f>
        <v>#N/A</v>
      </c>
      <c r="E683" t="s">
        <v>188</v>
      </c>
      <c r="F683" s="6" t="e">
        <f>VLOOKUP(A683,'Statement base'!E:AO,10,0)+VLOOKUP(A683,'Statement base'!E:AO,14,0)</f>
        <v>#N/A</v>
      </c>
      <c r="G683" s="61" t="e">
        <f>VLOOKUP(A683,'Clientes CBOT'!A:E,5,0)</f>
        <v>#N/A</v>
      </c>
      <c r="H683" t="str">
        <f t="shared" si="30"/>
        <v>Hard</v>
      </c>
      <c r="I683" s="6" t="e">
        <f t="shared" si="31"/>
        <v>#N/A</v>
      </c>
      <c r="J683" s="6" t="e">
        <f t="shared" si="32"/>
        <v>#N/A</v>
      </c>
    </row>
    <row r="684" spans="2:10" x14ac:dyDescent="0.3">
      <c r="B684" t="e">
        <f>VLOOKUP(A684,'Clientes CBOT'!A:D,4,0)</f>
        <v>#N/A</v>
      </c>
      <c r="C684" s="7" t="e">
        <f>VLOOKUP(A684,'Statement base'!E:AO,21,0)</f>
        <v>#N/A</v>
      </c>
      <c r="D684" s="7" t="e">
        <f>VLOOKUP(A684,'Statement base'!E:AO,10,0)-VLOOKUP(A684,'Statement base'!E:AO,21,0)</f>
        <v>#N/A</v>
      </c>
      <c r="E684" t="s">
        <v>188</v>
      </c>
      <c r="F684" s="6" t="e">
        <f>VLOOKUP(A684,'Statement base'!E:AO,10,0)+VLOOKUP(A684,'Statement base'!E:AO,14,0)</f>
        <v>#N/A</v>
      </c>
      <c r="G684" s="61" t="e">
        <f>VLOOKUP(A684,'Clientes CBOT'!A:E,5,0)</f>
        <v>#N/A</v>
      </c>
      <c r="H684" t="str">
        <f t="shared" si="30"/>
        <v>Hard</v>
      </c>
      <c r="I684" s="6" t="e">
        <f t="shared" si="31"/>
        <v>#N/A</v>
      </c>
      <c r="J684" s="6" t="e">
        <f t="shared" si="32"/>
        <v>#N/A</v>
      </c>
    </row>
    <row r="685" spans="2:10" x14ac:dyDescent="0.3">
      <c r="B685" t="e">
        <f>VLOOKUP(A685,'Clientes CBOT'!A:D,4,0)</f>
        <v>#N/A</v>
      </c>
      <c r="C685" s="7" t="e">
        <f>VLOOKUP(A685,'Statement base'!E:AO,21,0)</f>
        <v>#N/A</v>
      </c>
      <c r="D685" s="7" t="e">
        <f>VLOOKUP(A685,'Statement base'!E:AO,10,0)-VLOOKUP(A685,'Statement base'!E:AO,21,0)</f>
        <v>#N/A</v>
      </c>
      <c r="E685" t="s">
        <v>188</v>
      </c>
      <c r="F685" s="6" t="e">
        <f>VLOOKUP(A685,'Statement base'!E:AO,10,0)+VLOOKUP(A685,'Statement base'!E:AO,14,0)</f>
        <v>#N/A</v>
      </c>
      <c r="G685" s="61" t="e">
        <f>VLOOKUP(A685,'Clientes CBOT'!A:E,5,0)</f>
        <v>#N/A</v>
      </c>
      <c r="H685" t="str">
        <f t="shared" si="30"/>
        <v>Hard</v>
      </c>
      <c r="I685" s="6" t="e">
        <f t="shared" si="31"/>
        <v>#N/A</v>
      </c>
      <c r="J685" s="6" t="e">
        <f t="shared" si="32"/>
        <v>#N/A</v>
      </c>
    </row>
    <row r="686" spans="2:10" x14ac:dyDescent="0.3">
      <c r="B686" t="e">
        <f>VLOOKUP(A686,'Clientes CBOT'!A:D,4,0)</f>
        <v>#N/A</v>
      </c>
      <c r="C686" s="7" t="e">
        <f>VLOOKUP(A686,'Statement base'!E:AO,21,0)</f>
        <v>#N/A</v>
      </c>
      <c r="D686" s="7" t="e">
        <f>VLOOKUP(A686,'Statement base'!E:AO,10,0)-VLOOKUP(A686,'Statement base'!E:AO,21,0)</f>
        <v>#N/A</v>
      </c>
      <c r="E686" t="s">
        <v>188</v>
      </c>
      <c r="F686" s="6" t="e">
        <f>VLOOKUP(A686,'Statement base'!E:AO,10,0)+VLOOKUP(A686,'Statement base'!E:AO,14,0)</f>
        <v>#N/A</v>
      </c>
      <c r="G686" s="61" t="e">
        <f>VLOOKUP(A686,'Clientes CBOT'!A:E,5,0)</f>
        <v>#N/A</v>
      </c>
      <c r="H686" t="str">
        <f t="shared" si="30"/>
        <v>Hard</v>
      </c>
      <c r="I686" s="6" t="e">
        <f t="shared" si="31"/>
        <v>#N/A</v>
      </c>
      <c r="J686" s="6" t="e">
        <f t="shared" si="32"/>
        <v>#N/A</v>
      </c>
    </row>
    <row r="687" spans="2:10" x14ac:dyDescent="0.3">
      <c r="B687" t="e">
        <f>VLOOKUP(A687,'Clientes CBOT'!A:D,4,0)</f>
        <v>#N/A</v>
      </c>
      <c r="C687" s="7" t="e">
        <f>VLOOKUP(A687,'Statement base'!E:AO,21,0)</f>
        <v>#N/A</v>
      </c>
      <c r="D687" s="7" t="e">
        <f>VLOOKUP(A687,'Statement base'!E:AO,10,0)-VLOOKUP(A687,'Statement base'!E:AO,21,0)</f>
        <v>#N/A</v>
      </c>
      <c r="E687" t="s">
        <v>188</v>
      </c>
      <c r="F687" s="6" t="e">
        <f>VLOOKUP(A687,'Statement base'!E:AO,10,0)+VLOOKUP(A687,'Statement base'!E:AO,14,0)</f>
        <v>#N/A</v>
      </c>
      <c r="G687" s="61" t="e">
        <f>VLOOKUP(A687,'Clientes CBOT'!A:E,5,0)</f>
        <v>#N/A</v>
      </c>
      <c r="H687" t="str">
        <f t="shared" si="30"/>
        <v>Hard</v>
      </c>
      <c r="I687" s="6" t="e">
        <f t="shared" si="31"/>
        <v>#N/A</v>
      </c>
      <c r="J687" s="6" t="e">
        <f t="shared" si="32"/>
        <v>#N/A</v>
      </c>
    </row>
    <row r="688" spans="2:10" x14ac:dyDescent="0.3">
      <c r="B688" t="e">
        <f>VLOOKUP(A688,'Clientes CBOT'!A:D,4,0)</f>
        <v>#N/A</v>
      </c>
      <c r="C688" s="7" t="e">
        <f>VLOOKUP(A688,'Statement base'!E:AO,21,0)</f>
        <v>#N/A</v>
      </c>
      <c r="D688" s="7" t="e">
        <f>VLOOKUP(A688,'Statement base'!E:AO,10,0)-VLOOKUP(A688,'Statement base'!E:AO,21,0)</f>
        <v>#N/A</v>
      </c>
      <c r="E688" t="s">
        <v>188</v>
      </c>
      <c r="F688" s="6" t="e">
        <f>VLOOKUP(A688,'Statement base'!E:AO,10,0)+VLOOKUP(A688,'Statement base'!E:AO,14,0)</f>
        <v>#N/A</v>
      </c>
      <c r="G688" s="61" t="e">
        <f>VLOOKUP(A688,'Clientes CBOT'!A:E,5,0)</f>
        <v>#N/A</v>
      </c>
      <c r="H688" t="str">
        <f t="shared" si="30"/>
        <v>Hard</v>
      </c>
      <c r="I688" s="6" t="e">
        <f t="shared" si="31"/>
        <v>#N/A</v>
      </c>
      <c r="J688" s="6" t="e">
        <f t="shared" si="32"/>
        <v>#N/A</v>
      </c>
    </row>
    <row r="689" spans="2:10" x14ac:dyDescent="0.3">
      <c r="B689" t="e">
        <f>VLOOKUP(A689,'Clientes CBOT'!A:D,4,0)</f>
        <v>#N/A</v>
      </c>
      <c r="C689" s="7" t="e">
        <f>VLOOKUP(A689,'Statement base'!E:AO,21,0)</f>
        <v>#N/A</v>
      </c>
      <c r="D689" s="7" t="e">
        <f>VLOOKUP(A689,'Statement base'!E:AO,10,0)-VLOOKUP(A689,'Statement base'!E:AO,21,0)</f>
        <v>#N/A</v>
      </c>
      <c r="E689" t="s">
        <v>188</v>
      </c>
      <c r="F689" s="6" t="e">
        <f>VLOOKUP(A689,'Statement base'!E:AO,10,0)+VLOOKUP(A689,'Statement base'!E:AO,14,0)</f>
        <v>#N/A</v>
      </c>
      <c r="G689" s="61" t="e">
        <f>VLOOKUP(A689,'Clientes CBOT'!A:E,5,0)</f>
        <v>#N/A</v>
      </c>
      <c r="H689" t="str">
        <f t="shared" si="30"/>
        <v>Hard</v>
      </c>
      <c r="I689" s="6" t="e">
        <f t="shared" si="31"/>
        <v>#N/A</v>
      </c>
      <c r="J689" s="6" t="e">
        <f t="shared" si="32"/>
        <v>#N/A</v>
      </c>
    </row>
    <row r="690" spans="2:10" x14ac:dyDescent="0.3">
      <c r="B690" t="e">
        <f>VLOOKUP(A690,'Clientes CBOT'!A:D,4,0)</f>
        <v>#N/A</v>
      </c>
      <c r="C690" s="7" t="e">
        <f>VLOOKUP(A690,'Statement base'!E:AO,21,0)</f>
        <v>#N/A</v>
      </c>
      <c r="D690" s="7" t="e">
        <f>VLOOKUP(A690,'Statement base'!E:AO,10,0)-VLOOKUP(A690,'Statement base'!E:AO,21,0)</f>
        <v>#N/A</v>
      </c>
      <c r="E690" t="s">
        <v>188</v>
      </c>
      <c r="F690" s="6" t="e">
        <f>VLOOKUP(A690,'Statement base'!E:AO,10,0)+VLOOKUP(A690,'Statement base'!E:AO,14,0)</f>
        <v>#N/A</v>
      </c>
      <c r="G690" s="61" t="e">
        <f>VLOOKUP(A690,'Clientes CBOT'!A:E,5,0)</f>
        <v>#N/A</v>
      </c>
      <c r="H690" t="str">
        <f t="shared" si="30"/>
        <v>Hard</v>
      </c>
      <c r="I690" s="6" t="e">
        <f t="shared" si="31"/>
        <v>#N/A</v>
      </c>
      <c r="J690" s="6" t="e">
        <f t="shared" si="32"/>
        <v>#N/A</v>
      </c>
    </row>
    <row r="691" spans="2:10" x14ac:dyDescent="0.3">
      <c r="B691" t="e">
        <f>VLOOKUP(A691,'Clientes CBOT'!A:D,4,0)</f>
        <v>#N/A</v>
      </c>
      <c r="C691" s="7" t="e">
        <f>VLOOKUP(A691,'Statement base'!E:AO,21,0)</f>
        <v>#N/A</v>
      </c>
      <c r="D691" s="7" t="e">
        <f>VLOOKUP(A691,'Statement base'!E:AO,10,0)-VLOOKUP(A691,'Statement base'!E:AO,21,0)</f>
        <v>#N/A</v>
      </c>
      <c r="E691" t="s">
        <v>188</v>
      </c>
      <c r="F691" s="6" t="e">
        <f>VLOOKUP(A691,'Statement base'!E:AO,10,0)+VLOOKUP(A691,'Statement base'!E:AO,14,0)</f>
        <v>#N/A</v>
      </c>
      <c r="G691" s="61" t="e">
        <f>VLOOKUP(A691,'Clientes CBOT'!A:E,5,0)</f>
        <v>#N/A</v>
      </c>
      <c r="H691" t="str">
        <f t="shared" si="30"/>
        <v>Hard</v>
      </c>
      <c r="I691" s="6" t="e">
        <f t="shared" si="31"/>
        <v>#N/A</v>
      </c>
      <c r="J691" s="6" t="e">
        <f t="shared" si="32"/>
        <v>#N/A</v>
      </c>
    </row>
    <row r="692" spans="2:10" x14ac:dyDescent="0.3">
      <c r="B692" t="e">
        <f>VLOOKUP(A692,'Clientes CBOT'!A:D,4,0)</f>
        <v>#N/A</v>
      </c>
      <c r="C692" s="7" t="e">
        <f>VLOOKUP(A692,'Statement base'!E:AO,21,0)</f>
        <v>#N/A</v>
      </c>
      <c r="D692" s="7" t="e">
        <f>VLOOKUP(A692,'Statement base'!E:AO,10,0)-VLOOKUP(A692,'Statement base'!E:AO,21,0)</f>
        <v>#N/A</v>
      </c>
      <c r="E692" t="s">
        <v>188</v>
      </c>
      <c r="F692" s="6" t="e">
        <f>VLOOKUP(A692,'Statement base'!E:AO,10,0)+VLOOKUP(A692,'Statement base'!E:AO,14,0)</f>
        <v>#N/A</v>
      </c>
      <c r="G692" s="61" t="e">
        <f>VLOOKUP(A692,'Clientes CBOT'!A:E,5,0)</f>
        <v>#N/A</v>
      </c>
      <c r="H692" t="str">
        <f t="shared" si="30"/>
        <v>Hard</v>
      </c>
      <c r="I692" s="6" t="e">
        <f t="shared" si="31"/>
        <v>#N/A</v>
      </c>
      <c r="J692" s="6" t="e">
        <f t="shared" si="32"/>
        <v>#N/A</v>
      </c>
    </row>
    <row r="693" spans="2:10" x14ac:dyDescent="0.3">
      <c r="B693" t="e">
        <f>VLOOKUP(A693,'Clientes CBOT'!A:D,4,0)</f>
        <v>#N/A</v>
      </c>
      <c r="C693" s="7" t="e">
        <f>VLOOKUP(A693,'Statement base'!E:AO,21,0)</f>
        <v>#N/A</v>
      </c>
      <c r="D693" s="7" t="e">
        <f>VLOOKUP(A693,'Statement base'!E:AO,10,0)-VLOOKUP(A693,'Statement base'!E:AO,21,0)</f>
        <v>#N/A</v>
      </c>
      <c r="E693" t="s">
        <v>188</v>
      </c>
      <c r="F693" s="6" t="e">
        <f>VLOOKUP(A693,'Statement base'!E:AO,10,0)+VLOOKUP(A693,'Statement base'!E:AO,14,0)</f>
        <v>#N/A</v>
      </c>
      <c r="G693" s="61" t="e">
        <f>VLOOKUP(A693,'Clientes CBOT'!A:E,5,0)</f>
        <v>#N/A</v>
      </c>
      <c r="H693" t="str">
        <f t="shared" si="30"/>
        <v>Hard</v>
      </c>
      <c r="I693" s="6" t="e">
        <f t="shared" si="31"/>
        <v>#N/A</v>
      </c>
      <c r="J693" s="6" t="e">
        <f t="shared" si="32"/>
        <v>#N/A</v>
      </c>
    </row>
    <row r="694" spans="2:10" x14ac:dyDescent="0.3">
      <c r="B694" t="e">
        <f>VLOOKUP(A694,'Clientes CBOT'!A:D,4,0)</f>
        <v>#N/A</v>
      </c>
      <c r="C694" s="7" t="e">
        <f>VLOOKUP(A694,'Statement base'!E:AO,21,0)</f>
        <v>#N/A</v>
      </c>
      <c r="D694" s="7" t="e">
        <f>VLOOKUP(A694,'Statement base'!E:AO,10,0)-VLOOKUP(A694,'Statement base'!E:AO,21,0)</f>
        <v>#N/A</v>
      </c>
      <c r="E694" t="s">
        <v>188</v>
      </c>
      <c r="F694" s="6" t="e">
        <f>VLOOKUP(A694,'Statement base'!E:AO,10,0)+VLOOKUP(A694,'Statement base'!E:AO,14,0)</f>
        <v>#N/A</v>
      </c>
      <c r="G694" s="61" t="e">
        <f>VLOOKUP(A694,'Clientes CBOT'!A:E,5,0)</f>
        <v>#N/A</v>
      </c>
      <c r="H694" t="str">
        <f t="shared" si="30"/>
        <v>Hard</v>
      </c>
      <c r="I694" s="6" t="e">
        <f t="shared" si="31"/>
        <v>#N/A</v>
      </c>
      <c r="J694" s="6" t="e">
        <f t="shared" si="32"/>
        <v>#N/A</v>
      </c>
    </row>
    <row r="695" spans="2:10" x14ac:dyDescent="0.3">
      <c r="B695" t="e">
        <f>VLOOKUP(A695,'Clientes CBOT'!A:D,4,0)</f>
        <v>#N/A</v>
      </c>
      <c r="C695" s="7" t="e">
        <f>VLOOKUP(A695,'Statement base'!E:AO,21,0)</f>
        <v>#N/A</v>
      </c>
      <c r="D695" s="7" t="e">
        <f>VLOOKUP(A695,'Statement base'!E:AO,10,0)-VLOOKUP(A695,'Statement base'!E:AO,21,0)</f>
        <v>#N/A</v>
      </c>
      <c r="E695" t="s">
        <v>188</v>
      </c>
      <c r="F695" s="6" t="e">
        <f>VLOOKUP(A695,'Statement base'!E:AO,10,0)+VLOOKUP(A695,'Statement base'!E:AO,14,0)</f>
        <v>#N/A</v>
      </c>
      <c r="G695" s="61" t="e">
        <f>VLOOKUP(A695,'Clientes CBOT'!A:E,5,0)</f>
        <v>#N/A</v>
      </c>
      <c r="H695" t="str">
        <f t="shared" si="30"/>
        <v>Hard</v>
      </c>
      <c r="I695" s="6" t="e">
        <f t="shared" si="31"/>
        <v>#N/A</v>
      </c>
      <c r="J695" s="6" t="e">
        <f t="shared" si="32"/>
        <v>#N/A</v>
      </c>
    </row>
    <row r="696" spans="2:10" x14ac:dyDescent="0.3">
      <c r="B696" t="e">
        <f>VLOOKUP(A696,'Clientes CBOT'!A:D,4,0)</f>
        <v>#N/A</v>
      </c>
      <c r="C696" s="7" t="e">
        <f>VLOOKUP(A696,'Statement base'!E:AO,21,0)</f>
        <v>#N/A</v>
      </c>
      <c r="D696" s="7" t="e">
        <f>VLOOKUP(A696,'Statement base'!E:AO,10,0)-VLOOKUP(A696,'Statement base'!E:AO,21,0)</f>
        <v>#N/A</v>
      </c>
      <c r="E696" t="s">
        <v>188</v>
      </c>
      <c r="F696" s="6" t="e">
        <f>VLOOKUP(A696,'Statement base'!E:AO,10,0)+VLOOKUP(A696,'Statement base'!E:AO,14,0)</f>
        <v>#N/A</v>
      </c>
      <c r="G696" s="61" t="e">
        <f>VLOOKUP(A696,'Clientes CBOT'!A:E,5,0)</f>
        <v>#N/A</v>
      </c>
      <c r="H696" t="str">
        <f t="shared" si="30"/>
        <v>Hard</v>
      </c>
      <c r="I696" s="6" t="e">
        <f t="shared" si="31"/>
        <v>#N/A</v>
      </c>
      <c r="J696" s="6" t="e">
        <f t="shared" si="32"/>
        <v>#N/A</v>
      </c>
    </row>
    <row r="697" spans="2:10" x14ac:dyDescent="0.3">
      <c r="B697" t="e">
        <f>VLOOKUP(A697,'Clientes CBOT'!A:D,4,0)</f>
        <v>#N/A</v>
      </c>
      <c r="C697" s="7" t="e">
        <f>VLOOKUP(A697,'Statement base'!E:AO,21,0)</f>
        <v>#N/A</v>
      </c>
      <c r="D697" s="7" t="e">
        <f>VLOOKUP(A697,'Statement base'!E:AO,10,0)-VLOOKUP(A697,'Statement base'!E:AO,21,0)</f>
        <v>#N/A</v>
      </c>
      <c r="E697" t="s">
        <v>188</v>
      </c>
      <c r="F697" s="6" t="e">
        <f>VLOOKUP(A697,'Statement base'!E:AO,10,0)+VLOOKUP(A697,'Statement base'!E:AO,14,0)</f>
        <v>#N/A</v>
      </c>
      <c r="G697" s="61" t="e">
        <f>VLOOKUP(A697,'Clientes CBOT'!A:E,5,0)</f>
        <v>#N/A</v>
      </c>
      <c r="H697" t="str">
        <f t="shared" si="30"/>
        <v>Hard</v>
      </c>
      <c r="I697" s="6" t="e">
        <f t="shared" si="31"/>
        <v>#N/A</v>
      </c>
      <c r="J697" s="6" t="e">
        <f t="shared" si="32"/>
        <v>#N/A</v>
      </c>
    </row>
    <row r="698" spans="2:10" x14ac:dyDescent="0.3">
      <c r="B698" t="e">
        <f>VLOOKUP(A698,'Clientes CBOT'!A:D,4,0)</f>
        <v>#N/A</v>
      </c>
      <c r="C698" s="7" t="e">
        <f>VLOOKUP(A698,'Statement base'!E:AO,21,0)</f>
        <v>#N/A</v>
      </c>
      <c r="D698" s="7" t="e">
        <f>VLOOKUP(A698,'Statement base'!E:AO,10,0)-VLOOKUP(A698,'Statement base'!E:AO,21,0)</f>
        <v>#N/A</v>
      </c>
      <c r="E698" t="s">
        <v>188</v>
      </c>
      <c r="F698" s="6" t="e">
        <f>VLOOKUP(A698,'Statement base'!E:AO,10,0)+VLOOKUP(A698,'Statement base'!E:AO,14,0)</f>
        <v>#N/A</v>
      </c>
      <c r="G698" s="61" t="e">
        <f>VLOOKUP(A698,'Clientes CBOT'!A:E,5,0)</f>
        <v>#N/A</v>
      </c>
      <c r="H698" t="str">
        <f t="shared" si="30"/>
        <v>Hard</v>
      </c>
      <c r="I698" s="6" t="e">
        <f t="shared" si="31"/>
        <v>#N/A</v>
      </c>
      <c r="J698" s="6" t="e">
        <f t="shared" si="32"/>
        <v>#N/A</v>
      </c>
    </row>
    <row r="699" spans="2:10" x14ac:dyDescent="0.3">
      <c r="B699" t="e">
        <f>VLOOKUP(A699,'Clientes CBOT'!A:D,4,0)</f>
        <v>#N/A</v>
      </c>
      <c r="C699" s="7" t="e">
        <f>VLOOKUP(A699,'Statement base'!E:AO,21,0)</f>
        <v>#N/A</v>
      </c>
      <c r="D699" s="7" t="e">
        <f>VLOOKUP(A699,'Statement base'!E:AO,10,0)-VLOOKUP(A699,'Statement base'!E:AO,21,0)</f>
        <v>#N/A</v>
      </c>
      <c r="E699" t="s">
        <v>188</v>
      </c>
      <c r="F699" s="6" t="e">
        <f>VLOOKUP(A699,'Statement base'!E:AO,10,0)+VLOOKUP(A699,'Statement base'!E:AO,14,0)</f>
        <v>#N/A</v>
      </c>
      <c r="G699" s="61" t="e">
        <f>VLOOKUP(A699,'Clientes CBOT'!A:E,5,0)</f>
        <v>#N/A</v>
      </c>
      <c r="H699" t="str">
        <f t="shared" si="30"/>
        <v>Hard</v>
      </c>
      <c r="I699" s="6" t="e">
        <f t="shared" si="31"/>
        <v>#N/A</v>
      </c>
      <c r="J699" s="6" t="e">
        <f t="shared" si="32"/>
        <v>#N/A</v>
      </c>
    </row>
    <row r="700" spans="2:10" x14ac:dyDescent="0.3">
      <c r="B700" t="e">
        <f>VLOOKUP(A700,'Clientes CBOT'!A:D,4,0)</f>
        <v>#N/A</v>
      </c>
      <c r="C700" s="7" t="e">
        <f>VLOOKUP(A700,'Statement base'!E:AO,21,0)</f>
        <v>#N/A</v>
      </c>
      <c r="D700" s="7" t="e">
        <f>VLOOKUP(A700,'Statement base'!E:AO,10,0)-VLOOKUP(A700,'Statement base'!E:AO,21,0)</f>
        <v>#N/A</v>
      </c>
      <c r="E700" t="s">
        <v>188</v>
      </c>
      <c r="F700" s="6" t="e">
        <f>VLOOKUP(A700,'Statement base'!E:AO,10,0)+VLOOKUP(A700,'Statement base'!E:AO,14,0)</f>
        <v>#N/A</v>
      </c>
      <c r="G700" s="61" t="e">
        <f>VLOOKUP(A700,'Clientes CBOT'!A:E,5,0)</f>
        <v>#N/A</v>
      </c>
      <c r="H700" t="str">
        <f t="shared" si="30"/>
        <v>Hard</v>
      </c>
      <c r="I700" s="6" t="e">
        <f t="shared" si="31"/>
        <v>#N/A</v>
      </c>
      <c r="J700" s="6" t="e">
        <f t="shared" si="32"/>
        <v>#N/A</v>
      </c>
    </row>
    <row r="701" spans="2:10" x14ac:dyDescent="0.3">
      <c r="B701" t="e">
        <f>VLOOKUP(A701,'Clientes CBOT'!A:D,4,0)</f>
        <v>#N/A</v>
      </c>
      <c r="C701" s="7" t="e">
        <f>VLOOKUP(A701,'Statement base'!E:AO,21,0)</f>
        <v>#N/A</v>
      </c>
      <c r="D701" s="7" t="e">
        <f>VLOOKUP(A701,'Statement base'!E:AO,10,0)-VLOOKUP(A701,'Statement base'!E:AO,21,0)</f>
        <v>#N/A</v>
      </c>
      <c r="E701" t="s">
        <v>188</v>
      </c>
      <c r="F701" s="6" t="e">
        <f>VLOOKUP(A701,'Statement base'!E:AO,10,0)+VLOOKUP(A701,'Statement base'!E:AO,14,0)</f>
        <v>#N/A</v>
      </c>
      <c r="G701" s="61" t="e">
        <f>VLOOKUP(A701,'Clientes CBOT'!A:E,5,0)</f>
        <v>#N/A</v>
      </c>
      <c r="H701" t="str">
        <f t="shared" si="30"/>
        <v>Hard</v>
      </c>
      <c r="I701" s="6" t="e">
        <f t="shared" si="31"/>
        <v>#N/A</v>
      </c>
      <c r="J701" s="6" t="e">
        <f t="shared" si="32"/>
        <v>#N/A</v>
      </c>
    </row>
    <row r="702" spans="2:10" x14ac:dyDescent="0.3">
      <c r="B702" t="e">
        <f>VLOOKUP(A702,'Clientes CBOT'!A:D,4,0)</f>
        <v>#N/A</v>
      </c>
      <c r="C702" s="7" t="e">
        <f>VLOOKUP(A702,'Statement base'!E:AO,21,0)</f>
        <v>#N/A</v>
      </c>
      <c r="D702" s="7" t="e">
        <f>VLOOKUP(A702,'Statement base'!E:AO,10,0)-VLOOKUP(A702,'Statement base'!E:AO,21,0)</f>
        <v>#N/A</v>
      </c>
      <c r="E702" t="s">
        <v>188</v>
      </c>
      <c r="F702" s="6" t="e">
        <f>VLOOKUP(A702,'Statement base'!E:AO,10,0)+VLOOKUP(A702,'Statement base'!E:AO,14,0)</f>
        <v>#N/A</v>
      </c>
      <c r="G702" s="61" t="e">
        <f>VLOOKUP(A702,'Clientes CBOT'!A:E,5,0)</f>
        <v>#N/A</v>
      </c>
      <c r="H702" t="str">
        <f t="shared" si="30"/>
        <v>Hard</v>
      </c>
      <c r="I702" s="6" t="e">
        <f t="shared" si="31"/>
        <v>#N/A</v>
      </c>
      <c r="J702" s="6" t="e">
        <f t="shared" si="32"/>
        <v>#N/A</v>
      </c>
    </row>
    <row r="703" spans="2:10" x14ac:dyDescent="0.3">
      <c r="B703" t="e">
        <f>VLOOKUP(A703,'Clientes CBOT'!A:D,4,0)</f>
        <v>#N/A</v>
      </c>
      <c r="C703" s="7" t="e">
        <f>VLOOKUP(A703,'Statement base'!E:AO,21,0)</f>
        <v>#N/A</v>
      </c>
      <c r="D703" s="7" t="e">
        <f>VLOOKUP(A703,'Statement base'!E:AO,10,0)-VLOOKUP(A703,'Statement base'!E:AO,21,0)</f>
        <v>#N/A</v>
      </c>
      <c r="E703" t="s">
        <v>188</v>
      </c>
      <c r="F703" s="6" t="e">
        <f>VLOOKUP(A703,'Statement base'!E:AO,10,0)+VLOOKUP(A703,'Statement base'!E:AO,14,0)</f>
        <v>#N/A</v>
      </c>
      <c r="G703" s="61" t="e">
        <f>VLOOKUP(A703,'Clientes CBOT'!A:E,5,0)</f>
        <v>#N/A</v>
      </c>
      <c r="H703" t="str">
        <f t="shared" si="30"/>
        <v>Hard</v>
      </c>
      <c r="I703" s="6" t="e">
        <f t="shared" si="31"/>
        <v>#N/A</v>
      </c>
      <c r="J703" s="6" t="e">
        <f t="shared" si="32"/>
        <v>#N/A</v>
      </c>
    </row>
    <row r="704" spans="2:10" x14ac:dyDescent="0.3">
      <c r="B704" t="e">
        <f>VLOOKUP(A704,'Clientes CBOT'!A:D,4,0)</f>
        <v>#N/A</v>
      </c>
      <c r="C704" s="7" t="e">
        <f>VLOOKUP(A704,'Statement base'!E:AO,21,0)</f>
        <v>#N/A</v>
      </c>
      <c r="D704" s="7" t="e">
        <f>VLOOKUP(A704,'Statement base'!E:AO,10,0)-VLOOKUP(A704,'Statement base'!E:AO,21,0)</f>
        <v>#N/A</v>
      </c>
      <c r="E704" t="s">
        <v>188</v>
      </c>
      <c r="F704" s="6" t="e">
        <f>VLOOKUP(A704,'Statement base'!E:AO,10,0)+VLOOKUP(A704,'Statement base'!E:AO,14,0)</f>
        <v>#N/A</v>
      </c>
      <c r="G704" s="61" t="e">
        <f>VLOOKUP(A704,'Clientes CBOT'!A:E,5,0)</f>
        <v>#N/A</v>
      </c>
      <c r="H704" t="str">
        <f t="shared" si="30"/>
        <v>Hard</v>
      </c>
      <c r="I704" s="6" t="e">
        <f t="shared" si="31"/>
        <v>#N/A</v>
      </c>
      <c r="J704" s="6" t="e">
        <f t="shared" si="32"/>
        <v>#N/A</v>
      </c>
    </row>
    <row r="705" spans="2:10" x14ac:dyDescent="0.3">
      <c r="B705" t="e">
        <f>VLOOKUP(A705,'Clientes CBOT'!A:D,4,0)</f>
        <v>#N/A</v>
      </c>
      <c r="C705" s="7" t="e">
        <f>VLOOKUP(A705,'Statement base'!E:AO,21,0)</f>
        <v>#N/A</v>
      </c>
      <c r="D705" s="7" t="e">
        <f>VLOOKUP(A705,'Statement base'!E:AO,10,0)-VLOOKUP(A705,'Statement base'!E:AO,21,0)</f>
        <v>#N/A</v>
      </c>
      <c r="E705" t="s">
        <v>188</v>
      </c>
      <c r="F705" s="6" t="e">
        <f>VLOOKUP(A705,'Statement base'!E:AO,10,0)+VLOOKUP(A705,'Statement base'!E:AO,14,0)</f>
        <v>#N/A</v>
      </c>
      <c r="G705" s="61" t="e">
        <f>VLOOKUP(A705,'Clientes CBOT'!A:E,5,0)</f>
        <v>#N/A</v>
      </c>
      <c r="H705" t="str">
        <f t="shared" si="30"/>
        <v>Hard</v>
      </c>
      <c r="I705" s="6" t="e">
        <f t="shared" si="31"/>
        <v>#N/A</v>
      </c>
      <c r="J705" s="6" t="e">
        <f t="shared" si="32"/>
        <v>#N/A</v>
      </c>
    </row>
    <row r="706" spans="2:10" x14ac:dyDescent="0.3">
      <c r="B706" t="e">
        <f>VLOOKUP(A706,'Clientes CBOT'!A:D,4,0)</f>
        <v>#N/A</v>
      </c>
      <c r="C706" s="7" t="e">
        <f>VLOOKUP(A706,'Statement base'!E:AO,21,0)</f>
        <v>#N/A</v>
      </c>
      <c r="D706" s="7" t="e">
        <f>VLOOKUP(A706,'Statement base'!E:AO,10,0)-VLOOKUP(A706,'Statement base'!E:AO,21,0)</f>
        <v>#N/A</v>
      </c>
      <c r="E706" t="s">
        <v>188</v>
      </c>
      <c r="F706" s="6" t="e">
        <f>VLOOKUP(A706,'Statement base'!E:AO,10,0)+VLOOKUP(A706,'Statement base'!E:AO,14,0)</f>
        <v>#N/A</v>
      </c>
      <c r="G706" s="61" t="e">
        <f>VLOOKUP(A706,'Clientes CBOT'!A:E,5,0)</f>
        <v>#N/A</v>
      </c>
      <c r="H706" t="str">
        <f t="shared" si="30"/>
        <v>Hard</v>
      </c>
      <c r="I706" s="6" t="e">
        <f t="shared" si="31"/>
        <v>#N/A</v>
      </c>
      <c r="J706" s="6" t="e">
        <f t="shared" si="32"/>
        <v>#N/A</v>
      </c>
    </row>
    <row r="707" spans="2:10" x14ac:dyDescent="0.3">
      <c r="B707" t="e">
        <f>VLOOKUP(A707,'Clientes CBOT'!A:D,4,0)</f>
        <v>#N/A</v>
      </c>
      <c r="C707" s="7" t="e">
        <f>VLOOKUP(A707,'Statement base'!E:AO,21,0)</f>
        <v>#N/A</v>
      </c>
      <c r="D707" s="7" t="e">
        <f>VLOOKUP(A707,'Statement base'!E:AO,10,0)-VLOOKUP(A707,'Statement base'!E:AO,21,0)</f>
        <v>#N/A</v>
      </c>
      <c r="E707" t="s">
        <v>188</v>
      </c>
      <c r="F707" s="6" t="e">
        <f>VLOOKUP(A707,'Statement base'!E:AO,10,0)+VLOOKUP(A707,'Statement base'!E:AO,14,0)</f>
        <v>#N/A</v>
      </c>
      <c r="G707" s="61" t="e">
        <f>VLOOKUP(A707,'Clientes CBOT'!A:E,5,0)</f>
        <v>#N/A</v>
      </c>
      <c r="H707" t="str">
        <f t="shared" si="30"/>
        <v>Hard</v>
      </c>
      <c r="I707" s="6" t="e">
        <f t="shared" si="31"/>
        <v>#N/A</v>
      </c>
      <c r="J707" s="6" t="e">
        <f t="shared" si="32"/>
        <v>#N/A</v>
      </c>
    </row>
    <row r="708" spans="2:10" x14ac:dyDescent="0.3">
      <c r="B708" t="e">
        <f>VLOOKUP(A708,'Clientes CBOT'!A:D,4,0)</f>
        <v>#N/A</v>
      </c>
      <c r="C708" s="7" t="e">
        <f>VLOOKUP(A708,'Statement base'!E:AO,21,0)</f>
        <v>#N/A</v>
      </c>
      <c r="D708" s="7" t="e">
        <f>VLOOKUP(A708,'Statement base'!E:AO,10,0)-VLOOKUP(A708,'Statement base'!E:AO,21,0)</f>
        <v>#N/A</v>
      </c>
      <c r="E708" t="s">
        <v>188</v>
      </c>
      <c r="F708" s="6" t="e">
        <f>VLOOKUP(A708,'Statement base'!E:AO,10,0)+VLOOKUP(A708,'Statement base'!E:AO,14,0)</f>
        <v>#N/A</v>
      </c>
      <c r="G708" s="61" t="e">
        <f>VLOOKUP(A708,'Clientes CBOT'!A:E,5,0)</f>
        <v>#N/A</v>
      </c>
      <c r="H708" t="str">
        <f t="shared" si="30"/>
        <v>Hard</v>
      </c>
      <c r="I708" s="6" t="e">
        <f t="shared" si="31"/>
        <v>#N/A</v>
      </c>
      <c r="J708" s="6" t="e">
        <f t="shared" si="32"/>
        <v>#N/A</v>
      </c>
    </row>
    <row r="709" spans="2:10" x14ac:dyDescent="0.3">
      <c r="B709" t="e">
        <f>VLOOKUP(A709,'Clientes CBOT'!A:D,4,0)</f>
        <v>#N/A</v>
      </c>
      <c r="C709" s="7" t="e">
        <f>VLOOKUP(A709,'Statement base'!E:AO,21,0)</f>
        <v>#N/A</v>
      </c>
      <c r="D709" s="7" t="e">
        <f>VLOOKUP(A709,'Statement base'!E:AO,10,0)-VLOOKUP(A709,'Statement base'!E:AO,21,0)</f>
        <v>#N/A</v>
      </c>
      <c r="E709" t="s">
        <v>188</v>
      </c>
      <c r="F709" s="6" t="e">
        <f>VLOOKUP(A709,'Statement base'!E:AO,10,0)+VLOOKUP(A709,'Statement base'!E:AO,14,0)</f>
        <v>#N/A</v>
      </c>
      <c r="G709" s="61" t="e">
        <f>VLOOKUP(A709,'Clientes CBOT'!A:E,5,0)</f>
        <v>#N/A</v>
      </c>
      <c r="H709" t="str">
        <f t="shared" ref="H709:H772" si="33">IF(E709="pesos","Ars",IF(E709="Dólar Matba Rofex","usd linked","Hard"))</f>
        <v>Hard</v>
      </c>
      <c r="I709" s="6" t="e">
        <f t="shared" ref="I709:I772" si="34">IF(H709="ars",C709/$J$1,IF(H709="hard",C709*$J$2/$J$1,C709))</f>
        <v>#N/A</v>
      </c>
      <c r="J709" s="6" t="e">
        <f t="shared" ref="J709:J772" si="35">IF(H709="ars",D709/$J$1,IF(H709="hard",D709*$J$2/$J$1,D709))</f>
        <v>#N/A</v>
      </c>
    </row>
    <row r="710" spans="2:10" x14ac:dyDescent="0.3">
      <c r="B710" t="e">
        <f>VLOOKUP(A710,'Clientes CBOT'!A:D,4,0)</f>
        <v>#N/A</v>
      </c>
      <c r="C710" s="7" t="e">
        <f>VLOOKUP(A710,'Statement base'!E:AO,21,0)</f>
        <v>#N/A</v>
      </c>
      <c r="D710" s="7" t="e">
        <f>VLOOKUP(A710,'Statement base'!E:AO,10,0)-VLOOKUP(A710,'Statement base'!E:AO,21,0)</f>
        <v>#N/A</v>
      </c>
      <c r="E710" t="s">
        <v>188</v>
      </c>
      <c r="F710" s="6" t="e">
        <f>VLOOKUP(A710,'Statement base'!E:AO,10,0)+VLOOKUP(A710,'Statement base'!E:AO,14,0)</f>
        <v>#N/A</v>
      </c>
      <c r="G710" s="61" t="e">
        <f>VLOOKUP(A710,'Clientes CBOT'!A:E,5,0)</f>
        <v>#N/A</v>
      </c>
      <c r="H710" t="str">
        <f t="shared" si="33"/>
        <v>Hard</v>
      </c>
      <c r="I710" s="6" t="e">
        <f t="shared" si="34"/>
        <v>#N/A</v>
      </c>
      <c r="J710" s="6" t="e">
        <f t="shared" si="35"/>
        <v>#N/A</v>
      </c>
    </row>
    <row r="711" spans="2:10" x14ac:dyDescent="0.3">
      <c r="B711" t="e">
        <f>VLOOKUP(A711,'Clientes CBOT'!A:D,4,0)</f>
        <v>#N/A</v>
      </c>
      <c r="C711" s="7" t="e">
        <f>VLOOKUP(A711,'Statement base'!E:AO,21,0)</f>
        <v>#N/A</v>
      </c>
      <c r="D711" s="7" t="e">
        <f>VLOOKUP(A711,'Statement base'!E:AO,10,0)-VLOOKUP(A711,'Statement base'!E:AO,21,0)</f>
        <v>#N/A</v>
      </c>
      <c r="E711" t="s">
        <v>188</v>
      </c>
      <c r="F711" s="6" t="e">
        <f>VLOOKUP(A711,'Statement base'!E:AO,10,0)+VLOOKUP(A711,'Statement base'!E:AO,14,0)</f>
        <v>#N/A</v>
      </c>
      <c r="G711" s="61" t="e">
        <f>VLOOKUP(A711,'Clientes CBOT'!A:E,5,0)</f>
        <v>#N/A</v>
      </c>
      <c r="H711" t="str">
        <f t="shared" si="33"/>
        <v>Hard</v>
      </c>
      <c r="I711" s="6" t="e">
        <f t="shared" si="34"/>
        <v>#N/A</v>
      </c>
      <c r="J711" s="6" t="e">
        <f t="shared" si="35"/>
        <v>#N/A</v>
      </c>
    </row>
    <row r="712" spans="2:10" x14ac:dyDescent="0.3">
      <c r="B712" t="e">
        <f>VLOOKUP(A712,'Clientes CBOT'!A:D,4,0)</f>
        <v>#N/A</v>
      </c>
      <c r="C712" s="7" t="e">
        <f>VLOOKUP(A712,'Statement base'!E:AO,21,0)</f>
        <v>#N/A</v>
      </c>
      <c r="D712" s="7" t="e">
        <f>VLOOKUP(A712,'Statement base'!E:AO,10,0)-VLOOKUP(A712,'Statement base'!E:AO,21,0)</f>
        <v>#N/A</v>
      </c>
      <c r="E712" t="s">
        <v>188</v>
      </c>
      <c r="F712" s="6" t="e">
        <f>VLOOKUP(A712,'Statement base'!E:AO,10,0)+VLOOKUP(A712,'Statement base'!E:AO,14,0)</f>
        <v>#N/A</v>
      </c>
      <c r="G712" s="61" t="e">
        <f>VLOOKUP(A712,'Clientes CBOT'!A:E,5,0)</f>
        <v>#N/A</v>
      </c>
      <c r="H712" t="str">
        <f t="shared" si="33"/>
        <v>Hard</v>
      </c>
      <c r="I712" s="6" t="e">
        <f t="shared" si="34"/>
        <v>#N/A</v>
      </c>
      <c r="J712" s="6" t="e">
        <f t="shared" si="35"/>
        <v>#N/A</v>
      </c>
    </row>
    <row r="713" spans="2:10" x14ac:dyDescent="0.3">
      <c r="B713" t="e">
        <f>VLOOKUP(A713,'Clientes CBOT'!A:D,4,0)</f>
        <v>#N/A</v>
      </c>
      <c r="C713" s="7" t="e">
        <f>VLOOKUP(A713,'Statement base'!E:AO,21,0)</f>
        <v>#N/A</v>
      </c>
      <c r="D713" s="7" t="e">
        <f>VLOOKUP(A713,'Statement base'!E:AO,10,0)-VLOOKUP(A713,'Statement base'!E:AO,21,0)</f>
        <v>#N/A</v>
      </c>
      <c r="E713" t="s">
        <v>188</v>
      </c>
      <c r="F713" s="6" t="e">
        <f>VLOOKUP(A713,'Statement base'!E:AO,10,0)+VLOOKUP(A713,'Statement base'!E:AO,14,0)</f>
        <v>#N/A</v>
      </c>
      <c r="G713" s="61" t="e">
        <f>VLOOKUP(A713,'Clientes CBOT'!A:E,5,0)</f>
        <v>#N/A</v>
      </c>
      <c r="H713" t="str">
        <f t="shared" si="33"/>
        <v>Hard</v>
      </c>
      <c r="I713" s="6" t="e">
        <f t="shared" si="34"/>
        <v>#N/A</v>
      </c>
      <c r="J713" s="6" t="e">
        <f t="shared" si="35"/>
        <v>#N/A</v>
      </c>
    </row>
    <row r="714" spans="2:10" x14ac:dyDescent="0.3">
      <c r="B714" t="e">
        <f>VLOOKUP(A714,'Clientes CBOT'!A:D,4,0)</f>
        <v>#N/A</v>
      </c>
      <c r="C714" s="7" t="e">
        <f>VLOOKUP(A714,'Statement base'!E:AO,21,0)</f>
        <v>#N/A</v>
      </c>
      <c r="D714" s="7" t="e">
        <f>VLOOKUP(A714,'Statement base'!E:AO,10,0)-VLOOKUP(A714,'Statement base'!E:AO,21,0)</f>
        <v>#N/A</v>
      </c>
      <c r="E714" t="s">
        <v>188</v>
      </c>
      <c r="F714" s="6" t="e">
        <f>VLOOKUP(A714,'Statement base'!E:AO,10,0)+VLOOKUP(A714,'Statement base'!E:AO,14,0)</f>
        <v>#N/A</v>
      </c>
      <c r="G714" s="61" t="e">
        <f>VLOOKUP(A714,'Clientes CBOT'!A:E,5,0)</f>
        <v>#N/A</v>
      </c>
      <c r="H714" t="str">
        <f t="shared" si="33"/>
        <v>Hard</v>
      </c>
      <c r="I714" s="6" t="e">
        <f t="shared" si="34"/>
        <v>#N/A</v>
      </c>
      <c r="J714" s="6" t="e">
        <f t="shared" si="35"/>
        <v>#N/A</v>
      </c>
    </row>
    <row r="715" spans="2:10" x14ac:dyDescent="0.3">
      <c r="B715" t="e">
        <f>VLOOKUP(A715,'Clientes CBOT'!A:D,4,0)</f>
        <v>#N/A</v>
      </c>
      <c r="C715" s="7" t="e">
        <f>VLOOKUP(A715,'Statement base'!E:AO,21,0)</f>
        <v>#N/A</v>
      </c>
      <c r="D715" s="7" t="e">
        <f>VLOOKUP(A715,'Statement base'!E:AO,10,0)-VLOOKUP(A715,'Statement base'!E:AO,21,0)</f>
        <v>#N/A</v>
      </c>
      <c r="E715" t="s">
        <v>188</v>
      </c>
      <c r="F715" s="6" t="e">
        <f>VLOOKUP(A715,'Statement base'!E:AO,10,0)+VLOOKUP(A715,'Statement base'!E:AO,14,0)</f>
        <v>#N/A</v>
      </c>
      <c r="G715" s="61" t="e">
        <f>VLOOKUP(A715,'Clientes CBOT'!A:E,5,0)</f>
        <v>#N/A</v>
      </c>
      <c r="H715" t="str">
        <f t="shared" si="33"/>
        <v>Hard</v>
      </c>
      <c r="I715" s="6" t="e">
        <f t="shared" si="34"/>
        <v>#N/A</v>
      </c>
      <c r="J715" s="6" t="e">
        <f t="shared" si="35"/>
        <v>#N/A</v>
      </c>
    </row>
    <row r="716" spans="2:10" x14ac:dyDescent="0.3">
      <c r="B716" t="e">
        <f>VLOOKUP(A716,'Clientes CBOT'!A:D,4,0)</f>
        <v>#N/A</v>
      </c>
      <c r="C716" s="7" t="e">
        <f>VLOOKUP(A716,'Statement base'!E:AO,21,0)</f>
        <v>#N/A</v>
      </c>
      <c r="D716" s="7" t="e">
        <f>VLOOKUP(A716,'Statement base'!E:AO,10,0)-VLOOKUP(A716,'Statement base'!E:AO,21,0)</f>
        <v>#N/A</v>
      </c>
      <c r="E716" t="s">
        <v>188</v>
      </c>
      <c r="F716" s="6" t="e">
        <f>VLOOKUP(A716,'Statement base'!E:AO,10,0)+VLOOKUP(A716,'Statement base'!E:AO,14,0)</f>
        <v>#N/A</v>
      </c>
      <c r="G716" s="61" t="e">
        <f>VLOOKUP(A716,'Clientes CBOT'!A:E,5,0)</f>
        <v>#N/A</v>
      </c>
      <c r="H716" t="str">
        <f t="shared" si="33"/>
        <v>Hard</v>
      </c>
      <c r="I716" s="6" t="e">
        <f t="shared" si="34"/>
        <v>#N/A</v>
      </c>
      <c r="J716" s="6" t="e">
        <f t="shared" si="35"/>
        <v>#N/A</v>
      </c>
    </row>
    <row r="717" spans="2:10" x14ac:dyDescent="0.3">
      <c r="B717" t="e">
        <f>VLOOKUP(A717,'Clientes CBOT'!A:D,4,0)</f>
        <v>#N/A</v>
      </c>
      <c r="C717" s="7" t="e">
        <f>VLOOKUP(A717,'Statement base'!E:AO,21,0)</f>
        <v>#N/A</v>
      </c>
      <c r="D717" s="7" t="e">
        <f>VLOOKUP(A717,'Statement base'!E:AO,10,0)-VLOOKUP(A717,'Statement base'!E:AO,21,0)</f>
        <v>#N/A</v>
      </c>
      <c r="E717" t="s">
        <v>188</v>
      </c>
      <c r="F717" s="6" t="e">
        <f>VLOOKUP(A717,'Statement base'!E:AO,10,0)+VLOOKUP(A717,'Statement base'!E:AO,14,0)</f>
        <v>#N/A</v>
      </c>
      <c r="G717" s="61" t="e">
        <f>VLOOKUP(A717,'Clientes CBOT'!A:E,5,0)</f>
        <v>#N/A</v>
      </c>
      <c r="H717" t="str">
        <f t="shared" si="33"/>
        <v>Hard</v>
      </c>
      <c r="I717" s="6" t="e">
        <f t="shared" si="34"/>
        <v>#N/A</v>
      </c>
      <c r="J717" s="6" t="e">
        <f t="shared" si="35"/>
        <v>#N/A</v>
      </c>
    </row>
    <row r="718" spans="2:10" x14ac:dyDescent="0.3">
      <c r="B718" t="e">
        <f>VLOOKUP(A718,'Clientes CBOT'!A:D,4,0)</f>
        <v>#N/A</v>
      </c>
      <c r="C718" s="7" t="e">
        <f>VLOOKUP(A718,'Statement base'!E:AO,21,0)</f>
        <v>#N/A</v>
      </c>
      <c r="D718" s="7" t="e">
        <f>VLOOKUP(A718,'Statement base'!E:AO,10,0)-VLOOKUP(A718,'Statement base'!E:AO,21,0)</f>
        <v>#N/A</v>
      </c>
      <c r="E718" t="s">
        <v>188</v>
      </c>
      <c r="F718" s="6" t="e">
        <f>VLOOKUP(A718,'Statement base'!E:AO,10,0)+VLOOKUP(A718,'Statement base'!E:AO,14,0)</f>
        <v>#N/A</v>
      </c>
      <c r="G718" s="61" t="e">
        <f>VLOOKUP(A718,'Clientes CBOT'!A:E,5,0)</f>
        <v>#N/A</v>
      </c>
      <c r="H718" t="str">
        <f t="shared" si="33"/>
        <v>Hard</v>
      </c>
      <c r="I718" s="6" t="e">
        <f t="shared" si="34"/>
        <v>#N/A</v>
      </c>
      <c r="J718" s="6" t="e">
        <f t="shared" si="35"/>
        <v>#N/A</v>
      </c>
    </row>
    <row r="719" spans="2:10" x14ac:dyDescent="0.3">
      <c r="B719" t="e">
        <f>VLOOKUP(A719,'Clientes CBOT'!A:D,4,0)</f>
        <v>#N/A</v>
      </c>
      <c r="C719" s="7" t="e">
        <f>VLOOKUP(A719,'Statement base'!E:AO,21,0)</f>
        <v>#N/A</v>
      </c>
      <c r="D719" s="7" t="e">
        <f>VLOOKUP(A719,'Statement base'!E:AO,10,0)-VLOOKUP(A719,'Statement base'!E:AO,21,0)</f>
        <v>#N/A</v>
      </c>
      <c r="E719" t="s">
        <v>188</v>
      </c>
      <c r="F719" s="6" t="e">
        <f>VLOOKUP(A719,'Statement base'!E:AO,10,0)+VLOOKUP(A719,'Statement base'!E:AO,14,0)</f>
        <v>#N/A</v>
      </c>
      <c r="G719" s="61" t="e">
        <f>VLOOKUP(A719,'Clientes CBOT'!A:E,5,0)</f>
        <v>#N/A</v>
      </c>
      <c r="H719" t="str">
        <f t="shared" si="33"/>
        <v>Hard</v>
      </c>
      <c r="I719" s="6" t="e">
        <f t="shared" si="34"/>
        <v>#N/A</v>
      </c>
      <c r="J719" s="6" t="e">
        <f t="shared" si="35"/>
        <v>#N/A</v>
      </c>
    </row>
    <row r="720" spans="2:10" x14ac:dyDescent="0.3">
      <c r="B720" t="e">
        <f>VLOOKUP(A720,'Clientes CBOT'!A:D,4,0)</f>
        <v>#N/A</v>
      </c>
      <c r="C720" s="7" t="e">
        <f>VLOOKUP(A720,'Statement base'!E:AO,21,0)</f>
        <v>#N/A</v>
      </c>
      <c r="D720" s="7" t="e">
        <f>VLOOKUP(A720,'Statement base'!E:AO,10,0)-VLOOKUP(A720,'Statement base'!E:AO,21,0)</f>
        <v>#N/A</v>
      </c>
      <c r="E720" t="s">
        <v>188</v>
      </c>
      <c r="F720" s="6" t="e">
        <f>VLOOKUP(A720,'Statement base'!E:AO,10,0)+VLOOKUP(A720,'Statement base'!E:AO,14,0)</f>
        <v>#N/A</v>
      </c>
      <c r="G720" s="61" t="e">
        <f>VLOOKUP(A720,'Clientes CBOT'!A:E,5,0)</f>
        <v>#N/A</v>
      </c>
      <c r="H720" t="str">
        <f t="shared" si="33"/>
        <v>Hard</v>
      </c>
      <c r="I720" s="6" t="e">
        <f t="shared" si="34"/>
        <v>#N/A</v>
      </c>
      <c r="J720" s="6" t="e">
        <f t="shared" si="35"/>
        <v>#N/A</v>
      </c>
    </row>
    <row r="721" spans="2:10" x14ac:dyDescent="0.3">
      <c r="B721" t="e">
        <f>VLOOKUP(A721,'Clientes CBOT'!A:D,4,0)</f>
        <v>#N/A</v>
      </c>
      <c r="C721" s="7" t="e">
        <f>VLOOKUP(A721,'Statement base'!E:AO,21,0)</f>
        <v>#N/A</v>
      </c>
      <c r="D721" s="7" t="e">
        <f>VLOOKUP(A721,'Statement base'!E:AO,10,0)-VLOOKUP(A721,'Statement base'!E:AO,21,0)</f>
        <v>#N/A</v>
      </c>
      <c r="E721" t="s">
        <v>188</v>
      </c>
      <c r="F721" s="6" t="e">
        <f>VLOOKUP(A721,'Statement base'!E:AO,10,0)+VLOOKUP(A721,'Statement base'!E:AO,14,0)</f>
        <v>#N/A</v>
      </c>
      <c r="G721" s="61" t="e">
        <f>VLOOKUP(A721,'Clientes CBOT'!A:E,5,0)</f>
        <v>#N/A</v>
      </c>
      <c r="H721" t="str">
        <f t="shared" si="33"/>
        <v>Hard</v>
      </c>
      <c r="I721" s="6" t="e">
        <f t="shared" si="34"/>
        <v>#N/A</v>
      </c>
      <c r="J721" s="6" t="e">
        <f t="shared" si="35"/>
        <v>#N/A</v>
      </c>
    </row>
    <row r="722" spans="2:10" x14ac:dyDescent="0.3">
      <c r="B722" t="e">
        <f>VLOOKUP(A722,'Clientes CBOT'!A:D,4,0)</f>
        <v>#N/A</v>
      </c>
      <c r="C722" s="7" t="e">
        <f>VLOOKUP(A722,'Statement base'!E:AO,21,0)</f>
        <v>#N/A</v>
      </c>
      <c r="D722" s="7" t="e">
        <f>VLOOKUP(A722,'Statement base'!E:AO,10,0)-VLOOKUP(A722,'Statement base'!E:AO,21,0)</f>
        <v>#N/A</v>
      </c>
      <c r="E722" t="s">
        <v>188</v>
      </c>
      <c r="F722" s="6" t="e">
        <f>VLOOKUP(A722,'Statement base'!E:AO,10,0)+VLOOKUP(A722,'Statement base'!E:AO,14,0)</f>
        <v>#N/A</v>
      </c>
      <c r="G722" s="61" t="e">
        <f>VLOOKUP(A722,'Clientes CBOT'!A:E,5,0)</f>
        <v>#N/A</v>
      </c>
      <c r="H722" t="str">
        <f t="shared" si="33"/>
        <v>Hard</v>
      </c>
      <c r="I722" s="6" t="e">
        <f t="shared" si="34"/>
        <v>#N/A</v>
      </c>
      <c r="J722" s="6" t="e">
        <f t="shared" si="35"/>
        <v>#N/A</v>
      </c>
    </row>
    <row r="723" spans="2:10" x14ac:dyDescent="0.3">
      <c r="B723" t="e">
        <f>VLOOKUP(A723,'Clientes CBOT'!A:D,4,0)</f>
        <v>#N/A</v>
      </c>
      <c r="C723" s="7" t="e">
        <f>VLOOKUP(A723,'Statement base'!E:AO,21,0)</f>
        <v>#N/A</v>
      </c>
      <c r="D723" s="7" t="e">
        <f>VLOOKUP(A723,'Statement base'!E:AO,10,0)-VLOOKUP(A723,'Statement base'!E:AO,21,0)</f>
        <v>#N/A</v>
      </c>
      <c r="E723" t="s">
        <v>188</v>
      </c>
      <c r="F723" s="6" t="e">
        <f>VLOOKUP(A723,'Statement base'!E:AO,10,0)+VLOOKUP(A723,'Statement base'!E:AO,14,0)</f>
        <v>#N/A</v>
      </c>
      <c r="G723" s="61" t="e">
        <f>VLOOKUP(A723,'Clientes CBOT'!A:E,5,0)</f>
        <v>#N/A</v>
      </c>
      <c r="H723" t="str">
        <f t="shared" si="33"/>
        <v>Hard</v>
      </c>
      <c r="I723" s="6" t="e">
        <f t="shared" si="34"/>
        <v>#N/A</v>
      </c>
      <c r="J723" s="6" t="e">
        <f t="shared" si="35"/>
        <v>#N/A</v>
      </c>
    </row>
    <row r="724" spans="2:10" x14ac:dyDescent="0.3">
      <c r="B724" t="e">
        <f>VLOOKUP(A724,'Clientes CBOT'!A:D,4,0)</f>
        <v>#N/A</v>
      </c>
      <c r="C724" s="7" t="e">
        <f>VLOOKUP(A724,'Statement base'!E:AO,21,0)</f>
        <v>#N/A</v>
      </c>
      <c r="D724" s="7" t="e">
        <f>VLOOKUP(A724,'Statement base'!E:AO,10,0)-VLOOKUP(A724,'Statement base'!E:AO,21,0)</f>
        <v>#N/A</v>
      </c>
      <c r="E724" t="s">
        <v>188</v>
      </c>
      <c r="F724" s="6" t="e">
        <f>VLOOKUP(A724,'Statement base'!E:AO,10,0)+VLOOKUP(A724,'Statement base'!E:AO,14,0)</f>
        <v>#N/A</v>
      </c>
      <c r="G724" s="61" t="e">
        <f>VLOOKUP(A724,'Clientes CBOT'!A:E,5,0)</f>
        <v>#N/A</v>
      </c>
      <c r="H724" t="str">
        <f t="shared" si="33"/>
        <v>Hard</v>
      </c>
      <c r="I724" s="6" t="e">
        <f t="shared" si="34"/>
        <v>#N/A</v>
      </c>
      <c r="J724" s="6" t="e">
        <f t="shared" si="35"/>
        <v>#N/A</v>
      </c>
    </row>
    <row r="725" spans="2:10" x14ac:dyDescent="0.3">
      <c r="B725" t="e">
        <f>VLOOKUP(A725,'Clientes CBOT'!A:D,4,0)</f>
        <v>#N/A</v>
      </c>
      <c r="C725" s="7" t="e">
        <f>VLOOKUP(A725,'Statement base'!E:AO,21,0)</f>
        <v>#N/A</v>
      </c>
      <c r="D725" s="7" t="e">
        <f>VLOOKUP(A725,'Statement base'!E:AO,10,0)-VLOOKUP(A725,'Statement base'!E:AO,21,0)</f>
        <v>#N/A</v>
      </c>
      <c r="E725" t="s">
        <v>188</v>
      </c>
      <c r="F725" s="6" t="e">
        <f>VLOOKUP(A725,'Statement base'!E:AO,10,0)+VLOOKUP(A725,'Statement base'!E:AO,14,0)</f>
        <v>#N/A</v>
      </c>
      <c r="G725" s="61" t="e">
        <f>VLOOKUP(A725,'Clientes CBOT'!A:E,5,0)</f>
        <v>#N/A</v>
      </c>
      <c r="H725" t="str">
        <f t="shared" si="33"/>
        <v>Hard</v>
      </c>
      <c r="I725" s="6" t="e">
        <f t="shared" si="34"/>
        <v>#N/A</v>
      </c>
      <c r="J725" s="6" t="e">
        <f t="shared" si="35"/>
        <v>#N/A</v>
      </c>
    </row>
    <row r="726" spans="2:10" x14ac:dyDescent="0.3">
      <c r="B726" t="e">
        <f>VLOOKUP(A726,'Clientes CBOT'!A:D,4,0)</f>
        <v>#N/A</v>
      </c>
      <c r="C726" s="7" t="e">
        <f>VLOOKUP(A726,'Statement base'!E:AO,21,0)</f>
        <v>#N/A</v>
      </c>
      <c r="D726" s="7" t="e">
        <f>VLOOKUP(A726,'Statement base'!E:AO,10,0)-VLOOKUP(A726,'Statement base'!E:AO,21,0)</f>
        <v>#N/A</v>
      </c>
      <c r="E726" t="s">
        <v>188</v>
      </c>
      <c r="F726" s="6" t="e">
        <f>VLOOKUP(A726,'Statement base'!E:AO,10,0)+VLOOKUP(A726,'Statement base'!E:AO,14,0)</f>
        <v>#N/A</v>
      </c>
      <c r="G726" s="61" t="e">
        <f>VLOOKUP(A726,'Clientes CBOT'!A:E,5,0)</f>
        <v>#N/A</v>
      </c>
      <c r="H726" t="str">
        <f t="shared" si="33"/>
        <v>Hard</v>
      </c>
      <c r="I726" s="6" t="e">
        <f t="shared" si="34"/>
        <v>#N/A</v>
      </c>
      <c r="J726" s="6" t="e">
        <f t="shared" si="35"/>
        <v>#N/A</v>
      </c>
    </row>
    <row r="727" spans="2:10" x14ac:dyDescent="0.3">
      <c r="B727" t="e">
        <f>VLOOKUP(A727,'Clientes CBOT'!A:D,4,0)</f>
        <v>#N/A</v>
      </c>
      <c r="C727" s="7" t="e">
        <f>VLOOKUP(A727,'Statement base'!E:AO,21,0)</f>
        <v>#N/A</v>
      </c>
      <c r="D727" s="7" t="e">
        <f>VLOOKUP(A727,'Statement base'!E:AO,10,0)-VLOOKUP(A727,'Statement base'!E:AO,21,0)</f>
        <v>#N/A</v>
      </c>
      <c r="E727" t="s">
        <v>188</v>
      </c>
      <c r="F727" s="6" t="e">
        <f>VLOOKUP(A727,'Statement base'!E:AO,10,0)+VLOOKUP(A727,'Statement base'!E:AO,14,0)</f>
        <v>#N/A</v>
      </c>
      <c r="G727" s="61" t="e">
        <f>VLOOKUP(A727,'Clientes CBOT'!A:E,5,0)</f>
        <v>#N/A</v>
      </c>
      <c r="H727" t="str">
        <f t="shared" si="33"/>
        <v>Hard</v>
      </c>
      <c r="I727" s="6" t="e">
        <f t="shared" si="34"/>
        <v>#N/A</v>
      </c>
      <c r="J727" s="6" t="e">
        <f t="shared" si="35"/>
        <v>#N/A</v>
      </c>
    </row>
    <row r="728" spans="2:10" x14ac:dyDescent="0.3">
      <c r="B728" t="e">
        <f>VLOOKUP(A728,'Clientes CBOT'!A:D,4,0)</f>
        <v>#N/A</v>
      </c>
      <c r="C728" s="7" t="e">
        <f>VLOOKUP(A728,'Statement base'!E:AO,21,0)</f>
        <v>#N/A</v>
      </c>
      <c r="D728" s="7" t="e">
        <f>VLOOKUP(A728,'Statement base'!E:AO,10,0)-VLOOKUP(A728,'Statement base'!E:AO,21,0)</f>
        <v>#N/A</v>
      </c>
      <c r="E728" t="s">
        <v>188</v>
      </c>
      <c r="F728" s="6" t="e">
        <f>VLOOKUP(A728,'Statement base'!E:AO,10,0)+VLOOKUP(A728,'Statement base'!E:AO,14,0)</f>
        <v>#N/A</v>
      </c>
      <c r="G728" s="61" t="e">
        <f>VLOOKUP(A728,'Clientes CBOT'!A:E,5,0)</f>
        <v>#N/A</v>
      </c>
      <c r="H728" t="str">
        <f t="shared" si="33"/>
        <v>Hard</v>
      </c>
      <c r="I728" s="6" t="e">
        <f t="shared" si="34"/>
        <v>#N/A</v>
      </c>
      <c r="J728" s="6" t="e">
        <f t="shared" si="35"/>
        <v>#N/A</v>
      </c>
    </row>
    <row r="729" spans="2:10" x14ac:dyDescent="0.3">
      <c r="B729" t="e">
        <f>VLOOKUP(A729,'Clientes CBOT'!A:D,4,0)</f>
        <v>#N/A</v>
      </c>
      <c r="C729" s="7" t="e">
        <f>VLOOKUP(A729,'Statement base'!E:AO,21,0)</f>
        <v>#N/A</v>
      </c>
      <c r="D729" s="7" t="e">
        <f>VLOOKUP(A729,'Statement base'!E:AO,10,0)-VLOOKUP(A729,'Statement base'!E:AO,21,0)</f>
        <v>#N/A</v>
      </c>
      <c r="E729" t="s">
        <v>188</v>
      </c>
      <c r="F729" s="6" t="e">
        <f>VLOOKUP(A729,'Statement base'!E:AO,10,0)+VLOOKUP(A729,'Statement base'!E:AO,14,0)</f>
        <v>#N/A</v>
      </c>
      <c r="G729" s="61" t="e">
        <f>VLOOKUP(A729,'Clientes CBOT'!A:E,5,0)</f>
        <v>#N/A</v>
      </c>
      <c r="H729" t="str">
        <f t="shared" si="33"/>
        <v>Hard</v>
      </c>
      <c r="I729" s="6" t="e">
        <f t="shared" si="34"/>
        <v>#N/A</v>
      </c>
      <c r="J729" s="6" t="e">
        <f t="shared" si="35"/>
        <v>#N/A</v>
      </c>
    </row>
    <row r="730" spans="2:10" x14ac:dyDescent="0.3">
      <c r="B730" t="e">
        <f>VLOOKUP(A730,'Clientes CBOT'!A:D,4,0)</f>
        <v>#N/A</v>
      </c>
      <c r="C730" s="7" t="e">
        <f>VLOOKUP(A730,'Statement base'!E:AO,21,0)</f>
        <v>#N/A</v>
      </c>
      <c r="D730" s="7" t="e">
        <f>VLOOKUP(A730,'Statement base'!E:AO,10,0)-VLOOKUP(A730,'Statement base'!E:AO,21,0)</f>
        <v>#N/A</v>
      </c>
      <c r="E730" t="s">
        <v>188</v>
      </c>
      <c r="F730" s="6" t="e">
        <f>VLOOKUP(A730,'Statement base'!E:AO,10,0)+VLOOKUP(A730,'Statement base'!E:AO,14,0)</f>
        <v>#N/A</v>
      </c>
      <c r="G730" s="61" t="e">
        <f>VLOOKUP(A730,'Clientes CBOT'!A:E,5,0)</f>
        <v>#N/A</v>
      </c>
      <c r="H730" t="str">
        <f t="shared" si="33"/>
        <v>Hard</v>
      </c>
      <c r="I730" s="6" t="e">
        <f t="shared" si="34"/>
        <v>#N/A</v>
      </c>
      <c r="J730" s="6" t="e">
        <f t="shared" si="35"/>
        <v>#N/A</v>
      </c>
    </row>
    <row r="731" spans="2:10" x14ac:dyDescent="0.3">
      <c r="B731" t="e">
        <f>VLOOKUP(A731,'Clientes CBOT'!A:D,4,0)</f>
        <v>#N/A</v>
      </c>
      <c r="C731" s="7" t="e">
        <f>VLOOKUP(A731,'Statement base'!E:AO,21,0)</f>
        <v>#N/A</v>
      </c>
      <c r="D731" s="7" t="e">
        <f>VLOOKUP(A731,'Statement base'!E:AO,10,0)-VLOOKUP(A731,'Statement base'!E:AO,21,0)</f>
        <v>#N/A</v>
      </c>
      <c r="E731" t="s">
        <v>188</v>
      </c>
      <c r="F731" s="6" t="e">
        <f>VLOOKUP(A731,'Statement base'!E:AO,10,0)+VLOOKUP(A731,'Statement base'!E:AO,14,0)</f>
        <v>#N/A</v>
      </c>
      <c r="G731" s="61" t="e">
        <f>VLOOKUP(A731,'Clientes CBOT'!A:E,5,0)</f>
        <v>#N/A</v>
      </c>
      <c r="H731" t="str">
        <f t="shared" si="33"/>
        <v>Hard</v>
      </c>
      <c r="I731" s="6" t="e">
        <f t="shared" si="34"/>
        <v>#N/A</v>
      </c>
      <c r="J731" s="6" t="e">
        <f t="shared" si="35"/>
        <v>#N/A</v>
      </c>
    </row>
    <row r="732" spans="2:10" x14ac:dyDescent="0.3">
      <c r="B732" t="e">
        <f>VLOOKUP(A732,'Clientes CBOT'!A:D,4,0)</f>
        <v>#N/A</v>
      </c>
      <c r="C732" s="7" t="e">
        <f>VLOOKUP(A732,'Statement base'!E:AO,21,0)</f>
        <v>#N/A</v>
      </c>
      <c r="D732" s="7" t="e">
        <f>VLOOKUP(A732,'Statement base'!E:AO,10,0)-VLOOKUP(A732,'Statement base'!E:AO,21,0)</f>
        <v>#N/A</v>
      </c>
      <c r="E732" t="s">
        <v>188</v>
      </c>
      <c r="F732" s="6" t="e">
        <f>VLOOKUP(A732,'Statement base'!E:AO,10,0)+VLOOKUP(A732,'Statement base'!E:AO,14,0)</f>
        <v>#N/A</v>
      </c>
      <c r="G732" s="61" t="e">
        <f>VLOOKUP(A732,'Clientes CBOT'!A:E,5,0)</f>
        <v>#N/A</v>
      </c>
      <c r="H732" t="str">
        <f t="shared" si="33"/>
        <v>Hard</v>
      </c>
      <c r="I732" s="6" t="e">
        <f t="shared" si="34"/>
        <v>#N/A</v>
      </c>
      <c r="J732" s="6" t="e">
        <f t="shared" si="35"/>
        <v>#N/A</v>
      </c>
    </row>
    <row r="733" spans="2:10" x14ac:dyDescent="0.3">
      <c r="B733" t="e">
        <f>VLOOKUP(A733,'Clientes CBOT'!A:D,4,0)</f>
        <v>#N/A</v>
      </c>
      <c r="C733" s="7" t="e">
        <f>VLOOKUP(A733,'Statement base'!E:AO,21,0)</f>
        <v>#N/A</v>
      </c>
      <c r="D733" s="7" t="e">
        <f>VLOOKUP(A733,'Statement base'!E:AO,10,0)-VLOOKUP(A733,'Statement base'!E:AO,21,0)</f>
        <v>#N/A</v>
      </c>
      <c r="E733" t="s">
        <v>188</v>
      </c>
      <c r="F733" s="6" t="e">
        <f>VLOOKUP(A733,'Statement base'!E:AO,10,0)+VLOOKUP(A733,'Statement base'!E:AO,14,0)</f>
        <v>#N/A</v>
      </c>
      <c r="G733" s="61" t="e">
        <f>VLOOKUP(A733,'Clientes CBOT'!A:E,5,0)</f>
        <v>#N/A</v>
      </c>
      <c r="H733" t="str">
        <f t="shared" si="33"/>
        <v>Hard</v>
      </c>
      <c r="I733" s="6" t="e">
        <f t="shared" si="34"/>
        <v>#N/A</v>
      </c>
      <c r="J733" s="6" t="e">
        <f t="shared" si="35"/>
        <v>#N/A</v>
      </c>
    </row>
    <row r="734" spans="2:10" x14ac:dyDescent="0.3">
      <c r="B734" t="e">
        <f>VLOOKUP(A734,'Clientes CBOT'!A:D,4,0)</f>
        <v>#N/A</v>
      </c>
      <c r="C734" s="7" t="e">
        <f>VLOOKUP(A734,'Statement base'!E:AO,21,0)</f>
        <v>#N/A</v>
      </c>
      <c r="D734" s="7" t="e">
        <f>VLOOKUP(A734,'Statement base'!E:AO,10,0)-VLOOKUP(A734,'Statement base'!E:AO,21,0)</f>
        <v>#N/A</v>
      </c>
      <c r="E734" t="s">
        <v>188</v>
      </c>
      <c r="F734" s="6" t="e">
        <f>VLOOKUP(A734,'Statement base'!E:AO,10,0)+VLOOKUP(A734,'Statement base'!E:AO,14,0)</f>
        <v>#N/A</v>
      </c>
      <c r="G734" s="61" t="e">
        <f>VLOOKUP(A734,'Clientes CBOT'!A:E,5,0)</f>
        <v>#N/A</v>
      </c>
      <c r="H734" t="str">
        <f t="shared" si="33"/>
        <v>Hard</v>
      </c>
      <c r="I734" s="6" t="e">
        <f t="shared" si="34"/>
        <v>#N/A</v>
      </c>
      <c r="J734" s="6" t="e">
        <f t="shared" si="35"/>
        <v>#N/A</v>
      </c>
    </row>
    <row r="735" spans="2:10" x14ac:dyDescent="0.3">
      <c r="B735" t="e">
        <f>VLOOKUP(A735,'Clientes CBOT'!A:D,4,0)</f>
        <v>#N/A</v>
      </c>
      <c r="C735" s="7" t="e">
        <f>VLOOKUP(A735,'Statement base'!E:AO,21,0)</f>
        <v>#N/A</v>
      </c>
      <c r="D735" s="7" t="e">
        <f>VLOOKUP(A735,'Statement base'!E:AO,10,0)-VLOOKUP(A735,'Statement base'!E:AO,21,0)</f>
        <v>#N/A</v>
      </c>
      <c r="E735" t="s">
        <v>188</v>
      </c>
      <c r="F735" s="6" t="e">
        <f>VLOOKUP(A735,'Statement base'!E:AO,10,0)+VLOOKUP(A735,'Statement base'!E:AO,14,0)</f>
        <v>#N/A</v>
      </c>
      <c r="G735" s="61" t="e">
        <f>VLOOKUP(A735,'Clientes CBOT'!A:E,5,0)</f>
        <v>#N/A</v>
      </c>
      <c r="H735" t="str">
        <f t="shared" si="33"/>
        <v>Hard</v>
      </c>
      <c r="I735" s="6" t="e">
        <f t="shared" si="34"/>
        <v>#N/A</v>
      </c>
      <c r="J735" s="6" t="e">
        <f t="shared" si="35"/>
        <v>#N/A</v>
      </c>
    </row>
    <row r="736" spans="2:10" x14ac:dyDescent="0.3">
      <c r="B736" t="e">
        <f>VLOOKUP(A736,'Clientes CBOT'!A:D,4,0)</f>
        <v>#N/A</v>
      </c>
      <c r="C736" s="7" t="e">
        <f>VLOOKUP(A736,'Statement base'!E:AO,21,0)</f>
        <v>#N/A</v>
      </c>
      <c r="D736" s="7" t="e">
        <f>VLOOKUP(A736,'Statement base'!E:AO,10,0)-VLOOKUP(A736,'Statement base'!E:AO,21,0)</f>
        <v>#N/A</v>
      </c>
      <c r="E736" t="s">
        <v>188</v>
      </c>
      <c r="F736" s="6" t="e">
        <f>VLOOKUP(A736,'Statement base'!E:AO,10,0)+VLOOKUP(A736,'Statement base'!E:AO,14,0)</f>
        <v>#N/A</v>
      </c>
      <c r="G736" s="61" t="e">
        <f>VLOOKUP(A736,'Clientes CBOT'!A:E,5,0)</f>
        <v>#N/A</v>
      </c>
      <c r="H736" t="str">
        <f t="shared" si="33"/>
        <v>Hard</v>
      </c>
      <c r="I736" s="6" t="e">
        <f t="shared" si="34"/>
        <v>#N/A</v>
      </c>
      <c r="J736" s="6" t="e">
        <f t="shared" si="35"/>
        <v>#N/A</v>
      </c>
    </row>
    <row r="737" spans="2:10" x14ac:dyDescent="0.3">
      <c r="B737" t="e">
        <f>VLOOKUP(A737,'Clientes CBOT'!A:D,4,0)</f>
        <v>#N/A</v>
      </c>
      <c r="C737" s="7" t="e">
        <f>VLOOKUP(A737,'Statement base'!E:AO,21,0)</f>
        <v>#N/A</v>
      </c>
      <c r="D737" s="7" t="e">
        <f>VLOOKUP(A737,'Statement base'!E:AO,10,0)-VLOOKUP(A737,'Statement base'!E:AO,21,0)</f>
        <v>#N/A</v>
      </c>
      <c r="E737" t="s">
        <v>188</v>
      </c>
      <c r="F737" s="6" t="e">
        <f>VLOOKUP(A737,'Statement base'!E:AO,10,0)+VLOOKUP(A737,'Statement base'!E:AO,14,0)</f>
        <v>#N/A</v>
      </c>
      <c r="G737" s="61" t="e">
        <f>VLOOKUP(A737,'Clientes CBOT'!A:E,5,0)</f>
        <v>#N/A</v>
      </c>
      <c r="H737" t="str">
        <f t="shared" si="33"/>
        <v>Hard</v>
      </c>
      <c r="I737" s="6" t="e">
        <f t="shared" si="34"/>
        <v>#N/A</v>
      </c>
      <c r="J737" s="6" t="e">
        <f t="shared" si="35"/>
        <v>#N/A</v>
      </c>
    </row>
    <row r="738" spans="2:10" x14ac:dyDescent="0.3">
      <c r="B738" t="e">
        <f>VLOOKUP(A738,'Clientes CBOT'!A:D,4,0)</f>
        <v>#N/A</v>
      </c>
      <c r="C738" s="7" t="e">
        <f>VLOOKUP(A738,'Statement base'!E:AO,21,0)</f>
        <v>#N/A</v>
      </c>
      <c r="D738" s="7" t="e">
        <f>VLOOKUP(A738,'Statement base'!E:AO,10,0)-VLOOKUP(A738,'Statement base'!E:AO,21,0)</f>
        <v>#N/A</v>
      </c>
      <c r="E738" t="s">
        <v>188</v>
      </c>
      <c r="F738" s="6" t="e">
        <f>VLOOKUP(A738,'Statement base'!E:AO,10,0)+VLOOKUP(A738,'Statement base'!E:AO,14,0)</f>
        <v>#N/A</v>
      </c>
      <c r="G738" s="61" t="e">
        <f>VLOOKUP(A738,'Clientes CBOT'!A:E,5,0)</f>
        <v>#N/A</v>
      </c>
      <c r="H738" t="str">
        <f t="shared" si="33"/>
        <v>Hard</v>
      </c>
      <c r="I738" s="6" t="e">
        <f t="shared" si="34"/>
        <v>#N/A</v>
      </c>
      <c r="J738" s="6" t="e">
        <f t="shared" si="35"/>
        <v>#N/A</v>
      </c>
    </row>
    <row r="739" spans="2:10" x14ac:dyDescent="0.3">
      <c r="B739" t="e">
        <f>VLOOKUP(A739,'Clientes CBOT'!A:D,4,0)</f>
        <v>#N/A</v>
      </c>
      <c r="C739" s="7" t="e">
        <f>VLOOKUP(A739,'Statement base'!E:AO,21,0)</f>
        <v>#N/A</v>
      </c>
      <c r="D739" s="7" t="e">
        <f>VLOOKUP(A739,'Statement base'!E:AO,10,0)-VLOOKUP(A739,'Statement base'!E:AO,21,0)</f>
        <v>#N/A</v>
      </c>
      <c r="E739" t="s">
        <v>188</v>
      </c>
      <c r="F739" s="6" t="e">
        <f>VLOOKUP(A739,'Statement base'!E:AO,10,0)+VLOOKUP(A739,'Statement base'!E:AO,14,0)</f>
        <v>#N/A</v>
      </c>
      <c r="G739" s="61" t="e">
        <f>VLOOKUP(A739,'Clientes CBOT'!A:E,5,0)</f>
        <v>#N/A</v>
      </c>
      <c r="H739" t="str">
        <f t="shared" si="33"/>
        <v>Hard</v>
      </c>
      <c r="I739" s="6" t="e">
        <f t="shared" si="34"/>
        <v>#N/A</v>
      </c>
      <c r="J739" s="6" t="e">
        <f t="shared" si="35"/>
        <v>#N/A</v>
      </c>
    </row>
    <row r="740" spans="2:10" x14ac:dyDescent="0.3">
      <c r="B740" t="e">
        <f>VLOOKUP(A740,'Clientes CBOT'!A:D,4,0)</f>
        <v>#N/A</v>
      </c>
      <c r="C740" s="7" t="e">
        <f>VLOOKUP(A740,'Statement base'!E:AO,21,0)</f>
        <v>#N/A</v>
      </c>
      <c r="D740" s="7" t="e">
        <f>VLOOKUP(A740,'Statement base'!E:AO,10,0)-VLOOKUP(A740,'Statement base'!E:AO,21,0)</f>
        <v>#N/A</v>
      </c>
      <c r="E740" t="s">
        <v>188</v>
      </c>
      <c r="F740" s="6" t="e">
        <f>VLOOKUP(A740,'Statement base'!E:AO,10,0)+VLOOKUP(A740,'Statement base'!E:AO,14,0)</f>
        <v>#N/A</v>
      </c>
      <c r="G740" s="61" t="e">
        <f>VLOOKUP(A740,'Clientes CBOT'!A:E,5,0)</f>
        <v>#N/A</v>
      </c>
      <c r="H740" t="str">
        <f t="shared" si="33"/>
        <v>Hard</v>
      </c>
      <c r="I740" s="6" t="e">
        <f t="shared" si="34"/>
        <v>#N/A</v>
      </c>
      <c r="J740" s="6" t="e">
        <f t="shared" si="35"/>
        <v>#N/A</v>
      </c>
    </row>
    <row r="741" spans="2:10" x14ac:dyDescent="0.3">
      <c r="B741" t="e">
        <f>VLOOKUP(A741,'Clientes CBOT'!A:D,4,0)</f>
        <v>#N/A</v>
      </c>
      <c r="C741" s="7" t="e">
        <f>VLOOKUP(A741,'Statement base'!E:AO,21,0)</f>
        <v>#N/A</v>
      </c>
      <c r="D741" s="7" t="e">
        <f>VLOOKUP(A741,'Statement base'!E:AO,10,0)-VLOOKUP(A741,'Statement base'!E:AO,21,0)</f>
        <v>#N/A</v>
      </c>
      <c r="E741" t="s">
        <v>188</v>
      </c>
      <c r="F741" s="6" t="e">
        <f>VLOOKUP(A741,'Statement base'!E:AO,10,0)+VLOOKUP(A741,'Statement base'!E:AO,14,0)</f>
        <v>#N/A</v>
      </c>
      <c r="G741" s="61" t="e">
        <f>VLOOKUP(A741,'Clientes CBOT'!A:E,5,0)</f>
        <v>#N/A</v>
      </c>
      <c r="H741" t="str">
        <f t="shared" si="33"/>
        <v>Hard</v>
      </c>
      <c r="I741" s="6" t="e">
        <f t="shared" si="34"/>
        <v>#N/A</v>
      </c>
      <c r="J741" s="6" t="e">
        <f t="shared" si="35"/>
        <v>#N/A</v>
      </c>
    </row>
    <row r="742" spans="2:10" x14ac:dyDescent="0.3">
      <c r="B742" t="e">
        <f>VLOOKUP(A742,'Clientes CBOT'!A:D,4,0)</f>
        <v>#N/A</v>
      </c>
      <c r="C742" s="7" t="e">
        <f>VLOOKUP(A742,'Statement base'!E:AO,21,0)</f>
        <v>#N/A</v>
      </c>
      <c r="D742" s="7" t="e">
        <f>VLOOKUP(A742,'Statement base'!E:AO,10,0)-VLOOKUP(A742,'Statement base'!E:AO,21,0)</f>
        <v>#N/A</v>
      </c>
      <c r="E742" t="s">
        <v>188</v>
      </c>
      <c r="F742" s="6" t="e">
        <f>VLOOKUP(A742,'Statement base'!E:AO,10,0)+VLOOKUP(A742,'Statement base'!E:AO,14,0)</f>
        <v>#N/A</v>
      </c>
      <c r="G742" s="61" t="e">
        <f>VLOOKUP(A742,'Clientes CBOT'!A:E,5,0)</f>
        <v>#N/A</v>
      </c>
      <c r="H742" t="str">
        <f t="shared" si="33"/>
        <v>Hard</v>
      </c>
      <c r="I742" s="6" t="e">
        <f t="shared" si="34"/>
        <v>#N/A</v>
      </c>
      <c r="J742" s="6" t="e">
        <f t="shared" si="35"/>
        <v>#N/A</v>
      </c>
    </row>
    <row r="743" spans="2:10" x14ac:dyDescent="0.3">
      <c r="B743" t="e">
        <f>VLOOKUP(A743,'Clientes CBOT'!A:D,4,0)</f>
        <v>#N/A</v>
      </c>
      <c r="C743" s="7" t="e">
        <f>VLOOKUP(A743,'Statement base'!E:AO,21,0)</f>
        <v>#N/A</v>
      </c>
      <c r="D743" s="7" t="e">
        <f>VLOOKUP(A743,'Statement base'!E:AO,10,0)-VLOOKUP(A743,'Statement base'!E:AO,21,0)</f>
        <v>#N/A</v>
      </c>
      <c r="E743" t="s">
        <v>188</v>
      </c>
      <c r="F743" s="6" t="e">
        <f>VLOOKUP(A743,'Statement base'!E:AO,10,0)+VLOOKUP(A743,'Statement base'!E:AO,14,0)</f>
        <v>#N/A</v>
      </c>
      <c r="G743" s="61" t="e">
        <f>VLOOKUP(A743,'Clientes CBOT'!A:E,5,0)</f>
        <v>#N/A</v>
      </c>
      <c r="H743" t="str">
        <f t="shared" si="33"/>
        <v>Hard</v>
      </c>
      <c r="I743" s="6" t="e">
        <f t="shared" si="34"/>
        <v>#N/A</v>
      </c>
      <c r="J743" s="6" t="e">
        <f t="shared" si="35"/>
        <v>#N/A</v>
      </c>
    </row>
    <row r="744" spans="2:10" x14ac:dyDescent="0.3">
      <c r="B744" t="e">
        <f>VLOOKUP(A744,'Clientes CBOT'!A:D,4,0)</f>
        <v>#N/A</v>
      </c>
      <c r="C744" s="7" t="e">
        <f>VLOOKUP(A744,'Statement base'!E:AO,21,0)</f>
        <v>#N/A</v>
      </c>
      <c r="D744" s="7" t="e">
        <f>VLOOKUP(A744,'Statement base'!E:AO,10,0)-VLOOKUP(A744,'Statement base'!E:AO,21,0)</f>
        <v>#N/A</v>
      </c>
      <c r="E744" t="s">
        <v>188</v>
      </c>
      <c r="F744" s="6" t="e">
        <f>VLOOKUP(A744,'Statement base'!E:AO,10,0)+VLOOKUP(A744,'Statement base'!E:AO,14,0)</f>
        <v>#N/A</v>
      </c>
      <c r="G744" s="61" t="e">
        <f>VLOOKUP(A744,'Clientes CBOT'!A:E,5,0)</f>
        <v>#N/A</v>
      </c>
      <c r="H744" t="str">
        <f t="shared" si="33"/>
        <v>Hard</v>
      </c>
      <c r="I744" s="6" t="e">
        <f t="shared" si="34"/>
        <v>#N/A</v>
      </c>
      <c r="J744" s="6" t="e">
        <f t="shared" si="35"/>
        <v>#N/A</v>
      </c>
    </row>
    <row r="745" spans="2:10" x14ac:dyDescent="0.3">
      <c r="B745" t="e">
        <f>VLOOKUP(A745,'Clientes CBOT'!A:D,4,0)</f>
        <v>#N/A</v>
      </c>
      <c r="C745" s="7" t="e">
        <f>VLOOKUP(A745,'Statement base'!E:AO,21,0)</f>
        <v>#N/A</v>
      </c>
      <c r="D745" s="7" t="e">
        <f>VLOOKUP(A745,'Statement base'!E:AO,10,0)-VLOOKUP(A745,'Statement base'!E:AO,21,0)</f>
        <v>#N/A</v>
      </c>
      <c r="E745" t="s">
        <v>188</v>
      </c>
      <c r="F745" s="6" t="e">
        <f>VLOOKUP(A745,'Statement base'!E:AO,10,0)+VLOOKUP(A745,'Statement base'!E:AO,14,0)</f>
        <v>#N/A</v>
      </c>
      <c r="G745" s="61" t="e">
        <f>VLOOKUP(A745,'Clientes CBOT'!A:E,5,0)</f>
        <v>#N/A</v>
      </c>
      <c r="H745" t="str">
        <f t="shared" si="33"/>
        <v>Hard</v>
      </c>
      <c r="I745" s="6" t="e">
        <f t="shared" si="34"/>
        <v>#N/A</v>
      </c>
      <c r="J745" s="6" t="e">
        <f t="shared" si="35"/>
        <v>#N/A</v>
      </c>
    </row>
    <row r="746" spans="2:10" x14ac:dyDescent="0.3">
      <c r="B746" t="e">
        <f>VLOOKUP(A746,'Clientes CBOT'!A:D,4,0)</f>
        <v>#N/A</v>
      </c>
      <c r="C746" s="7" t="e">
        <f>VLOOKUP(A746,'Statement base'!E:AO,21,0)</f>
        <v>#N/A</v>
      </c>
      <c r="D746" s="7" t="e">
        <f>VLOOKUP(A746,'Statement base'!E:AO,10,0)-VLOOKUP(A746,'Statement base'!E:AO,21,0)</f>
        <v>#N/A</v>
      </c>
      <c r="E746" t="s">
        <v>188</v>
      </c>
      <c r="F746" s="6" t="e">
        <f>VLOOKUP(A746,'Statement base'!E:AO,10,0)+VLOOKUP(A746,'Statement base'!E:AO,14,0)</f>
        <v>#N/A</v>
      </c>
      <c r="G746" s="61" t="e">
        <f>VLOOKUP(A746,'Clientes CBOT'!A:E,5,0)</f>
        <v>#N/A</v>
      </c>
      <c r="H746" t="str">
        <f t="shared" si="33"/>
        <v>Hard</v>
      </c>
      <c r="I746" s="6" t="e">
        <f t="shared" si="34"/>
        <v>#N/A</v>
      </c>
      <c r="J746" s="6" t="e">
        <f t="shared" si="35"/>
        <v>#N/A</v>
      </c>
    </row>
    <row r="747" spans="2:10" x14ac:dyDescent="0.3">
      <c r="B747" t="e">
        <f>VLOOKUP(A747,'Clientes CBOT'!A:D,4,0)</f>
        <v>#N/A</v>
      </c>
      <c r="C747" s="7" t="e">
        <f>VLOOKUP(A747,'Statement base'!E:AO,21,0)</f>
        <v>#N/A</v>
      </c>
      <c r="D747" s="7" t="e">
        <f>VLOOKUP(A747,'Statement base'!E:AO,10,0)-VLOOKUP(A747,'Statement base'!E:AO,21,0)</f>
        <v>#N/A</v>
      </c>
      <c r="E747" t="s">
        <v>188</v>
      </c>
      <c r="F747" s="6" t="e">
        <f>VLOOKUP(A747,'Statement base'!E:AO,10,0)+VLOOKUP(A747,'Statement base'!E:AO,14,0)</f>
        <v>#N/A</v>
      </c>
      <c r="G747" s="61" t="e">
        <f>VLOOKUP(A747,'Clientes CBOT'!A:E,5,0)</f>
        <v>#N/A</v>
      </c>
      <c r="H747" t="str">
        <f t="shared" si="33"/>
        <v>Hard</v>
      </c>
      <c r="I747" s="6" t="e">
        <f t="shared" si="34"/>
        <v>#N/A</v>
      </c>
      <c r="J747" s="6" t="e">
        <f t="shared" si="35"/>
        <v>#N/A</v>
      </c>
    </row>
    <row r="748" spans="2:10" x14ac:dyDescent="0.3">
      <c r="B748" t="e">
        <f>VLOOKUP(A748,'Clientes CBOT'!A:D,4,0)</f>
        <v>#N/A</v>
      </c>
      <c r="C748" s="7" t="e">
        <f>VLOOKUP(A748,'Statement base'!E:AO,21,0)</f>
        <v>#N/A</v>
      </c>
      <c r="D748" s="7" t="e">
        <f>VLOOKUP(A748,'Statement base'!E:AO,10,0)-VLOOKUP(A748,'Statement base'!E:AO,21,0)</f>
        <v>#N/A</v>
      </c>
      <c r="E748" t="s">
        <v>188</v>
      </c>
      <c r="F748" s="6" t="e">
        <f>VLOOKUP(A748,'Statement base'!E:AO,10,0)+VLOOKUP(A748,'Statement base'!E:AO,14,0)</f>
        <v>#N/A</v>
      </c>
      <c r="G748" s="61" t="e">
        <f>VLOOKUP(A748,'Clientes CBOT'!A:E,5,0)</f>
        <v>#N/A</v>
      </c>
      <c r="H748" t="str">
        <f t="shared" si="33"/>
        <v>Hard</v>
      </c>
      <c r="I748" s="6" t="e">
        <f t="shared" si="34"/>
        <v>#N/A</v>
      </c>
      <c r="J748" s="6" t="e">
        <f t="shared" si="35"/>
        <v>#N/A</v>
      </c>
    </row>
    <row r="749" spans="2:10" x14ac:dyDescent="0.3">
      <c r="B749" t="e">
        <f>VLOOKUP(A749,'Clientes CBOT'!A:D,4,0)</f>
        <v>#N/A</v>
      </c>
      <c r="C749" s="7" t="e">
        <f>VLOOKUP(A749,'Statement base'!E:AO,21,0)</f>
        <v>#N/A</v>
      </c>
      <c r="D749" s="7" t="e">
        <f>VLOOKUP(A749,'Statement base'!E:AO,10,0)-VLOOKUP(A749,'Statement base'!E:AO,21,0)</f>
        <v>#N/A</v>
      </c>
      <c r="E749" t="s">
        <v>188</v>
      </c>
      <c r="F749" s="6" t="e">
        <f>VLOOKUP(A749,'Statement base'!E:AO,10,0)+VLOOKUP(A749,'Statement base'!E:AO,14,0)</f>
        <v>#N/A</v>
      </c>
      <c r="G749" s="61" t="e">
        <f>VLOOKUP(A749,'Clientes CBOT'!A:E,5,0)</f>
        <v>#N/A</v>
      </c>
      <c r="H749" t="str">
        <f t="shared" si="33"/>
        <v>Hard</v>
      </c>
      <c r="I749" s="6" t="e">
        <f t="shared" si="34"/>
        <v>#N/A</v>
      </c>
      <c r="J749" s="6" t="e">
        <f t="shared" si="35"/>
        <v>#N/A</v>
      </c>
    </row>
    <row r="750" spans="2:10" x14ac:dyDescent="0.3">
      <c r="B750" t="e">
        <f>VLOOKUP(A750,'Clientes CBOT'!A:D,4,0)</f>
        <v>#N/A</v>
      </c>
      <c r="C750" s="7" t="e">
        <f>VLOOKUP(A750,'Statement base'!E:AO,21,0)</f>
        <v>#N/A</v>
      </c>
      <c r="D750" s="7" t="e">
        <f>VLOOKUP(A750,'Statement base'!E:AO,10,0)-VLOOKUP(A750,'Statement base'!E:AO,21,0)</f>
        <v>#N/A</v>
      </c>
      <c r="E750" t="s">
        <v>188</v>
      </c>
      <c r="F750" s="6" t="e">
        <f>VLOOKUP(A750,'Statement base'!E:AO,10,0)+VLOOKUP(A750,'Statement base'!E:AO,14,0)</f>
        <v>#N/A</v>
      </c>
      <c r="G750" s="61" t="e">
        <f>VLOOKUP(A750,'Clientes CBOT'!A:E,5,0)</f>
        <v>#N/A</v>
      </c>
      <c r="H750" t="str">
        <f t="shared" si="33"/>
        <v>Hard</v>
      </c>
      <c r="I750" s="6" t="e">
        <f t="shared" si="34"/>
        <v>#N/A</v>
      </c>
      <c r="J750" s="6" t="e">
        <f t="shared" si="35"/>
        <v>#N/A</v>
      </c>
    </row>
    <row r="751" spans="2:10" x14ac:dyDescent="0.3">
      <c r="B751" t="e">
        <f>VLOOKUP(A751,'Clientes CBOT'!A:D,4,0)</f>
        <v>#N/A</v>
      </c>
      <c r="C751" s="7" t="e">
        <f>VLOOKUP(A751,'Statement base'!E:AO,21,0)</f>
        <v>#N/A</v>
      </c>
      <c r="D751" s="7" t="e">
        <f>VLOOKUP(A751,'Statement base'!E:AO,10,0)-VLOOKUP(A751,'Statement base'!E:AO,21,0)</f>
        <v>#N/A</v>
      </c>
      <c r="E751" t="s">
        <v>188</v>
      </c>
      <c r="F751" s="6" t="e">
        <f>VLOOKUP(A751,'Statement base'!E:AO,10,0)+VLOOKUP(A751,'Statement base'!E:AO,14,0)</f>
        <v>#N/A</v>
      </c>
      <c r="G751" s="61" t="e">
        <f>VLOOKUP(A751,'Clientes CBOT'!A:E,5,0)</f>
        <v>#N/A</v>
      </c>
      <c r="H751" t="str">
        <f t="shared" si="33"/>
        <v>Hard</v>
      </c>
      <c r="I751" s="6" t="e">
        <f t="shared" si="34"/>
        <v>#N/A</v>
      </c>
      <c r="J751" s="6" t="e">
        <f t="shared" si="35"/>
        <v>#N/A</v>
      </c>
    </row>
    <row r="752" spans="2:10" x14ac:dyDescent="0.3">
      <c r="B752" t="e">
        <f>VLOOKUP(A752,'Clientes CBOT'!A:D,4,0)</f>
        <v>#N/A</v>
      </c>
      <c r="C752" s="7" t="e">
        <f>VLOOKUP(A752,'Statement base'!E:AO,21,0)</f>
        <v>#N/A</v>
      </c>
      <c r="D752" s="7" t="e">
        <f>VLOOKUP(A752,'Statement base'!E:AO,10,0)-VLOOKUP(A752,'Statement base'!E:AO,21,0)</f>
        <v>#N/A</v>
      </c>
      <c r="E752" t="s">
        <v>188</v>
      </c>
      <c r="F752" s="6" t="e">
        <f>VLOOKUP(A752,'Statement base'!E:AO,10,0)+VLOOKUP(A752,'Statement base'!E:AO,14,0)</f>
        <v>#N/A</v>
      </c>
      <c r="G752" s="61" t="e">
        <f>VLOOKUP(A752,'Clientes CBOT'!A:E,5,0)</f>
        <v>#N/A</v>
      </c>
      <c r="H752" t="str">
        <f t="shared" si="33"/>
        <v>Hard</v>
      </c>
      <c r="I752" s="6" t="e">
        <f t="shared" si="34"/>
        <v>#N/A</v>
      </c>
      <c r="J752" s="6" t="e">
        <f t="shared" si="35"/>
        <v>#N/A</v>
      </c>
    </row>
    <row r="753" spans="2:10" x14ac:dyDescent="0.3">
      <c r="B753" t="e">
        <f>VLOOKUP(A753,'Clientes CBOT'!A:D,4,0)</f>
        <v>#N/A</v>
      </c>
      <c r="C753" s="7" t="e">
        <f>VLOOKUP(A753,'Statement base'!E:AO,21,0)</f>
        <v>#N/A</v>
      </c>
      <c r="D753" s="7" t="e">
        <f>VLOOKUP(A753,'Statement base'!E:AO,10,0)-VLOOKUP(A753,'Statement base'!E:AO,21,0)</f>
        <v>#N/A</v>
      </c>
      <c r="E753" t="s">
        <v>188</v>
      </c>
      <c r="F753" s="6" t="e">
        <f>VLOOKUP(A753,'Statement base'!E:AO,10,0)+VLOOKUP(A753,'Statement base'!E:AO,14,0)</f>
        <v>#N/A</v>
      </c>
      <c r="G753" s="61" t="e">
        <f>VLOOKUP(A753,'Clientes CBOT'!A:E,5,0)</f>
        <v>#N/A</v>
      </c>
      <c r="H753" t="str">
        <f t="shared" si="33"/>
        <v>Hard</v>
      </c>
      <c r="I753" s="6" t="e">
        <f t="shared" si="34"/>
        <v>#N/A</v>
      </c>
      <c r="J753" s="6" t="e">
        <f t="shared" si="35"/>
        <v>#N/A</v>
      </c>
    </row>
    <row r="754" spans="2:10" x14ac:dyDescent="0.3">
      <c r="B754" t="e">
        <f>VLOOKUP(A754,'Clientes CBOT'!A:D,4,0)</f>
        <v>#N/A</v>
      </c>
      <c r="C754" s="7" t="e">
        <f>VLOOKUP(A754,'Statement base'!E:AO,21,0)</f>
        <v>#N/A</v>
      </c>
      <c r="D754" s="7" t="e">
        <f>VLOOKUP(A754,'Statement base'!E:AO,10,0)-VLOOKUP(A754,'Statement base'!E:AO,21,0)</f>
        <v>#N/A</v>
      </c>
      <c r="E754" t="s">
        <v>188</v>
      </c>
      <c r="F754" s="6" t="e">
        <f>VLOOKUP(A754,'Statement base'!E:AO,10,0)+VLOOKUP(A754,'Statement base'!E:AO,14,0)</f>
        <v>#N/A</v>
      </c>
      <c r="G754" s="61" t="e">
        <f>VLOOKUP(A754,'Clientes CBOT'!A:E,5,0)</f>
        <v>#N/A</v>
      </c>
      <c r="H754" t="str">
        <f t="shared" si="33"/>
        <v>Hard</v>
      </c>
      <c r="I754" s="6" t="e">
        <f t="shared" si="34"/>
        <v>#N/A</v>
      </c>
      <c r="J754" s="6" t="e">
        <f t="shared" si="35"/>
        <v>#N/A</v>
      </c>
    </row>
    <row r="755" spans="2:10" x14ac:dyDescent="0.3">
      <c r="B755" t="e">
        <f>VLOOKUP(A755,'Clientes CBOT'!A:D,4,0)</f>
        <v>#N/A</v>
      </c>
      <c r="C755" s="7" t="e">
        <f>VLOOKUP(A755,'Statement base'!E:AO,21,0)</f>
        <v>#N/A</v>
      </c>
      <c r="D755" s="7" t="e">
        <f>VLOOKUP(A755,'Statement base'!E:AO,10,0)-VLOOKUP(A755,'Statement base'!E:AO,21,0)</f>
        <v>#N/A</v>
      </c>
      <c r="E755" t="s">
        <v>188</v>
      </c>
      <c r="F755" s="6" t="e">
        <f>VLOOKUP(A755,'Statement base'!E:AO,10,0)+VLOOKUP(A755,'Statement base'!E:AO,14,0)</f>
        <v>#N/A</v>
      </c>
      <c r="G755" s="61" t="e">
        <f>VLOOKUP(A755,'Clientes CBOT'!A:E,5,0)</f>
        <v>#N/A</v>
      </c>
      <c r="H755" t="str">
        <f t="shared" si="33"/>
        <v>Hard</v>
      </c>
      <c r="I755" s="6" t="e">
        <f t="shared" si="34"/>
        <v>#N/A</v>
      </c>
      <c r="J755" s="6" t="e">
        <f t="shared" si="35"/>
        <v>#N/A</v>
      </c>
    </row>
    <row r="756" spans="2:10" x14ac:dyDescent="0.3">
      <c r="B756" t="e">
        <f>VLOOKUP(A756,'Clientes CBOT'!A:D,4,0)</f>
        <v>#N/A</v>
      </c>
      <c r="C756" s="7" t="e">
        <f>VLOOKUP(A756,'Statement base'!E:AO,21,0)</f>
        <v>#N/A</v>
      </c>
      <c r="D756" s="7" t="e">
        <f>VLOOKUP(A756,'Statement base'!E:AO,10,0)-VLOOKUP(A756,'Statement base'!E:AO,21,0)</f>
        <v>#N/A</v>
      </c>
      <c r="E756" t="s">
        <v>188</v>
      </c>
      <c r="F756" s="6" t="e">
        <f>VLOOKUP(A756,'Statement base'!E:AO,10,0)+VLOOKUP(A756,'Statement base'!E:AO,14,0)</f>
        <v>#N/A</v>
      </c>
      <c r="G756" s="61" t="e">
        <f>VLOOKUP(A756,'Clientes CBOT'!A:E,5,0)</f>
        <v>#N/A</v>
      </c>
      <c r="H756" t="str">
        <f t="shared" si="33"/>
        <v>Hard</v>
      </c>
      <c r="I756" s="6" t="e">
        <f t="shared" si="34"/>
        <v>#N/A</v>
      </c>
      <c r="J756" s="6" t="e">
        <f t="shared" si="35"/>
        <v>#N/A</v>
      </c>
    </row>
    <row r="757" spans="2:10" x14ac:dyDescent="0.3">
      <c r="B757" t="e">
        <f>VLOOKUP(A757,'Clientes CBOT'!A:D,4,0)</f>
        <v>#N/A</v>
      </c>
      <c r="C757" s="7" t="e">
        <f>VLOOKUP(A757,'Statement base'!E:AO,21,0)</f>
        <v>#N/A</v>
      </c>
      <c r="D757" s="7" t="e">
        <f>VLOOKUP(A757,'Statement base'!E:AO,10,0)-VLOOKUP(A757,'Statement base'!E:AO,21,0)</f>
        <v>#N/A</v>
      </c>
      <c r="E757" t="s">
        <v>188</v>
      </c>
      <c r="F757" s="6" t="e">
        <f>VLOOKUP(A757,'Statement base'!E:AO,10,0)+VLOOKUP(A757,'Statement base'!E:AO,14,0)</f>
        <v>#N/A</v>
      </c>
      <c r="G757" s="61" t="e">
        <f>VLOOKUP(A757,'Clientes CBOT'!A:E,5,0)</f>
        <v>#N/A</v>
      </c>
      <c r="H757" t="str">
        <f t="shared" si="33"/>
        <v>Hard</v>
      </c>
      <c r="I757" s="6" t="e">
        <f t="shared" si="34"/>
        <v>#N/A</v>
      </c>
      <c r="J757" s="6" t="e">
        <f t="shared" si="35"/>
        <v>#N/A</v>
      </c>
    </row>
    <row r="758" spans="2:10" x14ac:dyDescent="0.3">
      <c r="B758" t="e">
        <f>VLOOKUP(A758,'Clientes CBOT'!A:D,4,0)</f>
        <v>#N/A</v>
      </c>
      <c r="C758" s="7" t="e">
        <f>VLOOKUP(A758,'Statement base'!E:AO,21,0)</f>
        <v>#N/A</v>
      </c>
      <c r="D758" s="7" t="e">
        <f>VLOOKUP(A758,'Statement base'!E:AO,10,0)-VLOOKUP(A758,'Statement base'!E:AO,21,0)</f>
        <v>#N/A</v>
      </c>
      <c r="E758" t="s">
        <v>188</v>
      </c>
      <c r="F758" s="6" t="e">
        <f>VLOOKUP(A758,'Statement base'!E:AO,10,0)+VLOOKUP(A758,'Statement base'!E:AO,14,0)</f>
        <v>#N/A</v>
      </c>
      <c r="G758" s="61" t="e">
        <f>VLOOKUP(A758,'Clientes CBOT'!A:E,5,0)</f>
        <v>#N/A</v>
      </c>
      <c r="H758" t="str">
        <f t="shared" si="33"/>
        <v>Hard</v>
      </c>
      <c r="I758" s="6" t="e">
        <f t="shared" si="34"/>
        <v>#N/A</v>
      </c>
      <c r="J758" s="6" t="e">
        <f t="shared" si="35"/>
        <v>#N/A</v>
      </c>
    </row>
    <row r="759" spans="2:10" x14ac:dyDescent="0.3">
      <c r="B759" t="e">
        <f>VLOOKUP(A759,'Clientes CBOT'!A:D,4,0)</f>
        <v>#N/A</v>
      </c>
      <c r="C759" s="7" t="e">
        <f>VLOOKUP(A759,'Statement base'!E:AO,21,0)</f>
        <v>#N/A</v>
      </c>
      <c r="D759" s="7" t="e">
        <f>VLOOKUP(A759,'Statement base'!E:AO,10,0)-VLOOKUP(A759,'Statement base'!E:AO,21,0)</f>
        <v>#N/A</v>
      </c>
      <c r="E759" t="s">
        <v>188</v>
      </c>
      <c r="F759" s="6" t="e">
        <f>VLOOKUP(A759,'Statement base'!E:AO,10,0)+VLOOKUP(A759,'Statement base'!E:AO,14,0)</f>
        <v>#N/A</v>
      </c>
      <c r="G759" s="61" t="e">
        <f>VLOOKUP(A759,'Clientes CBOT'!A:E,5,0)</f>
        <v>#N/A</v>
      </c>
      <c r="H759" t="str">
        <f t="shared" si="33"/>
        <v>Hard</v>
      </c>
      <c r="I759" s="6" t="e">
        <f t="shared" si="34"/>
        <v>#N/A</v>
      </c>
      <c r="J759" s="6" t="e">
        <f t="shared" si="35"/>
        <v>#N/A</v>
      </c>
    </row>
    <row r="760" spans="2:10" x14ac:dyDescent="0.3">
      <c r="B760" t="e">
        <f>VLOOKUP(A760,'Clientes CBOT'!A:D,4,0)</f>
        <v>#N/A</v>
      </c>
      <c r="C760" s="7" t="e">
        <f>VLOOKUP(A760,'Statement base'!E:AO,21,0)</f>
        <v>#N/A</v>
      </c>
      <c r="D760" s="7" t="e">
        <f>VLOOKUP(A760,'Statement base'!E:AO,10,0)-VLOOKUP(A760,'Statement base'!E:AO,21,0)</f>
        <v>#N/A</v>
      </c>
      <c r="E760" t="s">
        <v>188</v>
      </c>
      <c r="F760" s="6" t="e">
        <f>VLOOKUP(A760,'Statement base'!E:AO,10,0)+VLOOKUP(A760,'Statement base'!E:AO,14,0)</f>
        <v>#N/A</v>
      </c>
      <c r="G760" s="61" t="e">
        <f>VLOOKUP(A760,'Clientes CBOT'!A:E,5,0)</f>
        <v>#N/A</v>
      </c>
      <c r="H760" t="str">
        <f t="shared" si="33"/>
        <v>Hard</v>
      </c>
      <c r="I760" s="6" t="e">
        <f t="shared" si="34"/>
        <v>#N/A</v>
      </c>
      <c r="J760" s="6" t="e">
        <f t="shared" si="35"/>
        <v>#N/A</v>
      </c>
    </row>
    <row r="761" spans="2:10" x14ac:dyDescent="0.3">
      <c r="B761" t="e">
        <f>VLOOKUP(A761,'Clientes CBOT'!A:D,4,0)</f>
        <v>#N/A</v>
      </c>
      <c r="C761" s="7" t="e">
        <f>VLOOKUP(A761,'Statement base'!E:AO,21,0)</f>
        <v>#N/A</v>
      </c>
      <c r="D761" s="7" t="e">
        <f>VLOOKUP(A761,'Statement base'!E:AO,10,0)-VLOOKUP(A761,'Statement base'!E:AO,21,0)</f>
        <v>#N/A</v>
      </c>
      <c r="E761" t="s">
        <v>188</v>
      </c>
      <c r="F761" s="6" t="e">
        <f>VLOOKUP(A761,'Statement base'!E:AO,10,0)+VLOOKUP(A761,'Statement base'!E:AO,14,0)</f>
        <v>#N/A</v>
      </c>
      <c r="G761" s="61" t="e">
        <f>VLOOKUP(A761,'Clientes CBOT'!A:E,5,0)</f>
        <v>#N/A</v>
      </c>
      <c r="H761" t="str">
        <f t="shared" si="33"/>
        <v>Hard</v>
      </c>
      <c r="I761" s="6" t="e">
        <f t="shared" si="34"/>
        <v>#N/A</v>
      </c>
      <c r="J761" s="6" t="e">
        <f t="shared" si="35"/>
        <v>#N/A</v>
      </c>
    </row>
    <row r="762" spans="2:10" x14ac:dyDescent="0.3">
      <c r="B762" t="e">
        <f>VLOOKUP(A762,'Clientes CBOT'!A:D,4,0)</f>
        <v>#N/A</v>
      </c>
      <c r="C762" s="7" t="e">
        <f>VLOOKUP(A762,'Statement base'!E:AO,21,0)</f>
        <v>#N/A</v>
      </c>
      <c r="D762" s="7" t="e">
        <f>VLOOKUP(A762,'Statement base'!E:AO,10,0)-VLOOKUP(A762,'Statement base'!E:AO,21,0)</f>
        <v>#N/A</v>
      </c>
      <c r="E762" t="s">
        <v>188</v>
      </c>
      <c r="F762" s="6" t="e">
        <f>VLOOKUP(A762,'Statement base'!E:AO,10,0)+VLOOKUP(A762,'Statement base'!E:AO,14,0)</f>
        <v>#N/A</v>
      </c>
      <c r="G762" s="61" t="e">
        <f>VLOOKUP(A762,'Clientes CBOT'!A:E,5,0)</f>
        <v>#N/A</v>
      </c>
      <c r="H762" t="str">
        <f t="shared" si="33"/>
        <v>Hard</v>
      </c>
      <c r="I762" s="6" t="e">
        <f t="shared" si="34"/>
        <v>#N/A</v>
      </c>
      <c r="J762" s="6" t="e">
        <f t="shared" si="35"/>
        <v>#N/A</v>
      </c>
    </row>
    <row r="763" spans="2:10" x14ac:dyDescent="0.3">
      <c r="B763" t="e">
        <f>VLOOKUP(A763,'Clientes CBOT'!A:D,4,0)</f>
        <v>#N/A</v>
      </c>
      <c r="C763" s="7" t="e">
        <f>VLOOKUP(A763,'Statement base'!E:AO,21,0)</f>
        <v>#N/A</v>
      </c>
      <c r="D763" s="7" t="e">
        <f>VLOOKUP(A763,'Statement base'!E:AO,10,0)-VLOOKUP(A763,'Statement base'!E:AO,21,0)</f>
        <v>#N/A</v>
      </c>
      <c r="E763" t="s">
        <v>188</v>
      </c>
      <c r="F763" s="6" t="e">
        <f>VLOOKUP(A763,'Statement base'!E:AO,10,0)+VLOOKUP(A763,'Statement base'!E:AO,14,0)</f>
        <v>#N/A</v>
      </c>
      <c r="G763" s="61" t="e">
        <f>VLOOKUP(A763,'Clientes CBOT'!A:E,5,0)</f>
        <v>#N/A</v>
      </c>
      <c r="H763" t="str">
        <f t="shared" si="33"/>
        <v>Hard</v>
      </c>
      <c r="I763" s="6" t="e">
        <f t="shared" si="34"/>
        <v>#N/A</v>
      </c>
      <c r="J763" s="6" t="e">
        <f t="shared" si="35"/>
        <v>#N/A</v>
      </c>
    </row>
    <row r="764" spans="2:10" x14ac:dyDescent="0.3">
      <c r="B764" t="e">
        <f>VLOOKUP(A764,'Clientes CBOT'!A:D,4,0)</f>
        <v>#N/A</v>
      </c>
      <c r="C764" s="7" t="e">
        <f>VLOOKUP(A764,'Statement base'!E:AO,21,0)</f>
        <v>#N/A</v>
      </c>
      <c r="D764" s="7" t="e">
        <f>VLOOKUP(A764,'Statement base'!E:AO,10,0)-VLOOKUP(A764,'Statement base'!E:AO,21,0)</f>
        <v>#N/A</v>
      </c>
      <c r="E764" t="s">
        <v>188</v>
      </c>
      <c r="F764" s="6" t="e">
        <f>VLOOKUP(A764,'Statement base'!E:AO,10,0)+VLOOKUP(A764,'Statement base'!E:AO,14,0)</f>
        <v>#N/A</v>
      </c>
      <c r="G764" s="61" t="e">
        <f>VLOOKUP(A764,'Clientes CBOT'!A:E,5,0)</f>
        <v>#N/A</v>
      </c>
      <c r="H764" t="str">
        <f t="shared" si="33"/>
        <v>Hard</v>
      </c>
      <c r="I764" s="6" t="e">
        <f t="shared" si="34"/>
        <v>#N/A</v>
      </c>
      <c r="J764" s="6" t="e">
        <f t="shared" si="35"/>
        <v>#N/A</v>
      </c>
    </row>
    <row r="765" spans="2:10" x14ac:dyDescent="0.3">
      <c r="B765" t="e">
        <f>VLOOKUP(A765,'Clientes CBOT'!A:D,4,0)</f>
        <v>#N/A</v>
      </c>
      <c r="C765" s="7" t="e">
        <f>VLOOKUP(A765,'Statement base'!E:AO,21,0)</f>
        <v>#N/A</v>
      </c>
      <c r="D765" s="7" t="e">
        <f>VLOOKUP(A765,'Statement base'!E:AO,10,0)-VLOOKUP(A765,'Statement base'!E:AO,21,0)</f>
        <v>#N/A</v>
      </c>
      <c r="E765" t="s">
        <v>188</v>
      </c>
      <c r="F765" s="6" t="e">
        <f>VLOOKUP(A765,'Statement base'!E:AO,10,0)+VLOOKUP(A765,'Statement base'!E:AO,14,0)</f>
        <v>#N/A</v>
      </c>
      <c r="G765" s="61" t="e">
        <f>VLOOKUP(A765,'Clientes CBOT'!A:E,5,0)</f>
        <v>#N/A</v>
      </c>
      <c r="H765" t="str">
        <f t="shared" si="33"/>
        <v>Hard</v>
      </c>
      <c r="I765" s="6" t="e">
        <f t="shared" si="34"/>
        <v>#N/A</v>
      </c>
      <c r="J765" s="6" t="e">
        <f t="shared" si="35"/>
        <v>#N/A</v>
      </c>
    </row>
    <row r="766" spans="2:10" x14ac:dyDescent="0.3">
      <c r="B766" t="e">
        <f>VLOOKUP(A766,'Clientes CBOT'!A:D,4,0)</f>
        <v>#N/A</v>
      </c>
      <c r="C766" s="7" t="e">
        <f>VLOOKUP(A766,'Statement base'!E:AO,21,0)</f>
        <v>#N/A</v>
      </c>
      <c r="D766" s="7" t="e">
        <f>VLOOKUP(A766,'Statement base'!E:AO,10,0)-VLOOKUP(A766,'Statement base'!E:AO,21,0)</f>
        <v>#N/A</v>
      </c>
      <c r="E766" t="s">
        <v>188</v>
      </c>
      <c r="F766" s="6" t="e">
        <f>VLOOKUP(A766,'Statement base'!E:AO,10,0)+VLOOKUP(A766,'Statement base'!E:AO,14,0)</f>
        <v>#N/A</v>
      </c>
      <c r="G766" s="61" t="e">
        <f>VLOOKUP(A766,'Clientes CBOT'!A:E,5,0)</f>
        <v>#N/A</v>
      </c>
      <c r="H766" t="str">
        <f t="shared" si="33"/>
        <v>Hard</v>
      </c>
      <c r="I766" s="6" t="e">
        <f t="shared" si="34"/>
        <v>#N/A</v>
      </c>
      <c r="J766" s="6" t="e">
        <f t="shared" si="35"/>
        <v>#N/A</v>
      </c>
    </row>
    <row r="767" spans="2:10" x14ac:dyDescent="0.3">
      <c r="B767" t="e">
        <f>VLOOKUP(A767,'Clientes CBOT'!A:D,4,0)</f>
        <v>#N/A</v>
      </c>
      <c r="C767" s="7" t="e">
        <f>VLOOKUP(A767,'Statement base'!E:AO,21,0)</f>
        <v>#N/A</v>
      </c>
      <c r="D767" s="7" t="e">
        <f>VLOOKUP(A767,'Statement base'!E:AO,10,0)-VLOOKUP(A767,'Statement base'!E:AO,21,0)</f>
        <v>#N/A</v>
      </c>
      <c r="E767" t="s">
        <v>188</v>
      </c>
      <c r="F767" s="6" t="e">
        <f>VLOOKUP(A767,'Statement base'!E:AO,10,0)+VLOOKUP(A767,'Statement base'!E:AO,14,0)</f>
        <v>#N/A</v>
      </c>
      <c r="G767" s="61" t="e">
        <f>VLOOKUP(A767,'Clientes CBOT'!A:E,5,0)</f>
        <v>#N/A</v>
      </c>
      <c r="H767" t="str">
        <f t="shared" si="33"/>
        <v>Hard</v>
      </c>
      <c r="I767" s="6" t="e">
        <f t="shared" si="34"/>
        <v>#N/A</v>
      </c>
      <c r="J767" s="6" t="e">
        <f t="shared" si="35"/>
        <v>#N/A</v>
      </c>
    </row>
    <row r="768" spans="2:10" x14ac:dyDescent="0.3">
      <c r="B768" t="e">
        <f>VLOOKUP(A768,'Clientes CBOT'!A:D,4,0)</f>
        <v>#N/A</v>
      </c>
      <c r="C768" s="7" t="e">
        <f>VLOOKUP(A768,'Statement base'!E:AO,21,0)</f>
        <v>#N/A</v>
      </c>
      <c r="D768" s="7" t="e">
        <f>VLOOKUP(A768,'Statement base'!E:AO,10,0)-VLOOKUP(A768,'Statement base'!E:AO,21,0)</f>
        <v>#N/A</v>
      </c>
      <c r="E768" t="s">
        <v>188</v>
      </c>
      <c r="F768" s="6" t="e">
        <f>VLOOKUP(A768,'Statement base'!E:AO,10,0)+VLOOKUP(A768,'Statement base'!E:AO,14,0)</f>
        <v>#N/A</v>
      </c>
      <c r="G768" s="61" t="e">
        <f>VLOOKUP(A768,'Clientes CBOT'!A:E,5,0)</f>
        <v>#N/A</v>
      </c>
      <c r="H768" t="str">
        <f t="shared" si="33"/>
        <v>Hard</v>
      </c>
      <c r="I768" s="6" t="e">
        <f t="shared" si="34"/>
        <v>#N/A</v>
      </c>
      <c r="J768" s="6" t="e">
        <f t="shared" si="35"/>
        <v>#N/A</v>
      </c>
    </row>
    <row r="769" spans="2:10" x14ac:dyDescent="0.3">
      <c r="B769" t="e">
        <f>VLOOKUP(A769,'Clientes CBOT'!A:D,4,0)</f>
        <v>#N/A</v>
      </c>
      <c r="C769" s="7" t="e">
        <f>VLOOKUP(A769,'Statement base'!E:AO,21,0)</f>
        <v>#N/A</v>
      </c>
      <c r="D769" s="7" t="e">
        <f>VLOOKUP(A769,'Statement base'!E:AO,10,0)-VLOOKUP(A769,'Statement base'!E:AO,21,0)</f>
        <v>#N/A</v>
      </c>
      <c r="E769" t="s">
        <v>188</v>
      </c>
      <c r="F769" s="6" t="e">
        <f>VLOOKUP(A769,'Statement base'!E:AO,10,0)+VLOOKUP(A769,'Statement base'!E:AO,14,0)</f>
        <v>#N/A</v>
      </c>
      <c r="G769" s="61" t="e">
        <f>VLOOKUP(A769,'Clientes CBOT'!A:E,5,0)</f>
        <v>#N/A</v>
      </c>
      <c r="H769" t="str">
        <f t="shared" si="33"/>
        <v>Hard</v>
      </c>
      <c r="I769" s="6" t="e">
        <f t="shared" si="34"/>
        <v>#N/A</v>
      </c>
      <c r="J769" s="6" t="e">
        <f t="shared" si="35"/>
        <v>#N/A</v>
      </c>
    </row>
    <row r="770" spans="2:10" x14ac:dyDescent="0.3">
      <c r="B770" t="e">
        <f>VLOOKUP(A770,'Clientes CBOT'!A:D,4,0)</f>
        <v>#N/A</v>
      </c>
      <c r="C770" s="7" t="e">
        <f>VLOOKUP(A770,'Statement base'!E:AO,21,0)</f>
        <v>#N/A</v>
      </c>
      <c r="D770" s="7" t="e">
        <f>VLOOKUP(A770,'Statement base'!E:AO,10,0)-VLOOKUP(A770,'Statement base'!E:AO,21,0)</f>
        <v>#N/A</v>
      </c>
      <c r="E770" t="s">
        <v>188</v>
      </c>
      <c r="F770" s="6" t="e">
        <f>VLOOKUP(A770,'Statement base'!E:AO,10,0)+VLOOKUP(A770,'Statement base'!E:AO,14,0)</f>
        <v>#N/A</v>
      </c>
      <c r="G770" s="61" t="e">
        <f>VLOOKUP(A770,'Clientes CBOT'!A:E,5,0)</f>
        <v>#N/A</v>
      </c>
      <c r="H770" t="str">
        <f t="shared" si="33"/>
        <v>Hard</v>
      </c>
      <c r="I770" s="6" t="e">
        <f t="shared" si="34"/>
        <v>#N/A</v>
      </c>
      <c r="J770" s="6" t="e">
        <f t="shared" si="35"/>
        <v>#N/A</v>
      </c>
    </row>
    <row r="771" spans="2:10" x14ac:dyDescent="0.3">
      <c r="B771" t="e">
        <f>VLOOKUP(A771,'Clientes CBOT'!A:D,4,0)</f>
        <v>#N/A</v>
      </c>
      <c r="C771" s="7" t="e">
        <f>VLOOKUP(A771,'Statement base'!E:AO,21,0)</f>
        <v>#N/A</v>
      </c>
      <c r="D771" s="7" t="e">
        <f>VLOOKUP(A771,'Statement base'!E:AO,10,0)-VLOOKUP(A771,'Statement base'!E:AO,21,0)</f>
        <v>#N/A</v>
      </c>
      <c r="E771" t="s">
        <v>188</v>
      </c>
      <c r="F771" s="6" t="e">
        <f>VLOOKUP(A771,'Statement base'!E:AO,10,0)+VLOOKUP(A771,'Statement base'!E:AO,14,0)</f>
        <v>#N/A</v>
      </c>
      <c r="G771" s="61" t="e">
        <f>VLOOKUP(A771,'Clientes CBOT'!A:E,5,0)</f>
        <v>#N/A</v>
      </c>
      <c r="H771" t="str">
        <f t="shared" si="33"/>
        <v>Hard</v>
      </c>
      <c r="I771" s="6" t="e">
        <f t="shared" si="34"/>
        <v>#N/A</v>
      </c>
      <c r="J771" s="6" t="e">
        <f t="shared" si="35"/>
        <v>#N/A</v>
      </c>
    </row>
    <row r="772" spans="2:10" x14ac:dyDescent="0.3">
      <c r="B772" t="e">
        <f>VLOOKUP(A772,'Clientes CBOT'!A:D,4,0)</f>
        <v>#N/A</v>
      </c>
      <c r="C772" s="7" t="e">
        <f>VLOOKUP(A772,'Statement base'!E:AO,21,0)</f>
        <v>#N/A</v>
      </c>
      <c r="D772" s="7" t="e">
        <f>VLOOKUP(A772,'Statement base'!E:AO,10,0)-VLOOKUP(A772,'Statement base'!E:AO,21,0)</f>
        <v>#N/A</v>
      </c>
      <c r="E772" t="s">
        <v>188</v>
      </c>
      <c r="F772" s="6" t="e">
        <f>VLOOKUP(A772,'Statement base'!E:AO,10,0)+VLOOKUP(A772,'Statement base'!E:AO,14,0)</f>
        <v>#N/A</v>
      </c>
      <c r="G772" s="61" t="e">
        <f>VLOOKUP(A772,'Clientes CBOT'!A:E,5,0)</f>
        <v>#N/A</v>
      </c>
      <c r="H772" t="str">
        <f t="shared" si="33"/>
        <v>Hard</v>
      </c>
      <c r="I772" s="6" t="e">
        <f t="shared" si="34"/>
        <v>#N/A</v>
      </c>
      <c r="J772" s="6" t="e">
        <f t="shared" si="35"/>
        <v>#N/A</v>
      </c>
    </row>
    <row r="773" spans="2:10" x14ac:dyDescent="0.3">
      <c r="B773" t="e">
        <f>VLOOKUP(A773,'Clientes CBOT'!A:D,4,0)</f>
        <v>#N/A</v>
      </c>
      <c r="C773" s="7" t="e">
        <f>VLOOKUP(A773,'Statement base'!E:AO,21,0)</f>
        <v>#N/A</v>
      </c>
      <c r="D773" s="7" t="e">
        <f>VLOOKUP(A773,'Statement base'!E:AO,10,0)-VLOOKUP(A773,'Statement base'!E:AO,21,0)</f>
        <v>#N/A</v>
      </c>
      <c r="E773" t="s">
        <v>188</v>
      </c>
      <c r="F773" s="6" t="e">
        <f>VLOOKUP(A773,'Statement base'!E:AO,10,0)+VLOOKUP(A773,'Statement base'!E:AO,14,0)</f>
        <v>#N/A</v>
      </c>
      <c r="G773" s="61" t="e">
        <f>VLOOKUP(A773,'Clientes CBOT'!A:E,5,0)</f>
        <v>#N/A</v>
      </c>
      <c r="H773" t="str">
        <f t="shared" ref="H773:H836" si="36">IF(E773="pesos","Ars",IF(E773="Dólar Matba Rofex","usd linked","Hard"))</f>
        <v>Hard</v>
      </c>
      <c r="I773" s="6" t="e">
        <f t="shared" ref="I773:I836" si="37">IF(H773="ars",C773/$J$1,IF(H773="hard",C773*$J$2/$J$1,C773))</f>
        <v>#N/A</v>
      </c>
      <c r="J773" s="6" t="e">
        <f t="shared" ref="J773:J836" si="38">IF(H773="ars",D773/$J$1,IF(H773="hard",D773*$J$2/$J$1,D773))</f>
        <v>#N/A</v>
      </c>
    </row>
    <row r="774" spans="2:10" x14ac:dyDescent="0.3">
      <c r="B774" t="e">
        <f>VLOOKUP(A774,'Clientes CBOT'!A:D,4,0)</f>
        <v>#N/A</v>
      </c>
      <c r="C774" s="7" t="e">
        <f>VLOOKUP(A774,'Statement base'!E:AO,21,0)</f>
        <v>#N/A</v>
      </c>
      <c r="D774" s="7" t="e">
        <f>VLOOKUP(A774,'Statement base'!E:AO,10,0)-VLOOKUP(A774,'Statement base'!E:AO,21,0)</f>
        <v>#N/A</v>
      </c>
      <c r="E774" t="s">
        <v>188</v>
      </c>
      <c r="F774" s="6" t="e">
        <f>VLOOKUP(A774,'Statement base'!E:AO,10,0)+VLOOKUP(A774,'Statement base'!E:AO,14,0)</f>
        <v>#N/A</v>
      </c>
      <c r="G774" s="61" t="e">
        <f>VLOOKUP(A774,'Clientes CBOT'!A:E,5,0)</f>
        <v>#N/A</v>
      </c>
      <c r="H774" t="str">
        <f t="shared" si="36"/>
        <v>Hard</v>
      </c>
      <c r="I774" s="6" t="e">
        <f t="shared" si="37"/>
        <v>#N/A</v>
      </c>
      <c r="J774" s="6" t="e">
        <f t="shared" si="38"/>
        <v>#N/A</v>
      </c>
    </row>
    <row r="775" spans="2:10" x14ac:dyDescent="0.3">
      <c r="B775" t="e">
        <f>VLOOKUP(A775,'Clientes CBOT'!A:D,4,0)</f>
        <v>#N/A</v>
      </c>
      <c r="C775" s="7" t="e">
        <f>VLOOKUP(A775,'Statement base'!E:AO,21,0)</f>
        <v>#N/A</v>
      </c>
      <c r="D775" s="7" t="e">
        <f>VLOOKUP(A775,'Statement base'!E:AO,10,0)-VLOOKUP(A775,'Statement base'!E:AO,21,0)</f>
        <v>#N/A</v>
      </c>
      <c r="E775" t="s">
        <v>188</v>
      </c>
      <c r="F775" s="6" t="e">
        <f>VLOOKUP(A775,'Statement base'!E:AO,10,0)+VLOOKUP(A775,'Statement base'!E:AO,14,0)</f>
        <v>#N/A</v>
      </c>
      <c r="G775" s="61" t="e">
        <f>VLOOKUP(A775,'Clientes CBOT'!A:E,5,0)</f>
        <v>#N/A</v>
      </c>
      <c r="H775" t="str">
        <f t="shared" si="36"/>
        <v>Hard</v>
      </c>
      <c r="I775" s="6" t="e">
        <f t="shared" si="37"/>
        <v>#N/A</v>
      </c>
      <c r="J775" s="6" t="e">
        <f t="shared" si="38"/>
        <v>#N/A</v>
      </c>
    </row>
    <row r="776" spans="2:10" x14ac:dyDescent="0.3">
      <c r="B776" t="e">
        <f>VLOOKUP(A776,'Clientes CBOT'!A:D,4,0)</f>
        <v>#N/A</v>
      </c>
      <c r="C776" s="7" t="e">
        <f>VLOOKUP(A776,'Statement base'!E:AO,21,0)</f>
        <v>#N/A</v>
      </c>
      <c r="D776" s="7" t="e">
        <f>VLOOKUP(A776,'Statement base'!E:AO,10,0)-VLOOKUP(A776,'Statement base'!E:AO,21,0)</f>
        <v>#N/A</v>
      </c>
      <c r="E776" t="s">
        <v>188</v>
      </c>
      <c r="F776" s="6" t="e">
        <f>VLOOKUP(A776,'Statement base'!E:AO,10,0)+VLOOKUP(A776,'Statement base'!E:AO,14,0)</f>
        <v>#N/A</v>
      </c>
      <c r="G776" s="61" t="e">
        <f>VLOOKUP(A776,'Clientes CBOT'!A:E,5,0)</f>
        <v>#N/A</v>
      </c>
      <c r="H776" t="str">
        <f t="shared" si="36"/>
        <v>Hard</v>
      </c>
      <c r="I776" s="6" t="e">
        <f t="shared" si="37"/>
        <v>#N/A</v>
      </c>
      <c r="J776" s="6" t="e">
        <f t="shared" si="38"/>
        <v>#N/A</v>
      </c>
    </row>
    <row r="777" spans="2:10" x14ac:dyDescent="0.3">
      <c r="B777" t="e">
        <f>VLOOKUP(A777,'Clientes CBOT'!A:D,4,0)</f>
        <v>#N/A</v>
      </c>
      <c r="C777" s="7" t="e">
        <f>VLOOKUP(A777,'Statement base'!E:AO,21,0)</f>
        <v>#N/A</v>
      </c>
      <c r="D777" s="7" t="e">
        <f>VLOOKUP(A777,'Statement base'!E:AO,10,0)-VLOOKUP(A777,'Statement base'!E:AO,21,0)</f>
        <v>#N/A</v>
      </c>
      <c r="E777" t="s">
        <v>188</v>
      </c>
      <c r="F777" s="6" t="e">
        <f>VLOOKUP(A777,'Statement base'!E:AO,10,0)+VLOOKUP(A777,'Statement base'!E:AO,14,0)</f>
        <v>#N/A</v>
      </c>
      <c r="G777" s="61" t="e">
        <f>VLOOKUP(A777,'Clientes CBOT'!A:E,5,0)</f>
        <v>#N/A</v>
      </c>
      <c r="H777" t="str">
        <f t="shared" si="36"/>
        <v>Hard</v>
      </c>
      <c r="I777" s="6" t="e">
        <f t="shared" si="37"/>
        <v>#N/A</v>
      </c>
      <c r="J777" s="6" t="e">
        <f t="shared" si="38"/>
        <v>#N/A</v>
      </c>
    </row>
    <row r="778" spans="2:10" x14ac:dyDescent="0.3">
      <c r="B778" t="e">
        <f>VLOOKUP(A778,'Clientes CBOT'!A:D,4,0)</f>
        <v>#N/A</v>
      </c>
      <c r="C778" s="7" t="e">
        <f>VLOOKUP(A778,'Statement base'!E:AO,21,0)</f>
        <v>#N/A</v>
      </c>
      <c r="D778" s="7" t="e">
        <f>VLOOKUP(A778,'Statement base'!E:AO,10,0)-VLOOKUP(A778,'Statement base'!E:AO,21,0)</f>
        <v>#N/A</v>
      </c>
      <c r="E778" t="s">
        <v>188</v>
      </c>
      <c r="F778" s="6" t="e">
        <f>VLOOKUP(A778,'Statement base'!E:AO,10,0)+VLOOKUP(A778,'Statement base'!E:AO,14,0)</f>
        <v>#N/A</v>
      </c>
      <c r="G778" s="61" t="e">
        <f>VLOOKUP(A778,'Clientes CBOT'!A:E,5,0)</f>
        <v>#N/A</v>
      </c>
      <c r="H778" t="str">
        <f t="shared" si="36"/>
        <v>Hard</v>
      </c>
      <c r="I778" s="6" t="e">
        <f t="shared" si="37"/>
        <v>#N/A</v>
      </c>
      <c r="J778" s="6" t="e">
        <f t="shared" si="38"/>
        <v>#N/A</v>
      </c>
    </row>
    <row r="779" spans="2:10" x14ac:dyDescent="0.3">
      <c r="B779" t="e">
        <f>VLOOKUP(A779,'Clientes CBOT'!A:D,4,0)</f>
        <v>#N/A</v>
      </c>
      <c r="C779" s="7" t="e">
        <f>VLOOKUP(A779,'Statement base'!E:AO,21,0)</f>
        <v>#N/A</v>
      </c>
      <c r="D779" s="7" t="e">
        <f>VLOOKUP(A779,'Statement base'!E:AO,10,0)-VLOOKUP(A779,'Statement base'!E:AO,21,0)</f>
        <v>#N/A</v>
      </c>
      <c r="E779" t="s">
        <v>188</v>
      </c>
      <c r="F779" s="6" t="e">
        <f>VLOOKUP(A779,'Statement base'!E:AO,10,0)+VLOOKUP(A779,'Statement base'!E:AO,14,0)</f>
        <v>#N/A</v>
      </c>
      <c r="G779" s="61" t="e">
        <f>VLOOKUP(A779,'Clientes CBOT'!A:E,5,0)</f>
        <v>#N/A</v>
      </c>
      <c r="H779" t="str">
        <f t="shared" si="36"/>
        <v>Hard</v>
      </c>
      <c r="I779" s="6" t="e">
        <f t="shared" si="37"/>
        <v>#N/A</v>
      </c>
      <c r="J779" s="6" t="e">
        <f t="shared" si="38"/>
        <v>#N/A</v>
      </c>
    </row>
    <row r="780" spans="2:10" x14ac:dyDescent="0.3">
      <c r="B780" t="e">
        <f>VLOOKUP(A780,'Clientes CBOT'!A:D,4,0)</f>
        <v>#N/A</v>
      </c>
      <c r="C780" s="7" t="e">
        <f>VLOOKUP(A780,'Statement base'!E:AO,21,0)</f>
        <v>#N/A</v>
      </c>
      <c r="D780" s="7" t="e">
        <f>VLOOKUP(A780,'Statement base'!E:AO,10,0)-VLOOKUP(A780,'Statement base'!E:AO,21,0)</f>
        <v>#N/A</v>
      </c>
      <c r="E780" t="s">
        <v>188</v>
      </c>
      <c r="F780" s="6" t="e">
        <f>VLOOKUP(A780,'Statement base'!E:AO,10,0)+VLOOKUP(A780,'Statement base'!E:AO,14,0)</f>
        <v>#N/A</v>
      </c>
      <c r="G780" s="61" t="e">
        <f>VLOOKUP(A780,'Clientes CBOT'!A:E,5,0)</f>
        <v>#N/A</v>
      </c>
      <c r="H780" t="str">
        <f t="shared" si="36"/>
        <v>Hard</v>
      </c>
      <c r="I780" s="6" t="e">
        <f t="shared" si="37"/>
        <v>#N/A</v>
      </c>
      <c r="J780" s="6" t="e">
        <f t="shared" si="38"/>
        <v>#N/A</v>
      </c>
    </row>
    <row r="781" spans="2:10" x14ac:dyDescent="0.3">
      <c r="B781" t="e">
        <f>VLOOKUP(A781,'Clientes CBOT'!A:D,4,0)</f>
        <v>#N/A</v>
      </c>
      <c r="C781" s="7" t="e">
        <f>VLOOKUP(A781,'Statement base'!E:AO,21,0)</f>
        <v>#N/A</v>
      </c>
      <c r="D781" s="7" t="e">
        <f>VLOOKUP(A781,'Statement base'!E:AO,10,0)-VLOOKUP(A781,'Statement base'!E:AO,21,0)</f>
        <v>#N/A</v>
      </c>
      <c r="E781" t="s">
        <v>188</v>
      </c>
      <c r="F781" s="6" t="e">
        <f>VLOOKUP(A781,'Statement base'!E:AO,10,0)+VLOOKUP(A781,'Statement base'!E:AO,14,0)</f>
        <v>#N/A</v>
      </c>
      <c r="G781" s="61" t="e">
        <f>VLOOKUP(A781,'Clientes CBOT'!A:E,5,0)</f>
        <v>#N/A</v>
      </c>
      <c r="H781" t="str">
        <f t="shared" si="36"/>
        <v>Hard</v>
      </c>
      <c r="I781" s="6" t="e">
        <f t="shared" si="37"/>
        <v>#N/A</v>
      </c>
      <c r="J781" s="6" t="e">
        <f t="shared" si="38"/>
        <v>#N/A</v>
      </c>
    </row>
    <row r="782" spans="2:10" x14ac:dyDescent="0.3">
      <c r="B782" t="e">
        <f>VLOOKUP(A782,'Clientes CBOT'!A:D,4,0)</f>
        <v>#N/A</v>
      </c>
      <c r="C782" s="7" t="e">
        <f>VLOOKUP(A782,'Statement base'!E:AO,21,0)</f>
        <v>#N/A</v>
      </c>
      <c r="D782" s="7" t="e">
        <f>VLOOKUP(A782,'Statement base'!E:AO,10,0)-VLOOKUP(A782,'Statement base'!E:AO,21,0)</f>
        <v>#N/A</v>
      </c>
      <c r="E782" t="s">
        <v>188</v>
      </c>
      <c r="F782" s="6" t="e">
        <f>VLOOKUP(A782,'Statement base'!E:AO,10,0)+VLOOKUP(A782,'Statement base'!E:AO,14,0)</f>
        <v>#N/A</v>
      </c>
      <c r="G782" s="61" t="e">
        <f>VLOOKUP(A782,'Clientes CBOT'!A:E,5,0)</f>
        <v>#N/A</v>
      </c>
      <c r="H782" t="str">
        <f t="shared" si="36"/>
        <v>Hard</v>
      </c>
      <c r="I782" s="6" t="e">
        <f t="shared" si="37"/>
        <v>#N/A</v>
      </c>
      <c r="J782" s="6" t="e">
        <f t="shared" si="38"/>
        <v>#N/A</v>
      </c>
    </row>
    <row r="783" spans="2:10" x14ac:dyDescent="0.3">
      <c r="B783" t="e">
        <f>VLOOKUP(A783,'Clientes CBOT'!A:D,4,0)</f>
        <v>#N/A</v>
      </c>
      <c r="C783" s="7" t="e">
        <f>VLOOKUP(A783,'Statement base'!E:AO,21,0)</f>
        <v>#N/A</v>
      </c>
      <c r="D783" s="7" t="e">
        <f>VLOOKUP(A783,'Statement base'!E:AO,10,0)-VLOOKUP(A783,'Statement base'!E:AO,21,0)</f>
        <v>#N/A</v>
      </c>
      <c r="E783" t="s">
        <v>188</v>
      </c>
      <c r="F783" s="6" t="e">
        <f>VLOOKUP(A783,'Statement base'!E:AO,10,0)+VLOOKUP(A783,'Statement base'!E:AO,14,0)</f>
        <v>#N/A</v>
      </c>
      <c r="G783" s="61" t="e">
        <f>VLOOKUP(A783,'Clientes CBOT'!A:E,5,0)</f>
        <v>#N/A</v>
      </c>
      <c r="H783" t="str">
        <f t="shared" si="36"/>
        <v>Hard</v>
      </c>
      <c r="I783" s="6" t="e">
        <f t="shared" si="37"/>
        <v>#N/A</v>
      </c>
      <c r="J783" s="6" t="e">
        <f t="shared" si="38"/>
        <v>#N/A</v>
      </c>
    </row>
    <row r="784" spans="2:10" x14ac:dyDescent="0.3">
      <c r="B784" t="e">
        <f>VLOOKUP(A784,'Clientes CBOT'!A:D,4,0)</f>
        <v>#N/A</v>
      </c>
      <c r="C784" s="7" t="e">
        <f>VLOOKUP(A784,'Statement base'!E:AO,21,0)</f>
        <v>#N/A</v>
      </c>
      <c r="D784" s="7" t="e">
        <f>VLOOKUP(A784,'Statement base'!E:AO,10,0)-VLOOKUP(A784,'Statement base'!E:AO,21,0)</f>
        <v>#N/A</v>
      </c>
      <c r="E784" t="s">
        <v>188</v>
      </c>
      <c r="F784" s="6" t="e">
        <f>VLOOKUP(A784,'Statement base'!E:AO,10,0)+VLOOKUP(A784,'Statement base'!E:AO,14,0)</f>
        <v>#N/A</v>
      </c>
      <c r="G784" s="61" t="e">
        <f>VLOOKUP(A784,'Clientes CBOT'!A:E,5,0)</f>
        <v>#N/A</v>
      </c>
      <c r="H784" t="str">
        <f t="shared" si="36"/>
        <v>Hard</v>
      </c>
      <c r="I784" s="6" t="e">
        <f t="shared" si="37"/>
        <v>#N/A</v>
      </c>
      <c r="J784" s="6" t="e">
        <f t="shared" si="38"/>
        <v>#N/A</v>
      </c>
    </row>
    <row r="785" spans="2:10" x14ac:dyDescent="0.3">
      <c r="B785" t="e">
        <f>VLOOKUP(A785,'Clientes CBOT'!A:D,4,0)</f>
        <v>#N/A</v>
      </c>
      <c r="C785" s="7" t="e">
        <f>VLOOKUP(A785,'Statement base'!E:AO,21,0)</f>
        <v>#N/A</v>
      </c>
      <c r="D785" s="7" t="e">
        <f>VLOOKUP(A785,'Statement base'!E:AO,10,0)-VLOOKUP(A785,'Statement base'!E:AO,21,0)</f>
        <v>#N/A</v>
      </c>
      <c r="E785" t="s">
        <v>188</v>
      </c>
      <c r="F785" s="6" t="e">
        <f>VLOOKUP(A785,'Statement base'!E:AO,10,0)+VLOOKUP(A785,'Statement base'!E:AO,14,0)</f>
        <v>#N/A</v>
      </c>
      <c r="G785" s="61" t="e">
        <f>VLOOKUP(A785,'Clientes CBOT'!A:E,5,0)</f>
        <v>#N/A</v>
      </c>
      <c r="H785" t="str">
        <f t="shared" si="36"/>
        <v>Hard</v>
      </c>
      <c r="I785" s="6" t="e">
        <f t="shared" si="37"/>
        <v>#N/A</v>
      </c>
      <c r="J785" s="6" t="e">
        <f t="shared" si="38"/>
        <v>#N/A</v>
      </c>
    </row>
    <row r="786" spans="2:10" x14ac:dyDescent="0.3">
      <c r="B786" t="e">
        <f>VLOOKUP(A786,'Clientes CBOT'!A:D,4,0)</f>
        <v>#N/A</v>
      </c>
      <c r="C786" s="7" t="e">
        <f>VLOOKUP(A786,'Statement base'!E:AO,21,0)</f>
        <v>#N/A</v>
      </c>
      <c r="D786" s="7" t="e">
        <f>VLOOKUP(A786,'Statement base'!E:AO,10,0)-VLOOKUP(A786,'Statement base'!E:AO,21,0)</f>
        <v>#N/A</v>
      </c>
      <c r="E786" t="s">
        <v>188</v>
      </c>
      <c r="F786" s="6" t="e">
        <f>VLOOKUP(A786,'Statement base'!E:AO,10,0)+VLOOKUP(A786,'Statement base'!E:AO,14,0)</f>
        <v>#N/A</v>
      </c>
      <c r="G786" s="61" t="e">
        <f>VLOOKUP(A786,'Clientes CBOT'!A:E,5,0)</f>
        <v>#N/A</v>
      </c>
      <c r="H786" t="str">
        <f t="shared" si="36"/>
        <v>Hard</v>
      </c>
      <c r="I786" s="6" t="e">
        <f t="shared" si="37"/>
        <v>#N/A</v>
      </c>
      <c r="J786" s="6" t="e">
        <f t="shared" si="38"/>
        <v>#N/A</v>
      </c>
    </row>
    <row r="787" spans="2:10" x14ac:dyDescent="0.3">
      <c r="B787" t="e">
        <f>VLOOKUP(A787,'Clientes CBOT'!A:D,4,0)</f>
        <v>#N/A</v>
      </c>
      <c r="C787" s="7" t="e">
        <f>VLOOKUP(A787,'Statement base'!E:AO,21,0)</f>
        <v>#N/A</v>
      </c>
      <c r="D787" s="7" t="e">
        <f>VLOOKUP(A787,'Statement base'!E:AO,10,0)-VLOOKUP(A787,'Statement base'!E:AO,21,0)</f>
        <v>#N/A</v>
      </c>
      <c r="E787" t="s">
        <v>188</v>
      </c>
      <c r="F787" s="6" t="e">
        <f>VLOOKUP(A787,'Statement base'!E:AO,10,0)+VLOOKUP(A787,'Statement base'!E:AO,14,0)</f>
        <v>#N/A</v>
      </c>
      <c r="G787" s="61" t="e">
        <f>VLOOKUP(A787,'Clientes CBOT'!A:E,5,0)</f>
        <v>#N/A</v>
      </c>
      <c r="H787" t="str">
        <f t="shared" si="36"/>
        <v>Hard</v>
      </c>
      <c r="I787" s="6" t="e">
        <f t="shared" si="37"/>
        <v>#N/A</v>
      </c>
      <c r="J787" s="6" t="e">
        <f t="shared" si="38"/>
        <v>#N/A</v>
      </c>
    </row>
    <row r="788" spans="2:10" x14ac:dyDescent="0.3">
      <c r="B788" t="e">
        <f>VLOOKUP(A788,'Clientes CBOT'!A:D,4,0)</f>
        <v>#N/A</v>
      </c>
      <c r="C788" s="7" t="e">
        <f>VLOOKUP(A788,'Statement base'!E:AO,21,0)</f>
        <v>#N/A</v>
      </c>
      <c r="D788" s="7" t="e">
        <f>VLOOKUP(A788,'Statement base'!E:AO,10,0)-VLOOKUP(A788,'Statement base'!E:AO,21,0)</f>
        <v>#N/A</v>
      </c>
      <c r="E788" t="s">
        <v>188</v>
      </c>
      <c r="F788" s="6" t="e">
        <f>VLOOKUP(A788,'Statement base'!E:AO,10,0)+VLOOKUP(A788,'Statement base'!E:AO,14,0)</f>
        <v>#N/A</v>
      </c>
      <c r="G788" s="61" t="e">
        <f>VLOOKUP(A788,'Clientes CBOT'!A:E,5,0)</f>
        <v>#N/A</v>
      </c>
      <c r="H788" t="str">
        <f t="shared" si="36"/>
        <v>Hard</v>
      </c>
      <c r="I788" s="6" t="e">
        <f t="shared" si="37"/>
        <v>#N/A</v>
      </c>
      <c r="J788" s="6" t="e">
        <f t="shared" si="38"/>
        <v>#N/A</v>
      </c>
    </row>
    <row r="789" spans="2:10" x14ac:dyDescent="0.3">
      <c r="B789" t="e">
        <f>VLOOKUP(A789,'Clientes CBOT'!A:D,4,0)</f>
        <v>#N/A</v>
      </c>
      <c r="C789" s="7" t="e">
        <f>VLOOKUP(A789,'Statement base'!E:AO,21,0)</f>
        <v>#N/A</v>
      </c>
      <c r="D789" s="7" t="e">
        <f>VLOOKUP(A789,'Statement base'!E:AO,10,0)-VLOOKUP(A789,'Statement base'!E:AO,21,0)</f>
        <v>#N/A</v>
      </c>
      <c r="E789" t="s">
        <v>188</v>
      </c>
      <c r="F789" s="6" t="e">
        <f>VLOOKUP(A789,'Statement base'!E:AO,10,0)+VLOOKUP(A789,'Statement base'!E:AO,14,0)</f>
        <v>#N/A</v>
      </c>
      <c r="G789" s="61" t="e">
        <f>VLOOKUP(A789,'Clientes CBOT'!A:E,5,0)</f>
        <v>#N/A</v>
      </c>
      <c r="H789" t="str">
        <f t="shared" si="36"/>
        <v>Hard</v>
      </c>
      <c r="I789" s="6" t="e">
        <f t="shared" si="37"/>
        <v>#N/A</v>
      </c>
      <c r="J789" s="6" t="e">
        <f t="shared" si="38"/>
        <v>#N/A</v>
      </c>
    </row>
    <row r="790" spans="2:10" x14ac:dyDescent="0.3">
      <c r="B790" t="e">
        <f>VLOOKUP(A790,'Clientes CBOT'!A:D,4,0)</f>
        <v>#N/A</v>
      </c>
      <c r="C790" s="7" t="e">
        <f>VLOOKUP(A790,'Statement base'!E:AO,21,0)</f>
        <v>#N/A</v>
      </c>
      <c r="D790" s="7" t="e">
        <f>VLOOKUP(A790,'Statement base'!E:AO,10,0)-VLOOKUP(A790,'Statement base'!E:AO,21,0)</f>
        <v>#N/A</v>
      </c>
      <c r="E790" t="s">
        <v>188</v>
      </c>
      <c r="F790" s="6" t="e">
        <f>VLOOKUP(A790,'Statement base'!E:AO,10,0)+VLOOKUP(A790,'Statement base'!E:AO,14,0)</f>
        <v>#N/A</v>
      </c>
      <c r="G790" s="61" t="e">
        <f>VLOOKUP(A790,'Clientes CBOT'!A:E,5,0)</f>
        <v>#N/A</v>
      </c>
      <c r="H790" t="str">
        <f t="shared" si="36"/>
        <v>Hard</v>
      </c>
      <c r="I790" s="6" t="e">
        <f t="shared" si="37"/>
        <v>#N/A</v>
      </c>
      <c r="J790" s="6" t="e">
        <f t="shared" si="38"/>
        <v>#N/A</v>
      </c>
    </row>
    <row r="791" spans="2:10" x14ac:dyDescent="0.3">
      <c r="B791" t="e">
        <f>VLOOKUP(A791,'Clientes CBOT'!A:D,4,0)</f>
        <v>#N/A</v>
      </c>
      <c r="C791" s="7" t="e">
        <f>VLOOKUP(A791,'Statement base'!E:AO,21,0)</f>
        <v>#N/A</v>
      </c>
      <c r="D791" s="7" t="e">
        <f>VLOOKUP(A791,'Statement base'!E:AO,10,0)-VLOOKUP(A791,'Statement base'!E:AO,21,0)</f>
        <v>#N/A</v>
      </c>
      <c r="E791" t="s">
        <v>188</v>
      </c>
      <c r="F791" s="6" t="e">
        <f>VLOOKUP(A791,'Statement base'!E:AO,10,0)+VLOOKUP(A791,'Statement base'!E:AO,14,0)</f>
        <v>#N/A</v>
      </c>
      <c r="G791" s="61" t="e">
        <f>VLOOKUP(A791,'Clientes CBOT'!A:E,5,0)</f>
        <v>#N/A</v>
      </c>
      <c r="H791" t="str">
        <f t="shared" si="36"/>
        <v>Hard</v>
      </c>
      <c r="I791" s="6" t="e">
        <f t="shared" si="37"/>
        <v>#N/A</v>
      </c>
      <c r="J791" s="6" t="e">
        <f t="shared" si="38"/>
        <v>#N/A</v>
      </c>
    </row>
    <row r="792" spans="2:10" x14ac:dyDescent="0.3">
      <c r="B792" t="e">
        <f>VLOOKUP(A792,'Clientes CBOT'!A:D,4,0)</f>
        <v>#N/A</v>
      </c>
      <c r="C792" s="7" t="e">
        <f>VLOOKUP(A792,'Statement base'!E:AO,21,0)</f>
        <v>#N/A</v>
      </c>
      <c r="D792" s="7" t="e">
        <f>VLOOKUP(A792,'Statement base'!E:AO,10,0)-VLOOKUP(A792,'Statement base'!E:AO,21,0)</f>
        <v>#N/A</v>
      </c>
      <c r="E792" t="s">
        <v>188</v>
      </c>
      <c r="F792" s="6" t="e">
        <f>VLOOKUP(A792,'Statement base'!E:AO,10,0)+VLOOKUP(A792,'Statement base'!E:AO,14,0)</f>
        <v>#N/A</v>
      </c>
      <c r="G792" s="61" t="e">
        <f>VLOOKUP(A792,'Clientes CBOT'!A:E,5,0)</f>
        <v>#N/A</v>
      </c>
      <c r="H792" t="str">
        <f t="shared" si="36"/>
        <v>Hard</v>
      </c>
      <c r="I792" s="6" t="e">
        <f t="shared" si="37"/>
        <v>#N/A</v>
      </c>
      <c r="J792" s="6" t="e">
        <f t="shared" si="38"/>
        <v>#N/A</v>
      </c>
    </row>
    <row r="793" spans="2:10" x14ac:dyDescent="0.3">
      <c r="B793" t="e">
        <f>VLOOKUP(A793,'Clientes CBOT'!A:D,4,0)</f>
        <v>#N/A</v>
      </c>
      <c r="C793" s="7" t="e">
        <f>VLOOKUP(A793,'Statement base'!E:AO,21,0)</f>
        <v>#N/A</v>
      </c>
      <c r="D793" s="7" t="e">
        <f>VLOOKUP(A793,'Statement base'!E:AO,10,0)-VLOOKUP(A793,'Statement base'!E:AO,21,0)</f>
        <v>#N/A</v>
      </c>
      <c r="E793" t="s">
        <v>188</v>
      </c>
      <c r="F793" s="6" t="e">
        <f>VLOOKUP(A793,'Statement base'!E:AO,10,0)+VLOOKUP(A793,'Statement base'!E:AO,14,0)</f>
        <v>#N/A</v>
      </c>
      <c r="G793" s="61" t="e">
        <f>VLOOKUP(A793,'Clientes CBOT'!A:E,5,0)</f>
        <v>#N/A</v>
      </c>
      <c r="H793" t="str">
        <f t="shared" si="36"/>
        <v>Hard</v>
      </c>
      <c r="I793" s="6" t="e">
        <f t="shared" si="37"/>
        <v>#N/A</v>
      </c>
      <c r="J793" s="6" t="e">
        <f t="shared" si="38"/>
        <v>#N/A</v>
      </c>
    </row>
    <row r="794" spans="2:10" x14ac:dyDescent="0.3">
      <c r="B794" t="e">
        <f>VLOOKUP(A794,'Clientes CBOT'!A:D,4,0)</f>
        <v>#N/A</v>
      </c>
      <c r="C794" s="7" t="e">
        <f>VLOOKUP(A794,'Statement base'!E:AO,21,0)</f>
        <v>#N/A</v>
      </c>
      <c r="D794" s="7" t="e">
        <f>VLOOKUP(A794,'Statement base'!E:AO,10,0)-VLOOKUP(A794,'Statement base'!E:AO,21,0)</f>
        <v>#N/A</v>
      </c>
      <c r="E794" t="s">
        <v>188</v>
      </c>
      <c r="F794" s="6" t="e">
        <f>VLOOKUP(A794,'Statement base'!E:AO,10,0)+VLOOKUP(A794,'Statement base'!E:AO,14,0)</f>
        <v>#N/A</v>
      </c>
      <c r="G794" s="61" t="e">
        <f>VLOOKUP(A794,'Clientes CBOT'!A:E,5,0)</f>
        <v>#N/A</v>
      </c>
      <c r="H794" t="str">
        <f t="shared" si="36"/>
        <v>Hard</v>
      </c>
      <c r="I794" s="6" t="e">
        <f t="shared" si="37"/>
        <v>#N/A</v>
      </c>
      <c r="J794" s="6" t="e">
        <f t="shared" si="38"/>
        <v>#N/A</v>
      </c>
    </row>
    <row r="795" spans="2:10" x14ac:dyDescent="0.3">
      <c r="B795" t="e">
        <f>VLOOKUP(A795,'Clientes CBOT'!A:D,4,0)</f>
        <v>#N/A</v>
      </c>
      <c r="C795" s="7" t="e">
        <f>VLOOKUP(A795,'Statement base'!E:AO,21,0)</f>
        <v>#N/A</v>
      </c>
      <c r="D795" s="7" t="e">
        <f>VLOOKUP(A795,'Statement base'!E:AO,10,0)-VLOOKUP(A795,'Statement base'!E:AO,21,0)</f>
        <v>#N/A</v>
      </c>
      <c r="E795" t="s">
        <v>188</v>
      </c>
      <c r="F795" s="6" t="e">
        <f>VLOOKUP(A795,'Statement base'!E:AO,10,0)+VLOOKUP(A795,'Statement base'!E:AO,14,0)</f>
        <v>#N/A</v>
      </c>
      <c r="G795" s="61" t="e">
        <f>VLOOKUP(A795,'Clientes CBOT'!A:E,5,0)</f>
        <v>#N/A</v>
      </c>
      <c r="H795" t="str">
        <f t="shared" si="36"/>
        <v>Hard</v>
      </c>
      <c r="I795" s="6" t="e">
        <f t="shared" si="37"/>
        <v>#N/A</v>
      </c>
      <c r="J795" s="6" t="e">
        <f t="shared" si="38"/>
        <v>#N/A</v>
      </c>
    </row>
    <row r="796" spans="2:10" x14ac:dyDescent="0.3">
      <c r="B796" t="e">
        <f>VLOOKUP(A796,'Clientes CBOT'!A:D,4,0)</f>
        <v>#N/A</v>
      </c>
      <c r="C796" s="7" t="e">
        <f>VLOOKUP(A796,'Statement base'!E:AO,21,0)</f>
        <v>#N/A</v>
      </c>
      <c r="D796" s="7" t="e">
        <f>VLOOKUP(A796,'Statement base'!E:AO,10,0)-VLOOKUP(A796,'Statement base'!E:AO,21,0)</f>
        <v>#N/A</v>
      </c>
      <c r="E796" t="s">
        <v>188</v>
      </c>
      <c r="F796" s="6" t="e">
        <f>VLOOKUP(A796,'Statement base'!E:AO,10,0)+VLOOKUP(A796,'Statement base'!E:AO,14,0)</f>
        <v>#N/A</v>
      </c>
      <c r="G796" s="61" t="e">
        <f>VLOOKUP(A796,'Clientes CBOT'!A:E,5,0)</f>
        <v>#N/A</v>
      </c>
      <c r="H796" t="str">
        <f t="shared" si="36"/>
        <v>Hard</v>
      </c>
      <c r="I796" s="6" t="e">
        <f t="shared" si="37"/>
        <v>#N/A</v>
      </c>
      <c r="J796" s="6" t="e">
        <f t="shared" si="38"/>
        <v>#N/A</v>
      </c>
    </row>
    <row r="797" spans="2:10" x14ac:dyDescent="0.3">
      <c r="B797" t="e">
        <f>VLOOKUP(A797,'Clientes CBOT'!A:D,4,0)</f>
        <v>#N/A</v>
      </c>
      <c r="C797" s="7" t="e">
        <f>VLOOKUP(A797,'Statement base'!E:AO,21,0)</f>
        <v>#N/A</v>
      </c>
      <c r="D797" s="7" t="e">
        <f>VLOOKUP(A797,'Statement base'!E:AO,10,0)-VLOOKUP(A797,'Statement base'!E:AO,21,0)</f>
        <v>#N/A</v>
      </c>
      <c r="E797" t="s">
        <v>188</v>
      </c>
      <c r="F797" s="6" t="e">
        <f>VLOOKUP(A797,'Statement base'!E:AO,10,0)+VLOOKUP(A797,'Statement base'!E:AO,14,0)</f>
        <v>#N/A</v>
      </c>
      <c r="G797" s="61" t="e">
        <f>VLOOKUP(A797,'Clientes CBOT'!A:E,5,0)</f>
        <v>#N/A</v>
      </c>
      <c r="H797" t="str">
        <f t="shared" si="36"/>
        <v>Hard</v>
      </c>
      <c r="I797" s="6" t="e">
        <f t="shared" si="37"/>
        <v>#N/A</v>
      </c>
      <c r="J797" s="6" t="e">
        <f t="shared" si="38"/>
        <v>#N/A</v>
      </c>
    </row>
    <row r="798" spans="2:10" x14ac:dyDescent="0.3">
      <c r="B798" t="e">
        <f>VLOOKUP(A798,'Clientes CBOT'!A:D,4,0)</f>
        <v>#N/A</v>
      </c>
      <c r="C798" s="7" t="e">
        <f>VLOOKUP(A798,'Statement base'!E:AO,21,0)</f>
        <v>#N/A</v>
      </c>
      <c r="D798" s="7" t="e">
        <f>VLOOKUP(A798,'Statement base'!E:AO,10,0)-VLOOKUP(A798,'Statement base'!E:AO,21,0)</f>
        <v>#N/A</v>
      </c>
      <c r="E798" t="s">
        <v>188</v>
      </c>
      <c r="F798" s="6" t="e">
        <f>VLOOKUP(A798,'Statement base'!E:AO,10,0)+VLOOKUP(A798,'Statement base'!E:AO,14,0)</f>
        <v>#N/A</v>
      </c>
      <c r="G798" s="61" t="e">
        <f>VLOOKUP(A798,'Clientes CBOT'!A:E,5,0)</f>
        <v>#N/A</v>
      </c>
      <c r="H798" t="str">
        <f t="shared" si="36"/>
        <v>Hard</v>
      </c>
      <c r="I798" s="6" t="e">
        <f t="shared" si="37"/>
        <v>#N/A</v>
      </c>
      <c r="J798" s="6" t="e">
        <f t="shared" si="38"/>
        <v>#N/A</v>
      </c>
    </row>
    <row r="799" spans="2:10" x14ac:dyDescent="0.3">
      <c r="B799" t="e">
        <f>VLOOKUP(A799,'Clientes CBOT'!A:D,4,0)</f>
        <v>#N/A</v>
      </c>
      <c r="C799" s="7" t="e">
        <f>VLOOKUP(A799,'Statement base'!E:AO,21,0)</f>
        <v>#N/A</v>
      </c>
      <c r="D799" s="7" t="e">
        <f>VLOOKUP(A799,'Statement base'!E:AO,10,0)-VLOOKUP(A799,'Statement base'!E:AO,21,0)</f>
        <v>#N/A</v>
      </c>
      <c r="E799" t="s">
        <v>188</v>
      </c>
      <c r="F799" s="6" t="e">
        <f>VLOOKUP(A799,'Statement base'!E:AO,10,0)+VLOOKUP(A799,'Statement base'!E:AO,14,0)</f>
        <v>#N/A</v>
      </c>
      <c r="G799" s="61" t="e">
        <f>VLOOKUP(A799,'Clientes CBOT'!A:E,5,0)</f>
        <v>#N/A</v>
      </c>
      <c r="H799" t="str">
        <f t="shared" si="36"/>
        <v>Hard</v>
      </c>
      <c r="I799" s="6" t="e">
        <f t="shared" si="37"/>
        <v>#N/A</v>
      </c>
      <c r="J799" s="6" t="e">
        <f t="shared" si="38"/>
        <v>#N/A</v>
      </c>
    </row>
    <row r="800" spans="2:10" x14ac:dyDescent="0.3">
      <c r="B800" t="e">
        <f>VLOOKUP(A800,'Clientes CBOT'!A:D,4,0)</f>
        <v>#N/A</v>
      </c>
      <c r="C800" s="7" t="e">
        <f>VLOOKUP(A800,'Statement base'!E:AO,21,0)</f>
        <v>#N/A</v>
      </c>
      <c r="D800" s="7" t="e">
        <f>VLOOKUP(A800,'Statement base'!E:AO,10,0)-VLOOKUP(A800,'Statement base'!E:AO,21,0)</f>
        <v>#N/A</v>
      </c>
      <c r="E800" t="s">
        <v>188</v>
      </c>
      <c r="F800" s="6" t="e">
        <f>VLOOKUP(A800,'Statement base'!E:AO,10,0)+VLOOKUP(A800,'Statement base'!E:AO,14,0)</f>
        <v>#N/A</v>
      </c>
      <c r="G800" s="61" t="e">
        <f>VLOOKUP(A800,'Clientes CBOT'!A:E,5,0)</f>
        <v>#N/A</v>
      </c>
      <c r="H800" t="str">
        <f t="shared" si="36"/>
        <v>Hard</v>
      </c>
      <c r="I800" s="6" t="e">
        <f t="shared" si="37"/>
        <v>#N/A</v>
      </c>
      <c r="J800" s="6" t="e">
        <f t="shared" si="38"/>
        <v>#N/A</v>
      </c>
    </row>
    <row r="801" spans="2:10" x14ac:dyDescent="0.3">
      <c r="B801" t="e">
        <f>VLOOKUP(A801,'Clientes CBOT'!A:D,4,0)</f>
        <v>#N/A</v>
      </c>
      <c r="C801" s="7" t="e">
        <f>VLOOKUP(A801,'Statement base'!E:AO,21,0)</f>
        <v>#N/A</v>
      </c>
      <c r="D801" s="7" t="e">
        <f>VLOOKUP(A801,'Statement base'!E:AO,10,0)-VLOOKUP(A801,'Statement base'!E:AO,21,0)</f>
        <v>#N/A</v>
      </c>
      <c r="E801" t="s">
        <v>188</v>
      </c>
      <c r="F801" s="6" t="e">
        <f>VLOOKUP(A801,'Statement base'!E:AO,10,0)+VLOOKUP(A801,'Statement base'!E:AO,14,0)</f>
        <v>#N/A</v>
      </c>
      <c r="G801" s="61" t="e">
        <f>VLOOKUP(A801,'Clientes CBOT'!A:E,5,0)</f>
        <v>#N/A</v>
      </c>
      <c r="H801" t="str">
        <f t="shared" si="36"/>
        <v>Hard</v>
      </c>
      <c r="I801" s="6" t="e">
        <f t="shared" si="37"/>
        <v>#N/A</v>
      </c>
      <c r="J801" s="6" t="e">
        <f t="shared" si="38"/>
        <v>#N/A</v>
      </c>
    </row>
    <row r="802" spans="2:10" x14ac:dyDescent="0.3">
      <c r="B802" t="e">
        <f>VLOOKUP(A802,'Clientes CBOT'!A:D,4,0)</f>
        <v>#N/A</v>
      </c>
      <c r="C802" s="7" t="e">
        <f>VLOOKUP(A802,'Statement base'!E:AO,21,0)</f>
        <v>#N/A</v>
      </c>
      <c r="D802" s="7" t="e">
        <f>VLOOKUP(A802,'Statement base'!E:AO,10,0)-VLOOKUP(A802,'Statement base'!E:AO,21,0)</f>
        <v>#N/A</v>
      </c>
      <c r="E802" t="s">
        <v>188</v>
      </c>
      <c r="F802" s="6" t="e">
        <f>VLOOKUP(A802,'Statement base'!E:AO,10,0)+VLOOKUP(A802,'Statement base'!E:AO,14,0)</f>
        <v>#N/A</v>
      </c>
      <c r="G802" s="61" t="e">
        <f>VLOOKUP(A802,'Clientes CBOT'!A:E,5,0)</f>
        <v>#N/A</v>
      </c>
      <c r="H802" t="str">
        <f t="shared" si="36"/>
        <v>Hard</v>
      </c>
      <c r="I802" s="6" t="e">
        <f t="shared" si="37"/>
        <v>#N/A</v>
      </c>
      <c r="J802" s="6" t="e">
        <f t="shared" si="38"/>
        <v>#N/A</v>
      </c>
    </row>
    <row r="803" spans="2:10" x14ac:dyDescent="0.3">
      <c r="B803" t="e">
        <f>VLOOKUP(A803,'Clientes CBOT'!A:D,4,0)</f>
        <v>#N/A</v>
      </c>
      <c r="C803" s="7" t="e">
        <f>VLOOKUP(A803,'Statement base'!E:AO,21,0)</f>
        <v>#N/A</v>
      </c>
      <c r="D803" s="7" t="e">
        <f>VLOOKUP(A803,'Statement base'!E:AO,10,0)-VLOOKUP(A803,'Statement base'!E:AO,21,0)</f>
        <v>#N/A</v>
      </c>
      <c r="E803" t="s">
        <v>188</v>
      </c>
      <c r="F803" s="6" t="e">
        <f>VLOOKUP(A803,'Statement base'!E:AO,10,0)+VLOOKUP(A803,'Statement base'!E:AO,14,0)</f>
        <v>#N/A</v>
      </c>
      <c r="G803" s="61" t="e">
        <f>VLOOKUP(A803,'Clientes CBOT'!A:E,5,0)</f>
        <v>#N/A</v>
      </c>
      <c r="H803" t="str">
        <f t="shared" si="36"/>
        <v>Hard</v>
      </c>
      <c r="I803" s="6" t="e">
        <f t="shared" si="37"/>
        <v>#N/A</v>
      </c>
      <c r="J803" s="6" t="e">
        <f t="shared" si="38"/>
        <v>#N/A</v>
      </c>
    </row>
    <row r="804" spans="2:10" x14ac:dyDescent="0.3">
      <c r="B804" t="e">
        <f>VLOOKUP(A804,'Clientes CBOT'!A:D,4,0)</f>
        <v>#N/A</v>
      </c>
      <c r="C804" s="7" t="e">
        <f>VLOOKUP(A804,'Statement base'!E:AO,21,0)</f>
        <v>#N/A</v>
      </c>
      <c r="D804" s="7" t="e">
        <f>VLOOKUP(A804,'Statement base'!E:AO,10,0)-VLOOKUP(A804,'Statement base'!E:AO,21,0)</f>
        <v>#N/A</v>
      </c>
      <c r="E804" t="s">
        <v>188</v>
      </c>
      <c r="F804" s="6" t="e">
        <f>VLOOKUP(A804,'Statement base'!E:AO,10,0)+VLOOKUP(A804,'Statement base'!E:AO,14,0)</f>
        <v>#N/A</v>
      </c>
      <c r="G804" s="61" t="e">
        <f>VLOOKUP(A804,'Clientes CBOT'!A:E,5,0)</f>
        <v>#N/A</v>
      </c>
      <c r="H804" t="str">
        <f t="shared" si="36"/>
        <v>Hard</v>
      </c>
      <c r="I804" s="6" t="e">
        <f t="shared" si="37"/>
        <v>#N/A</v>
      </c>
      <c r="J804" s="6" t="e">
        <f t="shared" si="38"/>
        <v>#N/A</v>
      </c>
    </row>
    <row r="805" spans="2:10" x14ac:dyDescent="0.3">
      <c r="B805" t="e">
        <f>VLOOKUP(A805,'Clientes CBOT'!A:D,4,0)</f>
        <v>#N/A</v>
      </c>
      <c r="C805" s="7" t="e">
        <f>VLOOKUP(A805,'Statement base'!E:AO,21,0)</f>
        <v>#N/A</v>
      </c>
      <c r="D805" s="7" t="e">
        <f>VLOOKUP(A805,'Statement base'!E:AO,10,0)-VLOOKUP(A805,'Statement base'!E:AO,21,0)</f>
        <v>#N/A</v>
      </c>
      <c r="E805" t="s">
        <v>188</v>
      </c>
      <c r="F805" s="6" t="e">
        <f>VLOOKUP(A805,'Statement base'!E:AO,10,0)+VLOOKUP(A805,'Statement base'!E:AO,14,0)</f>
        <v>#N/A</v>
      </c>
      <c r="G805" s="61" t="e">
        <f>VLOOKUP(A805,'Clientes CBOT'!A:E,5,0)</f>
        <v>#N/A</v>
      </c>
      <c r="H805" t="str">
        <f t="shared" si="36"/>
        <v>Hard</v>
      </c>
      <c r="I805" s="6" t="e">
        <f t="shared" si="37"/>
        <v>#N/A</v>
      </c>
      <c r="J805" s="6" t="e">
        <f t="shared" si="38"/>
        <v>#N/A</v>
      </c>
    </row>
    <row r="806" spans="2:10" x14ac:dyDescent="0.3">
      <c r="B806" t="e">
        <f>VLOOKUP(A806,'Clientes CBOT'!A:D,4,0)</f>
        <v>#N/A</v>
      </c>
      <c r="C806" s="7" t="e">
        <f>VLOOKUP(A806,'Statement base'!E:AO,21,0)</f>
        <v>#N/A</v>
      </c>
      <c r="D806" s="7" t="e">
        <f>VLOOKUP(A806,'Statement base'!E:AO,10,0)-VLOOKUP(A806,'Statement base'!E:AO,21,0)</f>
        <v>#N/A</v>
      </c>
      <c r="E806" t="s">
        <v>188</v>
      </c>
      <c r="F806" s="6" t="e">
        <f>VLOOKUP(A806,'Statement base'!E:AO,10,0)+VLOOKUP(A806,'Statement base'!E:AO,14,0)</f>
        <v>#N/A</v>
      </c>
      <c r="G806" s="61" t="e">
        <f>VLOOKUP(A806,'Clientes CBOT'!A:E,5,0)</f>
        <v>#N/A</v>
      </c>
      <c r="H806" t="str">
        <f t="shared" si="36"/>
        <v>Hard</v>
      </c>
      <c r="I806" s="6" t="e">
        <f t="shared" si="37"/>
        <v>#N/A</v>
      </c>
      <c r="J806" s="6" t="e">
        <f t="shared" si="38"/>
        <v>#N/A</v>
      </c>
    </row>
    <row r="807" spans="2:10" x14ac:dyDescent="0.3">
      <c r="B807" t="e">
        <f>VLOOKUP(A807,'Clientes CBOT'!A:D,4,0)</f>
        <v>#N/A</v>
      </c>
      <c r="C807" s="7" t="e">
        <f>VLOOKUP(A807,'Statement base'!E:AO,21,0)</f>
        <v>#N/A</v>
      </c>
      <c r="D807" s="7" t="e">
        <f>VLOOKUP(A807,'Statement base'!E:AO,10,0)-VLOOKUP(A807,'Statement base'!E:AO,21,0)</f>
        <v>#N/A</v>
      </c>
      <c r="E807" t="s">
        <v>188</v>
      </c>
      <c r="F807" s="6" t="e">
        <f>VLOOKUP(A807,'Statement base'!E:AO,10,0)+VLOOKUP(A807,'Statement base'!E:AO,14,0)</f>
        <v>#N/A</v>
      </c>
      <c r="G807" s="61" t="e">
        <f>VLOOKUP(A807,'Clientes CBOT'!A:E,5,0)</f>
        <v>#N/A</v>
      </c>
      <c r="H807" t="str">
        <f t="shared" si="36"/>
        <v>Hard</v>
      </c>
      <c r="I807" s="6" t="e">
        <f t="shared" si="37"/>
        <v>#N/A</v>
      </c>
      <c r="J807" s="6" t="e">
        <f t="shared" si="38"/>
        <v>#N/A</v>
      </c>
    </row>
    <row r="808" spans="2:10" x14ac:dyDescent="0.3">
      <c r="B808" t="e">
        <f>VLOOKUP(A808,'Clientes CBOT'!A:D,4,0)</f>
        <v>#N/A</v>
      </c>
      <c r="C808" s="7" t="e">
        <f>VLOOKUP(A808,'Statement base'!E:AO,21,0)</f>
        <v>#N/A</v>
      </c>
      <c r="D808" s="7" t="e">
        <f>VLOOKUP(A808,'Statement base'!E:AO,10,0)-VLOOKUP(A808,'Statement base'!E:AO,21,0)</f>
        <v>#N/A</v>
      </c>
      <c r="E808" t="s">
        <v>188</v>
      </c>
      <c r="F808" s="6" t="e">
        <f>VLOOKUP(A808,'Statement base'!E:AO,10,0)+VLOOKUP(A808,'Statement base'!E:AO,14,0)</f>
        <v>#N/A</v>
      </c>
      <c r="G808" s="61" t="e">
        <f>VLOOKUP(A808,'Clientes CBOT'!A:E,5,0)</f>
        <v>#N/A</v>
      </c>
      <c r="H808" t="str">
        <f t="shared" si="36"/>
        <v>Hard</v>
      </c>
      <c r="I808" s="6" t="e">
        <f t="shared" si="37"/>
        <v>#N/A</v>
      </c>
      <c r="J808" s="6" t="e">
        <f t="shared" si="38"/>
        <v>#N/A</v>
      </c>
    </row>
    <row r="809" spans="2:10" x14ac:dyDescent="0.3">
      <c r="B809" t="e">
        <f>VLOOKUP(A809,'Clientes CBOT'!A:D,4,0)</f>
        <v>#N/A</v>
      </c>
      <c r="C809" s="7" t="e">
        <f>VLOOKUP(A809,'Statement base'!E:AO,21,0)</f>
        <v>#N/A</v>
      </c>
      <c r="D809" s="7" t="e">
        <f>VLOOKUP(A809,'Statement base'!E:AO,10,0)-VLOOKUP(A809,'Statement base'!E:AO,21,0)</f>
        <v>#N/A</v>
      </c>
      <c r="E809" t="s">
        <v>188</v>
      </c>
      <c r="F809" s="6" t="e">
        <f>VLOOKUP(A809,'Statement base'!E:AO,10,0)+VLOOKUP(A809,'Statement base'!E:AO,14,0)</f>
        <v>#N/A</v>
      </c>
      <c r="G809" s="61" t="e">
        <f>VLOOKUP(A809,'Clientes CBOT'!A:E,5,0)</f>
        <v>#N/A</v>
      </c>
      <c r="H809" t="str">
        <f t="shared" si="36"/>
        <v>Hard</v>
      </c>
      <c r="I809" s="6" t="e">
        <f t="shared" si="37"/>
        <v>#N/A</v>
      </c>
      <c r="J809" s="6" t="e">
        <f t="shared" si="38"/>
        <v>#N/A</v>
      </c>
    </row>
    <row r="810" spans="2:10" x14ac:dyDescent="0.3">
      <c r="B810" t="e">
        <f>VLOOKUP(A810,'Clientes CBOT'!A:D,4,0)</f>
        <v>#N/A</v>
      </c>
      <c r="C810" s="7" t="e">
        <f>VLOOKUP(A810,'Statement base'!E:AO,21,0)</f>
        <v>#N/A</v>
      </c>
      <c r="D810" s="7" t="e">
        <f>VLOOKUP(A810,'Statement base'!E:AO,10,0)-VLOOKUP(A810,'Statement base'!E:AO,21,0)</f>
        <v>#N/A</v>
      </c>
      <c r="E810" t="s">
        <v>188</v>
      </c>
      <c r="F810" s="6" t="e">
        <f>VLOOKUP(A810,'Statement base'!E:AO,10,0)+VLOOKUP(A810,'Statement base'!E:AO,14,0)</f>
        <v>#N/A</v>
      </c>
      <c r="G810" s="61" t="e">
        <f>VLOOKUP(A810,'Clientes CBOT'!A:E,5,0)</f>
        <v>#N/A</v>
      </c>
      <c r="H810" t="str">
        <f t="shared" si="36"/>
        <v>Hard</v>
      </c>
      <c r="I810" s="6" t="e">
        <f t="shared" si="37"/>
        <v>#N/A</v>
      </c>
      <c r="J810" s="6" t="e">
        <f t="shared" si="38"/>
        <v>#N/A</v>
      </c>
    </row>
    <row r="811" spans="2:10" x14ac:dyDescent="0.3">
      <c r="B811" t="e">
        <f>VLOOKUP(A811,'Clientes CBOT'!A:D,4,0)</f>
        <v>#N/A</v>
      </c>
      <c r="C811" s="7" t="e">
        <f>VLOOKUP(A811,'Statement base'!E:AO,21,0)</f>
        <v>#N/A</v>
      </c>
      <c r="D811" s="7" t="e">
        <f>VLOOKUP(A811,'Statement base'!E:AO,10,0)-VLOOKUP(A811,'Statement base'!E:AO,21,0)</f>
        <v>#N/A</v>
      </c>
      <c r="E811" t="s">
        <v>188</v>
      </c>
      <c r="F811" s="6" t="e">
        <f>VLOOKUP(A811,'Statement base'!E:AO,10,0)+VLOOKUP(A811,'Statement base'!E:AO,14,0)</f>
        <v>#N/A</v>
      </c>
      <c r="G811" s="61" t="e">
        <f>VLOOKUP(A811,'Clientes CBOT'!A:E,5,0)</f>
        <v>#N/A</v>
      </c>
      <c r="H811" t="str">
        <f t="shared" si="36"/>
        <v>Hard</v>
      </c>
      <c r="I811" s="6" t="e">
        <f t="shared" si="37"/>
        <v>#N/A</v>
      </c>
      <c r="J811" s="6" t="e">
        <f t="shared" si="38"/>
        <v>#N/A</v>
      </c>
    </row>
    <row r="812" spans="2:10" x14ac:dyDescent="0.3">
      <c r="B812" t="e">
        <f>VLOOKUP(A812,'Clientes CBOT'!A:D,4,0)</f>
        <v>#N/A</v>
      </c>
      <c r="C812" s="7" t="e">
        <f>VLOOKUP(A812,'Statement base'!E:AO,21,0)</f>
        <v>#N/A</v>
      </c>
      <c r="D812" s="7" t="e">
        <f>VLOOKUP(A812,'Statement base'!E:AO,10,0)-VLOOKUP(A812,'Statement base'!E:AO,21,0)</f>
        <v>#N/A</v>
      </c>
      <c r="E812" t="s">
        <v>188</v>
      </c>
      <c r="F812" s="6" t="e">
        <f>VLOOKUP(A812,'Statement base'!E:AO,10,0)+VLOOKUP(A812,'Statement base'!E:AO,14,0)</f>
        <v>#N/A</v>
      </c>
      <c r="G812" s="61" t="e">
        <f>VLOOKUP(A812,'Clientes CBOT'!A:E,5,0)</f>
        <v>#N/A</v>
      </c>
      <c r="H812" t="str">
        <f t="shared" si="36"/>
        <v>Hard</v>
      </c>
      <c r="I812" s="6" t="e">
        <f t="shared" si="37"/>
        <v>#N/A</v>
      </c>
      <c r="J812" s="6" t="e">
        <f t="shared" si="38"/>
        <v>#N/A</v>
      </c>
    </row>
    <row r="813" spans="2:10" x14ac:dyDescent="0.3">
      <c r="B813" t="e">
        <f>VLOOKUP(A813,'Clientes CBOT'!A:D,4,0)</f>
        <v>#N/A</v>
      </c>
      <c r="C813" s="7" t="e">
        <f>VLOOKUP(A813,'Statement base'!E:AO,21,0)</f>
        <v>#N/A</v>
      </c>
      <c r="D813" s="7" t="e">
        <f>VLOOKUP(A813,'Statement base'!E:AO,10,0)-VLOOKUP(A813,'Statement base'!E:AO,21,0)</f>
        <v>#N/A</v>
      </c>
      <c r="E813" t="s">
        <v>188</v>
      </c>
      <c r="F813" s="6" t="e">
        <f>VLOOKUP(A813,'Statement base'!E:AO,10,0)+VLOOKUP(A813,'Statement base'!E:AO,14,0)</f>
        <v>#N/A</v>
      </c>
      <c r="G813" s="61" t="e">
        <f>VLOOKUP(A813,'Clientes CBOT'!A:E,5,0)</f>
        <v>#N/A</v>
      </c>
      <c r="H813" t="str">
        <f t="shared" si="36"/>
        <v>Hard</v>
      </c>
      <c r="I813" s="6" t="e">
        <f t="shared" si="37"/>
        <v>#N/A</v>
      </c>
      <c r="J813" s="6" t="e">
        <f t="shared" si="38"/>
        <v>#N/A</v>
      </c>
    </row>
    <row r="814" spans="2:10" x14ac:dyDescent="0.3">
      <c r="B814" t="e">
        <f>VLOOKUP(A814,'Clientes CBOT'!A:D,4,0)</f>
        <v>#N/A</v>
      </c>
      <c r="C814" s="7" t="e">
        <f>VLOOKUP(A814,'Statement base'!E:AO,21,0)</f>
        <v>#N/A</v>
      </c>
      <c r="D814" s="7" t="e">
        <f>VLOOKUP(A814,'Statement base'!E:AO,10,0)-VLOOKUP(A814,'Statement base'!E:AO,21,0)</f>
        <v>#N/A</v>
      </c>
      <c r="E814" t="s">
        <v>188</v>
      </c>
      <c r="F814" s="6" t="e">
        <f>VLOOKUP(A814,'Statement base'!E:AO,10,0)+VLOOKUP(A814,'Statement base'!E:AO,14,0)</f>
        <v>#N/A</v>
      </c>
      <c r="G814" s="61" t="e">
        <f>VLOOKUP(A814,'Clientes CBOT'!A:E,5,0)</f>
        <v>#N/A</v>
      </c>
      <c r="H814" t="str">
        <f t="shared" si="36"/>
        <v>Hard</v>
      </c>
      <c r="I814" s="6" t="e">
        <f t="shared" si="37"/>
        <v>#N/A</v>
      </c>
      <c r="J814" s="6" t="e">
        <f t="shared" si="38"/>
        <v>#N/A</v>
      </c>
    </row>
    <row r="815" spans="2:10" x14ac:dyDescent="0.3">
      <c r="B815" t="e">
        <f>VLOOKUP(A815,'Clientes CBOT'!A:D,4,0)</f>
        <v>#N/A</v>
      </c>
      <c r="C815" s="7" t="e">
        <f>VLOOKUP(A815,'Statement base'!E:AO,21,0)</f>
        <v>#N/A</v>
      </c>
      <c r="D815" s="7" t="e">
        <f>VLOOKUP(A815,'Statement base'!E:AO,10,0)-VLOOKUP(A815,'Statement base'!E:AO,21,0)</f>
        <v>#N/A</v>
      </c>
      <c r="E815" t="s">
        <v>188</v>
      </c>
      <c r="F815" s="6" t="e">
        <f>VLOOKUP(A815,'Statement base'!E:AO,10,0)+VLOOKUP(A815,'Statement base'!E:AO,14,0)</f>
        <v>#N/A</v>
      </c>
      <c r="G815" s="61" t="e">
        <f>VLOOKUP(A815,'Clientes CBOT'!A:E,5,0)</f>
        <v>#N/A</v>
      </c>
      <c r="H815" t="str">
        <f t="shared" si="36"/>
        <v>Hard</v>
      </c>
      <c r="I815" s="6" t="e">
        <f t="shared" si="37"/>
        <v>#N/A</v>
      </c>
      <c r="J815" s="6" t="e">
        <f t="shared" si="38"/>
        <v>#N/A</v>
      </c>
    </row>
    <row r="816" spans="2:10" x14ac:dyDescent="0.3">
      <c r="B816" t="e">
        <f>VLOOKUP(A816,'Clientes CBOT'!A:D,4,0)</f>
        <v>#N/A</v>
      </c>
      <c r="C816" s="7" t="e">
        <f>VLOOKUP(A816,'Statement base'!E:AO,21,0)</f>
        <v>#N/A</v>
      </c>
      <c r="D816" s="7" t="e">
        <f>VLOOKUP(A816,'Statement base'!E:AO,10,0)-VLOOKUP(A816,'Statement base'!E:AO,21,0)</f>
        <v>#N/A</v>
      </c>
      <c r="E816" t="s">
        <v>188</v>
      </c>
      <c r="F816" s="6" t="e">
        <f>VLOOKUP(A816,'Statement base'!E:AO,10,0)+VLOOKUP(A816,'Statement base'!E:AO,14,0)</f>
        <v>#N/A</v>
      </c>
      <c r="G816" s="61" t="e">
        <f>VLOOKUP(A816,'Clientes CBOT'!A:E,5,0)</f>
        <v>#N/A</v>
      </c>
      <c r="H816" t="str">
        <f t="shared" si="36"/>
        <v>Hard</v>
      </c>
      <c r="I816" s="6" t="e">
        <f t="shared" si="37"/>
        <v>#N/A</v>
      </c>
      <c r="J816" s="6" t="e">
        <f t="shared" si="38"/>
        <v>#N/A</v>
      </c>
    </row>
    <row r="817" spans="2:10" x14ac:dyDescent="0.3">
      <c r="B817" t="e">
        <f>VLOOKUP(A817,'Clientes CBOT'!A:D,4,0)</f>
        <v>#N/A</v>
      </c>
      <c r="C817" s="7" t="e">
        <f>VLOOKUP(A817,'Statement base'!E:AO,21,0)</f>
        <v>#N/A</v>
      </c>
      <c r="D817" s="7" t="e">
        <f>VLOOKUP(A817,'Statement base'!E:AO,10,0)-VLOOKUP(A817,'Statement base'!E:AO,21,0)</f>
        <v>#N/A</v>
      </c>
      <c r="E817" t="s">
        <v>188</v>
      </c>
      <c r="F817" s="6" t="e">
        <f>VLOOKUP(A817,'Statement base'!E:AO,10,0)+VLOOKUP(A817,'Statement base'!E:AO,14,0)</f>
        <v>#N/A</v>
      </c>
      <c r="G817" s="61" t="e">
        <f>VLOOKUP(A817,'Clientes CBOT'!A:E,5,0)</f>
        <v>#N/A</v>
      </c>
      <c r="H817" t="str">
        <f t="shared" si="36"/>
        <v>Hard</v>
      </c>
      <c r="I817" s="6" t="e">
        <f t="shared" si="37"/>
        <v>#N/A</v>
      </c>
      <c r="J817" s="6" t="e">
        <f t="shared" si="38"/>
        <v>#N/A</v>
      </c>
    </row>
    <row r="818" spans="2:10" x14ac:dyDescent="0.3">
      <c r="B818" t="e">
        <f>VLOOKUP(A818,'Clientes CBOT'!A:D,4,0)</f>
        <v>#N/A</v>
      </c>
      <c r="C818" s="7" t="e">
        <f>VLOOKUP(A818,'Statement base'!E:AO,21,0)</f>
        <v>#N/A</v>
      </c>
      <c r="D818" s="7" t="e">
        <f>VLOOKUP(A818,'Statement base'!E:AO,10,0)-VLOOKUP(A818,'Statement base'!E:AO,21,0)</f>
        <v>#N/A</v>
      </c>
      <c r="E818" t="s">
        <v>188</v>
      </c>
      <c r="F818" s="6" t="e">
        <f>VLOOKUP(A818,'Statement base'!E:AO,10,0)+VLOOKUP(A818,'Statement base'!E:AO,14,0)</f>
        <v>#N/A</v>
      </c>
      <c r="G818" s="61" t="e">
        <f>VLOOKUP(A818,'Clientes CBOT'!A:E,5,0)</f>
        <v>#N/A</v>
      </c>
      <c r="H818" t="str">
        <f t="shared" si="36"/>
        <v>Hard</v>
      </c>
      <c r="I818" s="6" t="e">
        <f t="shared" si="37"/>
        <v>#N/A</v>
      </c>
      <c r="J818" s="6" t="e">
        <f t="shared" si="38"/>
        <v>#N/A</v>
      </c>
    </row>
    <row r="819" spans="2:10" x14ac:dyDescent="0.3">
      <c r="B819" t="e">
        <f>VLOOKUP(A819,'Clientes CBOT'!A:D,4,0)</f>
        <v>#N/A</v>
      </c>
      <c r="C819" s="7" t="e">
        <f>VLOOKUP(A819,'Statement base'!E:AO,21,0)</f>
        <v>#N/A</v>
      </c>
      <c r="D819" s="7" t="e">
        <f>VLOOKUP(A819,'Statement base'!E:AO,10,0)-VLOOKUP(A819,'Statement base'!E:AO,21,0)</f>
        <v>#N/A</v>
      </c>
      <c r="E819" t="s">
        <v>188</v>
      </c>
      <c r="F819" s="6" t="e">
        <f>VLOOKUP(A819,'Statement base'!E:AO,10,0)+VLOOKUP(A819,'Statement base'!E:AO,14,0)</f>
        <v>#N/A</v>
      </c>
      <c r="G819" s="61" t="e">
        <f>VLOOKUP(A819,'Clientes CBOT'!A:E,5,0)</f>
        <v>#N/A</v>
      </c>
      <c r="H819" t="str">
        <f t="shared" si="36"/>
        <v>Hard</v>
      </c>
      <c r="I819" s="6" t="e">
        <f t="shared" si="37"/>
        <v>#N/A</v>
      </c>
      <c r="J819" s="6" t="e">
        <f t="shared" si="38"/>
        <v>#N/A</v>
      </c>
    </row>
    <row r="820" spans="2:10" x14ac:dyDescent="0.3">
      <c r="B820" t="e">
        <f>VLOOKUP(A820,'Clientes CBOT'!A:D,4,0)</f>
        <v>#N/A</v>
      </c>
      <c r="C820" s="7" t="e">
        <f>VLOOKUP(A820,'Statement base'!E:AO,21,0)</f>
        <v>#N/A</v>
      </c>
      <c r="D820" s="7" t="e">
        <f>VLOOKUP(A820,'Statement base'!E:AO,10,0)-VLOOKUP(A820,'Statement base'!E:AO,21,0)</f>
        <v>#N/A</v>
      </c>
      <c r="E820" t="s">
        <v>188</v>
      </c>
      <c r="F820" s="6" t="e">
        <f>VLOOKUP(A820,'Statement base'!E:AO,10,0)+VLOOKUP(A820,'Statement base'!E:AO,14,0)</f>
        <v>#N/A</v>
      </c>
      <c r="G820" s="61" t="e">
        <f>VLOOKUP(A820,'Clientes CBOT'!A:E,5,0)</f>
        <v>#N/A</v>
      </c>
      <c r="H820" t="str">
        <f t="shared" si="36"/>
        <v>Hard</v>
      </c>
      <c r="I820" s="6" t="e">
        <f t="shared" si="37"/>
        <v>#N/A</v>
      </c>
      <c r="J820" s="6" t="e">
        <f t="shared" si="38"/>
        <v>#N/A</v>
      </c>
    </row>
    <row r="821" spans="2:10" x14ac:dyDescent="0.3">
      <c r="B821" t="e">
        <f>VLOOKUP(A821,'Clientes CBOT'!A:D,4,0)</f>
        <v>#N/A</v>
      </c>
      <c r="C821" s="7" t="e">
        <f>VLOOKUP(A821,'Statement base'!E:AO,21,0)</f>
        <v>#N/A</v>
      </c>
      <c r="D821" s="7" t="e">
        <f>VLOOKUP(A821,'Statement base'!E:AO,10,0)-VLOOKUP(A821,'Statement base'!E:AO,21,0)</f>
        <v>#N/A</v>
      </c>
      <c r="E821" t="s">
        <v>188</v>
      </c>
      <c r="F821" s="6" t="e">
        <f>VLOOKUP(A821,'Statement base'!E:AO,10,0)+VLOOKUP(A821,'Statement base'!E:AO,14,0)</f>
        <v>#N/A</v>
      </c>
      <c r="G821" s="61" t="e">
        <f>VLOOKUP(A821,'Clientes CBOT'!A:E,5,0)</f>
        <v>#N/A</v>
      </c>
      <c r="H821" t="str">
        <f t="shared" si="36"/>
        <v>Hard</v>
      </c>
      <c r="I821" s="6" t="e">
        <f t="shared" si="37"/>
        <v>#N/A</v>
      </c>
      <c r="J821" s="6" t="e">
        <f t="shared" si="38"/>
        <v>#N/A</v>
      </c>
    </row>
    <row r="822" spans="2:10" x14ac:dyDescent="0.3">
      <c r="B822" t="e">
        <f>VLOOKUP(A822,'Clientes CBOT'!A:D,4,0)</f>
        <v>#N/A</v>
      </c>
      <c r="C822" s="7" t="e">
        <f>VLOOKUP(A822,'Statement base'!E:AO,21,0)</f>
        <v>#N/A</v>
      </c>
      <c r="D822" s="7" t="e">
        <f>VLOOKUP(A822,'Statement base'!E:AO,10,0)-VLOOKUP(A822,'Statement base'!E:AO,21,0)</f>
        <v>#N/A</v>
      </c>
      <c r="E822" t="s">
        <v>188</v>
      </c>
      <c r="F822" s="6" t="e">
        <f>VLOOKUP(A822,'Statement base'!E:AO,10,0)+VLOOKUP(A822,'Statement base'!E:AO,14,0)</f>
        <v>#N/A</v>
      </c>
      <c r="G822" s="61" t="e">
        <f>VLOOKUP(A822,'Clientes CBOT'!A:E,5,0)</f>
        <v>#N/A</v>
      </c>
      <c r="H822" t="str">
        <f t="shared" si="36"/>
        <v>Hard</v>
      </c>
      <c r="I822" s="6" t="e">
        <f t="shared" si="37"/>
        <v>#N/A</v>
      </c>
      <c r="J822" s="6" t="e">
        <f t="shared" si="38"/>
        <v>#N/A</v>
      </c>
    </row>
    <row r="823" spans="2:10" x14ac:dyDescent="0.3">
      <c r="B823" t="e">
        <f>VLOOKUP(A823,'Clientes CBOT'!A:D,4,0)</f>
        <v>#N/A</v>
      </c>
      <c r="C823" s="7" t="e">
        <f>VLOOKUP(A823,'Statement base'!E:AO,21,0)</f>
        <v>#N/A</v>
      </c>
      <c r="D823" s="7" t="e">
        <f>VLOOKUP(A823,'Statement base'!E:AO,10,0)-VLOOKUP(A823,'Statement base'!E:AO,21,0)</f>
        <v>#N/A</v>
      </c>
      <c r="E823" t="s">
        <v>188</v>
      </c>
      <c r="F823" s="6" t="e">
        <f>VLOOKUP(A823,'Statement base'!E:AO,10,0)+VLOOKUP(A823,'Statement base'!E:AO,14,0)</f>
        <v>#N/A</v>
      </c>
      <c r="G823" s="61" t="e">
        <f>VLOOKUP(A823,'Clientes CBOT'!A:E,5,0)</f>
        <v>#N/A</v>
      </c>
      <c r="H823" t="str">
        <f t="shared" si="36"/>
        <v>Hard</v>
      </c>
      <c r="I823" s="6" t="e">
        <f t="shared" si="37"/>
        <v>#N/A</v>
      </c>
      <c r="J823" s="6" t="e">
        <f t="shared" si="38"/>
        <v>#N/A</v>
      </c>
    </row>
    <row r="824" spans="2:10" x14ac:dyDescent="0.3">
      <c r="B824" t="e">
        <f>VLOOKUP(A824,'Clientes CBOT'!A:D,4,0)</f>
        <v>#N/A</v>
      </c>
      <c r="C824" s="7" t="e">
        <f>VLOOKUP(A824,'Statement base'!E:AO,21,0)</f>
        <v>#N/A</v>
      </c>
      <c r="D824" s="7" t="e">
        <f>VLOOKUP(A824,'Statement base'!E:AO,10,0)-VLOOKUP(A824,'Statement base'!E:AO,21,0)</f>
        <v>#N/A</v>
      </c>
      <c r="E824" t="s">
        <v>188</v>
      </c>
      <c r="F824" s="6" t="e">
        <f>VLOOKUP(A824,'Statement base'!E:AO,10,0)+VLOOKUP(A824,'Statement base'!E:AO,14,0)</f>
        <v>#N/A</v>
      </c>
      <c r="G824" s="61" t="e">
        <f>VLOOKUP(A824,'Clientes CBOT'!A:E,5,0)</f>
        <v>#N/A</v>
      </c>
      <c r="H824" t="str">
        <f t="shared" si="36"/>
        <v>Hard</v>
      </c>
      <c r="I824" s="6" t="e">
        <f t="shared" si="37"/>
        <v>#N/A</v>
      </c>
      <c r="J824" s="6" t="e">
        <f t="shared" si="38"/>
        <v>#N/A</v>
      </c>
    </row>
    <row r="825" spans="2:10" x14ac:dyDescent="0.3">
      <c r="B825" t="e">
        <f>VLOOKUP(A825,'Clientes CBOT'!A:D,4,0)</f>
        <v>#N/A</v>
      </c>
      <c r="C825" s="7" t="e">
        <f>VLOOKUP(A825,'Statement base'!E:AO,21,0)</f>
        <v>#N/A</v>
      </c>
      <c r="D825" s="7" t="e">
        <f>VLOOKUP(A825,'Statement base'!E:AO,10,0)-VLOOKUP(A825,'Statement base'!E:AO,21,0)</f>
        <v>#N/A</v>
      </c>
      <c r="E825" t="s">
        <v>188</v>
      </c>
      <c r="F825" s="6" t="e">
        <f>VLOOKUP(A825,'Statement base'!E:AO,10,0)+VLOOKUP(A825,'Statement base'!E:AO,14,0)</f>
        <v>#N/A</v>
      </c>
      <c r="G825" s="61" t="e">
        <f>VLOOKUP(A825,'Clientes CBOT'!A:E,5,0)</f>
        <v>#N/A</v>
      </c>
      <c r="H825" t="str">
        <f t="shared" si="36"/>
        <v>Hard</v>
      </c>
      <c r="I825" s="6" t="e">
        <f t="shared" si="37"/>
        <v>#N/A</v>
      </c>
      <c r="J825" s="6" t="e">
        <f t="shared" si="38"/>
        <v>#N/A</v>
      </c>
    </row>
    <row r="826" spans="2:10" x14ac:dyDescent="0.3">
      <c r="B826" t="e">
        <f>VLOOKUP(A826,'Clientes CBOT'!A:D,4,0)</f>
        <v>#N/A</v>
      </c>
      <c r="C826" s="7" t="e">
        <f>VLOOKUP(A826,'Statement base'!E:AO,21,0)</f>
        <v>#N/A</v>
      </c>
      <c r="D826" s="7" t="e">
        <f>VLOOKUP(A826,'Statement base'!E:AO,10,0)-VLOOKUP(A826,'Statement base'!E:AO,21,0)</f>
        <v>#N/A</v>
      </c>
      <c r="E826" t="s">
        <v>188</v>
      </c>
      <c r="F826" s="6" t="e">
        <f>VLOOKUP(A826,'Statement base'!E:AO,10,0)+VLOOKUP(A826,'Statement base'!E:AO,14,0)</f>
        <v>#N/A</v>
      </c>
      <c r="G826" s="61" t="e">
        <f>VLOOKUP(A826,'Clientes CBOT'!A:E,5,0)</f>
        <v>#N/A</v>
      </c>
      <c r="H826" t="str">
        <f t="shared" si="36"/>
        <v>Hard</v>
      </c>
      <c r="I826" s="6" t="e">
        <f t="shared" si="37"/>
        <v>#N/A</v>
      </c>
      <c r="J826" s="6" t="e">
        <f t="shared" si="38"/>
        <v>#N/A</v>
      </c>
    </row>
    <row r="827" spans="2:10" x14ac:dyDescent="0.3">
      <c r="B827" t="e">
        <f>VLOOKUP(A827,'Clientes CBOT'!A:D,4,0)</f>
        <v>#N/A</v>
      </c>
      <c r="C827" s="7" t="e">
        <f>VLOOKUP(A827,'Statement base'!E:AO,21,0)</f>
        <v>#N/A</v>
      </c>
      <c r="D827" s="7" t="e">
        <f>VLOOKUP(A827,'Statement base'!E:AO,10,0)-VLOOKUP(A827,'Statement base'!E:AO,21,0)</f>
        <v>#N/A</v>
      </c>
      <c r="E827" t="s">
        <v>188</v>
      </c>
      <c r="F827" s="6" t="e">
        <f>VLOOKUP(A827,'Statement base'!E:AO,10,0)+VLOOKUP(A827,'Statement base'!E:AO,14,0)</f>
        <v>#N/A</v>
      </c>
      <c r="G827" s="61" t="e">
        <f>VLOOKUP(A827,'Clientes CBOT'!A:E,5,0)</f>
        <v>#N/A</v>
      </c>
      <c r="H827" t="str">
        <f t="shared" si="36"/>
        <v>Hard</v>
      </c>
      <c r="I827" s="6" t="e">
        <f t="shared" si="37"/>
        <v>#N/A</v>
      </c>
      <c r="J827" s="6" t="e">
        <f t="shared" si="38"/>
        <v>#N/A</v>
      </c>
    </row>
    <row r="828" spans="2:10" x14ac:dyDescent="0.3">
      <c r="B828" t="e">
        <f>VLOOKUP(A828,'Clientes CBOT'!A:D,4,0)</f>
        <v>#N/A</v>
      </c>
      <c r="C828" s="7" t="e">
        <f>VLOOKUP(A828,'Statement base'!E:AO,21,0)</f>
        <v>#N/A</v>
      </c>
      <c r="D828" s="7" t="e">
        <f>VLOOKUP(A828,'Statement base'!E:AO,10,0)-VLOOKUP(A828,'Statement base'!E:AO,21,0)</f>
        <v>#N/A</v>
      </c>
      <c r="E828" t="s">
        <v>188</v>
      </c>
      <c r="F828" s="6" t="e">
        <f>VLOOKUP(A828,'Statement base'!E:AO,10,0)+VLOOKUP(A828,'Statement base'!E:AO,14,0)</f>
        <v>#N/A</v>
      </c>
      <c r="G828" s="61" t="e">
        <f>VLOOKUP(A828,'Clientes CBOT'!A:E,5,0)</f>
        <v>#N/A</v>
      </c>
      <c r="H828" t="str">
        <f t="shared" si="36"/>
        <v>Hard</v>
      </c>
      <c r="I828" s="6" t="e">
        <f t="shared" si="37"/>
        <v>#N/A</v>
      </c>
      <c r="J828" s="6" t="e">
        <f t="shared" si="38"/>
        <v>#N/A</v>
      </c>
    </row>
    <row r="829" spans="2:10" x14ac:dyDescent="0.3">
      <c r="B829" t="e">
        <f>VLOOKUP(A829,'Clientes CBOT'!A:D,4,0)</f>
        <v>#N/A</v>
      </c>
      <c r="C829" s="7" t="e">
        <f>VLOOKUP(A829,'Statement base'!E:AO,21,0)</f>
        <v>#N/A</v>
      </c>
      <c r="D829" s="7" t="e">
        <f>VLOOKUP(A829,'Statement base'!E:AO,10,0)-VLOOKUP(A829,'Statement base'!E:AO,21,0)</f>
        <v>#N/A</v>
      </c>
      <c r="E829" t="s">
        <v>188</v>
      </c>
      <c r="F829" s="6" t="e">
        <f>VLOOKUP(A829,'Statement base'!E:AO,10,0)+VLOOKUP(A829,'Statement base'!E:AO,14,0)</f>
        <v>#N/A</v>
      </c>
      <c r="G829" s="61" t="e">
        <f>VLOOKUP(A829,'Clientes CBOT'!A:E,5,0)</f>
        <v>#N/A</v>
      </c>
      <c r="H829" t="str">
        <f t="shared" si="36"/>
        <v>Hard</v>
      </c>
      <c r="I829" s="6" t="e">
        <f t="shared" si="37"/>
        <v>#N/A</v>
      </c>
      <c r="J829" s="6" t="e">
        <f t="shared" si="38"/>
        <v>#N/A</v>
      </c>
    </row>
    <row r="830" spans="2:10" x14ac:dyDescent="0.3">
      <c r="B830" t="e">
        <f>VLOOKUP(A830,'Clientes CBOT'!A:D,4,0)</f>
        <v>#N/A</v>
      </c>
      <c r="C830" s="7" t="e">
        <f>VLOOKUP(A830,'Statement base'!E:AO,21,0)</f>
        <v>#N/A</v>
      </c>
      <c r="D830" s="7" t="e">
        <f>VLOOKUP(A830,'Statement base'!E:AO,10,0)-VLOOKUP(A830,'Statement base'!E:AO,21,0)</f>
        <v>#N/A</v>
      </c>
      <c r="E830" t="s">
        <v>188</v>
      </c>
      <c r="F830" s="6" t="e">
        <f>VLOOKUP(A830,'Statement base'!E:AO,10,0)+VLOOKUP(A830,'Statement base'!E:AO,14,0)</f>
        <v>#N/A</v>
      </c>
      <c r="G830" s="61" t="e">
        <f>VLOOKUP(A830,'Clientes CBOT'!A:E,5,0)</f>
        <v>#N/A</v>
      </c>
      <c r="H830" t="str">
        <f t="shared" si="36"/>
        <v>Hard</v>
      </c>
      <c r="I830" s="6" t="e">
        <f t="shared" si="37"/>
        <v>#N/A</v>
      </c>
      <c r="J830" s="6" t="e">
        <f t="shared" si="38"/>
        <v>#N/A</v>
      </c>
    </row>
    <row r="831" spans="2:10" x14ac:dyDescent="0.3">
      <c r="B831" t="e">
        <f>VLOOKUP(A831,'Clientes CBOT'!A:D,4,0)</f>
        <v>#N/A</v>
      </c>
      <c r="C831" s="7" t="e">
        <f>VLOOKUP(A831,'Statement base'!E:AO,21,0)</f>
        <v>#N/A</v>
      </c>
      <c r="D831" s="7" t="e">
        <f>VLOOKUP(A831,'Statement base'!E:AO,10,0)-VLOOKUP(A831,'Statement base'!E:AO,21,0)</f>
        <v>#N/A</v>
      </c>
      <c r="E831" t="s">
        <v>188</v>
      </c>
      <c r="F831" s="6" t="e">
        <f>VLOOKUP(A831,'Statement base'!E:AO,10,0)+VLOOKUP(A831,'Statement base'!E:AO,14,0)</f>
        <v>#N/A</v>
      </c>
      <c r="G831" s="61" t="e">
        <f>VLOOKUP(A831,'Clientes CBOT'!A:E,5,0)</f>
        <v>#N/A</v>
      </c>
      <c r="H831" t="str">
        <f t="shared" si="36"/>
        <v>Hard</v>
      </c>
      <c r="I831" s="6" t="e">
        <f t="shared" si="37"/>
        <v>#N/A</v>
      </c>
      <c r="J831" s="6" t="e">
        <f t="shared" si="38"/>
        <v>#N/A</v>
      </c>
    </row>
    <row r="832" spans="2:10" x14ac:dyDescent="0.3">
      <c r="B832" t="e">
        <f>VLOOKUP(A832,'Clientes CBOT'!A:D,4,0)</f>
        <v>#N/A</v>
      </c>
      <c r="C832" s="7" t="e">
        <f>VLOOKUP(A832,'Statement base'!E:AO,21,0)</f>
        <v>#N/A</v>
      </c>
      <c r="D832" s="7" t="e">
        <f>VLOOKUP(A832,'Statement base'!E:AO,10,0)-VLOOKUP(A832,'Statement base'!E:AO,21,0)</f>
        <v>#N/A</v>
      </c>
      <c r="E832" t="s">
        <v>188</v>
      </c>
      <c r="F832" s="6" t="e">
        <f>VLOOKUP(A832,'Statement base'!E:AO,10,0)+VLOOKUP(A832,'Statement base'!E:AO,14,0)</f>
        <v>#N/A</v>
      </c>
      <c r="G832" s="61" t="e">
        <f>VLOOKUP(A832,'Clientes CBOT'!A:E,5,0)</f>
        <v>#N/A</v>
      </c>
      <c r="H832" t="str">
        <f t="shared" si="36"/>
        <v>Hard</v>
      </c>
      <c r="I832" s="6" t="e">
        <f t="shared" si="37"/>
        <v>#N/A</v>
      </c>
      <c r="J832" s="6" t="e">
        <f t="shared" si="38"/>
        <v>#N/A</v>
      </c>
    </row>
    <row r="833" spans="2:10" x14ac:dyDescent="0.3">
      <c r="B833" t="e">
        <f>VLOOKUP(A833,'Clientes CBOT'!A:D,4,0)</f>
        <v>#N/A</v>
      </c>
      <c r="C833" s="7" t="e">
        <f>VLOOKUP(A833,'Statement base'!E:AO,21,0)</f>
        <v>#N/A</v>
      </c>
      <c r="D833" s="7" t="e">
        <f>VLOOKUP(A833,'Statement base'!E:AO,10,0)-VLOOKUP(A833,'Statement base'!E:AO,21,0)</f>
        <v>#N/A</v>
      </c>
      <c r="E833" t="s">
        <v>188</v>
      </c>
      <c r="F833" s="6" t="e">
        <f>VLOOKUP(A833,'Statement base'!E:AO,10,0)+VLOOKUP(A833,'Statement base'!E:AO,14,0)</f>
        <v>#N/A</v>
      </c>
      <c r="G833" s="61" t="e">
        <f>VLOOKUP(A833,'Clientes CBOT'!A:E,5,0)</f>
        <v>#N/A</v>
      </c>
      <c r="H833" t="str">
        <f t="shared" si="36"/>
        <v>Hard</v>
      </c>
      <c r="I833" s="6" t="e">
        <f t="shared" si="37"/>
        <v>#N/A</v>
      </c>
      <c r="J833" s="6" t="e">
        <f t="shared" si="38"/>
        <v>#N/A</v>
      </c>
    </row>
    <row r="834" spans="2:10" x14ac:dyDescent="0.3">
      <c r="B834" t="e">
        <f>VLOOKUP(A834,'Clientes CBOT'!A:D,4,0)</f>
        <v>#N/A</v>
      </c>
      <c r="C834" s="7" t="e">
        <f>VLOOKUP(A834,'Statement base'!E:AO,21,0)</f>
        <v>#N/A</v>
      </c>
      <c r="D834" s="7" t="e">
        <f>VLOOKUP(A834,'Statement base'!E:AO,10,0)-VLOOKUP(A834,'Statement base'!E:AO,21,0)</f>
        <v>#N/A</v>
      </c>
      <c r="E834" t="s">
        <v>188</v>
      </c>
      <c r="F834" s="6" t="e">
        <f>VLOOKUP(A834,'Statement base'!E:AO,10,0)+VLOOKUP(A834,'Statement base'!E:AO,14,0)</f>
        <v>#N/A</v>
      </c>
      <c r="G834" s="61" t="e">
        <f>VLOOKUP(A834,'Clientes CBOT'!A:E,5,0)</f>
        <v>#N/A</v>
      </c>
      <c r="H834" t="str">
        <f t="shared" si="36"/>
        <v>Hard</v>
      </c>
      <c r="I834" s="6" t="e">
        <f t="shared" si="37"/>
        <v>#N/A</v>
      </c>
      <c r="J834" s="6" t="e">
        <f t="shared" si="38"/>
        <v>#N/A</v>
      </c>
    </row>
    <row r="835" spans="2:10" x14ac:dyDescent="0.3">
      <c r="B835" t="e">
        <f>VLOOKUP(A835,'Clientes CBOT'!A:D,4,0)</f>
        <v>#N/A</v>
      </c>
      <c r="C835" s="7" t="e">
        <f>VLOOKUP(A835,'Statement base'!E:AO,21,0)</f>
        <v>#N/A</v>
      </c>
      <c r="D835" s="7" t="e">
        <f>VLOOKUP(A835,'Statement base'!E:AO,10,0)-VLOOKUP(A835,'Statement base'!E:AO,21,0)</f>
        <v>#N/A</v>
      </c>
      <c r="E835" t="s">
        <v>188</v>
      </c>
      <c r="F835" s="6" t="e">
        <f>VLOOKUP(A835,'Statement base'!E:AO,10,0)+VLOOKUP(A835,'Statement base'!E:AO,14,0)</f>
        <v>#N/A</v>
      </c>
      <c r="G835" s="61" t="e">
        <f>VLOOKUP(A835,'Clientes CBOT'!A:E,5,0)</f>
        <v>#N/A</v>
      </c>
      <c r="H835" t="str">
        <f t="shared" si="36"/>
        <v>Hard</v>
      </c>
      <c r="I835" s="6" t="e">
        <f t="shared" si="37"/>
        <v>#N/A</v>
      </c>
      <c r="J835" s="6" t="e">
        <f t="shared" si="38"/>
        <v>#N/A</v>
      </c>
    </row>
    <row r="836" spans="2:10" x14ac:dyDescent="0.3">
      <c r="B836" t="e">
        <f>VLOOKUP(A836,'Clientes CBOT'!A:D,4,0)</f>
        <v>#N/A</v>
      </c>
      <c r="C836" s="7" t="e">
        <f>VLOOKUP(A836,'Statement base'!E:AO,21,0)</f>
        <v>#N/A</v>
      </c>
      <c r="D836" s="7" t="e">
        <f>VLOOKUP(A836,'Statement base'!E:AO,10,0)-VLOOKUP(A836,'Statement base'!E:AO,21,0)</f>
        <v>#N/A</v>
      </c>
      <c r="E836" t="s">
        <v>188</v>
      </c>
      <c r="F836" s="6" t="e">
        <f>VLOOKUP(A836,'Statement base'!E:AO,10,0)+VLOOKUP(A836,'Statement base'!E:AO,14,0)</f>
        <v>#N/A</v>
      </c>
      <c r="G836" s="61" t="e">
        <f>VLOOKUP(A836,'Clientes CBOT'!A:E,5,0)</f>
        <v>#N/A</v>
      </c>
      <c r="H836" t="str">
        <f t="shared" si="36"/>
        <v>Hard</v>
      </c>
      <c r="I836" s="6" t="e">
        <f t="shared" si="37"/>
        <v>#N/A</v>
      </c>
      <c r="J836" s="6" t="e">
        <f t="shared" si="38"/>
        <v>#N/A</v>
      </c>
    </row>
    <row r="837" spans="2:10" x14ac:dyDescent="0.3">
      <c r="B837" t="e">
        <f>VLOOKUP(A837,'Clientes CBOT'!A:D,4,0)</f>
        <v>#N/A</v>
      </c>
      <c r="C837" s="7" t="e">
        <f>VLOOKUP(A837,'Statement base'!E:AO,21,0)</f>
        <v>#N/A</v>
      </c>
      <c r="D837" s="7" t="e">
        <f>VLOOKUP(A837,'Statement base'!E:AO,10,0)-VLOOKUP(A837,'Statement base'!E:AO,21,0)</f>
        <v>#N/A</v>
      </c>
      <c r="E837" t="s">
        <v>188</v>
      </c>
      <c r="F837" s="6" t="e">
        <f>VLOOKUP(A837,'Statement base'!E:AO,10,0)+VLOOKUP(A837,'Statement base'!E:AO,14,0)</f>
        <v>#N/A</v>
      </c>
      <c r="G837" s="61" t="e">
        <f>VLOOKUP(A837,'Clientes CBOT'!A:E,5,0)</f>
        <v>#N/A</v>
      </c>
      <c r="H837" t="str">
        <f t="shared" ref="H837:H900" si="39">IF(E837="pesos","Ars",IF(E837="Dólar Matba Rofex","usd linked","Hard"))</f>
        <v>Hard</v>
      </c>
      <c r="I837" s="6" t="e">
        <f t="shared" ref="I837:I900" si="40">IF(H837="ars",C837/$J$1,IF(H837="hard",C837*$J$2/$J$1,C837))</f>
        <v>#N/A</v>
      </c>
      <c r="J837" s="6" t="e">
        <f t="shared" ref="J837:J900" si="41">IF(H837="ars",D837/$J$1,IF(H837="hard",D837*$J$2/$J$1,D837))</f>
        <v>#N/A</v>
      </c>
    </row>
    <row r="838" spans="2:10" x14ac:dyDescent="0.3">
      <c r="B838" t="e">
        <f>VLOOKUP(A838,'Clientes CBOT'!A:D,4,0)</f>
        <v>#N/A</v>
      </c>
      <c r="C838" s="7" t="e">
        <f>VLOOKUP(A838,'Statement base'!E:AO,21,0)</f>
        <v>#N/A</v>
      </c>
      <c r="D838" s="7" t="e">
        <f>VLOOKUP(A838,'Statement base'!E:AO,10,0)-VLOOKUP(A838,'Statement base'!E:AO,21,0)</f>
        <v>#N/A</v>
      </c>
      <c r="E838" t="s">
        <v>188</v>
      </c>
      <c r="F838" s="6" t="e">
        <f>VLOOKUP(A838,'Statement base'!E:AO,10,0)+VLOOKUP(A838,'Statement base'!E:AO,14,0)</f>
        <v>#N/A</v>
      </c>
      <c r="G838" s="61" t="e">
        <f>VLOOKUP(A838,'Clientes CBOT'!A:E,5,0)</f>
        <v>#N/A</v>
      </c>
      <c r="H838" t="str">
        <f t="shared" si="39"/>
        <v>Hard</v>
      </c>
      <c r="I838" s="6" t="e">
        <f t="shared" si="40"/>
        <v>#N/A</v>
      </c>
      <c r="J838" s="6" t="e">
        <f t="shared" si="41"/>
        <v>#N/A</v>
      </c>
    </row>
    <row r="839" spans="2:10" x14ac:dyDescent="0.3">
      <c r="B839" t="e">
        <f>VLOOKUP(A839,'Clientes CBOT'!A:D,4,0)</f>
        <v>#N/A</v>
      </c>
      <c r="C839" s="7" t="e">
        <f>VLOOKUP(A839,'Statement base'!E:AO,21,0)</f>
        <v>#N/A</v>
      </c>
      <c r="D839" s="7" t="e">
        <f>VLOOKUP(A839,'Statement base'!E:AO,10,0)-VLOOKUP(A839,'Statement base'!E:AO,21,0)</f>
        <v>#N/A</v>
      </c>
      <c r="E839" t="s">
        <v>188</v>
      </c>
      <c r="F839" s="6" t="e">
        <f>VLOOKUP(A839,'Statement base'!E:AO,10,0)+VLOOKUP(A839,'Statement base'!E:AO,14,0)</f>
        <v>#N/A</v>
      </c>
      <c r="G839" s="61" t="e">
        <f>VLOOKUP(A839,'Clientes CBOT'!A:E,5,0)</f>
        <v>#N/A</v>
      </c>
      <c r="H839" t="str">
        <f t="shared" si="39"/>
        <v>Hard</v>
      </c>
      <c r="I839" s="6" t="e">
        <f t="shared" si="40"/>
        <v>#N/A</v>
      </c>
      <c r="J839" s="6" t="e">
        <f t="shared" si="41"/>
        <v>#N/A</v>
      </c>
    </row>
    <row r="840" spans="2:10" x14ac:dyDescent="0.3">
      <c r="B840" t="e">
        <f>VLOOKUP(A840,'Clientes CBOT'!A:D,4,0)</f>
        <v>#N/A</v>
      </c>
      <c r="C840" s="7" t="e">
        <f>VLOOKUP(A840,'Statement base'!E:AO,21,0)</f>
        <v>#N/A</v>
      </c>
      <c r="D840" s="7" t="e">
        <f>VLOOKUP(A840,'Statement base'!E:AO,10,0)-VLOOKUP(A840,'Statement base'!E:AO,21,0)</f>
        <v>#N/A</v>
      </c>
      <c r="E840" t="s">
        <v>188</v>
      </c>
      <c r="F840" s="6" t="e">
        <f>VLOOKUP(A840,'Statement base'!E:AO,10,0)+VLOOKUP(A840,'Statement base'!E:AO,14,0)</f>
        <v>#N/A</v>
      </c>
      <c r="G840" s="61" t="e">
        <f>VLOOKUP(A840,'Clientes CBOT'!A:E,5,0)</f>
        <v>#N/A</v>
      </c>
      <c r="H840" t="str">
        <f t="shared" si="39"/>
        <v>Hard</v>
      </c>
      <c r="I840" s="6" t="e">
        <f t="shared" si="40"/>
        <v>#N/A</v>
      </c>
      <c r="J840" s="6" t="e">
        <f t="shared" si="41"/>
        <v>#N/A</v>
      </c>
    </row>
    <row r="841" spans="2:10" x14ac:dyDescent="0.3">
      <c r="B841" t="e">
        <f>VLOOKUP(A841,'Clientes CBOT'!A:D,4,0)</f>
        <v>#N/A</v>
      </c>
      <c r="C841" s="7" t="e">
        <f>VLOOKUP(A841,'Statement base'!E:AO,21,0)</f>
        <v>#N/A</v>
      </c>
      <c r="D841" s="7" t="e">
        <f>VLOOKUP(A841,'Statement base'!E:AO,10,0)-VLOOKUP(A841,'Statement base'!E:AO,21,0)</f>
        <v>#N/A</v>
      </c>
      <c r="E841" t="s">
        <v>188</v>
      </c>
      <c r="F841" s="6" t="e">
        <f>VLOOKUP(A841,'Statement base'!E:AO,10,0)+VLOOKUP(A841,'Statement base'!E:AO,14,0)</f>
        <v>#N/A</v>
      </c>
      <c r="G841" s="61" t="e">
        <f>VLOOKUP(A841,'Clientes CBOT'!A:E,5,0)</f>
        <v>#N/A</v>
      </c>
      <c r="H841" t="str">
        <f t="shared" si="39"/>
        <v>Hard</v>
      </c>
      <c r="I841" s="6" t="e">
        <f t="shared" si="40"/>
        <v>#N/A</v>
      </c>
      <c r="J841" s="6" t="e">
        <f t="shared" si="41"/>
        <v>#N/A</v>
      </c>
    </row>
    <row r="842" spans="2:10" x14ac:dyDescent="0.3">
      <c r="B842" t="e">
        <f>VLOOKUP(A842,'Clientes CBOT'!A:D,4,0)</f>
        <v>#N/A</v>
      </c>
      <c r="C842" s="7" t="e">
        <f>VLOOKUP(A842,'Statement base'!E:AO,21,0)</f>
        <v>#N/A</v>
      </c>
      <c r="D842" s="7" t="e">
        <f>VLOOKUP(A842,'Statement base'!E:AO,10,0)-VLOOKUP(A842,'Statement base'!E:AO,21,0)</f>
        <v>#N/A</v>
      </c>
      <c r="E842" t="s">
        <v>188</v>
      </c>
      <c r="F842" s="6" t="e">
        <f>VLOOKUP(A842,'Statement base'!E:AO,10,0)+VLOOKUP(A842,'Statement base'!E:AO,14,0)</f>
        <v>#N/A</v>
      </c>
      <c r="G842" s="61" t="e">
        <f>VLOOKUP(A842,'Clientes CBOT'!A:E,5,0)</f>
        <v>#N/A</v>
      </c>
      <c r="H842" t="str">
        <f t="shared" si="39"/>
        <v>Hard</v>
      </c>
      <c r="I842" s="6" t="e">
        <f t="shared" si="40"/>
        <v>#N/A</v>
      </c>
      <c r="J842" s="6" t="e">
        <f t="shared" si="41"/>
        <v>#N/A</v>
      </c>
    </row>
    <row r="843" spans="2:10" x14ac:dyDescent="0.3">
      <c r="B843" t="e">
        <f>VLOOKUP(A843,'Clientes CBOT'!A:D,4,0)</f>
        <v>#N/A</v>
      </c>
      <c r="C843" s="7" t="e">
        <f>VLOOKUP(A843,'Statement base'!E:AO,21,0)</f>
        <v>#N/A</v>
      </c>
      <c r="D843" s="7" t="e">
        <f>VLOOKUP(A843,'Statement base'!E:AO,10,0)-VLOOKUP(A843,'Statement base'!E:AO,21,0)</f>
        <v>#N/A</v>
      </c>
      <c r="E843" t="s">
        <v>188</v>
      </c>
      <c r="F843" s="6" t="e">
        <f>VLOOKUP(A843,'Statement base'!E:AO,10,0)+VLOOKUP(A843,'Statement base'!E:AO,14,0)</f>
        <v>#N/A</v>
      </c>
      <c r="G843" s="61" t="e">
        <f>VLOOKUP(A843,'Clientes CBOT'!A:E,5,0)</f>
        <v>#N/A</v>
      </c>
      <c r="H843" t="str">
        <f t="shared" si="39"/>
        <v>Hard</v>
      </c>
      <c r="I843" s="6" t="e">
        <f t="shared" si="40"/>
        <v>#N/A</v>
      </c>
      <c r="J843" s="6" t="e">
        <f t="shared" si="41"/>
        <v>#N/A</v>
      </c>
    </row>
    <row r="844" spans="2:10" x14ac:dyDescent="0.3">
      <c r="B844" t="e">
        <f>VLOOKUP(A844,'Clientes CBOT'!A:D,4,0)</f>
        <v>#N/A</v>
      </c>
      <c r="C844" s="7" t="e">
        <f>VLOOKUP(A844,'Statement base'!E:AO,21,0)</f>
        <v>#N/A</v>
      </c>
      <c r="D844" s="7" t="e">
        <f>VLOOKUP(A844,'Statement base'!E:AO,10,0)-VLOOKUP(A844,'Statement base'!E:AO,21,0)</f>
        <v>#N/A</v>
      </c>
      <c r="E844" t="s">
        <v>188</v>
      </c>
      <c r="F844" s="6" t="e">
        <f>VLOOKUP(A844,'Statement base'!E:AO,10,0)+VLOOKUP(A844,'Statement base'!E:AO,14,0)</f>
        <v>#N/A</v>
      </c>
      <c r="G844" s="61" t="e">
        <f>VLOOKUP(A844,'Clientes CBOT'!A:E,5,0)</f>
        <v>#N/A</v>
      </c>
      <c r="H844" t="str">
        <f t="shared" si="39"/>
        <v>Hard</v>
      </c>
      <c r="I844" s="6" t="e">
        <f t="shared" si="40"/>
        <v>#N/A</v>
      </c>
      <c r="J844" s="6" t="e">
        <f t="shared" si="41"/>
        <v>#N/A</v>
      </c>
    </row>
    <row r="845" spans="2:10" x14ac:dyDescent="0.3">
      <c r="B845" t="e">
        <f>VLOOKUP(A845,'Clientes CBOT'!A:D,4,0)</f>
        <v>#N/A</v>
      </c>
      <c r="C845" s="7" t="e">
        <f>VLOOKUP(A845,'Statement base'!E:AO,21,0)</f>
        <v>#N/A</v>
      </c>
      <c r="D845" s="7" t="e">
        <f>VLOOKUP(A845,'Statement base'!E:AO,10,0)-VLOOKUP(A845,'Statement base'!E:AO,21,0)</f>
        <v>#N/A</v>
      </c>
      <c r="E845" t="s">
        <v>188</v>
      </c>
      <c r="F845" s="6" t="e">
        <f>VLOOKUP(A845,'Statement base'!E:AO,10,0)+VLOOKUP(A845,'Statement base'!E:AO,14,0)</f>
        <v>#N/A</v>
      </c>
      <c r="G845" s="61" t="e">
        <f>VLOOKUP(A845,'Clientes CBOT'!A:E,5,0)</f>
        <v>#N/A</v>
      </c>
      <c r="H845" t="str">
        <f t="shared" si="39"/>
        <v>Hard</v>
      </c>
      <c r="I845" s="6" t="e">
        <f t="shared" si="40"/>
        <v>#N/A</v>
      </c>
      <c r="J845" s="6" t="e">
        <f t="shared" si="41"/>
        <v>#N/A</v>
      </c>
    </row>
    <row r="846" spans="2:10" x14ac:dyDescent="0.3">
      <c r="B846" t="e">
        <f>VLOOKUP(A846,'Clientes CBOT'!A:D,4,0)</f>
        <v>#N/A</v>
      </c>
      <c r="C846" s="7" t="e">
        <f>VLOOKUP(A846,'Statement base'!E:AO,21,0)</f>
        <v>#N/A</v>
      </c>
      <c r="D846" s="7" t="e">
        <f>VLOOKUP(A846,'Statement base'!E:AO,10,0)-VLOOKUP(A846,'Statement base'!E:AO,21,0)</f>
        <v>#N/A</v>
      </c>
      <c r="E846" t="s">
        <v>188</v>
      </c>
      <c r="F846" s="6" t="e">
        <f>VLOOKUP(A846,'Statement base'!E:AO,10,0)+VLOOKUP(A846,'Statement base'!E:AO,14,0)</f>
        <v>#N/A</v>
      </c>
      <c r="G846" s="61" t="e">
        <f>VLOOKUP(A846,'Clientes CBOT'!A:E,5,0)</f>
        <v>#N/A</v>
      </c>
      <c r="H846" t="str">
        <f t="shared" si="39"/>
        <v>Hard</v>
      </c>
      <c r="I846" s="6" t="e">
        <f t="shared" si="40"/>
        <v>#N/A</v>
      </c>
      <c r="J846" s="6" t="e">
        <f t="shared" si="41"/>
        <v>#N/A</v>
      </c>
    </row>
    <row r="847" spans="2:10" x14ac:dyDescent="0.3">
      <c r="B847" t="e">
        <f>VLOOKUP(A847,'Clientes CBOT'!A:D,4,0)</f>
        <v>#N/A</v>
      </c>
      <c r="C847" s="7" t="e">
        <f>VLOOKUP(A847,'Statement base'!E:AO,21,0)</f>
        <v>#N/A</v>
      </c>
      <c r="D847" s="7" t="e">
        <f>VLOOKUP(A847,'Statement base'!E:AO,10,0)-VLOOKUP(A847,'Statement base'!E:AO,21,0)</f>
        <v>#N/A</v>
      </c>
      <c r="E847" t="s">
        <v>188</v>
      </c>
      <c r="F847" s="6" t="e">
        <f>VLOOKUP(A847,'Statement base'!E:AO,10,0)+VLOOKUP(A847,'Statement base'!E:AO,14,0)</f>
        <v>#N/A</v>
      </c>
      <c r="G847" s="61" t="e">
        <f>VLOOKUP(A847,'Clientes CBOT'!A:E,5,0)</f>
        <v>#N/A</v>
      </c>
      <c r="H847" t="str">
        <f t="shared" si="39"/>
        <v>Hard</v>
      </c>
      <c r="I847" s="6" t="e">
        <f t="shared" si="40"/>
        <v>#N/A</v>
      </c>
      <c r="J847" s="6" t="e">
        <f t="shared" si="41"/>
        <v>#N/A</v>
      </c>
    </row>
    <row r="848" spans="2:10" x14ac:dyDescent="0.3">
      <c r="B848" t="e">
        <f>VLOOKUP(A848,'Clientes CBOT'!A:D,4,0)</f>
        <v>#N/A</v>
      </c>
      <c r="C848" s="7" t="e">
        <f>VLOOKUP(A848,'Statement base'!E:AO,21,0)</f>
        <v>#N/A</v>
      </c>
      <c r="D848" s="7" t="e">
        <f>VLOOKUP(A848,'Statement base'!E:AO,10,0)-VLOOKUP(A848,'Statement base'!E:AO,21,0)</f>
        <v>#N/A</v>
      </c>
      <c r="E848" t="s">
        <v>188</v>
      </c>
      <c r="F848" s="6" t="e">
        <f>VLOOKUP(A848,'Statement base'!E:AO,10,0)+VLOOKUP(A848,'Statement base'!E:AO,14,0)</f>
        <v>#N/A</v>
      </c>
      <c r="G848" s="61" t="e">
        <f>VLOOKUP(A848,'Clientes CBOT'!A:E,5,0)</f>
        <v>#N/A</v>
      </c>
      <c r="H848" t="str">
        <f t="shared" si="39"/>
        <v>Hard</v>
      </c>
      <c r="I848" s="6" t="e">
        <f t="shared" si="40"/>
        <v>#N/A</v>
      </c>
      <c r="J848" s="6" t="e">
        <f t="shared" si="41"/>
        <v>#N/A</v>
      </c>
    </row>
    <row r="849" spans="2:10" x14ac:dyDescent="0.3">
      <c r="B849" t="e">
        <f>VLOOKUP(A849,'Clientes CBOT'!A:D,4,0)</f>
        <v>#N/A</v>
      </c>
      <c r="C849" s="7" t="e">
        <f>VLOOKUP(A849,'Statement base'!E:AO,21,0)</f>
        <v>#N/A</v>
      </c>
      <c r="D849" s="7" t="e">
        <f>VLOOKUP(A849,'Statement base'!E:AO,10,0)-VLOOKUP(A849,'Statement base'!E:AO,21,0)</f>
        <v>#N/A</v>
      </c>
      <c r="E849" t="s">
        <v>188</v>
      </c>
      <c r="F849" s="6" t="e">
        <f>VLOOKUP(A849,'Statement base'!E:AO,10,0)+VLOOKUP(A849,'Statement base'!E:AO,14,0)</f>
        <v>#N/A</v>
      </c>
      <c r="G849" s="61" t="e">
        <f>VLOOKUP(A849,'Clientes CBOT'!A:E,5,0)</f>
        <v>#N/A</v>
      </c>
      <c r="H849" t="str">
        <f t="shared" si="39"/>
        <v>Hard</v>
      </c>
      <c r="I849" s="6" t="e">
        <f t="shared" si="40"/>
        <v>#N/A</v>
      </c>
      <c r="J849" s="6" t="e">
        <f t="shared" si="41"/>
        <v>#N/A</v>
      </c>
    </row>
    <row r="850" spans="2:10" x14ac:dyDescent="0.3">
      <c r="B850" t="e">
        <f>VLOOKUP(A850,'Clientes CBOT'!A:D,4,0)</f>
        <v>#N/A</v>
      </c>
      <c r="C850" s="7" t="e">
        <f>VLOOKUP(A850,'Statement base'!E:AO,21,0)</f>
        <v>#N/A</v>
      </c>
      <c r="D850" s="7" t="e">
        <f>VLOOKUP(A850,'Statement base'!E:AO,10,0)-VLOOKUP(A850,'Statement base'!E:AO,21,0)</f>
        <v>#N/A</v>
      </c>
      <c r="E850" t="s">
        <v>188</v>
      </c>
      <c r="F850" s="6" t="e">
        <f>VLOOKUP(A850,'Statement base'!E:AO,10,0)+VLOOKUP(A850,'Statement base'!E:AO,14,0)</f>
        <v>#N/A</v>
      </c>
      <c r="G850" s="61" t="e">
        <f>VLOOKUP(A850,'Clientes CBOT'!A:E,5,0)</f>
        <v>#N/A</v>
      </c>
      <c r="H850" t="str">
        <f t="shared" si="39"/>
        <v>Hard</v>
      </c>
      <c r="I850" s="6" t="e">
        <f t="shared" si="40"/>
        <v>#N/A</v>
      </c>
      <c r="J850" s="6" t="e">
        <f t="shared" si="41"/>
        <v>#N/A</v>
      </c>
    </row>
    <row r="851" spans="2:10" x14ac:dyDescent="0.3">
      <c r="B851" t="e">
        <f>VLOOKUP(A851,'Clientes CBOT'!A:D,4,0)</f>
        <v>#N/A</v>
      </c>
      <c r="C851" s="7" t="e">
        <f>VLOOKUP(A851,'Statement base'!E:AO,21,0)</f>
        <v>#N/A</v>
      </c>
      <c r="D851" s="7" t="e">
        <f>VLOOKUP(A851,'Statement base'!E:AO,10,0)-VLOOKUP(A851,'Statement base'!E:AO,21,0)</f>
        <v>#N/A</v>
      </c>
      <c r="E851" t="s">
        <v>188</v>
      </c>
      <c r="F851" s="6" t="e">
        <f>VLOOKUP(A851,'Statement base'!E:AO,10,0)+VLOOKUP(A851,'Statement base'!E:AO,14,0)</f>
        <v>#N/A</v>
      </c>
      <c r="G851" s="61" t="e">
        <f>VLOOKUP(A851,'Clientes CBOT'!A:E,5,0)</f>
        <v>#N/A</v>
      </c>
      <c r="H851" t="str">
        <f t="shared" si="39"/>
        <v>Hard</v>
      </c>
      <c r="I851" s="6" t="e">
        <f t="shared" si="40"/>
        <v>#N/A</v>
      </c>
      <c r="J851" s="6" t="e">
        <f t="shared" si="41"/>
        <v>#N/A</v>
      </c>
    </row>
    <row r="852" spans="2:10" x14ac:dyDescent="0.3">
      <c r="B852" t="e">
        <f>VLOOKUP(A852,'Clientes CBOT'!A:D,4,0)</f>
        <v>#N/A</v>
      </c>
      <c r="C852" s="7" t="e">
        <f>VLOOKUP(A852,'Statement base'!E:AO,21,0)</f>
        <v>#N/A</v>
      </c>
      <c r="D852" s="7" t="e">
        <f>VLOOKUP(A852,'Statement base'!E:AO,10,0)-VLOOKUP(A852,'Statement base'!E:AO,21,0)</f>
        <v>#N/A</v>
      </c>
      <c r="E852" t="s">
        <v>188</v>
      </c>
      <c r="F852" s="6" t="e">
        <f>VLOOKUP(A852,'Statement base'!E:AO,10,0)+VLOOKUP(A852,'Statement base'!E:AO,14,0)</f>
        <v>#N/A</v>
      </c>
      <c r="G852" s="61" t="e">
        <f>VLOOKUP(A852,'Clientes CBOT'!A:E,5,0)</f>
        <v>#N/A</v>
      </c>
      <c r="H852" t="str">
        <f t="shared" si="39"/>
        <v>Hard</v>
      </c>
      <c r="I852" s="6" t="e">
        <f t="shared" si="40"/>
        <v>#N/A</v>
      </c>
      <c r="J852" s="6" t="e">
        <f t="shared" si="41"/>
        <v>#N/A</v>
      </c>
    </row>
    <row r="853" spans="2:10" x14ac:dyDescent="0.3">
      <c r="B853" t="e">
        <f>VLOOKUP(A853,'Clientes CBOT'!A:D,4,0)</f>
        <v>#N/A</v>
      </c>
      <c r="C853" s="7" t="e">
        <f>VLOOKUP(A853,'Statement base'!E:AO,21,0)</f>
        <v>#N/A</v>
      </c>
      <c r="D853" s="7" t="e">
        <f>VLOOKUP(A853,'Statement base'!E:AO,10,0)-VLOOKUP(A853,'Statement base'!E:AO,21,0)</f>
        <v>#N/A</v>
      </c>
      <c r="E853" t="s">
        <v>188</v>
      </c>
      <c r="F853" s="6" t="e">
        <f>VLOOKUP(A853,'Statement base'!E:AO,10,0)+VLOOKUP(A853,'Statement base'!E:AO,14,0)</f>
        <v>#N/A</v>
      </c>
      <c r="G853" s="61" t="e">
        <f>VLOOKUP(A853,'Clientes CBOT'!A:E,5,0)</f>
        <v>#N/A</v>
      </c>
      <c r="H853" t="str">
        <f t="shared" si="39"/>
        <v>Hard</v>
      </c>
      <c r="I853" s="6" t="e">
        <f t="shared" si="40"/>
        <v>#N/A</v>
      </c>
      <c r="J853" s="6" t="e">
        <f t="shared" si="41"/>
        <v>#N/A</v>
      </c>
    </row>
    <row r="854" spans="2:10" x14ac:dyDescent="0.3">
      <c r="B854" t="e">
        <f>VLOOKUP(A854,'Clientes CBOT'!A:D,4,0)</f>
        <v>#N/A</v>
      </c>
      <c r="C854" s="7" t="e">
        <f>VLOOKUP(A854,'Statement base'!E:AO,21,0)</f>
        <v>#N/A</v>
      </c>
      <c r="D854" s="7" t="e">
        <f>VLOOKUP(A854,'Statement base'!E:AO,10,0)-VLOOKUP(A854,'Statement base'!E:AO,21,0)</f>
        <v>#N/A</v>
      </c>
      <c r="E854" t="s">
        <v>188</v>
      </c>
      <c r="F854" s="6" t="e">
        <f>VLOOKUP(A854,'Statement base'!E:AO,10,0)+VLOOKUP(A854,'Statement base'!E:AO,14,0)</f>
        <v>#N/A</v>
      </c>
      <c r="G854" s="61" t="e">
        <f>VLOOKUP(A854,'Clientes CBOT'!A:E,5,0)</f>
        <v>#N/A</v>
      </c>
      <c r="H854" t="str">
        <f t="shared" si="39"/>
        <v>Hard</v>
      </c>
      <c r="I854" s="6" t="e">
        <f t="shared" si="40"/>
        <v>#N/A</v>
      </c>
      <c r="J854" s="6" t="e">
        <f t="shared" si="41"/>
        <v>#N/A</v>
      </c>
    </row>
    <row r="855" spans="2:10" x14ac:dyDescent="0.3">
      <c r="B855" t="e">
        <f>VLOOKUP(A855,'Clientes CBOT'!A:D,4,0)</f>
        <v>#N/A</v>
      </c>
      <c r="C855" s="7" t="e">
        <f>VLOOKUP(A855,'Statement base'!E:AO,21,0)</f>
        <v>#N/A</v>
      </c>
      <c r="D855" s="7" t="e">
        <f>VLOOKUP(A855,'Statement base'!E:AO,10,0)-VLOOKUP(A855,'Statement base'!E:AO,21,0)</f>
        <v>#N/A</v>
      </c>
      <c r="E855" t="s">
        <v>188</v>
      </c>
      <c r="F855" s="6" t="e">
        <f>VLOOKUP(A855,'Statement base'!E:AO,10,0)+VLOOKUP(A855,'Statement base'!E:AO,14,0)</f>
        <v>#N/A</v>
      </c>
      <c r="G855" s="61" t="e">
        <f>VLOOKUP(A855,'Clientes CBOT'!A:E,5,0)</f>
        <v>#N/A</v>
      </c>
      <c r="H855" t="str">
        <f t="shared" si="39"/>
        <v>Hard</v>
      </c>
      <c r="I855" s="6" t="e">
        <f t="shared" si="40"/>
        <v>#N/A</v>
      </c>
      <c r="J855" s="6" t="e">
        <f t="shared" si="41"/>
        <v>#N/A</v>
      </c>
    </row>
    <row r="856" spans="2:10" x14ac:dyDescent="0.3">
      <c r="B856" t="e">
        <f>VLOOKUP(A856,'Clientes CBOT'!A:D,4,0)</f>
        <v>#N/A</v>
      </c>
      <c r="C856" s="7" t="e">
        <f>VLOOKUP(A856,'Statement base'!E:AO,21,0)</f>
        <v>#N/A</v>
      </c>
      <c r="D856" s="7" t="e">
        <f>VLOOKUP(A856,'Statement base'!E:AO,10,0)-VLOOKUP(A856,'Statement base'!E:AO,21,0)</f>
        <v>#N/A</v>
      </c>
      <c r="E856" t="s">
        <v>188</v>
      </c>
      <c r="F856" s="6" t="e">
        <f>VLOOKUP(A856,'Statement base'!E:AO,10,0)+VLOOKUP(A856,'Statement base'!E:AO,14,0)</f>
        <v>#N/A</v>
      </c>
      <c r="G856" s="61" t="e">
        <f>VLOOKUP(A856,'Clientes CBOT'!A:E,5,0)</f>
        <v>#N/A</v>
      </c>
      <c r="H856" t="str">
        <f t="shared" si="39"/>
        <v>Hard</v>
      </c>
      <c r="I856" s="6" t="e">
        <f t="shared" si="40"/>
        <v>#N/A</v>
      </c>
      <c r="J856" s="6" t="e">
        <f t="shared" si="41"/>
        <v>#N/A</v>
      </c>
    </row>
    <row r="857" spans="2:10" x14ac:dyDescent="0.3">
      <c r="B857" t="e">
        <f>VLOOKUP(A857,'Clientes CBOT'!A:D,4,0)</f>
        <v>#N/A</v>
      </c>
      <c r="C857" s="7" t="e">
        <f>VLOOKUP(A857,'Statement base'!E:AO,21,0)</f>
        <v>#N/A</v>
      </c>
      <c r="D857" s="7" t="e">
        <f>VLOOKUP(A857,'Statement base'!E:AO,10,0)-VLOOKUP(A857,'Statement base'!E:AO,21,0)</f>
        <v>#N/A</v>
      </c>
      <c r="E857" t="s">
        <v>188</v>
      </c>
      <c r="F857" s="6" t="e">
        <f>VLOOKUP(A857,'Statement base'!E:AO,10,0)+VLOOKUP(A857,'Statement base'!E:AO,14,0)</f>
        <v>#N/A</v>
      </c>
      <c r="G857" s="61" t="e">
        <f>VLOOKUP(A857,'Clientes CBOT'!A:E,5,0)</f>
        <v>#N/A</v>
      </c>
      <c r="H857" t="str">
        <f t="shared" si="39"/>
        <v>Hard</v>
      </c>
      <c r="I857" s="6" t="e">
        <f t="shared" si="40"/>
        <v>#N/A</v>
      </c>
      <c r="J857" s="6" t="e">
        <f t="shared" si="41"/>
        <v>#N/A</v>
      </c>
    </row>
    <row r="858" spans="2:10" x14ac:dyDescent="0.3">
      <c r="B858" t="e">
        <f>VLOOKUP(A858,'Clientes CBOT'!A:D,4,0)</f>
        <v>#N/A</v>
      </c>
      <c r="C858" s="7" t="e">
        <f>VLOOKUP(A858,'Statement base'!E:AO,21,0)</f>
        <v>#N/A</v>
      </c>
      <c r="D858" s="7" t="e">
        <f>VLOOKUP(A858,'Statement base'!E:AO,10,0)-VLOOKUP(A858,'Statement base'!E:AO,21,0)</f>
        <v>#N/A</v>
      </c>
      <c r="E858" t="s">
        <v>188</v>
      </c>
      <c r="F858" s="6" t="e">
        <f>VLOOKUP(A858,'Statement base'!E:AO,10,0)+VLOOKUP(A858,'Statement base'!E:AO,14,0)</f>
        <v>#N/A</v>
      </c>
      <c r="G858" s="61" t="e">
        <f>VLOOKUP(A858,'Clientes CBOT'!A:E,5,0)</f>
        <v>#N/A</v>
      </c>
      <c r="H858" t="str">
        <f t="shared" si="39"/>
        <v>Hard</v>
      </c>
      <c r="I858" s="6" t="e">
        <f t="shared" si="40"/>
        <v>#N/A</v>
      </c>
      <c r="J858" s="6" t="e">
        <f t="shared" si="41"/>
        <v>#N/A</v>
      </c>
    </row>
    <row r="859" spans="2:10" x14ac:dyDescent="0.3">
      <c r="B859" t="e">
        <f>VLOOKUP(A859,'Clientes CBOT'!A:D,4,0)</f>
        <v>#N/A</v>
      </c>
      <c r="C859" s="7" t="e">
        <f>VLOOKUP(A859,'Statement base'!E:AO,21,0)</f>
        <v>#N/A</v>
      </c>
      <c r="D859" s="7" t="e">
        <f>VLOOKUP(A859,'Statement base'!E:AO,10,0)-VLOOKUP(A859,'Statement base'!E:AO,21,0)</f>
        <v>#N/A</v>
      </c>
      <c r="E859" t="s">
        <v>188</v>
      </c>
      <c r="F859" s="6" t="e">
        <f>VLOOKUP(A859,'Statement base'!E:AO,10,0)+VLOOKUP(A859,'Statement base'!E:AO,14,0)</f>
        <v>#N/A</v>
      </c>
      <c r="G859" s="61" t="e">
        <f>VLOOKUP(A859,'Clientes CBOT'!A:E,5,0)</f>
        <v>#N/A</v>
      </c>
      <c r="H859" t="str">
        <f t="shared" si="39"/>
        <v>Hard</v>
      </c>
      <c r="I859" s="6" t="e">
        <f t="shared" si="40"/>
        <v>#N/A</v>
      </c>
      <c r="J859" s="6" t="e">
        <f t="shared" si="41"/>
        <v>#N/A</v>
      </c>
    </row>
    <row r="860" spans="2:10" x14ac:dyDescent="0.3">
      <c r="B860" t="e">
        <f>VLOOKUP(A860,'Clientes CBOT'!A:D,4,0)</f>
        <v>#N/A</v>
      </c>
      <c r="C860" s="7" t="e">
        <f>VLOOKUP(A860,'Statement base'!E:AO,21,0)</f>
        <v>#N/A</v>
      </c>
      <c r="D860" s="7" t="e">
        <f>VLOOKUP(A860,'Statement base'!E:AO,10,0)-VLOOKUP(A860,'Statement base'!E:AO,21,0)</f>
        <v>#N/A</v>
      </c>
      <c r="E860" t="s">
        <v>188</v>
      </c>
      <c r="F860" s="6" t="e">
        <f>VLOOKUP(A860,'Statement base'!E:AO,10,0)+VLOOKUP(A860,'Statement base'!E:AO,14,0)</f>
        <v>#N/A</v>
      </c>
      <c r="G860" s="61" t="e">
        <f>VLOOKUP(A860,'Clientes CBOT'!A:E,5,0)</f>
        <v>#N/A</v>
      </c>
      <c r="H860" t="str">
        <f t="shared" si="39"/>
        <v>Hard</v>
      </c>
      <c r="I860" s="6" t="e">
        <f t="shared" si="40"/>
        <v>#N/A</v>
      </c>
      <c r="J860" s="6" t="e">
        <f t="shared" si="41"/>
        <v>#N/A</v>
      </c>
    </row>
    <row r="861" spans="2:10" x14ac:dyDescent="0.3">
      <c r="B861" t="e">
        <f>VLOOKUP(A861,'Clientes CBOT'!A:D,4,0)</f>
        <v>#N/A</v>
      </c>
      <c r="C861" s="7" t="e">
        <f>VLOOKUP(A861,'Statement base'!E:AO,21,0)</f>
        <v>#N/A</v>
      </c>
      <c r="D861" s="7" t="e">
        <f>VLOOKUP(A861,'Statement base'!E:AO,10,0)-VLOOKUP(A861,'Statement base'!E:AO,21,0)</f>
        <v>#N/A</v>
      </c>
      <c r="E861" t="s">
        <v>188</v>
      </c>
      <c r="F861" s="6" t="e">
        <f>VLOOKUP(A861,'Statement base'!E:AO,10,0)+VLOOKUP(A861,'Statement base'!E:AO,14,0)</f>
        <v>#N/A</v>
      </c>
      <c r="G861" s="61" t="e">
        <f>VLOOKUP(A861,'Clientes CBOT'!A:E,5,0)</f>
        <v>#N/A</v>
      </c>
      <c r="H861" t="str">
        <f t="shared" si="39"/>
        <v>Hard</v>
      </c>
      <c r="I861" s="6" t="e">
        <f t="shared" si="40"/>
        <v>#N/A</v>
      </c>
      <c r="J861" s="6" t="e">
        <f t="shared" si="41"/>
        <v>#N/A</v>
      </c>
    </row>
    <row r="862" spans="2:10" x14ac:dyDescent="0.3">
      <c r="B862" t="e">
        <f>VLOOKUP(A862,'Clientes CBOT'!A:D,4,0)</f>
        <v>#N/A</v>
      </c>
      <c r="C862" s="7" t="e">
        <f>VLOOKUP(A862,'Statement base'!E:AO,21,0)</f>
        <v>#N/A</v>
      </c>
      <c r="D862" s="7" t="e">
        <f>VLOOKUP(A862,'Statement base'!E:AO,10,0)-VLOOKUP(A862,'Statement base'!E:AO,21,0)</f>
        <v>#N/A</v>
      </c>
      <c r="E862" t="s">
        <v>188</v>
      </c>
      <c r="F862" s="6" t="e">
        <f>VLOOKUP(A862,'Statement base'!E:AO,10,0)+VLOOKUP(A862,'Statement base'!E:AO,14,0)</f>
        <v>#N/A</v>
      </c>
      <c r="G862" s="61" t="e">
        <f>VLOOKUP(A862,'Clientes CBOT'!A:E,5,0)</f>
        <v>#N/A</v>
      </c>
      <c r="H862" t="str">
        <f t="shared" si="39"/>
        <v>Hard</v>
      </c>
      <c r="I862" s="6" t="e">
        <f t="shared" si="40"/>
        <v>#N/A</v>
      </c>
      <c r="J862" s="6" t="e">
        <f t="shared" si="41"/>
        <v>#N/A</v>
      </c>
    </row>
    <row r="863" spans="2:10" x14ac:dyDescent="0.3">
      <c r="B863" t="e">
        <f>VLOOKUP(A863,'Clientes CBOT'!A:D,4,0)</f>
        <v>#N/A</v>
      </c>
      <c r="C863" s="7" t="e">
        <f>VLOOKUP(A863,'Statement base'!E:AO,21,0)</f>
        <v>#N/A</v>
      </c>
      <c r="D863" s="7" t="e">
        <f>VLOOKUP(A863,'Statement base'!E:AO,10,0)-VLOOKUP(A863,'Statement base'!E:AO,21,0)</f>
        <v>#N/A</v>
      </c>
      <c r="E863" t="s">
        <v>188</v>
      </c>
      <c r="F863" s="6" t="e">
        <f>VLOOKUP(A863,'Statement base'!E:AO,10,0)+VLOOKUP(A863,'Statement base'!E:AO,14,0)</f>
        <v>#N/A</v>
      </c>
      <c r="G863" s="61" t="e">
        <f>VLOOKUP(A863,'Clientes CBOT'!A:E,5,0)</f>
        <v>#N/A</v>
      </c>
      <c r="H863" t="str">
        <f t="shared" si="39"/>
        <v>Hard</v>
      </c>
      <c r="I863" s="6" t="e">
        <f t="shared" si="40"/>
        <v>#N/A</v>
      </c>
      <c r="J863" s="6" t="e">
        <f t="shared" si="41"/>
        <v>#N/A</v>
      </c>
    </row>
    <row r="864" spans="2:10" x14ac:dyDescent="0.3">
      <c r="B864" t="e">
        <f>VLOOKUP(A864,'Clientes CBOT'!A:D,4,0)</f>
        <v>#N/A</v>
      </c>
      <c r="C864" s="7" t="e">
        <f>VLOOKUP(A864,'Statement base'!E:AO,21,0)</f>
        <v>#N/A</v>
      </c>
      <c r="D864" s="7" t="e">
        <f>VLOOKUP(A864,'Statement base'!E:AO,10,0)-VLOOKUP(A864,'Statement base'!E:AO,21,0)</f>
        <v>#N/A</v>
      </c>
      <c r="E864" t="s">
        <v>188</v>
      </c>
      <c r="F864" s="6" t="e">
        <f>VLOOKUP(A864,'Statement base'!E:AO,10,0)+VLOOKUP(A864,'Statement base'!E:AO,14,0)</f>
        <v>#N/A</v>
      </c>
      <c r="G864" s="61" t="e">
        <f>VLOOKUP(A864,'Clientes CBOT'!A:E,5,0)</f>
        <v>#N/A</v>
      </c>
      <c r="H864" t="str">
        <f t="shared" si="39"/>
        <v>Hard</v>
      </c>
      <c r="I864" s="6" t="e">
        <f t="shared" si="40"/>
        <v>#N/A</v>
      </c>
      <c r="J864" s="6" t="e">
        <f t="shared" si="41"/>
        <v>#N/A</v>
      </c>
    </row>
    <row r="865" spans="2:10" x14ac:dyDescent="0.3">
      <c r="B865" t="e">
        <f>VLOOKUP(A865,'Clientes CBOT'!A:D,4,0)</f>
        <v>#N/A</v>
      </c>
      <c r="C865" s="7" t="e">
        <f>VLOOKUP(A865,'Statement base'!E:AO,21,0)</f>
        <v>#N/A</v>
      </c>
      <c r="D865" s="7" t="e">
        <f>VLOOKUP(A865,'Statement base'!E:AO,10,0)-VLOOKUP(A865,'Statement base'!E:AO,21,0)</f>
        <v>#N/A</v>
      </c>
      <c r="E865" t="s">
        <v>188</v>
      </c>
      <c r="F865" s="6" t="e">
        <f>VLOOKUP(A865,'Statement base'!E:AO,10,0)+VLOOKUP(A865,'Statement base'!E:AO,14,0)</f>
        <v>#N/A</v>
      </c>
      <c r="G865" s="61" t="e">
        <f>VLOOKUP(A865,'Clientes CBOT'!A:E,5,0)</f>
        <v>#N/A</v>
      </c>
      <c r="H865" t="str">
        <f t="shared" si="39"/>
        <v>Hard</v>
      </c>
      <c r="I865" s="6" t="e">
        <f t="shared" si="40"/>
        <v>#N/A</v>
      </c>
      <c r="J865" s="6" t="e">
        <f t="shared" si="41"/>
        <v>#N/A</v>
      </c>
    </row>
    <row r="866" spans="2:10" x14ac:dyDescent="0.3">
      <c r="B866" t="e">
        <f>VLOOKUP(A866,'Clientes CBOT'!A:D,4,0)</f>
        <v>#N/A</v>
      </c>
      <c r="C866" s="7" t="e">
        <f>VLOOKUP(A866,'Statement base'!E:AO,21,0)</f>
        <v>#N/A</v>
      </c>
      <c r="D866" s="7" t="e">
        <f>VLOOKUP(A866,'Statement base'!E:AO,10,0)-VLOOKUP(A866,'Statement base'!E:AO,21,0)</f>
        <v>#N/A</v>
      </c>
      <c r="E866" t="s">
        <v>188</v>
      </c>
      <c r="F866" s="6" t="e">
        <f>VLOOKUP(A866,'Statement base'!E:AO,10,0)+VLOOKUP(A866,'Statement base'!E:AO,14,0)</f>
        <v>#N/A</v>
      </c>
      <c r="G866" s="61" t="e">
        <f>VLOOKUP(A866,'Clientes CBOT'!A:E,5,0)</f>
        <v>#N/A</v>
      </c>
      <c r="H866" t="str">
        <f t="shared" si="39"/>
        <v>Hard</v>
      </c>
      <c r="I866" s="6" t="e">
        <f t="shared" si="40"/>
        <v>#N/A</v>
      </c>
      <c r="J866" s="6" t="e">
        <f t="shared" si="41"/>
        <v>#N/A</v>
      </c>
    </row>
    <row r="867" spans="2:10" x14ac:dyDescent="0.3">
      <c r="B867" t="e">
        <f>VLOOKUP(A867,'Clientes CBOT'!A:D,4,0)</f>
        <v>#N/A</v>
      </c>
      <c r="C867" s="7" t="e">
        <f>VLOOKUP(A867,'Statement base'!E:AO,21,0)</f>
        <v>#N/A</v>
      </c>
      <c r="D867" s="7" t="e">
        <f>VLOOKUP(A867,'Statement base'!E:AO,10,0)-VLOOKUP(A867,'Statement base'!E:AO,21,0)</f>
        <v>#N/A</v>
      </c>
      <c r="E867" t="s">
        <v>188</v>
      </c>
      <c r="F867" s="6" t="e">
        <f>VLOOKUP(A867,'Statement base'!E:AO,10,0)+VLOOKUP(A867,'Statement base'!E:AO,14,0)</f>
        <v>#N/A</v>
      </c>
      <c r="G867" s="61" t="e">
        <f>VLOOKUP(A867,'Clientes CBOT'!A:E,5,0)</f>
        <v>#N/A</v>
      </c>
      <c r="H867" t="str">
        <f t="shared" si="39"/>
        <v>Hard</v>
      </c>
      <c r="I867" s="6" t="e">
        <f t="shared" si="40"/>
        <v>#N/A</v>
      </c>
      <c r="J867" s="6" t="e">
        <f t="shared" si="41"/>
        <v>#N/A</v>
      </c>
    </row>
    <row r="868" spans="2:10" x14ac:dyDescent="0.3">
      <c r="B868" t="e">
        <f>VLOOKUP(A868,'Clientes CBOT'!A:D,4,0)</f>
        <v>#N/A</v>
      </c>
      <c r="C868" s="7" t="e">
        <f>VLOOKUP(A868,'Statement base'!E:AO,21,0)</f>
        <v>#N/A</v>
      </c>
      <c r="D868" s="7" t="e">
        <f>VLOOKUP(A868,'Statement base'!E:AO,10,0)-VLOOKUP(A868,'Statement base'!E:AO,21,0)</f>
        <v>#N/A</v>
      </c>
      <c r="E868" t="s">
        <v>188</v>
      </c>
      <c r="F868" s="6" t="e">
        <f>VLOOKUP(A868,'Statement base'!E:AO,10,0)+VLOOKUP(A868,'Statement base'!E:AO,14,0)</f>
        <v>#N/A</v>
      </c>
      <c r="G868" s="61" t="e">
        <f>VLOOKUP(A868,'Clientes CBOT'!A:E,5,0)</f>
        <v>#N/A</v>
      </c>
      <c r="H868" t="str">
        <f t="shared" si="39"/>
        <v>Hard</v>
      </c>
      <c r="I868" s="6" t="e">
        <f t="shared" si="40"/>
        <v>#N/A</v>
      </c>
      <c r="J868" s="6" t="e">
        <f t="shared" si="41"/>
        <v>#N/A</v>
      </c>
    </row>
    <row r="869" spans="2:10" x14ac:dyDescent="0.3">
      <c r="B869" t="e">
        <f>VLOOKUP(A869,'Clientes CBOT'!A:D,4,0)</f>
        <v>#N/A</v>
      </c>
      <c r="C869" s="7" t="e">
        <f>VLOOKUP(A869,'Statement base'!E:AO,21,0)</f>
        <v>#N/A</v>
      </c>
      <c r="D869" s="7" t="e">
        <f>VLOOKUP(A869,'Statement base'!E:AO,10,0)-VLOOKUP(A869,'Statement base'!E:AO,21,0)</f>
        <v>#N/A</v>
      </c>
      <c r="E869" t="s">
        <v>188</v>
      </c>
      <c r="F869" s="6" t="e">
        <f>VLOOKUP(A869,'Statement base'!E:AO,10,0)+VLOOKUP(A869,'Statement base'!E:AO,14,0)</f>
        <v>#N/A</v>
      </c>
      <c r="G869" s="61" t="e">
        <f>VLOOKUP(A869,'Clientes CBOT'!A:E,5,0)</f>
        <v>#N/A</v>
      </c>
      <c r="H869" t="str">
        <f t="shared" si="39"/>
        <v>Hard</v>
      </c>
      <c r="I869" s="6" t="e">
        <f t="shared" si="40"/>
        <v>#N/A</v>
      </c>
      <c r="J869" s="6" t="e">
        <f t="shared" si="41"/>
        <v>#N/A</v>
      </c>
    </row>
    <row r="870" spans="2:10" x14ac:dyDescent="0.3">
      <c r="B870" t="e">
        <f>VLOOKUP(A870,'Clientes CBOT'!A:D,4,0)</f>
        <v>#N/A</v>
      </c>
      <c r="C870" s="7" t="e">
        <f>VLOOKUP(A870,'Statement base'!E:AO,21,0)</f>
        <v>#N/A</v>
      </c>
      <c r="D870" s="7" t="e">
        <f>VLOOKUP(A870,'Statement base'!E:AO,10,0)-VLOOKUP(A870,'Statement base'!E:AO,21,0)</f>
        <v>#N/A</v>
      </c>
      <c r="E870" t="s">
        <v>188</v>
      </c>
      <c r="F870" s="6" t="e">
        <f>VLOOKUP(A870,'Statement base'!E:AO,10,0)+VLOOKUP(A870,'Statement base'!E:AO,14,0)</f>
        <v>#N/A</v>
      </c>
      <c r="G870" s="61" t="e">
        <f>VLOOKUP(A870,'Clientes CBOT'!A:E,5,0)</f>
        <v>#N/A</v>
      </c>
      <c r="H870" t="str">
        <f t="shared" si="39"/>
        <v>Hard</v>
      </c>
      <c r="I870" s="6" t="e">
        <f t="shared" si="40"/>
        <v>#N/A</v>
      </c>
      <c r="J870" s="6" t="e">
        <f t="shared" si="41"/>
        <v>#N/A</v>
      </c>
    </row>
    <row r="871" spans="2:10" x14ac:dyDescent="0.3">
      <c r="B871" t="e">
        <f>VLOOKUP(A871,'Clientes CBOT'!A:D,4,0)</f>
        <v>#N/A</v>
      </c>
      <c r="C871" s="7" t="e">
        <f>VLOOKUP(A871,'Statement base'!E:AO,21,0)</f>
        <v>#N/A</v>
      </c>
      <c r="D871" s="7" t="e">
        <f>VLOOKUP(A871,'Statement base'!E:AO,10,0)-VLOOKUP(A871,'Statement base'!E:AO,21,0)</f>
        <v>#N/A</v>
      </c>
      <c r="E871" t="s">
        <v>188</v>
      </c>
      <c r="F871" s="6" t="e">
        <f>VLOOKUP(A871,'Statement base'!E:AO,10,0)+VLOOKUP(A871,'Statement base'!E:AO,14,0)</f>
        <v>#N/A</v>
      </c>
      <c r="G871" s="61" t="e">
        <f>VLOOKUP(A871,'Clientes CBOT'!A:E,5,0)</f>
        <v>#N/A</v>
      </c>
      <c r="H871" t="str">
        <f t="shared" si="39"/>
        <v>Hard</v>
      </c>
      <c r="I871" s="6" t="e">
        <f t="shared" si="40"/>
        <v>#N/A</v>
      </c>
      <c r="J871" s="6" t="e">
        <f t="shared" si="41"/>
        <v>#N/A</v>
      </c>
    </row>
    <row r="872" spans="2:10" x14ac:dyDescent="0.3">
      <c r="B872" t="e">
        <f>VLOOKUP(A872,'Clientes CBOT'!A:D,4,0)</f>
        <v>#N/A</v>
      </c>
      <c r="C872" s="7" t="e">
        <f>VLOOKUP(A872,'Statement base'!E:AO,21,0)</f>
        <v>#N/A</v>
      </c>
      <c r="D872" s="7" t="e">
        <f>VLOOKUP(A872,'Statement base'!E:AO,10,0)-VLOOKUP(A872,'Statement base'!E:AO,21,0)</f>
        <v>#N/A</v>
      </c>
      <c r="E872" t="s">
        <v>188</v>
      </c>
      <c r="F872" s="6" t="e">
        <f>VLOOKUP(A872,'Statement base'!E:AO,10,0)+VLOOKUP(A872,'Statement base'!E:AO,14,0)</f>
        <v>#N/A</v>
      </c>
      <c r="G872" s="61" t="e">
        <f>VLOOKUP(A872,'Clientes CBOT'!A:E,5,0)</f>
        <v>#N/A</v>
      </c>
      <c r="H872" t="str">
        <f t="shared" si="39"/>
        <v>Hard</v>
      </c>
      <c r="I872" s="6" t="e">
        <f t="shared" si="40"/>
        <v>#N/A</v>
      </c>
      <c r="J872" s="6" t="e">
        <f t="shared" si="41"/>
        <v>#N/A</v>
      </c>
    </row>
    <row r="873" spans="2:10" x14ac:dyDescent="0.3">
      <c r="B873" t="e">
        <f>VLOOKUP(A873,'Clientes CBOT'!A:D,4,0)</f>
        <v>#N/A</v>
      </c>
      <c r="C873" s="7" t="e">
        <f>VLOOKUP(A873,'Statement base'!E:AO,21,0)</f>
        <v>#N/A</v>
      </c>
      <c r="D873" s="7" t="e">
        <f>VLOOKUP(A873,'Statement base'!E:AO,10,0)-VLOOKUP(A873,'Statement base'!E:AO,21,0)</f>
        <v>#N/A</v>
      </c>
      <c r="E873" t="s">
        <v>188</v>
      </c>
      <c r="F873" s="6" t="e">
        <f>VLOOKUP(A873,'Statement base'!E:AO,10,0)+VLOOKUP(A873,'Statement base'!E:AO,14,0)</f>
        <v>#N/A</v>
      </c>
      <c r="G873" s="61" t="e">
        <f>VLOOKUP(A873,'Clientes CBOT'!A:E,5,0)</f>
        <v>#N/A</v>
      </c>
      <c r="H873" t="str">
        <f t="shared" si="39"/>
        <v>Hard</v>
      </c>
      <c r="I873" s="6" t="e">
        <f t="shared" si="40"/>
        <v>#N/A</v>
      </c>
      <c r="J873" s="6" t="e">
        <f t="shared" si="41"/>
        <v>#N/A</v>
      </c>
    </row>
    <row r="874" spans="2:10" x14ac:dyDescent="0.3">
      <c r="B874" t="e">
        <f>VLOOKUP(A874,'Clientes CBOT'!A:D,4,0)</f>
        <v>#N/A</v>
      </c>
      <c r="C874" s="7" t="e">
        <f>VLOOKUP(A874,'Statement base'!E:AO,21,0)</f>
        <v>#N/A</v>
      </c>
      <c r="D874" s="7" t="e">
        <f>VLOOKUP(A874,'Statement base'!E:AO,10,0)-VLOOKUP(A874,'Statement base'!E:AO,21,0)</f>
        <v>#N/A</v>
      </c>
      <c r="E874" t="s">
        <v>188</v>
      </c>
      <c r="F874" s="6" t="e">
        <f>VLOOKUP(A874,'Statement base'!E:AO,10,0)+VLOOKUP(A874,'Statement base'!E:AO,14,0)</f>
        <v>#N/A</v>
      </c>
      <c r="G874" s="61" t="e">
        <f>VLOOKUP(A874,'Clientes CBOT'!A:E,5,0)</f>
        <v>#N/A</v>
      </c>
      <c r="H874" t="str">
        <f t="shared" si="39"/>
        <v>Hard</v>
      </c>
      <c r="I874" s="6" t="e">
        <f t="shared" si="40"/>
        <v>#N/A</v>
      </c>
      <c r="J874" s="6" t="e">
        <f t="shared" si="41"/>
        <v>#N/A</v>
      </c>
    </row>
    <row r="875" spans="2:10" x14ac:dyDescent="0.3">
      <c r="B875" t="e">
        <f>VLOOKUP(A875,'Clientes CBOT'!A:D,4,0)</f>
        <v>#N/A</v>
      </c>
      <c r="C875" s="7" t="e">
        <f>VLOOKUP(A875,'Statement base'!E:AO,21,0)</f>
        <v>#N/A</v>
      </c>
      <c r="D875" s="7" t="e">
        <f>VLOOKUP(A875,'Statement base'!E:AO,10,0)-VLOOKUP(A875,'Statement base'!E:AO,21,0)</f>
        <v>#N/A</v>
      </c>
      <c r="E875" t="s">
        <v>188</v>
      </c>
      <c r="F875" s="6" t="e">
        <f>VLOOKUP(A875,'Statement base'!E:AO,10,0)+VLOOKUP(A875,'Statement base'!E:AO,14,0)</f>
        <v>#N/A</v>
      </c>
      <c r="G875" s="61" t="e">
        <f>VLOOKUP(A875,'Clientes CBOT'!A:E,5,0)</f>
        <v>#N/A</v>
      </c>
      <c r="H875" t="str">
        <f t="shared" si="39"/>
        <v>Hard</v>
      </c>
      <c r="I875" s="6" t="e">
        <f t="shared" si="40"/>
        <v>#N/A</v>
      </c>
      <c r="J875" s="6" t="e">
        <f t="shared" si="41"/>
        <v>#N/A</v>
      </c>
    </row>
    <row r="876" spans="2:10" x14ac:dyDescent="0.3">
      <c r="B876" t="e">
        <f>VLOOKUP(A876,'Clientes CBOT'!A:D,4,0)</f>
        <v>#N/A</v>
      </c>
      <c r="C876" s="7" t="e">
        <f>VLOOKUP(A876,'Statement base'!E:AO,21,0)</f>
        <v>#N/A</v>
      </c>
      <c r="D876" s="7" t="e">
        <f>VLOOKUP(A876,'Statement base'!E:AO,10,0)-VLOOKUP(A876,'Statement base'!E:AO,21,0)</f>
        <v>#N/A</v>
      </c>
      <c r="E876" t="s">
        <v>188</v>
      </c>
      <c r="F876" s="6" t="e">
        <f>VLOOKUP(A876,'Statement base'!E:AO,10,0)+VLOOKUP(A876,'Statement base'!E:AO,14,0)</f>
        <v>#N/A</v>
      </c>
      <c r="G876" s="61" t="e">
        <f>VLOOKUP(A876,'Clientes CBOT'!A:E,5,0)</f>
        <v>#N/A</v>
      </c>
      <c r="H876" t="str">
        <f t="shared" si="39"/>
        <v>Hard</v>
      </c>
      <c r="I876" s="6" t="e">
        <f t="shared" si="40"/>
        <v>#N/A</v>
      </c>
      <c r="J876" s="6" t="e">
        <f t="shared" si="41"/>
        <v>#N/A</v>
      </c>
    </row>
    <row r="877" spans="2:10" x14ac:dyDescent="0.3">
      <c r="B877" t="e">
        <f>VLOOKUP(A877,'Clientes CBOT'!A:D,4,0)</f>
        <v>#N/A</v>
      </c>
      <c r="C877" s="7" t="e">
        <f>VLOOKUP(A877,'Statement base'!E:AO,21,0)</f>
        <v>#N/A</v>
      </c>
      <c r="D877" s="7" t="e">
        <f>VLOOKUP(A877,'Statement base'!E:AO,10,0)-VLOOKUP(A877,'Statement base'!E:AO,21,0)</f>
        <v>#N/A</v>
      </c>
      <c r="E877" t="s">
        <v>188</v>
      </c>
      <c r="F877" s="6" t="e">
        <f>VLOOKUP(A877,'Statement base'!E:AO,10,0)+VLOOKUP(A877,'Statement base'!E:AO,14,0)</f>
        <v>#N/A</v>
      </c>
      <c r="G877" s="61" t="e">
        <f>VLOOKUP(A877,'Clientes CBOT'!A:E,5,0)</f>
        <v>#N/A</v>
      </c>
      <c r="H877" t="str">
        <f t="shared" si="39"/>
        <v>Hard</v>
      </c>
      <c r="I877" s="6" t="e">
        <f t="shared" si="40"/>
        <v>#N/A</v>
      </c>
      <c r="J877" s="6" t="e">
        <f t="shared" si="41"/>
        <v>#N/A</v>
      </c>
    </row>
    <row r="878" spans="2:10" x14ac:dyDescent="0.3">
      <c r="B878" t="e">
        <f>VLOOKUP(A878,'Clientes CBOT'!A:D,4,0)</f>
        <v>#N/A</v>
      </c>
      <c r="C878" s="7" t="e">
        <f>VLOOKUP(A878,'Statement base'!E:AO,21,0)</f>
        <v>#N/A</v>
      </c>
      <c r="D878" s="7" t="e">
        <f>VLOOKUP(A878,'Statement base'!E:AO,10,0)-VLOOKUP(A878,'Statement base'!E:AO,21,0)</f>
        <v>#N/A</v>
      </c>
      <c r="E878" t="s">
        <v>188</v>
      </c>
      <c r="F878" s="6" t="e">
        <f>VLOOKUP(A878,'Statement base'!E:AO,10,0)+VLOOKUP(A878,'Statement base'!E:AO,14,0)</f>
        <v>#N/A</v>
      </c>
      <c r="G878" s="61" t="e">
        <f>VLOOKUP(A878,'Clientes CBOT'!A:E,5,0)</f>
        <v>#N/A</v>
      </c>
      <c r="H878" t="str">
        <f t="shared" si="39"/>
        <v>Hard</v>
      </c>
      <c r="I878" s="6" t="e">
        <f t="shared" si="40"/>
        <v>#N/A</v>
      </c>
      <c r="J878" s="6" t="e">
        <f t="shared" si="41"/>
        <v>#N/A</v>
      </c>
    </row>
    <row r="879" spans="2:10" x14ac:dyDescent="0.3">
      <c r="B879" t="e">
        <f>VLOOKUP(A879,'Clientes CBOT'!A:D,4,0)</f>
        <v>#N/A</v>
      </c>
      <c r="C879" s="7" t="e">
        <f>VLOOKUP(A879,'Statement base'!E:AO,21,0)</f>
        <v>#N/A</v>
      </c>
      <c r="D879" s="7" t="e">
        <f>VLOOKUP(A879,'Statement base'!E:AO,10,0)-VLOOKUP(A879,'Statement base'!E:AO,21,0)</f>
        <v>#N/A</v>
      </c>
      <c r="E879" t="s">
        <v>188</v>
      </c>
      <c r="F879" s="6" t="e">
        <f>VLOOKUP(A879,'Statement base'!E:AO,10,0)+VLOOKUP(A879,'Statement base'!E:AO,14,0)</f>
        <v>#N/A</v>
      </c>
      <c r="G879" s="61" t="e">
        <f>VLOOKUP(A879,'Clientes CBOT'!A:E,5,0)</f>
        <v>#N/A</v>
      </c>
      <c r="H879" t="str">
        <f t="shared" si="39"/>
        <v>Hard</v>
      </c>
      <c r="I879" s="6" t="e">
        <f t="shared" si="40"/>
        <v>#N/A</v>
      </c>
      <c r="J879" s="6" t="e">
        <f t="shared" si="41"/>
        <v>#N/A</v>
      </c>
    </row>
    <row r="880" spans="2:10" x14ac:dyDescent="0.3">
      <c r="B880" t="e">
        <f>VLOOKUP(A880,'Clientes CBOT'!A:D,4,0)</f>
        <v>#N/A</v>
      </c>
      <c r="C880" s="7" t="e">
        <f>VLOOKUP(A880,'Statement base'!E:AO,21,0)</f>
        <v>#N/A</v>
      </c>
      <c r="D880" s="7" t="e">
        <f>VLOOKUP(A880,'Statement base'!E:AO,10,0)-VLOOKUP(A880,'Statement base'!E:AO,21,0)</f>
        <v>#N/A</v>
      </c>
      <c r="E880" t="s">
        <v>188</v>
      </c>
      <c r="F880" s="6" t="e">
        <f>VLOOKUP(A880,'Statement base'!E:AO,10,0)+VLOOKUP(A880,'Statement base'!E:AO,14,0)</f>
        <v>#N/A</v>
      </c>
      <c r="G880" s="61" t="e">
        <f>VLOOKUP(A880,'Clientes CBOT'!A:E,5,0)</f>
        <v>#N/A</v>
      </c>
      <c r="H880" t="str">
        <f t="shared" si="39"/>
        <v>Hard</v>
      </c>
      <c r="I880" s="6" t="e">
        <f t="shared" si="40"/>
        <v>#N/A</v>
      </c>
      <c r="J880" s="6" t="e">
        <f t="shared" si="41"/>
        <v>#N/A</v>
      </c>
    </row>
    <row r="881" spans="2:10" x14ac:dyDescent="0.3">
      <c r="B881" t="e">
        <f>VLOOKUP(A881,'Clientes CBOT'!A:D,4,0)</f>
        <v>#N/A</v>
      </c>
      <c r="C881" s="7" t="e">
        <f>VLOOKUP(A881,'Statement base'!E:AO,21,0)</f>
        <v>#N/A</v>
      </c>
      <c r="D881" s="7" t="e">
        <f>VLOOKUP(A881,'Statement base'!E:AO,10,0)-VLOOKUP(A881,'Statement base'!E:AO,21,0)</f>
        <v>#N/A</v>
      </c>
      <c r="E881" t="s">
        <v>188</v>
      </c>
      <c r="F881" s="6" t="e">
        <f>VLOOKUP(A881,'Statement base'!E:AO,10,0)+VLOOKUP(A881,'Statement base'!E:AO,14,0)</f>
        <v>#N/A</v>
      </c>
      <c r="G881" s="61" t="e">
        <f>VLOOKUP(A881,'Clientes CBOT'!A:E,5,0)</f>
        <v>#N/A</v>
      </c>
      <c r="H881" t="str">
        <f t="shared" si="39"/>
        <v>Hard</v>
      </c>
      <c r="I881" s="6" t="e">
        <f t="shared" si="40"/>
        <v>#N/A</v>
      </c>
      <c r="J881" s="6" t="e">
        <f t="shared" si="41"/>
        <v>#N/A</v>
      </c>
    </row>
    <row r="882" spans="2:10" x14ac:dyDescent="0.3">
      <c r="B882" t="e">
        <f>VLOOKUP(A882,'Clientes CBOT'!A:D,4,0)</f>
        <v>#N/A</v>
      </c>
      <c r="C882" s="7" t="e">
        <f>VLOOKUP(A882,'Statement base'!E:AO,21,0)</f>
        <v>#N/A</v>
      </c>
      <c r="D882" s="7" t="e">
        <f>VLOOKUP(A882,'Statement base'!E:AO,10,0)-VLOOKUP(A882,'Statement base'!E:AO,21,0)</f>
        <v>#N/A</v>
      </c>
      <c r="E882" t="s">
        <v>188</v>
      </c>
      <c r="F882" s="6" t="e">
        <f>VLOOKUP(A882,'Statement base'!E:AO,10,0)+VLOOKUP(A882,'Statement base'!E:AO,14,0)</f>
        <v>#N/A</v>
      </c>
      <c r="G882" s="61" t="e">
        <f>VLOOKUP(A882,'Clientes CBOT'!A:E,5,0)</f>
        <v>#N/A</v>
      </c>
      <c r="H882" t="str">
        <f t="shared" si="39"/>
        <v>Hard</v>
      </c>
      <c r="I882" s="6" t="e">
        <f t="shared" si="40"/>
        <v>#N/A</v>
      </c>
      <c r="J882" s="6" t="e">
        <f t="shared" si="41"/>
        <v>#N/A</v>
      </c>
    </row>
    <row r="883" spans="2:10" x14ac:dyDescent="0.3">
      <c r="B883" t="e">
        <f>VLOOKUP(A883,'Clientes CBOT'!A:D,4,0)</f>
        <v>#N/A</v>
      </c>
      <c r="C883" s="7" t="e">
        <f>VLOOKUP(A883,'Statement base'!E:AO,21,0)</f>
        <v>#N/A</v>
      </c>
      <c r="D883" s="7" t="e">
        <f>VLOOKUP(A883,'Statement base'!E:AO,10,0)-VLOOKUP(A883,'Statement base'!E:AO,21,0)</f>
        <v>#N/A</v>
      </c>
      <c r="E883" t="s">
        <v>188</v>
      </c>
      <c r="F883" s="6" t="e">
        <f>VLOOKUP(A883,'Statement base'!E:AO,10,0)+VLOOKUP(A883,'Statement base'!E:AO,14,0)</f>
        <v>#N/A</v>
      </c>
      <c r="G883" s="61" t="e">
        <f>VLOOKUP(A883,'Clientes CBOT'!A:E,5,0)</f>
        <v>#N/A</v>
      </c>
      <c r="H883" t="str">
        <f t="shared" si="39"/>
        <v>Hard</v>
      </c>
      <c r="I883" s="6" t="e">
        <f t="shared" si="40"/>
        <v>#N/A</v>
      </c>
      <c r="J883" s="6" t="e">
        <f t="shared" si="41"/>
        <v>#N/A</v>
      </c>
    </row>
    <row r="884" spans="2:10" x14ac:dyDescent="0.3">
      <c r="B884" t="e">
        <f>VLOOKUP(A884,'Clientes CBOT'!A:D,4,0)</f>
        <v>#N/A</v>
      </c>
      <c r="C884" s="7" t="e">
        <f>VLOOKUP(A884,'Statement base'!E:AO,21,0)</f>
        <v>#N/A</v>
      </c>
      <c r="D884" s="7" t="e">
        <f>VLOOKUP(A884,'Statement base'!E:AO,10,0)-VLOOKUP(A884,'Statement base'!E:AO,21,0)</f>
        <v>#N/A</v>
      </c>
      <c r="E884" t="s">
        <v>188</v>
      </c>
      <c r="F884" s="6" t="e">
        <f>VLOOKUP(A884,'Statement base'!E:AO,10,0)+VLOOKUP(A884,'Statement base'!E:AO,14,0)</f>
        <v>#N/A</v>
      </c>
      <c r="G884" s="61" t="e">
        <f>VLOOKUP(A884,'Clientes CBOT'!A:E,5,0)</f>
        <v>#N/A</v>
      </c>
      <c r="H884" t="str">
        <f t="shared" si="39"/>
        <v>Hard</v>
      </c>
      <c r="I884" s="6" t="e">
        <f t="shared" si="40"/>
        <v>#N/A</v>
      </c>
      <c r="J884" s="6" t="e">
        <f t="shared" si="41"/>
        <v>#N/A</v>
      </c>
    </row>
    <row r="885" spans="2:10" x14ac:dyDescent="0.3">
      <c r="B885" t="e">
        <f>VLOOKUP(A885,'Clientes CBOT'!A:D,4,0)</f>
        <v>#N/A</v>
      </c>
      <c r="C885" s="7" t="e">
        <f>VLOOKUP(A885,'Statement base'!E:AO,21,0)</f>
        <v>#N/A</v>
      </c>
      <c r="D885" s="7" t="e">
        <f>VLOOKUP(A885,'Statement base'!E:AO,10,0)-VLOOKUP(A885,'Statement base'!E:AO,21,0)</f>
        <v>#N/A</v>
      </c>
      <c r="E885" t="s">
        <v>188</v>
      </c>
      <c r="F885" s="6" t="e">
        <f>VLOOKUP(A885,'Statement base'!E:AO,10,0)+VLOOKUP(A885,'Statement base'!E:AO,14,0)</f>
        <v>#N/A</v>
      </c>
      <c r="G885" s="61" t="e">
        <f>VLOOKUP(A885,'Clientes CBOT'!A:E,5,0)</f>
        <v>#N/A</v>
      </c>
      <c r="H885" t="str">
        <f t="shared" si="39"/>
        <v>Hard</v>
      </c>
      <c r="I885" s="6" t="e">
        <f t="shared" si="40"/>
        <v>#N/A</v>
      </c>
      <c r="J885" s="6" t="e">
        <f t="shared" si="41"/>
        <v>#N/A</v>
      </c>
    </row>
    <row r="886" spans="2:10" x14ac:dyDescent="0.3">
      <c r="B886" t="e">
        <f>VLOOKUP(A886,'Clientes CBOT'!A:D,4,0)</f>
        <v>#N/A</v>
      </c>
      <c r="C886" s="7" t="e">
        <f>VLOOKUP(A886,'Statement base'!E:AO,21,0)</f>
        <v>#N/A</v>
      </c>
      <c r="D886" s="7" t="e">
        <f>VLOOKUP(A886,'Statement base'!E:AO,10,0)-VLOOKUP(A886,'Statement base'!E:AO,21,0)</f>
        <v>#N/A</v>
      </c>
      <c r="E886" t="s">
        <v>188</v>
      </c>
      <c r="F886" s="6" t="e">
        <f>VLOOKUP(A886,'Statement base'!E:AO,10,0)+VLOOKUP(A886,'Statement base'!E:AO,14,0)</f>
        <v>#N/A</v>
      </c>
      <c r="G886" s="61" t="e">
        <f>VLOOKUP(A886,'Clientes CBOT'!A:E,5,0)</f>
        <v>#N/A</v>
      </c>
      <c r="H886" t="str">
        <f t="shared" si="39"/>
        <v>Hard</v>
      </c>
      <c r="I886" s="6" t="e">
        <f t="shared" si="40"/>
        <v>#N/A</v>
      </c>
      <c r="J886" s="6" t="e">
        <f t="shared" si="41"/>
        <v>#N/A</v>
      </c>
    </row>
    <row r="887" spans="2:10" x14ac:dyDescent="0.3">
      <c r="B887" t="e">
        <f>VLOOKUP(A887,'Clientes CBOT'!A:D,4,0)</f>
        <v>#N/A</v>
      </c>
      <c r="C887" s="7" t="e">
        <f>VLOOKUP(A887,'Statement base'!E:AO,21,0)</f>
        <v>#N/A</v>
      </c>
      <c r="D887" s="7" t="e">
        <f>VLOOKUP(A887,'Statement base'!E:AO,10,0)-VLOOKUP(A887,'Statement base'!E:AO,21,0)</f>
        <v>#N/A</v>
      </c>
      <c r="E887" t="s">
        <v>188</v>
      </c>
      <c r="F887" s="6" t="e">
        <f>VLOOKUP(A887,'Statement base'!E:AO,10,0)+VLOOKUP(A887,'Statement base'!E:AO,14,0)</f>
        <v>#N/A</v>
      </c>
      <c r="G887" s="61" t="e">
        <f>VLOOKUP(A887,'Clientes CBOT'!A:E,5,0)</f>
        <v>#N/A</v>
      </c>
      <c r="H887" t="str">
        <f t="shared" si="39"/>
        <v>Hard</v>
      </c>
      <c r="I887" s="6" t="e">
        <f t="shared" si="40"/>
        <v>#N/A</v>
      </c>
      <c r="J887" s="6" t="e">
        <f t="shared" si="41"/>
        <v>#N/A</v>
      </c>
    </row>
    <row r="888" spans="2:10" x14ac:dyDescent="0.3">
      <c r="B888" t="e">
        <f>VLOOKUP(A888,'Clientes CBOT'!A:D,4,0)</f>
        <v>#N/A</v>
      </c>
      <c r="C888" s="7" t="e">
        <f>VLOOKUP(A888,'Statement base'!E:AO,21,0)</f>
        <v>#N/A</v>
      </c>
      <c r="D888" s="7" t="e">
        <f>VLOOKUP(A888,'Statement base'!E:AO,10,0)-VLOOKUP(A888,'Statement base'!E:AO,21,0)</f>
        <v>#N/A</v>
      </c>
      <c r="E888" t="s">
        <v>188</v>
      </c>
      <c r="F888" s="6" t="e">
        <f>VLOOKUP(A888,'Statement base'!E:AO,10,0)+VLOOKUP(A888,'Statement base'!E:AO,14,0)</f>
        <v>#N/A</v>
      </c>
      <c r="G888" s="61" t="e">
        <f>VLOOKUP(A888,'Clientes CBOT'!A:E,5,0)</f>
        <v>#N/A</v>
      </c>
      <c r="H888" t="str">
        <f t="shared" si="39"/>
        <v>Hard</v>
      </c>
      <c r="I888" s="6" t="e">
        <f t="shared" si="40"/>
        <v>#N/A</v>
      </c>
      <c r="J888" s="6" t="e">
        <f t="shared" si="41"/>
        <v>#N/A</v>
      </c>
    </row>
    <row r="889" spans="2:10" x14ac:dyDescent="0.3">
      <c r="B889" t="e">
        <f>VLOOKUP(A889,'Clientes CBOT'!A:D,4,0)</f>
        <v>#N/A</v>
      </c>
      <c r="C889" s="7" t="e">
        <f>VLOOKUP(A889,'Statement base'!E:AO,21,0)</f>
        <v>#N/A</v>
      </c>
      <c r="D889" s="7" t="e">
        <f>VLOOKUP(A889,'Statement base'!E:AO,10,0)-VLOOKUP(A889,'Statement base'!E:AO,21,0)</f>
        <v>#N/A</v>
      </c>
      <c r="E889" t="s">
        <v>188</v>
      </c>
      <c r="F889" s="6" t="e">
        <f>VLOOKUP(A889,'Statement base'!E:AO,10,0)+VLOOKUP(A889,'Statement base'!E:AO,14,0)</f>
        <v>#N/A</v>
      </c>
      <c r="G889" s="61" t="e">
        <f>VLOOKUP(A889,'Clientes CBOT'!A:E,5,0)</f>
        <v>#N/A</v>
      </c>
      <c r="H889" t="str">
        <f t="shared" si="39"/>
        <v>Hard</v>
      </c>
      <c r="I889" s="6" t="e">
        <f t="shared" si="40"/>
        <v>#N/A</v>
      </c>
      <c r="J889" s="6" t="e">
        <f t="shared" si="41"/>
        <v>#N/A</v>
      </c>
    </row>
    <row r="890" spans="2:10" x14ac:dyDescent="0.3">
      <c r="B890" t="e">
        <f>VLOOKUP(A890,'Clientes CBOT'!A:D,4,0)</f>
        <v>#N/A</v>
      </c>
      <c r="C890" s="7" t="e">
        <f>VLOOKUP(A890,'Statement base'!E:AO,21,0)</f>
        <v>#N/A</v>
      </c>
      <c r="D890" s="7" t="e">
        <f>VLOOKUP(A890,'Statement base'!E:AO,10,0)-VLOOKUP(A890,'Statement base'!E:AO,21,0)</f>
        <v>#N/A</v>
      </c>
      <c r="E890" t="s">
        <v>188</v>
      </c>
      <c r="F890" s="6" t="e">
        <f>VLOOKUP(A890,'Statement base'!E:AO,10,0)+VLOOKUP(A890,'Statement base'!E:AO,14,0)</f>
        <v>#N/A</v>
      </c>
      <c r="G890" s="61" t="e">
        <f>VLOOKUP(A890,'Clientes CBOT'!A:E,5,0)</f>
        <v>#N/A</v>
      </c>
      <c r="H890" t="str">
        <f t="shared" si="39"/>
        <v>Hard</v>
      </c>
      <c r="I890" s="6" t="e">
        <f t="shared" si="40"/>
        <v>#N/A</v>
      </c>
      <c r="J890" s="6" t="e">
        <f t="shared" si="41"/>
        <v>#N/A</v>
      </c>
    </row>
    <row r="891" spans="2:10" x14ac:dyDescent="0.3">
      <c r="B891" t="e">
        <f>VLOOKUP(A891,'Clientes CBOT'!A:D,4,0)</f>
        <v>#N/A</v>
      </c>
      <c r="C891" s="7" t="e">
        <f>VLOOKUP(A891,'Statement base'!E:AO,21,0)</f>
        <v>#N/A</v>
      </c>
      <c r="D891" s="7" t="e">
        <f>VLOOKUP(A891,'Statement base'!E:AO,10,0)-VLOOKUP(A891,'Statement base'!E:AO,21,0)</f>
        <v>#N/A</v>
      </c>
      <c r="E891" t="s">
        <v>188</v>
      </c>
      <c r="F891" s="6" t="e">
        <f>VLOOKUP(A891,'Statement base'!E:AO,10,0)+VLOOKUP(A891,'Statement base'!E:AO,14,0)</f>
        <v>#N/A</v>
      </c>
      <c r="G891" s="61" t="e">
        <f>VLOOKUP(A891,'Clientes CBOT'!A:E,5,0)</f>
        <v>#N/A</v>
      </c>
      <c r="H891" t="str">
        <f t="shared" si="39"/>
        <v>Hard</v>
      </c>
      <c r="I891" s="6" t="e">
        <f t="shared" si="40"/>
        <v>#N/A</v>
      </c>
      <c r="J891" s="6" t="e">
        <f t="shared" si="41"/>
        <v>#N/A</v>
      </c>
    </row>
    <row r="892" spans="2:10" x14ac:dyDescent="0.3">
      <c r="B892" t="e">
        <f>VLOOKUP(A892,'Clientes CBOT'!A:D,4,0)</f>
        <v>#N/A</v>
      </c>
      <c r="C892" s="7" t="e">
        <f>VLOOKUP(A892,'Statement base'!E:AO,21,0)</f>
        <v>#N/A</v>
      </c>
      <c r="D892" s="7" t="e">
        <f>VLOOKUP(A892,'Statement base'!E:AO,10,0)-VLOOKUP(A892,'Statement base'!E:AO,21,0)</f>
        <v>#N/A</v>
      </c>
      <c r="E892" t="s">
        <v>188</v>
      </c>
      <c r="F892" s="6" t="e">
        <f>VLOOKUP(A892,'Statement base'!E:AO,10,0)+VLOOKUP(A892,'Statement base'!E:AO,14,0)</f>
        <v>#N/A</v>
      </c>
      <c r="G892" s="61" t="e">
        <f>VLOOKUP(A892,'Clientes CBOT'!A:E,5,0)</f>
        <v>#N/A</v>
      </c>
      <c r="H892" t="str">
        <f t="shared" si="39"/>
        <v>Hard</v>
      </c>
      <c r="I892" s="6" t="e">
        <f t="shared" si="40"/>
        <v>#N/A</v>
      </c>
      <c r="J892" s="6" t="e">
        <f t="shared" si="41"/>
        <v>#N/A</v>
      </c>
    </row>
    <row r="893" spans="2:10" x14ac:dyDescent="0.3">
      <c r="B893" t="e">
        <f>VLOOKUP(A893,'Clientes CBOT'!A:D,4,0)</f>
        <v>#N/A</v>
      </c>
      <c r="C893" s="7" t="e">
        <f>VLOOKUP(A893,'Statement base'!E:AO,21,0)</f>
        <v>#N/A</v>
      </c>
      <c r="D893" s="7" t="e">
        <f>VLOOKUP(A893,'Statement base'!E:AO,10,0)-VLOOKUP(A893,'Statement base'!E:AO,21,0)</f>
        <v>#N/A</v>
      </c>
      <c r="E893" t="s">
        <v>188</v>
      </c>
      <c r="F893" s="6" t="e">
        <f>VLOOKUP(A893,'Statement base'!E:AO,10,0)+VLOOKUP(A893,'Statement base'!E:AO,14,0)</f>
        <v>#N/A</v>
      </c>
      <c r="G893" s="61" t="e">
        <f>VLOOKUP(A893,'Clientes CBOT'!A:E,5,0)</f>
        <v>#N/A</v>
      </c>
      <c r="H893" t="str">
        <f t="shared" si="39"/>
        <v>Hard</v>
      </c>
      <c r="I893" s="6" t="e">
        <f t="shared" si="40"/>
        <v>#N/A</v>
      </c>
      <c r="J893" s="6" t="e">
        <f t="shared" si="41"/>
        <v>#N/A</v>
      </c>
    </row>
    <row r="894" spans="2:10" x14ac:dyDescent="0.3">
      <c r="B894" t="e">
        <f>VLOOKUP(A894,'Clientes CBOT'!A:D,4,0)</f>
        <v>#N/A</v>
      </c>
      <c r="C894" s="7" t="e">
        <f>VLOOKUP(A894,'Statement base'!E:AO,21,0)</f>
        <v>#N/A</v>
      </c>
      <c r="D894" s="7" t="e">
        <f>VLOOKUP(A894,'Statement base'!E:AO,10,0)-VLOOKUP(A894,'Statement base'!E:AO,21,0)</f>
        <v>#N/A</v>
      </c>
      <c r="E894" t="s">
        <v>188</v>
      </c>
      <c r="F894" s="6" t="e">
        <f>VLOOKUP(A894,'Statement base'!E:AO,10,0)+VLOOKUP(A894,'Statement base'!E:AO,14,0)</f>
        <v>#N/A</v>
      </c>
      <c r="G894" s="61" t="e">
        <f>VLOOKUP(A894,'Clientes CBOT'!A:E,5,0)</f>
        <v>#N/A</v>
      </c>
      <c r="H894" t="str">
        <f t="shared" si="39"/>
        <v>Hard</v>
      </c>
      <c r="I894" s="6" t="e">
        <f t="shared" si="40"/>
        <v>#N/A</v>
      </c>
      <c r="J894" s="6" t="e">
        <f t="shared" si="41"/>
        <v>#N/A</v>
      </c>
    </row>
    <row r="895" spans="2:10" x14ac:dyDescent="0.3">
      <c r="B895" t="e">
        <f>VLOOKUP(A895,'Clientes CBOT'!A:D,4,0)</f>
        <v>#N/A</v>
      </c>
      <c r="C895" s="7" t="e">
        <f>VLOOKUP(A895,'Statement base'!E:AO,21,0)</f>
        <v>#N/A</v>
      </c>
      <c r="D895" s="7" t="e">
        <f>VLOOKUP(A895,'Statement base'!E:AO,10,0)-VLOOKUP(A895,'Statement base'!E:AO,21,0)</f>
        <v>#N/A</v>
      </c>
      <c r="E895" t="s">
        <v>188</v>
      </c>
      <c r="F895" s="6" t="e">
        <f>VLOOKUP(A895,'Statement base'!E:AO,10,0)+VLOOKUP(A895,'Statement base'!E:AO,14,0)</f>
        <v>#N/A</v>
      </c>
      <c r="G895" s="61" t="e">
        <f>VLOOKUP(A895,'Clientes CBOT'!A:E,5,0)</f>
        <v>#N/A</v>
      </c>
      <c r="H895" t="str">
        <f t="shared" si="39"/>
        <v>Hard</v>
      </c>
      <c r="I895" s="6" t="e">
        <f t="shared" si="40"/>
        <v>#N/A</v>
      </c>
      <c r="J895" s="6" t="e">
        <f t="shared" si="41"/>
        <v>#N/A</v>
      </c>
    </row>
    <row r="896" spans="2:10" x14ac:dyDescent="0.3">
      <c r="B896" t="e">
        <f>VLOOKUP(A896,'Clientes CBOT'!A:D,4,0)</f>
        <v>#N/A</v>
      </c>
      <c r="C896" s="7" t="e">
        <f>VLOOKUP(A896,'Statement base'!E:AO,21,0)</f>
        <v>#N/A</v>
      </c>
      <c r="D896" s="7" t="e">
        <f>VLOOKUP(A896,'Statement base'!E:AO,10,0)-VLOOKUP(A896,'Statement base'!E:AO,21,0)</f>
        <v>#N/A</v>
      </c>
      <c r="E896" t="s">
        <v>188</v>
      </c>
      <c r="F896" s="6" t="e">
        <f>VLOOKUP(A896,'Statement base'!E:AO,10,0)+VLOOKUP(A896,'Statement base'!E:AO,14,0)</f>
        <v>#N/A</v>
      </c>
      <c r="G896" s="61" t="e">
        <f>VLOOKUP(A896,'Clientes CBOT'!A:E,5,0)</f>
        <v>#N/A</v>
      </c>
      <c r="H896" t="str">
        <f t="shared" si="39"/>
        <v>Hard</v>
      </c>
      <c r="I896" s="6" t="e">
        <f t="shared" si="40"/>
        <v>#N/A</v>
      </c>
      <c r="J896" s="6" t="e">
        <f t="shared" si="41"/>
        <v>#N/A</v>
      </c>
    </row>
    <row r="897" spans="2:10" x14ac:dyDescent="0.3">
      <c r="B897" t="e">
        <f>VLOOKUP(A897,'Clientes CBOT'!A:D,4,0)</f>
        <v>#N/A</v>
      </c>
      <c r="C897" s="7" t="e">
        <f>VLOOKUP(A897,'Statement base'!E:AO,21,0)</f>
        <v>#N/A</v>
      </c>
      <c r="D897" s="7" t="e">
        <f>VLOOKUP(A897,'Statement base'!E:AO,10,0)-VLOOKUP(A897,'Statement base'!E:AO,21,0)</f>
        <v>#N/A</v>
      </c>
      <c r="E897" t="s">
        <v>188</v>
      </c>
      <c r="F897" s="6" t="e">
        <f>VLOOKUP(A897,'Statement base'!E:AO,10,0)+VLOOKUP(A897,'Statement base'!E:AO,14,0)</f>
        <v>#N/A</v>
      </c>
      <c r="G897" s="61" t="e">
        <f>VLOOKUP(A897,'Clientes CBOT'!A:E,5,0)</f>
        <v>#N/A</v>
      </c>
      <c r="H897" t="str">
        <f t="shared" si="39"/>
        <v>Hard</v>
      </c>
      <c r="I897" s="6" t="e">
        <f t="shared" si="40"/>
        <v>#N/A</v>
      </c>
      <c r="J897" s="6" t="e">
        <f t="shared" si="41"/>
        <v>#N/A</v>
      </c>
    </row>
    <row r="898" spans="2:10" x14ac:dyDescent="0.3">
      <c r="B898" t="e">
        <f>VLOOKUP(A898,'Clientes CBOT'!A:D,4,0)</f>
        <v>#N/A</v>
      </c>
      <c r="C898" s="7" t="e">
        <f>VLOOKUP(A898,'Statement base'!E:AO,21,0)</f>
        <v>#N/A</v>
      </c>
      <c r="D898" s="7" t="e">
        <f>VLOOKUP(A898,'Statement base'!E:AO,10,0)-VLOOKUP(A898,'Statement base'!E:AO,21,0)</f>
        <v>#N/A</v>
      </c>
      <c r="E898" t="s">
        <v>188</v>
      </c>
      <c r="F898" s="6" t="e">
        <f>VLOOKUP(A898,'Statement base'!E:AO,10,0)+VLOOKUP(A898,'Statement base'!E:AO,14,0)</f>
        <v>#N/A</v>
      </c>
      <c r="G898" s="61" t="e">
        <f>VLOOKUP(A898,'Clientes CBOT'!A:E,5,0)</f>
        <v>#N/A</v>
      </c>
      <c r="H898" t="str">
        <f t="shared" si="39"/>
        <v>Hard</v>
      </c>
      <c r="I898" s="6" t="e">
        <f t="shared" si="40"/>
        <v>#N/A</v>
      </c>
      <c r="J898" s="6" t="e">
        <f t="shared" si="41"/>
        <v>#N/A</v>
      </c>
    </row>
    <row r="899" spans="2:10" x14ac:dyDescent="0.3">
      <c r="B899" t="e">
        <f>VLOOKUP(A899,'Clientes CBOT'!A:D,4,0)</f>
        <v>#N/A</v>
      </c>
      <c r="C899" s="7" t="e">
        <f>VLOOKUP(A899,'Statement base'!E:AO,21,0)</f>
        <v>#N/A</v>
      </c>
      <c r="D899" s="7" t="e">
        <f>VLOOKUP(A899,'Statement base'!E:AO,10,0)-VLOOKUP(A899,'Statement base'!E:AO,21,0)</f>
        <v>#N/A</v>
      </c>
      <c r="E899" t="s">
        <v>188</v>
      </c>
      <c r="F899" s="6" t="e">
        <f>VLOOKUP(A899,'Statement base'!E:AO,10,0)+VLOOKUP(A899,'Statement base'!E:AO,14,0)</f>
        <v>#N/A</v>
      </c>
      <c r="G899" s="61" t="e">
        <f>VLOOKUP(A899,'Clientes CBOT'!A:E,5,0)</f>
        <v>#N/A</v>
      </c>
      <c r="H899" t="str">
        <f t="shared" si="39"/>
        <v>Hard</v>
      </c>
      <c r="I899" s="6" t="e">
        <f t="shared" si="40"/>
        <v>#N/A</v>
      </c>
      <c r="J899" s="6" t="e">
        <f t="shared" si="41"/>
        <v>#N/A</v>
      </c>
    </row>
    <row r="900" spans="2:10" x14ac:dyDescent="0.3">
      <c r="B900" t="e">
        <f>VLOOKUP(A900,'Clientes CBOT'!A:D,4,0)</f>
        <v>#N/A</v>
      </c>
      <c r="C900" s="7" t="e">
        <f>VLOOKUP(A900,'Statement base'!E:AO,21,0)</f>
        <v>#N/A</v>
      </c>
      <c r="D900" s="7" t="e">
        <f>VLOOKUP(A900,'Statement base'!E:AO,10,0)-VLOOKUP(A900,'Statement base'!E:AO,21,0)</f>
        <v>#N/A</v>
      </c>
      <c r="E900" t="s">
        <v>188</v>
      </c>
      <c r="F900" s="6" t="e">
        <f>VLOOKUP(A900,'Statement base'!E:AO,10,0)+VLOOKUP(A900,'Statement base'!E:AO,14,0)</f>
        <v>#N/A</v>
      </c>
      <c r="G900" s="61" t="e">
        <f>VLOOKUP(A900,'Clientes CBOT'!A:E,5,0)</f>
        <v>#N/A</v>
      </c>
      <c r="H900" t="str">
        <f t="shared" si="39"/>
        <v>Hard</v>
      </c>
      <c r="I900" s="6" t="e">
        <f t="shared" si="40"/>
        <v>#N/A</v>
      </c>
      <c r="J900" s="6" t="e">
        <f t="shared" si="41"/>
        <v>#N/A</v>
      </c>
    </row>
    <row r="901" spans="2:10" x14ac:dyDescent="0.3">
      <c r="B901" t="e">
        <f>VLOOKUP(A901,'Clientes CBOT'!A:D,4,0)</f>
        <v>#N/A</v>
      </c>
      <c r="C901" s="7" t="e">
        <f>VLOOKUP(A901,'Statement base'!E:AO,21,0)</f>
        <v>#N/A</v>
      </c>
      <c r="D901" s="7" t="e">
        <f>VLOOKUP(A901,'Statement base'!E:AO,10,0)-VLOOKUP(A901,'Statement base'!E:AO,21,0)</f>
        <v>#N/A</v>
      </c>
      <c r="E901" t="s">
        <v>188</v>
      </c>
      <c r="F901" s="6" t="e">
        <f>VLOOKUP(A901,'Statement base'!E:AO,10,0)+VLOOKUP(A901,'Statement base'!E:AO,14,0)</f>
        <v>#N/A</v>
      </c>
      <c r="G901" s="61" t="e">
        <f>VLOOKUP(A901,'Clientes CBOT'!A:E,5,0)</f>
        <v>#N/A</v>
      </c>
      <c r="H901" t="str">
        <f t="shared" ref="H901:H964" si="42">IF(E901="pesos","Ars",IF(E901="Dólar Matba Rofex","usd linked","Hard"))</f>
        <v>Hard</v>
      </c>
      <c r="I901" s="6" t="e">
        <f t="shared" ref="I901:I964" si="43">IF(H901="ars",C901/$J$1,IF(H901="hard",C901*$J$2/$J$1,C901))</f>
        <v>#N/A</v>
      </c>
      <c r="J901" s="6" t="e">
        <f t="shared" ref="J901:J964" si="44">IF(H901="ars",D901/$J$1,IF(H901="hard",D901*$J$2/$J$1,D901))</f>
        <v>#N/A</v>
      </c>
    </row>
    <row r="902" spans="2:10" x14ac:dyDescent="0.3">
      <c r="B902" t="e">
        <f>VLOOKUP(A902,'Clientes CBOT'!A:D,4,0)</f>
        <v>#N/A</v>
      </c>
      <c r="C902" s="7" t="e">
        <f>VLOOKUP(A902,'Statement base'!E:AO,21,0)</f>
        <v>#N/A</v>
      </c>
      <c r="D902" s="7" t="e">
        <f>VLOOKUP(A902,'Statement base'!E:AO,10,0)-VLOOKUP(A902,'Statement base'!E:AO,21,0)</f>
        <v>#N/A</v>
      </c>
      <c r="E902" t="s">
        <v>188</v>
      </c>
      <c r="F902" s="6" t="e">
        <f>VLOOKUP(A902,'Statement base'!E:AO,10,0)+VLOOKUP(A902,'Statement base'!E:AO,14,0)</f>
        <v>#N/A</v>
      </c>
      <c r="G902" s="61" t="e">
        <f>VLOOKUP(A902,'Clientes CBOT'!A:E,5,0)</f>
        <v>#N/A</v>
      </c>
      <c r="H902" t="str">
        <f t="shared" si="42"/>
        <v>Hard</v>
      </c>
      <c r="I902" s="6" t="e">
        <f t="shared" si="43"/>
        <v>#N/A</v>
      </c>
      <c r="J902" s="6" t="e">
        <f t="shared" si="44"/>
        <v>#N/A</v>
      </c>
    </row>
    <row r="903" spans="2:10" x14ac:dyDescent="0.3">
      <c r="B903" t="e">
        <f>VLOOKUP(A903,'Clientes CBOT'!A:D,4,0)</f>
        <v>#N/A</v>
      </c>
      <c r="C903" s="7" t="e">
        <f>VLOOKUP(A903,'Statement base'!E:AO,21,0)</f>
        <v>#N/A</v>
      </c>
      <c r="D903" s="7" t="e">
        <f>VLOOKUP(A903,'Statement base'!E:AO,10,0)-VLOOKUP(A903,'Statement base'!E:AO,21,0)</f>
        <v>#N/A</v>
      </c>
      <c r="E903" t="s">
        <v>188</v>
      </c>
      <c r="F903" s="6" t="e">
        <f>VLOOKUP(A903,'Statement base'!E:AO,10,0)+VLOOKUP(A903,'Statement base'!E:AO,14,0)</f>
        <v>#N/A</v>
      </c>
      <c r="G903" s="61" t="e">
        <f>VLOOKUP(A903,'Clientes CBOT'!A:E,5,0)</f>
        <v>#N/A</v>
      </c>
      <c r="H903" t="str">
        <f t="shared" si="42"/>
        <v>Hard</v>
      </c>
      <c r="I903" s="6" t="e">
        <f t="shared" si="43"/>
        <v>#N/A</v>
      </c>
      <c r="J903" s="6" t="e">
        <f t="shared" si="44"/>
        <v>#N/A</v>
      </c>
    </row>
    <row r="904" spans="2:10" x14ac:dyDescent="0.3">
      <c r="B904" t="e">
        <f>VLOOKUP(A904,'Clientes CBOT'!A:D,4,0)</f>
        <v>#N/A</v>
      </c>
      <c r="C904" s="7" t="e">
        <f>VLOOKUP(A904,'Statement base'!E:AO,21,0)</f>
        <v>#N/A</v>
      </c>
      <c r="D904" s="7" t="e">
        <f>VLOOKUP(A904,'Statement base'!E:AO,10,0)-VLOOKUP(A904,'Statement base'!E:AO,21,0)</f>
        <v>#N/A</v>
      </c>
      <c r="E904" t="s">
        <v>188</v>
      </c>
      <c r="F904" s="6" t="e">
        <f>VLOOKUP(A904,'Statement base'!E:AO,10,0)+VLOOKUP(A904,'Statement base'!E:AO,14,0)</f>
        <v>#N/A</v>
      </c>
      <c r="G904" s="61" t="e">
        <f>VLOOKUP(A904,'Clientes CBOT'!A:E,5,0)</f>
        <v>#N/A</v>
      </c>
      <c r="H904" t="str">
        <f t="shared" si="42"/>
        <v>Hard</v>
      </c>
      <c r="I904" s="6" t="e">
        <f t="shared" si="43"/>
        <v>#N/A</v>
      </c>
      <c r="J904" s="6" t="e">
        <f t="shared" si="44"/>
        <v>#N/A</v>
      </c>
    </row>
    <row r="905" spans="2:10" x14ac:dyDescent="0.3">
      <c r="B905" t="e">
        <f>VLOOKUP(A905,'Clientes CBOT'!A:D,4,0)</f>
        <v>#N/A</v>
      </c>
      <c r="C905" s="7" t="e">
        <f>VLOOKUP(A905,'Statement base'!E:AO,21,0)</f>
        <v>#N/A</v>
      </c>
      <c r="D905" s="7" t="e">
        <f>VLOOKUP(A905,'Statement base'!E:AO,10,0)-VLOOKUP(A905,'Statement base'!E:AO,21,0)</f>
        <v>#N/A</v>
      </c>
      <c r="E905" t="s">
        <v>188</v>
      </c>
      <c r="F905" s="6" t="e">
        <f>VLOOKUP(A905,'Statement base'!E:AO,10,0)+VLOOKUP(A905,'Statement base'!E:AO,14,0)</f>
        <v>#N/A</v>
      </c>
      <c r="G905" s="61" t="e">
        <f>VLOOKUP(A905,'Clientes CBOT'!A:E,5,0)</f>
        <v>#N/A</v>
      </c>
      <c r="H905" t="str">
        <f t="shared" si="42"/>
        <v>Hard</v>
      </c>
      <c r="I905" s="6" t="e">
        <f t="shared" si="43"/>
        <v>#N/A</v>
      </c>
      <c r="J905" s="6" t="e">
        <f t="shared" si="44"/>
        <v>#N/A</v>
      </c>
    </row>
    <row r="906" spans="2:10" x14ac:dyDescent="0.3">
      <c r="B906" t="e">
        <f>VLOOKUP(A906,'Clientes CBOT'!A:D,4,0)</f>
        <v>#N/A</v>
      </c>
      <c r="C906" s="7" t="e">
        <f>VLOOKUP(A906,'Statement base'!E:AO,21,0)</f>
        <v>#N/A</v>
      </c>
      <c r="D906" s="7" t="e">
        <f>VLOOKUP(A906,'Statement base'!E:AO,10,0)-VLOOKUP(A906,'Statement base'!E:AO,21,0)</f>
        <v>#N/A</v>
      </c>
      <c r="E906" t="s">
        <v>188</v>
      </c>
      <c r="F906" s="6" t="e">
        <f>VLOOKUP(A906,'Statement base'!E:AO,10,0)+VLOOKUP(A906,'Statement base'!E:AO,14,0)</f>
        <v>#N/A</v>
      </c>
      <c r="G906" s="61" t="e">
        <f>VLOOKUP(A906,'Clientes CBOT'!A:E,5,0)</f>
        <v>#N/A</v>
      </c>
      <c r="H906" t="str">
        <f t="shared" si="42"/>
        <v>Hard</v>
      </c>
      <c r="I906" s="6" t="e">
        <f t="shared" si="43"/>
        <v>#N/A</v>
      </c>
      <c r="J906" s="6" t="e">
        <f t="shared" si="44"/>
        <v>#N/A</v>
      </c>
    </row>
    <row r="907" spans="2:10" x14ac:dyDescent="0.3">
      <c r="B907" t="e">
        <f>VLOOKUP(A907,'Clientes CBOT'!A:D,4,0)</f>
        <v>#N/A</v>
      </c>
      <c r="C907" s="7" t="e">
        <f>VLOOKUP(A907,'Statement base'!E:AO,21,0)</f>
        <v>#N/A</v>
      </c>
      <c r="D907" s="7" t="e">
        <f>VLOOKUP(A907,'Statement base'!E:AO,10,0)-VLOOKUP(A907,'Statement base'!E:AO,21,0)</f>
        <v>#N/A</v>
      </c>
      <c r="E907" t="s">
        <v>188</v>
      </c>
      <c r="F907" s="6" t="e">
        <f>VLOOKUP(A907,'Statement base'!E:AO,10,0)+VLOOKUP(A907,'Statement base'!E:AO,14,0)</f>
        <v>#N/A</v>
      </c>
      <c r="G907" s="61" t="e">
        <f>VLOOKUP(A907,'Clientes CBOT'!A:E,5,0)</f>
        <v>#N/A</v>
      </c>
      <c r="H907" t="str">
        <f t="shared" si="42"/>
        <v>Hard</v>
      </c>
      <c r="I907" s="6" t="e">
        <f t="shared" si="43"/>
        <v>#N/A</v>
      </c>
      <c r="J907" s="6" t="e">
        <f t="shared" si="44"/>
        <v>#N/A</v>
      </c>
    </row>
    <row r="908" spans="2:10" x14ac:dyDescent="0.3">
      <c r="B908" t="e">
        <f>VLOOKUP(A908,'Clientes CBOT'!A:D,4,0)</f>
        <v>#N/A</v>
      </c>
      <c r="C908" s="7" t="e">
        <f>VLOOKUP(A908,'Statement base'!E:AO,21,0)</f>
        <v>#N/A</v>
      </c>
      <c r="D908" s="7" t="e">
        <f>VLOOKUP(A908,'Statement base'!E:AO,10,0)-VLOOKUP(A908,'Statement base'!E:AO,21,0)</f>
        <v>#N/A</v>
      </c>
      <c r="E908" t="s">
        <v>188</v>
      </c>
      <c r="F908" s="6" t="e">
        <f>VLOOKUP(A908,'Statement base'!E:AO,10,0)+VLOOKUP(A908,'Statement base'!E:AO,14,0)</f>
        <v>#N/A</v>
      </c>
      <c r="G908" s="61" t="e">
        <f>VLOOKUP(A908,'Clientes CBOT'!A:E,5,0)</f>
        <v>#N/A</v>
      </c>
      <c r="H908" t="str">
        <f t="shared" si="42"/>
        <v>Hard</v>
      </c>
      <c r="I908" s="6" t="e">
        <f t="shared" si="43"/>
        <v>#N/A</v>
      </c>
      <c r="J908" s="6" t="e">
        <f t="shared" si="44"/>
        <v>#N/A</v>
      </c>
    </row>
    <row r="909" spans="2:10" x14ac:dyDescent="0.3">
      <c r="B909" t="e">
        <f>VLOOKUP(A909,'Clientes CBOT'!A:D,4,0)</f>
        <v>#N/A</v>
      </c>
      <c r="C909" s="7" t="e">
        <f>VLOOKUP(A909,'Statement base'!E:AO,21,0)</f>
        <v>#N/A</v>
      </c>
      <c r="D909" s="7" t="e">
        <f>VLOOKUP(A909,'Statement base'!E:AO,10,0)-VLOOKUP(A909,'Statement base'!E:AO,21,0)</f>
        <v>#N/A</v>
      </c>
      <c r="E909" t="s">
        <v>188</v>
      </c>
      <c r="F909" s="6" t="e">
        <f>VLOOKUP(A909,'Statement base'!E:AO,10,0)+VLOOKUP(A909,'Statement base'!E:AO,14,0)</f>
        <v>#N/A</v>
      </c>
      <c r="G909" s="61" t="e">
        <f>VLOOKUP(A909,'Clientes CBOT'!A:E,5,0)</f>
        <v>#N/A</v>
      </c>
      <c r="H909" t="str">
        <f t="shared" si="42"/>
        <v>Hard</v>
      </c>
      <c r="I909" s="6" t="e">
        <f t="shared" si="43"/>
        <v>#N/A</v>
      </c>
      <c r="J909" s="6" t="e">
        <f t="shared" si="44"/>
        <v>#N/A</v>
      </c>
    </row>
    <row r="910" spans="2:10" x14ac:dyDescent="0.3">
      <c r="B910" t="e">
        <f>VLOOKUP(A910,'Clientes CBOT'!A:D,4,0)</f>
        <v>#N/A</v>
      </c>
      <c r="C910" s="7" t="e">
        <f>VLOOKUP(A910,'Statement base'!E:AO,21,0)</f>
        <v>#N/A</v>
      </c>
      <c r="D910" s="7" t="e">
        <f>VLOOKUP(A910,'Statement base'!E:AO,10,0)-VLOOKUP(A910,'Statement base'!E:AO,21,0)</f>
        <v>#N/A</v>
      </c>
      <c r="E910" t="s">
        <v>188</v>
      </c>
      <c r="F910" s="6" t="e">
        <f>VLOOKUP(A910,'Statement base'!E:AO,10,0)+VLOOKUP(A910,'Statement base'!E:AO,14,0)</f>
        <v>#N/A</v>
      </c>
      <c r="G910" s="61" t="e">
        <f>VLOOKUP(A910,'Clientes CBOT'!A:E,5,0)</f>
        <v>#N/A</v>
      </c>
      <c r="H910" t="str">
        <f t="shared" si="42"/>
        <v>Hard</v>
      </c>
      <c r="I910" s="6" t="e">
        <f t="shared" si="43"/>
        <v>#N/A</v>
      </c>
      <c r="J910" s="6" t="e">
        <f t="shared" si="44"/>
        <v>#N/A</v>
      </c>
    </row>
    <row r="911" spans="2:10" x14ac:dyDescent="0.3">
      <c r="B911" t="e">
        <f>VLOOKUP(A911,'Clientes CBOT'!A:D,4,0)</f>
        <v>#N/A</v>
      </c>
      <c r="C911" s="7" t="e">
        <f>VLOOKUP(A911,'Statement base'!E:AO,21,0)</f>
        <v>#N/A</v>
      </c>
      <c r="D911" s="7" t="e">
        <f>VLOOKUP(A911,'Statement base'!E:AO,10,0)-VLOOKUP(A911,'Statement base'!E:AO,21,0)</f>
        <v>#N/A</v>
      </c>
      <c r="E911" t="s">
        <v>188</v>
      </c>
      <c r="F911" s="6" t="e">
        <f>VLOOKUP(A911,'Statement base'!E:AO,10,0)+VLOOKUP(A911,'Statement base'!E:AO,14,0)</f>
        <v>#N/A</v>
      </c>
      <c r="G911" s="61" t="e">
        <f>VLOOKUP(A911,'Clientes CBOT'!A:E,5,0)</f>
        <v>#N/A</v>
      </c>
      <c r="H911" t="str">
        <f t="shared" si="42"/>
        <v>Hard</v>
      </c>
      <c r="I911" s="6" t="e">
        <f t="shared" si="43"/>
        <v>#N/A</v>
      </c>
      <c r="J911" s="6" t="e">
        <f t="shared" si="44"/>
        <v>#N/A</v>
      </c>
    </row>
    <row r="912" spans="2:10" x14ac:dyDescent="0.3">
      <c r="B912" t="e">
        <f>VLOOKUP(A912,'Clientes CBOT'!A:D,4,0)</f>
        <v>#N/A</v>
      </c>
      <c r="C912" s="7" t="e">
        <f>VLOOKUP(A912,'Statement base'!E:AO,21,0)</f>
        <v>#N/A</v>
      </c>
      <c r="D912" s="7" t="e">
        <f>VLOOKUP(A912,'Statement base'!E:AO,10,0)-VLOOKUP(A912,'Statement base'!E:AO,21,0)</f>
        <v>#N/A</v>
      </c>
      <c r="E912" t="s">
        <v>188</v>
      </c>
      <c r="F912" s="6" t="e">
        <f>VLOOKUP(A912,'Statement base'!E:AO,10,0)+VLOOKUP(A912,'Statement base'!E:AO,14,0)</f>
        <v>#N/A</v>
      </c>
      <c r="G912" s="61" t="e">
        <f>VLOOKUP(A912,'Clientes CBOT'!A:E,5,0)</f>
        <v>#N/A</v>
      </c>
      <c r="H912" t="str">
        <f t="shared" si="42"/>
        <v>Hard</v>
      </c>
      <c r="I912" s="6" t="e">
        <f t="shared" si="43"/>
        <v>#N/A</v>
      </c>
      <c r="J912" s="6" t="e">
        <f t="shared" si="44"/>
        <v>#N/A</v>
      </c>
    </row>
    <row r="913" spans="2:10" x14ac:dyDescent="0.3">
      <c r="B913" t="e">
        <f>VLOOKUP(A913,'Clientes CBOT'!A:D,4,0)</f>
        <v>#N/A</v>
      </c>
      <c r="C913" s="7" t="e">
        <f>VLOOKUP(A913,'Statement base'!E:AO,21,0)</f>
        <v>#N/A</v>
      </c>
      <c r="D913" s="7" t="e">
        <f>VLOOKUP(A913,'Statement base'!E:AO,10,0)-VLOOKUP(A913,'Statement base'!E:AO,21,0)</f>
        <v>#N/A</v>
      </c>
      <c r="E913" t="s">
        <v>188</v>
      </c>
      <c r="F913" s="6" t="e">
        <f>VLOOKUP(A913,'Statement base'!E:AO,10,0)+VLOOKUP(A913,'Statement base'!E:AO,14,0)</f>
        <v>#N/A</v>
      </c>
      <c r="G913" s="61" t="e">
        <f>VLOOKUP(A913,'Clientes CBOT'!A:E,5,0)</f>
        <v>#N/A</v>
      </c>
      <c r="H913" t="str">
        <f t="shared" si="42"/>
        <v>Hard</v>
      </c>
      <c r="I913" s="6" t="e">
        <f t="shared" si="43"/>
        <v>#N/A</v>
      </c>
      <c r="J913" s="6" t="e">
        <f t="shared" si="44"/>
        <v>#N/A</v>
      </c>
    </row>
    <row r="914" spans="2:10" x14ac:dyDescent="0.3">
      <c r="B914" t="e">
        <f>VLOOKUP(A914,'Clientes CBOT'!A:D,4,0)</f>
        <v>#N/A</v>
      </c>
      <c r="C914" s="7" t="e">
        <f>VLOOKUP(A914,'Statement base'!E:AO,21,0)</f>
        <v>#N/A</v>
      </c>
      <c r="D914" s="7" t="e">
        <f>VLOOKUP(A914,'Statement base'!E:AO,10,0)-VLOOKUP(A914,'Statement base'!E:AO,21,0)</f>
        <v>#N/A</v>
      </c>
      <c r="E914" t="s">
        <v>188</v>
      </c>
      <c r="F914" s="6" t="e">
        <f>VLOOKUP(A914,'Statement base'!E:AO,10,0)+VLOOKUP(A914,'Statement base'!E:AO,14,0)</f>
        <v>#N/A</v>
      </c>
      <c r="G914" s="61" t="e">
        <f>VLOOKUP(A914,'Clientes CBOT'!A:E,5,0)</f>
        <v>#N/A</v>
      </c>
      <c r="H914" t="str">
        <f t="shared" si="42"/>
        <v>Hard</v>
      </c>
      <c r="I914" s="6" t="e">
        <f t="shared" si="43"/>
        <v>#N/A</v>
      </c>
      <c r="J914" s="6" t="e">
        <f t="shared" si="44"/>
        <v>#N/A</v>
      </c>
    </row>
    <row r="915" spans="2:10" x14ac:dyDescent="0.3">
      <c r="B915" t="e">
        <f>VLOOKUP(A915,'Clientes CBOT'!A:D,4,0)</f>
        <v>#N/A</v>
      </c>
      <c r="C915" s="7" t="e">
        <f>VLOOKUP(A915,'Statement base'!E:AO,21,0)</f>
        <v>#N/A</v>
      </c>
      <c r="D915" s="7" t="e">
        <f>VLOOKUP(A915,'Statement base'!E:AO,10,0)-VLOOKUP(A915,'Statement base'!E:AO,21,0)</f>
        <v>#N/A</v>
      </c>
      <c r="E915" t="s">
        <v>188</v>
      </c>
      <c r="F915" s="6" t="e">
        <f>VLOOKUP(A915,'Statement base'!E:AO,10,0)+VLOOKUP(A915,'Statement base'!E:AO,14,0)</f>
        <v>#N/A</v>
      </c>
      <c r="G915" s="61" t="e">
        <f>VLOOKUP(A915,'Clientes CBOT'!A:E,5,0)</f>
        <v>#N/A</v>
      </c>
      <c r="H915" t="str">
        <f t="shared" si="42"/>
        <v>Hard</v>
      </c>
      <c r="I915" s="6" t="e">
        <f t="shared" si="43"/>
        <v>#N/A</v>
      </c>
      <c r="J915" s="6" t="e">
        <f t="shared" si="44"/>
        <v>#N/A</v>
      </c>
    </row>
    <row r="916" spans="2:10" x14ac:dyDescent="0.3">
      <c r="B916" t="e">
        <f>VLOOKUP(A916,'Clientes CBOT'!A:D,4,0)</f>
        <v>#N/A</v>
      </c>
      <c r="C916" s="7" t="e">
        <f>VLOOKUP(A916,'Statement base'!E:AO,21,0)</f>
        <v>#N/A</v>
      </c>
      <c r="D916" s="7" t="e">
        <f>VLOOKUP(A916,'Statement base'!E:AO,10,0)-VLOOKUP(A916,'Statement base'!E:AO,21,0)</f>
        <v>#N/A</v>
      </c>
      <c r="E916" t="s">
        <v>188</v>
      </c>
      <c r="F916" s="6" t="e">
        <f>VLOOKUP(A916,'Statement base'!E:AO,10,0)+VLOOKUP(A916,'Statement base'!E:AO,14,0)</f>
        <v>#N/A</v>
      </c>
      <c r="G916" s="61" t="e">
        <f>VLOOKUP(A916,'Clientes CBOT'!A:E,5,0)</f>
        <v>#N/A</v>
      </c>
      <c r="H916" t="str">
        <f t="shared" si="42"/>
        <v>Hard</v>
      </c>
      <c r="I916" s="6" t="e">
        <f t="shared" si="43"/>
        <v>#N/A</v>
      </c>
      <c r="J916" s="6" t="e">
        <f t="shared" si="44"/>
        <v>#N/A</v>
      </c>
    </row>
    <row r="917" spans="2:10" x14ac:dyDescent="0.3">
      <c r="B917" t="e">
        <f>VLOOKUP(A917,'Clientes CBOT'!A:D,4,0)</f>
        <v>#N/A</v>
      </c>
      <c r="C917" s="7" t="e">
        <f>VLOOKUP(A917,'Statement base'!E:AO,21,0)</f>
        <v>#N/A</v>
      </c>
      <c r="D917" s="7" t="e">
        <f>VLOOKUP(A917,'Statement base'!E:AO,10,0)-VLOOKUP(A917,'Statement base'!E:AO,21,0)</f>
        <v>#N/A</v>
      </c>
      <c r="E917" t="s">
        <v>188</v>
      </c>
      <c r="F917" s="6" t="e">
        <f>VLOOKUP(A917,'Statement base'!E:AO,10,0)+VLOOKUP(A917,'Statement base'!E:AO,14,0)</f>
        <v>#N/A</v>
      </c>
      <c r="G917" s="61" t="e">
        <f>VLOOKUP(A917,'Clientes CBOT'!A:E,5,0)</f>
        <v>#N/A</v>
      </c>
      <c r="H917" t="str">
        <f t="shared" si="42"/>
        <v>Hard</v>
      </c>
      <c r="I917" s="6" t="e">
        <f t="shared" si="43"/>
        <v>#N/A</v>
      </c>
      <c r="J917" s="6" t="e">
        <f t="shared" si="44"/>
        <v>#N/A</v>
      </c>
    </row>
    <row r="918" spans="2:10" x14ac:dyDescent="0.3">
      <c r="B918" t="e">
        <f>VLOOKUP(A918,'Clientes CBOT'!A:D,4,0)</f>
        <v>#N/A</v>
      </c>
      <c r="C918" s="7" t="e">
        <f>VLOOKUP(A918,'Statement base'!E:AO,21,0)</f>
        <v>#N/A</v>
      </c>
      <c r="D918" s="7" t="e">
        <f>VLOOKUP(A918,'Statement base'!E:AO,10,0)-VLOOKUP(A918,'Statement base'!E:AO,21,0)</f>
        <v>#N/A</v>
      </c>
      <c r="E918" t="s">
        <v>188</v>
      </c>
      <c r="F918" s="6" t="e">
        <f>VLOOKUP(A918,'Statement base'!E:AO,10,0)+VLOOKUP(A918,'Statement base'!E:AO,14,0)</f>
        <v>#N/A</v>
      </c>
      <c r="G918" s="61" t="e">
        <f>VLOOKUP(A918,'Clientes CBOT'!A:E,5,0)</f>
        <v>#N/A</v>
      </c>
      <c r="H918" t="str">
        <f t="shared" si="42"/>
        <v>Hard</v>
      </c>
      <c r="I918" s="6" t="e">
        <f t="shared" si="43"/>
        <v>#N/A</v>
      </c>
      <c r="J918" s="6" t="e">
        <f t="shared" si="44"/>
        <v>#N/A</v>
      </c>
    </row>
    <row r="919" spans="2:10" x14ac:dyDescent="0.3">
      <c r="B919" t="e">
        <f>VLOOKUP(A919,'Clientes CBOT'!A:D,4,0)</f>
        <v>#N/A</v>
      </c>
      <c r="C919" s="7" t="e">
        <f>VLOOKUP(A919,'Statement base'!E:AO,21,0)</f>
        <v>#N/A</v>
      </c>
      <c r="D919" s="7" t="e">
        <f>VLOOKUP(A919,'Statement base'!E:AO,10,0)-VLOOKUP(A919,'Statement base'!E:AO,21,0)</f>
        <v>#N/A</v>
      </c>
      <c r="E919" t="s">
        <v>188</v>
      </c>
      <c r="F919" s="6" t="e">
        <f>VLOOKUP(A919,'Statement base'!E:AO,10,0)+VLOOKUP(A919,'Statement base'!E:AO,14,0)</f>
        <v>#N/A</v>
      </c>
      <c r="G919" s="61" t="e">
        <f>VLOOKUP(A919,'Clientes CBOT'!A:E,5,0)</f>
        <v>#N/A</v>
      </c>
      <c r="H919" t="str">
        <f t="shared" si="42"/>
        <v>Hard</v>
      </c>
      <c r="I919" s="6" t="e">
        <f t="shared" si="43"/>
        <v>#N/A</v>
      </c>
      <c r="J919" s="6" t="e">
        <f t="shared" si="44"/>
        <v>#N/A</v>
      </c>
    </row>
    <row r="920" spans="2:10" x14ac:dyDescent="0.3">
      <c r="B920" t="e">
        <f>VLOOKUP(A920,'Clientes CBOT'!A:D,4,0)</f>
        <v>#N/A</v>
      </c>
      <c r="C920" s="7" t="e">
        <f>VLOOKUP(A920,'Statement base'!E:AO,21,0)</f>
        <v>#N/A</v>
      </c>
      <c r="D920" s="7" t="e">
        <f>VLOOKUP(A920,'Statement base'!E:AO,10,0)-VLOOKUP(A920,'Statement base'!E:AO,21,0)</f>
        <v>#N/A</v>
      </c>
      <c r="E920" t="s">
        <v>188</v>
      </c>
      <c r="F920" s="6" t="e">
        <f>VLOOKUP(A920,'Statement base'!E:AO,10,0)+VLOOKUP(A920,'Statement base'!E:AO,14,0)</f>
        <v>#N/A</v>
      </c>
      <c r="G920" s="61" t="e">
        <f>VLOOKUP(A920,'Clientes CBOT'!A:E,5,0)</f>
        <v>#N/A</v>
      </c>
      <c r="H920" t="str">
        <f t="shared" si="42"/>
        <v>Hard</v>
      </c>
      <c r="I920" s="6" t="e">
        <f t="shared" si="43"/>
        <v>#N/A</v>
      </c>
      <c r="J920" s="6" t="e">
        <f t="shared" si="44"/>
        <v>#N/A</v>
      </c>
    </row>
    <row r="921" spans="2:10" x14ac:dyDescent="0.3">
      <c r="B921" t="e">
        <f>VLOOKUP(A921,'Clientes CBOT'!A:D,4,0)</f>
        <v>#N/A</v>
      </c>
      <c r="C921" s="7" t="e">
        <f>VLOOKUP(A921,'Statement base'!E:AO,21,0)</f>
        <v>#N/A</v>
      </c>
      <c r="D921" s="7" t="e">
        <f>VLOOKUP(A921,'Statement base'!E:AO,10,0)-VLOOKUP(A921,'Statement base'!E:AO,21,0)</f>
        <v>#N/A</v>
      </c>
      <c r="E921" t="s">
        <v>188</v>
      </c>
      <c r="F921" s="6" t="e">
        <f>VLOOKUP(A921,'Statement base'!E:AO,10,0)+VLOOKUP(A921,'Statement base'!E:AO,14,0)</f>
        <v>#N/A</v>
      </c>
      <c r="G921" s="61" t="e">
        <f>VLOOKUP(A921,'Clientes CBOT'!A:E,5,0)</f>
        <v>#N/A</v>
      </c>
      <c r="H921" t="str">
        <f t="shared" si="42"/>
        <v>Hard</v>
      </c>
      <c r="I921" s="6" t="e">
        <f t="shared" si="43"/>
        <v>#N/A</v>
      </c>
      <c r="J921" s="6" t="e">
        <f t="shared" si="44"/>
        <v>#N/A</v>
      </c>
    </row>
    <row r="922" spans="2:10" x14ac:dyDescent="0.3">
      <c r="B922" t="e">
        <f>VLOOKUP(A922,'Clientes CBOT'!A:D,4,0)</f>
        <v>#N/A</v>
      </c>
      <c r="C922" s="7" t="e">
        <f>VLOOKUP(A922,'Statement base'!E:AO,21,0)</f>
        <v>#N/A</v>
      </c>
      <c r="D922" s="7" t="e">
        <f>VLOOKUP(A922,'Statement base'!E:AO,10,0)-VLOOKUP(A922,'Statement base'!E:AO,21,0)</f>
        <v>#N/A</v>
      </c>
      <c r="E922" t="s">
        <v>188</v>
      </c>
      <c r="F922" s="6" t="e">
        <f>VLOOKUP(A922,'Statement base'!E:AO,10,0)+VLOOKUP(A922,'Statement base'!E:AO,14,0)</f>
        <v>#N/A</v>
      </c>
      <c r="G922" s="61" t="e">
        <f>VLOOKUP(A922,'Clientes CBOT'!A:E,5,0)</f>
        <v>#N/A</v>
      </c>
      <c r="H922" t="str">
        <f t="shared" si="42"/>
        <v>Hard</v>
      </c>
      <c r="I922" s="6" t="e">
        <f t="shared" si="43"/>
        <v>#N/A</v>
      </c>
      <c r="J922" s="6" t="e">
        <f t="shared" si="44"/>
        <v>#N/A</v>
      </c>
    </row>
    <row r="923" spans="2:10" x14ac:dyDescent="0.3">
      <c r="B923" t="e">
        <f>VLOOKUP(A923,'Clientes CBOT'!A:D,4,0)</f>
        <v>#N/A</v>
      </c>
      <c r="C923" s="7" t="e">
        <f>VLOOKUP(A923,'Statement base'!E:AO,21,0)</f>
        <v>#N/A</v>
      </c>
      <c r="D923" s="7" t="e">
        <f>VLOOKUP(A923,'Statement base'!E:AO,10,0)-VLOOKUP(A923,'Statement base'!E:AO,21,0)</f>
        <v>#N/A</v>
      </c>
      <c r="E923" t="s">
        <v>188</v>
      </c>
      <c r="F923" s="6" t="e">
        <f>VLOOKUP(A923,'Statement base'!E:AO,10,0)+VLOOKUP(A923,'Statement base'!E:AO,14,0)</f>
        <v>#N/A</v>
      </c>
      <c r="G923" s="61" t="e">
        <f>VLOOKUP(A923,'Clientes CBOT'!A:E,5,0)</f>
        <v>#N/A</v>
      </c>
      <c r="H923" t="str">
        <f t="shared" si="42"/>
        <v>Hard</v>
      </c>
      <c r="I923" s="6" t="e">
        <f t="shared" si="43"/>
        <v>#N/A</v>
      </c>
      <c r="J923" s="6" t="e">
        <f t="shared" si="44"/>
        <v>#N/A</v>
      </c>
    </row>
    <row r="924" spans="2:10" x14ac:dyDescent="0.3">
      <c r="B924" t="e">
        <f>VLOOKUP(A924,'Clientes CBOT'!A:D,4,0)</f>
        <v>#N/A</v>
      </c>
      <c r="C924" s="7" t="e">
        <f>VLOOKUP(A924,'Statement base'!E:AO,21,0)</f>
        <v>#N/A</v>
      </c>
      <c r="D924" s="7" t="e">
        <f>VLOOKUP(A924,'Statement base'!E:AO,10,0)-VLOOKUP(A924,'Statement base'!E:AO,21,0)</f>
        <v>#N/A</v>
      </c>
      <c r="E924" t="s">
        <v>188</v>
      </c>
      <c r="F924" s="6" t="e">
        <f>VLOOKUP(A924,'Statement base'!E:AO,10,0)+VLOOKUP(A924,'Statement base'!E:AO,14,0)</f>
        <v>#N/A</v>
      </c>
      <c r="G924" s="61" t="e">
        <f>VLOOKUP(A924,'Clientes CBOT'!A:E,5,0)</f>
        <v>#N/A</v>
      </c>
      <c r="H924" t="str">
        <f t="shared" si="42"/>
        <v>Hard</v>
      </c>
      <c r="I924" s="6" t="e">
        <f t="shared" si="43"/>
        <v>#N/A</v>
      </c>
      <c r="J924" s="6" t="e">
        <f t="shared" si="44"/>
        <v>#N/A</v>
      </c>
    </row>
    <row r="925" spans="2:10" x14ac:dyDescent="0.3">
      <c r="B925" t="e">
        <f>VLOOKUP(A925,'Clientes CBOT'!A:D,4,0)</f>
        <v>#N/A</v>
      </c>
      <c r="C925" s="7" t="e">
        <f>VLOOKUP(A925,'Statement base'!E:AO,21,0)</f>
        <v>#N/A</v>
      </c>
      <c r="D925" s="7" t="e">
        <f>VLOOKUP(A925,'Statement base'!E:AO,10,0)-VLOOKUP(A925,'Statement base'!E:AO,21,0)</f>
        <v>#N/A</v>
      </c>
      <c r="E925" t="s">
        <v>188</v>
      </c>
      <c r="F925" s="6" t="e">
        <f>VLOOKUP(A925,'Statement base'!E:AO,10,0)+VLOOKUP(A925,'Statement base'!E:AO,14,0)</f>
        <v>#N/A</v>
      </c>
      <c r="G925" s="61" t="e">
        <f>VLOOKUP(A925,'Clientes CBOT'!A:E,5,0)</f>
        <v>#N/A</v>
      </c>
      <c r="H925" t="str">
        <f t="shared" si="42"/>
        <v>Hard</v>
      </c>
      <c r="I925" s="6" t="e">
        <f t="shared" si="43"/>
        <v>#N/A</v>
      </c>
      <c r="J925" s="6" t="e">
        <f t="shared" si="44"/>
        <v>#N/A</v>
      </c>
    </row>
    <row r="926" spans="2:10" x14ac:dyDescent="0.3">
      <c r="B926" t="e">
        <f>VLOOKUP(A926,'Clientes CBOT'!A:D,4,0)</f>
        <v>#N/A</v>
      </c>
      <c r="C926" s="7" t="e">
        <f>VLOOKUP(A926,'Statement base'!E:AO,21,0)</f>
        <v>#N/A</v>
      </c>
      <c r="D926" s="7" t="e">
        <f>VLOOKUP(A926,'Statement base'!E:AO,10,0)-VLOOKUP(A926,'Statement base'!E:AO,21,0)</f>
        <v>#N/A</v>
      </c>
      <c r="E926" t="s">
        <v>188</v>
      </c>
      <c r="F926" s="6" t="e">
        <f>VLOOKUP(A926,'Statement base'!E:AO,10,0)+VLOOKUP(A926,'Statement base'!E:AO,14,0)</f>
        <v>#N/A</v>
      </c>
      <c r="G926" s="61" t="e">
        <f>VLOOKUP(A926,'Clientes CBOT'!A:E,5,0)</f>
        <v>#N/A</v>
      </c>
      <c r="H926" t="str">
        <f t="shared" si="42"/>
        <v>Hard</v>
      </c>
      <c r="I926" s="6" t="e">
        <f t="shared" si="43"/>
        <v>#N/A</v>
      </c>
      <c r="J926" s="6" t="e">
        <f t="shared" si="44"/>
        <v>#N/A</v>
      </c>
    </row>
    <row r="927" spans="2:10" x14ac:dyDescent="0.3">
      <c r="B927" t="e">
        <f>VLOOKUP(A927,'Clientes CBOT'!A:D,4,0)</f>
        <v>#N/A</v>
      </c>
      <c r="C927" s="7" t="e">
        <f>VLOOKUP(A927,'Statement base'!E:AO,21,0)</f>
        <v>#N/A</v>
      </c>
      <c r="D927" s="7" t="e">
        <f>VLOOKUP(A927,'Statement base'!E:AO,10,0)-VLOOKUP(A927,'Statement base'!E:AO,21,0)</f>
        <v>#N/A</v>
      </c>
      <c r="E927" t="s">
        <v>188</v>
      </c>
      <c r="F927" s="6" t="e">
        <f>VLOOKUP(A927,'Statement base'!E:AO,10,0)+VLOOKUP(A927,'Statement base'!E:AO,14,0)</f>
        <v>#N/A</v>
      </c>
      <c r="G927" s="61" t="e">
        <f>VLOOKUP(A927,'Clientes CBOT'!A:E,5,0)</f>
        <v>#N/A</v>
      </c>
      <c r="H927" t="str">
        <f t="shared" si="42"/>
        <v>Hard</v>
      </c>
      <c r="I927" s="6" t="e">
        <f t="shared" si="43"/>
        <v>#N/A</v>
      </c>
      <c r="J927" s="6" t="e">
        <f t="shared" si="44"/>
        <v>#N/A</v>
      </c>
    </row>
    <row r="928" spans="2:10" x14ac:dyDescent="0.3">
      <c r="B928" t="e">
        <f>VLOOKUP(A928,'Clientes CBOT'!A:D,4,0)</f>
        <v>#N/A</v>
      </c>
      <c r="C928" s="7" t="e">
        <f>VLOOKUP(A928,'Statement base'!E:AO,21,0)</f>
        <v>#N/A</v>
      </c>
      <c r="D928" s="7" t="e">
        <f>VLOOKUP(A928,'Statement base'!E:AO,10,0)-VLOOKUP(A928,'Statement base'!E:AO,21,0)</f>
        <v>#N/A</v>
      </c>
      <c r="E928" t="s">
        <v>188</v>
      </c>
      <c r="F928" s="6" t="e">
        <f>VLOOKUP(A928,'Statement base'!E:AO,10,0)+VLOOKUP(A928,'Statement base'!E:AO,14,0)</f>
        <v>#N/A</v>
      </c>
      <c r="G928" s="61" t="e">
        <f>VLOOKUP(A928,'Clientes CBOT'!A:E,5,0)</f>
        <v>#N/A</v>
      </c>
      <c r="H928" t="str">
        <f t="shared" si="42"/>
        <v>Hard</v>
      </c>
      <c r="I928" s="6" t="e">
        <f t="shared" si="43"/>
        <v>#N/A</v>
      </c>
      <c r="J928" s="6" t="e">
        <f t="shared" si="44"/>
        <v>#N/A</v>
      </c>
    </row>
    <row r="929" spans="2:10" x14ac:dyDescent="0.3">
      <c r="B929" t="e">
        <f>VLOOKUP(A929,'Clientes CBOT'!A:D,4,0)</f>
        <v>#N/A</v>
      </c>
      <c r="C929" s="7" t="e">
        <f>VLOOKUP(A929,'Statement base'!E:AO,21,0)</f>
        <v>#N/A</v>
      </c>
      <c r="D929" s="7" t="e">
        <f>VLOOKUP(A929,'Statement base'!E:AO,10,0)-VLOOKUP(A929,'Statement base'!E:AO,21,0)</f>
        <v>#N/A</v>
      </c>
      <c r="E929" t="s">
        <v>188</v>
      </c>
      <c r="F929" s="6" t="e">
        <f>VLOOKUP(A929,'Statement base'!E:AO,10,0)+VLOOKUP(A929,'Statement base'!E:AO,14,0)</f>
        <v>#N/A</v>
      </c>
      <c r="G929" s="61" t="e">
        <f>VLOOKUP(A929,'Clientes CBOT'!A:E,5,0)</f>
        <v>#N/A</v>
      </c>
      <c r="H929" t="str">
        <f t="shared" si="42"/>
        <v>Hard</v>
      </c>
      <c r="I929" s="6" t="e">
        <f t="shared" si="43"/>
        <v>#N/A</v>
      </c>
      <c r="J929" s="6" t="e">
        <f t="shared" si="44"/>
        <v>#N/A</v>
      </c>
    </row>
    <row r="930" spans="2:10" x14ac:dyDescent="0.3">
      <c r="B930" t="e">
        <f>VLOOKUP(A930,'Clientes CBOT'!A:D,4,0)</f>
        <v>#N/A</v>
      </c>
      <c r="C930" s="7" t="e">
        <f>VLOOKUP(A930,'Statement base'!E:AO,21,0)</f>
        <v>#N/A</v>
      </c>
      <c r="D930" s="7" t="e">
        <f>VLOOKUP(A930,'Statement base'!E:AO,10,0)-VLOOKUP(A930,'Statement base'!E:AO,21,0)</f>
        <v>#N/A</v>
      </c>
      <c r="E930" t="s">
        <v>188</v>
      </c>
      <c r="F930" s="6" t="e">
        <f>VLOOKUP(A930,'Statement base'!E:AO,10,0)+VLOOKUP(A930,'Statement base'!E:AO,14,0)</f>
        <v>#N/A</v>
      </c>
      <c r="G930" s="61" t="e">
        <f>VLOOKUP(A930,'Clientes CBOT'!A:E,5,0)</f>
        <v>#N/A</v>
      </c>
      <c r="H930" t="str">
        <f t="shared" si="42"/>
        <v>Hard</v>
      </c>
      <c r="I930" s="6" t="e">
        <f t="shared" si="43"/>
        <v>#N/A</v>
      </c>
      <c r="J930" s="6" t="e">
        <f t="shared" si="44"/>
        <v>#N/A</v>
      </c>
    </row>
    <row r="931" spans="2:10" x14ac:dyDescent="0.3">
      <c r="B931" t="e">
        <f>VLOOKUP(A931,'Clientes CBOT'!A:D,4,0)</f>
        <v>#N/A</v>
      </c>
      <c r="C931" s="7" t="e">
        <f>VLOOKUP(A931,'Statement base'!E:AO,21,0)</f>
        <v>#N/A</v>
      </c>
      <c r="D931" s="7" t="e">
        <f>VLOOKUP(A931,'Statement base'!E:AO,10,0)-VLOOKUP(A931,'Statement base'!E:AO,21,0)</f>
        <v>#N/A</v>
      </c>
      <c r="E931" t="s">
        <v>188</v>
      </c>
      <c r="F931" s="6" t="e">
        <f>VLOOKUP(A931,'Statement base'!E:AO,10,0)+VLOOKUP(A931,'Statement base'!E:AO,14,0)</f>
        <v>#N/A</v>
      </c>
      <c r="G931" s="61" t="e">
        <f>VLOOKUP(A931,'Clientes CBOT'!A:E,5,0)</f>
        <v>#N/A</v>
      </c>
      <c r="H931" t="str">
        <f t="shared" si="42"/>
        <v>Hard</v>
      </c>
      <c r="I931" s="6" t="e">
        <f t="shared" si="43"/>
        <v>#N/A</v>
      </c>
      <c r="J931" s="6" t="e">
        <f t="shared" si="44"/>
        <v>#N/A</v>
      </c>
    </row>
    <row r="932" spans="2:10" x14ac:dyDescent="0.3">
      <c r="B932" t="e">
        <f>VLOOKUP(A932,'Clientes CBOT'!A:D,4,0)</f>
        <v>#N/A</v>
      </c>
      <c r="C932" s="7" t="e">
        <f>VLOOKUP(A932,'Statement base'!E:AO,21,0)</f>
        <v>#N/A</v>
      </c>
      <c r="D932" s="7" t="e">
        <f>VLOOKUP(A932,'Statement base'!E:AO,10,0)-VLOOKUP(A932,'Statement base'!E:AO,21,0)</f>
        <v>#N/A</v>
      </c>
      <c r="E932" t="s">
        <v>188</v>
      </c>
      <c r="F932" s="6" t="e">
        <f>VLOOKUP(A932,'Statement base'!E:AO,10,0)+VLOOKUP(A932,'Statement base'!E:AO,14,0)</f>
        <v>#N/A</v>
      </c>
      <c r="G932" s="61" t="e">
        <f>VLOOKUP(A932,'Clientes CBOT'!A:E,5,0)</f>
        <v>#N/A</v>
      </c>
      <c r="H932" t="str">
        <f t="shared" si="42"/>
        <v>Hard</v>
      </c>
      <c r="I932" s="6" t="e">
        <f t="shared" si="43"/>
        <v>#N/A</v>
      </c>
      <c r="J932" s="6" t="e">
        <f t="shared" si="44"/>
        <v>#N/A</v>
      </c>
    </row>
    <row r="933" spans="2:10" x14ac:dyDescent="0.3">
      <c r="B933" t="e">
        <f>VLOOKUP(A933,'Clientes CBOT'!A:D,4,0)</f>
        <v>#N/A</v>
      </c>
      <c r="C933" s="7" t="e">
        <f>VLOOKUP(A933,'Statement base'!E:AO,21,0)</f>
        <v>#N/A</v>
      </c>
      <c r="D933" s="7" t="e">
        <f>VLOOKUP(A933,'Statement base'!E:AO,10,0)-VLOOKUP(A933,'Statement base'!E:AO,21,0)</f>
        <v>#N/A</v>
      </c>
      <c r="E933" t="s">
        <v>188</v>
      </c>
      <c r="F933" s="6" t="e">
        <f>VLOOKUP(A933,'Statement base'!E:AO,10,0)+VLOOKUP(A933,'Statement base'!E:AO,14,0)</f>
        <v>#N/A</v>
      </c>
      <c r="G933" s="61" t="e">
        <f>VLOOKUP(A933,'Clientes CBOT'!A:E,5,0)</f>
        <v>#N/A</v>
      </c>
      <c r="H933" t="str">
        <f t="shared" si="42"/>
        <v>Hard</v>
      </c>
      <c r="I933" s="6" t="e">
        <f t="shared" si="43"/>
        <v>#N/A</v>
      </c>
      <c r="J933" s="6" t="e">
        <f t="shared" si="44"/>
        <v>#N/A</v>
      </c>
    </row>
    <row r="934" spans="2:10" x14ac:dyDescent="0.3">
      <c r="B934" t="e">
        <f>VLOOKUP(A934,'Clientes CBOT'!A:D,4,0)</f>
        <v>#N/A</v>
      </c>
      <c r="C934" s="7" t="e">
        <f>VLOOKUP(A934,'Statement base'!E:AO,21,0)</f>
        <v>#N/A</v>
      </c>
      <c r="D934" s="7" t="e">
        <f>VLOOKUP(A934,'Statement base'!E:AO,10,0)-VLOOKUP(A934,'Statement base'!E:AO,21,0)</f>
        <v>#N/A</v>
      </c>
      <c r="E934" t="s">
        <v>188</v>
      </c>
      <c r="F934" s="6" t="e">
        <f>VLOOKUP(A934,'Statement base'!E:AO,10,0)+VLOOKUP(A934,'Statement base'!E:AO,14,0)</f>
        <v>#N/A</v>
      </c>
      <c r="G934" s="61" t="e">
        <f>VLOOKUP(A934,'Clientes CBOT'!A:E,5,0)</f>
        <v>#N/A</v>
      </c>
      <c r="H934" t="str">
        <f t="shared" si="42"/>
        <v>Hard</v>
      </c>
      <c r="I934" s="6" t="e">
        <f t="shared" si="43"/>
        <v>#N/A</v>
      </c>
      <c r="J934" s="6" t="e">
        <f t="shared" si="44"/>
        <v>#N/A</v>
      </c>
    </row>
    <row r="935" spans="2:10" x14ac:dyDescent="0.3">
      <c r="B935" t="e">
        <f>VLOOKUP(A935,'Clientes CBOT'!A:D,4,0)</f>
        <v>#N/A</v>
      </c>
      <c r="C935" s="7" t="e">
        <f>VLOOKUP(A935,'Statement base'!E:AO,21,0)</f>
        <v>#N/A</v>
      </c>
      <c r="D935" s="7" t="e">
        <f>VLOOKUP(A935,'Statement base'!E:AO,10,0)-VLOOKUP(A935,'Statement base'!E:AO,21,0)</f>
        <v>#N/A</v>
      </c>
      <c r="E935" t="s">
        <v>188</v>
      </c>
      <c r="F935" s="6" t="e">
        <f>VLOOKUP(A935,'Statement base'!E:AO,10,0)+VLOOKUP(A935,'Statement base'!E:AO,14,0)</f>
        <v>#N/A</v>
      </c>
      <c r="G935" s="61" t="e">
        <f>VLOOKUP(A935,'Clientes CBOT'!A:E,5,0)</f>
        <v>#N/A</v>
      </c>
      <c r="H935" t="str">
        <f t="shared" si="42"/>
        <v>Hard</v>
      </c>
      <c r="I935" s="6" t="e">
        <f t="shared" si="43"/>
        <v>#N/A</v>
      </c>
      <c r="J935" s="6" t="e">
        <f t="shared" si="44"/>
        <v>#N/A</v>
      </c>
    </row>
    <row r="936" spans="2:10" x14ac:dyDescent="0.3">
      <c r="B936" t="e">
        <f>VLOOKUP(A936,'Clientes CBOT'!A:D,4,0)</f>
        <v>#N/A</v>
      </c>
      <c r="C936" s="7" t="e">
        <f>VLOOKUP(A936,'Statement base'!E:AO,21,0)</f>
        <v>#N/A</v>
      </c>
      <c r="D936" s="7" t="e">
        <f>VLOOKUP(A936,'Statement base'!E:AO,10,0)-VLOOKUP(A936,'Statement base'!E:AO,21,0)</f>
        <v>#N/A</v>
      </c>
      <c r="E936" t="s">
        <v>188</v>
      </c>
      <c r="F936" s="6" t="e">
        <f>VLOOKUP(A936,'Statement base'!E:AO,10,0)+VLOOKUP(A936,'Statement base'!E:AO,14,0)</f>
        <v>#N/A</v>
      </c>
      <c r="G936" s="61" t="e">
        <f>VLOOKUP(A936,'Clientes CBOT'!A:E,5,0)</f>
        <v>#N/A</v>
      </c>
      <c r="H936" t="str">
        <f t="shared" si="42"/>
        <v>Hard</v>
      </c>
      <c r="I936" s="6" t="e">
        <f t="shared" si="43"/>
        <v>#N/A</v>
      </c>
      <c r="J936" s="6" t="e">
        <f t="shared" si="44"/>
        <v>#N/A</v>
      </c>
    </row>
    <row r="937" spans="2:10" x14ac:dyDescent="0.3">
      <c r="B937" t="e">
        <f>VLOOKUP(A937,'Clientes CBOT'!A:D,4,0)</f>
        <v>#N/A</v>
      </c>
      <c r="C937" s="7" t="e">
        <f>VLOOKUP(A937,'Statement base'!E:AO,21,0)</f>
        <v>#N/A</v>
      </c>
      <c r="D937" s="7" t="e">
        <f>VLOOKUP(A937,'Statement base'!E:AO,10,0)-VLOOKUP(A937,'Statement base'!E:AO,21,0)</f>
        <v>#N/A</v>
      </c>
      <c r="E937" t="s">
        <v>188</v>
      </c>
      <c r="F937" s="6" t="e">
        <f>VLOOKUP(A937,'Statement base'!E:AO,10,0)+VLOOKUP(A937,'Statement base'!E:AO,14,0)</f>
        <v>#N/A</v>
      </c>
      <c r="G937" s="61" t="e">
        <f>VLOOKUP(A937,'Clientes CBOT'!A:E,5,0)</f>
        <v>#N/A</v>
      </c>
      <c r="H937" t="str">
        <f t="shared" si="42"/>
        <v>Hard</v>
      </c>
      <c r="I937" s="6" t="e">
        <f t="shared" si="43"/>
        <v>#N/A</v>
      </c>
      <c r="J937" s="6" t="e">
        <f t="shared" si="44"/>
        <v>#N/A</v>
      </c>
    </row>
    <row r="938" spans="2:10" x14ac:dyDescent="0.3">
      <c r="B938" t="e">
        <f>VLOOKUP(A938,'Clientes CBOT'!A:D,4,0)</f>
        <v>#N/A</v>
      </c>
      <c r="C938" s="7" t="e">
        <f>VLOOKUP(A938,'Statement base'!E:AO,21,0)</f>
        <v>#N/A</v>
      </c>
      <c r="D938" s="7" t="e">
        <f>VLOOKUP(A938,'Statement base'!E:AO,10,0)-VLOOKUP(A938,'Statement base'!E:AO,21,0)</f>
        <v>#N/A</v>
      </c>
      <c r="E938" t="s">
        <v>188</v>
      </c>
      <c r="F938" s="6" t="e">
        <f>VLOOKUP(A938,'Statement base'!E:AO,10,0)+VLOOKUP(A938,'Statement base'!E:AO,14,0)</f>
        <v>#N/A</v>
      </c>
      <c r="G938" s="61" t="e">
        <f>VLOOKUP(A938,'Clientes CBOT'!A:E,5,0)</f>
        <v>#N/A</v>
      </c>
      <c r="H938" t="str">
        <f t="shared" si="42"/>
        <v>Hard</v>
      </c>
      <c r="I938" s="6" t="e">
        <f t="shared" si="43"/>
        <v>#N/A</v>
      </c>
      <c r="J938" s="6" t="e">
        <f t="shared" si="44"/>
        <v>#N/A</v>
      </c>
    </row>
    <row r="939" spans="2:10" x14ac:dyDescent="0.3">
      <c r="B939" t="e">
        <f>VLOOKUP(A939,'Clientes CBOT'!A:D,4,0)</f>
        <v>#N/A</v>
      </c>
      <c r="C939" s="7" t="e">
        <f>VLOOKUP(A939,'Statement base'!E:AO,21,0)</f>
        <v>#N/A</v>
      </c>
      <c r="D939" s="7" t="e">
        <f>VLOOKUP(A939,'Statement base'!E:AO,10,0)-VLOOKUP(A939,'Statement base'!E:AO,21,0)</f>
        <v>#N/A</v>
      </c>
      <c r="E939" t="s">
        <v>188</v>
      </c>
      <c r="F939" s="6" t="e">
        <f>VLOOKUP(A939,'Statement base'!E:AO,10,0)+VLOOKUP(A939,'Statement base'!E:AO,14,0)</f>
        <v>#N/A</v>
      </c>
      <c r="G939" s="61" t="e">
        <f>VLOOKUP(A939,'Clientes CBOT'!A:E,5,0)</f>
        <v>#N/A</v>
      </c>
      <c r="H939" t="str">
        <f t="shared" si="42"/>
        <v>Hard</v>
      </c>
      <c r="I939" s="6" t="e">
        <f t="shared" si="43"/>
        <v>#N/A</v>
      </c>
      <c r="J939" s="6" t="e">
        <f t="shared" si="44"/>
        <v>#N/A</v>
      </c>
    </row>
    <row r="940" spans="2:10" x14ac:dyDescent="0.3">
      <c r="B940" t="e">
        <f>VLOOKUP(A940,'Clientes CBOT'!A:D,4,0)</f>
        <v>#N/A</v>
      </c>
      <c r="C940" s="7" t="e">
        <f>VLOOKUP(A940,'Statement base'!E:AO,21,0)</f>
        <v>#N/A</v>
      </c>
      <c r="D940" s="7" t="e">
        <f>VLOOKUP(A940,'Statement base'!E:AO,10,0)-VLOOKUP(A940,'Statement base'!E:AO,21,0)</f>
        <v>#N/A</v>
      </c>
      <c r="E940" t="s">
        <v>188</v>
      </c>
      <c r="F940" s="6" t="e">
        <f>VLOOKUP(A940,'Statement base'!E:AO,10,0)+VLOOKUP(A940,'Statement base'!E:AO,14,0)</f>
        <v>#N/A</v>
      </c>
      <c r="G940" s="61" t="e">
        <f>VLOOKUP(A940,'Clientes CBOT'!A:E,5,0)</f>
        <v>#N/A</v>
      </c>
      <c r="H940" t="str">
        <f t="shared" si="42"/>
        <v>Hard</v>
      </c>
      <c r="I940" s="6" t="e">
        <f t="shared" si="43"/>
        <v>#N/A</v>
      </c>
      <c r="J940" s="6" t="e">
        <f t="shared" si="44"/>
        <v>#N/A</v>
      </c>
    </row>
    <row r="941" spans="2:10" x14ac:dyDescent="0.3">
      <c r="B941" t="e">
        <f>VLOOKUP(A941,'Clientes CBOT'!A:D,4,0)</f>
        <v>#N/A</v>
      </c>
      <c r="C941" s="7" t="e">
        <f>VLOOKUP(A941,'Statement base'!E:AO,21,0)</f>
        <v>#N/A</v>
      </c>
      <c r="D941" s="7" t="e">
        <f>VLOOKUP(A941,'Statement base'!E:AO,10,0)-VLOOKUP(A941,'Statement base'!E:AO,21,0)</f>
        <v>#N/A</v>
      </c>
      <c r="E941" t="s">
        <v>188</v>
      </c>
      <c r="F941" s="6" t="e">
        <f>VLOOKUP(A941,'Statement base'!E:AO,10,0)+VLOOKUP(A941,'Statement base'!E:AO,14,0)</f>
        <v>#N/A</v>
      </c>
      <c r="G941" s="61" t="e">
        <f>VLOOKUP(A941,'Clientes CBOT'!A:E,5,0)</f>
        <v>#N/A</v>
      </c>
      <c r="H941" t="str">
        <f t="shared" si="42"/>
        <v>Hard</v>
      </c>
      <c r="I941" s="6" t="e">
        <f t="shared" si="43"/>
        <v>#N/A</v>
      </c>
      <c r="J941" s="6" t="e">
        <f t="shared" si="44"/>
        <v>#N/A</v>
      </c>
    </row>
    <row r="942" spans="2:10" x14ac:dyDescent="0.3">
      <c r="B942" t="e">
        <f>VLOOKUP(A942,'Clientes CBOT'!A:D,4,0)</f>
        <v>#N/A</v>
      </c>
      <c r="C942" s="7" t="e">
        <f>VLOOKUP(A942,'Statement base'!E:AO,21,0)</f>
        <v>#N/A</v>
      </c>
      <c r="D942" s="7" t="e">
        <f>VLOOKUP(A942,'Statement base'!E:AO,10,0)-VLOOKUP(A942,'Statement base'!E:AO,21,0)</f>
        <v>#N/A</v>
      </c>
      <c r="E942" t="s">
        <v>188</v>
      </c>
      <c r="F942" s="6" t="e">
        <f>VLOOKUP(A942,'Statement base'!E:AO,10,0)+VLOOKUP(A942,'Statement base'!E:AO,14,0)</f>
        <v>#N/A</v>
      </c>
      <c r="G942" s="61" t="e">
        <f>VLOOKUP(A942,'Clientes CBOT'!A:E,5,0)</f>
        <v>#N/A</v>
      </c>
      <c r="H942" t="str">
        <f t="shared" si="42"/>
        <v>Hard</v>
      </c>
      <c r="I942" s="6" t="e">
        <f t="shared" si="43"/>
        <v>#N/A</v>
      </c>
      <c r="J942" s="6" t="e">
        <f t="shared" si="44"/>
        <v>#N/A</v>
      </c>
    </row>
    <row r="943" spans="2:10" x14ac:dyDescent="0.3">
      <c r="B943" t="e">
        <f>VLOOKUP(A943,'Clientes CBOT'!A:D,4,0)</f>
        <v>#N/A</v>
      </c>
      <c r="C943" s="7" t="e">
        <f>VLOOKUP(A943,'Statement base'!E:AO,21,0)</f>
        <v>#N/A</v>
      </c>
      <c r="D943" s="7" t="e">
        <f>VLOOKUP(A943,'Statement base'!E:AO,10,0)-VLOOKUP(A943,'Statement base'!E:AO,21,0)</f>
        <v>#N/A</v>
      </c>
      <c r="E943" t="s">
        <v>188</v>
      </c>
      <c r="F943" s="6" t="e">
        <f>VLOOKUP(A943,'Statement base'!E:AO,10,0)+VLOOKUP(A943,'Statement base'!E:AO,14,0)</f>
        <v>#N/A</v>
      </c>
      <c r="G943" s="61" t="e">
        <f>VLOOKUP(A943,'Clientes CBOT'!A:E,5,0)</f>
        <v>#N/A</v>
      </c>
      <c r="H943" t="str">
        <f t="shared" si="42"/>
        <v>Hard</v>
      </c>
      <c r="I943" s="6" t="e">
        <f t="shared" si="43"/>
        <v>#N/A</v>
      </c>
      <c r="J943" s="6" t="e">
        <f t="shared" si="44"/>
        <v>#N/A</v>
      </c>
    </row>
    <row r="944" spans="2:10" x14ac:dyDescent="0.3">
      <c r="B944" t="e">
        <f>VLOOKUP(A944,'Clientes CBOT'!A:D,4,0)</f>
        <v>#N/A</v>
      </c>
      <c r="C944" s="7" t="e">
        <f>VLOOKUP(A944,'Statement base'!E:AO,21,0)</f>
        <v>#N/A</v>
      </c>
      <c r="D944" s="7" t="e">
        <f>VLOOKUP(A944,'Statement base'!E:AO,10,0)-VLOOKUP(A944,'Statement base'!E:AO,21,0)</f>
        <v>#N/A</v>
      </c>
      <c r="E944" t="s">
        <v>188</v>
      </c>
      <c r="F944" s="6" t="e">
        <f>VLOOKUP(A944,'Statement base'!E:AO,10,0)+VLOOKUP(A944,'Statement base'!E:AO,14,0)</f>
        <v>#N/A</v>
      </c>
      <c r="G944" s="61" t="e">
        <f>VLOOKUP(A944,'Clientes CBOT'!A:E,5,0)</f>
        <v>#N/A</v>
      </c>
      <c r="H944" t="str">
        <f t="shared" si="42"/>
        <v>Hard</v>
      </c>
      <c r="I944" s="6" t="e">
        <f t="shared" si="43"/>
        <v>#N/A</v>
      </c>
      <c r="J944" s="6" t="e">
        <f t="shared" si="44"/>
        <v>#N/A</v>
      </c>
    </row>
    <row r="945" spans="2:10" x14ac:dyDescent="0.3">
      <c r="B945" t="e">
        <f>VLOOKUP(A945,'Clientes CBOT'!A:D,4,0)</f>
        <v>#N/A</v>
      </c>
      <c r="C945" s="7" t="e">
        <f>VLOOKUP(A945,'Statement base'!E:AO,21,0)</f>
        <v>#N/A</v>
      </c>
      <c r="D945" s="7" t="e">
        <f>VLOOKUP(A945,'Statement base'!E:AO,10,0)-VLOOKUP(A945,'Statement base'!E:AO,21,0)</f>
        <v>#N/A</v>
      </c>
      <c r="E945" t="s">
        <v>188</v>
      </c>
      <c r="F945" s="6" t="e">
        <f>VLOOKUP(A945,'Statement base'!E:AO,10,0)+VLOOKUP(A945,'Statement base'!E:AO,14,0)</f>
        <v>#N/A</v>
      </c>
      <c r="G945" s="61" t="e">
        <f>VLOOKUP(A945,'Clientes CBOT'!A:E,5,0)</f>
        <v>#N/A</v>
      </c>
      <c r="H945" t="str">
        <f t="shared" si="42"/>
        <v>Hard</v>
      </c>
      <c r="I945" s="6" t="e">
        <f t="shared" si="43"/>
        <v>#N/A</v>
      </c>
      <c r="J945" s="6" t="e">
        <f t="shared" si="44"/>
        <v>#N/A</v>
      </c>
    </row>
    <row r="946" spans="2:10" x14ac:dyDescent="0.3">
      <c r="B946" t="e">
        <f>VLOOKUP(A946,'Clientes CBOT'!A:D,4,0)</f>
        <v>#N/A</v>
      </c>
      <c r="C946" s="7" t="e">
        <f>VLOOKUP(A946,'Statement base'!E:AO,21,0)</f>
        <v>#N/A</v>
      </c>
      <c r="D946" s="7" t="e">
        <f>VLOOKUP(A946,'Statement base'!E:AO,10,0)-VLOOKUP(A946,'Statement base'!E:AO,21,0)</f>
        <v>#N/A</v>
      </c>
      <c r="E946" t="s">
        <v>188</v>
      </c>
      <c r="F946" s="6" t="e">
        <f>VLOOKUP(A946,'Statement base'!E:AO,10,0)+VLOOKUP(A946,'Statement base'!E:AO,14,0)</f>
        <v>#N/A</v>
      </c>
      <c r="G946" s="61" t="e">
        <f>VLOOKUP(A946,'Clientes CBOT'!A:E,5,0)</f>
        <v>#N/A</v>
      </c>
      <c r="H946" t="str">
        <f t="shared" si="42"/>
        <v>Hard</v>
      </c>
      <c r="I946" s="6" t="e">
        <f t="shared" si="43"/>
        <v>#N/A</v>
      </c>
      <c r="J946" s="6" t="e">
        <f t="shared" si="44"/>
        <v>#N/A</v>
      </c>
    </row>
    <row r="947" spans="2:10" x14ac:dyDescent="0.3">
      <c r="B947" t="e">
        <f>VLOOKUP(A947,'Clientes CBOT'!A:D,4,0)</f>
        <v>#N/A</v>
      </c>
      <c r="C947" s="7" t="e">
        <f>VLOOKUP(A947,'Statement base'!E:AO,21,0)</f>
        <v>#N/A</v>
      </c>
      <c r="D947" s="7" t="e">
        <f>VLOOKUP(A947,'Statement base'!E:AO,10,0)-VLOOKUP(A947,'Statement base'!E:AO,21,0)</f>
        <v>#N/A</v>
      </c>
      <c r="E947" t="s">
        <v>188</v>
      </c>
      <c r="F947" s="6" t="e">
        <f>VLOOKUP(A947,'Statement base'!E:AO,10,0)+VLOOKUP(A947,'Statement base'!E:AO,14,0)</f>
        <v>#N/A</v>
      </c>
      <c r="G947" s="61" t="e">
        <f>VLOOKUP(A947,'Clientes CBOT'!A:E,5,0)</f>
        <v>#N/A</v>
      </c>
      <c r="H947" t="str">
        <f t="shared" si="42"/>
        <v>Hard</v>
      </c>
      <c r="I947" s="6" t="e">
        <f t="shared" si="43"/>
        <v>#N/A</v>
      </c>
      <c r="J947" s="6" t="e">
        <f t="shared" si="44"/>
        <v>#N/A</v>
      </c>
    </row>
    <row r="948" spans="2:10" x14ac:dyDescent="0.3">
      <c r="B948" t="e">
        <f>VLOOKUP(A948,'Clientes CBOT'!A:D,4,0)</f>
        <v>#N/A</v>
      </c>
      <c r="C948" s="7" t="e">
        <f>VLOOKUP(A948,'Statement base'!E:AO,21,0)</f>
        <v>#N/A</v>
      </c>
      <c r="D948" s="7" t="e">
        <f>VLOOKUP(A948,'Statement base'!E:AO,10,0)-VLOOKUP(A948,'Statement base'!E:AO,21,0)</f>
        <v>#N/A</v>
      </c>
      <c r="E948" t="s">
        <v>188</v>
      </c>
      <c r="F948" s="6" t="e">
        <f>VLOOKUP(A948,'Statement base'!E:AO,10,0)+VLOOKUP(A948,'Statement base'!E:AO,14,0)</f>
        <v>#N/A</v>
      </c>
      <c r="G948" s="61" t="e">
        <f>VLOOKUP(A948,'Clientes CBOT'!A:E,5,0)</f>
        <v>#N/A</v>
      </c>
      <c r="H948" t="str">
        <f t="shared" si="42"/>
        <v>Hard</v>
      </c>
      <c r="I948" s="6" t="e">
        <f t="shared" si="43"/>
        <v>#N/A</v>
      </c>
      <c r="J948" s="6" t="e">
        <f t="shared" si="44"/>
        <v>#N/A</v>
      </c>
    </row>
    <row r="949" spans="2:10" x14ac:dyDescent="0.3">
      <c r="B949" t="e">
        <f>VLOOKUP(A949,'Clientes CBOT'!A:D,4,0)</f>
        <v>#N/A</v>
      </c>
      <c r="C949" s="7" t="e">
        <f>VLOOKUP(A949,'Statement base'!E:AO,21,0)</f>
        <v>#N/A</v>
      </c>
      <c r="D949" s="7" t="e">
        <f>VLOOKUP(A949,'Statement base'!E:AO,10,0)-VLOOKUP(A949,'Statement base'!E:AO,21,0)</f>
        <v>#N/A</v>
      </c>
      <c r="E949" t="s">
        <v>188</v>
      </c>
      <c r="F949" s="6" t="e">
        <f>VLOOKUP(A949,'Statement base'!E:AO,10,0)+VLOOKUP(A949,'Statement base'!E:AO,14,0)</f>
        <v>#N/A</v>
      </c>
      <c r="G949" s="61" t="e">
        <f>VLOOKUP(A949,'Clientes CBOT'!A:E,5,0)</f>
        <v>#N/A</v>
      </c>
      <c r="H949" t="str">
        <f t="shared" si="42"/>
        <v>Hard</v>
      </c>
      <c r="I949" s="6" t="e">
        <f t="shared" si="43"/>
        <v>#N/A</v>
      </c>
      <c r="J949" s="6" t="e">
        <f t="shared" si="44"/>
        <v>#N/A</v>
      </c>
    </row>
    <row r="950" spans="2:10" x14ac:dyDescent="0.3">
      <c r="B950" t="e">
        <f>VLOOKUP(A950,'Clientes CBOT'!A:D,4,0)</f>
        <v>#N/A</v>
      </c>
      <c r="C950" s="7" t="e">
        <f>VLOOKUP(A950,'Statement base'!E:AO,21,0)</f>
        <v>#N/A</v>
      </c>
      <c r="D950" s="7" t="e">
        <f>VLOOKUP(A950,'Statement base'!E:AO,10,0)-VLOOKUP(A950,'Statement base'!E:AO,21,0)</f>
        <v>#N/A</v>
      </c>
      <c r="E950" t="s">
        <v>188</v>
      </c>
      <c r="F950" s="6" t="e">
        <f>VLOOKUP(A950,'Statement base'!E:AO,10,0)+VLOOKUP(A950,'Statement base'!E:AO,14,0)</f>
        <v>#N/A</v>
      </c>
      <c r="G950" s="61" t="e">
        <f>VLOOKUP(A950,'Clientes CBOT'!A:E,5,0)</f>
        <v>#N/A</v>
      </c>
      <c r="H950" t="str">
        <f t="shared" si="42"/>
        <v>Hard</v>
      </c>
      <c r="I950" s="6" t="e">
        <f t="shared" si="43"/>
        <v>#N/A</v>
      </c>
      <c r="J950" s="6" t="e">
        <f t="shared" si="44"/>
        <v>#N/A</v>
      </c>
    </row>
    <row r="951" spans="2:10" x14ac:dyDescent="0.3">
      <c r="B951" t="e">
        <f>VLOOKUP(A951,'Clientes CBOT'!A:D,4,0)</f>
        <v>#N/A</v>
      </c>
      <c r="C951" s="7" t="e">
        <f>VLOOKUP(A951,'Statement base'!E:AO,21,0)</f>
        <v>#N/A</v>
      </c>
      <c r="D951" s="7" t="e">
        <f>VLOOKUP(A951,'Statement base'!E:AO,10,0)-VLOOKUP(A951,'Statement base'!E:AO,21,0)</f>
        <v>#N/A</v>
      </c>
      <c r="E951" t="s">
        <v>188</v>
      </c>
      <c r="F951" s="6" t="e">
        <f>VLOOKUP(A951,'Statement base'!E:AO,10,0)+VLOOKUP(A951,'Statement base'!E:AO,14,0)</f>
        <v>#N/A</v>
      </c>
      <c r="G951" s="61" t="e">
        <f>VLOOKUP(A951,'Clientes CBOT'!A:E,5,0)</f>
        <v>#N/A</v>
      </c>
      <c r="H951" t="str">
        <f t="shared" si="42"/>
        <v>Hard</v>
      </c>
      <c r="I951" s="6" t="e">
        <f t="shared" si="43"/>
        <v>#N/A</v>
      </c>
      <c r="J951" s="6" t="e">
        <f t="shared" si="44"/>
        <v>#N/A</v>
      </c>
    </row>
    <row r="952" spans="2:10" x14ac:dyDescent="0.3">
      <c r="B952" t="e">
        <f>VLOOKUP(A952,'Clientes CBOT'!A:D,4,0)</f>
        <v>#N/A</v>
      </c>
      <c r="C952" s="7" t="e">
        <f>VLOOKUP(A952,'Statement base'!E:AO,21,0)</f>
        <v>#N/A</v>
      </c>
      <c r="D952" s="7" t="e">
        <f>VLOOKUP(A952,'Statement base'!E:AO,10,0)-VLOOKUP(A952,'Statement base'!E:AO,21,0)</f>
        <v>#N/A</v>
      </c>
      <c r="E952" t="s">
        <v>188</v>
      </c>
      <c r="F952" s="6" t="e">
        <f>VLOOKUP(A952,'Statement base'!E:AO,10,0)+VLOOKUP(A952,'Statement base'!E:AO,14,0)</f>
        <v>#N/A</v>
      </c>
      <c r="G952" s="61" t="e">
        <f>VLOOKUP(A952,'Clientes CBOT'!A:E,5,0)</f>
        <v>#N/A</v>
      </c>
      <c r="H952" t="str">
        <f t="shared" si="42"/>
        <v>Hard</v>
      </c>
      <c r="I952" s="6" t="e">
        <f t="shared" si="43"/>
        <v>#N/A</v>
      </c>
      <c r="J952" s="6" t="e">
        <f t="shared" si="44"/>
        <v>#N/A</v>
      </c>
    </row>
    <row r="953" spans="2:10" x14ac:dyDescent="0.3">
      <c r="B953" t="e">
        <f>VLOOKUP(A953,'Clientes CBOT'!A:D,4,0)</f>
        <v>#N/A</v>
      </c>
      <c r="C953" s="7" t="e">
        <f>VLOOKUP(A953,'Statement base'!E:AO,21,0)</f>
        <v>#N/A</v>
      </c>
      <c r="D953" s="7" t="e">
        <f>VLOOKUP(A953,'Statement base'!E:AO,10,0)-VLOOKUP(A953,'Statement base'!E:AO,21,0)</f>
        <v>#N/A</v>
      </c>
      <c r="E953" t="s">
        <v>188</v>
      </c>
      <c r="F953" s="6" t="e">
        <f>VLOOKUP(A953,'Statement base'!E:AO,10,0)+VLOOKUP(A953,'Statement base'!E:AO,14,0)</f>
        <v>#N/A</v>
      </c>
      <c r="G953" s="61" t="e">
        <f>VLOOKUP(A953,'Clientes CBOT'!A:E,5,0)</f>
        <v>#N/A</v>
      </c>
      <c r="H953" t="str">
        <f t="shared" si="42"/>
        <v>Hard</v>
      </c>
      <c r="I953" s="6" t="e">
        <f t="shared" si="43"/>
        <v>#N/A</v>
      </c>
      <c r="J953" s="6" t="e">
        <f t="shared" si="44"/>
        <v>#N/A</v>
      </c>
    </row>
    <row r="954" spans="2:10" x14ac:dyDescent="0.3">
      <c r="B954" t="e">
        <f>VLOOKUP(A954,'Clientes CBOT'!A:D,4,0)</f>
        <v>#N/A</v>
      </c>
      <c r="C954" s="7" t="e">
        <f>VLOOKUP(A954,'Statement base'!E:AO,21,0)</f>
        <v>#N/A</v>
      </c>
      <c r="D954" s="7" t="e">
        <f>VLOOKUP(A954,'Statement base'!E:AO,10,0)-VLOOKUP(A954,'Statement base'!E:AO,21,0)</f>
        <v>#N/A</v>
      </c>
      <c r="E954" t="s">
        <v>188</v>
      </c>
      <c r="F954" s="6" t="e">
        <f>VLOOKUP(A954,'Statement base'!E:AO,10,0)+VLOOKUP(A954,'Statement base'!E:AO,14,0)</f>
        <v>#N/A</v>
      </c>
      <c r="G954" s="61" t="e">
        <f>VLOOKUP(A954,'Clientes CBOT'!A:E,5,0)</f>
        <v>#N/A</v>
      </c>
      <c r="H954" t="str">
        <f t="shared" si="42"/>
        <v>Hard</v>
      </c>
      <c r="I954" s="6" t="e">
        <f t="shared" si="43"/>
        <v>#N/A</v>
      </c>
      <c r="J954" s="6" t="e">
        <f t="shared" si="44"/>
        <v>#N/A</v>
      </c>
    </row>
    <row r="955" spans="2:10" x14ac:dyDescent="0.3">
      <c r="B955" t="e">
        <f>VLOOKUP(A955,'Clientes CBOT'!A:D,4,0)</f>
        <v>#N/A</v>
      </c>
      <c r="C955" s="7" t="e">
        <f>VLOOKUP(A955,'Statement base'!E:AO,21,0)</f>
        <v>#N/A</v>
      </c>
      <c r="D955" s="7" t="e">
        <f>VLOOKUP(A955,'Statement base'!E:AO,10,0)-VLOOKUP(A955,'Statement base'!E:AO,21,0)</f>
        <v>#N/A</v>
      </c>
      <c r="E955" t="s">
        <v>188</v>
      </c>
      <c r="F955" s="6" t="e">
        <f>VLOOKUP(A955,'Statement base'!E:AO,10,0)+VLOOKUP(A955,'Statement base'!E:AO,14,0)</f>
        <v>#N/A</v>
      </c>
      <c r="G955" s="61" t="e">
        <f>VLOOKUP(A955,'Clientes CBOT'!A:E,5,0)</f>
        <v>#N/A</v>
      </c>
      <c r="H955" t="str">
        <f t="shared" si="42"/>
        <v>Hard</v>
      </c>
      <c r="I955" s="6" t="e">
        <f t="shared" si="43"/>
        <v>#N/A</v>
      </c>
      <c r="J955" s="6" t="e">
        <f t="shared" si="44"/>
        <v>#N/A</v>
      </c>
    </row>
    <row r="956" spans="2:10" x14ac:dyDescent="0.3">
      <c r="B956" t="e">
        <f>VLOOKUP(A956,'Clientes CBOT'!A:D,4,0)</f>
        <v>#N/A</v>
      </c>
      <c r="C956" s="7" t="e">
        <f>VLOOKUP(A956,'Statement base'!E:AO,21,0)</f>
        <v>#N/A</v>
      </c>
      <c r="D956" s="7" t="e">
        <f>VLOOKUP(A956,'Statement base'!E:AO,10,0)-VLOOKUP(A956,'Statement base'!E:AO,21,0)</f>
        <v>#N/A</v>
      </c>
      <c r="E956" t="s">
        <v>188</v>
      </c>
      <c r="F956" s="6" t="e">
        <f>VLOOKUP(A956,'Statement base'!E:AO,10,0)+VLOOKUP(A956,'Statement base'!E:AO,14,0)</f>
        <v>#N/A</v>
      </c>
      <c r="G956" s="61" t="e">
        <f>VLOOKUP(A956,'Clientes CBOT'!A:E,5,0)</f>
        <v>#N/A</v>
      </c>
      <c r="H956" t="str">
        <f t="shared" si="42"/>
        <v>Hard</v>
      </c>
      <c r="I956" s="6" t="e">
        <f t="shared" si="43"/>
        <v>#N/A</v>
      </c>
      <c r="J956" s="6" t="e">
        <f t="shared" si="44"/>
        <v>#N/A</v>
      </c>
    </row>
    <row r="957" spans="2:10" x14ac:dyDescent="0.3">
      <c r="B957" t="e">
        <f>VLOOKUP(A957,'Clientes CBOT'!A:D,4,0)</f>
        <v>#N/A</v>
      </c>
      <c r="C957" s="7" t="e">
        <f>VLOOKUP(A957,'Statement base'!E:AO,21,0)</f>
        <v>#N/A</v>
      </c>
      <c r="D957" s="7" t="e">
        <f>VLOOKUP(A957,'Statement base'!E:AO,10,0)-VLOOKUP(A957,'Statement base'!E:AO,21,0)</f>
        <v>#N/A</v>
      </c>
      <c r="E957" t="s">
        <v>188</v>
      </c>
      <c r="F957" s="6" t="e">
        <f>VLOOKUP(A957,'Statement base'!E:AO,10,0)+VLOOKUP(A957,'Statement base'!E:AO,14,0)</f>
        <v>#N/A</v>
      </c>
      <c r="G957" s="61" t="e">
        <f>VLOOKUP(A957,'Clientes CBOT'!A:E,5,0)</f>
        <v>#N/A</v>
      </c>
      <c r="H957" t="str">
        <f t="shared" si="42"/>
        <v>Hard</v>
      </c>
      <c r="I957" s="6" t="e">
        <f t="shared" si="43"/>
        <v>#N/A</v>
      </c>
      <c r="J957" s="6" t="e">
        <f t="shared" si="44"/>
        <v>#N/A</v>
      </c>
    </row>
    <row r="958" spans="2:10" x14ac:dyDescent="0.3">
      <c r="B958" t="e">
        <f>VLOOKUP(A958,'Clientes CBOT'!A:D,4,0)</f>
        <v>#N/A</v>
      </c>
      <c r="C958" s="7" t="e">
        <f>VLOOKUP(A958,'Statement base'!E:AO,21,0)</f>
        <v>#N/A</v>
      </c>
      <c r="D958" s="7" t="e">
        <f>VLOOKUP(A958,'Statement base'!E:AO,10,0)-VLOOKUP(A958,'Statement base'!E:AO,21,0)</f>
        <v>#N/A</v>
      </c>
      <c r="E958" t="s">
        <v>188</v>
      </c>
      <c r="F958" s="6" t="e">
        <f>VLOOKUP(A958,'Statement base'!E:AO,10,0)+VLOOKUP(A958,'Statement base'!E:AO,14,0)</f>
        <v>#N/A</v>
      </c>
      <c r="G958" s="61" t="e">
        <f>VLOOKUP(A958,'Clientes CBOT'!A:E,5,0)</f>
        <v>#N/A</v>
      </c>
      <c r="H958" t="str">
        <f t="shared" si="42"/>
        <v>Hard</v>
      </c>
      <c r="I958" s="6" t="e">
        <f t="shared" si="43"/>
        <v>#N/A</v>
      </c>
      <c r="J958" s="6" t="e">
        <f t="shared" si="44"/>
        <v>#N/A</v>
      </c>
    </row>
    <row r="959" spans="2:10" x14ac:dyDescent="0.3">
      <c r="B959" t="e">
        <f>VLOOKUP(A959,'Clientes CBOT'!A:D,4,0)</f>
        <v>#N/A</v>
      </c>
      <c r="C959" s="7" t="e">
        <f>VLOOKUP(A959,'Statement base'!E:AO,21,0)</f>
        <v>#N/A</v>
      </c>
      <c r="D959" s="7" t="e">
        <f>VLOOKUP(A959,'Statement base'!E:AO,10,0)-VLOOKUP(A959,'Statement base'!E:AO,21,0)</f>
        <v>#N/A</v>
      </c>
      <c r="E959" t="s">
        <v>188</v>
      </c>
      <c r="F959" s="6" t="e">
        <f>VLOOKUP(A959,'Statement base'!E:AO,10,0)+VLOOKUP(A959,'Statement base'!E:AO,14,0)</f>
        <v>#N/A</v>
      </c>
      <c r="G959" s="61" t="e">
        <f>VLOOKUP(A959,'Clientes CBOT'!A:E,5,0)</f>
        <v>#N/A</v>
      </c>
      <c r="H959" t="str">
        <f t="shared" si="42"/>
        <v>Hard</v>
      </c>
      <c r="I959" s="6" t="e">
        <f t="shared" si="43"/>
        <v>#N/A</v>
      </c>
      <c r="J959" s="6" t="e">
        <f t="shared" si="44"/>
        <v>#N/A</v>
      </c>
    </row>
    <row r="960" spans="2:10" x14ac:dyDescent="0.3">
      <c r="B960" t="e">
        <f>VLOOKUP(A960,'Clientes CBOT'!A:D,4,0)</f>
        <v>#N/A</v>
      </c>
      <c r="C960" s="7" t="e">
        <f>VLOOKUP(A960,'Statement base'!E:AO,21,0)</f>
        <v>#N/A</v>
      </c>
      <c r="D960" s="7" t="e">
        <f>VLOOKUP(A960,'Statement base'!E:AO,10,0)-VLOOKUP(A960,'Statement base'!E:AO,21,0)</f>
        <v>#N/A</v>
      </c>
      <c r="E960" t="s">
        <v>188</v>
      </c>
      <c r="F960" s="6" t="e">
        <f>VLOOKUP(A960,'Statement base'!E:AO,10,0)+VLOOKUP(A960,'Statement base'!E:AO,14,0)</f>
        <v>#N/A</v>
      </c>
      <c r="G960" s="61" t="e">
        <f>VLOOKUP(A960,'Clientes CBOT'!A:E,5,0)</f>
        <v>#N/A</v>
      </c>
      <c r="H960" t="str">
        <f t="shared" si="42"/>
        <v>Hard</v>
      </c>
      <c r="I960" s="6" t="e">
        <f t="shared" si="43"/>
        <v>#N/A</v>
      </c>
      <c r="J960" s="6" t="e">
        <f t="shared" si="44"/>
        <v>#N/A</v>
      </c>
    </row>
    <row r="961" spans="2:10" x14ac:dyDescent="0.3">
      <c r="B961" t="e">
        <f>VLOOKUP(A961,'Clientes CBOT'!A:D,4,0)</f>
        <v>#N/A</v>
      </c>
      <c r="C961" s="7" t="e">
        <f>VLOOKUP(A961,'Statement base'!E:AO,21,0)</f>
        <v>#N/A</v>
      </c>
      <c r="D961" s="7" t="e">
        <f>VLOOKUP(A961,'Statement base'!E:AO,10,0)-VLOOKUP(A961,'Statement base'!E:AO,21,0)</f>
        <v>#N/A</v>
      </c>
      <c r="E961" t="s">
        <v>188</v>
      </c>
      <c r="F961" s="6" t="e">
        <f>VLOOKUP(A961,'Statement base'!E:AO,10,0)+VLOOKUP(A961,'Statement base'!E:AO,14,0)</f>
        <v>#N/A</v>
      </c>
      <c r="G961" s="61" t="e">
        <f>VLOOKUP(A961,'Clientes CBOT'!A:E,5,0)</f>
        <v>#N/A</v>
      </c>
      <c r="H961" t="str">
        <f t="shared" si="42"/>
        <v>Hard</v>
      </c>
      <c r="I961" s="6" t="e">
        <f t="shared" si="43"/>
        <v>#N/A</v>
      </c>
      <c r="J961" s="6" t="e">
        <f t="shared" si="44"/>
        <v>#N/A</v>
      </c>
    </row>
    <row r="962" spans="2:10" x14ac:dyDescent="0.3">
      <c r="B962" t="e">
        <f>VLOOKUP(A962,'Clientes CBOT'!A:D,4,0)</f>
        <v>#N/A</v>
      </c>
      <c r="C962" s="7" t="e">
        <f>VLOOKUP(A962,'Statement base'!E:AO,21,0)</f>
        <v>#N/A</v>
      </c>
      <c r="D962" s="7" t="e">
        <f>VLOOKUP(A962,'Statement base'!E:AO,10,0)-VLOOKUP(A962,'Statement base'!E:AO,21,0)</f>
        <v>#N/A</v>
      </c>
      <c r="E962" t="s">
        <v>188</v>
      </c>
      <c r="F962" s="6" t="e">
        <f>VLOOKUP(A962,'Statement base'!E:AO,10,0)+VLOOKUP(A962,'Statement base'!E:AO,14,0)</f>
        <v>#N/A</v>
      </c>
      <c r="G962" s="61" t="e">
        <f>VLOOKUP(A962,'Clientes CBOT'!A:E,5,0)</f>
        <v>#N/A</v>
      </c>
      <c r="H962" t="str">
        <f t="shared" si="42"/>
        <v>Hard</v>
      </c>
      <c r="I962" s="6" t="e">
        <f t="shared" si="43"/>
        <v>#N/A</v>
      </c>
      <c r="J962" s="6" t="e">
        <f t="shared" si="44"/>
        <v>#N/A</v>
      </c>
    </row>
    <row r="963" spans="2:10" x14ac:dyDescent="0.3">
      <c r="B963" t="e">
        <f>VLOOKUP(A963,'Clientes CBOT'!A:D,4,0)</f>
        <v>#N/A</v>
      </c>
      <c r="C963" s="7" t="e">
        <f>VLOOKUP(A963,'Statement base'!E:AO,21,0)</f>
        <v>#N/A</v>
      </c>
      <c r="D963" s="7" t="e">
        <f>VLOOKUP(A963,'Statement base'!E:AO,10,0)-VLOOKUP(A963,'Statement base'!E:AO,21,0)</f>
        <v>#N/A</v>
      </c>
      <c r="E963" t="s">
        <v>188</v>
      </c>
      <c r="F963" s="6" t="e">
        <f>VLOOKUP(A963,'Statement base'!E:AO,10,0)+VLOOKUP(A963,'Statement base'!E:AO,14,0)</f>
        <v>#N/A</v>
      </c>
      <c r="G963" s="61" t="e">
        <f>VLOOKUP(A963,'Clientes CBOT'!A:E,5,0)</f>
        <v>#N/A</v>
      </c>
      <c r="H963" t="str">
        <f t="shared" si="42"/>
        <v>Hard</v>
      </c>
      <c r="I963" s="6" t="e">
        <f t="shared" si="43"/>
        <v>#N/A</v>
      </c>
      <c r="J963" s="6" t="e">
        <f t="shared" si="44"/>
        <v>#N/A</v>
      </c>
    </row>
    <row r="964" spans="2:10" x14ac:dyDescent="0.3">
      <c r="B964" t="e">
        <f>VLOOKUP(A964,'Clientes CBOT'!A:D,4,0)</f>
        <v>#N/A</v>
      </c>
      <c r="C964" s="7" t="e">
        <f>VLOOKUP(A964,'Statement base'!E:AO,21,0)</f>
        <v>#N/A</v>
      </c>
      <c r="D964" s="7" t="e">
        <f>VLOOKUP(A964,'Statement base'!E:AO,10,0)-VLOOKUP(A964,'Statement base'!E:AO,21,0)</f>
        <v>#N/A</v>
      </c>
      <c r="E964" t="s">
        <v>188</v>
      </c>
      <c r="F964" s="6" t="e">
        <f>VLOOKUP(A964,'Statement base'!E:AO,10,0)+VLOOKUP(A964,'Statement base'!E:AO,14,0)</f>
        <v>#N/A</v>
      </c>
      <c r="G964" s="61" t="e">
        <f>VLOOKUP(A964,'Clientes CBOT'!A:E,5,0)</f>
        <v>#N/A</v>
      </c>
      <c r="H964" t="str">
        <f t="shared" si="42"/>
        <v>Hard</v>
      </c>
      <c r="I964" s="6" t="e">
        <f t="shared" si="43"/>
        <v>#N/A</v>
      </c>
      <c r="J964" s="6" t="e">
        <f t="shared" si="44"/>
        <v>#N/A</v>
      </c>
    </row>
    <row r="965" spans="2:10" x14ac:dyDescent="0.3">
      <c r="B965" t="e">
        <f>VLOOKUP(A965,'Clientes CBOT'!A:D,4,0)</f>
        <v>#N/A</v>
      </c>
      <c r="C965" s="7" t="e">
        <f>VLOOKUP(A965,'Statement base'!E:AO,21,0)</f>
        <v>#N/A</v>
      </c>
      <c r="D965" s="7" t="e">
        <f>VLOOKUP(A965,'Statement base'!E:AO,10,0)-VLOOKUP(A965,'Statement base'!E:AO,21,0)</f>
        <v>#N/A</v>
      </c>
      <c r="E965" t="s">
        <v>188</v>
      </c>
      <c r="F965" s="6" t="e">
        <f>VLOOKUP(A965,'Statement base'!E:AO,10,0)+VLOOKUP(A965,'Statement base'!E:AO,14,0)</f>
        <v>#N/A</v>
      </c>
      <c r="G965" s="61" t="e">
        <f>VLOOKUP(A965,'Clientes CBOT'!A:E,5,0)</f>
        <v>#N/A</v>
      </c>
      <c r="H965" t="str">
        <f t="shared" ref="H965:H1028" si="45">IF(E965="pesos","Ars",IF(E965="Dólar Matba Rofex","usd linked","Hard"))</f>
        <v>Hard</v>
      </c>
      <c r="I965" s="6" t="e">
        <f t="shared" ref="I965:I1028" si="46">IF(H965="ars",C965/$J$1,IF(H965="hard",C965*$J$2/$J$1,C965))</f>
        <v>#N/A</v>
      </c>
      <c r="J965" s="6" t="e">
        <f t="shared" ref="J965:J1028" si="47">IF(H965="ars",D965/$J$1,IF(H965="hard",D965*$J$2/$J$1,D965))</f>
        <v>#N/A</v>
      </c>
    </row>
    <row r="966" spans="2:10" x14ac:dyDescent="0.3">
      <c r="B966" t="e">
        <f>VLOOKUP(A966,'Clientes CBOT'!A:D,4,0)</f>
        <v>#N/A</v>
      </c>
      <c r="C966" s="7" t="e">
        <f>VLOOKUP(A966,'Statement base'!E:AO,21,0)</f>
        <v>#N/A</v>
      </c>
      <c r="D966" s="7" t="e">
        <f>VLOOKUP(A966,'Statement base'!E:AO,10,0)-VLOOKUP(A966,'Statement base'!E:AO,21,0)</f>
        <v>#N/A</v>
      </c>
      <c r="E966" t="s">
        <v>188</v>
      </c>
      <c r="F966" s="6" t="e">
        <f>VLOOKUP(A966,'Statement base'!E:AO,10,0)+VLOOKUP(A966,'Statement base'!E:AO,14,0)</f>
        <v>#N/A</v>
      </c>
      <c r="G966" s="61" t="e">
        <f>VLOOKUP(A966,'Clientes CBOT'!A:E,5,0)</f>
        <v>#N/A</v>
      </c>
      <c r="H966" t="str">
        <f t="shared" si="45"/>
        <v>Hard</v>
      </c>
      <c r="I966" s="6" t="e">
        <f t="shared" si="46"/>
        <v>#N/A</v>
      </c>
      <c r="J966" s="6" t="e">
        <f t="shared" si="47"/>
        <v>#N/A</v>
      </c>
    </row>
    <row r="967" spans="2:10" x14ac:dyDescent="0.3">
      <c r="B967" t="e">
        <f>VLOOKUP(A967,'Clientes CBOT'!A:D,4,0)</f>
        <v>#N/A</v>
      </c>
      <c r="C967" s="7" t="e">
        <f>VLOOKUP(A967,'Statement base'!E:AO,21,0)</f>
        <v>#N/A</v>
      </c>
      <c r="D967" s="7" t="e">
        <f>VLOOKUP(A967,'Statement base'!E:AO,10,0)-VLOOKUP(A967,'Statement base'!E:AO,21,0)</f>
        <v>#N/A</v>
      </c>
      <c r="E967" t="s">
        <v>188</v>
      </c>
      <c r="F967" s="6" t="e">
        <f>VLOOKUP(A967,'Statement base'!E:AO,10,0)+VLOOKUP(A967,'Statement base'!E:AO,14,0)</f>
        <v>#N/A</v>
      </c>
      <c r="G967" s="61" t="e">
        <f>VLOOKUP(A967,'Clientes CBOT'!A:E,5,0)</f>
        <v>#N/A</v>
      </c>
      <c r="H967" t="str">
        <f t="shared" si="45"/>
        <v>Hard</v>
      </c>
      <c r="I967" s="6" t="e">
        <f t="shared" si="46"/>
        <v>#N/A</v>
      </c>
      <c r="J967" s="6" t="e">
        <f t="shared" si="47"/>
        <v>#N/A</v>
      </c>
    </row>
    <row r="968" spans="2:10" x14ac:dyDescent="0.3">
      <c r="B968" t="e">
        <f>VLOOKUP(A968,'Clientes CBOT'!A:D,4,0)</f>
        <v>#N/A</v>
      </c>
      <c r="C968" s="7" t="e">
        <f>VLOOKUP(A968,'Statement base'!E:AO,21,0)</f>
        <v>#N/A</v>
      </c>
      <c r="D968" s="7" t="e">
        <f>VLOOKUP(A968,'Statement base'!E:AO,10,0)-VLOOKUP(A968,'Statement base'!E:AO,21,0)</f>
        <v>#N/A</v>
      </c>
      <c r="E968" t="s">
        <v>188</v>
      </c>
      <c r="F968" s="6" t="e">
        <f>VLOOKUP(A968,'Statement base'!E:AO,10,0)+VLOOKUP(A968,'Statement base'!E:AO,14,0)</f>
        <v>#N/A</v>
      </c>
      <c r="G968" s="61" t="e">
        <f>VLOOKUP(A968,'Clientes CBOT'!A:E,5,0)</f>
        <v>#N/A</v>
      </c>
      <c r="H968" t="str">
        <f t="shared" si="45"/>
        <v>Hard</v>
      </c>
      <c r="I968" s="6" t="e">
        <f t="shared" si="46"/>
        <v>#N/A</v>
      </c>
      <c r="J968" s="6" t="e">
        <f t="shared" si="47"/>
        <v>#N/A</v>
      </c>
    </row>
    <row r="969" spans="2:10" x14ac:dyDescent="0.3">
      <c r="B969" t="e">
        <f>VLOOKUP(A969,'Clientes CBOT'!A:D,4,0)</f>
        <v>#N/A</v>
      </c>
      <c r="C969" s="7" t="e">
        <f>VLOOKUP(A969,'Statement base'!E:AO,21,0)</f>
        <v>#N/A</v>
      </c>
      <c r="D969" s="7" t="e">
        <f>VLOOKUP(A969,'Statement base'!E:AO,10,0)-VLOOKUP(A969,'Statement base'!E:AO,21,0)</f>
        <v>#N/A</v>
      </c>
      <c r="E969" t="s">
        <v>188</v>
      </c>
      <c r="F969" s="6" t="e">
        <f>VLOOKUP(A969,'Statement base'!E:AO,10,0)+VLOOKUP(A969,'Statement base'!E:AO,14,0)</f>
        <v>#N/A</v>
      </c>
      <c r="G969" s="61" t="e">
        <f>VLOOKUP(A969,'Clientes CBOT'!A:E,5,0)</f>
        <v>#N/A</v>
      </c>
      <c r="H969" t="str">
        <f t="shared" si="45"/>
        <v>Hard</v>
      </c>
      <c r="I969" s="6" t="e">
        <f t="shared" si="46"/>
        <v>#N/A</v>
      </c>
      <c r="J969" s="6" t="e">
        <f t="shared" si="47"/>
        <v>#N/A</v>
      </c>
    </row>
    <row r="970" spans="2:10" x14ac:dyDescent="0.3">
      <c r="B970" t="e">
        <f>VLOOKUP(A970,'Clientes CBOT'!A:D,4,0)</f>
        <v>#N/A</v>
      </c>
      <c r="C970" s="7" t="e">
        <f>VLOOKUP(A970,'Statement base'!E:AO,21,0)</f>
        <v>#N/A</v>
      </c>
      <c r="D970" s="7" t="e">
        <f>VLOOKUP(A970,'Statement base'!E:AO,10,0)-VLOOKUP(A970,'Statement base'!E:AO,21,0)</f>
        <v>#N/A</v>
      </c>
      <c r="E970" t="s">
        <v>188</v>
      </c>
      <c r="F970" s="6" t="e">
        <f>VLOOKUP(A970,'Statement base'!E:AO,10,0)+VLOOKUP(A970,'Statement base'!E:AO,14,0)</f>
        <v>#N/A</v>
      </c>
      <c r="G970" s="61" t="e">
        <f>VLOOKUP(A970,'Clientes CBOT'!A:E,5,0)</f>
        <v>#N/A</v>
      </c>
      <c r="H970" t="str">
        <f t="shared" si="45"/>
        <v>Hard</v>
      </c>
      <c r="I970" s="6" t="e">
        <f t="shared" si="46"/>
        <v>#N/A</v>
      </c>
      <c r="J970" s="6" t="e">
        <f t="shared" si="47"/>
        <v>#N/A</v>
      </c>
    </row>
    <row r="971" spans="2:10" x14ac:dyDescent="0.3">
      <c r="B971" t="e">
        <f>VLOOKUP(A971,'Clientes CBOT'!A:D,4,0)</f>
        <v>#N/A</v>
      </c>
      <c r="C971" s="7" t="e">
        <f>VLOOKUP(A971,'Statement base'!E:AO,21,0)</f>
        <v>#N/A</v>
      </c>
      <c r="D971" s="7" t="e">
        <f>VLOOKUP(A971,'Statement base'!E:AO,10,0)-VLOOKUP(A971,'Statement base'!E:AO,21,0)</f>
        <v>#N/A</v>
      </c>
      <c r="E971" t="s">
        <v>188</v>
      </c>
      <c r="F971" s="6" t="e">
        <f>VLOOKUP(A971,'Statement base'!E:AO,10,0)+VLOOKUP(A971,'Statement base'!E:AO,14,0)</f>
        <v>#N/A</v>
      </c>
      <c r="G971" s="61" t="e">
        <f>VLOOKUP(A971,'Clientes CBOT'!A:E,5,0)</f>
        <v>#N/A</v>
      </c>
      <c r="H971" t="str">
        <f t="shared" si="45"/>
        <v>Hard</v>
      </c>
      <c r="I971" s="6" t="e">
        <f t="shared" si="46"/>
        <v>#N/A</v>
      </c>
      <c r="J971" s="6" t="e">
        <f t="shared" si="47"/>
        <v>#N/A</v>
      </c>
    </row>
    <row r="972" spans="2:10" x14ac:dyDescent="0.3">
      <c r="B972" t="e">
        <f>VLOOKUP(A972,'Clientes CBOT'!A:D,4,0)</f>
        <v>#N/A</v>
      </c>
      <c r="C972" s="7" t="e">
        <f>VLOOKUP(A972,'Statement base'!E:AO,21,0)</f>
        <v>#N/A</v>
      </c>
      <c r="D972" s="7" t="e">
        <f>VLOOKUP(A972,'Statement base'!E:AO,10,0)-VLOOKUP(A972,'Statement base'!E:AO,21,0)</f>
        <v>#N/A</v>
      </c>
      <c r="E972" t="s">
        <v>188</v>
      </c>
      <c r="F972" s="6" t="e">
        <f>VLOOKUP(A972,'Statement base'!E:AO,10,0)+VLOOKUP(A972,'Statement base'!E:AO,14,0)</f>
        <v>#N/A</v>
      </c>
      <c r="G972" s="61" t="e">
        <f>VLOOKUP(A972,'Clientes CBOT'!A:E,5,0)</f>
        <v>#N/A</v>
      </c>
      <c r="H972" t="str">
        <f t="shared" si="45"/>
        <v>Hard</v>
      </c>
      <c r="I972" s="6" t="e">
        <f t="shared" si="46"/>
        <v>#N/A</v>
      </c>
      <c r="J972" s="6" t="e">
        <f t="shared" si="47"/>
        <v>#N/A</v>
      </c>
    </row>
    <row r="973" spans="2:10" x14ac:dyDescent="0.3">
      <c r="B973" t="e">
        <f>VLOOKUP(A973,'Clientes CBOT'!A:D,4,0)</f>
        <v>#N/A</v>
      </c>
      <c r="C973" s="7" t="e">
        <f>VLOOKUP(A973,'Statement base'!E:AO,21,0)</f>
        <v>#N/A</v>
      </c>
      <c r="D973" s="7" t="e">
        <f>VLOOKUP(A973,'Statement base'!E:AO,10,0)-VLOOKUP(A973,'Statement base'!E:AO,21,0)</f>
        <v>#N/A</v>
      </c>
      <c r="E973" t="s">
        <v>188</v>
      </c>
      <c r="F973" s="6" t="e">
        <f>VLOOKUP(A973,'Statement base'!E:AO,10,0)+VLOOKUP(A973,'Statement base'!E:AO,14,0)</f>
        <v>#N/A</v>
      </c>
      <c r="G973" s="61" t="e">
        <f>VLOOKUP(A973,'Clientes CBOT'!A:E,5,0)</f>
        <v>#N/A</v>
      </c>
      <c r="H973" t="str">
        <f t="shared" si="45"/>
        <v>Hard</v>
      </c>
      <c r="I973" s="6" t="e">
        <f t="shared" si="46"/>
        <v>#N/A</v>
      </c>
      <c r="J973" s="6" t="e">
        <f t="shared" si="47"/>
        <v>#N/A</v>
      </c>
    </row>
    <row r="974" spans="2:10" x14ac:dyDescent="0.3">
      <c r="B974" t="e">
        <f>VLOOKUP(A974,'Clientes CBOT'!A:D,4,0)</f>
        <v>#N/A</v>
      </c>
      <c r="C974" s="7" t="e">
        <f>VLOOKUP(A974,'Statement base'!E:AO,21,0)</f>
        <v>#N/A</v>
      </c>
      <c r="D974" s="7" t="e">
        <f>VLOOKUP(A974,'Statement base'!E:AO,10,0)-VLOOKUP(A974,'Statement base'!E:AO,21,0)</f>
        <v>#N/A</v>
      </c>
      <c r="E974" t="s">
        <v>188</v>
      </c>
      <c r="F974" s="6" t="e">
        <f>VLOOKUP(A974,'Statement base'!E:AO,10,0)+VLOOKUP(A974,'Statement base'!E:AO,14,0)</f>
        <v>#N/A</v>
      </c>
      <c r="G974" s="61" t="e">
        <f>VLOOKUP(A974,'Clientes CBOT'!A:E,5,0)</f>
        <v>#N/A</v>
      </c>
      <c r="H974" t="str">
        <f t="shared" si="45"/>
        <v>Hard</v>
      </c>
      <c r="I974" s="6" t="e">
        <f t="shared" si="46"/>
        <v>#N/A</v>
      </c>
      <c r="J974" s="6" t="e">
        <f t="shared" si="47"/>
        <v>#N/A</v>
      </c>
    </row>
    <row r="975" spans="2:10" x14ac:dyDescent="0.3">
      <c r="B975" t="e">
        <f>VLOOKUP(A975,'Clientes CBOT'!A:D,4,0)</f>
        <v>#N/A</v>
      </c>
      <c r="C975" s="7" t="e">
        <f>VLOOKUP(A975,'Statement base'!E:AO,21,0)</f>
        <v>#N/A</v>
      </c>
      <c r="D975" s="7" t="e">
        <f>VLOOKUP(A975,'Statement base'!E:AO,10,0)-VLOOKUP(A975,'Statement base'!E:AO,21,0)</f>
        <v>#N/A</v>
      </c>
      <c r="E975" t="s">
        <v>188</v>
      </c>
      <c r="F975" s="6" t="e">
        <f>VLOOKUP(A975,'Statement base'!E:AO,10,0)+VLOOKUP(A975,'Statement base'!E:AO,14,0)</f>
        <v>#N/A</v>
      </c>
      <c r="G975" s="61" t="e">
        <f>VLOOKUP(A975,'Clientes CBOT'!A:E,5,0)</f>
        <v>#N/A</v>
      </c>
      <c r="H975" t="str">
        <f t="shared" si="45"/>
        <v>Hard</v>
      </c>
      <c r="I975" s="6" t="e">
        <f t="shared" si="46"/>
        <v>#N/A</v>
      </c>
      <c r="J975" s="6" t="e">
        <f t="shared" si="47"/>
        <v>#N/A</v>
      </c>
    </row>
    <row r="976" spans="2:10" x14ac:dyDescent="0.3">
      <c r="B976" t="e">
        <f>VLOOKUP(A976,'Clientes CBOT'!A:D,4,0)</f>
        <v>#N/A</v>
      </c>
      <c r="C976" s="7" t="e">
        <f>VLOOKUP(A976,'Statement base'!E:AO,21,0)</f>
        <v>#N/A</v>
      </c>
      <c r="D976" s="7" t="e">
        <f>VLOOKUP(A976,'Statement base'!E:AO,10,0)-VLOOKUP(A976,'Statement base'!E:AO,21,0)</f>
        <v>#N/A</v>
      </c>
      <c r="E976" t="s">
        <v>188</v>
      </c>
      <c r="F976" s="6" t="e">
        <f>VLOOKUP(A976,'Statement base'!E:AO,10,0)+VLOOKUP(A976,'Statement base'!E:AO,14,0)</f>
        <v>#N/A</v>
      </c>
      <c r="G976" s="61" t="e">
        <f>VLOOKUP(A976,'Clientes CBOT'!A:E,5,0)</f>
        <v>#N/A</v>
      </c>
      <c r="H976" t="str">
        <f t="shared" si="45"/>
        <v>Hard</v>
      </c>
      <c r="I976" s="6" t="e">
        <f t="shared" si="46"/>
        <v>#N/A</v>
      </c>
      <c r="J976" s="6" t="e">
        <f t="shared" si="47"/>
        <v>#N/A</v>
      </c>
    </row>
    <row r="977" spans="2:10" x14ac:dyDescent="0.3">
      <c r="B977" t="e">
        <f>VLOOKUP(A977,'Clientes CBOT'!A:D,4,0)</f>
        <v>#N/A</v>
      </c>
      <c r="C977" s="7" t="e">
        <f>VLOOKUP(A977,'Statement base'!E:AO,21,0)</f>
        <v>#N/A</v>
      </c>
      <c r="D977" s="7" t="e">
        <f>VLOOKUP(A977,'Statement base'!E:AO,10,0)-VLOOKUP(A977,'Statement base'!E:AO,21,0)</f>
        <v>#N/A</v>
      </c>
      <c r="E977" t="s">
        <v>188</v>
      </c>
      <c r="F977" s="6" t="e">
        <f>VLOOKUP(A977,'Statement base'!E:AO,10,0)+VLOOKUP(A977,'Statement base'!E:AO,14,0)</f>
        <v>#N/A</v>
      </c>
      <c r="G977" s="61" t="e">
        <f>VLOOKUP(A977,'Clientes CBOT'!A:E,5,0)</f>
        <v>#N/A</v>
      </c>
      <c r="H977" t="str">
        <f t="shared" si="45"/>
        <v>Hard</v>
      </c>
      <c r="I977" s="6" t="e">
        <f t="shared" si="46"/>
        <v>#N/A</v>
      </c>
      <c r="J977" s="6" t="e">
        <f t="shared" si="47"/>
        <v>#N/A</v>
      </c>
    </row>
    <row r="978" spans="2:10" x14ac:dyDescent="0.3">
      <c r="B978" t="e">
        <f>VLOOKUP(A978,'Clientes CBOT'!A:D,4,0)</f>
        <v>#N/A</v>
      </c>
      <c r="C978" s="7" t="e">
        <f>VLOOKUP(A978,'Statement base'!E:AO,21,0)</f>
        <v>#N/A</v>
      </c>
      <c r="D978" s="7" t="e">
        <f>VLOOKUP(A978,'Statement base'!E:AO,10,0)-VLOOKUP(A978,'Statement base'!E:AO,21,0)</f>
        <v>#N/A</v>
      </c>
      <c r="E978" t="s">
        <v>188</v>
      </c>
      <c r="F978" s="6" t="e">
        <f>VLOOKUP(A978,'Statement base'!E:AO,10,0)+VLOOKUP(A978,'Statement base'!E:AO,14,0)</f>
        <v>#N/A</v>
      </c>
      <c r="G978" s="61" t="e">
        <f>VLOOKUP(A978,'Clientes CBOT'!A:E,5,0)</f>
        <v>#N/A</v>
      </c>
      <c r="H978" t="str">
        <f t="shared" si="45"/>
        <v>Hard</v>
      </c>
      <c r="I978" s="6" t="e">
        <f t="shared" si="46"/>
        <v>#N/A</v>
      </c>
      <c r="J978" s="6" t="e">
        <f t="shared" si="47"/>
        <v>#N/A</v>
      </c>
    </row>
    <row r="979" spans="2:10" x14ac:dyDescent="0.3">
      <c r="B979" t="e">
        <f>VLOOKUP(A979,'Clientes CBOT'!A:D,4,0)</f>
        <v>#N/A</v>
      </c>
      <c r="C979" s="7" t="e">
        <f>VLOOKUP(A979,'Statement base'!E:AO,21,0)</f>
        <v>#N/A</v>
      </c>
      <c r="D979" s="7" t="e">
        <f>VLOOKUP(A979,'Statement base'!E:AO,10,0)-VLOOKUP(A979,'Statement base'!E:AO,21,0)</f>
        <v>#N/A</v>
      </c>
      <c r="E979" t="s">
        <v>188</v>
      </c>
      <c r="F979" s="6" t="e">
        <f>VLOOKUP(A979,'Statement base'!E:AO,10,0)+VLOOKUP(A979,'Statement base'!E:AO,14,0)</f>
        <v>#N/A</v>
      </c>
      <c r="G979" s="61" t="e">
        <f>VLOOKUP(A979,'Clientes CBOT'!A:E,5,0)</f>
        <v>#N/A</v>
      </c>
      <c r="H979" t="str">
        <f t="shared" si="45"/>
        <v>Hard</v>
      </c>
      <c r="I979" s="6" t="e">
        <f t="shared" si="46"/>
        <v>#N/A</v>
      </c>
      <c r="J979" s="6" t="e">
        <f t="shared" si="47"/>
        <v>#N/A</v>
      </c>
    </row>
    <row r="980" spans="2:10" x14ac:dyDescent="0.3">
      <c r="B980" t="e">
        <f>VLOOKUP(A980,'Clientes CBOT'!A:D,4,0)</f>
        <v>#N/A</v>
      </c>
      <c r="C980" s="7" t="e">
        <f>VLOOKUP(A980,'Statement base'!E:AO,21,0)</f>
        <v>#N/A</v>
      </c>
      <c r="D980" s="7" t="e">
        <f>VLOOKUP(A980,'Statement base'!E:AO,10,0)-VLOOKUP(A980,'Statement base'!E:AO,21,0)</f>
        <v>#N/A</v>
      </c>
      <c r="E980" t="s">
        <v>188</v>
      </c>
      <c r="F980" s="6" t="e">
        <f>VLOOKUP(A980,'Statement base'!E:AO,10,0)+VLOOKUP(A980,'Statement base'!E:AO,14,0)</f>
        <v>#N/A</v>
      </c>
      <c r="G980" s="61" t="e">
        <f>VLOOKUP(A980,'Clientes CBOT'!A:E,5,0)</f>
        <v>#N/A</v>
      </c>
      <c r="H980" t="str">
        <f t="shared" si="45"/>
        <v>Hard</v>
      </c>
      <c r="I980" s="6" t="e">
        <f t="shared" si="46"/>
        <v>#N/A</v>
      </c>
      <c r="J980" s="6" t="e">
        <f t="shared" si="47"/>
        <v>#N/A</v>
      </c>
    </row>
    <row r="981" spans="2:10" x14ac:dyDescent="0.3">
      <c r="B981" t="e">
        <f>VLOOKUP(A981,'Clientes CBOT'!A:D,4,0)</f>
        <v>#N/A</v>
      </c>
      <c r="C981" s="7" t="e">
        <f>VLOOKUP(A981,'Statement base'!E:AO,21,0)</f>
        <v>#N/A</v>
      </c>
      <c r="D981" s="7" t="e">
        <f>VLOOKUP(A981,'Statement base'!E:AO,10,0)-VLOOKUP(A981,'Statement base'!E:AO,21,0)</f>
        <v>#N/A</v>
      </c>
      <c r="E981" t="s">
        <v>188</v>
      </c>
      <c r="F981" s="6" t="e">
        <f>VLOOKUP(A981,'Statement base'!E:AO,10,0)+VLOOKUP(A981,'Statement base'!E:AO,14,0)</f>
        <v>#N/A</v>
      </c>
      <c r="G981" s="61" t="e">
        <f>VLOOKUP(A981,'Clientes CBOT'!A:E,5,0)</f>
        <v>#N/A</v>
      </c>
      <c r="H981" t="str">
        <f t="shared" si="45"/>
        <v>Hard</v>
      </c>
      <c r="I981" s="6" t="e">
        <f t="shared" si="46"/>
        <v>#N/A</v>
      </c>
      <c r="J981" s="6" t="e">
        <f t="shared" si="47"/>
        <v>#N/A</v>
      </c>
    </row>
    <row r="982" spans="2:10" x14ac:dyDescent="0.3">
      <c r="B982" t="e">
        <f>VLOOKUP(A982,'Clientes CBOT'!A:D,4,0)</f>
        <v>#N/A</v>
      </c>
      <c r="C982" s="7" t="e">
        <f>VLOOKUP(A982,'Statement base'!E:AO,21,0)</f>
        <v>#N/A</v>
      </c>
      <c r="D982" s="7" t="e">
        <f>VLOOKUP(A982,'Statement base'!E:AO,10,0)-VLOOKUP(A982,'Statement base'!E:AO,21,0)</f>
        <v>#N/A</v>
      </c>
      <c r="E982" t="s">
        <v>188</v>
      </c>
      <c r="F982" s="6" t="e">
        <f>VLOOKUP(A982,'Statement base'!E:AO,10,0)+VLOOKUP(A982,'Statement base'!E:AO,14,0)</f>
        <v>#N/A</v>
      </c>
      <c r="G982" s="61" t="e">
        <f>VLOOKUP(A982,'Clientes CBOT'!A:E,5,0)</f>
        <v>#N/A</v>
      </c>
      <c r="H982" t="str">
        <f t="shared" si="45"/>
        <v>Hard</v>
      </c>
      <c r="I982" s="6" t="e">
        <f t="shared" si="46"/>
        <v>#N/A</v>
      </c>
      <c r="J982" s="6" t="e">
        <f t="shared" si="47"/>
        <v>#N/A</v>
      </c>
    </row>
    <row r="983" spans="2:10" x14ac:dyDescent="0.3">
      <c r="B983" t="e">
        <f>VLOOKUP(A983,'Clientes CBOT'!A:D,4,0)</f>
        <v>#N/A</v>
      </c>
      <c r="C983" s="7" t="e">
        <f>VLOOKUP(A983,'Statement base'!E:AO,21,0)</f>
        <v>#N/A</v>
      </c>
      <c r="D983" s="7" t="e">
        <f>VLOOKUP(A983,'Statement base'!E:AO,10,0)-VLOOKUP(A983,'Statement base'!E:AO,21,0)</f>
        <v>#N/A</v>
      </c>
      <c r="E983" t="s">
        <v>188</v>
      </c>
      <c r="F983" s="6" t="e">
        <f>VLOOKUP(A983,'Statement base'!E:AO,10,0)+VLOOKUP(A983,'Statement base'!E:AO,14,0)</f>
        <v>#N/A</v>
      </c>
      <c r="G983" s="61" t="e">
        <f>VLOOKUP(A983,'Clientes CBOT'!A:E,5,0)</f>
        <v>#N/A</v>
      </c>
      <c r="H983" t="str">
        <f t="shared" si="45"/>
        <v>Hard</v>
      </c>
      <c r="I983" s="6" t="e">
        <f t="shared" si="46"/>
        <v>#N/A</v>
      </c>
      <c r="J983" s="6" t="e">
        <f t="shared" si="47"/>
        <v>#N/A</v>
      </c>
    </row>
    <row r="984" spans="2:10" x14ac:dyDescent="0.3">
      <c r="B984" t="e">
        <f>VLOOKUP(A984,'Clientes CBOT'!A:D,4,0)</f>
        <v>#N/A</v>
      </c>
      <c r="C984" s="7" t="e">
        <f>VLOOKUP(A984,'Statement base'!E:AO,21,0)</f>
        <v>#N/A</v>
      </c>
      <c r="D984" s="7" t="e">
        <f>VLOOKUP(A984,'Statement base'!E:AO,10,0)-VLOOKUP(A984,'Statement base'!E:AO,21,0)</f>
        <v>#N/A</v>
      </c>
      <c r="E984" t="s">
        <v>188</v>
      </c>
      <c r="F984" s="6" t="e">
        <f>VLOOKUP(A984,'Statement base'!E:AO,10,0)+VLOOKUP(A984,'Statement base'!E:AO,14,0)</f>
        <v>#N/A</v>
      </c>
      <c r="G984" s="61" t="e">
        <f>VLOOKUP(A984,'Clientes CBOT'!A:E,5,0)</f>
        <v>#N/A</v>
      </c>
      <c r="H984" t="str">
        <f t="shared" si="45"/>
        <v>Hard</v>
      </c>
      <c r="I984" s="6" t="e">
        <f t="shared" si="46"/>
        <v>#N/A</v>
      </c>
      <c r="J984" s="6" t="e">
        <f t="shared" si="47"/>
        <v>#N/A</v>
      </c>
    </row>
    <row r="985" spans="2:10" x14ac:dyDescent="0.3">
      <c r="B985" t="e">
        <f>VLOOKUP(A985,'Clientes CBOT'!A:D,4,0)</f>
        <v>#N/A</v>
      </c>
      <c r="C985" s="7" t="e">
        <f>VLOOKUP(A985,'Statement base'!E:AO,21,0)</f>
        <v>#N/A</v>
      </c>
      <c r="D985" s="7" t="e">
        <f>VLOOKUP(A985,'Statement base'!E:AO,10,0)-VLOOKUP(A985,'Statement base'!E:AO,21,0)</f>
        <v>#N/A</v>
      </c>
      <c r="E985" t="s">
        <v>188</v>
      </c>
      <c r="F985" s="6" t="e">
        <f>VLOOKUP(A985,'Statement base'!E:AO,10,0)+VLOOKUP(A985,'Statement base'!E:AO,14,0)</f>
        <v>#N/A</v>
      </c>
      <c r="G985" s="61" t="e">
        <f>VLOOKUP(A985,'Clientes CBOT'!A:E,5,0)</f>
        <v>#N/A</v>
      </c>
      <c r="H985" t="str">
        <f t="shared" si="45"/>
        <v>Hard</v>
      </c>
      <c r="I985" s="6" t="e">
        <f t="shared" si="46"/>
        <v>#N/A</v>
      </c>
      <c r="J985" s="6" t="e">
        <f t="shared" si="47"/>
        <v>#N/A</v>
      </c>
    </row>
    <row r="986" spans="2:10" x14ac:dyDescent="0.3">
      <c r="B986" t="e">
        <f>VLOOKUP(A986,'Clientes CBOT'!A:D,4,0)</f>
        <v>#N/A</v>
      </c>
      <c r="C986" s="7" t="e">
        <f>VLOOKUP(A986,'Statement base'!E:AO,21,0)</f>
        <v>#N/A</v>
      </c>
      <c r="D986" s="7" t="e">
        <f>VLOOKUP(A986,'Statement base'!E:AO,10,0)-VLOOKUP(A986,'Statement base'!E:AO,21,0)</f>
        <v>#N/A</v>
      </c>
      <c r="E986" t="s">
        <v>188</v>
      </c>
      <c r="F986" s="6" t="e">
        <f>VLOOKUP(A986,'Statement base'!E:AO,10,0)+VLOOKUP(A986,'Statement base'!E:AO,14,0)</f>
        <v>#N/A</v>
      </c>
      <c r="G986" s="61" t="e">
        <f>VLOOKUP(A986,'Clientes CBOT'!A:E,5,0)</f>
        <v>#N/A</v>
      </c>
      <c r="H986" t="str">
        <f t="shared" si="45"/>
        <v>Hard</v>
      </c>
      <c r="I986" s="6" t="e">
        <f t="shared" si="46"/>
        <v>#N/A</v>
      </c>
      <c r="J986" s="6" t="e">
        <f t="shared" si="47"/>
        <v>#N/A</v>
      </c>
    </row>
    <row r="987" spans="2:10" x14ac:dyDescent="0.3">
      <c r="B987" t="e">
        <f>VLOOKUP(A987,'Clientes CBOT'!A:D,4,0)</f>
        <v>#N/A</v>
      </c>
      <c r="C987" s="7" t="e">
        <f>VLOOKUP(A987,'Statement base'!E:AO,21,0)</f>
        <v>#N/A</v>
      </c>
      <c r="D987" s="7" t="e">
        <f>VLOOKUP(A987,'Statement base'!E:AO,10,0)-VLOOKUP(A987,'Statement base'!E:AO,21,0)</f>
        <v>#N/A</v>
      </c>
      <c r="E987" t="s">
        <v>188</v>
      </c>
      <c r="F987" s="6" t="e">
        <f>VLOOKUP(A987,'Statement base'!E:AO,10,0)+VLOOKUP(A987,'Statement base'!E:AO,14,0)</f>
        <v>#N/A</v>
      </c>
      <c r="G987" s="61" t="e">
        <f>VLOOKUP(A987,'Clientes CBOT'!A:E,5,0)</f>
        <v>#N/A</v>
      </c>
      <c r="H987" t="str">
        <f t="shared" si="45"/>
        <v>Hard</v>
      </c>
      <c r="I987" s="6" t="e">
        <f t="shared" si="46"/>
        <v>#N/A</v>
      </c>
      <c r="J987" s="6" t="e">
        <f t="shared" si="47"/>
        <v>#N/A</v>
      </c>
    </row>
    <row r="988" spans="2:10" x14ac:dyDescent="0.3">
      <c r="B988" t="e">
        <f>VLOOKUP(A988,'Clientes CBOT'!A:D,4,0)</f>
        <v>#N/A</v>
      </c>
      <c r="C988" s="7" t="e">
        <f>VLOOKUP(A988,'Statement base'!E:AO,21,0)</f>
        <v>#N/A</v>
      </c>
      <c r="D988" s="7" t="e">
        <f>VLOOKUP(A988,'Statement base'!E:AO,10,0)-VLOOKUP(A988,'Statement base'!E:AO,21,0)</f>
        <v>#N/A</v>
      </c>
      <c r="E988" t="s">
        <v>188</v>
      </c>
      <c r="F988" s="6" t="e">
        <f>VLOOKUP(A988,'Statement base'!E:AO,10,0)+VLOOKUP(A988,'Statement base'!E:AO,14,0)</f>
        <v>#N/A</v>
      </c>
      <c r="G988" s="61" t="e">
        <f>VLOOKUP(A988,'Clientes CBOT'!A:E,5,0)</f>
        <v>#N/A</v>
      </c>
      <c r="H988" t="str">
        <f t="shared" si="45"/>
        <v>Hard</v>
      </c>
      <c r="I988" s="6" t="e">
        <f t="shared" si="46"/>
        <v>#N/A</v>
      </c>
      <c r="J988" s="6" t="e">
        <f t="shared" si="47"/>
        <v>#N/A</v>
      </c>
    </row>
    <row r="989" spans="2:10" x14ac:dyDescent="0.3">
      <c r="B989" t="e">
        <f>VLOOKUP(A989,'Clientes CBOT'!A:D,4,0)</f>
        <v>#N/A</v>
      </c>
      <c r="C989" s="7" t="e">
        <f>VLOOKUP(A989,'Statement base'!E:AO,21,0)</f>
        <v>#N/A</v>
      </c>
      <c r="D989" s="7" t="e">
        <f>VLOOKUP(A989,'Statement base'!E:AO,10,0)-VLOOKUP(A989,'Statement base'!E:AO,21,0)</f>
        <v>#N/A</v>
      </c>
      <c r="E989" t="s">
        <v>188</v>
      </c>
      <c r="F989" s="6" t="e">
        <f>VLOOKUP(A989,'Statement base'!E:AO,10,0)+VLOOKUP(A989,'Statement base'!E:AO,14,0)</f>
        <v>#N/A</v>
      </c>
      <c r="G989" s="61" t="e">
        <f>VLOOKUP(A989,'Clientes CBOT'!A:E,5,0)</f>
        <v>#N/A</v>
      </c>
      <c r="H989" t="str">
        <f t="shared" si="45"/>
        <v>Hard</v>
      </c>
      <c r="I989" s="6" t="e">
        <f t="shared" si="46"/>
        <v>#N/A</v>
      </c>
      <c r="J989" s="6" t="e">
        <f t="shared" si="47"/>
        <v>#N/A</v>
      </c>
    </row>
    <row r="990" spans="2:10" x14ac:dyDescent="0.3">
      <c r="B990" t="e">
        <f>VLOOKUP(A990,'Clientes CBOT'!A:D,4,0)</f>
        <v>#N/A</v>
      </c>
      <c r="C990" s="7" t="e">
        <f>VLOOKUP(A990,'Statement base'!E:AO,21,0)</f>
        <v>#N/A</v>
      </c>
      <c r="D990" s="7" t="e">
        <f>VLOOKUP(A990,'Statement base'!E:AO,10,0)-VLOOKUP(A990,'Statement base'!E:AO,21,0)</f>
        <v>#N/A</v>
      </c>
      <c r="E990" t="s">
        <v>188</v>
      </c>
      <c r="F990" s="6" t="e">
        <f>VLOOKUP(A990,'Statement base'!E:AO,10,0)+VLOOKUP(A990,'Statement base'!E:AO,14,0)</f>
        <v>#N/A</v>
      </c>
      <c r="G990" s="61" t="e">
        <f>VLOOKUP(A990,'Clientes CBOT'!A:E,5,0)</f>
        <v>#N/A</v>
      </c>
      <c r="H990" t="str">
        <f t="shared" si="45"/>
        <v>Hard</v>
      </c>
      <c r="I990" s="6" t="e">
        <f t="shared" si="46"/>
        <v>#N/A</v>
      </c>
      <c r="J990" s="6" t="e">
        <f t="shared" si="47"/>
        <v>#N/A</v>
      </c>
    </row>
    <row r="991" spans="2:10" x14ac:dyDescent="0.3">
      <c r="B991" t="e">
        <f>VLOOKUP(A991,'Clientes CBOT'!A:D,4,0)</f>
        <v>#N/A</v>
      </c>
      <c r="C991" s="7" t="e">
        <f>VLOOKUP(A991,'Statement base'!E:AO,21,0)</f>
        <v>#N/A</v>
      </c>
      <c r="D991" s="7" t="e">
        <f>VLOOKUP(A991,'Statement base'!E:AO,10,0)-VLOOKUP(A991,'Statement base'!E:AO,21,0)</f>
        <v>#N/A</v>
      </c>
      <c r="E991" t="s">
        <v>188</v>
      </c>
      <c r="F991" s="6" t="e">
        <f>VLOOKUP(A991,'Statement base'!E:AO,10,0)+VLOOKUP(A991,'Statement base'!E:AO,14,0)</f>
        <v>#N/A</v>
      </c>
      <c r="G991" s="61" t="e">
        <f>VLOOKUP(A991,'Clientes CBOT'!A:E,5,0)</f>
        <v>#N/A</v>
      </c>
      <c r="H991" t="str">
        <f t="shared" si="45"/>
        <v>Hard</v>
      </c>
      <c r="I991" s="6" t="e">
        <f t="shared" si="46"/>
        <v>#N/A</v>
      </c>
      <c r="J991" s="6" t="e">
        <f t="shared" si="47"/>
        <v>#N/A</v>
      </c>
    </row>
    <row r="992" spans="2:10" x14ac:dyDescent="0.3">
      <c r="B992" t="e">
        <f>VLOOKUP(A992,'Clientes CBOT'!A:D,4,0)</f>
        <v>#N/A</v>
      </c>
      <c r="C992" s="7" t="e">
        <f>VLOOKUP(A992,'Statement base'!E:AO,21,0)</f>
        <v>#N/A</v>
      </c>
      <c r="D992" s="7" t="e">
        <f>VLOOKUP(A992,'Statement base'!E:AO,10,0)-VLOOKUP(A992,'Statement base'!E:AO,21,0)</f>
        <v>#N/A</v>
      </c>
      <c r="E992" t="s">
        <v>188</v>
      </c>
      <c r="F992" s="6" t="e">
        <f>VLOOKUP(A992,'Statement base'!E:AO,10,0)+VLOOKUP(A992,'Statement base'!E:AO,14,0)</f>
        <v>#N/A</v>
      </c>
      <c r="G992" s="61" t="e">
        <f>VLOOKUP(A992,'Clientes CBOT'!A:E,5,0)</f>
        <v>#N/A</v>
      </c>
      <c r="H992" t="str">
        <f t="shared" si="45"/>
        <v>Hard</v>
      </c>
      <c r="I992" s="6" t="e">
        <f t="shared" si="46"/>
        <v>#N/A</v>
      </c>
      <c r="J992" s="6" t="e">
        <f t="shared" si="47"/>
        <v>#N/A</v>
      </c>
    </row>
    <row r="993" spans="2:10" x14ac:dyDescent="0.3">
      <c r="B993" t="e">
        <f>VLOOKUP(A993,'Clientes CBOT'!A:D,4,0)</f>
        <v>#N/A</v>
      </c>
      <c r="C993" s="7" t="e">
        <f>VLOOKUP(A993,'Statement base'!E:AO,21,0)</f>
        <v>#N/A</v>
      </c>
      <c r="D993" s="7" t="e">
        <f>VLOOKUP(A993,'Statement base'!E:AO,10,0)-VLOOKUP(A993,'Statement base'!E:AO,21,0)</f>
        <v>#N/A</v>
      </c>
      <c r="E993" t="s">
        <v>188</v>
      </c>
      <c r="F993" s="6" t="e">
        <f>VLOOKUP(A993,'Statement base'!E:AO,10,0)+VLOOKUP(A993,'Statement base'!E:AO,14,0)</f>
        <v>#N/A</v>
      </c>
      <c r="G993" s="61" t="e">
        <f>VLOOKUP(A993,'Clientes CBOT'!A:E,5,0)</f>
        <v>#N/A</v>
      </c>
      <c r="H993" t="str">
        <f t="shared" si="45"/>
        <v>Hard</v>
      </c>
      <c r="I993" s="6" t="e">
        <f t="shared" si="46"/>
        <v>#N/A</v>
      </c>
      <c r="J993" s="6" t="e">
        <f t="shared" si="47"/>
        <v>#N/A</v>
      </c>
    </row>
    <row r="994" spans="2:10" x14ac:dyDescent="0.3">
      <c r="B994" t="e">
        <f>VLOOKUP(A994,'Clientes CBOT'!A:D,4,0)</f>
        <v>#N/A</v>
      </c>
      <c r="C994" s="7" t="e">
        <f>VLOOKUP(A994,'Statement base'!E:AO,21,0)</f>
        <v>#N/A</v>
      </c>
      <c r="D994" s="7" t="e">
        <f>VLOOKUP(A994,'Statement base'!E:AO,10,0)-VLOOKUP(A994,'Statement base'!E:AO,21,0)</f>
        <v>#N/A</v>
      </c>
      <c r="E994" t="s">
        <v>188</v>
      </c>
      <c r="F994" s="6" t="e">
        <f>VLOOKUP(A994,'Statement base'!E:AO,10,0)+VLOOKUP(A994,'Statement base'!E:AO,14,0)</f>
        <v>#N/A</v>
      </c>
      <c r="G994" s="61" t="e">
        <f>VLOOKUP(A994,'Clientes CBOT'!A:E,5,0)</f>
        <v>#N/A</v>
      </c>
      <c r="H994" t="str">
        <f t="shared" si="45"/>
        <v>Hard</v>
      </c>
      <c r="I994" s="6" t="e">
        <f t="shared" si="46"/>
        <v>#N/A</v>
      </c>
      <c r="J994" s="6" t="e">
        <f t="shared" si="47"/>
        <v>#N/A</v>
      </c>
    </row>
    <row r="995" spans="2:10" x14ac:dyDescent="0.3">
      <c r="B995" t="e">
        <f>VLOOKUP(A995,'Clientes CBOT'!A:D,4,0)</f>
        <v>#N/A</v>
      </c>
      <c r="C995" s="7" t="e">
        <f>VLOOKUP(A995,'Statement base'!E:AO,21,0)</f>
        <v>#N/A</v>
      </c>
      <c r="D995" s="7" t="e">
        <f>VLOOKUP(A995,'Statement base'!E:AO,10,0)-VLOOKUP(A995,'Statement base'!E:AO,21,0)</f>
        <v>#N/A</v>
      </c>
      <c r="E995" t="s">
        <v>188</v>
      </c>
      <c r="F995" s="6" t="e">
        <f>VLOOKUP(A995,'Statement base'!E:AO,10,0)+VLOOKUP(A995,'Statement base'!E:AO,14,0)</f>
        <v>#N/A</v>
      </c>
      <c r="G995" s="61" t="e">
        <f>VLOOKUP(A995,'Clientes CBOT'!A:E,5,0)</f>
        <v>#N/A</v>
      </c>
      <c r="H995" t="str">
        <f t="shared" si="45"/>
        <v>Hard</v>
      </c>
      <c r="I995" s="6" t="e">
        <f t="shared" si="46"/>
        <v>#N/A</v>
      </c>
      <c r="J995" s="6" t="e">
        <f t="shared" si="47"/>
        <v>#N/A</v>
      </c>
    </row>
    <row r="996" spans="2:10" x14ac:dyDescent="0.3">
      <c r="B996" t="e">
        <f>VLOOKUP(A996,'Clientes CBOT'!A:D,4,0)</f>
        <v>#N/A</v>
      </c>
      <c r="C996" s="7" t="e">
        <f>VLOOKUP(A996,'Statement base'!E:AO,21,0)</f>
        <v>#N/A</v>
      </c>
      <c r="D996" s="7" t="e">
        <f>VLOOKUP(A996,'Statement base'!E:AO,10,0)-VLOOKUP(A996,'Statement base'!E:AO,21,0)</f>
        <v>#N/A</v>
      </c>
      <c r="E996" t="s">
        <v>188</v>
      </c>
      <c r="F996" s="6" t="e">
        <f>VLOOKUP(A996,'Statement base'!E:AO,10,0)+VLOOKUP(A996,'Statement base'!E:AO,14,0)</f>
        <v>#N/A</v>
      </c>
      <c r="G996" s="61" t="e">
        <f>VLOOKUP(A996,'Clientes CBOT'!A:E,5,0)</f>
        <v>#N/A</v>
      </c>
      <c r="H996" t="str">
        <f t="shared" si="45"/>
        <v>Hard</v>
      </c>
      <c r="I996" s="6" t="e">
        <f t="shared" si="46"/>
        <v>#N/A</v>
      </c>
      <c r="J996" s="6" t="e">
        <f t="shared" si="47"/>
        <v>#N/A</v>
      </c>
    </row>
    <row r="997" spans="2:10" x14ac:dyDescent="0.3">
      <c r="B997" t="e">
        <f>VLOOKUP(A997,'Clientes CBOT'!A:D,4,0)</f>
        <v>#N/A</v>
      </c>
      <c r="C997" s="7" t="e">
        <f>VLOOKUP(A997,'Statement base'!E:AO,21,0)</f>
        <v>#N/A</v>
      </c>
      <c r="D997" s="7" t="e">
        <f>VLOOKUP(A997,'Statement base'!E:AO,10,0)-VLOOKUP(A997,'Statement base'!E:AO,21,0)</f>
        <v>#N/A</v>
      </c>
      <c r="E997" t="s">
        <v>188</v>
      </c>
      <c r="F997" s="6" t="e">
        <f>VLOOKUP(A997,'Statement base'!E:AO,10,0)+VLOOKUP(A997,'Statement base'!E:AO,14,0)</f>
        <v>#N/A</v>
      </c>
      <c r="G997" s="61" t="e">
        <f>VLOOKUP(A997,'Clientes CBOT'!A:E,5,0)</f>
        <v>#N/A</v>
      </c>
      <c r="H997" t="str">
        <f t="shared" si="45"/>
        <v>Hard</v>
      </c>
      <c r="I997" s="6" t="e">
        <f t="shared" si="46"/>
        <v>#N/A</v>
      </c>
      <c r="J997" s="6" t="e">
        <f t="shared" si="47"/>
        <v>#N/A</v>
      </c>
    </row>
    <row r="998" spans="2:10" x14ac:dyDescent="0.3">
      <c r="B998" t="e">
        <f>VLOOKUP(A998,'Clientes CBOT'!A:D,4,0)</f>
        <v>#N/A</v>
      </c>
      <c r="C998" s="7" t="e">
        <f>VLOOKUP(A998,'Statement base'!E:AO,21,0)</f>
        <v>#N/A</v>
      </c>
      <c r="D998" s="7" t="e">
        <f>VLOOKUP(A998,'Statement base'!E:AO,10,0)-VLOOKUP(A998,'Statement base'!E:AO,21,0)</f>
        <v>#N/A</v>
      </c>
      <c r="E998" t="s">
        <v>188</v>
      </c>
      <c r="F998" s="6" t="e">
        <f>VLOOKUP(A998,'Statement base'!E:AO,10,0)+VLOOKUP(A998,'Statement base'!E:AO,14,0)</f>
        <v>#N/A</v>
      </c>
      <c r="G998" s="61" t="e">
        <f>VLOOKUP(A998,'Clientes CBOT'!A:E,5,0)</f>
        <v>#N/A</v>
      </c>
      <c r="H998" t="str">
        <f t="shared" si="45"/>
        <v>Hard</v>
      </c>
      <c r="I998" s="6" t="e">
        <f t="shared" si="46"/>
        <v>#N/A</v>
      </c>
      <c r="J998" s="6" t="e">
        <f t="shared" si="47"/>
        <v>#N/A</v>
      </c>
    </row>
    <row r="999" spans="2:10" x14ac:dyDescent="0.3">
      <c r="B999" t="e">
        <f>VLOOKUP(A999,'Clientes CBOT'!A:D,4,0)</f>
        <v>#N/A</v>
      </c>
      <c r="C999" s="7" t="e">
        <f>VLOOKUP(A999,'Statement base'!E:AO,21,0)</f>
        <v>#N/A</v>
      </c>
      <c r="D999" s="7" t="e">
        <f>VLOOKUP(A999,'Statement base'!E:AO,10,0)-VLOOKUP(A999,'Statement base'!E:AO,21,0)</f>
        <v>#N/A</v>
      </c>
      <c r="E999" t="s">
        <v>188</v>
      </c>
      <c r="F999" s="6" t="e">
        <f>VLOOKUP(A999,'Statement base'!E:AO,10,0)+VLOOKUP(A999,'Statement base'!E:AO,14,0)</f>
        <v>#N/A</v>
      </c>
      <c r="G999" s="61" t="e">
        <f>VLOOKUP(A999,'Clientes CBOT'!A:E,5,0)</f>
        <v>#N/A</v>
      </c>
      <c r="H999" t="str">
        <f t="shared" si="45"/>
        <v>Hard</v>
      </c>
      <c r="I999" s="6" t="e">
        <f t="shared" si="46"/>
        <v>#N/A</v>
      </c>
      <c r="J999" s="6" t="e">
        <f t="shared" si="47"/>
        <v>#N/A</v>
      </c>
    </row>
    <row r="1000" spans="2:10" x14ac:dyDescent="0.3">
      <c r="B1000" t="e">
        <f>VLOOKUP(A1000,'Clientes CBOT'!A:D,4,0)</f>
        <v>#N/A</v>
      </c>
      <c r="C1000" s="7" t="e">
        <f>VLOOKUP(A1000,'Statement base'!E:AO,21,0)</f>
        <v>#N/A</v>
      </c>
      <c r="D1000" s="7" t="e">
        <f>VLOOKUP(A1000,'Statement base'!E:AO,10,0)-VLOOKUP(A1000,'Statement base'!E:AO,21,0)</f>
        <v>#N/A</v>
      </c>
      <c r="E1000" t="s">
        <v>188</v>
      </c>
      <c r="F1000" s="6" t="e">
        <f>VLOOKUP(A1000,'Statement base'!E:AO,10,0)+VLOOKUP(A1000,'Statement base'!E:AO,14,0)</f>
        <v>#N/A</v>
      </c>
      <c r="G1000" s="61" t="e">
        <f>VLOOKUP(A1000,'Clientes CBOT'!A:E,5,0)</f>
        <v>#N/A</v>
      </c>
      <c r="H1000" t="str">
        <f t="shared" si="45"/>
        <v>Hard</v>
      </c>
      <c r="I1000" s="6" t="e">
        <f t="shared" si="46"/>
        <v>#N/A</v>
      </c>
      <c r="J1000" s="6" t="e">
        <f t="shared" si="47"/>
        <v>#N/A</v>
      </c>
    </row>
    <row r="1001" spans="2:10" x14ac:dyDescent="0.3">
      <c r="B1001" t="e">
        <f>VLOOKUP(A1001,'Clientes CBOT'!A:D,4,0)</f>
        <v>#N/A</v>
      </c>
      <c r="C1001" s="7" t="e">
        <f>VLOOKUP(A1001,'Statement base'!E:AO,21,0)</f>
        <v>#N/A</v>
      </c>
      <c r="D1001" s="7" t="e">
        <f>VLOOKUP(A1001,'Statement base'!E:AO,10,0)-VLOOKUP(A1001,'Statement base'!E:AO,21,0)</f>
        <v>#N/A</v>
      </c>
      <c r="E1001" t="s">
        <v>188</v>
      </c>
      <c r="F1001" s="6" t="e">
        <f>VLOOKUP(A1001,'Statement base'!E:AO,10,0)+VLOOKUP(A1001,'Statement base'!E:AO,14,0)</f>
        <v>#N/A</v>
      </c>
      <c r="G1001" s="61" t="e">
        <f>VLOOKUP(A1001,'Clientes CBOT'!A:E,5,0)</f>
        <v>#N/A</v>
      </c>
      <c r="H1001" t="str">
        <f t="shared" si="45"/>
        <v>Hard</v>
      </c>
      <c r="I1001" s="6" t="e">
        <f t="shared" si="46"/>
        <v>#N/A</v>
      </c>
      <c r="J1001" s="6" t="e">
        <f t="shared" si="47"/>
        <v>#N/A</v>
      </c>
    </row>
    <row r="1002" spans="2:10" x14ac:dyDescent="0.3">
      <c r="B1002" t="e">
        <f>VLOOKUP(A1002,'Clientes CBOT'!A:D,4,0)</f>
        <v>#N/A</v>
      </c>
      <c r="C1002" s="7" t="e">
        <f>VLOOKUP(A1002,'Statement base'!E:AO,21,0)</f>
        <v>#N/A</v>
      </c>
      <c r="D1002" s="7" t="e">
        <f>VLOOKUP(A1002,'Statement base'!E:AO,10,0)-VLOOKUP(A1002,'Statement base'!E:AO,21,0)</f>
        <v>#N/A</v>
      </c>
      <c r="E1002" t="s">
        <v>188</v>
      </c>
      <c r="F1002" s="6" t="e">
        <f>VLOOKUP(A1002,'Statement base'!E:AO,10,0)+VLOOKUP(A1002,'Statement base'!E:AO,14,0)</f>
        <v>#N/A</v>
      </c>
      <c r="G1002" s="61" t="e">
        <f>VLOOKUP(A1002,'Clientes CBOT'!A:E,5,0)</f>
        <v>#N/A</v>
      </c>
      <c r="H1002" t="str">
        <f t="shared" si="45"/>
        <v>Hard</v>
      </c>
      <c r="I1002" s="6" t="e">
        <f t="shared" si="46"/>
        <v>#N/A</v>
      </c>
      <c r="J1002" s="6" t="e">
        <f t="shared" si="47"/>
        <v>#N/A</v>
      </c>
    </row>
    <row r="1003" spans="2:10" x14ac:dyDescent="0.3">
      <c r="B1003" t="e">
        <f>VLOOKUP(A1003,'Clientes CBOT'!A:D,4,0)</f>
        <v>#N/A</v>
      </c>
      <c r="C1003" s="7" t="e">
        <f>VLOOKUP(A1003,'Statement base'!E:AO,21,0)</f>
        <v>#N/A</v>
      </c>
      <c r="D1003" s="7" t="e">
        <f>VLOOKUP(A1003,'Statement base'!E:AO,10,0)-VLOOKUP(A1003,'Statement base'!E:AO,21,0)</f>
        <v>#N/A</v>
      </c>
      <c r="E1003" t="s">
        <v>188</v>
      </c>
      <c r="F1003" s="6" t="e">
        <f>VLOOKUP(A1003,'Statement base'!E:AO,10,0)+VLOOKUP(A1003,'Statement base'!E:AO,14,0)</f>
        <v>#N/A</v>
      </c>
      <c r="G1003" s="61" t="e">
        <f>VLOOKUP(A1003,'Clientes CBOT'!A:E,5,0)</f>
        <v>#N/A</v>
      </c>
      <c r="H1003" t="str">
        <f t="shared" si="45"/>
        <v>Hard</v>
      </c>
      <c r="I1003" s="6" t="e">
        <f t="shared" si="46"/>
        <v>#N/A</v>
      </c>
      <c r="J1003" s="6" t="e">
        <f t="shared" si="47"/>
        <v>#N/A</v>
      </c>
    </row>
    <row r="1004" spans="2:10" x14ac:dyDescent="0.3">
      <c r="B1004" t="e">
        <f>VLOOKUP(A1004,'Clientes CBOT'!A:D,4,0)</f>
        <v>#N/A</v>
      </c>
      <c r="C1004" s="7" t="e">
        <f>VLOOKUP(A1004,'Statement base'!E:AO,21,0)</f>
        <v>#N/A</v>
      </c>
      <c r="D1004" s="7" t="e">
        <f>VLOOKUP(A1004,'Statement base'!E:AO,10,0)-VLOOKUP(A1004,'Statement base'!E:AO,21,0)</f>
        <v>#N/A</v>
      </c>
      <c r="E1004" t="s">
        <v>188</v>
      </c>
      <c r="F1004" s="6" t="e">
        <f>VLOOKUP(A1004,'Statement base'!E:AO,10,0)+VLOOKUP(A1004,'Statement base'!E:AO,14,0)</f>
        <v>#N/A</v>
      </c>
      <c r="G1004" s="61" t="e">
        <f>VLOOKUP(A1004,'Clientes CBOT'!A:E,5,0)</f>
        <v>#N/A</v>
      </c>
      <c r="H1004" t="str">
        <f t="shared" si="45"/>
        <v>Hard</v>
      </c>
      <c r="I1004" s="6" t="e">
        <f t="shared" si="46"/>
        <v>#N/A</v>
      </c>
      <c r="J1004" s="6" t="e">
        <f t="shared" si="47"/>
        <v>#N/A</v>
      </c>
    </row>
    <row r="1005" spans="2:10" x14ac:dyDescent="0.3">
      <c r="B1005" t="e">
        <f>VLOOKUP(A1005,'Clientes CBOT'!A:D,4,0)</f>
        <v>#N/A</v>
      </c>
      <c r="C1005" s="7" t="e">
        <f>VLOOKUP(A1005,'Statement base'!E:AO,21,0)</f>
        <v>#N/A</v>
      </c>
      <c r="D1005" s="7" t="e">
        <f>VLOOKUP(A1005,'Statement base'!E:AO,10,0)-VLOOKUP(A1005,'Statement base'!E:AO,21,0)</f>
        <v>#N/A</v>
      </c>
      <c r="E1005" t="s">
        <v>188</v>
      </c>
      <c r="F1005" s="6" t="e">
        <f>VLOOKUP(A1005,'Statement base'!E:AO,10,0)+VLOOKUP(A1005,'Statement base'!E:AO,14,0)</f>
        <v>#N/A</v>
      </c>
      <c r="G1005" s="61" t="e">
        <f>VLOOKUP(A1005,'Clientes CBOT'!A:E,5,0)</f>
        <v>#N/A</v>
      </c>
      <c r="H1005" t="str">
        <f t="shared" si="45"/>
        <v>Hard</v>
      </c>
      <c r="I1005" s="6" t="e">
        <f t="shared" si="46"/>
        <v>#N/A</v>
      </c>
      <c r="J1005" s="6" t="e">
        <f t="shared" si="47"/>
        <v>#N/A</v>
      </c>
    </row>
    <row r="1006" spans="2:10" x14ac:dyDescent="0.3">
      <c r="B1006" t="e">
        <f>VLOOKUP(A1006,'Clientes CBOT'!A:D,4,0)</f>
        <v>#N/A</v>
      </c>
      <c r="C1006" s="7" t="e">
        <f>VLOOKUP(A1006,'Statement base'!E:AO,21,0)</f>
        <v>#N/A</v>
      </c>
      <c r="D1006" s="7" t="e">
        <f>VLOOKUP(A1006,'Statement base'!E:AO,10,0)-VLOOKUP(A1006,'Statement base'!E:AO,21,0)</f>
        <v>#N/A</v>
      </c>
      <c r="E1006" t="s">
        <v>188</v>
      </c>
      <c r="F1006" s="6" t="e">
        <f>VLOOKUP(A1006,'Statement base'!E:AO,10,0)+VLOOKUP(A1006,'Statement base'!E:AO,14,0)</f>
        <v>#N/A</v>
      </c>
      <c r="G1006" s="61" t="e">
        <f>VLOOKUP(A1006,'Clientes CBOT'!A:E,5,0)</f>
        <v>#N/A</v>
      </c>
      <c r="H1006" t="str">
        <f t="shared" si="45"/>
        <v>Hard</v>
      </c>
      <c r="I1006" s="6" t="e">
        <f t="shared" si="46"/>
        <v>#N/A</v>
      </c>
      <c r="J1006" s="6" t="e">
        <f t="shared" si="47"/>
        <v>#N/A</v>
      </c>
    </row>
    <row r="1007" spans="2:10" x14ac:dyDescent="0.3">
      <c r="B1007" t="e">
        <f>VLOOKUP(A1007,'Clientes CBOT'!A:D,4,0)</f>
        <v>#N/A</v>
      </c>
      <c r="C1007" s="7" t="e">
        <f>VLOOKUP(A1007,'Statement base'!E:AO,21,0)</f>
        <v>#N/A</v>
      </c>
      <c r="D1007" s="7" t="e">
        <f>VLOOKUP(A1007,'Statement base'!E:AO,10,0)-VLOOKUP(A1007,'Statement base'!E:AO,21,0)</f>
        <v>#N/A</v>
      </c>
      <c r="E1007" t="s">
        <v>188</v>
      </c>
      <c r="F1007" s="6" t="e">
        <f>VLOOKUP(A1007,'Statement base'!E:AO,10,0)+VLOOKUP(A1007,'Statement base'!E:AO,14,0)</f>
        <v>#N/A</v>
      </c>
      <c r="G1007" s="61" t="e">
        <f>VLOOKUP(A1007,'Clientes CBOT'!A:E,5,0)</f>
        <v>#N/A</v>
      </c>
      <c r="H1007" t="str">
        <f t="shared" si="45"/>
        <v>Hard</v>
      </c>
      <c r="I1007" s="6" t="e">
        <f t="shared" si="46"/>
        <v>#N/A</v>
      </c>
      <c r="J1007" s="6" t="e">
        <f t="shared" si="47"/>
        <v>#N/A</v>
      </c>
    </row>
    <row r="1008" spans="2:10" x14ac:dyDescent="0.3">
      <c r="B1008" t="e">
        <f>VLOOKUP(A1008,'Clientes CBOT'!A:D,4,0)</f>
        <v>#N/A</v>
      </c>
      <c r="C1008" s="7" t="e">
        <f>VLOOKUP(A1008,'Statement base'!E:AO,21,0)</f>
        <v>#N/A</v>
      </c>
      <c r="D1008" s="7" t="e">
        <f>VLOOKUP(A1008,'Statement base'!E:AO,10,0)-VLOOKUP(A1008,'Statement base'!E:AO,21,0)</f>
        <v>#N/A</v>
      </c>
      <c r="E1008" t="s">
        <v>188</v>
      </c>
      <c r="F1008" s="6" t="e">
        <f>VLOOKUP(A1008,'Statement base'!E:AO,10,0)+VLOOKUP(A1008,'Statement base'!E:AO,14,0)</f>
        <v>#N/A</v>
      </c>
      <c r="G1008" s="61" t="e">
        <f>VLOOKUP(A1008,'Clientes CBOT'!A:E,5,0)</f>
        <v>#N/A</v>
      </c>
      <c r="H1008" t="str">
        <f t="shared" si="45"/>
        <v>Hard</v>
      </c>
      <c r="I1008" s="6" t="e">
        <f t="shared" si="46"/>
        <v>#N/A</v>
      </c>
      <c r="J1008" s="6" t="e">
        <f t="shared" si="47"/>
        <v>#N/A</v>
      </c>
    </row>
    <row r="1009" spans="2:10" x14ac:dyDescent="0.3">
      <c r="B1009" t="e">
        <f>VLOOKUP(A1009,'Clientes CBOT'!A:D,4,0)</f>
        <v>#N/A</v>
      </c>
      <c r="C1009" s="7" t="e">
        <f>VLOOKUP(A1009,'Statement base'!E:AO,21,0)</f>
        <v>#N/A</v>
      </c>
      <c r="D1009" s="7" t="e">
        <f>VLOOKUP(A1009,'Statement base'!E:AO,10,0)-VLOOKUP(A1009,'Statement base'!E:AO,21,0)</f>
        <v>#N/A</v>
      </c>
      <c r="E1009" t="s">
        <v>188</v>
      </c>
      <c r="F1009" s="6" t="e">
        <f>VLOOKUP(A1009,'Statement base'!E:AO,10,0)+VLOOKUP(A1009,'Statement base'!E:AO,14,0)</f>
        <v>#N/A</v>
      </c>
      <c r="G1009" s="61" t="e">
        <f>VLOOKUP(A1009,'Clientes CBOT'!A:E,5,0)</f>
        <v>#N/A</v>
      </c>
      <c r="H1009" t="str">
        <f t="shared" si="45"/>
        <v>Hard</v>
      </c>
      <c r="I1009" s="6" t="e">
        <f t="shared" si="46"/>
        <v>#N/A</v>
      </c>
      <c r="J1009" s="6" t="e">
        <f t="shared" si="47"/>
        <v>#N/A</v>
      </c>
    </row>
    <row r="1010" spans="2:10" x14ac:dyDescent="0.3">
      <c r="B1010" t="e">
        <f>VLOOKUP(A1010,'Clientes CBOT'!A:D,4,0)</f>
        <v>#N/A</v>
      </c>
      <c r="C1010" s="7" t="e">
        <f>VLOOKUP(A1010,'Statement base'!E:AO,21,0)</f>
        <v>#N/A</v>
      </c>
      <c r="D1010" s="7" t="e">
        <f>VLOOKUP(A1010,'Statement base'!E:AO,10,0)-VLOOKUP(A1010,'Statement base'!E:AO,21,0)</f>
        <v>#N/A</v>
      </c>
      <c r="E1010" t="s">
        <v>188</v>
      </c>
      <c r="F1010" s="6" t="e">
        <f>VLOOKUP(A1010,'Statement base'!E:AO,10,0)+VLOOKUP(A1010,'Statement base'!E:AO,14,0)</f>
        <v>#N/A</v>
      </c>
      <c r="G1010" s="61" t="e">
        <f>VLOOKUP(A1010,'Clientes CBOT'!A:E,5,0)</f>
        <v>#N/A</v>
      </c>
      <c r="H1010" t="str">
        <f t="shared" si="45"/>
        <v>Hard</v>
      </c>
      <c r="I1010" s="6" t="e">
        <f t="shared" si="46"/>
        <v>#N/A</v>
      </c>
      <c r="J1010" s="6" t="e">
        <f t="shared" si="47"/>
        <v>#N/A</v>
      </c>
    </row>
    <row r="1011" spans="2:10" x14ac:dyDescent="0.3">
      <c r="B1011" t="e">
        <f>VLOOKUP(A1011,'Clientes CBOT'!A:D,4,0)</f>
        <v>#N/A</v>
      </c>
      <c r="C1011" s="7" t="e">
        <f>VLOOKUP(A1011,'Statement base'!E:AO,21,0)</f>
        <v>#N/A</v>
      </c>
      <c r="D1011" s="7" t="e">
        <f>VLOOKUP(A1011,'Statement base'!E:AO,10,0)-VLOOKUP(A1011,'Statement base'!E:AO,21,0)</f>
        <v>#N/A</v>
      </c>
      <c r="E1011" t="s">
        <v>188</v>
      </c>
      <c r="F1011" s="6" t="e">
        <f>VLOOKUP(A1011,'Statement base'!E:AO,10,0)+VLOOKUP(A1011,'Statement base'!E:AO,14,0)</f>
        <v>#N/A</v>
      </c>
      <c r="G1011" s="61" t="e">
        <f>VLOOKUP(A1011,'Clientes CBOT'!A:E,5,0)</f>
        <v>#N/A</v>
      </c>
      <c r="H1011" t="str">
        <f t="shared" si="45"/>
        <v>Hard</v>
      </c>
      <c r="I1011" s="6" t="e">
        <f t="shared" si="46"/>
        <v>#N/A</v>
      </c>
      <c r="J1011" s="6" t="e">
        <f t="shared" si="47"/>
        <v>#N/A</v>
      </c>
    </row>
    <row r="1012" spans="2:10" x14ac:dyDescent="0.3">
      <c r="B1012" t="e">
        <f>VLOOKUP(A1012,'Clientes CBOT'!A:D,4,0)</f>
        <v>#N/A</v>
      </c>
      <c r="C1012" s="7" t="e">
        <f>VLOOKUP(A1012,'Statement base'!E:AO,21,0)</f>
        <v>#N/A</v>
      </c>
      <c r="D1012" s="7" t="e">
        <f>VLOOKUP(A1012,'Statement base'!E:AO,10,0)-VLOOKUP(A1012,'Statement base'!E:AO,21,0)</f>
        <v>#N/A</v>
      </c>
      <c r="E1012" t="s">
        <v>188</v>
      </c>
      <c r="F1012" s="6" t="e">
        <f>VLOOKUP(A1012,'Statement base'!E:AO,10,0)+VLOOKUP(A1012,'Statement base'!E:AO,14,0)</f>
        <v>#N/A</v>
      </c>
      <c r="G1012" s="61" t="e">
        <f>VLOOKUP(A1012,'Clientes CBOT'!A:E,5,0)</f>
        <v>#N/A</v>
      </c>
      <c r="H1012" t="str">
        <f t="shared" si="45"/>
        <v>Hard</v>
      </c>
      <c r="I1012" s="6" t="e">
        <f t="shared" si="46"/>
        <v>#N/A</v>
      </c>
      <c r="J1012" s="6" t="e">
        <f t="shared" si="47"/>
        <v>#N/A</v>
      </c>
    </row>
    <row r="1013" spans="2:10" x14ac:dyDescent="0.3">
      <c r="B1013" t="e">
        <f>VLOOKUP(A1013,'Clientes CBOT'!A:D,4,0)</f>
        <v>#N/A</v>
      </c>
      <c r="C1013" s="7" t="e">
        <f>VLOOKUP(A1013,'Statement base'!E:AO,21,0)</f>
        <v>#N/A</v>
      </c>
      <c r="D1013" s="7" t="e">
        <f>VLOOKUP(A1013,'Statement base'!E:AO,10,0)-VLOOKUP(A1013,'Statement base'!E:AO,21,0)</f>
        <v>#N/A</v>
      </c>
      <c r="E1013" t="s">
        <v>188</v>
      </c>
      <c r="F1013" s="6" t="e">
        <f>VLOOKUP(A1013,'Statement base'!E:AO,10,0)+VLOOKUP(A1013,'Statement base'!E:AO,14,0)</f>
        <v>#N/A</v>
      </c>
      <c r="G1013" s="61" t="e">
        <f>VLOOKUP(A1013,'Clientes CBOT'!A:E,5,0)</f>
        <v>#N/A</v>
      </c>
      <c r="H1013" t="str">
        <f t="shared" si="45"/>
        <v>Hard</v>
      </c>
      <c r="I1013" s="6" t="e">
        <f t="shared" si="46"/>
        <v>#N/A</v>
      </c>
      <c r="J1013" s="6" t="e">
        <f t="shared" si="47"/>
        <v>#N/A</v>
      </c>
    </row>
    <row r="1014" spans="2:10" x14ac:dyDescent="0.3">
      <c r="B1014" t="e">
        <f>VLOOKUP(A1014,'Clientes CBOT'!A:D,4,0)</f>
        <v>#N/A</v>
      </c>
      <c r="C1014" s="7" t="e">
        <f>VLOOKUP(A1014,'Statement base'!E:AO,21,0)</f>
        <v>#N/A</v>
      </c>
      <c r="D1014" s="7" t="e">
        <f>VLOOKUP(A1014,'Statement base'!E:AO,10,0)-VLOOKUP(A1014,'Statement base'!E:AO,21,0)</f>
        <v>#N/A</v>
      </c>
      <c r="E1014" t="s">
        <v>188</v>
      </c>
      <c r="F1014" s="6" t="e">
        <f>VLOOKUP(A1014,'Statement base'!E:AO,10,0)+VLOOKUP(A1014,'Statement base'!E:AO,14,0)</f>
        <v>#N/A</v>
      </c>
      <c r="G1014" s="61" t="e">
        <f>VLOOKUP(A1014,'Clientes CBOT'!A:E,5,0)</f>
        <v>#N/A</v>
      </c>
      <c r="H1014" t="str">
        <f t="shared" si="45"/>
        <v>Hard</v>
      </c>
      <c r="I1014" s="6" t="e">
        <f t="shared" si="46"/>
        <v>#N/A</v>
      </c>
      <c r="J1014" s="6" t="e">
        <f t="shared" si="47"/>
        <v>#N/A</v>
      </c>
    </row>
    <row r="1015" spans="2:10" x14ac:dyDescent="0.3">
      <c r="B1015" t="e">
        <f>VLOOKUP(A1015,'Clientes CBOT'!A:D,4,0)</f>
        <v>#N/A</v>
      </c>
      <c r="C1015" s="7" t="e">
        <f>VLOOKUP(A1015,'Statement base'!E:AO,21,0)</f>
        <v>#N/A</v>
      </c>
      <c r="D1015" s="7" t="e">
        <f>VLOOKUP(A1015,'Statement base'!E:AO,10,0)-VLOOKUP(A1015,'Statement base'!E:AO,21,0)</f>
        <v>#N/A</v>
      </c>
      <c r="E1015" t="s">
        <v>188</v>
      </c>
      <c r="F1015" s="6" t="e">
        <f>VLOOKUP(A1015,'Statement base'!E:AO,10,0)+VLOOKUP(A1015,'Statement base'!E:AO,14,0)</f>
        <v>#N/A</v>
      </c>
      <c r="G1015" s="61" t="e">
        <f>VLOOKUP(A1015,'Clientes CBOT'!A:E,5,0)</f>
        <v>#N/A</v>
      </c>
      <c r="H1015" t="str">
        <f t="shared" si="45"/>
        <v>Hard</v>
      </c>
      <c r="I1015" s="6" t="e">
        <f t="shared" si="46"/>
        <v>#N/A</v>
      </c>
      <c r="J1015" s="6" t="e">
        <f t="shared" si="47"/>
        <v>#N/A</v>
      </c>
    </row>
    <row r="1016" spans="2:10" x14ac:dyDescent="0.3">
      <c r="B1016" t="e">
        <f>VLOOKUP(A1016,'Clientes CBOT'!A:D,4,0)</f>
        <v>#N/A</v>
      </c>
      <c r="C1016" s="7" t="e">
        <f>VLOOKUP(A1016,'Statement base'!E:AO,21,0)</f>
        <v>#N/A</v>
      </c>
      <c r="D1016" s="7" t="e">
        <f>VLOOKUP(A1016,'Statement base'!E:AO,10,0)-VLOOKUP(A1016,'Statement base'!E:AO,21,0)</f>
        <v>#N/A</v>
      </c>
      <c r="E1016" t="s">
        <v>188</v>
      </c>
      <c r="F1016" s="6" t="e">
        <f>VLOOKUP(A1016,'Statement base'!E:AO,10,0)+VLOOKUP(A1016,'Statement base'!E:AO,14,0)</f>
        <v>#N/A</v>
      </c>
      <c r="G1016" s="61" t="e">
        <f>VLOOKUP(A1016,'Clientes CBOT'!A:E,5,0)</f>
        <v>#N/A</v>
      </c>
      <c r="H1016" t="str">
        <f t="shared" si="45"/>
        <v>Hard</v>
      </c>
      <c r="I1016" s="6" t="e">
        <f t="shared" si="46"/>
        <v>#N/A</v>
      </c>
      <c r="J1016" s="6" t="e">
        <f t="shared" si="47"/>
        <v>#N/A</v>
      </c>
    </row>
    <row r="1017" spans="2:10" x14ac:dyDescent="0.3">
      <c r="B1017" t="e">
        <f>VLOOKUP(A1017,'Clientes CBOT'!A:D,4,0)</f>
        <v>#N/A</v>
      </c>
      <c r="C1017" s="7" t="e">
        <f>VLOOKUP(A1017,'Statement base'!E:AO,21,0)</f>
        <v>#N/A</v>
      </c>
      <c r="D1017" s="7" t="e">
        <f>VLOOKUP(A1017,'Statement base'!E:AO,10,0)-VLOOKUP(A1017,'Statement base'!E:AO,21,0)</f>
        <v>#N/A</v>
      </c>
      <c r="E1017" t="s">
        <v>188</v>
      </c>
      <c r="F1017" s="6" t="e">
        <f>VLOOKUP(A1017,'Statement base'!E:AO,10,0)+VLOOKUP(A1017,'Statement base'!E:AO,14,0)</f>
        <v>#N/A</v>
      </c>
      <c r="G1017" s="61" t="e">
        <f>VLOOKUP(A1017,'Clientes CBOT'!A:E,5,0)</f>
        <v>#N/A</v>
      </c>
      <c r="H1017" t="str">
        <f t="shared" si="45"/>
        <v>Hard</v>
      </c>
      <c r="I1017" s="6" t="e">
        <f t="shared" si="46"/>
        <v>#N/A</v>
      </c>
      <c r="J1017" s="6" t="e">
        <f t="shared" si="47"/>
        <v>#N/A</v>
      </c>
    </row>
    <row r="1018" spans="2:10" x14ac:dyDescent="0.3">
      <c r="B1018" t="e">
        <f>VLOOKUP(A1018,'Clientes CBOT'!A:D,4,0)</f>
        <v>#N/A</v>
      </c>
      <c r="C1018" s="7" t="e">
        <f>VLOOKUP(A1018,'Statement base'!E:AO,21,0)</f>
        <v>#N/A</v>
      </c>
      <c r="D1018" s="7" t="e">
        <f>VLOOKUP(A1018,'Statement base'!E:AO,10,0)-VLOOKUP(A1018,'Statement base'!E:AO,21,0)</f>
        <v>#N/A</v>
      </c>
      <c r="E1018" t="s">
        <v>188</v>
      </c>
      <c r="F1018" s="6" t="e">
        <f>VLOOKUP(A1018,'Statement base'!E:AO,10,0)+VLOOKUP(A1018,'Statement base'!E:AO,14,0)</f>
        <v>#N/A</v>
      </c>
      <c r="G1018" s="61" t="e">
        <f>VLOOKUP(A1018,'Clientes CBOT'!A:E,5,0)</f>
        <v>#N/A</v>
      </c>
      <c r="H1018" t="str">
        <f t="shared" si="45"/>
        <v>Hard</v>
      </c>
      <c r="I1018" s="6" t="e">
        <f t="shared" si="46"/>
        <v>#N/A</v>
      </c>
      <c r="J1018" s="6" t="e">
        <f t="shared" si="47"/>
        <v>#N/A</v>
      </c>
    </row>
    <row r="1019" spans="2:10" x14ac:dyDescent="0.3">
      <c r="B1019" t="e">
        <f>VLOOKUP(A1019,'Clientes CBOT'!A:D,4,0)</f>
        <v>#N/A</v>
      </c>
      <c r="C1019" s="7" t="e">
        <f>VLOOKUP(A1019,'Statement base'!E:AO,21,0)</f>
        <v>#N/A</v>
      </c>
      <c r="D1019" s="7" t="e">
        <f>VLOOKUP(A1019,'Statement base'!E:AO,10,0)-VLOOKUP(A1019,'Statement base'!E:AO,21,0)</f>
        <v>#N/A</v>
      </c>
      <c r="E1019" t="s">
        <v>188</v>
      </c>
      <c r="F1019" s="6" t="e">
        <f>VLOOKUP(A1019,'Statement base'!E:AO,10,0)+VLOOKUP(A1019,'Statement base'!E:AO,14,0)</f>
        <v>#N/A</v>
      </c>
      <c r="G1019" s="61" t="e">
        <f>VLOOKUP(A1019,'Clientes CBOT'!A:E,5,0)</f>
        <v>#N/A</v>
      </c>
      <c r="H1019" t="str">
        <f t="shared" si="45"/>
        <v>Hard</v>
      </c>
      <c r="I1019" s="6" t="e">
        <f t="shared" si="46"/>
        <v>#N/A</v>
      </c>
      <c r="J1019" s="6" t="e">
        <f t="shared" si="47"/>
        <v>#N/A</v>
      </c>
    </row>
    <row r="1020" spans="2:10" x14ac:dyDescent="0.3">
      <c r="B1020" t="e">
        <f>VLOOKUP(A1020,'Clientes CBOT'!A:D,4,0)</f>
        <v>#N/A</v>
      </c>
      <c r="C1020" s="7" t="e">
        <f>VLOOKUP(A1020,'Statement base'!E:AO,21,0)</f>
        <v>#N/A</v>
      </c>
      <c r="D1020" s="7" t="e">
        <f>VLOOKUP(A1020,'Statement base'!E:AO,10,0)-VLOOKUP(A1020,'Statement base'!E:AO,21,0)</f>
        <v>#N/A</v>
      </c>
      <c r="E1020" t="s">
        <v>188</v>
      </c>
      <c r="F1020" s="6" t="e">
        <f>VLOOKUP(A1020,'Statement base'!E:AO,10,0)+VLOOKUP(A1020,'Statement base'!E:AO,14,0)</f>
        <v>#N/A</v>
      </c>
      <c r="G1020" s="61" t="e">
        <f>VLOOKUP(A1020,'Clientes CBOT'!A:E,5,0)</f>
        <v>#N/A</v>
      </c>
      <c r="H1020" t="str">
        <f t="shared" si="45"/>
        <v>Hard</v>
      </c>
      <c r="I1020" s="6" t="e">
        <f t="shared" si="46"/>
        <v>#N/A</v>
      </c>
      <c r="J1020" s="6" t="e">
        <f t="shared" si="47"/>
        <v>#N/A</v>
      </c>
    </row>
    <row r="1021" spans="2:10" x14ac:dyDescent="0.3">
      <c r="B1021" t="e">
        <f>VLOOKUP(A1021,'Clientes CBOT'!A:D,4,0)</f>
        <v>#N/A</v>
      </c>
      <c r="C1021" s="7" t="e">
        <f>VLOOKUP(A1021,'Statement base'!E:AO,21,0)</f>
        <v>#N/A</v>
      </c>
      <c r="D1021" s="7" t="e">
        <f>VLOOKUP(A1021,'Statement base'!E:AO,10,0)-VLOOKUP(A1021,'Statement base'!E:AO,21,0)</f>
        <v>#N/A</v>
      </c>
      <c r="E1021" t="s">
        <v>188</v>
      </c>
      <c r="F1021" s="6" t="e">
        <f>VLOOKUP(A1021,'Statement base'!E:AO,10,0)+VLOOKUP(A1021,'Statement base'!E:AO,14,0)</f>
        <v>#N/A</v>
      </c>
      <c r="G1021" s="61" t="e">
        <f>VLOOKUP(A1021,'Clientes CBOT'!A:E,5,0)</f>
        <v>#N/A</v>
      </c>
      <c r="H1021" t="str">
        <f t="shared" si="45"/>
        <v>Hard</v>
      </c>
      <c r="I1021" s="6" t="e">
        <f t="shared" si="46"/>
        <v>#N/A</v>
      </c>
      <c r="J1021" s="6" t="e">
        <f t="shared" si="47"/>
        <v>#N/A</v>
      </c>
    </row>
    <row r="1022" spans="2:10" x14ac:dyDescent="0.3">
      <c r="B1022" t="e">
        <f>VLOOKUP(A1022,'Clientes CBOT'!A:D,4,0)</f>
        <v>#N/A</v>
      </c>
      <c r="C1022" s="7" t="e">
        <f>VLOOKUP(A1022,'Statement base'!E:AO,21,0)</f>
        <v>#N/A</v>
      </c>
      <c r="D1022" s="7" t="e">
        <f>VLOOKUP(A1022,'Statement base'!E:AO,10,0)-VLOOKUP(A1022,'Statement base'!E:AO,21,0)</f>
        <v>#N/A</v>
      </c>
      <c r="E1022" t="s">
        <v>188</v>
      </c>
      <c r="F1022" s="6" t="e">
        <f>VLOOKUP(A1022,'Statement base'!E:AO,10,0)+VLOOKUP(A1022,'Statement base'!E:AO,14,0)</f>
        <v>#N/A</v>
      </c>
      <c r="G1022" s="61" t="e">
        <f>VLOOKUP(A1022,'Clientes CBOT'!A:E,5,0)</f>
        <v>#N/A</v>
      </c>
      <c r="H1022" t="str">
        <f t="shared" si="45"/>
        <v>Hard</v>
      </c>
      <c r="I1022" s="6" t="e">
        <f t="shared" si="46"/>
        <v>#N/A</v>
      </c>
      <c r="J1022" s="6" t="e">
        <f t="shared" si="47"/>
        <v>#N/A</v>
      </c>
    </row>
    <row r="1023" spans="2:10" x14ac:dyDescent="0.3">
      <c r="B1023" t="e">
        <f>VLOOKUP(A1023,'Clientes CBOT'!A:D,4,0)</f>
        <v>#N/A</v>
      </c>
      <c r="C1023" s="7" t="e">
        <f>VLOOKUP(A1023,'Statement base'!E:AO,21,0)</f>
        <v>#N/A</v>
      </c>
      <c r="D1023" s="7" t="e">
        <f>VLOOKUP(A1023,'Statement base'!E:AO,10,0)-VLOOKUP(A1023,'Statement base'!E:AO,21,0)</f>
        <v>#N/A</v>
      </c>
      <c r="E1023" t="s">
        <v>188</v>
      </c>
      <c r="F1023" s="6" t="e">
        <f>VLOOKUP(A1023,'Statement base'!E:AO,10,0)+VLOOKUP(A1023,'Statement base'!E:AO,14,0)</f>
        <v>#N/A</v>
      </c>
      <c r="G1023" s="61" t="e">
        <f>VLOOKUP(A1023,'Clientes CBOT'!A:E,5,0)</f>
        <v>#N/A</v>
      </c>
      <c r="H1023" t="str">
        <f t="shared" si="45"/>
        <v>Hard</v>
      </c>
      <c r="I1023" s="6" t="e">
        <f t="shared" si="46"/>
        <v>#N/A</v>
      </c>
      <c r="J1023" s="6" t="e">
        <f t="shared" si="47"/>
        <v>#N/A</v>
      </c>
    </row>
    <row r="1024" spans="2:10" x14ac:dyDescent="0.3">
      <c r="B1024" t="e">
        <f>VLOOKUP(A1024,'Clientes CBOT'!A:D,4,0)</f>
        <v>#N/A</v>
      </c>
      <c r="C1024" s="7" t="e">
        <f>VLOOKUP(A1024,'Statement base'!E:AO,21,0)</f>
        <v>#N/A</v>
      </c>
      <c r="D1024" s="7" t="e">
        <f>VLOOKUP(A1024,'Statement base'!E:AO,10,0)-VLOOKUP(A1024,'Statement base'!E:AO,21,0)</f>
        <v>#N/A</v>
      </c>
      <c r="E1024" t="s">
        <v>188</v>
      </c>
      <c r="F1024" s="6" t="e">
        <f>VLOOKUP(A1024,'Statement base'!E:AO,10,0)+VLOOKUP(A1024,'Statement base'!E:AO,14,0)</f>
        <v>#N/A</v>
      </c>
      <c r="G1024" s="61" t="e">
        <f>VLOOKUP(A1024,'Clientes CBOT'!A:E,5,0)</f>
        <v>#N/A</v>
      </c>
      <c r="H1024" t="str">
        <f t="shared" si="45"/>
        <v>Hard</v>
      </c>
      <c r="I1024" s="6" t="e">
        <f t="shared" si="46"/>
        <v>#N/A</v>
      </c>
      <c r="J1024" s="6" t="e">
        <f t="shared" si="47"/>
        <v>#N/A</v>
      </c>
    </row>
    <row r="1025" spans="2:10" x14ac:dyDescent="0.3">
      <c r="B1025" t="e">
        <f>VLOOKUP(A1025,'Clientes CBOT'!A:D,4,0)</f>
        <v>#N/A</v>
      </c>
      <c r="C1025" s="7" t="e">
        <f>VLOOKUP(A1025,'Statement base'!E:AO,21,0)</f>
        <v>#N/A</v>
      </c>
      <c r="D1025" s="7" t="e">
        <f>VLOOKUP(A1025,'Statement base'!E:AO,10,0)-VLOOKUP(A1025,'Statement base'!E:AO,21,0)</f>
        <v>#N/A</v>
      </c>
      <c r="E1025" t="s">
        <v>188</v>
      </c>
      <c r="F1025" s="6" t="e">
        <f>VLOOKUP(A1025,'Statement base'!E:AO,10,0)+VLOOKUP(A1025,'Statement base'!E:AO,14,0)</f>
        <v>#N/A</v>
      </c>
      <c r="G1025" s="61" t="e">
        <f>VLOOKUP(A1025,'Clientes CBOT'!A:E,5,0)</f>
        <v>#N/A</v>
      </c>
      <c r="H1025" t="str">
        <f t="shared" si="45"/>
        <v>Hard</v>
      </c>
      <c r="I1025" s="6" t="e">
        <f t="shared" si="46"/>
        <v>#N/A</v>
      </c>
      <c r="J1025" s="6" t="e">
        <f t="shared" si="47"/>
        <v>#N/A</v>
      </c>
    </row>
    <row r="1026" spans="2:10" x14ac:dyDescent="0.3">
      <c r="B1026" t="e">
        <f>VLOOKUP(A1026,'Clientes CBOT'!A:D,4,0)</f>
        <v>#N/A</v>
      </c>
      <c r="C1026" s="7" t="e">
        <f>VLOOKUP(A1026,'Statement base'!E:AO,21,0)</f>
        <v>#N/A</v>
      </c>
      <c r="D1026" s="7" t="e">
        <f>VLOOKUP(A1026,'Statement base'!E:AO,10,0)-VLOOKUP(A1026,'Statement base'!E:AO,21,0)</f>
        <v>#N/A</v>
      </c>
      <c r="E1026" t="s">
        <v>188</v>
      </c>
      <c r="F1026" s="6" t="e">
        <f>VLOOKUP(A1026,'Statement base'!E:AO,10,0)+VLOOKUP(A1026,'Statement base'!E:AO,14,0)</f>
        <v>#N/A</v>
      </c>
      <c r="G1026" s="61" t="e">
        <f>VLOOKUP(A1026,'Clientes CBOT'!A:E,5,0)</f>
        <v>#N/A</v>
      </c>
      <c r="H1026" t="str">
        <f t="shared" si="45"/>
        <v>Hard</v>
      </c>
      <c r="I1026" s="6" t="e">
        <f t="shared" si="46"/>
        <v>#N/A</v>
      </c>
      <c r="J1026" s="6" t="e">
        <f t="shared" si="47"/>
        <v>#N/A</v>
      </c>
    </row>
    <row r="1027" spans="2:10" x14ac:dyDescent="0.3">
      <c r="B1027" t="e">
        <f>VLOOKUP(A1027,'Clientes CBOT'!A:D,4,0)</f>
        <v>#N/A</v>
      </c>
      <c r="C1027" s="7" t="e">
        <f>VLOOKUP(A1027,'Statement base'!E:AO,21,0)</f>
        <v>#N/A</v>
      </c>
      <c r="D1027" s="7" t="e">
        <f>VLOOKUP(A1027,'Statement base'!E:AO,10,0)-VLOOKUP(A1027,'Statement base'!E:AO,21,0)</f>
        <v>#N/A</v>
      </c>
      <c r="E1027" t="s">
        <v>188</v>
      </c>
      <c r="F1027" s="6" t="e">
        <f>VLOOKUP(A1027,'Statement base'!E:AO,10,0)+VLOOKUP(A1027,'Statement base'!E:AO,14,0)</f>
        <v>#N/A</v>
      </c>
      <c r="G1027" s="61" t="e">
        <f>VLOOKUP(A1027,'Clientes CBOT'!A:E,5,0)</f>
        <v>#N/A</v>
      </c>
      <c r="H1027" t="str">
        <f t="shared" si="45"/>
        <v>Hard</v>
      </c>
      <c r="I1027" s="6" t="e">
        <f t="shared" si="46"/>
        <v>#N/A</v>
      </c>
      <c r="J1027" s="6" t="e">
        <f t="shared" si="47"/>
        <v>#N/A</v>
      </c>
    </row>
    <row r="1028" spans="2:10" x14ac:dyDescent="0.3">
      <c r="B1028" t="e">
        <f>VLOOKUP(A1028,'Clientes CBOT'!A:D,4,0)</f>
        <v>#N/A</v>
      </c>
      <c r="C1028" s="7" t="e">
        <f>VLOOKUP(A1028,'Statement base'!E:AO,21,0)</f>
        <v>#N/A</v>
      </c>
      <c r="D1028" s="7" t="e">
        <f>VLOOKUP(A1028,'Statement base'!E:AO,10,0)-VLOOKUP(A1028,'Statement base'!E:AO,21,0)</f>
        <v>#N/A</v>
      </c>
      <c r="E1028" t="s">
        <v>188</v>
      </c>
      <c r="F1028" s="6" t="e">
        <f>VLOOKUP(A1028,'Statement base'!E:AO,10,0)+VLOOKUP(A1028,'Statement base'!E:AO,14,0)</f>
        <v>#N/A</v>
      </c>
      <c r="G1028" s="61" t="e">
        <f>VLOOKUP(A1028,'Clientes CBOT'!A:E,5,0)</f>
        <v>#N/A</v>
      </c>
      <c r="H1028" t="str">
        <f t="shared" si="45"/>
        <v>Hard</v>
      </c>
      <c r="I1028" s="6" t="e">
        <f t="shared" si="46"/>
        <v>#N/A</v>
      </c>
      <c r="J1028" s="6" t="e">
        <f t="shared" si="47"/>
        <v>#N/A</v>
      </c>
    </row>
    <row r="1029" spans="2:10" x14ac:dyDescent="0.3">
      <c r="B1029" t="e">
        <f>VLOOKUP(A1029,'Clientes CBOT'!A:D,4,0)</f>
        <v>#N/A</v>
      </c>
      <c r="C1029" s="7" t="e">
        <f>VLOOKUP(A1029,'Statement base'!E:AO,21,0)</f>
        <v>#N/A</v>
      </c>
      <c r="D1029" s="7" t="e">
        <f>VLOOKUP(A1029,'Statement base'!E:AO,10,0)-VLOOKUP(A1029,'Statement base'!E:AO,21,0)</f>
        <v>#N/A</v>
      </c>
      <c r="E1029" t="s">
        <v>188</v>
      </c>
      <c r="F1029" s="6" t="e">
        <f>VLOOKUP(A1029,'Statement base'!E:AO,10,0)+VLOOKUP(A1029,'Statement base'!E:AO,14,0)</f>
        <v>#N/A</v>
      </c>
      <c r="G1029" s="61" t="e">
        <f>VLOOKUP(A1029,'Clientes CBOT'!A:E,5,0)</f>
        <v>#N/A</v>
      </c>
      <c r="H1029" t="str">
        <f t="shared" ref="H1029:H1092" si="48">IF(E1029="pesos","Ars",IF(E1029="Dólar Matba Rofex","usd linked","Hard"))</f>
        <v>Hard</v>
      </c>
      <c r="I1029" s="6" t="e">
        <f t="shared" ref="I1029:I1092" si="49">IF(H1029="ars",C1029/$J$1,IF(H1029="hard",C1029*$J$2/$J$1,C1029))</f>
        <v>#N/A</v>
      </c>
      <c r="J1029" s="6" t="e">
        <f t="shared" ref="J1029:J1092" si="50">IF(H1029="ars",D1029/$J$1,IF(H1029="hard",D1029*$J$2/$J$1,D1029))</f>
        <v>#N/A</v>
      </c>
    </row>
    <row r="1030" spans="2:10" x14ac:dyDescent="0.3">
      <c r="B1030" t="e">
        <f>VLOOKUP(A1030,'Clientes CBOT'!A:D,4,0)</f>
        <v>#N/A</v>
      </c>
      <c r="C1030" s="7" t="e">
        <f>VLOOKUP(A1030,'Statement base'!E:AO,21,0)</f>
        <v>#N/A</v>
      </c>
      <c r="D1030" s="7" t="e">
        <f>VLOOKUP(A1030,'Statement base'!E:AO,10,0)-VLOOKUP(A1030,'Statement base'!E:AO,21,0)</f>
        <v>#N/A</v>
      </c>
      <c r="E1030" t="s">
        <v>188</v>
      </c>
      <c r="F1030" s="6" t="e">
        <f>VLOOKUP(A1030,'Statement base'!E:AO,10,0)+VLOOKUP(A1030,'Statement base'!E:AO,14,0)</f>
        <v>#N/A</v>
      </c>
      <c r="G1030" s="61" t="e">
        <f>VLOOKUP(A1030,'Clientes CBOT'!A:E,5,0)</f>
        <v>#N/A</v>
      </c>
      <c r="H1030" t="str">
        <f t="shared" si="48"/>
        <v>Hard</v>
      </c>
      <c r="I1030" s="6" t="e">
        <f t="shared" si="49"/>
        <v>#N/A</v>
      </c>
      <c r="J1030" s="6" t="e">
        <f t="shared" si="50"/>
        <v>#N/A</v>
      </c>
    </row>
    <row r="1031" spans="2:10" x14ac:dyDescent="0.3">
      <c r="B1031" t="e">
        <f>VLOOKUP(A1031,'Clientes CBOT'!A:D,4,0)</f>
        <v>#N/A</v>
      </c>
      <c r="C1031" s="7" t="e">
        <f>VLOOKUP(A1031,'Statement base'!E:AO,21,0)</f>
        <v>#N/A</v>
      </c>
      <c r="D1031" s="7" t="e">
        <f>VLOOKUP(A1031,'Statement base'!E:AO,10,0)-VLOOKUP(A1031,'Statement base'!E:AO,21,0)</f>
        <v>#N/A</v>
      </c>
      <c r="E1031" t="s">
        <v>188</v>
      </c>
      <c r="F1031" s="6" t="e">
        <f>VLOOKUP(A1031,'Statement base'!E:AO,10,0)+VLOOKUP(A1031,'Statement base'!E:AO,14,0)</f>
        <v>#N/A</v>
      </c>
      <c r="G1031" s="61" t="e">
        <f>VLOOKUP(A1031,'Clientes CBOT'!A:E,5,0)</f>
        <v>#N/A</v>
      </c>
      <c r="H1031" t="str">
        <f t="shared" si="48"/>
        <v>Hard</v>
      </c>
      <c r="I1031" s="6" t="e">
        <f t="shared" si="49"/>
        <v>#N/A</v>
      </c>
      <c r="J1031" s="6" t="e">
        <f t="shared" si="50"/>
        <v>#N/A</v>
      </c>
    </row>
    <row r="1032" spans="2:10" x14ac:dyDescent="0.3">
      <c r="B1032" t="e">
        <f>VLOOKUP(A1032,'Clientes CBOT'!A:D,4,0)</f>
        <v>#N/A</v>
      </c>
      <c r="C1032" s="7" t="e">
        <f>VLOOKUP(A1032,'Statement base'!E:AO,21,0)</f>
        <v>#N/A</v>
      </c>
      <c r="D1032" s="7" t="e">
        <f>VLOOKUP(A1032,'Statement base'!E:AO,10,0)-VLOOKUP(A1032,'Statement base'!E:AO,21,0)</f>
        <v>#N/A</v>
      </c>
      <c r="E1032" t="s">
        <v>188</v>
      </c>
      <c r="F1032" s="6" t="e">
        <f>VLOOKUP(A1032,'Statement base'!E:AO,10,0)+VLOOKUP(A1032,'Statement base'!E:AO,14,0)</f>
        <v>#N/A</v>
      </c>
      <c r="G1032" s="61" t="e">
        <f>VLOOKUP(A1032,'Clientes CBOT'!A:E,5,0)</f>
        <v>#N/A</v>
      </c>
      <c r="H1032" t="str">
        <f t="shared" si="48"/>
        <v>Hard</v>
      </c>
      <c r="I1032" s="6" t="e">
        <f t="shared" si="49"/>
        <v>#N/A</v>
      </c>
      <c r="J1032" s="6" t="e">
        <f t="shared" si="50"/>
        <v>#N/A</v>
      </c>
    </row>
    <row r="1033" spans="2:10" x14ac:dyDescent="0.3">
      <c r="B1033" t="e">
        <f>VLOOKUP(A1033,'Clientes CBOT'!A:D,4,0)</f>
        <v>#N/A</v>
      </c>
      <c r="C1033" s="7" t="e">
        <f>VLOOKUP(A1033,'Statement base'!E:AO,21,0)</f>
        <v>#N/A</v>
      </c>
      <c r="D1033" s="7" t="e">
        <f>VLOOKUP(A1033,'Statement base'!E:AO,10,0)-VLOOKUP(A1033,'Statement base'!E:AO,21,0)</f>
        <v>#N/A</v>
      </c>
      <c r="E1033" t="s">
        <v>188</v>
      </c>
      <c r="F1033" s="6" t="e">
        <f>VLOOKUP(A1033,'Statement base'!E:AO,10,0)+VLOOKUP(A1033,'Statement base'!E:AO,14,0)</f>
        <v>#N/A</v>
      </c>
      <c r="G1033" s="61" t="e">
        <f>VLOOKUP(A1033,'Clientes CBOT'!A:E,5,0)</f>
        <v>#N/A</v>
      </c>
      <c r="H1033" t="str">
        <f t="shared" si="48"/>
        <v>Hard</v>
      </c>
      <c r="I1033" s="6" t="e">
        <f t="shared" si="49"/>
        <v>#N/A</v>
      </c>
      <c r="J1033" s="6" t="e">
        <f t="shared" si="50"/>
        <v>#N/A</v>
      </c>
    </row>
    <row r="1034" spans="2:10" x14ac:dyDescent="0.3">
      <c r="B1034" t="e">
        <f>VLOOKUP(A1034,'Clientes CBOT'!A:D,4,0)</f>
        <v>#N/A</v>
      </c>
      <c r="C1034" s="7" t="e">
        <f>VLOOKUP(A1034,'Statement base'!E:AO,21,0)</f>
        <v>#N/A</v>
      </c>
      <c r="D1034" s="7" t="e">
        <f>VLOOKUP(A1034,'Statement base'!E:AO,10,0)-VLOOKUP(A1034,'Statement base'!E:AO,21,0)</f>
        <v>#N/A</v>
      </c>
      <c r="E1034" t="s">
        <v>188</v>
      </c>
      <c r="F1034" s="6" t="e">
        <f>VLOOKUP(A1034,'Statement base'!E:AO,10,0)+VLOOKUP(A1034,'Statement base'!E:AO,14,0)</f>
        <v>#N/A</v>
      </c>
      <c r="G1034" s="61" t="e">
        <f>VLOOKUP(A1034,'Clientes CBOT'!A:E,5,0)</f>
        <v>#N/A</v>
      </c>
      <c r="H1034" t="str">
        <f t="shared" si="48"/>
        <v>Hard</v>
      </c>
      <c r="I1034" s="6" t="e">
        <f t="shared" si="49"/>
        <v>#N/A</v>
      </c>
      <c r="J1034" s="6" t="e">
        <f t="shared" si="50"/>
        <v>#N/A</v>
      </c>
    </row>
    <row r="1035" spans="2:10" x14ac:dyDescent="0.3">
      <c r="B1035" t="e">
        <f>VLOOKUP(A1035,'Clientes CBOT'!A:D,4,0)</f>
        <v>#N/A</v>
      </c>
      <c r="C1035" s="7" t="e">
        <f>VLOOKUP(A1035,'Statement base'!E:AO,21,0)</f>
        <v>#N/A</v>
      </c>
      <c r="D1035" s="7" t="e">
        <f>VLOOKUP(A1035,'Statement base'!E:AO,10,0)-VLOOKUP(A1035,'Statement base'!E:AO,21,0)</f>
        <v>#N/A</v>
      </c>
      <c r="E1035" t="s">
        <v>188</v>
      </c>
      <c r="F1035" s="6" t="e">
        <f>VLOOKUP(A1035,'Statement base'!E:AO,10,0)+VLOOKUP(A1035,'Statement base'!E:AO,14,0)</f>
        <v>#N/A</v>
      </c>
      <c r="G1035" s="61" t="e">
        <f>VLOOKUP(A1035,'Clientes CBOT'!A:E,5,0)</f>
        <v>#N/A</v>
      </c>
      <c r="H1035" t="str">
        <f t="shared" si="48"/>
        <v>Hard</v>
      </c>
      <c r="I1035" s="6" t="e">
        <f t="shared" si="49"/>
        <v>#N/A</v>
      </c>
      <c r="J1035" s="6" t="e">
        <f t="shared" si="50"/>
        <v>#N/A</v>
      </c>
    </row>
    <row r="1036" spans="2:10" x14ac:dyDescent="0.3">
      <c r="B1036" t="e">
        <f>VLOOKUP(A1036,'Clientes CBOT'!A:D,4,0)</f>
        <v>#N/A</v>
      </c>
      <c r="C1036" s="7" t="e">
        <f>VLOOKUP(A1036,'Statement base'!E:AO,21,0)</f>
        <v>#N/A</v>
      </c>
      <c r="D1036" s="7" t="e">
        <f>VLOOKUP(A1036,'Statement base'!E:AO,10,0)-VLOOKUP(A1036,'Statement base'!E:AO,21,0)</f>
        <v>#N/A</v>
      </c>
      <c r="E1036" t="s">
        <v>188</v>
      </c>
      <c r="F1036" s="6" t="e">
        <f>VLOOKUP(A1036,'Statement base'!E:AO,10,0)+VLOOKUP(A1036,'Statement base'!E:AO,14,0)</f>
        <v>#N/A</v>
      </c>
      <c r="G1036" s="61" t="e">
        <f>VLOOKUP(A1036,'Clientes CBOT'!A:E,5,0)</f>
        <v>#N/A</v>
      </c>
      <c r="H1036" t="str">
        <f t="shared" si="48"/>
        <v>Hard</v>
      </c>
      <c r="I1036" s="6" t="e">
        <f t="shared" si="49"/>
        <v>#N/A</v>
      </c>
      <c r="J1036" s="6" t="e">
        <f t="shared" si="50"/>
        <v>#N/A</v>
      </c>
    </row>
    <row r="1037" spans="2:10" x14ac:dyDescent="0.3">
      <c r="B1037" t="e">
        <f>VLOOKUP(A1037,'Clientes CBOT'!A:D,4,0)</f>
        <v>#N/A</v>
      </c>
      <c r="C1037" s="7" t="e">
        <f>VLOOKUP(A1037,'Statement base'!E:AO,21,0)</f>
        <v>#N/A</v>
      </c>
      <c r="D1037" s="7" t="e">
        <f>VLOOKUP(A1037,'Statement base'!E:AO,10,0)-VLOOKUP(A1037,'Statement base'!E:AO,21,0)</f>
        <v>#N/A</v>
      </c>
      <c r="E1037" t="s">
        <v>188</v>
      </c>
      <c r="F1037" s="6" t="e">
        <f>VLOOKUP(A1037,'Statement base'!E:AO,10,0)+VLOOKUP(A1037,'Statement base'!E:AO,14,0)</f>
        <v>#N/A</v>
      </c>
      <c r="G1037" s="61" t="e">
        <f>VLOOKUP(A1037,'Clientes CBOT'!A:E,5,0)</f>
        <v>#N/A</v>
      </c>
      <c r="H1037" t="str">
        <f t="shared" si="48"/>
        <v>Hard</v>
      </c>
      <c r="I1037" s="6" t="e">
        <f t="shared" si="49"/>
        <v>#N/A</v>
      </c>
      <c r="J1037" s="6" t="e">
        <f t="shared" si="50"/>
        <v>#N/A</v>
      </c>
    </row>
    <row r="1038" spans="2:10" x14ac:dyDescent="0.3">
      <c r="B1038" t="e">
        <f>VLOOKUP(A1038,'Clientes CBOT'!A:D,4,0)</f>
        <v>#N/A</v>
      </c>
      <c r="C1038" s="7" t="e">
        <f>VLOOKUP(A1038,'Statement base'!E:AO,21,0)</f>
        <v>#N/A</v>
      </c>
      <c r="D1038" s="7" t="e">
        <f>VLOOKUP(A1038,'Statement base'!E:AO,10,0)-VLOOKUP(A1038,'Statement base'!E:AO,21,0)</f>
        <v>#N/A</v>
      </c>
      <c r="E1038" t="s">
        <v>188</v>
      </c>
      <c r="F1038" s="6" t="e">
        <f>VLOOKUP(A1038,'Statement base'!E:AO,10,0)+VLOOKUP(A1038,'Statement base'!E:AO,14,0)</f>
        <v>#N/A</v>
      </c>
      <c r="G1038" s="61" t="e">
        <f>VLOOKUP(A1038,'Clientes CBOT'!A:E,5,0)</f>
        <v>#N/A</v>
      </c>
      <c r="H1038" t="str">
        <f t="shared" si="48"/>
        <v>Hard</v>
      </c>
      <c r="I1038" s="6" t="e">
        <f t="shared" si="49"/>
        <v>#N/A</v>
      </c>
      <c r="J1038" s="6" t="e">
        <f t="shared" si="50"/>
        <v>#N/A</v>
      </c>
    </row>
    <row r="1039" spans="2:10" x14ac:dyDescent="0.3">
      <c r="B1039" t="e">
        <f>VLOOKUP(A1039,'Clientes CBOT'!A:D,4,0)</f>
        <v>#N/A</v>
      </c>
      <c r="C1039" s="7" t="e">
        <f>VLOOKUP(A1039,'Statement base'!E:AO,21,0)</f>
        <v>#N/A</v>
      </c>
      <c r="D1039" s="7" t="e">
        <f>VLOOKUP(A1039,'Statement base'!E:AO,10,0)-VLOOKUP(A1039,'Statement base'!E:AO,21,0)</f>
        <v>#N/A</v>
      </c>
      <c r="E1039" t="s">
        <v>188</v>
      </c>
      <c r="F1039" s="6" t="e">
        <f>VLOOKUP(A1039,'Statement base'!E:AO,10,0)+VLOOKUP(A1039,'Statement base'!E:AO,14,0)</f>
        <v>#N/A</v>
      </c>
      <c r="G1039" s="61" t="e">
        <f>VLOOKUP(A1039,'Clientes CBOT'!A:E,5,0)</f>
        <v>#N/A</v>
      </c>
      <c r="H1039" t="str">
        <f t="shared" si="48"/>
        <v>Hard</v>
      </c>
      <c r="I1039" s="6" t="e">
        <f t="shared" si="49"/>
        <v>#N/A</v>
      </c>
      <c r="J1039" s="6" t="e">
        <f t="shared" si="50"/>
        <v>#N/A</v>
      </c>
    </row>
    <row r="1040" spans="2:10" x14ac:dyDescent="0.3">
      <c r="B1040" t="e">
        <f>VLOOKUP(A1040,'Clientes CBOT'!A:D,4,0)</f>
        <v>#N/A</v>
      </c>
      <c r="C1040" s="7" t="e">
        <f>VLOOKUP(A1040,'Statement base'!E:AO,21,0)</f>
        <v>#N/A</v>
      </c>
      <c r="D1040" s="7" t="e">
        <f>VLOOKUP(A1040,'Statement base'!E:AO,10,0)-VLOOKUP(A1040,'Statement base'!E:AO,21,0)</f>
        <v>#N/A</v>
      </c>
      <c r="E1040" t="s">
        <v>188</v>
      </c>
      <c r="F1040" s="6" t="e">
        <f>VLOOKUP(A1040,'Statement base'!E:AO,10,0)+VLOOKUP(A1040,'Statement base'!E:AO,14,0)</f>
        <v>#N/A</v>
      </c>
      <c r="G1040" s="61" t="e">
        <f>VLOOKUP(A1040,'Clientes CBOT'!A:E,5,0)</f>
        <v>#N/A</v>
      </c>
      <c r="H1040" t="str">
        <f t="shared" si="48"/>
        <v>Hard</v>
      </c>
      <c r="I1040" s="6" t="e">
        <f t="shared" si="49"/>
        <v>#N/A</v>
      </c>
      <c r="J1040" s="6" t="e">
        <f t="shared" si="50"/>
        <v>#N/A</v>
      </c>
    </row>
    <row r="1041" spans="2:10" x14ac:dyDescent="0.3">
      <c r="B1041" t="e">
        <f>VLOOKUP(A1041,'Clientes CBOT'!A:D,4,0)</f>
        <v>#N/A</v>
      </c>
      <c r="C1041" s="7" t="e">
        <f>VLOOKUP(A1041,'Statement base'!E:AO,21,0)</f>
        <v>#N/A</v>
      </c>
      <c r="D1041" s="7" t="e">
        <f>VLOOKUP(A1041,'Statement base'!E:AO,10,0)-VLOOKUP(A1041,'Statement base'!E:AO,21,0)</f>
        <v>#N/A</v>
      </c>
      <c r="E1041" t="s">
        <v>188</v>
      </c>
      <c r="F1041" s="6" t="e">
        <f>VLOOKUP(A1041,'Statement base'!E:AO,10,0)+VLOOKUP(A1041,'Statement base'!E:AO,14,0)</f>
        <v>#N/A</v>
      </c>
      <c r="G1041" s="61" t="e">
        <f>VLOOKUP(A1041,'Clientes CBOT'!A:E,5,0)</f>
        <v>#N/A</v>
      </c>
      <c r="H1041" t="str">
        <f t="shared" si="48"/>
        <v>Hard</v>
      </c>
      <c r="I1041" s="6" t="e">
        <f t="shared" si="49"/>
        <v>#N/A</v>
      </c>
      <c r="J1041" s="6" t="e">
        <f t="shared" si="50"/>
        <v>#N/A</v>
      </c>
    </row>
    <row r="1042" spans="2:10" x14ac:dyDescent="0.3">
      <c r="B1042" t="e">
        <f>VLOOKUP(A1042,'Clientes CBOT'!A:D,4,0)</f>
        <v>#N/A</v>
      </c>
      <c r="C1042" s="7" t="e">
        <f>VLOOKUP(A1042,'Statement base'!E:AO,21,0)</f>
        <v>#N/A</v>
      </c>
      <c r="D1042" s="7" t="e">
        <f>VLOOKUP(A1042,'Statement base'!E:AO,10,0)-VLOOKUP(A1042,'Statement base'!E:AO,21,0)</f>
        <v>#N/A</v>
      </c>
      <c r="E1042" t="s">
        <v>188</v>
      </c>
      <c r="F1042" s="6" t="e">
        <f>VLOOKUP(A1042,'Statement base'!E:AO,10,0)+VLOOKUP(A1042,'Statement base'!E:AO,14,0)</f>
        <v>#N/A</v>
      </c>
      <c r="G1042" s="61" t="e">
        <f>VLOOKUP(A1042,'Clientes CBOT'!A:E,5,0)</f>
        <v>#N/A</v>
      </c>
      <c r="H1042" t="str">
        <f t="shared" si="48"/>
        <v>Hard</v>
      </c>
      <c r="I1042" s="6" t="e">
        <f t="shared" si="49"/>
        <v>#N/A</v>
      </c>
      <c r="J1042" s="6" t="e">
        <f t="shared" si="50"/>
        <v>#N/A</v>
      </c>
    </row>
    <row r="1043" spans="2:10" x14ac:dyDescent="0.3">
      <c r="B1043" t="e">
        <f>VLOOKUP(A1043,'Clientes CBOT'!A:D,4,0)</f>
        <v>#N/A</v>
      </c>
      <c r="C1043" s="7" t="e">
        <f>VLOOKUP(A1043,'Statement base'!E:AO,21,0)</f>
        <v>#N/A</v>
      </c>
      <c r="D1043" s="7" t="e">
        <f>VLOOKUP(A1043,'Statement base'!E:AO,10,0)-VLOOKUP(A1043,'Statement base'!E:AO,21,0)</f>
        <v>#N/A</v>
      </c>
      <c r="E1043" t="s">
        <v>188</v>
      </c>
      <c r="F1043" s="6" t="e">
        <f>VLOOKUP(A1043,'Statement base'!E:AO,10,0)+VLOOKUP(A1043,'Statement base'!E:AO,14,0)</f>
        <v>#N/A</v>
      </c>
      <c r="G1043" s="61" t="e">
        <f>VLOOKUP(A1043,'Clientes CBOT'!A:E,5,0)</f>
        <v>#N/A</v>
      </c>
      <c r="H1043" t="str">
        <f t="shared" si="48"/>
        <v>Hard</v>
      </c>
      <c r="I1043" s="6" t="e">
        <f t="shared" si="49"/>
        <v>#N/A</v>
      </c>
      <c r="J1043" s="6" t="e">
        <f t="shared" si="50"/>
        <v>#N/A</v>
      </c>
    </row>
    <row r="1044" spans="2:10" x14ac:dyDescent="0.3">
      <c r="B1044" t="e">
        <f>VLOOKUP(A1044,'Clientes CBOT'!A:D,4,0)</f>
        <v>#N/A</v>
      </c>
      <c r="C1044" s="7" t="e">
        <f>VLOOKUP(A1044,'Statement base'!E:AO,21,0)</f>
        <v>#N/A</v>
      </c>
      <c r="D1044" s="7" t="e">
        <f>VLOOKUP(A1044,'Statement base'!E:AO,10,0)-VLOOKUP(A1044,'Statement base'!E:AO,21,0)</f>
        <v>#N/A</v>
      </c>
      <c r="E1044" t="s">
        <v>188</v>
      </c>
      <c r="F1044" s="6" t="e">
        <f>VLOOKUP(A1044,'Statement base'!E:AO,10,0)+VLOOKUP(A1044,'Statement base'!E:AO,14,0)</f>
        <v>#N/A</v>
      </c>
      <c r="G1044" s="61" t="e">
        <f>VLOOKUP(A1044,'Clientes CBOT'!A:E,5,0)</f>
        <v>#N/A</v>
      </c>
      <c r="H1044" t="str">
        <f t="shared" si="48"/>
        <v>Hard</v>
      </c>
      <c r="I1044" s="6" t="e">
        <f t="shared" si="49"/>
        <v>#N/A</v>
      </c>
      <c r="J1044" s="6" t="e">
        <f t="shared" si="50"/>
        <v>#N/A</v>
      </c>
    </row>
    <row r="1045" spans="2:10" x14ac:dyDescent="0.3">
      <c r="B1045" t="e">
        <f>VLOOKUP(A1045,'Clientes CBOT'!A:D,4,0)</f>
        <v>#N/A</v>
      </c>
      <c r="C1045" s="7" t="e">
        <f>VLOOKUP(A1045,'Statement base'!E:AO,21,0)</f>
        <v>#N/A</v>
      </c>
      <c r="D1045" s="7" t="e">
        <f>VLOOKUP(A1045,'Statement base'!E:AO,10,0)-VLOOKUP(A1045,'Statement base'!E:AO,21,0)</f>
        <v>#N/A</v>
      </c>
      <c r="E1045" t="s">
        <v>188</v>
      </c>
      <c r="F1045" s="6" t="e">
        <f>VLOOKUP(A1045,'Statement base'!E:AO,10,0)+VLOOKUP(A1045,'Statement base'!E:AO,14,0)</f>
        <v>#N/A</v>
      </c>
      <c r="G1045" s="61" t="e">
        <f>VLOOKUP(A1045,'Clientes CBOT'!A:E,5,0)</f>
        <v>#N/A</v>
      </c>
      <c r="H1045" t="str">
        <f t="shared" si="48"/>
        <v>Hard</v>
      </c>
      <c r="I1045" s="6" t="e">
        <f t="shared" si="49"/>
        <v>#N/A</v>
      </c>
      <c r="J1045" s="6" t="e">
        <f t="shared" si="50"/>
        <v>#N/A</v>
      </c>
    </row>
    <row r="1046" spans="2:10" x14ac:dyDescent="0.3">
      <c r="B1046" t="e">
        <f>VLOOKUP(A1046,'Clientes CBOT'!A:D,4,0)</f>
        <v>#N/A</v>
      </c>
      <c r="C1046" s="7" t="e">
        <f>VLOOKUP(A1046,'Statement base'!E:AO,21,0)</f>
        <v>#N/A</v>
      </c>
      <c r="D1046" s="7" t="e">
        <f>VLOOKUP(A1046,'Statement base'!E:AO,10,0)-VLOOKUP(A1046,'Statement base'!E:AO,21,0)</f>
        <v>#N/A</v>
      </c>
      <c r="E1046" t="s">
        <v>188</v>
      </c>
      <c r="F1046" s="6" t="e">
        <f>VLOOKUP(A1046,'Statement base'!E:AO,10,0)+VLOOKUP(A1046,'Statement base'!E:AO,14,0)</f>
        <v>#N/A</v>
      </c>
      <c r="G1046" s="61" t="e">
        <f>VLOOKUP(A1046,'Clientes CBOT'!A:E,5,0)</f>
        <v>#N/A</v>
      </c>
      <c r="H1046" t="str">
        <f t="shared" si="48"/>
        <v>Hard</v>
      </c>
      <c r="I1046" s="6" t="e">
        <f t="shared" si="49"/>
        <v>#N/A</v>
      </c>
      <c r="J1046" s="6" t="e">
        <f t="shared" si="50"/>
        <v>#N/A</v>
      </c>
    </row>
    <row r="1047" spans="2:10" x14ac:dyDescent="0.3">
      <c r="B1047" t="e">
        <f>VLOOKUP(A1047,'Clientes CBOT'!A:D,4,0)</f>
        <v>#N/A</v>
      </c>
      <c r="C1047" s="7" t="e">
        <f>VLOOKUP(A1047,'Statement base'!E:AO,21,0)</f>
        <v>#N/A</v>
      </c>
      <c r="D1047" s="7" t="e">
        <f>VLOOKUP(A1047,'Statement base'!E:AO,10,0)-VLOOKUP(A1047,'Statement base'!E:AO,21,0)</f>
        <v>#N/A</v>
      </c>
      <c r="E1047" t="s">
        <v>188</v>
      </c>
      <c r="F1047" s="6" t="e">
        <f>VLOOKUP(A1047,'Statement base'!E:AO,10,0)+VLOOKUP(A1047,'Statement base'!E:AO,14,0)</f>
        <v>#N/A</v>
      </c>
      <c r="G1047" s="61" t="e">
        <f>VLOOKUP(A1047,'Clientes CBOT'!A:E,5,0)</f>
        <v>#N/A</v>
      </c>
      <c r="H1047" t="str">
        <f t="shared" si="48"/>
        <v>Hard</v>
      </c>
      <c r="I1047" s="6" t="e">
        <f t="shared" si="49"/>
        <v>#N/A</v>
      </c>
      <c r="J1047" s="6" t="e">
        <f t="shared" si="50"/>
        <v>#N/A</v>
      </c>
    </row>
    <row r="1048" spans="2:10" x14ac:dyDescent="0.3">
      <c r="B1048" t="e">
        <f>VLOOKUP(A1048,'Clientes CBOT'!A:D,4,0)</f>
        <v>#N/A</v>
      </c>
      <c r="C1048" s="7" t="e">
        <f>VLOOKUP(A1048,'Statement base'!E:AO,21,0)</f>
        <v>#N/A</v>
      </c>
      <c r="D1048" s="7" t="e">
        <f>VLOOKUP(A1048,'Statement base'!E:AO,10,0)-VLOOKUP(A1048,'Statement base'!E:AO,21,0)</f>
        <v>#N/A</v>
      </c>
      <c r="E1048" t="s">
        <v>188</v>
      </c>
      <c r="F1048" s="6" t="e">
        <f>VLOOKUP(A1048,'Statement base'!E:AO,10,0)+VLOOKUP(A1048,'Statement base'!E:AO,14,0)</f>
        <v>#N/A</v>
      </c>
      <c r="G1048" s="61" t="e">
        <f>VLOOKUP(A1048,'Clientes CBOT'!A:E,5,0)</f>
        <v>#N/A</v>
      </c>
      <c r="H1048" t="str">
        <f t="shared" si="48"/>
        <v>Hard</v>
      </c>
      <c r="I1048" s="6" t="e">
        <f t="shared" si="49"/>
        <v>#N/A</v>
      </c>
      <c r="J1048" s="6" t="e">
        <f t="shared" si="50"/>
        <v>#N/A</v>
      </c>
    </row>
    <row r="1049" spans="2:10" x14ac:dyDescent="0.3">
      <c r="B1049" t="e">
        <f>VLOOKUP(A1049,'Clientes CBOT'!A:D,4,0)</f>
        <v>#N/A</v>
      </c>
      <c r="C1049" s="7" t="e">
        <f>VLOOKUP(A1049,'Statement base'!E:AO,21,0)</f>
        <v>#N/A</v>
      </c>
      <c r="D1049" s="7" t="e">
        <f>VLOOKUP(A1049,'Statement base'!E:AO,10,0)-VLOOKUP(A1049,'Statement base'!E:AO,21,0)</f>
        <v>#N/A</v>
      </c>
      <c r="E1049" t="s">
        <v>188</v>
      </c>
      <c r="F1049" s="6" t="e">
        <f>VLOOKUP(A1049,'Statement base'!E:AO,10,0)+VLOOKUP(A1049,'Statement base'!E:AO,14,0)</f>
        <v>#N/A</v>
      </c>
      <c r="G1049" s="61" t="e">
        <f>VLOOKUP(A1049,'Clientes CBOT'!A:E,5,0)</f>
        <v>#N/A</v>
      </c>
      <c r="H1049" t="str">
        <f t="shared" si="48"/>
        <v>Hard</v>
      </c>
      <c r="I1049" s="6" t="e">
        <f t="shared" si="49"/>
        <v>#N/A</v>
      </c>
      <c r="J1049" s="6" t="e">
        <f t="shared" si="50"/>
        <v>#N/A</v>
      </c>
    </row>
    <row r="1050" spans="2:10" x14ac:dyDescent="0.3">
      <c r="B1050" t="e">
        <f>VLOOKUP(A1050,'Clientes CBOT'!A:D,4,0)</f>
        <v>#N/A</v>
      </c>
      <c r="C1050" s="7" t="e">
        <f>VLOOKUP(A1050,'Statement base'!E:AO,21,0)</f>
        <v>#N/A</v>
      </c>
      <c r="D1050" s="7" t="e">
        <f>VLOOKUP(A1050,'Statement base'!E:AO,10,0)-VLOOKUP(A1050,'Statement base'!E:AO,21,0)</f>
        <v>#N/A</v>
      </c>
      <c r="E1050" t="s">
        <v>188</v>
      </c>
      <c r="F1050" s="6" t="e">
        <f>VLOOKUP(A1050,'Statement base'!E:AO,10,0)+VLOOKUP(A1050,'Statement base'!E:AO,14,0)</f>
        <v>#N/A</v>
      </c>
      <c r="G1050" s="61" t="e">
        <f>VLOOKUP(A1050,'Clientes CBOT'!A:E,5,0)</f>
        <v>#N/A</v>
      </c>
      <c r="H1050" t="str">
        <f t="shared" si="48"/>
        <v>Hard</v>
      </c>
      <c r="I1050" s="6" t="e">
        <f t="shared" si="49"/>
        <v>#N/A</v>
      </c>
      <c r="J1050" s="6" t="e">
        <f t="shared" si="50"/>
        <v>#N/A</v>
      </c>
    </row>
    <row r="1051" spans="2:10" x14ac:dyDescent="0.3">
      <c r="B1051" t="e">
        <f>VLOOKUP(A1051,'Clientes CBOT'!A:D,4,0)</f>
        <v>#N/A</v>
      </c>
      <c r="C1051" s="7" t="e">
        <f>VLOOKUP(A1051,'Statement base'!E:AO,21,0)</f>
        <v>#N/A</v>
      </c>
      <c r="D1051" s="7" t="e">
        <f>VLOOKUP(A1051,'Statement base'!E:AO,10,0)-VLOOKUP(A1051,'Statement base'!E:AO,21,0)</f>
        <v>#N/A</v>
      </c>
      <c r="E1051" t="s">
        <v>188</v>
      </c>
      <c r="F1051" s="6" t="e">
        <f>VLOOKUP(A1051,'Statement base'!E:AO,10,0)+VLOOKUP(A1051,'Statement base'!E:AO,14,0)</f>
        <v>#N/A</v>
      </c>
      <c r="G1051" s="61" t="e">
        <f>VLOOKUP(A1051,'Clientes CBOT'!A:E,5,0)</f>
        <v>#N/A</v>
      </c>
      <c r="H1051" t="str">
        <f t="shared" si="48"/>
        <v>Hard</v>
      </c>
      <c r="I1051" s="6" t="e">
        <f t="shared" si="49"/>
        <v>#N/A</v>
      </c>
      <c r="J1051" s="6" t="e">
        <f t="shared" si="50"/>
        <v>#N/A</v>
      </c>
    </row>
    <row r="1052" spans="2:10" x14ac:dyDescent="0.3">
      <c r="B1052" t="e">
        <f>VLOOKUP(A1052,'Clientes CBOT'!A:D,4,0)</f>
        <v>#N/A</v>
      </c>
      <c r="C1052" s="7" t="e">
        <f>VLOOKUP(A1052,'Statement base'!E:AO,21,0)</f>
        <v>#N/A</v>
      </c>
      <c r="D1052" s="7" t="e">
        <f>VLOOKUP(A1052,'Statement base'!E:AO,10,0)-VLOOKUP(A1052,'Statement base'!E:AO,21,0)</f>
        <v>#N/A</v>
      </c>
      <c r="E1052" t="s">
        <v>188</v>
      </c>
      <c r="F1052" s="6" t="e">
        <f>VLOOKUP(A1052,'Statement base'!E:AO,10,0)+VLOOKUP(A1052,'Statement base'!E:AO,14,0)</f>
        <v>#N/A</v>
      </c>
      <c r="G1052" s="61" t="e">
        <f>VLOOKUP(A1052,'Clientes CBOT'!A:E,5,0)</f>
        <v>#N/A</v>
      </c>
      <c r="H1052" t="str">
        <f t="shared" si="48"/>
        <v>Hard</v>
      </c>
      <c r="I1052" s="6" t="e">
        <f t="shared" si="49"/>
        <v>#N/A</v>
      </c>
      <c r="J1052" s="6" t="e">
        <f t="shared" si="50"/>
        <v>#N/A</v>
      </c>
    </row>
    <row r="1053" spans="2:10" x14ac:dyDescent="0.3">
      <c r="B1053" t="e">
        <f>VLOOKUP(A1053,'Clientes CBOT'!A:D,4,0)</f>
        <v>#N/A</v>
      </c>
      <c r="C1053" s="7" t="e">
        <f>VLOOKUP(A1053,'Statement base'!E:AO,21,0)</f>
        <v>#N/A</v>
      </c>
      <c r="D1053" s="7" t="e">
        <f>VLOOKUP(A1053,'Statement base'!E:AO,10,0)-VLOOKUP(A1053,'Statement base'!E:AO,21,0)</f>
        <v>#N/A</v>
      </c>
      <c r="E1053" t="s">
        <v>188</v>
      </c>
      <c r="F1053" s="6" t="e">
        <f>VLOOKUP(A1053,'Statement base'!E:AO,10,0)+VLOOKUP(A1053,'Statement base'!E:AO,14,0)</f>
        <v>#N/A</v>
      </c>
      <c r="G1053" s="61" t="e">
        <f>VLOOKUP(A1053,'Clientes CBOT'!A:E,5,0)</f>
        <v>#N/A</v>
      </c>
      <c r="H1053" t="str">
        <f t="shared" si="48"/>
        <v>Hard</v>
      </c>
      <c r="I1053" s="6" t="e">
        <f t="shared" si="49"/>
        <v>#N/A</v>
      </c>
      <c r="J1053" s="6" t="e">
        <f t="shared" si="50"/>
        <v>#N/A</v>
      </c>
    </row>
    <row r="1054" spans="2:10" x14ac:dyDescent="0.3">
      <c r="B1054" t="e">
        <f>VLOOKUP(A1054,'Clientes CBOT'!A:D,4,0)</f>
        <v>#N/A</v>
      </c>
      <c r="C1054" s="7" t="e">
        <f>VLOOKUP(A1054,'Statement base'!E:AO,21,0)</f>
        <v>#N/A</v>
      </c>
      <c r="D1054" s="7" t="e">
        <f>VLOOKUP(A1054,'Statement base'!E:AO,10,0)-VLOOKUP(A1054,'Statement base'!E:AO,21,0)</f>
        <v>#N/A</v>
      </c>
      <c r="E1054" t="s">
        <v>188</v>
      </c>
      <c r="F1054" s="6" t="e">
        <f>VLOOKUP(A1054,'Statement base'!E:AO,10,0)+VLOOKUP(A1054,'Statement base'!E:AO,14,0)</f>
        <v>#N/A</v>
      </c>
      <c r="G1054" s="61" t="e">
        <f>VLOOKUP(A1054,'Clientes CBOT'!A:E,5,0)</f>
        <v>#N/A</v>
      </c>
      <c r="H1054" t="str">
        <f t="shared" si="48"/>
        <v>Hard</v>
      </c>
      <c r="I1054" s="6" t="e">
        <f t="shared" si="49"/>
        <v>#N/A</v>
      </c>
      <c r="J1054" s="6" t="e">
        <f t="shared" si="50"/>
        <v>#N/A</v>
      </c>
    </row>
    <row r="1055" spans="2:10" x14ac:dyDescent="0.3">
      <c r="B1055" t="e">
        <f>VLOOKUP(A1055,'Clientes CBOT'!A:D,4,0)</f>
        <v>#N/A</v>
      </c>
      <c r="C1055" s="7" t="e">
        <f>VLOOKUP(A1055,'Statement base'!E:AO,21,0)</f>
        <v>#N/A</v>
      </c>
      <c r="D1055" s="7" t="e">
        <f>VLOOKUP(A1055,'Statement base'!E:AO,10,0)-VLOOKUP(A1055,'Statement base'!E:AO,21,0)</f>
        <v>#N/A</v>
      </c>
      <c r="E1055" t="s">
        <v>188</v>
      </c>
      <c r="F1055" s="6" t="e">
        <f>VLOOKUP(A1055,'Statement base'!E:AO,10,0)+VLOOKUP(A1055,'Statement base'!E:AO,14,0)</f>
        <v>#N/A</v>
      </c>
      <c r="G1055" s="61" t="e">
        <f>VLOOKUP(A1055,'Clientes CBOT'!A:E,5,0)</f>
        <v>#N/A</v>
      </c>
      <c r="H1055" t="str">
        <f t="shared" si="48"/>
        <v>Hard</v>
      </c>
      <c r="I1055" s="6" t="e">
        <f t="shared" si="49"/>
        <v>#N/A</v>
      </c>
      <c r="J1055" s="6" t="e">
        <f t="shared" si="50"/>
        <v>#N/A</v>
      </c>
    </row>
    <row r="1056" spans="2:10" x14ac:dyDescent="0.3">
      <c r="B1056" t="e">
        <f>VLOOKUP(A1056,'Clientes CBOT'!A:D,4,0)</f>
        <v>#N/A</v>
      </c>
      <c r="C1056" s="7" t="e">
        <f>VLOOKUP(A1056,'Statement base'!E:AO,21,0)</f>
        <v>#N/A</v>
      </c>
      <c r="D1056" s="7" t="e">
        <f>VLOOKUP(A1056,'Statement base'!E:AO,10,0)-VLOOKUP(A1056,'Statement base'!E:AO,21,0)</f>
        <v>#N/A</v>
      </c>
      <c r="E1056" t="s">
        <v>188</v>
      </c>
      <c r="F1056" s="6" t="e">
        <f>VLOOKUP(A1056,'Statement base'!E:AO,10,0)+VLOOKUP(A1056,'Statement base'!E:AO,14,0)</f>
        <v>#N/A</v>
      </c>
      <c r="G1056" s="61" t="e">
        <f>VLOOKUP(A1056,'Clientes CBOT'!A:E,5,0)</f>
        <v>#N/A</v>
      </c>
      <c r="H1056" t="str">
        <f t="shared" si="48"/>
        <v>Hard</v>
      </c>
      <c r="I1056" s="6" t="e">
        <f t="shared" si="49"/>
        <v>#N/A</v>
      </c>
      <c r="J1056" s="6" t="e">
        <f t="shared" si="50"/>
        <v>#N/A</v>
      </c>
    </row>
    <row r="1057" spans="2:10" x14ac:dyDescent="0.3">
      <c r="B1057" t="e">
        <f>VLOOKUP(A1057,'Clientes CBOT'!A:D,4,0)</f>
        <v>#N/A</v>
      </c>
      <c r="C1057" s="7" t="e">
        <f>VLOOKUP(A1057,'Statement base'!E:AO,21,0)</f>
        <v>#N/A</v>
      </c>
      <c r="D1057" s="7" t="e">
        <f>VLOOKUP(A1057,'Statement base'!E:AO,10,0)-VLOOKUP(A1057,'Statement base'!E:AO,21,0)</f>
        <v>#N/A</v>
      </c>
      <c r="E1057" t="s">
        <v>188</v>
      </c>
      <c r="F1057" s="6" t="e">
        <f>VLOOKUP(A1057,'Statement base'!E:AO,10,0)+VLOOKUP(A1057,'Statement base'!E:AO,14,0)</f>
        <v>#N/A</v>
      </c>
      <c r="G1057" s="61" t="e">
        <f>VLOOKUP(A1057,'Clientes CBOT'!A:E,5,0)</f>
        <v>#N/A</v>
      </c>
      <c r="H1057" t="str">
        <f t="shared" si="48"/>
        <v>Hard</v>
      </c>
      <c r="I1057" s="6" t="e">
        <f t="shared" si="49"/>
        <v>#N/A</v>
      </c>
      <c r="J1057" s="6" t="e">
        <f t="shared" si="50"/>
        <v>#N/A</v>
      </c>
    </row>
    <row r="1058" spans="2:10" x14ac:dyDescent="0.3">
      <c r="B1058" t="e">
        <f>VLOOKUP(A1058,'Clientes CBOT'!A:D,4,0)</f>
        <v>#N/A</v>
      </c>
      <c r="C1058" s="7" t="e">
        <f>VLOOKUP(A1058,'Statement base'!E:AO,21,0)</f>
        <v>#N/A</v>
      </c>
      <c r="D1058" s="7" t="e">
        <f>VLOOKUP(A1058,'Statement base'!E:AO,10,0)-VLOOKUP(A1058,'Statement base'!E:AO,21,0)</f>
        <v>#N/A</v>
      </c>
      <c r="E1058" t="s">
        <v>188</v>
      </c>
      <c r="F1058" s="6" t="e">
        <f>VLOOKUP(A1058,'Statement base'!E:AO,10,0)+VLOOKUP(A1058,'Statement base'!E:AO,14,0)</f>
        <v>#N/A</v>
      </c>
      <c r="G1058" s="61" t="e">
        <f>VLOOKUP(A1058,'Clientes CBOT'!A:E,5,0)</f>
        <v>#N/A</v>
      </c>
      <c r="H1058" t="str">
        <f t="shared" si="48"/>
        <v>Hard</v>
      </c>
      <c r="I1058" s="6" t="e">
        <f t="shared" si="49"/>
        <v>#N/A</v>
      </c>
      <c r="J1058" s="6" t="e">
        <f t="shared" si="50"/>
        <v>#N/A</v>
      </c>
    </row>
    <row r="1059" spans="2:10" x14ac:dyDescent="0.3">
      <c r="B1059" t="e">
        <f>VLOOKUP(A1059,'Clientes CBOT'!A:D,4,0)</f>
        <v>#N/A</v>
      </c>
      <c r="C1059" s="7" t="e">
        <f>VLOOKUP(A1059,'Statement base'!E:AO,21,0)</f>
        <v>#N/A</v>
      </c>
      <c r="D1059" s="7" t="e">
        <f>VLOOKUP(A1059,'Statement base'!E:AO,10,0)-VLOOKUP(A1059,'Statement base'!E:AO,21,0)</f>
        <v>#N/A</v>
      </c>
      <c r="E1059" t="s">
        <v>188</v>
      </c>
      <c r="F1059" s="6" t="e">
        <f>VLOOKUP(A1059,'Statement base'!E:AO,10,0)+VLOOKUP(A1059,'Statement base'!E:AO,14,0)</f>
        <v>#N/A</v>
      </c>
      <c r="G1059" s="61" t="e">
        <f>VLOOKUP(A1059,'Clientes CBOT'!A:E,5,0)</f>
        <v>#N/A</v>
      </c>
      <c r="H1059" t="str">
        <f t="shared" si="48"/>
        <v>Hard</v>
      </c>
      <c r="I1059" s="6" t="e">
        <f t="shared" si="49"/>
        <v>#N/A</v>
      </c>
      <c r="J1059" s="6" t="e">
        <f t="shared" si="50"/>
        <v>#N/A</v>
      </c>
    </row>
    <row r="1060" spans="2:10" x14ac:dyDescent="0.3">
      <c r="B1060" t="e">
        <f>VLOOKUP(A1060,'Clientes CBOT'!A:D,4,0)</f>
        <v>#N/A</v>
      </c>
      <c r="C1060" s="7" t="e">
        <f>VLOOKUP(A1060,'Statement base'!E:AO,21,0)</f>
        <v>#N/A</v>
      </c>
      <c r="D1060" s="7" t="e">
        <f>VLOOKUP(A1060,'Statement base'!E:AO,10,0)-VLOOKUP(A1060,'Statement base'!E:AO,21,0)</f>
        <v>#N/A</v>
      </c>
      <c r="E1060" t="s">
        <v>188</v>
      </c>
      <c r="F1060" s="6" t="e">
        <f>VLOOKUP(A1060,'Statement base'!E:AO,10,0)+VLOOKUP(A1060,'Statement base'!E:AO,14,0)</f>
        <v>#N/A</v>
      </c>
      <c r="G1060" s="61" t="e">
        <f>VLOOKUP(A1060,'Clientes CBOT'!A:E,5,0)</f>
        <v>#N/A</v>
      </c>
      <c r="H1060" t="str">
        <f t="shared" si="48"/>
        <v>Hard</v>
      </c>
      <c r="I1060" s="6" t="e">
        <f t="shared" si="49"/>
        <v>#N/A</v>
      </c>
      <c r="J1060" s="6" t="e">
        <f t="shared" si="50"/>
        <v>#N/A</v>
      </c>
    </row>
    <row r="1061" spans="2:10" x14ac:dyDescent="0.3">
      <c r="B1061" t="e">
        <f>VLOOKUP(A1061,'Clientes CBOT'!A:D,4,0)</f>
        <v>#N/A</v>
      </c>
      <c r="C1061" s="7" t="e">
        <f>VLOOKUP(A1061,'Statement base'!E:AO,21,0)</f>
        <v>#N/A</v>
      </c>
      <c r="D1061" s="7" t="e">
        <f>VLOOKUP(A1061,'Statement base'!E:AO,10,0)-VLOOKUP(A1061,'Statement base'!E:AO,21,0)</f>
        <v>#N/A</v>
      </c>
      <c r="E1061" t="s">
        <v>188</v>
      </c>
      <c r="F1061" s="6" t="e">
        <f>VLOOKUP(A1061,'Statement base'!E:AO,10,0)+VLOOKUP(A1061,'Statement base'!E:AO,14,0)</f>
        <v>#N/A</v>
      </c>
      <c r="G1061" s="61" t="e">
        <f>VLOOKUP(A1061,'Clientes CBOT'!A:E,5,0)</f>
        <v>#N/A</v>
      </c>
      <c r="H1061" t="str">
        <f t="shared" si="48"/>
        <v>Hard</v>
      </c>
      <c r="I1061" s="6" t="e">
        <f t="shared" si="49"/>
        <v>#N/A</v>
      </c>
      <c r="J1061" s="6" t="e">
        <f t="shared" si="50"/>
        <v>#N/A</v>
      </c>
    </row>
    <row r="1062" spans="2:10" x14ac:dyDescent="0.3">
      <c r="B1062" t="e">
        <f>VLOOKUP(A1062,'Clientes CBOT'!A:D,4,0)</f>
        <v>#N/A</v>
      </c>
      <c r="C1062" s="7" t="e">
        <f>VLOOKUP(A1062,'Statement base'!E:AO,21,0)</f>
        <v>#N/A</v>
      </c>
      <c r="D1062" s="7" t="e">
        <f>VLOOKUP(A1062,'Statement base'!E:AO,10,0)-VLOOKUP(A1062,'Statement base'!E:AO,21,0)</f>
        <v>#N/A</v>
      </c>
      <c r="E1062" t="s">
        <v>188</v>
      </c>
      <c r="F1062" s="6" t="e">
        <f>VLOOKUP(A1062,'Statement base'!E:AO,10,0)+VLOOKUP(A1062,'Statement base'!E:AO,14,0)</f>
        <v>#N/A</v>
      </c>
      <c r="G1062" s="61" t="e">
        <f>VLOOKUP(A1062,'Clientes CBOT'!A:E,5,0)</f>
        <v>#N/A</v>
      </c>
      <c r="H1062" t="str">
        <f t="shared" si="48"/>
        <v>Hard</v>
      </c>
      <c r="I1062" s="6" t="e">
        <f t="shared" si="49"/>
        <v>#N/A</v>
      </c>
      <c r="J1062" s="6" t="e">
        <f t="shared" si="50"/>
        <v>#N/A</v>
      </c>
    </row>
    <row r="1063" spans="2:10" x14ac:dyDescent="0.3">
      <c r="B1063" t="e">
        <f>VLOOKUP(A1063,'Clientes CBOT'!A:D,4,0)</f>
        <v>#N/A</v>
      </c>
      <c r="C1063" s="7" t="e">
        <f>VLOOKUP(A1063,'Statement base'!E:AO,21,0)</f>
        <v>#N/A</v>
      </c>
      <c r="D1063" s="7" t="e">
        <f>VLOOKUP(A1063,'Statement base'!E:AO,10,0)-VLOOKUP(A1063,'Statement base'!E:AO,21,0)</f>
        <v>#N/A</v>
      </c>
      <c r="E1063" t="s">
        <v>188</v>
      </c>
      <c r="F1063" s="6" t="e">
        <f>VLOOKUP(A1063,'Statement base'!E:AO,10,0)+VLOOKUP(A1063,'Statement base'!E:AO,14,0)</f>
        <v>#N/A</v>
      </c>
      <c r="G1063" s="61" t="e">
        <f>VLOOKUP(A1063,'Clientes CBOT'!A:E,5,0)</f>
        <v>#N/A</v>
      </c>
      <c r="H1063" t="str">
        <f t="shared" si="48"/>
        <v>Hard</v>
      </c>
      <c r="I1063" s="6" t="e">
        <f t="shared" si="49"/>
        <v>#N/A</v>
      </c>
      <c r="J1063" s="6" t="e">
        <f t="shared" si="50"/>
        <v>#N/A</v>
      </c>
    </row>
    <row r="1064" spans="2:10" x14ac:dyDescent="0.3">
      <c r="B1064" t="e">
        <f>VLOOKUP(A1064,'Clientes CBOT'!A:D,4,0)</f>
        <v>#N/A</v>
      </c>
      <c r="C1064" s="7" t="e">
        <f>VLOOKUP(A1064,'Statement base'!E:AO,21,0)</f>
        <v>#N/A</v>
      </c>
      <c r="D1064" s="7" t="e">
        <f>VLOOKUP(A1064,'Statement base'!E:AO,10,0)-VLOOKUP(A1064,'Statement base'!E:AO,21,0)</f>
        <v>#N/A</v>
      </c>
      <c r="E1064" t="s">
        <v>188</v>
      </c>
      <c r="F1064" s="6" t="e">
        <f>VLOOKUP(A1064,'Statement base'!E:AO,10,0)+VLOOKUP(A1064,'Statement base'!E:AO,14,0)</f>
        <v>#N/A</v>
      </c>
      <c r="G1064" s="61" t="e">
        <f>VLOOKUP(A1064,'Clientes CBOT'!A:E,5,0)</f>
        <v>#N/A</v>
      </c>
      <c r="H1064" t="str">
        <f t="shared" si="48"/>
        <v>Hard</v>
      </c>
      <c r="I1064" s="6" t="e">
        <f t="shared" si="49"/>
        <v>#N/A</v>
      </c>
      <c r="J1064" s="6" t="e">
        <f t="shared" si="50"/>
        <v>#N/A</v>
      </c>
    </row>
    <row r="1065" spans="2:10" x14ac:dyDescent="0.3">
      <c r="B1065" t="e">
        <f>VLOOKUP(A1065,'Clientes CBOT'!A:D,4,0)</f>
        <v>#N/A</v>
      </c>
      <c r="C1065" s="7" t="e">
        <f>VLOOKUP(A1065,'Statement base'!E:AO,21,0)</f>
        <v>#N/A</v>
      </c>
      <c r="D1065" s="7" t="e">
        <f>VLOOKUP(A1065,'Statement base'!E:AO,10,0)-VLOOKUP(A1065,'Statement base'!E:AO,21,0)</f>
        <v>#N/A</v>
      </c>
      <c r="E1065" t="s">
        <v>188</v>
      </c>
      <c r="F1065" s="6" t="e">
        <f>VLOOKUP(A1065,'Statement base'!E:AO,10,0)+VLOOKUP(A1065,'Statement base'!E:AO,14,0)</f>
        <v>#N/A</v>
      </c>
      <c r="G1065" s="61" t="e">
        <f>VLOOKUP(A1065,'Clientes CBOT'!A:E,5,0)</f>
        <v>#N/A</v>
      </c>
      <c r="H1065" t="str">
        <f t="shared" si="48"/>
        <v>Hard</v>
      </c>
      <c r="I1065" s="6" t="e">
        <f t="shared" si="49"/>
        <v>#N/A</v>
      </c>
      <c r="J1065" s="6" t="e">
        <f t="shared" si="50"/>
        <v>#N/A</v>
      </c>
    </row>
    <row r="1066" spans="2:10" x14ac:dyDescent="0.3">
      <c r="B1066" t="e">
        <f>VLOOKUP(A1066,'Clientes CBOT'!A:D,4,0)</f>
        <v>#N/A</v>
      </c>
      <c r="C1066" s="7" t="e">
        <f>VLOOKUP(A1066,'Statement base'!E:AO,21,0)</f>
        <v>#N/A</v>
      </c>
      <c r="D1066" s="7" t="e">
        <f>VLOOKUP(A1066,'Statement base'!E:AO,10,0)-VLOOKUP(A1066,'Statement base'!E:AO,21,0)</f>
        <v>#N/A</v>
      </c>
      <c r="E1066" t="s">
        <v>188</v>
      </c>
      <c r="F1066" s="6" t="e">
        <f>VLOOKUP(A1066,'Statement base'!E:AO,10,0)+VLOOKUP(A1066,'Statement base'!E:AO,14,0)</f>
        <v>#N/A</v>
      </c>
      <c r="G1066" s="61" t="e">
        <f>VLOOKUP(A1066,'Clientes CBOT'!A:E,5,0)</f>
        <v>#N/A</v>
      </c>
      <c r="H1066" t="str">
        <f t="shared" si="48"/>
        <v>Hard</v>
      </c>
      <c r="I1066" s="6" t="e">
        <f t="shared" si="49"/>
        <v>#N/A</v>
      </c>
      <c r="J1066" s="6" t="e">
        <f t="shared" si="50"/>
        <v>#N/A</v>
      </c>
    </row>
    <row r="1067" spans="2:10" x14ac:dyDescent="0.3">
      <c r="B1067" t="e">
        <f>VLOOKUP(A1067,'Clientes CBOT'!A:D,4,0)</f>
        <v>#N/A</v>
      </c>
      <c r="C1067" s="7" t="e">
        <f>VLOOKUP(A1067,'Statement base'!E:AO,21,0)</f>
        <v>#N/A</v>
      </c>
      <c r="D1067" s="7" t="e">
        <f>VLOOKUP(A1067,'Statement base'!E:AO,10,0)-VLOOKUP(A1067,'Statement base'!E:AO,21,0)</f>
        <v>#N/A</v>
      </c>
      <c r="E1067" t="s">
        <v>188</v>
      </c>
      <c r="F1067" s="6" t="e">
        <f>VLOOKUP(A1067,'Statement base'!E:AO,10,0)+VLOOKUP(A1067,'Statement base'!E:AO,14,0)</f>
        <v>#N/A</v>
      </c>
      <c r="G1067" s="61" t="e">
        <f>VLOOKUP(A1067,'Clientes CBOT'!A:E,5,0)</f>
        <v>#N/A</v>
      </c>
      <c r="H1067" t="str">
        <f t="shared" si="48"/>
        <v>Hard</v>
      </c>
      <c r="I1067" s="6" t="e">
        <f t="shared" si="49"/>
        <v>#N/A</v>
      </c>
      <c r="J1067" s="6" t="e">
        <f t="shared" si="50"/>
        <v>#N/A</v>
      </c>
    </row>
    <row r="1068" spans="2:10" x14ac:dyDescent="0.3">
      <c r="B1068" t="e">
        <f>VLOOKUP(A1068,'Clientes CBOT'!A:D,4,0)</f>
        <v>#N/A</v>
      </c>
      <c r="C1068" s="7" t="e">
        <f>VLOOKUP(A1068,'Statement base'!E:AO,21,0)</f>
        <v>#N/A</v>
      </c>
      <c r="D1068" s="7" t="e">
        <f>VLOOKUP(A1068,'Statement base'!E:AO,10,0)-VLOOKUP(A1068,'Statement base'!E:AO,21,0)</f>
        <v>#N/A</v>
      </c>
      <c r="E1068" t="s">
        <v>188</v>
      </c>
      <c r="F1068" s="6" t="e">
        <f>VLOOKUP(A1068,'Statement base'!E:AO,10,0)+VLOOKUP(A1068,'Statement base'!E:AO,14,0)</f>
        <v>#N/A</v>
      </c>
      <c r="G1068" s="61" t="e">
        <f>VLOOKUP(A1068,'Clientes CBOT'!A:E,5,0)</f>
        <v>#N/A</v>
      </c>
      <c r="H1068" t="str">
        <f t="shared" si="48"/>
        <v>Hard</v>
      </c>
      <c r="I1068" s="6" t="e">
        <f t="shared" si="49"/>
        <v>#N/A</v>
      </c>
      <c r="J1068" s="6" t="e">
        <f t="shared" si="50"/>
        <v>#N/A</v>
      </c>
    </row>
    <row r="1069" spans="2:10" x14ac:dyDescent="0.3">
      <c r="B1069" t="e">
        <f>VLOOKUP(A1069,'Clientes CBOT'!A:D,4,0)</f>
        <v>#N/A</v>
      </c>
      <c r="C1069" s="7" t="e">
        <f>VLOOKUP(A1069,'Statement base'!E:AO,21,0)</f>
        <v>#N/A</v>
      </c>
      <c r="D1069" s="7" t="e">
        <f>VLOOKUP(A1069,'Statement base'!E:AO,10,0)-VLOOKUP(A1069,'Statement base'!E:AO,21,0)</f>
        <v>#N/A</v>
      </c>
      <c r="E1069" t="s">
        <v>188</v>
      </c>
      <c r="F1069" s="6" t="e">
        <f>VLOOKUP(A1069,'Statement base'!E:AO,10,0)+VLOOKUP(A1069,'Statement base'!E:AO,14,0)</f>
        <v>#N/A</v>
      </c>
      <c r="G1069" s="61" t="e">
        <f>VLOOKUP(A1069,'Clientes CBOT'!A:E,5,0)</f>
        <v>#N/A</v>
      </c>
      <c r="H1069" t="str">
        <f t="shared" si="48"/>
        <v>Hard</v>
      </c>
      <c r="I1069" s="6" t="e">
        <f t="shared" si="49"/>
        <v>#N/A</v>
      </c>
      <c r="J1069" s="6" t="e">
        <f t="shared" si="50"/>
        <v>#N/A</v>
      </c>
    </row>
    <row r="1070" spans="2:10" x14ac:dyDescent="0.3">
      <c r="B1070" t="e">
        <f>VLOOKUP(A1070,'Clientes CBOT'!A:D,4,0)</f>
        <v>#N/A</v>
      </c>
      <c r="C1070" s="7" t="e">
        <f>VLOOKUP(A1070,'Statement base'!E:AO,21,0)</f>
        <v>#N/A</v>
      </c>
      <c r="D1070" s="7" t="e">
        <f>VLOOKUP(A1070,'Statement base'!E:AO,10,0)-VLOOKUP(A1070,'Statement base'!E:AO,21,0)</f>
        <v>#N/A</v>
      </c>
      <c r="E1070" t="s">
        <v>188</v>
      </c>
      <c r="F1070" s="6" t="e">
        <f>VLOOKUP(A1070,'Statement base'!E:AO,10,0)+VLOOKUP(A1070,'Statement base'!E:AO,14,0)</f>
        <v>#N/A</v>
      </c>
      <c r="G1070" s="61" t="e">
        <f>VLOOKUP(A1070,'Clientes CBOT'!A:E,5,0)</f>
        <v>#N/A</v>
      </c>
      <c r="H1070" t="str">
        <f t="shared" si="48"/>
        <v>Hard</v>
      </c>
      <c r="I1070" s="6" t="e">
        <f t="shared" si="49"/>
        <v>#N/A</v>
      </c>
      <c r="J1070" s="6" t="e">
        <f t="shared" si="50"/>
        <v>#N/A</v>
      </c>
    </row>
    <row r="1071" spans="2:10" x14ac:dyDescent="0.3">
      <c r="B1071" t="e">
        <f>VLOOKUP(A1071,'Clientes CBOT'!A:D,4,0)</f>
        <v>#N/A</v>
      </c>
      <c r="C1071" s="7" t="e">
        <f>VLOOKUP(A1071,'Statement base'!E:AO,21,0)</f>
        <v>#N/A</v>
      </c>
      <c r="D1071" s="7" t="e">
        <f>VLOOKUP(A1071,'Statement base'!E:AO,10,0)-VLOOKUP(A1071,'Statement base'!E:AO,21,0)</f>
        <v>#N/A</v>
      </c>
      <c r="E1071" t="s">
        <v>188</v>
      </c>
      <c r="F1071" s="6" t="e">
        <f>VLOOKUP(A1071,'Statement base'!E:AO,10,0)+VLOOKUP(A1071,'Statement base'!E:AO,14,0)</f>
        <v>#N/A</v>
      </c>
      <c r="G1071" s="61" t="e">
        <f>VLOOKUP(A1071,'Clientes CBOT'!A:E,5,0)</f>
        <v>#N/A</v>
      </c>
      <c r="H1071" t="str">
        <f t="shared" si="48"/>
        <v>Hard</v>
      </c>
      <c r="I1071" s="6" t="e">
        <f t="shared" si="49"/>
        <v>#N/A</v>
      </c>
      <c r="J1071" s="6" t="e">
        <f t="shared" si="50"/>
        <v>#N/A</v>
      </c>
    </row>
    <row r="1072" spans="2:10" x14ac:dyDescent="0.3">
      <c r="B1072" t="e">
        <f>VLOOKUP(A1072,'Clientes CBOT'!A:D,4,0)</f>
        <v>#N/A</v>
      </c>
      <c r="C1072" s="7" t="e">
        <f>VLOOKUP(A1072,'Statement base'!E:AO,21,0)</f>
        <v>#N/A</v>
      </c>
      <c r="D1072" s="7" t="e">
        <f>VLOOKUP(A1072,'Statement base'!E:AO,10,0)-VLOOKUP(A1072,'Statement base'!E:AO,21,0)</f>
        <v>#N/A</v>
      </c>
      <c r="E1072" t="s">
        <v>188</v>
      </c>
      <c r="F1072" s="6" t="e">
        <f>VLOOKUP(A1072,'Statement base'!E:AO,10,0)+VLOOKUP(A1072,'Statement base'!E:AO,14,0)</f>
        <v>#N/A</v>
      </c>
      <c r="G1072" s="61" t="e">
        <f>VLOOKUP(A1072,'Clientes CBOT'!A:E,5,0)</f>
        <v>#N/A</v>
      </c>
      <c r="H1072" t="str">
        <f t="shared" si="48"/>
        <v>Hard</v>
      </c>
      <c r="I1072" s="6" t="e">
        <f t="shared" si="49"/>
        <v>#N/A</v>
      </c>
      <c r="J1072" s="6" t="e">
        <f t="shared" si="50"/>
        <v>#N/A</v>
      </c>
    </row>
    <row r="1073" spans="2:10" x14ac:dyDescent="0.3">
      <c r="B1073" t="e">
        <f>VLOOKUP(A1073,'Clientes CBOT'!A:D,4,0)</f>
        <v>#N/A</v>
      </c>
      <c r="C1073" s="7" t="e">
        <f>VLOOKUP(A1073,'Statement base'!E:AO,21,0)</f>
        <v>#N/A</v>
      </c>
      <c r="D1073" s="7" t="e">
        <f>VLOOKUP(A1073,'Statement base'!E:AO,10,0)-VLOOKUP(A1073,'Statement base'!E:AO,21,0)</f>
        <v>#N/A</v>
      </c>
      <c r="E1073" t="s">
        <v>188</v>
      </c>
      <c r="F1073" s="6" t="e">
        <f>VLOOKUP(A1073,'Statement base'!E:AO,10,0)+VLOOKUP(A1073,'Statement base'!E:AO,14,0)</f>
        <v>#N/A</v>
      </c>
      <c r="G1073" s="61" t="e">
        <f>VLOOKUP(A1073,'Clientes CBOT'!A:E,5,0)</f>
        <v>#N/A</v>
      </c>
      <c r="H1073" t="str">
        <f t="shared" si="48"/>
        <v>Hard</v>
      </c>
      <c r="I1073" s="6" t="e">
        <f t="shared" si="49"/>
        <v>#N/A</v>
      </c>
      <c r="J1073" s="6" t="e">
        <f t="shared" si="50"/>
        <v>#N/A</v>
      </c>
    </row>
    <row r="1074" spans="2:10" x14ac:dyDescent="0.3">
      <c r="B1074" t="e">
        <f>VLOOKUP(A1074,'Clientes CBOT'!A:D,4,0)</f>
        <v>#N/A</v>
      </c>
      <c r="C1074" s="7" t="e">
        <f>VLOOKUP(A1074,'Statement base'!E:AO,21,0)</f>
        <v>#N/A</v>
      </c>
      <c r="D1074" s="7" t="e">
        <f>VLOOKUP(A1074,'Statement base'!E:AO,10,0)-VLOOKUP(A1074,'Statement base'!E:AO,21,0)</f>
        <v>#N/A</v>
      </c>
      <c r="E1074" t="s">
        <v>188</v>
      </c>
      <c r="F1074" s="6" t="e">
        <f>VLOOKUP(A1074,'Statement base'!E:AO,10,0)+VLOOKUP(A1074,'Statement base'!E:AO,14,0)</f>
        <v>#N/A</v>
      </c>
      <c r="G1074" s="61" t="e">
        <f>VLOOKUP(A1074,'Clientes CBOT'!A:E,5,0)</f>
        <v>#N/A</v>
      </c>
      <c r="H1074" t="str">
        <f t="shared" si="48"/>
        <v>Hard</v>
      </c>
      <c r="I1074" s="6" t="e">
        <f t="shared" si="49"/>
        <v>#N/A</v>
      </c>
      <c r="J1074" s="6" t="e">
        <f t="shared" si="50"/>
        <v>#N/A</v>
      </c>
    </row>
    <row r="1075" spans="2:10" x14ac:dyDescent="0.3">
      <c r="B1075" t="e">
        <f>VLOOKUP(A1075,'Clientes CBOT'!A:D,4,0)</f>
        <v>#N/A</v>
      </c>
      <c r="C1075" s="7" t="e">
        <f>VLOOKUP(A1075,'Statement base'!E:AO,21,0)</f>
        <v>#N/A</v>
      </c>
      <c r="D1075" s="7" t="e">
        <f>VLOOKUP(A1075,'Statement base'!E:AO,10,0)-VLOOKUP(A1075,'Statement base'!E:AO,21,0)</f>
        <v>#N/A</v>
      </c>
      <c r="E1075" t="s">
        <v>188</v>
      </c>
      <c r="F1075" s="6" t="e">
        <f>VLOOKUP(A1075,'Statement base'!E:AO,10,0)+VLOOKUP(A1075,'Statement base'!E:AO,14,0)</f>
        <v>#N/A</v>
      </c>
      <c r="G1075" s="61" t="e">
        <f>VLOOKUP(A1075,'Clientes CBOT'!A:E,5,0)</f>
        <v>#N/A</v>
      </c>
      <c r="H1075" t="str">
        <f t="shared" si="48"/>
        <v>Hard</v>
      </c>
      <c r="I1075" s="6" t="e">
        <f t="shared" si="49"/>
        <v>#N/A</v>
      </c>
      <c r="J1075" s="6" t="e">
        <f t="shared" si="50"/>
        <v>#N/A</v>
      </c>
    </row>
    <row r="1076" spans="2:10" x14ac:dyDescent="0.3">
      <c r="B1076" t="e">
        <f>VLOOKUP(A1076,'Clientes CBOT'!A:D,4,0)</f>
        <v>#N/A</v>
      </c>
      <c r="C1076" s="7" t="e">
        <f>VLOOKUP(A1076,'Statement base'!E:AO,21,0)</f>
        <v>#N/A</v>
      </c>
      <c r="D1076" s="7" t="e">
        <f>VLOOKUP(A1076,'Statement base'!E:AO,10,0)-VLOOKUP(A1076,'Statement base'!E:AO,21,0)</f>
        <v>#N/A</v>
      </c>
      <c r="E1076" t="s">
        <v>188</v>
      </c>
      <c r="F1076" s="6" t="e">
        <f>VLOOKUP(A1076,'Statement base'!E:AO,10,0)+VLOOKUP(A1076,'Statement base'!E:AO,14,0)</f>
        <v>#N/A</v>
      </c>
      <c r="G1076" s="61" t="e">
        <f>VLOOKUP(A1076,'Clientes CBOT'!A:E,5,0)</f>
        <v>#N/A</v>
      </c>
      <c r="H1076" t="str">
        <f t="shared" si="48"/>
        <v>Hard</v>
      </c>
      <c r="I1076" s="6" t="e">
        <f t="shared" si="49"/>
        <v>#N/A</v>
      </c>
      <c r="J1076" s="6" t="e">
        <f t="shared" si="50"/>
        <v>#N/A</v>
      </c>
    </row>
    <row r="1077" spans="2:10" x14ac:dyDescent="0.3">
      <c r="B1077" t="e">
        <f>VLOOKUP(A1077,'Clientes CBOT'!A:D,4,0)</f>
        <v>#N/A</v>
      </c>
      <c r="C1077" s="7" t="e">
        <f>VLOOKUP(A1077,'Statement base'!E:AO,21,0)</f>
        <v>#N/A</v>
      </c>
      <c r="D1077" s="7" t="e">
        <f>VLOOKUP(A1077,'Statement base'!E:AO,10,0)-VLOOKUP(A1077,'Statement base'!E:AO,21,0)</f>
        <v>#N/A</v>
      </c>
      <c r="E1077" t="s">
        <v>188</v>
      </c>
      <c r="F1077" s="6" t="e">
        <f>VLOOKUP(A1077,'Statement base'!E:AO,10,0)+VLOOKUP(A1077,'Statement base'!E:AO,14,0)</f>
        <v>#N/A</v>
      </c>
      <c r="G1077" s="61" t="e">
        <f>VLOOKUP(A1077,'Clientes CBOT'!A:E,5,0)</f>
        <v>#N/A</v>
      </c>
      <c r="H1077" t="str">
        <f t="shared" si="48"/>
        <v>Hard</v>
      </c>
      <c r="I1077" s="6" t="e">
        <f t="shared" si="49"/>
        <v>#N/A</v>
      </c>
      <c r="J1077" s="6" t="e">
        <f t="shared" si="50"/>
        <v>#N/A</v>
      </c>
    </row>
    <row r="1078" spans="2:10" x14ac:dyDescent="0.3">
      <c r="B1078" t="e">
        <f>VLOOKUP(A1078,'Clientes CBOT'!A:D,4,0)</f>
        <v>#N/A</v>
      </c>
      <c r="C1078" s="7" t="e">
        <f>VLOOKUP(A1078,'Statement base'!E:AO,21,0)</f>
        <v>#N/A</v>
      </c>
      <c r="D1078" s="7" t="e">
        <f>VLOOKUP(A1078,'Statement base'!E:AO,10,0)-VLOOKUP(A1078,'Statement base'!E:AO,21,0)</f>
        <v>#N/A</v>
      </c>
      <c r="E1078" t="s">
        <v>188</v>
      </c>
      <c r="F1078" s="6" t="e">
        <f>VLOOKUP(A1078,'Statement base'!E:AO,10,0)+VLOOKUP(A1078,'Statement base'!E:AO,14,0)</f>
        <v>#N/A</v>
      </c>
      <c r="G1078" s="61" t="e">
        <f>VLOOKUP(A1078,'Clientes CBOT'!A:E,5,0)</f>
        <v>#N/A</v>
      </c>
      <c r="H1078" t="str">
        <f t="shared" si="48"/>
        <v>Hard</v>
      </c>
      <c r="I1078" s="6" t="e">
        <f t="shared" si="49"/>
        <v>#N/A</v>
      </c>
      <c r="J1078" s="6" t="e">
        <f t="shared" si="50"/>
        <v>#N/A</v>
      </c>
    </row>
    <row r="1079" spans="2:10" x14ac:dyDescent="0.3">
      <c r="B1079" t="e">
        <f>VLOOKUP(A1079,'Clientes CBOT'!A:D,4,0)</f>
        <v>#N/A</v>
      </c>
      <c r="C1079" s="7" t="e">
        <f>VLOOKUP(A1079,'Statement base'!E:AO,21,0)</f>
        <v>#N/A</v>
      </c>
      <c r="D1079" s="7" t="e">
        <f>VLOOKUP(A1079,'Statement base'!E:AO,10,0)-VLOOKUP(A1079,'Statement base'!E:AO,21,0)</f>
        <v>#N/A</v>
      </c>
      <c r="E1079" t="s">
        <v>188</v>
      </c>
      <c r="F1079" s="6" t="e">
        <f>VLOOKUP(A1079,'Statement base'!E:AO,10,0)+VLOOKUP(A1079,'Statement base'!E:AO,14,0)</f>
        <v>#N/A</v>
      </c>
      <c r="G1079" s="61" t="e">
        <f>VLOOKUP(A1079,'Clientes CBOT'!A:E,5,0)</f>
        <v>#N/A</v>
      </c>
      <c r="H1079" t="str">
        <f t="shared" si="48"/>
        <v>Hard</v>
      </c>
      <c r="I1079" s="6" t="e">
        <f t="shared" si="49"/>
        <v>#N/A</v>
      </c>
      <c r="J1079" s="6" t="e">
        <f t="shared" si="50"/>
        <v>#N/A</v>
      </c>
    </row>
    <row r="1080" spans="2:10" x14ac:dyDescent="0.3">
      <c r="B1080" t="e">
        <f>VLOOKUP(A1080,'Clientes CBOT'!A:D,4,0)</f>
        <v>#N/A</v>
      </c>
      <c r="C1080" s="7" t="e">
        <f>VLOOKUP(A1080,'Statement base'!E:AO,21,0)</f>
        <v>#N/A</v>
      </c>
      <c r="D1080" s="7" t="e">
        <f>VLOOKUP(A1080,'Statement base'!E:AO,10,0)-VLOOKUP(A1080,'Statement base'!E:AO,21,0)</f>
        <v>#N/A</v>
      </c>
      <c r="E1080" t="s">
        <v>188</v>
      </c>
      <c r="F1080" s="6" t="e">
        <f>VLOOKUP(A1080,'Statement base'!E:AO,10,0)+VLOOKUP(A1080,'Statement base'!E:AO,14,0)</f>
        <v>#N/A</v>
      </c>
      <c r="G1080" s="61" t="e">
        <f>VLOOKUP(A1080,'Clientes CBOT'!A:E,5,0)</f>
        <v>#N/A</v>
      </c>
      <c r="H1080" t="str">
        <f t="shared" si="48"/>
        <v>Hard</v>
      </c>
      <c r="I1080" s="6" t="e">
        <f t="shared" si="49"/>
        <v>#N/A</v>
      </c>
      <c r="J1080" s="6" t="e">
        <f t="shared" si="50"/>
        <v>#N/A</v>
      </c>
    </row>
    <row r="1081" spans="2:10" x14ac:dyDescent="0.3">
      <c r="B1081" t="e">
        <f>VLOOKUP(A1081,'Clientes CBOT'!A:D,4,0)</f>
        <v>#N/A</v>
      </c>
      <c r="C1081" s="7" t="e">
        <f>VLOOKUP(A1081,'Statement base'!E:AO,21,0)</f>
        <v>#N/A</v>
      </c>
      <c r="D1081" s="7" t="e">
        <f>VLOOKUP(A1081,'Statement base'!E:AO,10,0)-VLOOKUP(A1081,'Statement base'!E:AO,21,0)</f>
        <v>#N/A</v>
      </c>
      <c r="E1081" t="s">
        <v>188</v>
      </c>
      <c r="F1081" s="6" t="e">
        <f>VLOOKUP(A1081,'Statement base'!E:AO,10,0)+VLOOKUP(A1081,'Statement base'!E:AO,14,0)</f>
        <v>#N/A</v>
      </c>
      <c r="G1081" s="61" t="e">
        <f>VLOOKUP(A1081,'Clientes CBOT'!A:E,5,0)</f>
        <v>#N/A</v>
      </c>
      <c r="H1081" t="str">
        <f t="shared" si="48"/>
        <v>Hard</v>
      </c>
      <c r="I1081" s="6" t="e">
        <f t="shared" si="49"/>
        <v>#N/A</v>
      </c>
      <c r="J1081" s="6" t="e">
        <f t="shared" si="50"/>
        <v>#N/A</v>
      </c>
    </row>
    <row r="1082" spans="2:10" x14ac:dyDescent="0.3">
      <c r="B1082" t="e">
        <f>VLOOKUP(A1082,'Clientes CBOT'!A:D,4,0)</f>
        <v>#N/A</v>
      </c>
      <c r="C1082" s="7" t="e">
        <f>VLOOKUP(A1082,'Statement base'!E:AO,21,0)</f>
        <v>#N/A</v>
      </c>
      <c r="D1082" s="7" t="e">
        <f>VLOOKUP(A1082,'Statement base'!E:AO,10,0)-VLOOKUP(A1082,'Statement base'!E:AO,21,0)</f>
        <v>#N/A</v>
      </c>
      <c r="E1082" t="s">
        <v>188</v>
      </c>
      <c r="F1082" s="6" t="e">
        <f>VLOOKUP(A1082,'Statement base'!E:AO,10,0)+VLOOKUP(A1082,'Statement base'!E:AO,14,0)</f>
        <v>#N/A</v>
      </c>
      <c r="G1082" s="61" t="e">
        <f>VLOOKUP(A1082,'Clientes CBOT'!A:E,5,0)</f>
        <v>#N/A</v>
      </c>
      <c r="H1082" t="str">
        <f t="shared" si="48"/>
        <v>Hard</v>
      </c>
      <c r="I1082" s="6" t="e">
        <f t="shared" si="49"/>
        <v>#N/A</v>
      </c>
      <c r="J1082" s="6" t="e">
        <f t="shared" si="50"/>
        <v>#N/A</v>
      </c>
    </row>
    <row r="1083" spans="2:10" x14ac:dyDescent="0.3">
      <c r="B1083" t="e">
        <f>VLOOKUP(A1083,'Clientes CBOT'!A:D,4,0)</f>
        <v>#N/A</v>
      </c>
      <c r="C1083" s="7" t="e">
        <f>VLOOKUP(A1083,'Statement base'!E:AO,21,0)</f>
        <v>#N/A</v>
      </c>
      <c r="D1083" s="7" t="e">
        <f>VLOOKUP(A1083,'Statement base'!E:AO,10,0)-VLOOKUP(A1083,'Statement base'!E:AO,21,0)</f>
        <v>#N/A</v>
      </c>
      <c r="E1083" t="s">
        <v>188</v>
      </c>
      <c r="F1083" s="6" t="e">
        <f>VLOOKUP(A1083,'Statement base'!E:AO,10,0)+VLOOKUP(A1083,'Statement base'!E:AO,14,0)</f>
        <v>#N/A</v>
      </c>
      <c r="G1083" s="61" t="e">
        <f>VLOOKUP(A1083,'Clientes CBOT'!A:E,5,0)</f>
        <v>#N/A</v>
      </c>
      <c r="H1083" t="str">
        <f t="shared" si="48"/>
        <v>Hard</v>
      </c>
      <c r="I1083" s="6" t="e">
        <f t="shared" si="49"/>
        <v>#N/A</v>
      </c>
      <c r="J1083" s="6" t="e">
        <f t="shared" si="50"/>
        <v>#N/A</v>
      </c>
    </row>
    <row r="1084" spans="2:10" x14ac:dyDescent="0.3">
      <c r="B1084" t="e">
        <f>VLOOKUP(A1084,'Clientes CBOT'!A:D,4,0)</f>
        <v>#N/A</v>
      </c>
      <c r="C1084" s="7" t="e">
        <f>VLOOKUP(A1084,'Statement base'!E:AO,21,0)</f>
        <v>#N/A</v>
      </c>
      <c r="D1084" s="7" t="e">
        <f>VLOOKUP(A1084,'Statement base'!E:AO,10,0)-VLOOKUP(A1084,'Statement base'!E:AO,21,0)</f>
        <v>#N/A</v>
      </c>
      <c r="E1084" t="s">
        <v>188</v>
      </c>
      <c r="F1084" s="6" t="e">
        <f>VLOOKUP(A1084,'Statement base'!E:AO,10,0)+VLOOKUP(A1084,'Statement base'!E:AO,14,0)</f>
        <v>#N/A</v>
      </c>
      <c r="G1084" s="61" t="e">
        <f>VLOOKUP(A1084,'Clientes CBOT'!A:E,5,0)</f>
        <v>#N/A</v>
      </c>
      <c r="H1084" t="str">
        <f t="shared" si="48"/>
        <v>Hard</v>
      </c>
      <c r="I1084" s="6" t="e">
        <f t="shared" si="49"/>
        <v>#N/A</v>
      </c>
      <c r="J1084" s="6" t="e">
        <f t="shared" si="50"/>
        <v>#N/A</v>
      </c>
    </row>
    <row r="1085" spans="2:10" x14ac:dyDescent="0.3">
      <c r="B1085" t="e">
        <f>VLOOKUP(A1085,'Clientes CBOT'!A:D,4,0)</f>
        <v>#N/A</v>
      </c>
      <c r="C1085" s="7" t="e">
        <f>VLOOKUP(A1085,'Statement base'!E:AO,21,0)</f>
        <v>#N/A</v>
      </c>
      <c r="D1085" s="7" t="e">
        <f>VLOOKUP(A1085,'Statement base'!E:AO,10,0)-VLOOKUP(A1085,'Statement base'!E:AO,21,0)</f>
        <v>#N/A</v>
      </c>
      <c r="E1085" t="s">
        <v>188</v>
      </c>
      <c r="F1085" s="6" t="e">
        <f>VLOOKUP(A1085,'Statement base'!E:AO,10,0)+VLOOKUP(A1085,'Statement base'!E:AO,14,0)</f>
        <v>#N/A</v>
      </c>
      <c r="G1085" s="61" t="e">
        <f>VLOOKUP(A1085,'Clientes CBOT'!A:E,5,0)</f>
        <v>#N/A</v>
      </c>
      <c r="H1085" t="str">
        <f t="shared" si="48"/>
        <v>Hard</v>
      </c>
      <c r="I1085" s="6" t="e">
        <f t="shared" si="49"/>
        <v>#N/A</v>
      </c>
      <c r="J1085" s="6" t="e">
        <f t="shared" si="50"/>
        <v>#N/A</v>
      </c>
    </row>
    <row r="1086" spans="2:10" x14ac:dyDescent="0.3">
      <c r="B1086" t="e">
        <f>VLOOKUP(A1086,'Clientes CBOT'!A:D,4,0)</f>
        <v>#N/A</v>
      </c>
      <c r="C1086" s="7" t="e">
        <f>VLOOKUP(A1086,'Statement base'!E:AO,21,0)</f>
        <v>#N/A</v>
      </c>
      <c r="D1086" s="7" t="e">
        <f>VLOOKUP(A1086,'Statement base'!E:AO,10,0)-VLOOKUP(A1086,'Statement base'!E:AO,21,0)</f>
        <v>#N/A</v>
      </c>
      <c r="E1086" t="s">
        <v>188</v>
      </c>
      <c r="F1086" s="6" t="e">
        <f>VLOOKUP(A1086,'Statement base'!E:AO,10,0)+VLOOKUP(A1086,'Statement base'!E:AO,14,0)</f>
        <v>#N/A</v>
      </c>
      <c r="G1086" s="61" t="e">
        <f>VLOOKUP(A1086,'Clientes CBOT'!A:E,5,0)</f>
        <v>#N/A</v>
      </c>
      <c r="H1086" t="str">
        <f t="shared" si="48"/>
        <v>Hard</v>
      </c>
      <c r="I1086" s="6" t="e">
        <f t="shared" si="49"/>
        <v>#N/A</v>
      </c>
      <c r="J1086" s="6" t="e">
        <f t="shared" si="50"/>
        <v>#N/A</v>
      </c>
    </row>
    <row r="1087" spans="2:10" x14ac:dyDescent="0.3">
      <c r="B1087" t="e">
        <f>VLOOKUP(A1087,'Clientes CBOT'!A:D,4,0)</f>
        <v>#N/A</v>
      </c>
      <c r="C1087" s="7" t="e">
        <f>VLOOKUP(A1087,'Statement base'!E:AO,21,0)</f>
        <v>#N/A</v>
      </c>
      <c r="D1087" s="7" t="e">
        <f>VLOOKUP(A1087,'Statement base'!E:AO,10,0)-VLOOKUP(A1087,'Statement base'!E:AO,21,0)</f>
        <v>#N/A</v>
      </c>
      <c r="E1087" t="s">
        <v>188</v>
      </c>
      <c r="F1087" s="6" t="e">
        <f>VLOOKUP(A1087,'Statement base'!E:AO,10,0)+VLOOKUP(A1087,'Statement base'!E:AO,14,0)</f>
        <v>#N/A</v>
      </c>
      <c r="G1087" s="61" t="e">
        <f>VLOOKUP(A1087,'Clientes CBOT'!A:E,5,0)</f>
        <v>#N/A</v>
      </c>
      <c r="H1087" t="str">
        <f t="shared" si="48"/>
        <v>Hard</v>
      </c>
      <c r="I1087" s="6" t="e">
        <f t="shared" si="49"/>
        <v>#N/A</v>
      </c>
      <c r="J1087" s="6" t="e">
        <f t="shared" si="50"/>
        <v>#N/A</v>
      </c>
    </row>
    <row r="1088" spans="2:10" x14ac:dyDescent="0.3">
      <c r="B1088" t="e">
        <f>VLOOKUP(A1088,'Clientes CBOT'!A:D,4,0)</f>
        <v>#N/A</v>
      </c>
      <c r="C1088" s="7" t="e">
        <f>VLOOKUP(A1088,'Statement base'!E:AO,21,0)</f>
        <v>#N/A</v>
      </c>
      <c r="D1088" s="7" t="e">
        <f>VLOOKUP(A1088,'Statement base'!E:AO,10,0)-VLOOKUP(A1088,'Statement base'!E:AO,21,0)</f>
        <v>#N/A</v>
      </c>
      <c r="E1088" t="s">
        <v>188</v>
      </c>
      <c r="F1088" s="6" t="e">
        <f>VLOOKUP(A1088,'Statement base'!E:AO,10,0)+VLOOKUP(A1088,'Statement base'!E:AO,14,0)</f>
        <v>#N/A</v>
      </c>
      <c r="G1088" s="61" t="e">
        <f>VLOOKUP(A1088,'Clientes CBOT'!A:E,5,0)</f>
        <v>#N/A</v>
      </c>
      <c r="H1088" t="str">
        <f t="shared" si="48"/>
        <v>Hard</v>
      </c>
      <c r="I1088" s="6" t="e">
        <f t="shared" si="49"/>
        <v>#N/A</v>
      </c>
      <c r="J1088" s="6" t="e">
        <f t="shared" si="50"/>
        <v>#N/A</v>
      </c>
    </row>
    <row r="1089" spans="2:10" x14ac:dyDescent="0.3">
      <c r="B1089" t="e">
        <f>VLOOKUP(A1089,'Clientes CBOT'!A:D,4,0)</f>
        <v>#N/A</v>
      </c>
      <c r="C1089" s="7" t="e">
        <f>VLOOKUP(A1089,'Statement base'!E:AO,21,0)</f>
        <v>#N/A</v>
      </c>
      <c r="D1089" s="7" t="e">
        <f>VLOOKUP(A1089,'Statement base'!E:AO,10,0)-VLOOKUP(A1089,'Statement base'!E:AO,21,0)</f>
        <v>#N/A</v>
      </c>
      <c r="E1089" t="s">
        <v>188</v>
      </c>
      <c r="F1089" s="6" t="e">
        <f>VLOOKUP(A1089,'Statement base'!E:AO,10,0)+VLOOKUP(A1089,'Statement base'!E:AO,14,0)</f>
        <v>#N/A</v>
      </c>
      <c r="G1089" s="61" t="e">
        <f>VLOOKUP(A1089,'Clientes CBOT'!A:E,5,0)</f>
        <v>#N/A</v>
      </c>
      <c r="H1089" t="str">
        <f t="shared" si="48"/>
        <v>Hard</v>
      </c>
      <c r="I1089" s="6" t="e">
        <f t="shared" si="49"/>
        <v>#N/A</v>
      </c>
      <c r="J1089" s="6" t="e">
        <f t="shared" si="50"/>
        <v>#N/A</v>
      </c>
    </row>
    <row r="1090" spans="2:10" x14ac:dyDescent="0.3">
      <c r="B1090" t="e">
        <f>VLOOKUP(A1090,'Clientes CBOT'!A:D,4,0)</f>
        <v>#N/A</v>
      </c>
      <c r="C1090" s="7" t="e">
        <f>VLOOKUP(A1090,'Statement base'!E:AO,21,0)</f>
        <v>#N/A</v>
      </c>
      <c r="D1090" s="7" t="e">
        <f>VLOOKUP(A1090,'Statement base'!E:AO,10,0)-VLOOKUP(A1090,'Statement base'!E:AO,21,0)</f>
        <v>#N/A</v>
      </c>
      <c r="E1090" t="s">
        <v>188</v>
      </c>
      <c r="F1090" s="6" t="e">
        <f>VLOOKUP(A1090,'Statement base'!E:AO,10,0)+VLOOKUP(A1090,'Statement base'!E:AO,14,0)</f>
        <v>#N/A</v>
      </c>
      <c r="G1090" s="61" t="e">
        <f>VLOOKUP(A1090,'Clientes CBOT'!A:E,5,0)</f>
        <v>#N/A</v>
      </c>
      <c r="H1090" t="str">
        <f t="shared" si="48"/>
        <v>Hard</v>
      </c>
      <c r="I1090" s="6" t="e">
        <f t="shared" si="49"/>
        <v>#N/A</v>
      </c>
      <c r="J1090" s="6" t="e">
        <f t="shared" si="50"/>
        <v>#N/A</v>
      </c>
    </row>
    <row r="1091" spans="2:10" x14ac:dyDescent="0.3">
      <c r="B1091" t="e">
        <f>VLOOKUP(A1091,'Clientes CBOT'!A:D,4,0)</f>
        <v>#N/A</v>
      </c>
      <c r="C1091" s="7" t="e">
        <f>VLOOKUP(A1091,'Statement base'!E:AO,21,0)</f>
        <v>#N/A</v>
      </c>
      <c r="D1091" s="7" t="e">
        <f>VLOOKUP(A1091,'Statement base'!E:AO,10,0)-VLOOKUP(A1091,'Statement base'!E:AO,21,0)</f>
        <v>#N/A</v>
      </c>
      <c r="E1091" t="s">
        <v>188</v>
      </c>
      <c r="F1091" s="6" t="e">
        <f>VLOOKUP(A1091,'Statement base'!E:AO,10,0)+VLOOKUP(A1091,'Statement base'!E:AO,14,0)</f>
        <v>#N/A</v>
      </c>
      <c r="G1091" s="61" t="e">
        <f>VLOOKUP(A1091,'Clientes CBOT'!A:E,5,0)</f>
        <v>#N/A</v>
      </c>
      <c r="H1091" t="str">
        <f t="shared" si="48"/>
        <v>Hard</v>
      </c>
      <c r="I1091" s="6" t="e">
        <f t="shared" si="49"/>
        <v>#N/A</v>
      </c>
      <c r="J1091" s="6" t="e">
        <f t="shared" si="50"/>
        <v>#N/A</v>
      </c>
    </row>
    <row r="1092" spans="2:10" x14ac:dyDescent="0.3">
      <c r="B1092" t="e">
        <f>VLOOKUP(A1092,'Clientes CBOT'!A:D,4,0)</f>
        <v>#N/A</v>
      </c>
      <c r="C1092" s="7" t="e">
        <f>VLOOKUP(A1092,'Statement base'!E:AO,21,0)</f>
        <v>#N/A</v>
      </c>
      <c r="D1092" s="7" t="e">
        <f>VLOOKUP(A1092,'Statement base'!E:AO,10,0)-VLOOKUP(A1092,'Statement base'!E:AO,21,0)</f>
        <v>#N/A</v>
      </c>
      <c r="E1092" t="s">
        <v>188</v>
      </c>
      <c r="F1092" s="6" t="e">
        <f>VLOOKUP(A1092,'Statement base'!E:AO,10,0)+VLOOKUP(A1092,'Statement base'!E:AO,14,0)</f>
        <v>#N/A</v>
      </c>
      <c r="G1092" s="61" t="e">
        <f>VLOOKUP(A1092,'Clientes CBOT'!A:E,5,0)</f>
        <v>#N/A</v>
      </c>
      <c r="H1092" t="str">
        <f t="shared" si="48"/>
        <v>Hard</v>
      </c>
      <c r="I1092" s="6" t="e">
        <f t="shared" si="49"/>
        <v>#N/A</v>
      </c>
      <c r="J1092" s="6" t="e">
        <f t="shared" si="50"/>
        <v>#N/A</v>
      </c>
    </row>
    <row r="1093" spans="2:10" x14ac:dyDescent="0.3">
      <c r="B1093" t="e">
        <f>VLOOKUP(A1093,'Clientes CBOT'!A:D,4,0)</f>
        <v>#N/A</v>
      </c>
      <c r="C1093" s="7" t="e">
        <f>VLOOKUP(A1093,'Statement base'!E:AO,21,0)</f>
        <v>#N/A</v>
      </c>
      <c r="D1093" s="7" t="e">
        <f>VLOOKUP(A1093,'Statement base'!E:AO,10,0)-VLOOKUP(A1093,'Statement base'!E:AO,21,0)</f>
        <v>#N/A</v>
      </c>
      <c r="E1093" t="s">
        <v>188</v>
      </c>
      <c r="F1093" s="6" t="e">
        <f>VLOOKUP(A1093,'Statement base'!E:AO,10,0)+VLOOKUP(A1093,'Statement base'!E:AO,14,0)</f>
        <v>#N/A</v>
      </c>
      <c r="G1093" s="61" t="e">
        <f>VLOOKUP(A1093,'Clientes CBOT'!A:E,5,0)</f>
        <v>#N/A</v>
      </c>
      <c r="H1093" t="str">
        <f t="shared" ref="H1093:H1131" si="51">IF(E1093="pesos","Ars",IF(E1093="Dólar Matba Rofex","usd linked","Hard"))</f>
        <v>Hard</v>
      </c>
      <c r="I1093" s="6" t="e">
        <f t="shared" ref="I1093:I1131" si="52">IF(H1093="ars",C1093/$J$1,IF(H1093="hard",C1093*$J$2/$J$1,C1093))</f>
        <v>#N/A</v>
      </c>
      <c r="J1093" s="6" t="e">
        <f t="shared" ref="J1093:J1131" si="53">IF(H1093="ars",D1093/$J$1,IF(H1093="hard",D1093*$J$2/$J$1,D1093))</f>
        <v>#N/A</v>
      </c>
    </row>
    <row r="1094" spans="2:10" x14ac:dyDescent="0.3">
      <c r="B1094" t="e">
        <f>VLOOKUP(A1094,'Clientes CBOT'!A:D,4,0)</f>
        <v>#N/A</v>
      </c>
      <c r="C1094" s="7" t="e">
        <f>VLOOKUP(A1094,'Statement base'!E:AO,21,0)</f>
        <v>#N/A</v>
      </c>
      <c r="D1094" s="7" t="e">
        <f>VLOOKUP(A1094,'Statement base'!E:AO,10,0)-VLOOKUP(A1094,'Statement base'!E:AO,21,0)</f>
        <v>#N/A</v>
      </c>
      <c r="E1094" t="s">
        <v>188</v>
      </c>
      <c r="F1094" s="6" t="e">
        <f>VLOOKUP(A1094,'Statement base'!E:AO,10,0)+VLOOKUP(A1094,'Statement base'!E:AO,14,0)</f>
        <v>#N/A</v>
      </c>
      <c r="G1094" s="61" t="e">
        <f>VLOOKUP(A1094,'Clientes CBOT'!A:E,5,0)</f>
        <v>#N/A</v>
      </c>
      <c r="H1094" t="str">
        <f t="shared" si="51"/>
        <v>Hard</v>
      </c>
      <c r="I1094" s="6" t="e">
        <f t="shared" si="52"/>
        <v>#N/A</v>
      </c>
      <c r="J1094" s="6" t="e">
        <f t="shared" si="53"/>
        <v>#N/A</v>
      </c>
    </row>
    <row r="1095" spans="2:10" x14ac:dyDescent="0.3">
      <c r="B1095" t="e">
        <f>VLOOKUP(A1095,'Clientes CBOT'!A:D,4,0)</f>
        <v>#N/A</v>
      </c>
      <c r="C1095" s="7" t="e">
        <f>VLOOKUP(A1095,'Statement base'!E:AO,21,0)</f>
        <v>#N/A</v>
      </c>
      <c r="D1095" s="7" t="e">
        <f>VLOOKUP(A1095,'Statement base'!E:AO,10,0)-VLOOKUP(A1095,'Statement base'!E:AO,21,0)</f>
        <v>#N/A</v>
      </c>
      <c r="E1095" t="s">
        <v>188</v>
      </c>
      <c r="F1095" s="6" t="e">
        <f>VLOOKUP(A1095,'Statement base'!E:AO,10,0)+VLOOKUP(A1095,'Statement base'!E:AO,14,0)</f>
        <v>#N/A</v>
      </c>
      <c r="G1095" s="61" t="e">
        <f>VLOOKUP(A1095,'Clientes CBOT'!A:E,5,0)</f>
        <v>#N/A</v>
      </c>
      <c r="H1095" t="str">
        <f t="shared" si="51"/>
        <v>Hard</v>
      </c>
      <c r="I1095" s="6" t="e">
        <f t="shared" si="52"/>
        <v>#N/A</v>
      </c>
      <c r="J1095" s="6" t="e">
        <f t="shared" si="53"/>
        <v>#N/A</v>
      </c>
    </row>
    <row r="1096" spans="2:10" x14ac:dyDescent="0.3">
      <c r="B1096" t="e">
        <f>VLOOKUP(A1096,'Clientes CBOT'!A:D,4,0)</f>
        <v>#N/A</v>
      </c>
      <c r="C1096" s="7" t="e">
        <f>VLOOKUP(A1096,'Statement base'!E:AO,21,0)</f>
        <v>#N/A</v>
      </c>
      <c r="D1096" s="7" t="e">
        <f>VLOOKUP(A1096,'Statement base'!E:AO,10,0)-VLOOKUP(A1096,'Statement base'!E:AO,21,0)</f>
        <v>#N/A</v>
      </c>
      <c r="E1096" t="s">
        <v>188</v>
      </c>
      <c r="F1096" s="6" t="e">
        <f>VLOOKUP(A1096,'Statement base'!E:AO,10,0)+VLOOKUP(A1096,'Statement base'!E:AO,14,0)</f>
        <v>#N/A</v>
      </c>
      <c r="G1096" s="61" t="e">
        <f>VLOOKUP(A1096,'Clientes CBOT'!A:E,5,0)</f>
        <v>#N/A</v>
      </c>
      <c r="H1096" t="str">
        <f t="shared" si="51"/>
        <v>Hard</v>
      </c>
      <c r="I1096" s="6" t="e">
        <f t="shared" si="52"/>
        <v>#N/A</v>
      </c>
      <c r="J1096" s="6" t="e">
        <f t="shared" si="53"/>
        <v>#N/A</v>
      </c>
    </row>
    <row r="1097" spans="2:10" x14ac:dyDescent="0.3">
      <c r="B1097" t="e">
        <f>VLOOKUP(A1097,'Clientes CBOT'!A:D,4,0)</f>
        <v>#N/A</v>
      </c>
      <c r="C1097" s="7" t="e">
        <f>VLOOKUP(A1097,'Statement base'!E:AO,21,0)</f>
        <v>#N/A</v>
      </c>
      <c r="D1097" s="7" t="e">
        <f>VLOOKUP(A1097,'Statement base'!E:AO,10,0)-VLOOKUP(A1097,'Statement base'!E:AO,21,0)</f>
        <v>#N/A</v>
      </c>
      <c r="E1097" t="s">
        <v>188</v>
      </c>
      <c r="F1097" s="6" t="e">
        <f>VLOOKUP(A1097,'Statement base'!E:AO,10,0)+VLOOKUP(A1097,'Statement base'!E:AO,14,0)</f>
        <v>#N/A</v>
      </c>
      <c r="G1097" s="61" t="e">
        <f>VLOOKUP(A1097,'Clientes CBOT'!A:E,5,0)</f>
        <v>#N/A</v>
      </c>
      <c r="H1097" t="str">
        <f t="shared" si="51"/>
        <v>Hard</v>
      </c>
      <c r="I1097" s="6" t="e">
        <f t="shared" si="52"/>
        <v>#N/A</v>
      </c>
      <c r="J1097" s="6" t="e">
        <f t="shared" si="53"/>
        <v>#N/A</v>
      </c>
    </row>
    <row r="1098" spans="2:10" x14ac:dyDescent="0.3">
      <c r="B1098" t="e">
        <f>VLOOKUP(A1098,'Clientes CBOT'!A:D,4,0)</f>
        <v>#N/A</v>
      </c>
      <c r="C1098" s="7" t="e">
        <f>VLOOKUP(A1098,'Statement base'!E:AO,21,0)</f>
        <v>#N/A</v>
      </c>
      <c r="D1098" s="7" t="e">
        <f>VLOOKUP(A1098,'Statement base'!E:AO,10,0)-VLOOKUP(A1098,'Statement base'!E:AO,21,0)</f>
        <v>#N/A</v>
      </c>
      <c r="E1098" t="s">
        <v>188</v>
      </c>
      <c r="F1098" s="6" t="e">
        <f>VLOOKUP(A1098,'Statement base'!E:AO,10,0)+VLOOKUP(A1098,'Statement base'!E:AO,14,0)</f>
        <v>#N/A</v>
      </c>
      <c r="G1098" s="61" t="e">
        <f>VLOOKUP(A1098,'Clientes CBOT'!A:E,5,0)</f>
        <v>#N/A</v>
      </c>
      <c r="H1098" t="str">
        <f t="shared" si="51"/>
        <v>Hard</v>
      </c>
      <c r="I1098" s="6" t="e">
        <f t="shared" si="52"/>
        <v>#N/A</v>
      </c>
      <c r="J1098" s="6" t="e">
        <f t="shared" si="53"/>
        <v>#N/A</v>
      </c>
    </row>
    <row r="1099" spans="2:10" x14ac:dyDescent="0.3">
      <c r="B1099" t="e">
        <f>VLOOKUP(A1099,'Clientes CBOT'!A:D,4,0)</f>
        <v>#N/A</v>
      </c>
      <c r="C1099" s="7" t="e">
        <f>VLOOKUP(A1099,'Statement base'!E:AO,21,0)</f>
        <v>#N/A</v>
      </c>
      <c r="D1099" s="7" t="e">
        <f>VLOOKUP(A1099,'Statement base'!E:AO,10,0)-VLOOKUP(A1099,'Statement base'!E:AO,21,0)</f>
        <v>#N/A</v>
      </c>
      <c r="E1099" t="s">
        <v>188</v>
      </c>
      <c r="F1099" s="6" t="e">
        <f>VLOOKUP(A1099,'Statement base'!E:AO,10,0)+VLOOKUP(A1099,'Statement base'!E:AO,14,0)</f>
        <v>#N/A</v>
      </c>
      <c r="G1099" s="61" t="e">
        <f>VLOOKUP(A1099,'Clientes CBOT'!A:E,5,0)</f>
        <v>#N/A</v>
      </c>
      <c r="H1099" t="str">
        <f t="shared" si="51"/>
        <v>Hard</v>
      </c>
      <c r="I1099" s="6" t="e">
        <f t="shared" si="52"/>
        <v>#N/A</v>
      </c>
      <c r="J1099" s="6" t="e">
        <f t="shared" si="53"/>
        <v>#N/A</v>
      </c>
    </row>
    <row r="1100" spans="2:10" x14ac:dyDescent="0.3">
      <c r="B1100" t="e">
        <f>VLOOKUP(A1100,'Clientes CBOT'!A:D,4,0)</f>
        <v>#N/A</v>
      </c>
      <c r="C1100" s="7" t="e">
        <f>VLOOKUP(A1100,'Statement base'!E:AO,21,0)</f>
        <v>#N/A</v>
      </c>
      <c r="D1100" s="7" t="e">
        <f>VLOOKUP(A1100,'Statement base'!E:AO,10,0)-VLOOKUP(A1100,'Statement base'!E:AO,21,0)</f>
        <v>#N/A</v>
      </c>
      <c r="E1100" t="s">
        <v>188</v>
      </c>
      <c r="F1100" s="6" t="e">
        <f>VLOOKUP(A1100,'Statement base'!E:AO,10,0)+VLOOKUP(A1100,'Statement base'!E:AO,14,0)</f>
        <v>#N/A</v>
      </c>
      <c r="G1100" s="61" t="e">
        <f>VLOOKUP(A1100,'Clientes CBOT'!A:E,5,0)</f>
        <v>#N/A</v>
      </c>
      <c r="H1100" t="str">
        <f t="shared" si="51"/>
        <v>Hard</v>
      </c>
      <c r="I1100" s="6" t="e">
        <f t="shared" si="52"/>
        <v>#N/A</v>
      </c>
      <c r="J1100" s="6" t="e">
        <f t="shared" si="53"/>
        <v>#N/A</v>
      </c>
    </row>
    <row r="1101" spans="2:10" x14ac:dyDescent="0.3">
      <c r="B1101" t="e">
        <f>VLOOKUP(A1101,'Clientes CBOT'!A:D,4,0)</f>
        <v>#N/A</v>
      </c>
      <c r="C1101" s="7" t="e">
        <f>VLOOKUP(A1101,'Statement base'!E:AO,21,0)</f>
        <v>#N/A</v>
      </c>
      <c r="D1101" s="7" t="e">
        <f>VLOOKUP(A1101,'Statement base'!E:AO,10,0)-VLOOKUP(A1101,'Statement base'!E:AO,21,0)</f>
        <v>#N/A</v>
      </c>
      <c r="E1101" t="s">
        <v>188</v>
      </c>
      <c r="F1101" s="6" t="e">
        <f>VLOOKUP(A1101,'Statement base'!E:AO,10,0)+VLOOKUP(A1101,'Statement base'!E:AO,14,0)</f>
        <v>#N/A</v>
      </c>
      <c r="G1101" s="61" t="e">
        <f>VLOOKUP(A1101,'Clientes CBOT'!A:E,5,0)</f>
        <v>#N/A</v>
      </c>
      <c r="H1101" t="str">
        <f t="shared" si="51"/>
        <v>Hard</v>
      </c>
      <c r="I1101" s="6" t="e">
        <f t="shared" si="52"/>
        <v>#N/A</v>
      </c>
      <c r="J1101" s="6" t="e">
        <f t="shared" si="53"/>
        <v>#N/A</v>
      </c>
    </row>
    <row r="1102" spans="2:10" x14ac:dyDescent="0.3">
      <c r="B1102" t="e">
        <f>VLOOKUP(A1102,'Clientes CBOT'!A:D,4,0)</f>
        <v>#N/A</v>
      </c>
      <c r="C1102" s="7" t="e">
        <f>VLOOKUP(A1102,'Statement base'!E:AO,21,0)</f>
        <v>#N/A</v>
      </c>
      <c r="D1102" s="7" t="e">
        <f>VLOOKUP(A1102,'Statement base'!E:AO,10,0)-VLOOKUP(A1102,'Statement base'!E:AO,21,0)</f>
        <v>#N/A</v>
      </c>
      <c r="E1102" t="s">
        <v>188</v>
      </c>
      <c r="F1102" s="6" t="e">
        <f>VLOOKUP(A1102,'Statement base'!E:AO,10,0)+VLOOKUP(A1102,'Statement base'!E:AO,14,0)</f>
        <v>#N/A</v>
      </c>
      <c r="G1102" s="61" t="e">
        <f>VLOOKUP(A1102,'Clientes CBOT'!A:E,5,0)</f>
        <v>#N/A</v>
      </c>
      <c r="H1102" t="str">
        <f t="shared" si="51"/>
        <v>Hard</v>
      </c>
      <c r="I1102" s="6" t="e">
        <f t="shared" si="52"/>
        <v>#N/A</v>
      </c>
      <c r="J1102" s="6" t="e">
        <f t="shared" si="53"/>
        <v>#N/A</v>
      </c>
    </row>
    <row r="1103" spans="2:10" x14ac:dyDescent="0.3">
      <c r="B1103" t="e">
        <f>VLOOKUP(A1103,'Clientes CBOT'!A:D,4,0)</f>
        <v>#N/A</v>
      </c>
      <c r="C1103" s="7" t="e">
        <f>VLOOKUP(A1103,'Statement base'!E:AO,21,0)</f>
        <v>#N/A</v>
      </c>
      <c r="D1103" s="7" t="e">
        <f>VLOOKUP(A1103,'Statement base'!E:AO,10,0)-VLOOKUP(A1103,'Statement base'!E:AO,21,0)</f>
        <v>#N/A</v>
      </c>
      <c r="E1103" t="s">
        <v>188</v>
      </c>
      <c r="F1103" s="6" t="e">
        <f>VLOOKUP(A1103,'Statement base'!E:AO,10,0)+VLOOKUP(A1103,'Statement base'!E:AO,14,0)</f>
        <v>#N/A</v>
      </c>
      <c r="G1103" s="61" t="e">
        <f>VLOOKUP(A1103,'Clientes CBOT'!A:E,5,0)</f>
        <v>#N/A</v>
      </c>
      <c r="H1103" t="str">
        <f t="shared" si="51"/>
        <v>Hard</v>
      </c>
      <c r="I1103" s="6" t="e">
        <f t="shared" si="52"/>
        <v>#N/A</v>
      </c>
      <c r="J1103" s="6" t="e">
        <f t="shared" si="53"/>
        <v>#N/A</v>
      </c>
    </row>
    <row r="1104" spans="2:10" x14ac:dyDescent="0.3">
      <c r="B1104" t="e">
        <f>VLOOKUP(A1104,'Clientes CBOT'!A:D,4,0)</f>
        <v>#N/A</v>
      </c>
      <c r="C1104" s="7" t="e">
        <f>VLOOKUP(A1104,'Statement base'!E:AO,21,0)</f>
        <v>#N/A</v>
      </c>
      <c r="D1104" s="7" t="e">
        <f>VLOOKUP(A1104,'Statement base'!E:AO,10,0)-VLOOKUP(A1104,'Statement base'!E:AO,21,0)</f>
        <v>#N/A</v>
      </c>
      <c r="E1104" t="s">
        <v>188</v>
      </c>
      <c r="F1104" s="6" t="e">
        <f>VLOOKUP(A1104,'Statement base'!E:AO,10,0)+VLOOKUP(A1104,'Statement base'!E:AO,14,0)</f>
        <v>#N/A</v>
      </c>
      <c r="G1104" s="61" t="e">
        <f>VLOOKUP(A1104,'Clientes CBOT'!A:E,5,0)</f>
        <v>#N/A</v>
      </c>
      <c r="H1104" t="str">
        <f t="shared" si="51"/>
        <v>Hard</v>
      </c>
      <c r="I1104" s="6" t="e">
        <f t="shared" si="52"/>
        <v>#N/A</v>
      </c>
      <c r="J1104" s="6" t="e">
        <f t="shared" si="53"/>
        <v>#N/A</v>
      </c>
    </row>
    <row r="1105" spans="2:10" x14ac:dyDescent="0.3">
      <c r="B1105" t="e">
        <f>VLOOKUP(A1105,'Clientes CBOT'!A:D,4,0)</f>
        <v>#N/A</v>
      </c>
      <c r="C1105" s="7" t="e">
        <f>VLOOKUP(A1105,'Statement base'!E:AO,21,0)</f>
        <v>#N/A</v>
      </c>
      <c r="D1105" s="7" t="e">
        <f>VLOOKUP(A1105,'Statement base'!E:AO,10,0)-VLOOKUP(A1105,'Statement base'!E:AO,21,0)</f>
        <v>#N/A</v>
      </c>
      <c r="E1105" t="s">
        <v>188</v>
      </c>
      <c r="F1105" s="6" t="e">
        <f>VLOOKUP(A1105,'Statement base'!E:AO,10,0)+VLOOKUP(A1105,'Statement base'!E:AO,14,0)</f>
        <v>#N/A</v>
      </c>
      <c r="G1105" s="61" t="e">
        <f>VLOOKUP(A1105,'Clientes CBOT'!A:E,5,0)</f>
        <v>#N/A</v>
      </c>
      <c r="H1105" t="str">
        <f t="shared" si="51"/>
        <v>Hard</v>
      </c>
      <c r="I1105" s="6" t="e">
        <f t="shared" si="52"/>
        <v>#N/A</v>
      </c>
      <c r="J1105" s="6" t="e">
        <f t="shared" si="53"/>
        <v>#N/A</v>
      </c>
    </row>
    <row r="1106" spans="2:10" x14ac:dyDescent="0.3">
      <c r="B1106" t="e">
        <f>VLOOKUP(A1106,'Clientes CBOT'!A:D,4,0)</f>
        <v>#N/A</v>
      </c>
      <c r="C1106" s="7" t="e">
        <f>VLOOKUP(A1106,'Statement base'!E:AO,21,0)</f>
        <v>#N/A</v>
      </c>
      <c r="D1106" s="7" t="e">
        <f>VLOOKUP(A1106,'Statement base'!E:AO,10,0)-VLOOKUP(A1106,'Statement base'!E:AO,21,0)</f>
        <v>#N/A</v>
      </c>
      <c r="E1106" t="s">
        <v>188</v>
      </c>
      <c r="F1106" s="6" t="e">
        <f>VLOOKUP(A1106,'Statement base'!E:AO,10,0)+VLOOKUP(A1106,'Statement base'!E:AO,14,0)</f>
        <v>#N/A</v>
      </c>
      <c r="G1106" s="61" t="e">
        <f>VLOOKUP(A1106,'Clientes CBOT'!A:E,5,0)</f>
        <v>#N/A</v>
      </c>
      <c r="H1106" t="str">
        <f t="shared" si="51"/>
        <v>Hard</v>
      </c>
      <c r="I1106" s="6" t="e">
        <f t="shared" si="52"/>
        <v>#N/A</v>
      </c>
      <c r="J1106" s="6" t="e">
        <f t="shared" si="53"/>
        <v>#N/A</v>
      </c>
    </row>
    <row r="1107" spans="2:10" x14ac:dyDescent="0.3">
      <c r="B1107" t="e">
        <f>VLOOKUP(A1107,'Clientes CBOT'!A:D,4,0)</f>
        <v>#N/A</v>
      </c>
      <c r="C1107" s="7" t="e">
        <f>VLOOKUP(A1107,'Statement base'!E:AO,21,0)</f>
        <v>#N/A</v>
      </c>
      <c r="D1107" s="7" t="e">
        <f>VLOOKUP(A1107,'Statement base'!E:AO,10,0)-VLOOKUP(A1107,'Statement base'!E:AO,21,0)</f>
        <v>#N/A</v>
      </c>
      <c r="E1107" t="s">
        <v>188</v>
      </c>
      <c r="F1107" s="6" t="e">
        <f>VLOOKUP(A1107,'Statement base'!E:AO,10,0)+VLOOKUP(A1107,'Statement base'!E:AO,14,0)</f>
        <v>#N/A</v>
      </c>
      <c r="G1107" s="61" t="e">
        <f>VLOOKUP(A1107,'Clientes CBOT'!A:E,5,0)</f>
        <v>#N/A</v>
      </c>
      <c r="H1107" t="str">
        <f t="shared" si="51"/>
        <v>Hard</v>
      </c>
      <c r="I1107" s="6" t="e">
        <f t="shared" si="52"/>
        <v>#N/A</v>
      </c>
      <c r="J1107" s="6" t="e">
        <f t="shared" si="53"/>
        <v>#N/A</v>
      </c>
    </row>
    <row r="1108" spans="2:10" x14ac:dyDescent="0.3">
      <c r="B1108" t="e">
        <f>VLOOKUP(A1108,'Clientes CBOT'!A:D,4,0)</f>
        <v>#N/A</v>
      </c>
      <c r="C1108" s="7" t="e">
        <f>VLOOKUP(A1108,'Statement base'!E:AO,21,0)</f>
        <v>#N/A</v>
      </c>
      <c r="D1108" s="7" t="e">
        <f>VLOOKUP(A1108,'Statement base'!E:AO,10,0)-VLOOKUP(A1108,'Statement base'!E:AO,21,0)</f>
        <v>#N/A</v>
      </c>
      <c r="E1108" t="s">
        <v>188</v>
      </c>
      <c r="F1108" s="6" t="e">
        <f>VLOOKUP(A1108,'Statement base'!E:AO,10,0)+VLOOKUP(A1108,'Statement base'!E:AO,14,0)</f>
        <v>#N/A</v>
      </c>
      <c r="G1108" s="61" t="e">
        <f>VLOOKUP(A1108,'Clientes CBOT'!A:E,5,0)</f>
        <v>#N/A</v>
      </c>
      <c r="H1108" t="str">
        <f t="shared" si="51"/>
        <v>Hard</v>
      </c>
      <c r="I1108" s="6" t="e">
        <f t="shared" si="52"/>
        <v>#N/A</v>
      </c>
      <c r="J1108" s="6" t="e">
        <f t="shared" si="53"/>
        <v>#N/A</v>
      </c>
    </row>
    <row r="1109" spans="2:10" x14ac:dyDescent="0.3">
      <c r="B1109" t="e">
        <f>VLOOKUP(A1109,'Clientes CBOT'!A:D,4,0)</f>
        <v>#N/A</v>
      </c>
      <c r="C1109" s="7" t="e">
        <f>VLOOKUP(A1109,'Statement base'!E:AO,21,0)</f>
        <v>#N/A</v>
      </c>
      <c r="D1109" s="7" t="e">
        <f>VLOOKUP(A1109,'Statement base'!E:AO,10,0)-VLOOKUP(A1109,'Statement base'!E:AO,21,0)</f>
        <v>#N/A</v>
      </c>
      <c r="E1109" t="s">
        <v>188</v>
      </c>
      <c r="F1109" s="6" t="e">
        <f>VLOOKUP(A1109,'Statement base'!E:AO,10,0)+VLOOKUP(A1109,'Statement base'!E:AO,14,0)</f>
        <v>#N/A</v>
      </c>
      <c r="G1109" s="61" t="e">
        <f>VLOOKUP(A1109,'Clientes CBOT'!A:E,5,0)</f>
        <v>#N/A</v>
      </c>
      <c r="H1109" t="str">
        <f t="shared" si="51"/>
        <v>Hard</v>
      </c>
      <c r="I1109" s="6" t="e">
        <f t="shared" si="52"/>
        <v>#N/A</v>
      </c>
      <c r="J1109" s="6" t="e">
        <f t="shared" si="53"/>
        <v>#N/A</v>
      </c>
    </row>
    <row r="1110" spans="2:10" x14ac:dyDescent="0.3">
      <c r="B1110" t="e">
        <f>VLOOKUP(A1110,'Clientes CBOT'!A:D,4,0)</f>
        <v>#N/A</v>
      </c>
      <c r="C1110" s="7" t="e">
        <f>VLOOKUP(A1110,'Statement base'!E:AO,21,0)</f>
        <v>#N/A</v>
      </c>
      <c r="D1110" s="7" t="e">
        <f>VLOOKUP(A1110,'Statement base'!E:AO,10,0)-VLOOKUP(A1110,'Statement base'!E:AO,21,0)</f>
        <v>#N/A</v>
      </c>
      <c r="E1110" t="s">
        <v>188</v>
      </c>
      <c r="F1110" s="6" t="e">
        <f>VLOOKUP(A1110,'Statement base'!E:AO,10,0)+VLOOKUP(A1110,'Statement base'!E:AO,14,0)</f>
        <v>#N/A</v>
      </c>
      <c r="G1110" s="61" t="e">
        <f>VLOOKUP(A1110,'Clientes CBOT'!A:E,5,0)</f>
        <v>#N/A</v>
      </c>
      <c r="H1110" t="str">
        <f t="shared" si="51"/>
        <v>Hard</v>
      </c>
      <c r="I1110" s="6" t="e">
        <f t="shared" si="52"/>
        <v>#N/A</v>
      </c>
      <c r="J1110" s="6" t="e">
        <f t="shared" si="53"/>
        <v>#N/A</v>
      </c>
    </row>
    <row r="1111" spans="2:10" x14ac:dyDescent="0.3">
      <c r="B1111" t="e">
        <f>VLOOKUP(A1111,'Clientes CBOT'!A:D,4,0)</f>
        <v>#N/A</v>
      </c>
      <c r="C1111" s="7" t="e">
        <f>VLOOKUP(A1111,'Statement base'!E:AO,21,0)</f>
        <v>#N/A</v>
      </c>
      <c r="D1111" s="7" t="e">
        <f>VLOOKUP(A1111,'Statement base'!E:AO,10,0)-VLOOKUP(A1111,'Statement base'!E:AO,21,0)</f>
        <v>#N/A</v>
      </c>
      <c r="E1111" t="s">
        <v>188</v>
      </c>
      <c r="F1111" s="6" t="e">
        <f>VLOOKUP(A1111,'Statement base'!E:AO,10,0)+VLOOKUP(A1111,'Statement base'!E:AO,14,0)</f>
        <v>#N/A</v>
      </c>
      <c r="G1111" s="61" t="e">
        <f>VLOOKUP(A1111,'Clientes CBOT'!A:E,5,0)</f>
        <v>#N/A</v>
      </c>
      <c r="H1111" t="str">
        <f t="shared" si="51"/>
        <v>Hard</v>
      </c>
      <c r="I1111" s="6" t="e">
        <f t="shared" si="52"/>
        <v>#N/A</v>
      </c>
      <c r="J1111" s="6" t="e">
        <f t="shared" si="53"/>
        <v>#N/A</v>
      </c>
    </row>
    <row r="1112" spans="2:10" x14ac:dyDescent="0.3">
      <c r="B1112" t="e">
        <f>VLOOKUP(A1112,'Clientes CBOT'!A:D,4,0)</f>
        <v>#N/A</v>
      </c>
      <c r="C1112" s="7" t="e">
        <f>VLOOKUP(A1112,'Statement base'!E:AO,21,0)</f>
        <v>#N/A</v>
      </c>
      <c r="D1112" s="7" t="e">
        <f>VLOOKUP(A1112,'Statement base'!E:AO,10,0)-VLOOKUP(A1112,'Statement base'!E:AO,21,0)</f>
        <v>#N/A</v>
      </c>
      <c r="E1112" t="s">
        <v>188</v>
      </c>
      <c r="F1112" s="6" t="e">
        <f>VLOOKUP(A1112,'Statement base'!E:AO,10,0)+VLOOKUP(A1112,'Statement base'!E:AO,14,0)</f>
        <v>#N/A</v>
      </c>
      <c r="G1112" s="61" t="e">
        <f>VLOOKUP(A1112,'Clientes CBOT'!A:E,5,0)</f>
        <v>#N/A</v>
      </c>
      <c r="H1112" t="str">
        <f t="shared" si="51"/>
        <v>Hard</v>
      </c>
      <c r="I1112" s="6" t="e">
        <f t="shared" si="52"/>
        <v>#N/A</v>
      </c>
      <c r="J1112" s="6" t="e">
        <f t="shared" si="53"/>
        <v>#N/A</v>
      </c>
    </row>
    <row r="1113" spans="2:10" x14ac:dyDescent="0.3">
      <c r="B1113" t="e">
        <f>VLOOKUP(A1113,'Clientes CBOT'!A:D,4,0)</f>
        <v>#N/A</v>
      </c>
      <c r="C1113" s="7" t="e">
        <f>VLOOKUP(A1113,'Statement base'!E:AO,21,0)</f>
        <v>#N/A</v>
      </c>
      <c r="D1113" s="7" t="e">
        <f>VLOOKUP(A1113,'Statement base'!E:AO,10,0)-VLOOKUP(A1113,'Statement base'!E:AO,21,0)</f>
        <v>#N/A</v>
      </c>
      <c r="E1113" t="s">
        <v>188</v>
      </c>
      <c r="F1113" s="6" t="e">
        <f>VLOOKUP(A1113,'Statement base'!E:AO,10,0)+VLOOKUP(A1113,'Statement base'!E:AO,14,0)</f>
        <v>#N/A</v>
      </c>
      <c r="G1113" s="61" t="e">
        <f>VLOOKUP(A1113,'Clientes CBOT'!A:E,5,0)</f>
        <v>#N/A</v>
      </c>
      <c r="H1113" t="str">
        <f t="shared" si="51"/>
        <v>Hard</v>
      </c>
      <c r="I1113" s="6" t="e">
        <f t="shared" si="52"/>
        <v>#N/A</v>
      </c>
      <c r="J1113" s="6" t="e">
        <f t="shared" si="53"/>
        <v>#N/A</v>
      </c>
    </row>
    <row r="1114" spans="2:10" x14ac:dyDescent="0.3">
      <c r="B1114" t="e">
        <f>VLOOKUP(A1114,'Clientes CBOT'!A:D,4,0)</f>
        <v>#N/A</v>
      </c>
      <c r="C1114" s="7" t="e">
        <f>VLOOKUP(A1114,'Statement base'!E:AO,21,0)</f>
        <v>#N/A</v>
      </c>
      <c r="D1114" s="7" t="e">
        <f>VLOOKUP(A1114,'Statement base'!E:AO,10,0)-VLOOKUP(A1114,'Statement base'!E:AO,21,0)</f>
        <v>#N/A</v>
      </c>
      <c r="E1114" t="s">
        <v>188</v>
      </c>
      <c r="F1114" s="6" t="e">
        <f>VLOOKUP(A1114,'Statement base'!E:AO,10,0)+VLOOKUP(A1114,'Statement base'!E:AO,14,0)</f>
        <v>#N/A</v>
      </c>
      <c r="G1114" s="61" t="e">
        <f>VLOOKUP(A1114,'Clientes CBOT'!A:E,5,0)</f>
        <v>#N/A</v>
      </c>
      <c r="H1114" t="str">
        <f t="shared" si="51"/>
        <v>Hard</v>
      </c>
      <c r="I1114" s="6" t="e">
        <f t="shared" si="52"/>
        <v>#N/A</v>
      </c>
      <c r="J1114" s="6" t="e">
        <f t="shared" si="53"/>
        <v>#N/A</v>
      </c>
    </row>
    <row r="1115" spans="2:10" x14ac:dyDescent="0.3">
      <c r="B1115" t="e">
        <f>VLOOKUP(A1115,'Clientes CBOT'!A:D,4,0)</f>
        <v>#N/A</v>
      </c>
      <c r="C1115" s="7" t="e">
        <f>VLOOKUP(A1115,'Statement base'!E:AO,21,0)</f>
        <v>#N/A</v>
      </c>
      <c r="D1115" s="7" t="e">
        <f>VLOOKUP(A1115,'Statement base'!E:AO,10,0)-VLOOKUP(A1115,'Statement base'!E:AO,21,0)</f>
        <v>#N/A</v>
      </c>
      <c r="E1115" t="s">
        <v>188</v>
      </c>
      <c r="F1115" s="6" t="e">
        <f>VLOOKUP(A1115,'Statement base'!E:AO,10,0)+VLOOKUP(A1115,'Statement base'!E:AO,14,0)</f>
        <v>#N/A</v>
      </c>
      <c r="G1115" s="61" t="e">
        <f>VLOOKUP(A1115,'Clientes CBOT'!A:E,5,0)</f>
        <v>#N/A</v>
      </c>
      <c r="H1115" t="str">
        <f t="shared" si="51"/>
        <v>Hard</v>
      </c>
      <c r="I1115" s="6" t="e">
        <f t="shared" si="52"/>
        <v>#N/A</v>
      </c>
      <c r="J1115" s="6" t="e">
        <f t="shared" si="53"/>
        <v>#N/A</v>
      </c>
    </row>
    <row r="1116" spans="2:10" x14ac:dyDescent="0.3">
      <c r="B1116" t="e">
        <f>VLOOKUP(A1116,'Clientes CBOT'!A:D,4,0)</f>
        <v>#N/A</v>
      </c>
      <c r="C1116" s="7" t="e">
        <f>VLOOKUP(A1116,'Statement base'!E:AO,21,0)</f>
        <v>#N/A</v>
      </c>
      <c r="D1116" s="7" t="e">
        <f>VLOOKUP(A1116,'Statement base'!E:AO,10,0)-VLOOKUP(A1116,'Statement base'!E:AO,21,0)</f>
        <v>#N/A</v>
      </c>
      <c r="E1116" t="s">
        <v>188</v>
      </c>
      <c r="F1116" s="6" t="e">
        <f>VLOOKUP(A1116,'Statement base'!E:AO,10,0)+VLOOKUP(A1116,'Statement base'!E:AO,14,0)</f>
        <v>#N/A</v>
      </c>
      <c r="G1116" s="61" t="e">
        <f>VLOOKUP(A1116,'Clientes CBOT'!A:E,5,0)</f>
        <v>#N/A</v>
      </c>
      <c r="H1116" t="str">
        <f t="shared" si="51"/>
        <v>Hard</v>
      </c>
      <c r="I1116" s="6" t="e">
        <f t="shared" si="52"/>
        <v>#N/A</v>
      </c>
      <c r="J1116" s="6" t="e">
        <f t="shared" si="53"/>
        <v>#N/A</v>
      </c>
    </row>
    <row r="1117" spans="2:10" x14ac:dyDescent="0.3">
      <c r="B1117" t="e">
        <f>VLOOKUP(A1117,'Clientes CBOT'!A:D,4,0)</f>
        <v>#N/A</v>
      </c>
      <c r="C1117" s="7" t="e">
        <f>VLOOKUP(A1117,'Statement base'!E:AO,21,0)</f>
        <v>#N/A</v>
      </c>
      <c r="D1117" s="7" t="e">
        <f>VLOOKUP(A1117,'Statement base'!E:AO,10,0)-VLOOKUP(A1117,'Statement base'!E:AO,21,0)</f>
        <v>#N/A</v>
      </c>
      <c r="E1117" t="s">
        <v>188</v>
      </c>
      <c r="F1117" s="6" t="e">
        <f>VLOOKUP(A1117,'Statement base'!E:AO,10,0)+VLOOKUP(A1117,'Statement base'!E:AO,14,0)</f>
        <v>#N/A</v>
      </c>
      <c r="G1117" s="61" t="e">
        <f>VLOOKUP(A1117,'Clientes CBOT'!A:E,5,0)</f>
        <v>#N/A</v>
      </c>
      <c r="H1117" t="str">
        <f t="shared" si="51"/>
        <v>Hard</v>
      </c>
      <c r="I1117" s="6" t="e">
        <f t="shared" si="52"/>
        <v>#N/A</v>
      </c>
      <c r="J1117" s="6" t="e">
        <f t="shared" si="53"/>
        <v>#N/A</v>
      </c>
    </row>
    <row r="1118" spans="2:10" x14ac:dyDescent="0.3">
      <c r="B1118" t="e">
        <f>VLOOKUP(A1118,'Clientes CBOT'!A:D,4,0)</f>
        <v>#N/A</v>
      </c>
      <c r="C1118" s="7" t="e">
        <f>VLOOKUP(A1118,'Statement base'!E:AO,21,0)</f>
        <v>#N/A</v>
      </c>
      <c r="D1118" s="7" t="e">
        <f>VLOOKUP(A1118,'Statement base'!E:AO,10,0)-VLOOKUP(A1118,'Statement base'!E:AO,21,0)</f>
        <v>#N/A</v>
      </c>
      <c r="E1118" t="s">
        <v>188</v>
      </c>
      <c r="F1118" s="6" t="e">
        <f>VLOOKUP(A1118,'Statement base'!E:AO,10,0)+VLOOKUP(A1118,'Statement base'!E:AO,14,0)</f>
        <v>#N/A</v>
      </c>
      <c r="G1118" s="61" t="e">
        <f>VLOOKUP(A1118,'Clientes CBOT'!A:E,5,0)</f>
        <v>#N/A</v>
      </c>
      <c r="H1118" t="str">
        <f t="shared" si="51"/>
        <v>Hard</v>
      </c>
      <c r="I1118" s="6" t="e">
        <f t="shared" si="52"/>
        <v>#N/A</v>
      </c>
      <c r="J1118" s="6" t="e">
        <f t="shared" si="53"/>
        <v>#N/A</v>
      </c>
    </row>
    <row r="1119" spans="2:10" x14ac:dyDescent="0.3">
      <c r="B1119" t="e">
        <f>VLOOKUP(A1119,'Clientes CBOT'!A:D,4,0)</f>
        <v>#N/A</v>
      </c>
      <c r="C1119" s="7" t="e">
        <f>VLOOKUP(A1119,'Statement base'!E:AO,21,0)</f>
        <v>#N/A</v>
      </c>
      <c r="D1119" s="7" t="e">
        <f>VLOOKUP(A1119,'Statement base'!E:AO,10,0)-VLOOKUP(A1119,'Statement base'!E:AO,21,0)</f>
        <v>#N/A</v>
      </c>
      <c r="E1119" t="s">
        <v>188</v>
      </c>
      <c r="F1119" s="6" t="e">
        <f>VLOOKUP(A1119,'Statement base'!E:AO,10,0)+VLOOKUP(A1119,'Statement base'!E:AO,14,0)</f>
        <v>#N/A</v>
      </c>
      <c r="G1119" s="61" t="e">
        <f>VLOOKUP(A1119,'Clientes CBOT'!A:E,5,0)</f>
        <v>#N/A</v>
      </c>
      <c r="H1119" t="str">
        <f t="shared" si="51"/>
        <v>Hard</v>
      </c>
      <c r="I1119" s="6" t="e">
        <f t="shared" si="52"/>
        <v>#N/A</v>
      </c>
      <c r="J1119" s="6" t="e">
        <f t="shared" si="53"/>
        <v>#N/A</v>
      </c>
    </row>
    <row r="1120" spans="2:10" x14ac:dyDescent="0.3">
      <c r="B1120" t="e">
        <f>VLOOKUP(A1120,'Clientes CBOT'!A:D,4,0)</f>
        <v>#N/A</v>
      </c>
      <c r="C1120" s="7" t="e">
        <f>VLOOKUP(A1120,'Statement base'!E:AO,21,0)</f>
        <v>#N/A</v>
      </c>
      <c r="D1120" s="7" t="e">
        <f>VLOOKUP(A1120,'Statement base'!E:AO,10,0)-VLOOKUP(A1120,'Statement base'!E:AO,21,0)</f>
        <v>#N/A</v>
      </c>
      <c r="E1120" t="s">
        <v>188</v>
      </c>
      <c r="F1120" s="6" t="e">
        <f>VLOOKUP(A1120,'Statement base'!E:AO,10,0)+VLOOKUP(A1120,'Statement base'!E:AO,14,0)</f>
        <v>#N/A</v>
      </c>
      <c r="G1120" s="61" t="e">
        <f>VLOOKUP(A1120,'Clientes CBOT'!A:E,5,0)</f>
        <v>#N/A</v>
      </c>
      <c r="H1120" t="str">
        <f t="shared" si="51"/>
        <v>Hard</v>
      </c>
      <c r="I1120" s="6" t="e">
        <f t="shared" si="52"/>
        <v>#N/A</v>
      </c>
      <c r="J1120" s="6" t="e">
        <f t="shared" si="53"/>
        <v>#N/A</v>
      </c>
    </row>
    <row r="1121" spans="2:13" x14ac:dyDescent="0.3">
      <c r="B1121" t="e">
        <f>VLOOKUP(A1121,'Clientes CBOT'!A:D,4,0)</f>
        <v>#N/A</v>
      </c>
      <c r="C1121" s="7" t="e">
        <f>VLOOKUP(A1121,'Statement base'!E:AO,21,0)</f>
        <v>#N/A</v>
      </c>
      <c r="D1121" s="7" t="e">
        <f>VLOOKUP(A1121,'Statement base'!E:AO,10,0)-VLOOKUP(A1121,'Statement base'!E:AO,21,0)</f>
        <v>#N/A</v>
      </c>
      <c r="E1121" t="s">
        <v>188</v>
      </c>
      <c r="F1121" s="6" t="e">
        <f>VLOOKUP(A1121,'Statement base'!E:AO,10,0)+VLOOKUP(A1121,'Statement base'!E:AO,14,0)</f>
        <v>#N/A</v>
      </c>
      <c r="G1121" s="61" t="e">
        <f>VLOOKUP(A1121,'Clientes CBOT'!A:E,5,0)</f>
        <v>#N/A</v>
      </c>
      <c r="H1121" t="str">
        <f t="shared" si="51"/>
        <v>Hard</v>
      </c>
      <c r="I1121" s="6" t="e">
        <f t="shared" si="52"/>
        <v>#N/A</v>
      </c>
      <c r="J1121" s="6" t="e">
        <f t="shared" si="53"/>
        <v>#N/A</v>
      </c>
    </row>
    <row r="1122" spans="2:13" x14ac:dyDescent="0.3">
      <c r="B1122" t="e">
        <f>VLOOKUP(A1122,'Clientes CBOT'!A:D,4,0)</f>
        <v>#N/A</v>
      </c>
      <c r="C1122" s="7" t="e">
        <f>VLOOKUP(A1122,'Statement base'!E:AO,21,0)</f>
        <v>#N/A</v>
      </c>
      <c r="D1122" s="7" t="e">
        <f>VLOOKUP(A1122,'Statement base'!E:AO,10,0)-VLOOKUP(A1122,'Statement base'!E:AO,21,0)</f>
        <v>#N/A</v>
      </c>
      <c r="E1122" t="s">
        <v>188</v>
      </c>
      <c r="F1122" s="6" t="e">
        <f>VLOOKUP(A1122,'Statement base'!E:AO,10,0)+VLOOKUP(A1122,'Statement base'!E:AO,14,0)</f>
        <v>#N/A</v>
      </c>
      <c r="G1122" s="61" t="e">
        <f>VLOOKUP(A1122,'Clientes CBOT'!A:E,5,0)</f>
        <v>#N/A</v>
      </c>
      <c r="H1122" t="str">
        <f t="shared" si="51"/>
        <v>Hard</v>
      </c>
      <c r="I1122" s="6" t="e">
        <f t="shared" si="52"/>
        <v>#N/A</v>
      </c>
      <c r="J1122" s="6" t="e">
        <f t="shared" si="53"/>
        <v>#N/A</v>
      </c>
    </row>
    <row r="1123" spans="2:13" x14ac:dyDescent="0.3">
      <c r="B1123" t="e">
        <f>VLOOKUP(A1123,'Clientes CBOT'!A:D,4,0)</f>
        <v>#N/A</v>
      </c>
      <c r="C1123" s="7" t="e">
        <f>VLOOKUP(A1123,'Statement base'!E:AO,21,0)</f>
        <v>#N/A</v>
      </c>
      <c r="D1123" s="7" t="e">
        <f>VLOOKUP(A1123,'Statement base'!E:AO,10,0)-VLOOKUP(A1123,'Statement base'!E:AO,21,0)</f>
        <v>#N/A</v>
      </c>
      <c r="E1123" t="s">
        <v>188</v>
      </c>
      <c r="F1123" s="6" t="e">
        <f>VLOOKUP(A1123,'Statement base'!E:AO,10,0)+VLOOKUP(A1123,'Statement base'!E:AO,14,0)</f>
        <v>#N/A</v>
      </c>
      <c r="G1123" s="61" t="e">
        <f>VLOOKUP(A1123,'Clientes CBOT'!A:E,5,0)</f>
        <v>#N/A</v>
      </c>
      <c r="H1123" t="str">
        <f t="shared" si="51"/>
        <v>Hard</v>
      </c>
      <c r="I1123" s="6" t="e">
        <f t="shared" si="52"/>
        <v>#N/A</v>
      </c>
      <c r="J1123" s="6" t="e">
        <f t="shared" si="53"/>
        <v>#N/A</v>
      </c>
    </row>
    <row r="1124" spans="2:13" x14ac:dyDescent="0.3">
      <c r="B1124" t="e">
        <f>VLOOKUP(A1124,'Clientes CBOT'!A:D,4,0)</f>
        <v>#N/A</v>
      </c>
      <c r="C1124" s="7" t="e">
        <f>VLOOKUP(A1124,'Statement base'!E:AO,21,0)</f>
        <v>#N/A</v>
      </c>
      <c r="D1124" s="7" t="e">
        <f>VLOOKUP(A1124,'Statement base'!E:AO,10,0)-VLOOKUP(A1124,'Statement base'!E:AO,21,0)</f>
        <v>#N/A</v>
      </c>
      <c r="E1124" t="s">
        <v>188</v>
      </c>
      <c r="F1124" s="6" t="e">
        <f>VLOOKUP(A1124,'Statement base'!E:AO,10,0)+VLOOKUP(A1124,'Statement base'!E:AO,14,0)</f>
        <v>#N/A</v>
      </c>
      <c r="G1124" s="61" t="e">
        <f>VLOOKUP(A1124,'Clientes CBOT'!A:E,5,0)</f>
        <v>#N/A</v>
      </c>
      <c r="H1124" t="str">
        <f t="shared" si="51"/>
        <v>Hard</v>
      </c>
      <c r="I1124" s="6" t="e">
        <f t="shared" si="52"/>
        <v>#N/A</v>
      </c>
      <c r="J1124" s="6" t="e">
        <f t="shared" si="53"/>
        <v>#N/A</v>
      </c>
    </row>
    <row r="1125" spans="2:13" x14ac:dyDescent="0.3">
      <c r="B1125" t="e">
        <f>VLOOKUP(A1125,'Clientes CBOT'!A:D,4,0)</f>
        <v>#N/A</v>
      </c>
      <c r="C1125" s="7" t="e">
        <f>VLOOKUP(A1125,'Statement base'!E:AO,21,0)</f>
        <v>#N/A</v>
      </c>
      <c r="D1125" s="7" t="e">
        <f>VLOOKUP(A1125,'Statement base'!E:AO,10,0)-VLOOKUP(A1125,'Statement base'!E:AO,21,0)</f>
        <v>#N/A</v>
      </c>
      <c r="E1125" t="s">
        <v>188</v>
      </c>
      <c r="F1125" s="6" t="e">
        <f>VLOOKUP(A1125,'Statement base'!E:AO,10,0)+VLOOKUP(A1125,'Statement base'!E:AO,14,0)</f>
        <v>#N/A</v>
      </c>
      <c r="G1125" s="61" t="e">
        <f>VLOOKUP(A1125,'Clientes CBOT'!A:E,5,0)</f>
        <v>#N/A</v>
      </c>
      <c r="H1125" t="str">
        <f t="shared" si="51"/>
        <v>Hard</v>
      </c>
      <c r="I1125" s="6" t="e">
        <f t="shared" si="52"/>
        <v>#N/A</v>
      </c>
      <c r="J1125" s="6" t="e">
        <f t="shared" si="53"/>
        <v>#N/A</v>
      </c>
    </row>
    <row r="1126" spans="2:13" x14ac:dyDescent="0.3">
      <c r="B1126" t="e">
        <f>VLOOKUP(A1126,'Clientes CBOT'!A:D,4,0)</f>
        <v>#N/A</v>
      </c>
      <c r="C1126" s="7" t="e">
        <f>VLOOKUP(A1126,'Statement base'!E:AO,21,0)</f>
        <v>#N/A</v>
      </c>
      <c r="D1126" s="7" t="e">
        <f>VLOOKUP(A1126,'Statement base'!E:AO,10,0)-VLOOKUP(A1126,'Statement base'!E:AO,21,0)</f>
        <v>#N/A</v>
      </c>
      <c r="E1126" t="s">
        <v>188</v>
      </c>
      <c r="F1126" s="6" t="e">
        <f>VLOOKUP(A1126,'Statement base'!E:AO,10,0)+VLOOKUP(A1126,'Statement base'!E:AO,14,0)</f>
        <v>#N/A</v>
      </c>
      <c r="G1126" s="61" t="e">
        <f>VLOOKUP(A1126,'Clientes CBOT'!A:E,5,0)</f>
        <v>#N/A</v>
      </c>
      <c r="H1126" t="str">
        <f t="shared" si="51"/>
        <v>Hard</v>
      </c>
      <c r="I1126" s="6" t="e">
        <f t="shared" si="52"/>
        <v>#N/A</v>
      </c>
      <c r="J1126" s="6" t="e">
        <f t="shared" si="53"/>
        <v>#N/A</v>
      </c>
    </row>
    <row r="1127" spans="2:13" x14ac:dyDescent="0.3">
      <c r="B1127" t="e">
        <f>VLOOKUP(A1127,'Clientes CBOT'!A:D,4,0)</f>
        <v>#N/A</v>
      </c>
      <c r="C1127" s="7" t="e">
        <f>VLOOKUP(A1127,'Statement base'!E:AO,21,0)</f>
        <v>#N/A</v>
      </c>
      <c r="D1127" s="7" t="e">
        <f>VLOOKUP(A1127,'Statement base'!E:AO,10,0)-VLOOKUP(A1127,'Statement base'!E:AO,21,0)</f>
        <v>#N/A</v>
      </c>
      <c r="E1127" t="s">
        <v>188</v>
      </c>
      <c r="F1127" s="6" t="e">
        <f>VLOOKUP(A1127,'Statement base'!E:AO,10,0)+VLOOKUP(A1127,'Statement base'!E:AO,14,0)</f>
        <v>#N/A</v>
      </c>
      <c r="G1127" s="61" t="e">
        <f>VLOOKUP(A1127,'Clientes CBOT'!A:E,5,0)</f>
        <v>#N/A</v>
      </c>
      <c r="H1127" t="str">
        <f t="shared" si="51"/>
        <v>Hard</v>
      </c>
      <c r="I1127" s="6" t="e">
        <f t="shared" si="52"/>
        <v>#N/A</v>
      </c>
      <c r="J1127" s="6" t="e">
        <f t="shared" si="53"/>
        <v>#N/A</v>
      </c>
    </row>
    <row r="1128" spans="2:13" x14ac:dyDescent="0.3">
      <c r="B1128" t="e">
        <f>VLOOKUP(A1128,'Clientes CBOT'!A:D,4,0)</f>
        <v>#N/A</v>
      </c>
      <c r="C1128" s="7" t="e">
        <f>VLOOKUP(A1128,'Statement base'!E:AO,21,0)</f>
        <v>#N/A</v>
      </c>
      <c r="D1128" s="7" t="e">
        <f>VLOOKUP(A1128,'Statement base'!E:AO,10,0)-VLOOKUP(A1128,'Statement base'!E:AO,21,0)</f>
        <v>#N/A</v>
      </c>
      <c r="E1128" t="s">
        <v>188</v>
      </c>
      <c r="F1128" s="6" t="e">
        <f>VLOOKUP(A1128,'Statement base'!E:AO,10,0)+VLOOKUP(A1128,'Statement base'!E:AO,14,0)</f>
        <v>#N/A</v>
      </c>
      <c r="G1128" s="61" t="e">
        <f>VLOOKUP(A1128,'Clientes CBOT'!A:E,5,0)</f>
        <v>#N/A</v>
      </c>
      <c r="H1128" t="str">
        <f t="shared" si="51"/>
        <v>Hard</v>
      </c>
      <c r="I1128" s="6" t="e">
        <f t="shared" si="52"/>
        <v>#N/A</v>
      </c>
      <c r="J1128" s="6" t="e">
        <f t="shared" si="53"/>
        <v>#N/A</v>
      </c>
    </row>
    <row r="1129" spans="2:13" x14ac:dyDescent="0.3">
      <c r="B1129" t="e">
        <f>VLOOKUP(A1129,'Clientes CBOT'!A:D,4,0)</f>
        <v>#N/A</v>
      </c>
      <c r="C1129" s="7" t="e">
        <f>VLOOKUP(A1129,'Statement base'!E:AO,21,0)</f>
        <v>#N/A</v>
      </c>
      <c r="D1129" s="7" t="e">
        <f>VLOOKUP(A1129,'Statement base'!E:AO,10,0)-VLOOKUP(A1129,'Statement base'!E:AO,21,0)</f>
        <v>#N/A</v>
      </c>
      <c r="E1129" t="s">
        <v>188</v>
      </c>
      <c r="F1129" s="6" t="e">
        <f>VLOOKUP(A1129,'Statement base'!E:AO,10,0)+VLOOKUP(A1129,'Statement base'!E:AO,14,0)</f>
        <v>#N/A</v>
      </c>
      <c r="G1129" s="61" t="e">
        <f>VLOOKUP(A1129,'Clientes CBOT'!A:E,5,0)</f>
        <v>#N/A</v>
      </c>
      <c r="H1129" t="str">
        <f t="shared" si="51"/>
        <v>Hard</v>
      </c>
      <c r="I1129" s="6" t="e">
        <f t="shared" si="52"/>
        <v>#N/A</v>
      </c>
      <c r="J1129" s="6" t="e">
        <f t="shared" si="53"/>
        <v>#N/A</v>
      </c>
      <c r="M1129" t="s">
        <v>663</v>
      </c>
    </row>
    <row r="1130" spans="2:13" x14ac:dyDescent="0.3">
      <c r="B1130" t="e">
        <f>VLOOKUP(A1130,'Clientes CBOT'!A:D,4,0)</f>
        <v>#N/A</v>
      </c>
      <c r="C1130" s="7" t="e">
        <f>VLOOKUP(A1130,'Statement base'!E:AO,21,0)</f>
        <v>#N/A</v>
      </c>
      <c r="D1130" s="7" t="e">
        <f>VLOOKUP(A1130,'Statement base'!E:AO,10,0)-VLOOKUP(A1130,'Statement base'!E:AO,21,0)</f>
        <v>#N/A</v>
      </c>
      <c r="E1130" t="s">
        <v>188</v>
      </c>
      <c r="F1130" s="6" t="e">
        <f>VLOOKUP(A1130,'Statement base'!E:AO,10,0)+VLOOKUP(A1130,'Statement base'!E:AO,14,0)</f>
        <v>#N/A</v>
      </c>
      <c r="G1130" s="61" t="e">
        <f>VLOOKUP(A1130,'Clientes CBOT'!A:E,5,0)</f>
        <v>#N/A</v>
      </c>
      <c r="H1130" t="str">
        <f t="shared" si="51"/>
        <v>Hard</v>
      </c>
      <c r="I1130" s="6" t="e">
        <f t="shared" si="52"/>
        <v>#N/A</v>
      </c>
      <c r="J1130" s="6" t="e">
        <f t="shared" si="53"/>
        <v>#N/A</v>
      </c>
    </row>
    <row r="1131" spans="2:13" x14ac:dyDescent="0.3">
      <c r="B1131" t="e">
        <f>VLOOKUP(A1131,'Clientes CBOT'!A:D,4,0)</f>
        <v>#N/A</v>
      </c>
      <c r="C1131" s="7" t="e">
        <f>VLOOKUP(A1131,'Statement base'!E:AO,21,0)</f>
        <v>#N/A</v>
      </c>
      <c r="D1131" s="7" t="e">
        <f>VLOOKUP(A1131,'Statement base'!E:AO,10,0)-VLOOKUP(A1131,'Statement base'!E:AO,21,0)</f>
        <v>#N/A</v>
      </c>
      <c r="E1131" t="s">
        <v>188</v>
      </c>
      <c r="F1131" s="6" t="e">
        <f>VLOOKUP(A1131,'Statement base'!E:AO,10,0)+VLOOKUP(A1131,'Statement base'!E:AO,14,0)</f>
        <v>#N/A</v>
      </c>
      <c r="G1131" s="61" t="e">
        <f>VLOOKUP(A1131,'Clientes CBOT'!A:E,5,0)</f>
        <v>#N/A</v>
      </c>
      <c r="H1131" t="str">
        <f t="shared" si="51"/>
        <v>Hard</v>
      </c>
      <c r="I1131" s="6" t="e">
        <f t="shared" si="52"/>
        <v>#N/A</v>
      </c>
      <c r="J1131" s="6" t="e">
        <f t="shared" si="53"/>
        <v>#N/A</v>
      </c>
    </row>
  </sheetData>
  <autoFilter ref="A3:N1084" xr:uid="{56F9508E-651F-43D9-A7CC-EC8FE0A2B3AF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F9508E-651F-43D9-A7CC-EC8FE0A2B3AF}">
  <sheetPr codeName="Hoja5" filterMode="1"/>
  <dimension ref="A1:N2080"/>
  <sheetViews>
    <sheetView topLeftCell="A3" zoomScale="70" zoomScaleNormal="70" workbookViewId="0">
      <selection activeCell="I81" sqref="I81"/>
    </sheetView>
  </sheetViews>
  <sheetFormatPr baseColWidth="10" defaultRowHeight="14.4" x14ac:dyDescent="0.3"/>
  <cols>
    <col min="1" max="1" width="9.109375" customWidth="1"/>
    <col min="2" max="2" width="26.109375" customWidth="1"/>
    <col min="3" max="3" width="17.21875" style="6" bestFit="1" customWidth="1"/>
    <col min="4" max="4" width="19.21875" style="6" customWidth="1"/>
    <col min="5" max="5" width="24.44140625" customWidth="1"/>
    <col min="6" max="7" width="27.6640625" customWidth="1"/>
    <col min="8" max="8" width="11.77734375" customWidth="1"/>
    <col min="9" max="9" width="27.6640625" style="6" customWidth="1"/>
    <col min="10" max="11" width="25.21875" customWidth="1"/>
    <col min="13" max="13" width="81.5546875" bestFit="1" customWidth="1"/>
    <col min="14" max="14" width="23.5546875" bestFit="1" customWidth="1"/>
  </cols>
  <sheetData>
    <row r="1" spans="1:14" x14ac:dyDescent="0.3">
      <c r="F1" t="s">
        <v>678</v>
      </c>
      <c r="G1" t="s">
        <v>807</v>
      </c>
      <c r="I1" s="6" t="s">
        <v>174</v>
      </c>
      <c r="J1">
        <v>1</v>
      </c>
    </row>
    <row r="2" spans="1:14" x14ac:dyDescent="0.3">
      <c r="I2" s="6" t="s">
        <v>175</v>
      </c>
      <c r="J2">
        <v>1</v>
      </c>
    </row>
    <row r="3" spans="1:14" x14ac:dyDescent="0.3">
      <c r="A3" s="38" t="str" cm="1">
        <f t="array" ref="A3:A1281">Saldo_CC[[#All],[Comitente (Número)]]</f>
        <v>Comitente (Número)</v>
      </c>
      <c r="B3" s="38" t="str" cm="1">
        <f t="array" ref="B3:B1281">Saldo_CC[[#All],[Comitente (Denominación)]]</f>
        <v>Comitente (Denominación)</v>
      </c>
      <c r="C3" s="69" t="str" cm="1">
        <f t="array" ref="C3:C1281">Saldo_CC[[#All],[Saldo Disponible]]</f>
        <v>Saldo Disponible</v>
      </c>
      <c r="D3" s="69" t="str" cm="1">
        <f t="array" ref="D3:D1281">Saldo_CC[[#All],[Saldo No Disponible]]</f>
        <v>Saldo No Disponible</v>
      </c>
      <c r="E3" s="38" t="str" cm="1">
        <f t="array" ref="E3:E1281">Saldo_CC[[#All],[Moneda (Descripción)]]</f>
        <v>Moneda (Descripción)</v>
      </c>
      <c r="F3" s="38" t="str" cm="1">
        <f t="array" ref="F3:F1281">Saldo_CC[[#All],[Moneda (Símbolo)]]</f>
        <v>Moneda (Símbolo)</v>
      </c>
      <c r="G3" s="38" t="s">
        <v>181</v>
      </c>
      <c r="H3" s="48" t="s">
        <v>182</v>
      </c>
      <c r="I3" s="94" t="s">
        <v>183</v>
      </c>
      <c r="J3" s="48" t="s">
        <v>184</v>
      </c>
      <c r="K3" s="48"/>
      <c r="L3" s="38"/>
      <c r="M3" s="48" t="s">
        <v>651</v>
      </c>
    </row>
    <row r="4" spans="1:14" hidden="1" x14ac:dyDescent="0.3">
      <c r="A4">
        <v>66</v>
      </c>
      <c r="B4" t="str">
        <v>Satus Ager SA</v>
      </c>
      <c r="C4" s="6">
        <v>2099.92</v>
      </c>
      <c r="D4" s="6">
        <v>0</v>
      </c>
      <c r="E4" t="str">
        <v>Pesos</v>
      </c>
      <c r="F4" t="str">
        <v xml:space="preserve"> $</v>
      </c>
      <c r="G4" t="str">
        <f>IFERROR(VLOOKUP(A4,'Clientes CBOT'!B:E,4,0),B4)</f>
        <v>Satus Ager SA</v>
      </c>
      <c r="H4" t="str">
        <f>IF(E4="pesos","Ars",IF(E4="Dólar Matba Rofex","usd linked",IF(F4=" U$S TT","Hard","Dólar")))</f>
        <v>Ars</v>
      </c>
      <c r="I4" s="6">
        <f>IF(H4="ars",C4/$J$1,IF(H4="Hard",C4*$J$2/$J$1,C4))</f>
        <v>2099.92</v>
      </c>
      <c r="J4">
        <f>IF(H4="ars",D4/$J$1,IF(H4="hard",D4*$J$2/$J$1,D4))</f>
        <v>0</v>
      </c>
    </row>
    <row r="5" spans="1:14" hidden="1" x14ac:dyDescent="0.3">
      <c r="A5">
        <v>5100</v>
      </c>
      <c r="B5" t="str">
        <v>COMAFI BURSATIL SA</v>
      </c>
      <c r="C5" s="6">
        <v>0</v>
      </c>
      <c r="D5" s="6">
        <v>0</v>
      </c>
      <c r="E5" t="str">
        <v>Pesos</v>
      </c>
      <c r="F5" t="str">
        <v xml:space="preserve"> $</v>
      </c>
      <c r="G5" t="str">
        <f>IFERROR(VLOOKUP(A5,'Clientes CBOT'!B:E,4,0),B5)</f>
        <v>COMAFI BURSATIL SA</v>
      </c>
      <c r="H5" t="str">
        <f t="shared" ref="H5:H68" si="0">IF(E5="pesos","Ars",IF(E5="Dólar Matba Rofex","usd linked",IF(F5=" U$S TT","Hard","Dólar")))</f>
        <v>Ars</v>
      </c>
      <c r="I5" s="6">
        <f t="shared" ref="I5:I68" si="1">IF(H5="ars",C5/$J$1,IF(H5="Hard",C5*$J$2/$J$1,C5))</f>
        <v>0</v>
      </c>
      <c r="J5">
        <f t="shared" ref="J5:J68" si="2">IF(H5="ars",D5/$J$1,IF(H5="hard",D5*$J$2/$J$1,D5))</f>
        <v>0</v>
      </c>
      <c r="M5" s="63" t="s">
        <v>186</v>
      </c>
      <c r="N5" t="s">
        <v>187</v>
      </c>
    </row>
    <row r="6" spans="1:14" hidden="1" x14ac:dyDescent="0.3">
      <c r="A6">
        <v>5263</v>
      </c>
      <c r="B6" t="str">
        <v>GALICIA SECURITIES SAU</v>
      </c>
      <c r="C6" s="6">
        <v>0</v>
      </c>
      <c r="D6" s="6">
        <v>0</v>
      </c>
      <c r="E6" t="str">
        <v>Pesos</v>
      </c>
      <c r="F6" t="str">
        <v xml:space="preserve"> $</v>
      </c>
      <c r="G6" t="str">
        <f>IFERROR(VLOOKUP(A6,'Clientes CBOT'!B:E,4,0),B6)</f>
        <v>GALICIA SECURITIES SAU</v>
      </c>
      <c r="H6" t="str">
        <f t="shared" si="0"/>
        <v>Ars</v>
      </c>
      <c r="I6" s="6">
        <f t="shared" si="1"/>
        <v>0</v>
      </c>
      <c r="J6">
        <f t="shared" si="2"/>
        <v>0</v>
      </c>
      <c r="M6" s="64" t="s">
        <v>189</v>
      </c>
      <c r="N6" s="123">
        <v>0</v>
      </c>
    </row>
    <row r="7" spans="1:14" hidden="1" x14ac:dyDescent="0.3">
      <c r="A7">
        <v>5194</v>
      </c>
      <c r="B7" t="str">
        <v>ENRIQUE R. ZENI Y CIA SACIAFEI</v>
      </c>
      <c r="C7" s="6">
        <v>0</v>
      </c>
      <c r="D7" s="6">
        <v>0</v>
      </c>
      <c r="E7" t="str">
        <v>Pesos</v>
      </c>
      <c r="F7" t="str">
        <v xml:space="preserve"> $</v>
      </c>
      <c r="G7" t="str">
        <f>IFERROR(VLOOKUP(A7,'Clientes CBOT'!B:E,4,0),B7)</f>
        <v>ENRIQUE R. ZENI Y CIA SACIAFEI</v>
      </c>
      <c r="H7" t="str">
        <f t="shared" si="0"/>
        <v>Ars</v>
      </c>
      <c r="I7" s="6">
        <f t="shared" si="1"/>
        <v>0</v>
      </c>
      <c r="J7">
        <f t="shared" si="2"/>
        <v>0</v>
      </c>
      <c r="M7" s="64" t="s">
        <v>192</v>
      </c>
      <c r="N7" s="123">
        <v>-2191.33</v>
      </c>
    </row>
    <row r="8" spans="1:14" hidden="1" x14ac:dyDescent="0.3">
      <c r="A8">
        <v>5202</v>
      </c>
      <c r="B8" t="str">
        <v>TRANSATLANTICA SA BURSATIL</v>
      </c>
      <c r="C8" s="6">
        <v>0</v>
      </c>
      <c r="D8" s="6">
        <v>0</v>
      </c>
      <c r="E8" t="str">
        <v>Pesos</v>
      </c>
      <c r="F8" t="str">
        <v xml:space="preserve"> $</v>
      </c>
      <c r="G8" t="str">
        <f>IFERROR(VLOOKUP(A8,'Clientes CBOT'!B:E,4,0),B8)</f>
        <v>TRANSATLANTICA SA BURSATIL</v>
      </c>
      <c r="H8" t="str">
        <f t="shared" si="0"/>
        <v>Ars</v>
      </c>
      <c r="I8" s="6">
        <f t="shared" si="1"/>
        <v>0</v>
      </c>
      <c r="J8">
        <f t="shared" si="2"/>
        <v>0</v>
      </c>
      <c r="M8" s="64" t="s">
        <v>193</v>
      </c>
      <c r="N8" s="123">
        <v>-90804.33</v>
      </c>
    </row>
    <row r="9" spans="1:14" hidden="1" x14ac:dyDescent="0.3">
      <c r="A9">
        <v>1019</v>
      </c>
      <c r="B9" t="str">
        <v>BACS SA SG TT TORONTO TRUST</v>
      </c>
      <c r="C9" s="6">
        <v>0</v>
      </c>
      <c r="D9" s="6">
        <v>0</v>
      </c>
      <c r="E9" t="str">
        <v>Pesos</v>
      </c>
      <c r="F9" t="str">
        <v xml:space="preserve"> $</v>
      </c>
      <c r="G9" t="str">
        <f>IFERROR(VLOOKUP(A9,'Clientes CBOT'!B:E,4,0),B9)</f>
        <v>BACS SA SG TT TORONTO TRUST</v>
      </c>
      <c r="H9" t="str">
        <f t="shared" si="0"/>
        <v>Ars</v>
      </c>
      <c r="I9" s="6">
        <f t="shared" si="1"/>
        <v>0</v>
      </c>
      <c r="J9">
        <f t="shared" si="2"/>
        <v>0</v>
      </c>
      <c r="M9" s="64" t="s">
        <v>195</v>
      </c>
      <c r="N9" s="123">
        <v>0</v>
      </c>
    </row>
    <row r="10" spans="1:14" hidden="1" x14ac:dyDescent="0.3">
      <c r="A10">
        <v>5097</v>
      </c>
      <c r="B10" t="str">
        <v>ADCAP SECURITIES ARGENTINA SA</v>
      </c>
      <c r="C10" s="6">
        <v>-90804.33</v>
      </c>
      <c r="D10" s="6">
        <v>0</v>
      </c>
      <c r="E10" t="str">
        <v>Pesos</v>
      </c>
      <c r="F10" t="str">
        <v xml:space="preserve"> $</v>
      </c>
      <c r="G10" t="str">
        <f>IFERROR(VLOOKUP(A10,'Clientes CBOT'!B:E,4,0),B10)</f>
        <v>ADCAP SECURITIES ARGENTINA SA</v>
      </c>
      <c r="H10" t="str">
        <f t="shared" si="0"/>
        <v>Ars</v>
      </c>
      <c r="I10" s="6">
        <f t="shared" si="1"/>
        <v>-90804.33</v>
      </c>
      <c r="J10">
        <f t="shared" si="2"/>
        <v>0</v>
      </c>
      <c r="M10" s="64" t="s">
        <v>199</v>
      </c>
      <c r="N10" s="123">
        <v>-369.19</v>
      </c>
    </row>
    <row r="11" spans="1:14" hidden="1" x14ac:dyDescent="0.3">
      <c r="A11">
        <v>5046</v>
      </c>
      <c r="B11" t="str">
        <v>COHEN SA</v>
      </c>
      <c r="C11" s="6">
        <v>0</v>
      </c>
      <c r="D11" s="6">
        <v>0</v>
      </c>
      <c r="E11" t="str">
        <v>Pesos</v>
      </c>
      <c r="F11" t="str">
        <v xml:space="preserve"> $</v>
      </c>
      <c r="G11" t="str">
        <f>IFERROR(VLOOKUP(A11,'Clientes CBOT'!B:E,4,0),B11)</f>
        <v>COHEN SA</v>
      </c>
      <c r="H11" t="str">
        <f t="shared" si="0"/>
        <v>Ars</v>
      </c>
      <c r="I11" s="6">
        <f t="shared" si="1"/>
        <v>0</v>
      </c>
      <c r="J11">
        <f t="shared" si="2"/>
        <v>0</v>
      </c>
      <c r="M11" s="64" t="s">
        <v>201</v>
      </c>
      <c r="N11" s="123">
        <v>0</v>
      </c>
    </row>
    <row r="12" spans="1:14" hidden="1" x14ac:dyDescent="0.3">
      <c r="A12">
        <v>5120</v>
      </c>
      <c r="B12" t="str">
        <v>MAX CAPITAL SA</v>
      </c>
      <c r="C12" s="6">
        <v>0</v>
      </c>
      <c r="D12" s="6">
        <v>0</v>
      </c>
      <c r="E12" t="str">
        <v>Pesos</v>
      </c>
      <c r="F12" t="str">
        <v xml:space="preserve"> $</v>
      </c>
      <c r="G12" t="str">
        <f>IFERROR(VLOOKUP(A12,'Clientes CBOT'!B:E,4,0),B12)</f>
        <v>MAX CAPITAL SA</v>
      </c>
      <c r="H12" t="str">
        <f t="shared" si="0"/>
        <v>Ars</v>
      </c>
      <c r="I12" s="6">
        <f t="shared" si="1"/>
        <v>0</v>
      </c>
      <c r="J12">
        <f t="shared" si="2"/>
        <v>0</v>
      </c>
      <c r="M12" s="64" t="s">
        <v>202</v>
      </c>
      <c r="N12" s="123">
        <v>0</v>
      </c>
    </row>
    <row r="13" spans="1:14" hidden="1" x14ac:dyDescent="0.3">
      <c r="A13">
        <v>1027</v>
      </c>
      <c r="B13" t="str">
        <v>BACS SA SG TORONTO TRUST RENTA FIJA FCI</v>
      </c>
      <c r="C13" s="6">
        <v>-56515.05</v>
      </c>
      <c r="D13" s="6">
        <v>0</v>
      </c>
      <c r="E13" t="str">
        <v>Pesos</v>
      </c>
      <c r="F13" t="str">
        <v xml:space="preserve"> $</v>
      </c>
      <c r="G13" t="str">
        <f>IFERROR(VLOOKUP(A13,'Clientes CBOT'!B:E,4,0),B13)</f>
        <v>BACS SA SG TORONTO TRUST RENTA FIJA FCI</v>
      </c>
      <c r="H13" t="str">
        <f t="shared" si="0"/>
        <v>Ars</v>
      </c>
      <c r="I13" s="6">
        <f t="shared" si="1"/>
        <v>-56515.05</v>
      </c>
      <c r="J13">
        <f t="shared" si="2"/>
        <v>0</v>
      </c>
      <c r="M13" s="64" t="s">
        <v>203</v>
      </c>
      <c r="N13" s="123">
        <v>0.37</v>
      </c>
    </row>
    <row r="14" spans="1:14" hidden="1" x14ac:dyDescent="0.3">
      <c r="A14">
        <v>121</v>
      </c>
      <c r="B14" t="str">
        <v>LA MINGA SRL</v>
      </c>
      <c r="C14" s="6">
        <v>-110.77</v>
      </c>
      <c r="D14" s="6">
        <v>0</v>
      </c>
      <c r="E14" t="str">
        <v>Pesos</v>
      </c>
      <c r="F14" t="str">
        <v xml:space="preserve"> $</v>
      </c>
      <c r="G14" t="str">
        <f>IFERROR(VLOOKUP(A14,'Clientes CBOT'!B:E,4,0),B14)</f>
        <v>LA MINGA SRL</v>
      </c>
      <c r="H14" t="str">
        <f t="shared" si="0"/>
        <v>Ars</v>
      </c>
      <c r="I14" s="6">
        <f t="shared" si="1"/>
        <v>-110.77</v>
      </c>
      <c r="J14">
        <f t="shared" si="2"/>
        <v>0</v>
      </c>
      <c r="M14" s="64" t="s">
        <v>205</v>
      </c>
      <c r="N14" s="123">
        <v>-52565.55</v>
      </c>
    </row>
    <row r="15" spans="1:14" hidden="1" x14ac:dyDescent="0.3">
      <c r="A15">
        <v>1002</v>
      </c>
      <c r="B15" t="str">
        <v>BCSA SD GALILEO ABIERTO PYMES</v>
      </c>
      <c r="C15" s="6">
        <v>0</v>
      </c>
      <c r="D15" s="6">
        <v>0</v>
      </c>
      <c r="E15" t="str">
        <v>Pesos</v>
      </c>
      <c r="F15" t="str">
        <v xml:space="preserve"> $</v>
      </c>
      <c r="G15" t="str">
        <f>IFERROR(VLOOKUP(A15,'Clientes CBOT'!B:E,4,0),B15)</f>
        <v>BCSA SD GALILEO ABIERTO PYMES</v>
      </c>
      <c r="H15" t="str">
        <f t="shared" si="0"/>
        <v>Ars</v>
      </c>
      <c r="I15" s="6">
        <f t="shared" si="1"/>
        <v>0</v>
      </c>
      <c r="J15">
        <f t="shared" si="2"/>
        <v>0</v>
      </c>
      <c r="M15" s="64" t="s">
        <v>206</v>
      </c>
      <c r="N15" s="123">
        <v>0</v>
      </c>
    </row>
    <row r="16" spans="1:14" hidden="1" x14ac:dyDescent="0.3">
      <c r="A16">
        <v>6012</v>
      </c>
      <c r="B16" t="str">
        <v>GERMINAGRO S.A</v>
      </c>
      <c r="C16" s="6">
        <v>-275706583.43000001</v>
      </c>
      <c r="D16" s="6">
        <v>0.01</v>
      </c>
      <c r="E16" t="str">
        <v>Pesos</v>
      </c>
      <c r="F16" t="str">
        <v xml:space="preserve"> $</v>
      </c>
      <c r="G16" t="str">
        <f>IFERROR(VLOOKUP(A16,'Clientes CBOT'!B:E,4,0),B16)</f>
        <v>GERMINAGRO S.A</v>
      </c>
      <c r="H16" t="str">
        <f t="shared" si="0"/>
        <v>Ars</v>
      </c>
      <c r="I16" s="6">
        <f t="shared" si="1"/>
        <v>-275706583.43000001</v>
      </c>
      <c r="J16">
        <f t="shared" si="2"/>
        <v>0.01</v>
      </c>
      <c r="M16" s="64" t="s">
        <v>208</v>
      </c>
      <c r="N16" s="123">
        <v>0.45</v>
      </c>
    </row>
    <row r="17" spans="1:14" hidden="1" x14ac:dyDescent="0.3">
      <c r="A17">
        <v>5850</v>
      </c>
      <c r="B17" t="str">
        <v>VALO SECURITIES SAU</v>
      </c>
      <c r="C17" s="6">
        <v>0</v>
      </c>
      <c r="D17" s="6">
        <v>0</v>
      </c>
      <c r="E17" t="str">
        <v>Pesos</v>
      </c>
      <c r="F17" t="str">
        <v xml:space="preserve"> $</v>
      </c>
      <c r="G17" t="str">
        <f>IFERROR(VLOOKUP(A17,'Clientes CBOT'!B:E,4,0),B17)</f>
        <v>VALO SECURITIES SAU</v>
      </c>
      <c r="H17" t="str">
        <f t="shared" si="0"/>
        <v>Ars</v>
      </c>
      <c r="I17" s="6">
        <f t="shared" si="1"/>
        <v>0</v>
      </c>
      <c r="J17">
        <f t="shared" si="2"/>
        <v>0</v>
      </c>
      <c r="M17" s="64" t="s">
        <v>209</v>
      </c>
      <c r="N17" s="123">
        <v>12810.93</v>
      </c>
    </row>
    <row r="18" spans="1:14" hidden="1" x14ac:dyDescent="0.3">
      <c r="A18">
        <v>5021</v>
      </c>
      <c r="B18" t="str">
        <v>CONFIDAS CAPITAL S.A.</v>
      </c>
      <c r="C18" s="6">
        <v>0</v>
      </c>
      <c r="D18" s="6">
        <v>0</v>
      </c>
      <c r="E18" t="str">
        <v>Pesos</v>
      </c>
      <c r="F18" t="str">
        <v xml:space="preserve"> $</v>
      </c>
      <c r="G18" t="str">
        <f>IFERROR(VLOOKUP(A18,'Clientes CBOT'!B:E,4,0),B18)</f>
        <v>CONFIDAS CAPITAL S.A.</v>
      </c>
      <c r="H18" t="str">
        <f t="shared" si="0"/>
        <v>Ars</v>
      </c>
      <c r="I18" s="6">
        <f t="shared" si="1"/>
        <v>0</v>
      </c>
      <c r="J18">
        <f t="shared" si="2"/>
        <v>0</v>
      </c>
      <c r="M18" s="64" t="s">
        <v>210</v>
      </c>
      <c r="N18" s="123">
        <v>8.69</v>
      </c>
    </row>
    <row r="19" spans="1:14" hidden="1" x14ac:dyDescent="0.3">
      <c r="A19">
        <v>5006</v>
      </c>
      <c r="B19" t="str">
        <v>ALLARIA LEDESMA &amp; CÍA S.A.</v>
      </c>
      <c r="C19" s="6">
        <v>0</v>
      </c>
      <c r="D19" s="6">
        <v>0</v>
      </c>
      <c r="E19" t="str">
        <v>Pesos</v>
      </c>
      <c r="F19" t="str">
        <v xml:space="preserve"> $</v>
      </c>
      <c r="G19" t="str">
        <f>IFERROR(VLOOKUP(A19,'Clientes CBOT'!B:E,4,0),B19)</f>
        <v>ALLARIA LEDESMA &amp; CÍA S.A.</v>
      </c>
      <c r="H19" t="str">
        <f t="shared" si="0"/>
        <v>Ars</v>
      </c>
      <c r="I19" s="6">
        <f t="shared" si="1"/>
        <v>0</v>
      </c>
      <c r="J19">
        <f t="shared" si="2"/>
        <v>0</v>
      </c>
      <c r="M19" s="64" t="s">
        <v>211</v>
      </c>
      <c r="N19" s="123">
        <v>2775.54</v>
      </c>
    </row>
    <row r="20" spans="1:14" hidden="1" x14ac:dyDescent="0.3">
      <c r="A20">
        <v>5035</v>
      </c>
      <c r="B20" t="str">
        <v>AR PARTNERS S.A.</v>
      </c>
      <c r="C20" s="6">
        <v>0</v>
      </c>
      <c r="D20" s="6">
        <v>0</v>
      </c>
      <c r="E20" t="str">
        <v>Pesos</v>
      </c>
      <c r="F20" t="str">
        <v xml:space="preserve"> $</v>
      </c>
      <c r="G20" t="str">
        <f>IFERROR(VLOOKUP(A20,'Clientes CBOT'!B:E,4,0),B20)</f>
        <v>AR PARTNERS S.A.</v>
      </c>
      <c r="H20" t="str">
        <f t="shared" si="0"/>
        <v>Ars</v>
      </c>
      <c r="I20" s="6">
        <f t="shared" si="1"/>
        <v>0</v>
      </c>
      <c r="J20">
        <f t="shared" si="2"/>
        <v>0</v>
      </c>
      <c r="M20" s="64" t="s">
        <v>214</v>
      </c>
      <c r="N20" s="123">
        <v>0</v>
      </c>
    </row>
    <row r="21" spans="1:14" hidden="1" x14ac:dyDescent="0.3">
      <c r="A21">
        <v>5179</v>
      </c>
      <c r="B21" t="str">
        <v>BACS BANCO DE CRÉDITO Y SECURITIZACIÓN S.A.</v>
      </c>
      <c r="C21" s="6">
        <v>20960.78</v>
      </c>
      <c r="D21" s="6">
        <v>0</v>
      </c>
      <c r="E21" t="str">
        <v>Pesos</v>
      </c>
      <c r="F21" t="str">
        <v xml:space="preserve"> $</v>
      </c>
      <c r="G21" t="str">
        <f>IFERROR(VLOOKUP(A21,'Clientes CBOT'!B:E,4,0),B21)</f>
        <v>BACS BANCO DE CRÉDITO Y SECURITIZACIÓN S.A.</v>
      </c>
      <c r="H21" t="str">
        <f t="shared" si="0"/>
        <v>Ars</v>
      </c>
      <c r="I21" s="6">
        <f t="shared" si="1"/>
        <v>20960.78</v>
      </c>
      <c r="J21">
        <f t="shared" si="2"/>
        <v>0</v>
      </c>
      <c r="M21" s="64" t="s">
        <v>217</v>
      </c>
      <c r="N21" s="123">
        <v>7.0000000000000007E-2</v>
      </c>
    </row>
    <row r="22" spans="1:14" hidden="1" x14ac:dyDescent="0.3">
      <c r="A22">
        <v>5238</v>
      </c>
      <c r="B22" t="str">
        <v>BALANZ CAPITAL VALORES S.A.U.</v>
      </c>
      <c r="C22" s="6">
        <v>611.52</v>
      </c>
      <c r="D22" s="6">
        <v>0</v>
      </c>
      <c r="E22" t="str">
        <v>Pesos</v>
      </c>
      <c r="F22" t="str">
        <v xml:space="preserve"> $</v>
      </c>
      <c r="G22" t="str">
        <f>IFERROR(VLOOKUP(A22,'Clientes CBOT'!B:E,4,0),B22)</f>
        <v>BALANZ CAPITAL VALORES S.A.U.</v>
      </c>
      <c r="H22" t="str">
        <f t="shared" si="0"/>
        <v>Ars</v>
      </c>
      <c r="I22" s="6">
        <f t="shared" si="1"/>
        <v>611.52</v>
      </c>
      <c r="J22">
        <f t="shared" si="2"/>
        <v>0</v>
      </c>
      <c r="M22" s="64" t="s">
        <v>218</v>
      </c>
      <c r="N22" s="123">
        <v>0</v>
      </c>
    </row>
    <row r="23" spans="1:14" hidden="1" x14ac:dyDescent="0.3">
      <c r="A23">
        <v>5067</v>
      </c>
      <c r="B23" t="str">
        <v>LBO S.A.</v>
      </c>
      <c r="C23" s="6">
        <v>0</v>
      </c>
      <c r="D23" s="6">
        <v>0</v>
      </c>
      <c r="E23" t="str">
        <v>Pesos</v>
      </c>
      <c r="F23" t="str">
        <v xml:space="preserve"> $</v>
      </c>
      <c r="G23" t="str">
        <f>IFERROR(VLOOKUP(A23,'Clientes CBOT'!B:E,4,0),B23)</f>
        <v>LBO S.A.</v>
      </c>
      <c r="H23" t="str">
        <f t="shared" si="0"/>
        <v>Ars</v>
      </c>
      <c r="I23" s="6">
        <f t="shared" si="1"/>
        <v>0</v>
      </c>
      <c r="J23">
        <f t="shared" si="2"/>
        <v>0</v>
      </c>
      <c r="M23" s="64" t="s">
        <v>220</v>
      </c>
      <c r="N23" s="123">
        <v>0</v>
      </c>
    </row>
    <row r="24" spans="1:14" hidden="1" x14ac:dyDescent="0.3">
      <c r="A24">
        <v>5101</v>
      </c>
      <c r="B24" t="str">
        <v>PETRINI VALORES S.A.</v>
      </c>
      <c r="C24" s="6">
        <v>0</v>
      </c>
      <c r="D24" s="6">
        <v>0</v>
      </c>
      <c r="E24" t="str">
        <v>Pesos</v>
      </c>
      <c r="F24" t="str">
        <v xml:space="preserve"> $</v>
      </c>
      <c r="G24" t="str">
        <f>IFERROR(VLOOKUP(A24,'Clientes CBOT'!B:E,4,0),B24)</f>
        <v>PETRINI VALORES S.A.</v>
      </c>
      <c r="H24" t="str">
        <f t="shared" si="0"/>
        <v>Ars</v>
      </c>
      <c r="I24" s="6">
        <f t="shared" si="1"/>
        <v>0</v>
      </c>
      <c r="J24">
        <f t="shared" si="2"/>
        <v>0</v>
      </c>
      <c r="M24" s="64" t="s">
        <v>221</v>
      </c>
      <c r="N24" s="123">
        <v>0</v>
      </c>
    </row>
    <row r="25" spans="1:14" hidden="1" x14ac:dyDescent="0.3">
      <c r="A25">
        <v>264</v>
      </c>
      <c r="B25" t="str">
        <v>AGUSTI LEANDRO MARCELO</v>
      </c>
      <c r="C25" s="6">
        <v>1337.25</v>
      </c>
      <c r="D25" s="6">
        <v>0</v>
      </c>
      <c r="E25" t="str">
        <v>Pesos</v>
      </c>
      <c r="F25" t="str">
        <v xml:space="preserve"> $</v>
      </c>
      <c r="G25" t="str">
        <f>IFERROR(VLOOKUP(A25,'Clientes CBOT'!B:E,4,0),B25)</f>
        <v>AGUSTI LEANDRO MARCELO</v>
      </c>
      <c r="H25" t="str">
        <f t="shared" si="0"/>
        <v>Ars</v>
      </c>
      <c r="I25" s="6">
        <f t="shared" si="1"/>
        <v>1337.25</v>
      </c>
      <c r="J25">
        <f t="shared" si="2"/>
        <v>0</v>
      </c>
      <c r="M25" s="64" t="s">
        <v>222</v>
      </c>
      <c r="N25" s="123">
        <v>3.19</v>
      </c>
    </row>
    <row r="26" spans="1:14" hidden="1" x14ac:dyDescent="0.3">
      <c r="A26">
        <v>5223</v>
      </c>
      <c r="B26" t="str">
        <v>BLUELAKE CAPITAL S.A.</v>
      </c>
      <c r="C26" s="6">
        <v>0</v>
      </c>
      <c r="D26" s="6">
        <v>0</v>
      </c>
      <c r="E26" t="str">
        <v>Pesos</v>
      </c>
      <c r="F26" t="str">
        <v xml:space="preserve"> $</v>
      </c>
      <c r="G26" t="str">
        <f>IFERROR(VLOOKUP(A26,'Clientes CBOT'!B:E,4,0),B26)</f>
        <v>BLUELAKE CAPITAL S.A.</v>
      </c>
      <c r="H26" t="str">
        <f t="shared" si="0"/>
        <v>Ars</v>
      </c>
      <c r="I26" s="6">
        <f t="shared" si="1"/>
        <v>0</v>
      </c>
      <c r="J26">
        <f t="shared" si="2"/>
        <v>0</v>
      </c>
      <c r="M26" s="64" t="s">
        <v>224</v>
      </c>
      <c r="N26" s="123">
        <v>-162793552.15000001</v>
      </c>
    </row>
    <row r="27" spans="1:14" hidden="1" x14ac:dyDescent="0.3">
      <c r="A27">
        <v>6089</v>
      </c>
      <c r="B27" t="str">
        <v>SUSMAN ADA</v>
      </c>
      <c r="C27" s="6">
        <v>16118.39</v>
      </c>
      <c r="D27" s="6">
        <v>0</v>
      </c>
      <c r="E27" t="str">
        <v>Pesos</v>
      </c>
      <c r="F27" t="str">
        <v xml:space="preserve"> $</v>
      </c>
      <c r="G27" t="str">
        <f>IFERROR(VLOOKUP(A27,'Clientes CBOT'!B:E,4,0),B27)</f>
        <v>SUSMAN ADA</v>
      </c>
      <c r="H27" t="str">
        <f t="shared" si="0"/>
        <v>Ars</v>
      </c>
      <c r="I27" s="6">
        <f t="shared" si="1"/>
        <v>16118.39</v>
      </c>
      <c r="J27">
        <f t="shared" si="2"/>
        <v>0</v>
      </c>
      <c r="M27" s="64" t="s">
        <v>225</v>
      </c>
      <c r="N27" s="123">
        <v>-6813.76</v>
      </c>
    </row>
    <row r="28" spans="1:14" hidden="1" x14ac:dyDescent="0.3">
      <c r="A28">
        <v>6090</v>
      </c>
      <c r="B28" t="str">
        <v>EL GUAYACAN SRL</v>
      </c>
      <c r="C28" s="6">
        <v>0.8</v>
      </c>
      <c r="D28" s="6">
        <v>0</v>
      </c>
      <c r="E28" t="str">
        <v>Pesos</v>
      </c>
      <c r="F28" t="str">
        <v xml:space="preserve"> $</v>
      </c>
      <c r="G28" t="str">
        <f>IFERROR(VLOOKUP(A28,'Clientes CBOT'!B:E,4,0),B28)</f>
        <v>EL GUAYACAN SRL</v>
      </c>
      <c r="H28" t="str">
        <f t="shared" si="0"/>
        <v>Ars</v>
      </c>
      <c r="I28" s="6">
        <f t="shared" si="1"/>
        <v>0.8</v>
      </c>
      <c r="J28">
        <f t="shared" si="2"/>
        <v>0</v>
      </c>
      <c r="M28" s="64" t="s">
        <v>124</v>
      </c>
      <c r="N28" s="123">
        <v>1701.0800000000002</v>
      </c>
    </row>
    <row r="29" spans="1:14" hidden="1" x14ac:dyDescent="0.3">
      <c r="A29">
        <v>6095</v>
      </c>
      <c r="B29" t="str">
        <v>NICOLA FEDERICO GASPAR</v>
      </c>
      <c r="C29" s="6">
        <v>0</v>
      </c>
      <c r="D29" s="6">
        <v>0</v>
      </c>
      <c r="E29" t="str">
        <v>Pesos</v>
      </c>
      <c r="F29" t="str">
        <v xml:space="preserve"> $</v>
      </c>
      <c r="G29" t="str">
        <f>IFERROR(VLOOKUP(A29,'Clientes CBOT'!B:E,4,0),B29)</f>
        <v>NICOLA FEDERICO GASPAR</v>
      </c>
      <c r="H29" t="str">
        <f t="shared" si="0"/>
        <v>Ars</v>
      </c>
      <c r="I29" s="6">
        <f t="shared" si="1"/>
        <v>0</v>
      </c>
      <c r="J29">
        <f t="shared" si="2"/>
        <v>0</v>
      </c>
      <c r="M29" s="64" t="s">
        <v>227</v>
      </c>
      <c r="N29" s="123">
        <v>3928.97</v>
      </c>
    </row>
    <row r="30" spans="1:14" hidden="1" x14ac:dyDescent="0.3">
      <c r="A30">
        <v>5096</v>
      </c>
      <c r="B30" t="str">
        <v>Pharos Capital S.A.</v>
      </c>
      <c r="C30" s="6">
        <v>0</v>
      </c>
      <c r="D30" s="6">
        <v>0</v>
      </c>
      <c r="E30" t="str">
        <v>Pesos</v>
      </c>
      <c r="F30" t="str">
        <v xml:space="preserve"> $</v>
      </c>
      <c r="G30" t="str">
        <f>IFERROR(VLOOKUP(A30,'Clientes CBOT'!B:E,4,0),B30)</f>
        <v>Pharos Capital S.A.</v>
      </c>
      <c r="H30" t="str">
        <f t="shared" si="0"/>
        <v>Ars</v>
      </c>
      <c r="I30" s="6">
        <f t="shared" si="1"/>
        <v>0</v>
      </c>
      <c r="J30">
        <f t="shared" si="2"/>
        <v>0</v>
      </c>
      <c r="M30" s="64" t="s">
        <v>229</v>
      </c>
      <c r="N30" s="123">
        <v>0</v>
      </c>
    </row>
    <row r="31" spans="1:14" hidden="1" x14ac:dyDescent="0.3">
      <c r="A31">
        <v>6096</v>
      </c>
      <c r="B31" t="str">
        <v>COOPERATIVA AGRICOLA GANADERA LEON SOLA LTDA</v>
      </c>
      <c r="C31" s="6">
        <v>40481.03</v>
      </c>
      <c r="D31" s="6">
        <v>0</v>
      </c>
      <c r="E31" t="str">
        <v>Pesos</v>
      </c>
      <c r="F31" t="str">
        <v xml:space="preserve"> $</v>
      </c>
      <c r="G31" t="str">
        <f>IFERROR(VLOOKUP(A31,'Clientes CBOT'!B:E,4,0),B31)</f>
        <v>COOPERATIVA AGRICOLA GANADERA LEON SOLA LTDA</v>
      </c>
      <c r="H31" t="str">
        <f t="shared" si="0"/>
        <v>Ars</v>
      </c>
      <c r="I31" s="6">
        <f t="shared" si="1"/>
        <v>40481.03</v>
      </c>
      <c r="J31">
        <f t="shared" si="2"/>
        <v>0</v>
      </c>
      <c r="M31" s="64" t="s">
        <v>230</v>
      </c>
      <c r="N31" s="123">
        <v>0.28999999999999998</v>
      </c>
    </row>
    <row r="32" spans="1:14" hidden="1" x14ac:dyDescent="0.3">
      <c r="A32">
        <v>5297</v>
      </c>
      <c r="B32" t="str">
        <v>DON CAPITAL SA</v>
      </c>
      <c r="C32" s="6">
        <v>0</v>
      </c>
      <c r="D32" s="6">
        <v>0</v>
      </c>
      <c r="E32" t="str">
        <v>Pesos</v>
      </c>
      <c r="F32" t="str">
        <v xml:space="preserve"> $</v>
      </c>
      <c r="G32" t="str">
        <f>IFERROR(VLOOKUP(A32,'Clientes CBOT'!B:E,4,0),B32)</f>
        <v>DON CAPITAL SA</v>
      </c>
      <c r="H32" t="str">
        <f t="shared" si="0"/>
        <v>Ars</v>
      </c>
      <c r="I32" s="6">
        <f t="shared" si="1"/>
        <v>0</v>
      </c>
      <c r="J32">
        <f t="shared" si="2"/>
        <v>0</v>
      </c>
      <c r="M32" s="64" t="s">
        <v>231</v>
      </c>
      <c r="N32" s="123">
        <v>0</v>
      </c>
    </row>
    <row r="33" spans="1:14" hidden="1" x14ac:dyDescent="0.3">
      <c r="A33">
        <v>6097</v>
      </c>
      <c r="B33" t="str">
        <v>TRIEL S.A.</v>
      </c>
      <c r="C33" s="6">
        <v>962.32</v>
      </c>
      <c r="D33" s="6">
        <v>0</v>
      </c>
      <c r="E33" t="str">
        <v>Pesos</v>
      </c>
      <c r="F33" t="str">
        <v xml:space="preserve"> $</v>
      </c>
      <c r="G33" t="str">
        <f>IFERROR(VLOOKUP(A33,'Clientes CBOT'!B:E,4,0),B33)</f>
        <v>TRIEL S.A.</v>
      </c>
      <c r="H33" t="str">
        <f t="shared" si="0"/>
        <v>Ars</v>
      </c>
      <c r="I33" s="6">
        <f t="shared" si="1"/>
        <v>962.32</v>
      </c>
      <c r="J33">
        <f t="shared" si="2"/>
        <v>0</v>
      </c>
      <c r="M33" s="64" t="s">
        <v>232</v>
      </c>
      <c r="N33" s="123">
        <v>-0.01</v>
      </c>
    </row>
    <row r="34" spans="1:14" hidden="1" x14ac:dyDescent="0.3">
      <c r="A34">
        <v>6098</v>
      </c>
      <c r="B34" t="str">
        <v>GALVEZ CEREALES S. A.</v>
      </c>
      <c r="C34" s="6">
        <v>2016.77</v>
      </c>
      <c r="D34" s="6">
        <v>0</v>
      </c>
      <c r="E34" t="str">
        <v>Pesos</v>
      </c>
      <c r="F34" t="str">
        <v xml:space="preserve"> $</v>
      </c>
      <c r="G34" t="str">
        <f>IFERROR(VLOOKUP(A34,'Clientes CBOT'!B:E,4,0),B34)</f>
        <v>GALVEZ CEREALES S. A.</v>
      </c>
      <c r="H34" t="str">
        <f t="shared" si="0"/>
        <v>Ars</v>
      </c>
      <c r="I34" s="6">
        <f t="shared" si="1"/>
        <v>2016.77</v>
      </c>
      <c r="J34">
        <f t="shared" si="2"/>
        <v>0</v>
      </c>
      <c r="M34" s="64" t="s">
        <v>234</v>
      </c>
      <c r="N34" s="123">
        <v>0</v>
      </c>
    </row>
    <row r="35" spans="1:14" hidden="1" x14ac:dyDescent="0.3">
      <c r="A35">
        <v>6100</v>
      </c>
      <c r="B35" t="str">
        <v>EL MALINCHE S.A.S</v>
      </c>
      <c r="C35" s="6">
        <v>0</v>
      </c>
      <c r="D35" s="6">
        <v>0</v>
      </c>
      <c r="E35" t="str">
        <v>Pesos</v>
      </c>
      <c r="F35" t="str">
        <v xml:space="preserve"> $</v>
      </c>
      <c r="G35" t="str">
        <f>IFERROR(VLOOKUP(A35,'Clientes CBOT'!B:E,4,0),B35)</f>
        <v>EL MALINCHE S.A.S</v>
      </c>
      <c r="H35" t="str">
        <f t="shared" si="0"/>
        <v>Ars</v>
      </c>
      <c r="I35" s="6">
        <f t="shared" si="1"/>
        <v>0</v>
      </c>
      <c r="J35">
        <f t="shared" si="2"/>
        <v>0</v>
      </c>
      <c r="M35" s="64" t="s">
        <v>235</v>
      </c>
      <c r="N35" s="123">
        <v>0</v>
      </c>
    </row>
    <row r="36" spans="1:14" hidden="1" x14ac:dyDescent="0.3">
      <c r="A36">
        <v>6101</v>
      </c>
      <c r="B36" t="str">
        <v>ALBERTO CROSSETTI SA</v>
      </c>
      <c r="C36" s="6">
        <v>26231699.420000002</v>
      </c>
      <c r="D36" s="6">
        <v>0</v>
      </c>
      <c r="E36" t="str">
        <v>Pesos</v>
      </c>
      <c r="F36" t="str">
        <v xml:space="preserve"> $</v>
      </c>
      <c r="G36" t="str">
        <f>IFERROR(VLOOKUP(A36,'Clientes CBOT'!B:E,4,0),B36)</f>
        <v>ALBERTO CROSSETTI SA</v>
      </c>
      <c r="H36" t="str">
        <f t="shared" si="0"/>
        <v>Ars</v>
      </c>
      <c r="I36" s="6">
        <f t="shared" si="1"/>
        <v>26231699.420000002</v>
      </c>
      <c r="J36">
        <f t="shared" si="2"/>
        <v>0</v>
      </c>
      <c r="M36" s="64" t="s">
        <v>238</v>
      </c>
      <c r="N36" s="123">
        <v>-645416497.01999998</v>
      </c>
    </row>
    <row r="37" spans="1:14" hidden="1" x14ac:dyDescent="0.3">
      <c r="A37">
        <v>6105</v>
      </c>
      <c r="B37" t="str">
        <v>ESTABLECIMIENTO DO#A JULIA SOCIEDAD ANONIMA</v>
      </c>
      <c r="C37" s="6">
        <v>0</v>
      </c>
      <c r="D37" s="6">
        <v>0</v>
      </c>
      <c r="E37" t="str">
        <v>Pesos</v>
      </c>
      <c r="F37" t="str">
        <v xml:space="preserve"> $</v>
      </c>
      <c r="G37" t="str">
        <f>IFERROR(VLOOKUP(A37,'Clientes CBOT'!B:E,4,0),B37)</f>
        <v>ESTABLECIMIENTO DO#A JULIA SOCIEDAD ANONIMA</v>
      </c>
      <c r="H37" t="str">
        <f t="shared" si="0"/>
        <v>Ars</v>
      </c>
      <c r="I37" s="6">
        <f t="shared" si="1"/>
        <v>0</v>
      </c>
      <c r="J37">
        <f t="shared" si="2"/>
        <v>0</v>
      </c>
      <c r="M37" s="64" t="s">
        <v>239</v>
      </c>
      <c r="N37" s="123">
        <v>-13319424.199999999</v>
      </c>
    </row>
    <row r="38" spans="1:14" hidden="1" x14ac:dyDescent="0.3">
      <c r="A38">
        <v>6106</v>
      </c>
      <c r="B38" t="str">
        <v>LA TROJA AGRO SOCIEDAD ANONIMA</v>
      </c>
      <c r="C38" s="6">
        <v>40.950000000000003</v>
      </c>
      <c r="D38" s="6">
        <v>0</v>
      </c>
      <c r="E38" t="str">
        <v>Pesos</v>
      </c>
      <c r="F38" t="str">
        <v xml:space="preserve"> $</v>
      </c>
      <c r="G38" t="str">
        <f>IFERROR(VLOOKUP(A38,'Clientes CBOT'!B:E,4,0),B38)</f>
        <v>LA TROJA AGRO SOCIEDAD ANONIMA</v>
      </c>
      <c r="H38" t="str">
        <f t="shared" si="0"/>
        <v>Ars</v>
      </c>
      <c r="I38" s="6">
        <f t="shared" si="1"/>
        <v>40.950000000000003</v>
      </c>
      <c r="J38">
        <f t="shared" si="2"/>
        <v>0</v>
      </c>
      <c r="M38" s="64" t="s">
        <v>242</v>
      </c>
      <c r="N38" s="123">
        <v>-19010.61</v>
      </c>
    </row>
    <row r="39" spans="1:14" hidden="1" x14ac:dyDescent="0.3">
      <c r="A39">
        <v>6107</v>
      </c>
      <c r="B39" t="str">
        <v>MARCOS ALEJANDRO NOYA</v>
      </c>
      <c r="C39" s="6">
        <v>0.28999999999999998</v>
      </c>
      <c r="D39" s="6">
        <v>0</v>
      </c>
      <c r="E39" t="str">
        <v>Pesos</v>
      </c>
      <c r="F39" t="str">
        <v xml:space="preserve"> $</v>
      </c>
      <c r="G39" t="str">
        <f>IFERROR(VLOOKUP(A39,'Clientes CBOT'!B:E,4,0),B39)</f>
        <v>MARCOS ALEJANDRO NOYA</v>
      </c>
      <c r="H39" t="str">
        <f t="shared" si="0"/>
        <v>Ars</v>
      </c>
      <c r="I39" s="6">
        <f t="shared" si="1"/>
        <v>0.28999999999999998</v>
      </c>
      <c r="J39">
        <f t="shared" si="2"/>
        <v>0</v>
      </c>
      <c r="M39" s="64" t="s">
        <v>246</v>
      </c>
      <c r="N39" s="123">
        <v>0</v>
      </c>
    </row>
    <row r="40" spans="1:14" hidden="1" x14ac:dyDescent="0.3">
      <c r="A40">
        <v>5845</v>
      </c>
      <c r="B40" t="str">
        <v>FIWIND CAPITAL SA</v>
      </c>
      <c r="C40" s="6">
        <v>0</v>
      </c>
      <c r="D40" s="6">
        <v>0</v>
      </c>
      <c r="E40" t="str">
        <v>Pesos</v>
      </c>
      <c r="F40" t="str">
        <v xml:space="preserve"> $</v>
      </c>
      <c r="G40" t="str">
        <f>IFERROR(VLOOKUP(A40,'Clientes CBOT'!B:E,4,0),B40)</f>
        <v>FIWIND CAPITAL SA</v>
      </c>
      <c r="H40" t="str">
        <f t="shared" si="0"/>
        <v>Ars</v>
      </c>
      <c r="I40" s="6">
        <f t="shared" si="1"/>
        <v>0</v>
      </c>
      <c r="J40">
        <f t="shared" si="2"/>
        <v>0</v>
      </c>
      <c r="M40" s="64" t="s">
        <v>247</v>
      </c>
      <c r="N40" s="123">
        <v>0</v>
      </c>
    </row>
    <row r="41" spans="1:14" hidden="1" x14ac:dyDescent="0.3">
      <c r="A41">
        <v>6108</v>
      </c>
      <c r="B41" t="str">
        <v>ARMENDARIZ GUSTAVO GABRIEL JESU</v>
      </c>
      <c r="C41" s="6">
        <v>13213.02</v>
      </c>
      <c r="D41" s="6">
        <v>0</v>
      </c>
      <c r="E41" t="str">
        <v>Pesos</v>
      </c>
      <c r="F41" t="str">
        <v xml:space="preserve"> $</v>
      </c>
      <c r="G41" t="str">
        <f>IFERROR(VLOOKUP(A41,'Clientes CBOT'!B:E,4,0),B41)</f>
        <v>ARMENDARIZ GUSTAVO GABRIEL JESU</v>
      </c>
      <c r="H41" t="str">
        <f t="shared" si="0"/>
        <v>Ars</v>
      </c>
      <c r="I41" s="6">
        <f t="shared" si="1"/>
        <v>13213.02</v>
      </c>
      <c r="J41">
        <f t="shared" si="2"/>
        <v>0</v>
      </c>
      <c r="M41" s="64" t="s">
        <v>248</v>
      </c>
      <c r="N41" s="123">
        <v>1337.25</v>
      </c>
    </row>
    <row r="42" spans="1:14" hidden="1" x14ac:dyDescent="0.3">
      <c r="A42">
        <v>6110</v>
      </c>
      <c r="B42" t="str">
        <v>LANOLEC INVERSIONES SA</v>
      </c>
      <c r="C42" s="6">
        <v>-70162.16</v>
      </c>
      <c r="D42" s="6">
        <v>0</v>
      </c>
      <c r="E42" t="str">
        <v>Pesos</v>
      </c>
      <c r="F42" t="str">
        <v xml:space="preserve"> $</v>
      </c>
      <c r="G42" t="str">
        <f>IFERROR(VLOOKUP(A42,'Clientes CBOT'!B:E,4,0),B42)</f>
        <v>LANOLEC INVERSIONES SA</v>
      </c>
      <c r="H42" t="str">
        <f t="shared" si="0"/>
        <v>Ars</v>
      </c>
      <c r="I42" s="6">
        <f t="shared" si="1"/>
        <v>-70162.16</v>
      </c>
      <c r="J42">
        <f t="shared" si="2"/>
        <v>0</v>
      </c>
      <c r="M42" s="64" t="s">
        <v>249</v>
      </c>
      <c r="N42" s="123">
        <v>0</v>
      </c>
    </row>
    <row r="43" spans="1:14" hidden="1" x14ac:dyDescent="0.3">
      <c r="A43">
        <v>6112</v>
      </c>
      <c r="B43" t="str">
        <v>NICOLA IGNACIO MARTIN</v>
      </c>
      <c r="C43" s="6">
        <v>0</v>
      </c>
      <c r="D43" s="6">
        <v>0</v>
      </c>
      <c r="E43" t="str">
        <v>Pesos</v>
      </c>
      <c r="F43" t="str">
        <v xml:space="preserve"> $</v>
      </c>
      <c r="G43" t="str">
        <f>IFERROR(VLOOKUP(A43,'Clientes CBOT'!B:E,4,0),B43)</f>
        <v>NICOLA IGNACIO MARTIN</v>
      </c>
      <c r="H43" t="str">
        <f t="shared" si="0"/>
        <v>Ars</v>
      </c>
      <c r="I43" s="6">
        <f t="shared" si="1"/>
        <v>0</v>
      </c>
      <c r="J43">
        <f t="shared" si="2"/>
        <v>0</v>
      </c>
      <c r="M43" s="64" t="s">
        <v>252</v>
      </c>
      <c r="N43" s="123">
        <v>-1477351420.5599999</v>
      </c>
    </row>
    <row r="44" spans="1:14" hidden="1" x14ac:dyDescent="0.3">
      <c r="A44">
        <v>6114</v>
      </c>
      <c r="B44" t="str">
        <v>LUIS DODERO AGRO SA</v>
      </c>
      <c r="C44" s="6">
        <v>0</v>
      </c>
      <c r="D44" s="6">
        <v>0</v>
      </c>
      <c r="E44" t="str">
        <v>Pesos</v>
      </c>
      <c r="F44" t="str">
        <v xml:space="preserve"> $</v>
      </c>
      <c r="G44" t="str">
        <f>IFERROR(VLOOKUP(A44,'Clientes CBOT'!B:E,4,0),B44)</f>
        <v>LUIS DODERO AGRO SA</v>
      </c>
      <c r="H44" t="str">
        <f t="shared" si="0"/>
        <v>Ars</v>
      </c>
      <c r="I44" s="6">
        <f t="shared" si="1"/>
        <v>0</v>
      </c>
      <c r="J44">
        <f t="shared" si="2"/>
        <v>0</v>
      </c>
      <c r="M44" s="64" t="s">
        <v>253</v>
      </c>
      <c r="N44" s="123">
        <v>0</v>
      </c>
    </row>
    <row r="45" spans="1:14" hidden="1" x14ac:dyDescent="0.3">
      <c r="A45">
        <v>6115</v>
      </c>
      <c r="B45" t="str">
        <v>GRUPO EL JAQUE S.A.</v>
      </c>
      <c r="C45" s="6">
        <v>0</v>
      </c>
      <c r="D45" s="6">
        <v>0</v>
      </c>
      <c r="E45" t="str">
        <v>Pesos</v>
      </c>
      <c r="F45" t="str">
        <v xml:space="preserve"> $</v>
      </c>
      <c r="G45" t="str">
        <f>IFERROR(VLOOKUP(A45,'Clientes CBOT'!B:E,4,0),B45)</f>
        <v>GRUPO EL JAQUE S.A.</v>
      </c>
      <c r="H45" t="str">
        <f t="shared" si="0"/>
        <v>Ars</v>
      </c>
      <c r="I45" s="6">
        <f t="shared" si="1"/>
        <v>0</v>
      </c>
      <c r="J45">
        <f t="shared" si="2"/>
        <v>0</v>
      </c>
      <c r="M45" s="64" t="s">
        <v>256</v>
      </c>
      <c r="N45" s="123">
        <v>1780.96</v>
      </c>
    </row>
    <row r="46" spans="1:14" hidden="1" x14ac:dyDescent="0.3">
      <c r="A46">
        <v>6118</v>
      </c>
      <c r="B46" t="str">
        <v>TAZZIOLI PATRICIA, BIOLATO LUCIANA</v>
      </c>
      <c r="C46" s="6">
        <v>-55688.87</v>
      </c>
      <c r="D46" s="6">
        <v>0</v>
      </c>
      <c r="E46" t="str">
        <v>Pesos</v>
      </c>
      <c r="F46" t="str">
        <v xml:space="preserve"> $</v>
      </c>
      <c r="G46" t="str">
        <f>IFERROR(VLOOKUP(A46,'Clientes CBOT'!B:E,4,0),B46)</f>
        <v>TAZZIOLI PATRICIA, BIOLATO LUCIANA</v>
      </c>
      <c r="H46" t="str">
        <f t="shared" si="0"/>
        <v>Ars</v>
      </c>
      <c r="I46" s="6">
        <f t="shared" si="1"/>
        <v>-55688.87</v>
      </c>
      <c r="J46">
        <f t="shared" si="2"/>
        <v>0</v>
      </c>
      <c r="M46" s="64" t="s">
        <v>257</v>
      </c>
      <c r="N46" s="123">
        <v>0</v>
      </c>
    </row>
    <row r="47" spans="1:14" hidden="1" x14ac:dyDescent="0.3">
      <c r="A47">
        <v>6116</v>
      </c>
      <c r="B47" t="str">
        <v>FUERTES RAQUEL P DE Y OTROS SOC.CAPI SECC IV</v>
      </c>
      <c r="C47" s="6">
        <v>226522.9</v>
      </c>
      <c r="D47" s="6">
        <v>0</v>
      </c>
      <c r="E47" t="str">
        <v>Pesos</v>
      </c>
      <c r="F47" t="str">
        <v xml:space="preserve"> $</v>
      </c>
      <c r="G47" t="str">
        <f>IFERROR(VLOOKUP(A47,'Clientes CBOT'!B:E,4,0),B47)</f>
        <v>FUERTES RAQUEL P DE Y OTROS SOC.CAPI SECC IV</v>
      </c>
      <c r="H47" t="str">
        <f t="shared" si="0"/>
        <v>Ars</v>
      </c>
      <c r="I47" s="6">
        <f t="shared" si="1"/>
        <v>226522.9</v>
      </c>
      <c r="J47">
        <f t="shared" si="2"/>
        <v>0</v>
      </c>
      <c r="M47" s="64" t="s">
        <v>259</v>
      </c>
      <c r="N47" s="123">
        <v>0</v>
      </c>
    </row>
    <row r="48" spans="1:14" hidden="1" x14ac:dyDescent="0.3">
      <c r="A48">
        <v>5285</v>
      </c>
      <c r="B48" t="str">
        <v>DA VALORES S.A.</v>
      </c>
      <c r="C48" s="6">
        <v>0</v>
      </c>
      <c r="D48" s="6">
        <v>0</v>
      </c>
      <c r="E48" t="str">
        <v>Pesos</v>
      </c>
      <c r="F48" t="str">
        <v xml:space="preserve"> $</v>
      </c>
      <c r="G48" t="str">
        <f>IFERROR(VLOOKUP(A48,'Clientes CBOT'!B:E,4,0),B48)</f>
        <v>DA VALORES S.A.</v>
      </c>
      <c r="H48" t="str">
        <f t="shared" si="0"/>
        <v>Ars</v>
      </c>
      <c r="I48" s="6">
        <f t="shared" si="1"/>
        <v>0</v>
      </c>
      <c r="J48">
        <f t="shared" si="2"/>
        <v>0</v>
      </c>
      <c r="M48" s="64" t="s">
        <v>260</v>
      </c>
      <c r="N48" s="123">
        <v>0</v>
      </c>
    </row>
    <row r="49" spans="1:14" hidden="1" x14ac:dyDescent="0.3">
      <c r="A49">
        <v>5227</v>
      </c>
      <c r="B49" t="str">
        <v>CONO SUR INVERSIONES SA</v>
      </c>
      <c r="C49" s="6">
        <v>0</v>
      </c>
      <c r="D49" s="6">
        <v>0</v>
      </c>
      <c r="E49" t="str">
        <v>Pesos</v>
      </c>
      <c r="F49" t="str">
        <v xml:space="preserve"> $</v>
      </c>
      <c r="G49" t="str">
        <f>IFERROR(VLOOKUP(A49,'Clientes CBOT'!B:E,4,0),B49)</f>
        <v>CONO SUR INVERSIONES SA</v>
      </c>
      <c r="H49" t="str">
        <f t="shared" si="0"/>
        <v>Ars</v>
      </c>
      <c r="I49" s="6">
        <f t="shared" si="1"/>
        <v>0</v>
      </c>
      <c r="J49">
        <f t="shared" si="2"/>
        <v>0</v>
      </c>
      <c r="M49" s="64" t="s">
        <v>262</v>
      </c>
      <c r="N49" s="123">
        <v>-0.12000000000000001</v>
      </c>
    </row>
    <row r="50" spans="1:14" hidden="1" x14ac:dyDescent="0.3">
      <c r="A50">
        <v>5122</v>
      </c>
      <c r="B50" t="str">
        <v>INDUSTRIAL VALORES SA</v>
      </c>
      <c r="C50" s="6">
        <v>0</v>
      </c>
      <c r="D50" s="6">
        <v>0</v>
      </c>
      <c r="E50" t="str">
        <v>Pesos</v>
      </c>
      <c r="F50" t="str">
        <v xml:space="preserve"> $</v>
      </c>
      <c r="G50" t="str">
        <f>IFERROR(VLOOKUP(A50,'Clientes CBOT'!B:E,4,0),B50)</f>
        <v>INDUSTRIAL VALORES SA</v>
      </c>
      <c r="H50" t="str">
        <f t="shared" si="0"/>
        <v>Ars</v>
      </c>
      <c r="I50" s="6">
        <f t="shared" si="1"/>
        <v>0</v>
      </c>
      <c r="J50">
        <f t="shared" si="2"/>
        <v>0</v>
      </c>
      <c r="M50" s="64" t="s">
        <v>263</v>
      </c>
      <c r="N50" s="123">
        <v>-27960.15</v>
      </c>
    </row>
    <row r="51" spans="1:14" hidden="1" x14ac:dyDescent="0.3">
      <c r="A51">
        <v>1006</v>
      </c>
      <c r="B51" t="str">
        <v>BCSA SD GALILEO ARGENTINA</v>
      </c>
      <c r="C51" s="6">
        <v>0</v>
      </c>
      <c r="D51" s="6">
        <v>0</v>
      </c>
      <c r="E51" t="str">
        <v>Pesos</v>
      </c>
      <c r="F51" t="str">
        <v xml:space="preserve"> $</v>
      </c>
      <c r="G51" t="str">
        <f>IFERROR(VLOOKUP(A51,'Clientes CBOT'!B:E,4,0),B51)</f>
        <v>BCSA SD GALILEO ARGENTINA</v>
      </c>
      <c r="H51" t="str">
        <f t="shared" si="0"/>
        <v>Ars</v>
      </c>
      <c r="I51" s="6">
        <f t="shared" si="1"/>
        <v>0</v>
      </c>
      <c r="J51">
        <f t="shared" si="2"/>
        <v>0</v>
      </c>
      <c r="M51" s="64" t="s">
        <v>264</v>
      </c>
      <c r="N51" s="123">
        <v>-0.65</v>
      </c>
    </row>
    <row r="52" spans="1:14" hidden="1" x14ac:dyDescent="0.3">
      <c r="A52">
        <v>1007</v>
      </c>
      <c r="B52" t="str">
        <v>BACS SA SG TT RENTA FIJA PLUS</v>
      </c>
      <c r="C52" s="6">
        <v>-129388.89</v>
      </c>
      <c r="D52" s="6">
        <v>0</v>
      </c>
      <c r="E52" t="str">
        <v>Pesos</v>
      </c>
      <c r="F52" t="str">
        <v xml:space="preserve"> $</v>
      </c>
      <c r="G52" t="str">
        <f>IFERROR(VLOOKUP(A52,'Clientes CBOT'!B:E,4,0),B52)</f>
        <v>BACS SA SG TT RENTA FIJA PLUS</v>
      </c>
      <c r="H52" t="str">
        <f t="shared" si="0"/>
        <v>Ars</v>
      </c>
      <c r="I52" s="6">
        <f t="shared" si="1"/>
        <v>-129388.89</v>
      </c>
      <c r="J52">
        <f t="shared" si="2"/>
        <v>0</v>
      </c>
      <c r="M52" s="64" t="s">
        <v>265</v>
      </c>
      <c r="N52" s="123">
        <v>0</v>
      </c>
    </row>
    <row r="53" spans="1:14" hidden="1" x14ac:dyDescent="0.3">
      <c r="A53">
        <v>1010</v>
      </c>
      <c r="B53" t="str">
        <v>BACS SA SG TT ABIERTO PYMES</v>
      </c>
      <c r="C53" s="6">
        <v>-32613.17</v>
      </c>
      <c r="D53" s="6">
        <v>0</v>
      </c>
      <c r="E53" t="str">
        <v>Pesos</v>
      </c>
      <c r="F53" t="str">
        <v xml:space="preserve"> $</v>
      </c>
      <c r="G53" t="str">
        <f>IFERROR(VLOOKUP(A53,'Clientes CBOT'!B:E,4,0),B53)</f>
        <v>BACS SA SG TT ABIERTO PYMES</v>
      </c>
      <c r="H53" t="str">
        <f t="shared" si="0"/>
        <v>Ars</v>
      </c>
      <c r="I53" s="6">
        <f t="shared" si="1"/>
        <v>-32613.17</v>
      </c>
      <c r="J53">
        <f t="shared" si="2"/>
        <v>0</v>
      </c>
      <c r="M53" s="64" t="s">
        <v>267</v>
      </c>
      <c r="N53" s="123">
        <v>5168.87</v>
      </c>
    </row>
    <row r="54" spans="1:14" hidden="1" x14ac:dyDescent="0.3">
      <c r="A54">
        <v>1011</v>
      </c>
      <c r="B54" t="str">
        <v>BACS SA SG TT GLOBAL CAPITAL</v>
      </c>
      <c r="C54" s="6">
        <v>0</v>
      </c>
      <c r="D54" s="6">
        <v>0</v>
      </c>
      <c r="E54" t="str">
        <v>Pesos</v>
      </c>
      <c r="F54" t="str">
        <v xml:space="preserve"> $</v>
      </c>
      <c r="G54" t="str">
        <f>IFERROR(VLOOKUP(A54,'Clientes CBOT'!B:E,4,0),B54)</f>
        <v>BACS SA SG TT GLOBAL CAPITAL</v>
      </c>
      <c r="H54" t="str">
        <f t="shared" si="0"/>
        <v>Ars</v>
      </c>
      <c r="I54" s="6">
        <f t="shared" si="1"/>
        <v>0</v>
      </c>
      <c r="J54">
        <f t="shared" si="2"/>
        <v>0</v>
      </c>
      <c r="M54" s="64" t="s">
        <v>200</v>
      </c>
      <c r="N54" s="123">
        <v>-11548.88</v>
      </c>
    </row>
    <row r="55" spans="1:14" hidden="1" x14ac:dyDescent="0.3">
      <c r="A55">
        <v>5235</v>
      </c>
      <c r="B55" t="str">
        <v>CRITERIA AN SA</v>
      </c>
      <c r="C55" s="6">
        <v>0</v>
      </c>
      <c r="D55" s="6">
        <v>0</v>
      </c>
      <c r="E55" t="str">
        <v>Pesos</v>
      </c>
      <c r="F55" t="str">
        <v xml:space="preserve"> $</v>
      </c>
      <c r="G55" t="str">
        <f>IFERROR(VLOOKUP(A55,'Clientes CBOT'!B:E,4,0),B55)</f>
        <v>CRITERIA AN SA</v>
      </c>
      <c r="H55" t="str">
        <f t="shared" si="0"/>
        <v>Ars</v>
      </c>
      <c r="I55" s="6">
        <f t="shared" si="1"/>
        <v>0</v>
      </c>
      <c r="J55">
        <f t="shared" si="2"/>
        <v>0</v>
      </c>
      <c r="M55" s="64" t="s">
        <v>268</v>
      </c>
      <c r="N55" s="123">
        <v>20960.78</v>
      </c>
    </row>
    <row r="56" spans="1:14" hidden="1" x14ac:dyDescent="0.3">
      <c r="A56">
        <v>5040</v>
      </c>
      <c r="B56" t="str">
        <v>PUENTE HNOS SA</v>
      </c>
      <c r="C56" s="6">
        <v>0</v>
      </c>
      <c r="D56" s="6">
        <v>0</v>
      </c>
      <c r="E56" t="str">
        <v>Pesos</v>
      </c>
      <c r="F56" t="str">
        <v xml:space="preserve"> $</v>
      </c>
      <c r="G56" t="str">
        <f>IFERROR(VLOOKUP(A56,'Clientes CBOT'!B:E,4,0),B56)</f>
        <v>PUENTE HNOS SA</v>
      </c>
      <c r="H56" t="str">
        <f t="shared" si="0"/>
        <v>Ars</v>
      </c>
      <c r="I56" s="6">
        <f t="shared" si="1"/>
        <v>0</v>
      </c>
      <c r="J56">
        <f t="shared" si="2"/>
        <v>0</v>
      </c>
      <c r="M56" s="64" t="s">
        <v>269</v>
      </c>
      <c r="N56" s="123">
        <v>-56515.05</v>
      </c>
    </row>
    <row r="57" spans="1:14" hidden="1" x14ac:dyDescent="0.3">
      <c r="A57">
        <v>5213</v>
      </c>
      <c r="B57" t="str">
        <v>ROSENTAL SA</v>
      </c>
      <c r="C57" s="6">
        <v>0</v>
      </c>
      <c r="D57" s="6">
        <v>0</v>
      </c>
      <c r="E57" t="str">
        <v>Pesos</v>
      </c>
      <c r="F57" t="str">
        <v xml:space="preserve"> $</v>
      </c>
      <c r="G57" t="str">
        <f>IFERROR(VLOOKUP(A57,'Clientes CBOT'!B:E,4,0),B57)</f>
        <v>ROSENTAL SA</v>
      </c>
      <c r="H57" t="str">
        <f t="shared" si="0"/>
        <v>Ars</v>
      </c>
      <c r="I57" s="6">
        <f t="shared" si="1"/>
        <v>0</v>
      </c>
      <c r="J57">
        <f t="shared" si="2"/>
        <v>0</v>
      </c>
      <c r="M57" s="64" t="s">
        <v>271</v>
      </c>
      <c r="N57" s="123">
        <v>-32613.17</v>
      </c>
    </row>
    <row r="58" spans="1:14" hidden="1" x14ac:dyDescent="0.3">
      <c r="A58">
        <v>5114</v>
      </c>
      <c r="B58" t="str">
        <v>ROSARIO VALORES SA</v>
      </c>
      <c r="C58" s="6">
        <v>0</v>
      </c>
      <c r="D58" s="6">
        <v>0</v>
      </c>
      <c r="E58" t="str">
        <v>Pesos</v>
      </c>
      <c r="F58" t="str">
        <v xml:space="preserve"> $</v>
      </c>
      <c r="G58" t="str">
        <f>IFERROR(VLOOKUP(A58,'Clientes CBOT'!B:E,4,0),B58)</f>
        <v>ROSARIO VALORES SA</v>
      </c>
      <c r="H58" t="str">
        <f t="shared" si="0"/>
        <v>Ars</v>
      </c>
      <c r="I58" s="6">
        <f t="shared" si="1"/>
        <v>0</v>
      </c>
      <c r="J58">
        <f t="shared" si="2"/>
        <v>0</v>
      </c>
      <c r="M58" s="64" t="s">
        <v>272</v>
      </c>
      <c r="N58" s="123">
        <v>0</v>
      </c>
    </row>
    <row r="59" spans="1:14" hidden="1" x14ac:dyDescent="0.3">
      <c r="A59">
        <v>5018</v>
      </c>
      <c r="B59" t="str">
        <v>CUCCHIARA Y CIA. S.A.</v>
      </c>
      <c r="C59" s="6">
        <v>0</v>
      </c>
      <c r="D59" s="6">
        <v>0</v>
      </c>
      <c r="E59" t="str">
        <v>Pesos</v>
      </c>
      <c r="F59" t="str">
        <v xml:space="preserve"> $</v>
      </c>
      <c r="G59" t="str">
        <f>IFERROR(VLOOKUP(A59,'Clientes CBOT'!B:E,4,0),B59)</f>
        <v>CUCCHIARA Y CIA. S.A.</v>
      </c>
      <c r="H59" t="str">
        <f t="shared" si="0"/>
        <v>Ars</v>
      </c>
      <c r="I59" s="6">
        <f t="shared" si="1"/>
        <v>0</v>
      </c>
      <c r="J59">
        <f t="shared" si="2"/>
        <v>0</v>
      </c>
      <c r="M59" s="64" t="s">
        <v>273</v>
      </c>
      <c r="N59" s="123">
        <v>-129388.89</v>
      </c>
    </row>
    <row r="60" spans="1:14" hidden="1" x14ac:dyDescent="0.3">
      <c r="A60">
        <v>5052</v>
      </c>
      <c r="B60" t="str">
        <v>BANCO COMAFI SA</v>
      </c>
      <c r="C60" s="6">
        <v>0</v>
      </c>
      <c r="D60" s="6">
        <v>0</v>
      </c>
      <c r="E60" t="str">
        <v>Pesos</v>
      </c>
      <c r="F60" t="str">
        <v xml:space="preserve"> $</v>
      </c>
      <c r="G60" t="str">
        <f>IFERROR(VLOOKUP(A60,'Clientes CBOT'!B:E,4,0),B60)</f>
        <v>BANCO COMAFI SA</v>
      </c>
      <c r="H60" t="str">
        <f t="shared" si="0"/>
        <v>Ars</v>
      </c>
      <c r="I60" s="6">
        <f t="shared" si="1"/>
        <v>0</v>
      </c>
      <c r="J60">
        <f t="shared" si="2"/>
        <v>0</v>
      </c>
      <c r="M60" s="64" t="s">
        <v>275</v>
      </c>
      <c r="N60" s="123">
        <v>0</v>
      </c>
    </row>
    <row r="61" spans="1:14" hidden="1" x14ac:dyDescent="0.3">
      <c r="A61">
        <v>5052</v>
      </c>
      <c r="B61" t="str">
        <v>BANCO COMAFI SA</v>
      </c>
      <c r="C61" s="6">
        <v>0</v>
      </c>
      <c r="D61" s="6">
        <v>0</v>
      </c>
      <c r="E61" t="str">
        <v xml:space="preserve">Dólar </v>
      </c>
      <c r="F61" t="str">
        <v xml:space="preserve"> U$S</v>
      </c>
      <c r="G61" t="str">
        <f>IFERROR(VLOOKUP(A61,'Clientes CBOT'!B:E,4,0),B61)</f>
        <v>BANCO COMAFI SA</v>
      </c>
      <c r="H61" t="str">
        <f t="shared" si="0"/>
        <v>Dólar</v>
      </c>
      <c r="I61" s="6">
        <f t="shared" si="1"/>
        <v>0</v>
      </c>
      <c r="J61">
        <f t="shared" si="2"/>
        <v>0</v>
      </c>
      <c r="M61" s="64" t="s">
        <v>276</v>
      </c>
      <c r="N61" s="123">
        <v>611.52</v>
      </c>
    </row>
    <row r="62" spans="1:14" hidden="1" x14ac:dyDescent="0.3">
      <c r="A62">
        <v>5018</v>
      </c>
      <c r="B62" t="str">
        <v>CUCCHIARA Y CIA. S.A.</v>
      </c>
      <c r="C62" s="6">
        <v>0</v>
      </c>
      <c r="D62" s="6">
        <v>0</v>
      </c>
      <c r="E62" t="str">
        <v xml:space="preserve">Dólar </v>
      </c>
      <c r="F62" t="str">
        <v xml:space="preserve"> U$S</v>
      </c>
      <c r="G62" t="str">
        <f>IFERROR(VLOOKUP(A62,'Clientes CBOT'!B:E,4,0),B62)</f>
        <v>CUCCHIARA Y CIA. S.A.</v>
      </c>
      <c r="H62" t="str">
        <f t="shared" si="0"/>
        <v>Dólar</v>
      </c>
      <c r="I62" s="6">
        <f t="shared" si="1"/>
        <v>0</v>
      </c>
      <c r="J62">
        <f t="shared" si="2"/>
        <v>0</v>
      </c>
      <c r="M62" s="64" t="s">
        <v>204</v>
      </c>
      <c r="N62" s="123">
        <v>1567.73</v>
      </c>
    </row>
    <row r="63" spans="1:14" hidden="1" x14ac:dyDescent="0.3">
      <c r="A63">
        <v>5114</v>
      </c>
      <c r="B63" t="str">
        <v>ROSARIO VALORES SA</v>
      </c>
      <c r="C63" s="6">
        <v>0</v>
      </c>
      <c r="D63" s="6">
        <v>0</v>
      </c>
      <c r="E63" t="str">
        <v xml:space="preserve">Dólar </v>
      </c>
      <c r="F63" t="str">
        <v xml:space="preserve"> U$S</v>
      </c>
      <c r="G63" t="str">
        <f>IFERROR(VLOOKUP(A63,'Clientes CBOT'!B:E,4,0),B63)</f>
        <v>ROSARIO VALORES SA</v>
      </c>
      <c r="H63" t="str">
        <f t="shared" si="0"/>
        <v>Dólar</v>
      </c>
      <c r="I63" s="6">
        <f t="shared" si="1"/>
        <v>0</v>
      </c>
      <c r="J63">
        <f t="shared" si="2"/>
        <v>0</v>
      </c>
      <c r="M63" s="64" t="s">
        <v>207</v>
      </c>
      <c r="N63" s="123">
        <v>-801.91000000000008</v>
      </c>
    </row>
    <row r="64" spans="1:14" hidden="1" x14ac:dyDescent="0.3">
      <c r="A64">
        <v>5213</v>
      </c>
      <c r="B64" t="str">
        <v>ROSENTAL SA</v>
      </c>
      <c r="C64" s="6">
        <v>0</v>
      </c>
      <c r="D64" s="6">
        <v>0</v>
      </c>
      <c r="E64" t="str">
        <v xml:space="preserve">Dólar </v>
      </c>
      <c r="F64" t="str">
        <v xml:space="preserve"> U$S</v>
      </c>
      <c r="G64" t="str">
        <f>IFERROR(VLOOKUP(A64,'Clientes CBOT'!B:E,4,0),B64)</f>
        <v>ROSENTAL SA</v>
      </c>
      <c r="H64" t="str">
        <f t="shared" si="0"/>
        <v>Dólar</v>
      </c>
      <c r="I64" s="6">
        <f t="shared" si="1"/>
        <v>0</v>
      </c>
      <c r="J64">
        <f t="shared" si="2"/>
        <v>0</v>
      </c>
      <c r="M64" s="64" t="s">
        <v>278</v>
      </c>
      <c r="N64" s="123">
        <v>0</v>
      </c>
    </row>
    <row r="65" spans="1:14" hidden="1" x14ac:dyDescent="0.3">
      <c r="A65">
        <v>5040</v>
      </c>
      <c r="B65" t="str">
        <v>PUENTE HNOS SA</v>
      </c>
      <c r="C65" s="6">
        <v>0</v>
      </c>
      <c r="D65" s="6">
        <v>0</v>
      </c>
      <c r="E65" t="str">
        <v xml:space="preserve">Dólar </v>
      </c>
      <c r="F65" t="str">
        <v xml:space="preserve"> U$S</v>
      </c>
      <c r="G65" t="str">
        <f>IFERROR(VLOOKUP(A65,'Clientes CBOT'!B:E,4,0),B65)</f>
        <v>PUENTE HNOS SA</v>
      </c>
      <c r="H65" t="str">
        <f t="shared" si="0"/>
        <v>Dólar</v>
      </c>
      <c r="I65" s="6">
        <f t="shared" si="1"/>
        <v>0</v>
      </c>
      <c r="J65">
        <f t="shared" si="2"/>
        <v>0</v>
      </c>
      <c r="M65" s="64" t="s">
        <v>279</v>
      </c>
      <c r="N65" s="123">
        <v>0</v>
      </c>
    </row>
    <row r="66" spans="1:14" hidden="1" x14ac:dyDescent="0.3">
      <c r="A66">
        <v>5235</v>
      </c>
      <c r="B66" t="str">
        <v>CRITERIA AN SA</v>
      </c>
      <c r="C66" s="6">
        <v>0</v>
      </c>
      <c r="D66" s="6">
        <v>0</v>
      </c>
      <c r="E66" t="str">
        <v xml:space="preserve">Dólar </v>
      </c>
      <c r="F66" t="str">
        <v xml:space="preserve"> U$S</v>
      </c>
      <c r="G66" t="str">
        <f>IFERROR(VLOOKUP(A66,'Clientes CBOT'!B:E,4,0),B66)</f>
        <v>CRITERIA AN SA</v>
      </c>
      <c r="H66" t="str">
        <f t="shared" si="0"/>
        <v>Dólar</v>
      </c>
      <c r="I66" s="6">
        <f t="shared" si="1"/>
        <v>0</v>
      </c>
      <c r="J66">
        <f t="shared" si="2"/>
        <v>0</v>
      </c>
      <c r="M66" s="64" t="s">
        <v>281</v>
      </c>
      <c r="N66" s="123">
        <v>0</v>
      </c>
    </row>
    <row r="67" spans="1:14" hidden="1" x14ac:dyDescent="0.3">
      <c r="A67">
        <v>5122</v>
      </c>
      <c r="B67" t="str">
        <v>INDUSTRIAL VALORES SA</v>
      </c>
      <c r="C67" s="6">
        <v>0</v>
      </c>
      <c r="D67" s="6">
        <v>0</v>
      </c>
      <c r="E67" t="str">
        <v xml:space="preserve">Dólar </v>
      </c>
      <c r="F67" t="str">
        <v xml:space="preserve"> U$S</v>
      </c>
      <c r="G67" t="str">
        <f>IFERROR(VLOOKUP(A67,'Clientes CBOT'!B:E,4,0),B67)</f>
        <v>INDUSTRIAL VALORES SA</v>
      </c>
      <c r="H67" t="str">
        <f t="shared" si="0"/>
        <v>Dólar</v>
      </c>
      <c r="I67" s="6">
        <f t="shared" si="1"/>
        <v>0</v>
      </c>
      <c r="J67">
        <f t="shared" si="2"/>
        <v>0</v>
      </c>
      <c r="M67" s="64" t="s">
        <v>283</v>
      </c>
      <c r="N67" s="123">
        <v>-863.85</v>
      </c>
    </row>
    <row r="68" spans="1:14" hidden="1" x14ac:dyDescent="0.3">
      <c r="A68">
        <v>5227</v>
      </c>
      <c r="B68" t="str">
        <v>CONO SUR INVERSIONES SA</v>
      </c>
      <c r="C68" s="6">
        <v>0</v>
      </c>
      <c r="D68" s="6">
        <v>0</v>
      </c>
      <c r="E68" t="str">
        <v xml:space="preserve">Dólar </v>
      </c>
      <c r="F68" t="str">
        <v xml:space="preserve"> U$S</v>
      </c>
      <c r="G68" t="str">
        <f>IFERROR(VLOOKUP(A68,'Clientes CBOT'!B:E,4,0),B68)</f>
        <v>CONO SUR INVERSIONES SA</v>
      </c>
      <c r="H68" t="str">
        <f t="shared" si="0"/>
        <v>Dólar</v>
      </c>
      <c r="I68" s="6">
        <f t="shared" si="1"/>
        <v>0</v>
      </c>
      <c r="J68">
        <f t="shared" si="2"/>
        <v>0</v>
      </c>
      <c r="M68" s="64" t="s">
        <v>284</v>
      </c>
      <c r="N68" s="123">
        <v>0</v>
      </c>
    </row>
    <row r="69" spans="1:14" hidden="1" x14ac:dyDescent="0.3">
      <c r="A69">
        <v>6116</v>
      </c>
      <c r="B69" t="str">
        <v>FUERTES RAQUEL P DE Y OTROS SOC.CAPI SECC IV</v>
      </c>
      <c r="C69" s="6">
        <v>202146.74</v>
      </c>
      <c r="D69" s="6">
        <v>0</v>
      </c>
      <c r="E69" t="str">
        <v xml:space="preserve">Dólar </v>
      </c>
      <c r="F69" t="str">
        <v xml:space="preserve"> U$S</v>
      </c>
      <c r="G69" t="str">
        <f>IFERROR(VLOOKUP(A69,'Clientes CBOT'!B:E,4,0),B69)</f>
        <v>FUERTES RAQUEL P DE Y OTROS SOC.CAPI SECC IV</v>
      </c>
      <c r="H69" t="str">
        <f t="shared" ref="H69:H132" si="3">IF(E69="pesos","Ars",IF(E69="Dólar Matba Rofex","usd linked",IF(F69=" U$S TT","Hard","Dólar")))</f>
        <v>Dólar</v>
      </c>
      <c r="I69" s="6">
        <f t="shared" ref="I69:I132" si="4">IF(H69="ars",C69/$J$1,IF(H69="Hard",C69*$J$2/$J$1,C69))</f>
        <v>202146.74</v>
      </c>
      <c r="J69">
        <f t="shared" ref="J69:J132" si="5">IF(H69="ars",D69/$J$1,IF(H69="hard",D69*$J$2/$J$1,D69))</f>
        <v>0</v>
      </c>
      <c r="M69" s="64" t="s">
        <v>285</v>
      </c>
      <c r="N69" s="123">
        <v>0</v>
      </c>
    </row>
    <row r="70" spans="1:14" hidden="1" x14ac:dyDescent="0.3">
      <c r="A70">
        <v>6118</v>
      </c>
      <c r="B70" t="str">
        <v>TAZZIOLI PATRICIA, BIOLATO LUCIANA</v>
      </c>
      <c r="C70" s="6">
        <v>92.2</v>
      </c>
      <c r="D70" s="6">
        <v>0</v>
      </c>
      <c r="E70" t="str">
        <v xml:space="preserve">Dólar </v>
      </c>
      <c r="F70" t="str">
        <v xml:space="preserve"> U$S</v>
      </c>
      <c r="G70" t="str">
        <f>IFERROR(VLOOKUP(A70,'Clientes CBOT'!B:E,4,0),B70)</f>
        <v>TAZZIOLI PATRICIA, BIOLATO LUCIANA</v>
      </c>
      <c r="H70" t="str">
        <f t="shared" si="3"/>
        <v>Dólar</v>
      </c>
      <c r="I70" s="6">
        <f t="shared" si="4"/>
        <v>92.2</v>
      </c>
      <c r="J70">
        <f t="shared" si="5"/>
        <v>0</v>
      </c>
      <c r="M70" s="64" t="s">
        <v>286</v>
      </c>
      <c r="N70" s="123">
        <v>0</v>
      </c>
    </row>
    <row r="71" spans="1:14" hidden="1" x14ac:dyDescent="0.3">
      <c r="A71">
        <v>6120</v>
      </c>
      <c r="B71" t="str">
        <v>MURATURE SOFIA</v>
      </c>
      <c r="C71" s="6">
        <v>0</v>
      </c>
      <c r="D71" s="6">
        <v>0</v>
      </c>
      <c r="E71" t="str">
        <v xml:space="preserve">Dólar </v>
      </c>
      <c r="F71" t="str">
        <v xml:space="preserve"> U$S</v>
      </c>
      <c r="G71" t="str">
        <f>IFERROR(VLOOKUP(A71,'Clientes CBOT'!B:E,4,0),B71)</f>
        <v>MURATURE SOFIA</v>
      </c>
      <c r="H71" t="str">
        <f t="shared" si="3"/>
        <v>Dólar</v>
      </c>
      <c r="I71" s="6">
        <f t="shared" si="4"/>
        <v>0</v>
      </c>
      <c r="J71">
        <f t="shared" si="5"/>
        <v>0</v>
      </c>
      <c r="M71" s="64" t="s">
        <v>288</v>
      </c>
      <c r="N71" s="123">
        <v>0</v>
      </c>
    </row>
    <row r="72" spans="1:14" hidden="1" x14ac:dyDescent="0.3">
      <c r="A72">
        <v>6123</v>
      </c>
      <c r="B72" t="str">
        <v>ROCIO VICENTIN</v>
      </c>
      <c r="C72" s="6">
        <v>2000</v>
      </c>
      <c r="D72" s="6">
        <v>0</v>
      </c>
      <c r="E72" t="str">
        <v xml:space="preserve">Dólar </v>
      </c>
      <c r="F72" t="str">
        <v xml:space="preserve"> U$S</v>
      </c>
      <c r="G72" t="str">
        <f>IFERROR(VLOOKUP(A72,'Clientes CBOT'!B:E,4,0),B72)</f>
        <v>ROCIO VICENTIN</v>
      </c>
      <c r="H72" t="str">
        <f t="shared" si="3"/>
        <v>Dólar</v>
      </c>
      <c r="I72" s="6">
        <f t="shared" si="4"/>
        <v>2000</v>
      </c>
      <c r="J72">
        <f t="shared" si="5"/>
        <v>0</v>
      </c>
      <c r="M72" s="64" t="s">
        <v>792</v>
      </c>
      <c r="N72" s="123">
        <v>0</v>
      </c>
    </row>
    <row r="73" spans="1:14" hidden="1" x14ac:dyDescent="0.3">
      <c r="A73">
        <v>6115</v>
      </c>
      <c r="B73" t="str">
        <v>GRUPO EL JAQUE S.A.</v>
      </c>
      <c r="C73" s="6">
        <v>0.2</v>
      </c>
      <c r="D73" s="6">
        <v>0</v>
      </c>
      <c r="E73" t="str">
        <v xml:space="preserve">Dólar </v>
      </c>
      <c r="F73" t="str">
        <v xml:space="preserve"> U$S</v>
      </c>
      <c r="G73" t="str">
        <f>IFERROR(VLOOKUP(A73,'Clientes CBOT'!B:E,4,0),B73)</f>
        <v>GRUPO EL JAQUE S.A.</v>
      </c>
      <c r="H73" t="str">
        <f t="shared" si="3"/>
        <v>Dólar</v>
      </c>
      <c r="I73" s="6">
        <f t="shared" si="4"/>
        <v>0.2</v>
      </c>
      <c r="J73">
        <f t="shared" si="5"/>
        <v>0</v>
      </c>
      <c r="M73" s="64" t="s">
        <v>292</v>
      </c>
      <c r="N73" s="123">
        <v>1.05</v>
      </c>
    </row>
    <row r="74" spans="1:14" hidden="1" x14ac:dyDescent="0.3">
      <c r="A74">
        <v>6110</v>
      </c>
      <c r="B74" t="str">
        <v>LANOLEC INVERSIONES SA</v>
      </c>
      <c r="C74" s="6">
        <v>8800</v>
      </c>
      <c r="D74" s="6">
        <v>0</v>
      </c>
      <c r="E74" t="str">
        <v xml:space="preserve">Dólar </v>
      </c>
      <c r="F74" t="str">
        <v xml:space="preserve"> U$S</v>
      </c>
      <c r="G74" t="str">
        <f>IFERROR(VLOOKUP(A74,'Clientes CBOT'!B:E,4,0),B74)</f>
        <v>LANOLEC INVERSIONES SA</v>
      </c>
      <c r="H74" t="str">
        <f t="shared" si="3"/>
        <v>Dólar</v>
      </c>
      <c r="I74" s="6">
        <f t="shared" si="4"/>
        <v>8800</v>
      </c>
      <c r="J74">
        <f t="shared" si="5"/>
        <v>0</v>
      </c>
      <c r="M74" s="64" t="s">
        <v>294</v>
      </c>
      <c r="N74" s="123">
        <v>107.95</v>
      </c>
    </row>
    <row r="75" spans="1:14" hidden="1" x14ac:dyDescent="0.3">
      <c r="A75">
        <v>6108</v>
      </c>
      <c r="B75" t="str">
        <v>ARMENDARIZ GUSTAVO GABRIEL JESU</v>
      </c>
      <c r="C75" s="6">
        <v>81.650000000000006</v>
      </c>
      <c r="D75" s="6">
        <v>0</v>
      </c>
      <c r="E75" t="str">
        <v xml:space="preserve">Dólar </v>
      </c>
      <c r="F75" t="str">
        <v xml:space="preserve"> U$S</v>
      </c>
      <c r="G75" t="str">
        <f>IFERROR(VLOOKUP(A75,'Clientes CBOT'!B:E,4,0),B75)</f>
        <v>ARMENDARIZ GUSTAVO GABRIEL JESU</v>
      </c>
      <c r="H75" t="str">
        <f t="shared" si="3"/>
        <v>Dólar</v>
      </c>
      <c r="I75" s="6">
        <f t="shared" si="4"/>
        <v>81.650000000000006</v>
      </c>
      <c r="J75">
        <f t="shared" si="5"/>
        <v>0</v>
      </c>
      <c r="M75" s="64" t="s">
        <v>295</v>
      </c>
      <c r="N75" s="123">
        <v>2890.07</v>
      </c>
    </row>
    <row r="76" spans="1:14" hidden="1" x14ac:dyDescent="0.3">
      <c r="A76">
        <v>6106</v>
      </c>
      <c r="B76" t="str">
        <v>LA TROJA AGRO SOCIEDAD ANONIMA</v>
      </c>
      <c r="C76" s="6">
        <v>0</v>
      </c>
      <c r="D76" s="6">
        <v>0</v>
      </c>
      <c r="E76" t="str">
        <v xml:space="preserve">Dólar </v>
      </c>
      <c r="F76" t="str">
        <v xml:space="preserve"> U$S</v>
      </c>
      <c r="G76" t="str">
        <f>IFERROR(VLOOKUP(A76,'Clientes CBOT'!B:E,4,0),B76)</f>
        <v>LA TROJA AGRO SOCIEDAD ANONIMA</v>
      </c>
      <c r="H76" t="str">
        <f t="shared" si="3"/>
        <v>Dólar</v>
      </c>
      <c r="I76" s="6">
        <f t="shared" si="4"/>
        <v>0</v>
      </c>
      <c r="J76">
        <f t="shared" si="5"/>
        <v>0</v>
      </c>
      <c r="M76" s="64" t="s">
        <v>296</v>
      </c>
      <c r="N76" s="123">
        <v>-426843.63</v>
      </c>
    </row>
    <row r="77" spans="1:14" hidden="1" x14ac:dyDescent="0.3">
      <c r="A77">
        <v>5297</v>
      </c>
      <c r="B77" t="str">
        <v>DON CAPITAL SA</v>
      </c>
      <c r="C77" s="6">
        <v>0</v>
      </c>
      <c r="D77" s="6">
        <v>0</v>
      </c>
      <c r="E77" t="str">
        <v xml:space="preserve">Dólar </v>
      </c>
      <c r="F77" t="str">
        <v xml:space="preserve"> U$S</v>
      </c>
      <c r="G77" t="str">
        <f>IFERROR(VLOOKUP(A77,'Clientes CBOT'!B:E,4,0),B77)</f>
        <v>DON CAPITAL SA</v>
      </c>
      <c r="H77" t="str">
        <f t="shared" si="3"/>
        <v>Dólar</v>
      </c>
      <c r="I77" s="6">
        <f t="shared" si="4"/>
        <v>0</v>
      </c>
      <c r="J77">
        <f t="shared" si="5"/>
        <v>0</v>
      </c>
      <c r="M77" s="64" t="s">
        <v>297</v>
      </c>
      <c r="N77" s="123">
        <v>9974.67</v>
      </c>
    </row>
    <row r="78" spans="1:14" hidden="1" x14ac:dyDescent="0.3">
      <c r="A78">
        <v>5062</v>
      </c>
      <c r="B78" t="str">
        <v>NASINI SA</v>
      </c>
      <c r="C78" s="6">
        <v>0</v>
      </c>
      <c r="D78" s="6">
        <v>0</v>
      </c>
      <c r="E78" t="str">
        <v xml:space="preserve">Dólar </v>
      </c>
      <c r="F78" t="str">
        <v xml:space="preserve"> U$S</v>
      </c>
      <c r="G78" t="str">
        <f>IFERROR(VLOOKUP(A78,'Clientes CBOT'!B:E,4,0),B78)</f>
        <v>NASINI SA</v>
      </c>
      <c r="H78" t="str">
        <f t="shared" si="3"/>
        <v>Dólar</v>
      </c>
      <c r="I78" s="6">
        <f t="shared" si="4"/>
        <v>0</v>
      </c>
      <c r="J78">
        <f t="shared" si="5"/>
        <v>0</v>
      </c>
      <c r="M78" s="64" t="s">
        <v>299</v>
      </c>
      <c r="N78" s="123">
        <v>8425.19</v>
      </c>
    </row>
    <row r="79" spans="1:14" x14ac:dyDescent="0.3">
      <c r="A79">
        <v>264</v>
      </c>
      <c r="B79" t="str">
        <v>AGUSTI LEANDRO MARCELO</v>
      </c>
      <c r="C79" s="6">
        <v>0</v>
      </c>
      <c r="D79" s="6">
        <v>0</v>
      </c>
      <c r="E79" t="str">
        <v xml:space="preserve">Dólar </v>
      </c>
      <c r="F79" t="str">
        <v xml:space="preserve"> U$S</v>
      </c>
      <c r="G79" t="str">
        <f>IFERROR(VLOOKUP(A79,'Clientes CBOT'!B:E,4,0),B79)</f>
        <v>AGUSTI LEANDRO MARCELO</v>
      </c>
      <c r="H79" t="str">
        <f t="shared" si="3"/>
        <v>Dólar</v>
      </c>
      <c r="I79" s="6">
        <f t="shared" si="4"/>
        <v>0</v>
      </c>
      <c r="J79">
        <f t="shared" si="5"/>
        <v>0</v>
      </c>
      <c r="M79" s="64" t="s">
        <v>300</v>
      </c>
      <c r="N79" s="123">
        <v>-17181.84</v>
      </c>
    </row>
    <row r="80" spans="1:14" x14ac:dyDescent="0.3">
      <c r="A80">
        <v>5101</v>
      </c>
      <c r="B80" t="str">
        <v>PETRINI VALORES S.A.</v>
      </c>
      <c r="C80" s="6">
        <v>0</v>
      </c>
      <c r="D80" s="6">
        <v>0</v>
      </c>
      <c r="E80" t="str">
        <v xml:space="preserve">Dólar </v>
      </c>
      <c r="F80" t="str">
        <v xml:space="preserve"> U$S</v>
      </c>
      <c r="G80" t="str">
        <f>IFERROR(VLOOKUP(A80,'Clientes CBOT'!B:E,4,0),B80)</f>
        <v>PETRINI VALORES S.A.</v>
      </c>
      <c r="H80" t="str">
        <f t="shared" si="3"/>
        <v>Dólar</v>
      </c>
      <c r="I80" s="6">
        <f t="shared" si="4"/>
        <v>0</v>
      </c>
      <c r="J80">
        <f t="shared" si="5"/>
        <v>0</v>
      </c>
      <c r="M80" s="64" t="s">
        <v>302</v>
      </c>
      <c r="N80" s="123">
        <v>-9901.2199999999993</v>
      </c>
    </row>
    <row r="81" spans="1:14" x14ac:dyDescent="0.3">
      <c r="A81">
        <v>5067</v>
      </c>
      <c r="B81" t="str">
        <v>LBO S.A.</v>
      </c>
      <c r="C81" s="6">
        <v>0</v>
      </c>
      <c r="D81" s="6">
        <v>0</v>
      </c>
      <c r="E81" t="str">
        <v xml:space="preserve">Dólar </v>
      </c>
      <c r="F81" t="str">
        <v xml:space="preserve"> U$S</v>
      </c>
      <c r="G81" t="str">
        <f>IFERROR(VLOOKUP(A81,'Clientes CBOT'!B:E,4,0),B81)</f>
        <v>LBO S.A.</v>
      </c>
      <c r="H81" t="str">
        <f t="shared" si="3"/>
        <v>Dólar</v>
      </c>
      <c r="I81" s="6">
        <f t="shared" si="4"/>
        <v>0</v>
      </c>
      <c r="J81">
        <f t="shared" si="5"/>
        <v>0</v>
      </c>
      <c r="M81" s="64" t="s">
        <v>304</v>
      </c>
      <c r="N81" s="123">
        <v>0.4</v>
      </c>
    </row>
    <row r="82" spans="1:14" x14ac:dyDescent="0.3">
      <c r="A82">
        <v>5238</v>
      </c>
      <c r="B82" t="str">
        <v>BALANZ CAPITAL VALORES S.A.U.</v>
      </c>
      <c r="C82" s="6">
        <v>0</v>
      </c>
      <c r="D82" s="6">
        <v>0</v>
      </c>
      <c r="E82" t="str">
        <v xml:space="preserve">Dólar </v>
      </c>
      <c r="F82" t="str">
        <v xml:space="preserve"> U$S</v>
      </c>
      <c r="G82" t="str">
        <f>IFERROR(VLOOKUP(A82,'Clientes CBOT'!B:E,4,0),B82)</f>
        <v>BALANZ CAPITAL VALORES S.A.U.</v>
      </c>
      <c r="H82" t="str">
        <f t="shared" si="3"/>
        <v>Dólar</v>
      </c>
      <c r="I82" s="6">
        <f t="shared" si="4"/>
        <v>0</v>
      </c>
      <c r="J82">
        <f t="shared" si="5"/>
        <v>0</v>
      </c>
      <c r="M82" s="64" t="s">
        <v>310</v>
      </c>
      <c r="N82" s="123">
        <v>0</v>
      </c>
    </row>
    <row r="83" spans="1:14" x14ac:dyDescent="0.3">
      <c r="A83">
        <v>5035</v>
      </c>
      <c r="B83" t="str">
        <v>AR PARTNERS S.A.</v>
      </c>
      <c r="C83" s="6">
        <v>0</v>
      </c>
      <c r="D83" s="6">
        <v>0</v>
      </c>
      <c r="E83" t="str">
        <v xml:space="preserve">Dólar </v>
      </c>
      <c r="F83" t="str">
        <v xml:space="preserve"> U$S</v>
      </c>
      <c r="G83" t="str">
        <f>IFERROR(VLOOKUP(A83,'Clientes CBOT'!B:E,4,0),B83)</f>
        <v>AR PARTNERS S.A.</v>
      </c>
      <c r="H83" t="str">
        <f t="shared" si="3"/>
        <v>Dólar</v>
      </c>
      <c r="I83" s="6">
        <f t="shared" si="4"/>
        <v>0</v>
      </c>
      <c r="J83">
        <f t="shared" si="5"/>
        <v>0</v>
      </c>
      <c r="M83" s="64" t="s">
        <v>311</v>
      </c>
      <c r="N83" s="123">
        <v>510.97999999999996</v>
      </c>
    </row>
    <row r="84" spans="1:14" x14ac:dyDescent="0.3">
      <c r="A84">
        <v>5006</v>
      </c>
      <c r="B84" t="str">
        <v>ALLARIA LEDESMA &amp; CÍA S.A.</v>
      </c>
      <c r="C84" s="6">
        <v>0</v>
      </c>
      <c r="D84" s="6">
        <v>0</v>
      </c>
      <c r="E84" t="str">
        <v xml:space="preserve">Dólar </v>
      </c>
      <c r="F84" t="str">
        <v xml:space="preserve"> U$S</v>
      </c>
      <c r="G84" t="str">
        <f>IFERROR(VLOOKUP(A84,'Clientes CBOT'!B:E,4,0),B84)</f>
        <v>ALLARIA LEDESMA &amp; CÍA S.A.</v>
      </c>
      <c r="H84" t="str">
        <f t="shared" si="3"/>
        <v>Dólar</v>
      </c>
      <c r="I84" s="6">
        <f t="shared" si="4"/>
        <v>0</v>
      </c>
      <c r="J84">
        <f t="shared" si="5"/>
        <v>0</v>
      </c>
      <c r="M84" s="64" t="s">
        <v>312</v>
      </c>
      <c r="N84" s="123">
        <v>2.4</v>
      </c>
    </row>
    <row r="85" spans="1:14" x14ac:dyDescent="0.3">
      <c r="A85">
        <v>5021</v>
      </c>
      <c r="B85" t="str">
        <v>CONFIDAS CAPITAL S.A.</v>
      </c>
      <c r="C85" s="6">
        <v>0</v>
      </c>
      <c r="D85" s="6">
        <v>0</v>
      </c>
      <c r="E85" t="str">
        <v xml:space="preserve">Dólar </v>
      </c>
      <c r="F85" t="str">
        <v xml:space="preserve"> U$S</v>
      </c>
      <c r="G85" t="str">
        <f>IFERROR(VLOOKUP(A85,'Clientes CBOT'!B:E,4,0),B85)</f>
        <v>CONFIDAS CAPITAL S.A.</v>
      </c>
      <c r="H85" t="str">
        <f t="shared" si="3"/>
        <v>Dólar</v>
      </c>
      <c r="I85" s="6">
        <f t="shared" si="4"/>
        <v>0</v>
      </c>
      <c r="J85">
        <f t="shared" si="5"/>
        <v>0</v>
      </c>
      <c r="M85" s="64" t="s">
        <v>313</v>
      </c>
      <c r="N85" s="123">
        <v>0</v>
      </c>
    </row>
    <row r="86" spans="1:14" x14ac:dyDescent="0.3">
      <c r="A86">
        <v>121</v>
      </c>
      <c r="B86" t="str">
        <v>LA MINGA SRL</v>
      </c>
      <c r="C86" s="6">
        <v>0</v>
      </c>
      <c r="D86" s="6">
        <v>0</v>
      </c>
      <c r="E86" t="str">
        <v xml:space="preserve">Dólar </v>
      </c>
      <c r="F86" t="str">
        <v xml:space="preserve"> U$S</v>
      </c>
      <c r="G86" t="str">
        <f>IFERROR(VLOOKUP(A86,'Clientes CBOT'!B:E,4,0),B86)</f>
        <v>LA MINGA SRL</v>
      </c>
      <c r="H86" t="str">
        <f t="shared" si="3"/>
        <v>Dólar</v>
      </c>
      <c r="I86" s="6">
        <f t="shared" si="4"/>
        <v>0</v>
      </c>
      <c r="J86">
        <f t="shared" si="5"/>
        <v>0</v>
      </c>
      <c r="M86" s="64" t="s">
        <v>315</v>
      </c>
      <c r="N86" s="123">
        <v>21458.98</v>
      </c>
    </row>
    <row r="87" spans="1:14" x14ac:dyDescent="0.3">
      <c r="A87">
        <v>5120</v>
      </c>
      <c r="B87" t="str">
        <v>MAX CAPITAL SA</v>
      </c>
      <c r="C87" s="6">
        <v>0</v>
      </c>
      <c r="D87" s="6">
        <v>0</v>
      </c>
      <c r="E87" t="str">
        <v xml:space="preserve">Dólar </v>
      </c>
      <c r="F87" t="str">
        <v xml:space="preserve"> U$S</v>
      </c>
      <c r="G87" t="str">
        <f>IFERROR(VLOOKUP(A87,'Clientes CBOT'!B:E,4,0),B87)</f>
        <v>MAX CAPITAL SA</v>
      </c>
      <c r="H87" t="str">
        <f t="shared" si="3"/>
        <v>Dólar</v>
      </c>
      <c r="I87" s="6">
        <f t="shared" si="4"/>
        <v>0</v>
      </c>
      <c r="J87">
        <f t="shared" si="5"/>
        <v>0</v>
      </c>
      <c r="M87" s="64" t="s">
        <v>316</v>
      </c>
      <c r="N87" s="123">
        <v>0</v>
      </c>
    </row>
    <row r="88" spans="1:14" x14ac:dyDescent="0.3">
      <c r="A88">
        <v>5097</v>
      </c>
      <c r="B88" t="str">
        <v>ADCAP SECURITIES ARGENTINA SA</v>
      </c>
      <c r="C88" s="6">
        <v>0</v>
      </c>
      <c r="D88" s="6">
        <v>0</v>
      </c>
      <c r="E88" t="str">
        <v xml:space="preserve">Dólar </v>
      </c>
      <c r="F88" t="str">
        <v xml:space="preserve"> U$S</v>
      </c>
      <c r="G88" t="str">
        <f>IFERROR(VLOOKUP(A88,'Clientes CBOT'!B:E,4,0),B88)</f>
        <v>ADCAP SECURITIES ARGENTINA SA</v>
      </c>
      <c r="H88" t="str">
        <f t="shared" si="3"/>
        <v>Dólar</v>
      </c>
      <c r="I88" s="6">
        <f t="shared" si="4"/>
        <v>0</v>
      </c>
      <c r="J88">
        <f t="shared" si="5"/>
        <v>0</v>
      </c>
      <c r="M88" s="64" t="s">
        <v>793</v>
      </c>
      <c r="N88" s="123">
        <v>0.18</v>
      </c>
    </row>
    <row r="89" spans="1:14" x14ac:dyDescent="0.3">
      <c r="A89">
        <v>1013</v>
      </c>
      <c r="B89" t="str">
        <v>BCSA SD GALILEO EVENT DRIVEN</v>
      </c>
      <c r="C89" s="6">
        <v>0</v>
      </c>
      <c r="D89" s="6">
        <v>0</v>
      </c>
      <c r="E89" t="str">
        <v xml:space="preserve">Dólar </v>
      </c>
      <c r="F89" t="str">
        <v xml:space="preserve"> U$S</v>
      </c>
      <c r="G89" t="str">
        <f>IFERROR(VLOOKUP(A89,'Clientes CBOT'!B:E,4,0),B89)</f>
        <v>BCSA SD GALILEO EVENT DRIVEN</v>
      </c>
      <c r="H89" t="str">
        <f t="shared" si="3"/>
        <v>Dólar</v>
      </c>
      <c r="I89" s="6">
        <f t="shared" si="4"/>
        <v>0</v>
      </c>
      <c r="J89">
        <f t="shared" si="5"/>
        <v>0</v>
      </c>
      <c r="M89" s="64" t="s">
        <v>319</v>
      </c>
      <c r="N89" s="123">
        <v>0</v>
      </c>
    </row>
    <row r="90" spans="1:14" x14ac:dyDescent="0.3">
      <c r="A90">
        <v>5100</v>
      </c>
      <c r="B90" t="str">
        <v>COMAFI BURSATIL SA</v>
      </c>
      <c r="C90" s="6">
        <v>0</v>
      </c>
      <c r="D90" s="6">
        <v>0</v>
      </c>
      <c r="E90" t="str">
        <v xml:space="preserve">Dólar </v>
      </c>
      <c r="F90" t="str">
        <v xml:space="preserve"> U$S</v>
      </c>
      <c r="G90" t="str">
        <f>IFERROR(VLOOKUP(A90,'Clientes CBOT'!B:E,4,0),B90)</f>
        <v>COMAFI BURSATIL SA</v>
      </c>
      <c r="H90" t="str">
        <f t="shared" si="3"/>
        <v>Dólar</v>
      </c>
      <c r="I90" s="6">
        <f t="shared" si="4"/>
        <v>0</v>
      </c>
      <c r="J90">
        <f t="shared" si="5"/>
        <v>0</v>
      </c>
      <c r="M90" s="64" t="s">
        <v>320</v>
      </c>
      <c r="N90" s="123">
        <v>0</v>
      </c>
    </row>
    <row r="91" spans="1:14" x14ac:dyDescent="0.3">
      <c r="A91">
        <v>5100</v>
      </c>
      <c r="B91" t="str">
        <v>COMAFI BURSATIL SA</v>
      </c>
      <c r="C91" s="6">
        <v>0</v>
      </c>
      <c r="D91" s="6">
        <v>0</v>
      </c>
      <c r="E91" t="str">
        <v>Dólar Cable</v>
      </c>
      <c r="F91" t="str">
        <v xml:space="preserve"> U$S TT</v>
      </c>
      <c r="G91" t="str">
        <f>IFERROR(VLOOKUP(A91,'Clientes CBOT'!B:E,4,0),B91)</f>
        <v>COMAFI BURSATIL SA</v>
      </c>
      <c r="H91" t="str">
        <f t="shared" si="3"/>
        <v>Hard</v>
      </c>
      <c r="I91" s="6">
        <f t="shared" si="4"/>
        <v>0</v>
      </c>
      <c r="J91">
        <f t="shared" si="5"/>
        <v>0</v>
      </c>
      <c r="M91" s="64" t="s">
        <v>321</v>
      </c>
      <c r="N91" s="123">
        <v>92.57</v>
      </c>
    </row>
    <row r="92" spans="1:14" x14ac:dyDescent="0.3">
      <c r="A92">
        <v>5097</v>
      </c>
      <c r="B92" t="str">
        <v>ADCAP SECURITIES ARGENTINA SA</v>
      </c>
      <c r="C92" s="6">
        <v>0</v>
      </c>
      <c r="D92" s="6">
        <v>0</v>
      </c>
      <c r="E92" t="str">
        <v>Dólar Cable</v>
      </c>
      <c r="F92" t="str">
        <v xml:space="preserve"> U$S TT</v>
      </c>
      <c r="G92" t="str">
        <f>IFERROR(VLOOKUP(A92,'Clientes CBOT'!B:E,4,0),B92)</f>
        <v>ADCAP SECURITIES ARGENTINA SA</v>
      </c>
      <c r="H92" t="str">
        <f t="shared" si="3"/>
        <v>Hard</v>
      </c>
      <c r="I92" s="6">
        <f t="shared" si="4"/>
        <v>0</v>
      </c>
      <c r="J92">
        <f t="shared" si="5"/>
        <v>0</v>
      </c>
      <c r="M92" s="64" t="s">
        <v>322</v>
      </c>
      <c r="N92" s="123">
        <v>-1209.19</v>
      </c>
    </row>
    <row r="93" spans="1:14" x14ac:dyDescent="0.3">
      <c r="A93">
        <v>5120</v>
      </c>
      <c r="B93" t="str">
        <v>MAX CAPITAL SA</v>
      </c>
      <c r="C93" s="6">
        <v>0</v>
      </c>
      <c r="D93" s="6">
        <v>0</v>
      </c>
      <c r="E93" t="str">
        <v>Dólar Cable</v>
      </c>
      <c r="F93" t="str">
        <v xml:space="preserve"> U$S TT</v>
      </c>
      <c r="G93" t="str">
        <f>IFERROR(VLOOKUP(A93,'Clientes CBOT'!B:E,4,0),B93)</f>
        <v>MAX CAPITAL SA</v>
      </c>
      <c r="H93" t="str">
        <f t="shared" si="3"/>
        <v>Hard</v>
      </c>
      <c r="I93" s="6">
        <f t="shared" si="4"/>
        <v>0</v>
      </c>
      <c r="J93">
        <f t="shared" si="5"/>
        <v>0</v>
      </c>
      <c r="M93" s="64" t="s">
        <v>325</v>
      </c>
      <c r="N93" s="123">
        <v>18939.82</v>
      </c>
    </row>
    <row r="94" spans="1:14" hidden="1" x14ac:dyDescent="0.3">
      <c r="A94">
        <v>5006</v>
      </c>
      <c r="B94" t="str">
        <v>ALLARIA LEDESMA &amp; CÍA S.A.</v>
      </c>
      <c r="C94" s="6">
        <v>0</v>
      </c>
      <c r="D94" s="6">
        <v>0</v>
      </c>
      <c r="E94" t="str">
        <v>Dólar Cable</v>
      </c>
      <c r="F94" t="str">
        <v xml:space="preserve"> U$S TT</v>
      </c>
      <c r="G94" t="str">
        <f>IFERROR(VLOOKUP(A94,'Clientes CBOT'!B:E,4,0),B94)</f>
        <v>ALLARIA LEDESMA &amp; CÍA S.A.</v>
      </c>
      <c r="H94" t="str">
        <f t="shared" si="3"/>
        <v>Hard</v>
      </c>
      <c r="I94" s="6">
        <f t="shared" si="4"/>
        <v>0</v>
      </c>
      <c r="J94">
        <f t="shared" si="5"/>
        <v>0</v>
      </c>
      <c r="M94" s="64" t="s">
        <v>215</v>
      </c>
      <c r="N94" s="123">
        <v>2.34</v>
      </c>
    </row>
    <row r="95" spans="1:14" hidden="1" x14ac:dyDescent="0.3">
      <c r="A95">
        <v>5035</v>
      </c>
      <c r="B95" t="str">
        <v>AR PARTNERS S.A.</v>
      </c>
      <c r="C95" s="6">
        <v>0</v>
      </c>
      <c r="D95" s="6">
        <v>0</v>
      </c>
      <c r="E95" t="str">
        <v>Dólar Cable</v>
      </c>
      <c r="F95" t="str">
        <v xml:space="preserve"> U$S TT</v>
      </c>
      <c r="G95" t="str">
        <f>IFERROR(VLOOKUP(A95,'Clientes CBOT'!B:E,4,0),B95)</f>
        <v>AR PARTNERS S.A.</v>
      </c>
      <c r="H95" t="str">
        <f t="shared" si="3"/>
        <v>Hard</v>
      </c>
      <c r="I95" s="6">
        <f t="shared" si="4"/>
        <v>0</v>
      </c>
      <c r="J95">
        <f t="shared" si="5"/>
        <v>0</v>
      </c>
      <c r="M95" s="64" t="s">
        <v>326</v>
      </c>
      <c r="N95" s="123">
        <v>0</v>
      </c>
    </row>
    <row r="96" spans="1:14" hidden="1" x14ac:dyDescent="0.3">
      <c r="A96">
        <v>5238</v>
      </c>
      <c r="B96" t="str">
        <v>BALANZ CAPITAL VALORES S.A.U.</v>
      </c>
      <c r="C96" s="6">
        <v>0</v>
      </c>
      <c r="D96" s="6">
        <v>0</v>
      </c>
      <c r="E96" t="str">
        <v>Dólar Cable</v>
      </c>
      <c r="F96" t="str">
        <v xml:space="preserve"> U$S TT</v>
      </c>
      <c r="G96" t="str">
        <f>IFERROR(VLOOKUP(A96,'Clientes CBOT'!B:E,4,0),B96)</f>
        <v>BALANZ CAPITAL VALORES S.A.U.</v>
      </c>
      <c r="H96" t="str">
        <f t="shared" si="3"/>
        <v>Hard</v>
      </c>
      <c r="I96" s="6">
        <f t="shared" si="4"/>
        <v>0</v>
      </c>
      <c r="J96">
        <f t="shared" si="5"/>
        <v>0</v>
      </c>
      <c r="M96" s="64" t="s">
        <v>328</v>
      </c>
      <c r="N96" s="123">
        <v>0</v>
      </c>
    </row>
    <row r="97" spans="1:14" hidden="1" x14ac:dyDescent="0.3">
      <c r="A97">
        <v>5067</v>
      </c>
      <c r="B97" t="str">
        <v>LBO S.A.</v>
      </c>
      <c r="C97" s="6">
        <v>0</v>
      </c>
      <c r="D97" s="6">
        <v>0</v>
      </c>
      <c r="E97" t="str">
        <v>Dólar Cable</v>
      </c>
      <c r="F97" t="str">
        <v xml:space="preserve"> U$S TT</v>
      </c>
      <c r="G97" t="str">
        <f>IFERROR(VLOOKUP(A97,'Clientes CBOT'!B:E,4,0),B97)</f>
        <v>LBO S.A.</v>
      </c>
      <c r="H97" t="str">
        <f t="shared" si="3"/>
        <v>Hard</v>
      </c>
      <c r="I97" s="6">
        <f t="shared" si="4"/>
        <v>0</v>
      </c>
      <c r="J97">
        <f t="shared" si="5"/>
        <v>0</v>
      </c>
      <c r="M97" s="64" t="s">
        <v>329</v>
      </c>
      <c r="N97" s="123">
        <v>0</v>
      </c>
    </row>
    <row r="98" spans="1:14" hidden="1" x14ac:dyDescent="0.3">
      <c r="A98">
        <v>5297</v>
      </c>
      <c r="B98" t="str">
        <v>DON CAPITAL SA</v>
      </c>
      <c r="C98" s="6">
        <v>0</v>
      </c>
      <c r="D98" s="6">
        <v>0</v>
      </c>
      <c r="E98" t="str">
        <v>Dólar Cable</v>
      </c>
      <c r="F98" t="str">
        <v xml:space="preserve"> U$S TT</v>
      </c>
      <c r="G98" t="str">
        <f>IFERROR(VLOOKUP(A98,'Clientes CBOT'!B:E,4,0),B98)</f>
        <v>DON CAPITAL SA</v>
      </c>
      <c r="H98" t="str">
        <f t="shared" si="3"/>
        <v>Hard</v>
      </c>
      <c r="I98" s="6">
        <f t="shared" si="4"/>
        <v>0</v>
      </c>
      <c r="J98">
        <f t="shared" si="5"/>
        <v>0</v>
      </c>
      <c r="M98" s="64" t="s">
        <v>331</v>
      </c>
      <c r="N98" s="123">
        <v>2353.91</v>
      </c>
    </row>
    <row r="99" spans="1:14" hidden="1" x14ac:dyDescent="0.3">
      <c r="A99">
        <v>5285</v>
      </c>
      <c r="B99" t="str">
        <v>DA VALORES S.A.</v>
      </c>
      <c r="C99" s="6">
        <v>0</v>
      </c>
      <c r="D99" s="6">
        <v>0</v>
      </c>
      <c r="E99" t="str">
        <v>Dólar Cable</v>
      </c>
      <c r="F99" t="str">
        <v xml:space="preserve"> U$S TT</v>
      </c>
      <c r="G99" t="str">
        <f>IFERROR(VLOOKUP(A99,'Clientes CBOT'!B:E,4,0),B99)</f>
        <v>DA VALORES S.A.</v>
      </c>
      <c r="H99" t="str">
        <f t="shared" si="3"/>
        <v>Hard</v>
      </c>
      <c r="I99" s="6">
        <f t="shared" si="4"/>
        <v>0</v>
      </c>
      <c r="J99">
        <f t="shared" si="5"/>
        <v>0</v>
      </c>
      <c r="M99" s="64" t="s">
        <v>332</v>
      </c>
      <c r="N99" s="123">
        <v>36692.06</v>
      </c>
    </row>
    <row r="100" spans="1:14" hidden="1" x14ac:dyDescent="0.3">
      <c r="A100">
        <v>5227</v>
      </c>
      <c r="B100" t="str">
        <v>CONO SUR INVERSIONES SA</v>
      </c>
      <c r="C100" s="6">
        <v>0</v>
      </c>
      <c r="D100" s="6">
        <v>0</v>
      </c>
      <c r="E100" t="str">
        <v>Dólar Cable</v>
      </c>
      <c r="F100" t="str">
        <v xml:space="preserve"> U$S TT</v>
      </c>
      <c r="G100" t="str">
        <f>IFERROR(VLOOKUP(A100,'Clientes CBOT'!B:E,4,0),B100)</f>
        <v>CONO SUR INVERSIONES SA</v>
      </c>
      <c r="H100" t="str">
        <f t="shared" si="3"/>
        <v>Hard</v>
      </c>
      <c r="I100" s="6">
        <f t="shared" si="4"/>
        <v>0</v>
      </c>
      <c r="J100">
        <f t="shared" si="5"/>
        <v>0</v>
      </c>
      <c r="M100" s="64" t="s">
        <v>333</v>
      </c>
      <c r="N100" s="123">
        <v>228.23</v>
      </c>
    </row>
    <row r="101" spans="1:14" hidden="1" x14ac:dyDescent="0.3">
      <c r="A101">
        <v>5122</v>
      </c>
      <c r="B101" t="str">
        <v>INDUSTRIAL VALORES SA</v>
      </c>
      <c r="C101" s="6">
        <v>0</v>
      </c>
      <c r="D101" s="6">
        <v>0</v>
      </c>
      <c r="E101" t="str">
        <v>Dólar Cable</v>
      </c>
      <c r="F101" t="str">
        <v xml:space="preserve"> U$S TT</v>
      </c>
      <c r="G101" t="str">
        <f>IFERROR(VLOOKUP(A101,'Clientes CBOT'!B:E,4,0),B101)</f>
        <v>INDUSTRIAL VALORES SA</v>
      </c>
      <c r="H101" t="str">
        <f t="shared" si="3"/>
        <v>Hard</v>
      </c>
      <c r="I101" s="6">
        <f t="shared" si="4"/>
        <v>0</v>
      </c>
      <c r="J101">
        <f t="shared" si="5"/>
        <v>0</v>
      </c>
      <c r="M101" s="64" t="s">
        <v>335</v>
      </c>
      <c r="N101" s="123">
        <v>1656.4</v>
      </c>
    </row>
    <row r="102" spans="1:14" hidden="1" x14ac:dyDescent="0.3">
      <c r="A102">
        <v>5235</v>
      </c>
      <c r="B102" t="str">
        <v>CRITERIA AN SA</v>
      </c>
      <c r="C102" s="6">
        <v>0</v>
      </c>
      <c r="D102" s="6">
        <v>0</v>
      </c>
      <c r="E102" t="str">
        <v>Dólar Cable</v>
      </c>
      <c r="F102" t="str">
        <v xml:space="preserve"> U$S TT</v>
      </c>
      <c r="G102" t="str">
        <f>IFERROR(VLOOKUP(A102,'Clientes CBOT'!B:E,4,0),B102)</f>
        <v>CRITERIA AN SA</v>
      </c>
      <c r="H102" t="str">
        <f t="shared" si="3"/>
        <v>Hard</v>
      </c>
      <c r="I102" s="6">
        <f t="shared" si="4"/>
        <v>0</v>
      </c>
      <c r="J102">
        <f t="shared" si="5"/>
        <v>0</v>
      </c>
      <c r="M102" s="64" t="s">
        <v>336</v>
      </c>
      <c r="N102" s="123">
        <v>-516057.78</v>
      </c>
    </row>
    <row r="103" spans="1:14" hidden="1" x14ac:dyDescent="0.3">
      <c r="A103">
        <v>5040</v>
      </c>
      <c r="B103" t="str">
        <v>PUENTE HNOS SA</v>
      </c>
      <c r="C103" s="6">
        <v>0</v>
      </c>
      <c r="D103" s="6">
        <v>0</v>
      </c>
      <c r="E103" t="str">
        <v>Dólar Cable</v>
      </c>
      <c r="F103" t="str">
        <v xml:space="preserve"> U$S TT</v>
      </c>
      <c r="G103" t="str">
        <f>IFERROR(VLOOKUP(A103,'Clientes CBOT'!B:E,4,0),B103)</f>
        <v>PUENTE HNOS SA</v>
      </c>
      <c r="H103" t="str">
        <f t="shared" si="3"/>
        <v>Hard</v>
      </c>
      <c r="I103" s="6">
        <f t="shared" si="4"/>
        <v>0</v>
      </c>
      <c r="J103">
        <f t="shared" si="5"/>
        <v>0</v>
      </c>
      <c r="M103" s="64" t="s">
        <v>338</v>
      </c>
      <c r="N103" s="123">
        <v>-4491768.5599999996</v>
      </c>
    </row>
    <row r="104" spans="1:14" hidden="1" x14ac:dyDescent="0.3">
      <c r="A104">
        <v>5213</v>
      </c>
      <c r="B104" t="str">
        <v>ROSENTAL SA</v>
      </c>
      <c r="C104" s="6">
        <v>0</v>
      </c>
      <c r="D104" s="6">
        <v>0</v>
      </c>
      <c r="E104" t="str">
        <v>Dólar Cable</v>
      </c>
      <c r="F104" t="str">
        <v xml:space="preserve"> U$S TT</v>
      </c>
      <c r="G104" t="str">
        <f>IFERROR(VLOOKUP(A104,'Clientes CBOT'!B:E,4,0),B104)</f>
        <v>ROSENTAL SA</v>
      </c>
      <c r="H104" t="str">
        <f t="shared" si="3"/>
        <v>Hard</v>
      </c>
      <c r="I104" s="6">
        <f t="shared" si="4"/>
        <v>0</v>
      </c>
      <c r="J104">
        <f t="shared" si="5"/>
        <v>0</v>
      </c>
      <c r="M104" s="64" t="s">
        <v>340</v>
      </c>
      <c r="N104" s="123">
        <v>485.34</v>
      </c>
    </row>
    <row r="105" spans="1:14" hidden="1" x14ac:dyDescent="0.3">
      <c r="A105">
        <v>5114</v>
      </c>
      <c r="B105" t="str">
        <v>ROSARIO VALORES SA</v>
      </c>
      <c r="C105" s="6">
        <v>0</v>
      </c>
      <c r="D105" s="6">
        <v>0</v>
      </c>
      <c r="E105" t="str">
        <v>Dólar Cable</v>
      </c>
      <c r="F105" t="str">
        <v xml:space="preserve"> U$S TT</v>
      </c>
      <c r="G105" t="str">
        <f>IFERROR(VLOOKUP(A105,'Clientes CBOT'!B:E,4,0),B105)</f>
        <v>ROSARIO VALORES SA</v>
      </c>
      <c r="H105" t="str">
        <f t="shared" si="3"/>
        <v>Hard</v>
      </c>
      <c r="I105" s="6">
        <f t="shared" si="4"/>
        <v>0</v>
      </c>
      <c r="J105">
        <f t="shared" si="5"/>
        <v>0</v>
      </c>
      <c r="M105" s="64" t="s">
        <v>341</v>
      </c>
      <c r="N105" s="123">
        <v>-55370529.939999998</v>
      </c>
    </row>
    <row r="106" spans="1:14" hidden="1" x14ac:dyDescent="0.3">
      <c r="A106">
        <v>6012</v>
      </c>
      <c r="B106" t="str">
        <v>GERMINAGRO S.A</v>
      </c>
      <c r="C106" s="6">
        <v>-59803.09</v>
      </c>
      <c r="D106" s="6">
        <v>224689.66</v>
      </c>
      <c r="E106" t="str">
        <v>Dólar Matba Rofex</v>
      </c>
      <c r="F106" t="str">
        <v xml:space="preserve"> U$S MR</v>
      </c>
      <c r="G106" t="str">
        <f>IFERROR(VLOOKUP(A106,'Clientes CBOT'!B:E,4,0),B106)</f>
        <v>GERMINAGRO S.A</v>
      </c>
      <c r="H106" t="str">
        <f t="shared" si="3"/>
        <v>usd linked</v>
      </c>
      <c r="I106" s="6">
        <f t="shared" si="4"/>
        <v>-59803.09</v>
      </c>
      <c r="J106">
        <f t="shared" si="5"/>
        <v>224689.66</v>
      </c>
      <c r="M106" s="64" t="s">
        <v>342</v>
      </c>
      <c r="N106" s="123">
        <v>-99999999.829999998</v>
      </c>
    </row>
    <row r="107" spans="1:14" hidden="1" x14ac:dyDescent="0.3">
      <c r="A107">
        <v>66</v>
      </c>
      <c r="B107" t="str">
        <v>Satus Ager SA</v>
      </c>
      <c r="C107" s="6">
        <v>0</v>
      </c>
      <c r="D107" s="6">
        <v>0</v>
      </c>
      <c r="E107" t="str">
        <v>Dólar Matba Rofex</v>
      </c>
      <c r="F107" t="str">
        <v xml:space="preserve"> U$S MR</v>
      </c>
      <c r="G107" t="str">
        <f>IFERROR(VLOOKUP(A107,'Clientes CBOT'!B:E,4,0),B107)</f>
        <v>Satus Ager SA</v>
      </c>
      <c r="H107" t="str">
        <f t="shared" si="3"/>
        <v>usd linked</v>
      </c>
      <c r="I107" s="6">
        <f t="shared" si="4"/>
        <v>0</v>
      </c>
      <c r="J107">
        <f t="shared" si="5"/>
        <v>0</v>
      </c>
      <c r="M107" s="64" t="s">
        <v>344</v>
      </c>
      <c r="N107" s="123">
        <v>-19940.07</v>
      </c>
    </row>
    <row r="108" spans="1:14" hidden="1" x14ac:dyDescent="0.3">
      <c r="A108">
        <v>6</v>
      </c>
      <c r="B108" t="str">
        <v>LOGRANDO AMIGOS SRL</v>
      </c>
      <c r="C108" s="6">
        <v>398963.75</v>
      </c>
      <c r="D108" s="6">
        <v>0.01</v>
      </c>
      <c r="E108" t="str">
        <v>Pesos</v>
      </c>
      <c r="F108" t="str">
        <v xml:space="preserve"> $</v>
      </c>
      <c r="G108" t="str">
        <f>IFERROR(VLOOKUP(A108,'Clientes CBOT'!B:E,4,0),B108)</f>
        <v>LOGRANDO AMIGOS SRL</v>
      </c>
      <c r="H108" t="str">
        <f t="shared" si="3"/>
        <v>Ars</v>
      </c>
      <c r="I108" s="6">
        <f t="shared" si="4"/>
        <v>398963.75</v>
      </c>
      <c r="J108">
        <f t="shared" si="5"/>
        <v>0.01</v>
      </c>
      <c r="M108" s="64" t="s">
        <v>345</v>
      </c>
      <c r="N108" s="123">
        <v>7079.4800000000005</v>
      </c>
    </row>
    <row r="109" spans="1:14" x14ac:dyDescent="0.3">
      <c r="A109">
        <v>64</v>
      </c>
      <c r="B109" t="str">
        <v>SALORT FERNANDO GABRIEL</v>
      </c>
      <c r="C109" s="6">
        <v>0</v>
      </c>
      <c r="D109" s="6">
        <v>0.01</v>
      </c>
      <c r="E109" t="str">
        <v>Pesos</v>
      </c>
      <c r="F109" t="str">
        <v xml:space="preserve"> $</v>
      </c>
      <c r="G109" t="str">
        <f>IFERROR(VLOOKUP(A109,'Clientes CBOT'!B:E,4,0),B109)</f>
        <v>SALORT FERNANDO GABRIEL</v>
      </c>
      <c r="H109" t="str">
        <f t="shared" si="3"/>
        <v>Ars</v>
      </c>
      <c r="I109" s="6">
        <f t="shared" si="4"/>
        <v>0</v>
      </c>
      <c r="J109">
        <f t="shared" si="5"/>
        <v>0.01</v>
      </c>
      <c r="M109" s="64" t="s">
        <v>346</v>
      </c>
      <c r="N109" s="123">
        <v>241.63</v>
      </c>
    </row>
    <row r="110" spans="1:14" x14ac:dyDescent="0.3">
      <c r="A110">
        <v>117</v>
      </c>
      <c r="B110" t="str">
        <v>SILAJES SAS</v>
      </c>
      <c r="C110" s="6">
        <v>2462.54</v>
      </c>
      <c r="D110" s="6">
        <v>0</v>
      </c>
      <c r="E110" t="str">
        <v>Pesos</v>
      </c>
      <c r="F110" t="str">
        <v xml:space="preserve"> $</v>
      </c>
      <c r="G110" t="str">
        <f>IFERROR(VLOOKUP(A110,'Clientes CBOT'!B:E,4,0),B110)</f>
        <v>SILAJES SAS</v>
      </c>
      <c r="H110" t="str">
        <f t="shared" si="3"/>
        <v>Ars</v>
      </c>
      <c r="I110" s="6">
        <f t="shared" si="4"/>
        <v>2462.54</v>
      </c>
      <c r="J110">
        <f t="shared" si="5"/>
        <v>0</v>
      </c>
      <c r="M110" s="64" t="s">
        <v>348</v>
      </c>
      <c r="N110" s="123">
        <v>-28294.87</v>
      </c>
    </row>
    <row r="111" spans="1:14" hidden="1" x14ac:dyDescent="0.3">
      <c r="A111">
        <v>125</v>
      </c>
      <c r="B111" t="str">
        <v>CHIARAVIGLIO HNOS SRL</v>
      </c>
      <c r="C111" s="6">
        <v>4.16</v>
      </c>
      <c r="D111" s="6">
        <v>0.02</v>
      </c>
      <c r="E111" t="str">
        <v>Pesos</v>
      </c>
      <c r="F111" t="str">
        <v xml:space="preserve"> $</v>
      </c>
      <c r="G111" t="str">
        <f>IFERROR(VLOOKUP(A111,'Clientes CBOT'!B:E,4,0),B111)</f>
        <v>CHIARAVIGLIO HNOS SRL</v>
      </c>
      <c r="H111" t="str">
        <f t="shared" si="3"/>
        <v>Ars</v>
      </c>
      <c r="I111" s="6">
        <f t="shared" si="4"/>
        <v>4.16</v>
      </c>
      <c r="J111">
        <f t="shared" si="5"/>
        <v>0.02</v>
      </c>
      <c r="M111" s="64" t="s">
        <v>349</v>
      </c>
      <c r="N111" s="123">
        <v>0</v>
      </c>
    </row>
    <row r="112" spans="1:14" hidden="1" x14ac:dyDescent="0.3">
      <c r="A112">
        <v>137</v>
      </c>
      <c r="B112" t="str">
        <v>TRA SAS</v>
      </c>
      <c r="C112" s="6">
        <v>0</v>
      </c>
      <c r="D112" s="6">
        <v>0</v>
      </c>
      <c r="E112" t="str">
        <v>Pesos</v>
      </c>
      <c r="F112" t="str">
        <v xml:space="preserve"> $</v>
      </c>
      <c r="G112" t="str">
        <f>IFERROR(VLOOKUP(A112,'Clientes CBOT'!B:E,4,0),B112)</f>
        <v>TRA SAS</v>
      </c>
      <c r="H112" t="str">
        <f t="shared" si="3"/>
        <v>Ars</v>
      </c>
      <c r="I112" s="6">
        <f t="shared" si="4"/>
        <v>0</v>
      </c>
      <c r="J112">
        <f t="shared" si="5"/>
        <v>0</v>
      </c>
      <c r="M112" s="64" t="s">
        <v>351</v>
      </c>
      <c r="N112" s="123">
        <v>4.16</v>
      </c>
    </row>
    <row r="113" spans="1:14" hidden="1" x14ac:dyDescent="0.3">
      <c r="A113">
        <v>145</v>
      </c>
      <c r="B113" t="str">
        <v>TISCORNIA NOEL VICTORIA</v>
      </c>
      <c r="C113" s="6">
        <v>0</v>
      </c>
      <c r="D113" s="6">
        <v>0</v>
      </c>
      <c r="E113" t="str">
        <v>Pesos</v>
      </c>
      <c r="F113" t="str">
        <v xml:space="preserve"> $</v>
      </c>
      <c r="G113" t="str">
        <f>IFERROR(VLOOKUP(A113,'Clientes CBOT'!B:E,4,0),B113)</f>
        <v>TISCORNIA NOEL VICTORIA</v>
      </c>
      <c r="H113" t="str">
        <f t="shared" si="3"/>
        <v>Ars</v>
      </c>
      <c r="I113" s="6">
        <f t="shared" si="4"/>
        <v>0</v>
      </c>
      <c r="J113">
        <f t="shared" si="5"/>
        <v>0</v>
      </c>
      <c r="M113" s="64" t="s">
        <v>352</v>
      </c>
      <c r="N113" s="123">
        <v>-17.21</v>
      </c>
    </row>
    <row r="114" spans="1:14" hidden="1" x14ac:dyDescent="0.3">
      <c r="A114">
        <v>521</v>
      </c>
      <c r="B114" t="str">
        <v>JJST SAS</v>
      </c>
      <c r="C114" s="6">
        <v>0</v>
      </c>
      <c r="D114" s="6">
        <v>0</v>
      </c>
      <c r="E114" t="str">
        <v>Pesos</v>
      </c>
      <c r="F114" t="str">
        <v xml:space="preserve"> $</v>
      </c>
      <c r="G114" t="str">
        <f>IFERROR(VLOOKUP(A114,'Clientes CBOT'!B:E,4,0),B114)</f>
        <v>JJST SAS</v>
      </c>
      <c r="H114" t="str">
        <f t="shared" si="3"/>
        <v>Ars</v>
      </c>
      <c r="I114" s="6">
        <f t="shared" si="4"/>
        <v>0</v>
      </c>
      <c r="J114">
        <f t="shared" si="5"/>
        <v>0</v>
      </c>
      <c r="M114" s="64" t="s">
        <v>354</v>
      </c>
      <c r="N114" s="123">
        <v>13.4</v>
      </c>
    </row>
    <row r="115" spans="1:14" hidden="1" x14ac:dyDescent="0.3">
      <c r="A115">
        <v>320</v>
      </c>
      <c r="B115" t="str">
        <v>PAREDES CEREALES SOCIEDAD ANONIMA</v>
      </c>
      <c r="C115" s="6">
        <v>0</v>
      </c>
      <c r="D115" s="6">
        <v>0</v>
      </c>
      <c r="E115" t="str">
        <v>Pesos</v>
      </c>
      <c r="F115" t="str">
        <v xml:space="preserve"> $</v>
      </c>
      <c r="G115" t="str">
        <f>IFERROR(VLOOKUP(A115,'Clientes CBOT'!B:E,4,0),B115)</f>
        <v>PAREDES CEREALES SOCIEDAD ANONIMA</v>
      </c>
      <c r="H115" t="str">
        <f t="shared" si="3"/>
        <v>Ars</v>
      </c>
      <c r="I115" s="6">
        <f t="shared" si="4"/>
        <v>0</v>
      </c>
      <c r="J115">
        <f t="shared" si="5"/>
        <v>0</v>
      </c>
      <c r="M115" s="64" t="s">
        <v>355</v>
      </c>
      <c r="N115" s="123">
        <v>0</v>
      </c>
    </row>
    <row r="116" spans="1:14" hidden="1" x14ac:dyDescent="0.3">
      <c r="A116">
        <v>145</v>
      </c>
      <c r="B116" t="str">
        <v>TISCORNIA NOEL VICTORIA</v>
      </c>
      <c r="C116" s="6">
        <v>0</v>
      </c>
      <c r="D116" s="6">
        <v>0</v>
      </c>
      <c r="E116" t="str">
        <v xml:space="preserve">Dólar </v>
      </c>
      <c r="F116" t="str">
        <v xml:space="preserve"> U$S</v>
      </c>
      <c r="G116" t="str">
        <f>IFERROR(VLOOKUP(A116,'Clientes CBOT'!B:E,4,0),B116)</f>
        <v>TISCORNIA NOEL VICTORIA</v>
      </c>
      <c r="H116" t="str">
        <f t="shared" si="3"/>
        <v>Dólar</v>
      </c>
      <c r="I116" s="6">
        <f t="shared" si="4"/>
        <v>0</v>
      </c>
      <c r="J116">
        <f t="shared" si="5"/>
        <v>0</v>
      </c>
      <c r="M116" s="64" t="s">
        <v>356</v>
      </c>
      <c r="N116" s="123">
        <v>2599.1799999999998</v>
      </c>
    </row>
    <row r="117" spans="1:14" hidden="1" x14ac:dyDescent="0.3">
      <c r="A117">
        <v>137</v>
      </c>
      <c r="B117" t="str">
        <v>TRA SAS</v>
      </c>
      <c r="C117" s="6">
        <v>0</v>
      </c>
      <c r="D117" s="6">
        <v>0</v>
      </c>
      <c r="E117" t="str">
        <v xml:space="preserve">Dólar </v>
      </c>
      <c r="F117" t="str">
        <v xml:space="preserve"> U$S</v>
      </c>
      <c r="G117" t="str">
        <f>IFERROR(VLOOKUP(A117,'Clientes CBOT'!B:E,4,0),B117)</f>
        <v>TRA SAS</v>
      </c>
      <c r="H117" t="str">
        <f t="shared" si="3"/>
        <v>Dólar</v>
      </c>
      <c r="I117" s="6">
        <f t="shared" si="4"/>
        <v>0</v>
      </c>
      <c r="J117">
        <f t="shared" si="5"/>
        <v>0</v>
      </c>
      <c r="M117" s="64" t="s">
        <v>359</v>
      </c>
      <c r="N117" s="123">
        <v>0</v>
      </c>
    </row>
    <row r="118" spans="1:14" hidden="1" x14ac:dyDescent="0.3">
      <c r="A118">
        <v>117</v>
      </c>
      <c r="B118" t="str">
        <v>SILAJES SAS</v>
      </c>
      <c r="C118" s="6">
        <v>0</v>
      </c>
      <c r="D118" s="6">
        <v>0</v>
      </c>
      <c r="E118" t="str">
        <v xml:space="preserve">Dólar </v>
      </c>
      <c r="F118" t="str">
        <v xml:space="preserve"> U$S</v>
      </c>
      <c r="G118" t="str">
        <f>IFERROR(VLOOKUP(A118,'Clientes CBOT'!B:E,4,0),B118)</f>
        <v>SILAJES SAS</v>
      </c>
      <c r="H118" t="str">
        <f t="shared" si="3"/>
        <v>Dólar</v>
      </c>
      <c r="I118" s="6">
        <f t="shared" si="4"/>
        <v>0</v>
      </c>
      <c r="J118">
        <f t="shared" si="5"/>
        <v>0</v>
      </c>
      <c r="M118" s="64" t="s">
        <v>360</v>
      </c>
      <c r="N118" s="123">
        <v>-129830.5</v>
      </c>
    </row>
    <row r="119" spans="1:14" hidden="1" x14ac:dyDescent="0.3">
      <c r="A119">
        <v>64</v>
      </c>
      <c r="B119" t="str">
        <v>SALORT FERNANDO GABRIEL</v>
      </c>
      <c r="C119" s="6">
        <v>22.74</v>
      </c>
      <c r="D119" s="6">
        <v>0</v>
      </c>
      <c r="E119" t="str">
        <v xml:space="preserve">Dólar </v>
      </c>
      <c r="F119" t="str">
        <v xml:space="preserve"> U$S</v>
      </c>
      <c r="G119" t="str">
        <f>IFERROR(VLOOKUP(A119,'Clientes CBOT'!B:E,4,0),B119)</f>
        <v>SALORT FERNANDO GABRIEL</v>
      </c>
      <c r="H119" t="str">
        <f t="shared" si="3"/>
        <v>Dólar</v>
      </c>
      <c r="I119" s="6">
        <f t="shared" si="4"/>
        <v>22.74</v>
      </c>
      <c r="J119">
        <f t="shared" si="5"/>
        <v>0</v>
      </c>
      <c r="M119" s="64" t="s">
        <v>361</v>
      </c>
      <c r="N119" s="123">
        <v>0</v>
      </c>
    </row>
    <row r="120" spans="1:14" hidden="1" x14ac:dyDescent="0.3">
      <c r="A120">
        <v>6</v>
      </c>
      <c r="B120" t="str">
        <v>LOGRANDO AMIGOS SRL</v>
      </c>
      <c r="C120" s="6">
        <v>76.2</v>
      </c>
      <c r="D120" s="6">
        <v>0</v>
      </c>
      <c r="E120" t="str">
        <v xml:space="preserve">Dólar </v>
      </c>
      <c r="F120" t="str">
        <v xml:space="preserve"> U$S</v>
      </c>
      <c r="G120" t="str">
        <f>IFERROR(VLOOKUP(A120,'Clientes CBOT'!B:E,4,0),B120)</f>
        <v>LOGRANDO AMIGOS SRL</v>
      </c>
      <c r="H120" t="str">
        <f t="shared" si="3"/>
        <v>Dólar</v>
      </c>
      <c r="I120" s="6">
        <f t="shared" si="4"/>
        <v>76.2</v>
      </c>
      <c r="J120">
        <f t="shared" si="5"/>
        <v>0</v>
      </c>
      <c r="M120" s="64" t="s">
        <v>363</v>
      </c>
      <c r="N120" s="123">
        <v>-10014584.02</v>
      </c>
    </row>
    <row r="121" spans="1:14" hidden="1" x14ac:dyDescent="0.3">
      <c r="A121">
        <v>64</v>
      </c>
      <c r="B121" t="str">
        <v>SALORT FERNANDO GABRIEL</v>
      </c>
      <c r="C121" s="6">
        <v>18.29</v>
      </c>
      <c r="D121" s="6">
        <v>0</v>
      </c>
      <c r="E121" t="str">
        <v>Dólar Cable</v>
      </c>
      <c r="F121" t="str">
        <v xml:space="preserve"> U$S TT</v>
      </c>
      <c r="G121" t="str">
        <f>IFERROR(VLOOKUP(A121,'Clientes CBOT'!B:E,4,0),B121)</f>
        <v>SALORT FERNANDO GABRIEL</v>
      </c>
      <c r="H121" t="str">
        <f t="shared" si="3"/>
        <v>Hard</v>
      </c>
      <c r="I121" s="6">
        <f t="shared" si="4"/>
        <v>18.29</v>
      </c>
      <c r="J121">
        <f t="shared" si="5"/>
        <v>0</v>
      </c>
      <c r="M121" s="64" t="s">
        <v>364</v>
      </c>
      <c r="N121" s="123">
        <v>0</v>
      </c>
    </row>
    <row r="122" spans="1:14" hidden="1" x14ac:dyDescent="0.3">
      <c r="A122">
        <v>137</v>
      </c>
      <c r="B122" t="str">
        <v>TRA SAS</v>
      </c>
      <c r="C122" s="6">
        <v>0</v>
      </c>
      <c r="D122" s="6">
        <v>0</v>
      </c>
      <c r="E122" t="str">
        <v>Dólar Cable</v>
      </c>
      <c r="F122" t="str">
        <v xml:space="preserve"> U$S TT</v>
      </c>
      <c r="G122" t="str">
        <f>IFERROR(VLOOKUP(A122,'Clientes CBOT'!B:E,4,0),B122)</f>
        <v>TRA SAS</v>
      </c>
      <c r="H122" t="str">
        <f t="shared" si="3"/>
        <v>Hard</v>
      </c>
      <c r="I122" s="6">
        <f t="shared" si="4"/>
        <v>0</v>
      </c>
      <c r="J122">
        <f t="shared" si="5"/>
        <v>0</v>
      </c>
      <c r="M122" s="64" t="s">
        <v>365</v>
      </c>
      <c r="N122" s="123">
        <v>1840.5</v>
      </c>
    </row>
    <row r="123" spans="1:14" hidden="1" x14ac:dyDescent="0.3">
      <c r="A123">
        <v>137</v>
      </c>
      <c r="B123" t="str">
        <v>TRA SAS</v>
      </c>
      <c r="C123" s="6">
        <v>0</v>
      </c>
      <c r="D123" s="6">
        <v>0</v>
      </c>
      <c r="E123" t="str">
        <v>Dólar Matba Rofex</v>
      </c>
      <c r="F123" t="str">
        <v xml:space="preserve"> U$S MR</v>
      </c>
      <c r="G123" t="str">
        <f>IFERROR(VLOOKUP(A123,'Clientes CBOT'!B:E,4,0),B123)</f>
        <v>TRA SAS</v>
      </c>
      <c r="H123" t="str">
        <f t="shared" si="3"/>
        <v>usd linked</v>
      </c>
      <c r="I123" s="6">
        <f t="shared" si="4"/>
        <v>0</v>
      </c>
      <c r="J123">
        <f t="shared" si="5"/>
        <v>0</v>
      </c>
      <c r="M123" s="64" t="s">
        <v>367</v>
      </c>
      <c r="N123" s="123">
        <v>0</v>
      </c>
    </row>
    <row r="124" spans="1:14" hidden="1" x14ac:dyDescent="0.3">
      <c r="A124">
        <v>125</v>
      </c>
      <c r="B124" t="str">
        <v>CHIARAVIGLIO HNOS SRL</v>
      </c>
      <c r="C124" s="6">
        <v>0</v>
      </c>
      <c r="D124" s="6">
        <v>0</v>
      </c>
      <c r="E124" t="str">
        <v>Dólar Matba Rofex</v>
      </c>
      <c r="F124" t="str">
        <v xml:space="preserve"> U$S MR</v>
      </c>
      <c r="G124" t="str">
        <f>IFERROR(VLOOKUP(A124,'Clientes CBOT'!B:E,4,0),B124)</f>
        <v>CHIARAVIGLIO HNOS SRL</v>
      </c>
      <c r="H124" t="str">
        <f t="shared" si="3"/>
        <v>usd linked</v>
      </c>
      <c r="I124" s="6">
        <f t="shared" si="4"/>
        <v>0</v>
      </c>
      <c r="J124">
        <f t="shared" si="5"/>
        <v>0</v>
      </c>
      <c r="M124" s="64" t="s">
        <v>368</v>
      </c>
      <c r="N124" s="123">
        <v>0</v>
      </c>
    </row>
    <row r="125" spans="1:14" hidden="1" x14ac:dyDescent="0.3">
      <c r="A125">
        <v>117</v>
      </c>
      <c r="B125" t="str">
        <v>SILAJES SAS</v>
      </c>
      <c r="C125" s="6">
        <v>0</v>
      </c>
      <c r="D125" s="6">
        <v>0</v>
      </c>
      <c r="E125" t="str">
        <v>Dólar Matba Rofex</v>
      </c>
      <c r="F125" t="str">
        <v xml:space="preserve"> U$S MR</v>
      </c>
      <c r="G125" t="str">
        <f>IFERROR(VLOOKUP(A125,'Clientes CBOT'!B:E,4,0),B125)</f>
        <v>SILAJES SAS</v>
      </c>
      <c r="H125" t="str">
        <f t="shared" si="3"/>
        <v>usd linked</v>
      </c>
      <c r="I125" s="6">
        <f t="shared" si="4"/>
        <v>0</v>
      </c>
      <c r="J125">
        <f t="shared" si="5"/>
        <v>0</v>
      </c>
      <c r="M125" s="64" t="s">
        <v>369</v>
      </c>
      <c r="N125" s="123">
        <v>170007.78999999998</v>
      </c>
    </row>
    <row r="126" spans="1:14" hidden="1" x14ac:dyDescent="0.3">
      <c r="A126">
        <v>64</v>
      </c>
      <c r="B126" t="str">
        <v>SALORT FERNANDO GABRIEL</v>
      </c>
      <c r="C126" s="6">
        <v>0</v>
      </c>
      <c r="D126" s="6">
        <v>0</v>
      </c>
      <c r="E126" t="str">
        <v>Dólar Matba Rofex</v>
      </c>
      <c r="F126" t="str">
        <v xml:space="preserve"> U$S MR</v>
      </c>
      <c r="G126" t="str">
        <f>IFERROR(VLOOKUP(A126,'Clientes CBOT'!B:E,4,0),B126)</f>
        <v>SALORT FERNANDO GABRIEL</v>
      </c>
      <c r="H126" t="str">
        <f t="shared" si="3"/>
        <v>usd linked</v>
      </c>
      <c r="I126" s="6">
        <f t="shared" si="4"/>
        <v>0</v>
      </c>
      <c r="J126">
        <f t="shared" si="5"/>
        <v>0</v>
      </c>
      <c r="M126" s="64" t="s">
        <v>226</v>
      </c>
      <c r="N126" s="123">
        <v>0</v>
      </c>
    </row>
    <row r="127" spans="1:14" hidden="1" x14ac:dyDescent="0.3">
      <c r="A127">
        <v>6</v>
      </c>
      <c r="B127" t="str">
        <v>LOGRANDO AMIGOS SRL</v>
      </c>
      <c r="C127" s="6">
        <v>2700</v>
      </c>
      <c r="D127" s="6">
        <v>3207.88</v>
      </c>
      <c r="E127" t="str">
        <v>Dólar Matba Rofex</v>
      </c>
      <c r="F127" t="str">
        <v xml:space="preserve"> U$S MR</v>
      </c>
      <c r="G127" t="str">
        <f>IFERROR(VLOOKUP(A127,'Clientes CBOT'!B:E,4,0),B127)</f>
        <v>LOGRANDO AMIGOS SRL</v>
      </c>
      <c r="H127" t="str">
        <f t="shared" si="3"/>
        <v>usd linked</v>
      </c>
      <c r="I127" s="6">
        <f t="shared" si="4"/>
        <v>2700</v>
      </c>
      <c r="J127">
        <f t="shared" si="5"/>
        <v>3207.88</v>
      </c>
      <c r="M127" s="64" t="s">
        <v>371</v>
      </c>
      <c r="N127" s="123">
        <v>50.45</v>
      </c>
    </row>
    <row r="128" spans="1:14" hidden="1" x14ac:dyDescent="0.3">
      <c r="A128">
        <v>320</v>
      </c>
      <c r="B128" t="str">
        <v>PAREDES CEREALES SOCIEDAD ANONIMA</v>
      </c>
      <c r="C128" s="6">
        <v>0</v>
      </c>
      <c r="D128" s="6">
        <v>0</v>
      </c>
      <c r="E128" t="str">
        <v>Dólar Matba Rofex</v>
      </c>
      <c r="F128" t="str">
        <v xml:space="preserve"> U$S MR</v>
      </c>
      <c r="G128" t="str">
        <f>IFERROR(VLOOKUP(A128,'Clientes CBOT'!B:E,4,0),B128)</f>
        <v>PAREDES CEREALES SOCIEDAD ANONIMA</v>
      </c>
      <c r="H128" t="str">
        <f t="shared" si="3"/>
        <v>usd linked</v>
      </c>
      <c r="I128" s="6">
        <f t="shared" si="4"/>
        <v>0</v>
      </c>
      <c r="J128">
        <f t="shared" si="5"/>
        <v>0</v>
      </c>
      <c r="M128" s="64" t="s">
        <v>228</v>
      </c>
      <c r="N128" s="123">
        <v>-28483434.959999945</v>
      </c>
    </row>
    <row r="129" spans="1:14" hidden="1" x14ac:dyDescent="0.3">
      <c r="A129">
        <v>323</v>
      </c>
      <c r="B129" t="str">
        <v>CORONEL ROBERTO EDUARDO</v>
      </c>
      <c r="C129" s="6">
        <v>0</v>
      </c>
      <c r="D129" s="6">
        <v>0.04</v>
      </c>
      <c r="E129" t="str">
        <v>Pesos</v>
      </c>
      <c r="F129" t="str">
        <v xml:space="preserve"> $</v>
      </c>
      <c r="G129" t="str">
        <f>IFERROR(VLOOKUP(A129,'Clientes CBOT'!B:E,4,0),B129)</f>
        <v>CORONEL ROBERTO EDUARDO</v>
      </c>
      <c r="H129" t="str">
        <f t="shared" si="3"/>
        <v>Ars</v>
      </c>
      <c r="I129" s="6">
        <f t="shared" si="4"/>
        <v>0</v>
      </c>
      <c r="J129">
        <f t="shared" si="5"/>
        <v>0.04</v>
      </c>
      <c r="M129" s="64" t="s">
        <v>373</v>
      </c>
      <c r="N129" s="123">
        <v>0</v>
      </c>
    </row>
    <row r="130" spans="1:14" hidden="1" x14ac:dyDescent="0.3">
      <c r="A130">
        <v>306</v>
      </c>
      <c r="B130" t="str">
        <v>HERMIDA ZAPIOLA SANTIAGO</v>
      </c>
      <c r="C130" s="6">
        <v>107.63</v>
      </c>
      <c r="D130" s="6">
        <v>0.01</v>
      </c>
      <c r="E130" t="str">
        <v>Pesos</v>
      </c>
      <c r="F130" t="str">
        <v xml:space="preserve"> $</v>
      </c>
      <c r="G130" t="str">
        <f>IFERROR(VLOOKUP(A130,'Clientes CBOT'!B:E,4,0),B130)</f>
        <v>HERMIDA ZAPIOLA SANTIAGO</v>
      </c>
      <c r="H130" t="str">
        <f t="shared" si="3"/>
        <v>Ars</v>
      </c>
      <c r="I130" s="6">
        <f t="shared" si="4"/>
        <v>107.63</v>
      </c>
      <c r="J130">
        <f t="shared" si="5"/>
        <v>0.01</v>
      </c>
      <c r="M130" s="64" t="s">
        <v>375</v>
      </c>
      <c r="N130" s="123">
        <v>0</v>
      </c>
    </row>
    <row r="131" spans="1:14" hidden="1" x14ac:dyDescent="0.3">
      <c r="A131">
        <v>267</v>
      </c>
      <c r="B131" t="str">
        <v>DIORSEM SA</v>
      </c>
      <c r="C131" s="6">
        <v>0</v>
      </c>
      <c r="D131" s="6">
        <v>0.06</v>
      </c>
      <c r="E131" t="str">
        <v>Pesos</v>
      </c>
      <c r="F131" t="str">
        <v xml:space="preserve"> $</v>
      </c>
      <c r="G131" t="str">
        <f>IFERROR(VLOOKUP(A131,'Clientes CBOT'!B:E,4,0),B131)</f>
        <v>DIORSEM SA</v>
      </c>
      <c r="H131" t="str">
        <f t="shared" si="3"/>
        <v>Ars</v>
      </c>
      <c r="I131" s="6">
        <f t="shared" si="4"/>
        <v>0</v>
      </c>
      <c r="J131">
        <f t="shared" si="5"/>
        <v>0.06</v>
      </c>
      <c r="M131" s="64" t="s">
        <v>376</v>
      </c>
      <c r="N131" s="123">
        <v>-7698.88</v>
      </c>
    </row>
    <row r="132" spans="1:14" hidden="1" x14ac:dyDescent="0.3">
      <c r="A132">
        <v>273</v>
      </c>
      <c r="B132" t="str">
        <v>LINEUP GRAIN SA</v>
      </c>
      <c r="C132" s="6">
        <v>0</v>
      </c>
      <c r="D132" s="6">
        <v>0</v>
      </c>
      <c r="E132" t="str">
        <v>Pesos</v>
      </c>
      <c r="F132" t="str">
        <v xml:space="preserve"> $</v>
      </c>
      <c r="G132" t="str">
        <f>IFERROR(VLOOKUP(A132,'Clientes CBOT'!B:E,4,0),B132)</f>
        <v>LINEUP GRAIN SA</v>
      </c>
      <c r="H132" t="str">
        <f t="shared" si="3"/>
        <v>Ars</v>
      </c>
      <c r="I132" s="6">
        <f t="shared" si="4"/>
        <v>0</v>
      </c>
      <c r="J132">
        <f t="shared" si="5"/>
        <v>0</v>
      </c>
      <c r="M132" s="64" t="s">
        <v>233</v>
      </c>
      <c r="N132" s="123">
        <v>3617.0699999999997</v>
      </c>
    </row>
    <row r="133" spans="1:14" hidden="1" x14ac:dyDescent="0.3">
      <c r="A133">
        <v>341</v>
      </c>
      <c r="B133" t="str">
        <v>AGROPEMAR SRL</v>
      </c>
      <c r="C133" s="6">
        <v>-13319424.199999999</v>
      </c>
      <c r="D133" s="6">
        <v>0.03</v>
      </c>
      <c r="E133" t="str">
        <v>Pesos</v>
      </c>
      <c r="F133" t="str">
        <v xml:space="preserve"> $</v>
      </c>
      <c r="G133" t="str">
        <f>IFERROR(VLOOKUP(A133,'Clientes CBOT'!B:E,4,0),B133)</f>
        <v>AGROPEMAR SRL</v>
      </c>
      <c r="H133" t="str">
        <f t="shared" ref="H133:H196" si="6">IF(E133="pesos","Ars",IF(E133="Dólar Matba Rofex","usd linked",IF(F133=" U$S TT","Hard","Dólar")))</f>
        <v>Ars</v>
      </c>
      <c r="I133" s="6">
        <f t="shared" ref="I133:I196" si="7">IF(H133="ars",C133/$J$1,IF(H133="Hard",C133*$J$2/$J$1,C133))</f>
        <v>-13319424.199999999</v>
      </c>
      <c r="J133">
        <f t="shared" ref="J133:J196" si="8">IF(H133="ars",D133/$J$1,IF(H133="hard",D133*$J$2/$J$1,D133))</f>
        <v>0.03</v>
      </c>
      <c r="M133" s="64" t="s">
        <v>378</v>
      </c>
      <c r="N133" s="123">
        <v>0</v>
      </c>
    </row>
    <row r="134" spans="1:14" hidden="1" x14ac:dyDescent="0.3">
      <c r="A134">
        <v>347</v>
      </c>
      <c r="B134" t="str">
        <v>AGRONASAJA SRL</v>
      </c>
      <c r="C134" s="6">
        <v>0</v>
      </c>
      <c r="D134" s="6">
        <v>0.01</v>
      </c>
      <c r="E134" t="str">
        <v>Pesos</v>
      </c>
      <c r="F134" t="str">
        <v xml:space="preserve"> $</v>
      </c>
      <c r="G134" t="str">
        <f>IFERROR(VLOOKUP(A134,'Clientes CBOT'!B:E,4,0),B134)</f>
        <v>AGRONASAJA SRL</v>
      </c>
      <c r="H134" t="str">
        <f t="shared" si="6"/>
        <v>Ars</v>
      </c>
      <c r="I134" s="6">
        <f t="shared" si="7"/>
        <v>0</v>
      </c>
      <c r="J134">
        <f t="shared" si="8"/>
        <v>0.01</v>
      </c>
      <c r="M134" s="64" t="s">
        <v>380</v>
      </c>
      <c r="N134" s="123">
        <v>0</v>
      </c>
    </row>
    <row r="135" spans="1:14" hidden="1" x14ac:dyDescent="0.3">
      <c r="A135">
        <v>346</v>
      </c>
      <c r="B135" t="str">
        <v>FIDECAL SRL</v>
      </c>
      <c r="C135" s="6">
        <v>22.53</v>
      </c>
      <c r="D135" s="6">
        <v>0</v>
      </c>
      <c r="E135" t="str">
        <v>Pesos</v>
      </c>
      <c r="F135" t="str">
        <v xml:space="preserve"> $</v>
      </c>
      <c r="G135" t="str">
        <f>IFERROR(VLOOKUP(A135,'Clientes CBOT'!B:E,4,0),B135)</f>
        <v>FIDECAL SRL</v>
      </c>
      <c r="H135" t="str">
        <f t="shared" si="6"/>
        <v>Ars</v>
      </c>
      <c r="I135" s="6">
        <f t="shared" si="7"/>
        <v>22.53</v>
      </c>
      <c r="J135">
        <f t="shared" si="8"/>
        <v>0</v>
      </c>
      <c r="M135" s="64" t="s">
        <v>381</v>
      </c>
      <c r="N135" s="123">
        <v>0.03</v>
      </c>
    </row>
    <row r="136" spans="1:14" hidden="1" x14ac:dyDescent="0.3">
      <c r="A136">
        <v>360</v>
      </c>
      <c r="B136" t="str">
        <v>LA LUCILA SA</v>
      </c>
      <c r="C136" s="6">
        <v>0</v>
      </c>
      <c r="D136" s="6">
        <v>0.02</v>
      </c>
      <c r="E136" t="str">
        <v>Pesos</v>
      </c>
      <c r="F136" t="str">
        <v xml:space="preserve"> $</v>
      </c>
      <c r="G136" t="str">
        <f>IFERROR(VLOOKUP(A136,'Clientes CBOT'!B:E,4,0),B136)</f>
        <v>LA LUCILA SA</v>
      </c>
      <c r="H136" t="str">
        <f t="shared" si="6"/>
        <v>Ars</v>
      </c>
      <c r="I136" s="6">
        <f t="shared" si="7"/>
        <v>0</v>
      </c>
      <c r="J136">
        <f t="shared" si="8"/>
        <v>0.02</v>
      </c>
      <c r="M136" s="64" t="s">
        <v>382</v>
      </c>
      <c r="N136" s="123">
        <v>0</v>
      </c>
    </row>
    <row r="137" spans="1:14" hidden="1" x14ac:dyDescent="0.3">
      <c r="A137">
        <v>559</v>
      </c>
      <c r="B137" t="str">
        <v>JALA LA JUANITA SA</v>
      </c>
      <c r="C137" s="6">
        <v>-10737.38</v>
      </c>
      <c r="D137" s="6">
        <v>0</v>
      </c>
      <c r="E137" t="str">
        <v>Pesos</v>
      </c>
      <c r="F137" t="str">
        <v xml:space="preserve"> $</v>
      </c>
      <c r="G137" t="str">
        <f>IFERROR(VLOOKUP(A137,'Clientes CBOT'!B:E,4,0),B137)</f>
        <v>JALA LA JUANITA SA</v>
      </c>
      <c r="H137" t="str">
        <f t="shared" si="6"/>
        <v>Ars</v>
      </c>
      <c r="I137" s="6">
        <f t="shared" si="7"/>
        <v>-10737.38</v>
      </c>
      <c r="J137">
        <f t="shared" si="8"/>
        <v>0</v>
      </c>
      <c r="M137" s="64" t="s">
        <v>237</v>
      </c>
      <c r="N137" s="123">
        <v>0</v>
      </c>
    </row>
    <row r="138" spans="1:14" hidden="1" x14ac:dyDescent="0.3">
      <c r="A138">
        <v>569</v>
      </c>
      <c r="B138" t="str">
        <v>LACAU Y CIA SA</v>
      </c>
      <c r="C138" s="6">
        <v>0</v>
      </c>
      <c r="D138" s="6">
        <v>0</v>
      </c>
      <c r="E138" t="str">
        <v>Pesos</v>
      </c>
      <c r="F138" t="str">
        <v xml:space="preserve"> $</v>
      </c>
      <c r="G138" t="str">
        <f>IFERROR(VLOOKUP(A138,'Clientes CBOT'!B:E,4,0),B138)</f>
        <v>LACAU Y CIA SA</v>
      </c>
      <c r="H138" t="str">
        <f t="shared" si="6"/>
        <v>Ars</v>
      </c>
      <c r="I138" s="6">
        <f t="shared" si="7"/>
        <v>0</v>
      </c>
      <c r="J138">
        <f t="shared" si="8"/>
        <v>0</v>
      </c>
      <c r="M138" s="64" t="s">
        <v>383</v>
      </c>
      <c r="N138" s="123">
        <v>0</v>
      </c>
    </row>
    <row r="139" spans="1:14" hidden="1" x14ac:dyDescent="0.3">
      <c r="A139">
        <v>571</v>
      </c>
      <c r="B139" t="str">
        <v>AGERAUSTRAL SA</v>
      </c>
      <c r="C139" s="6">
        <v>0</v>
      </c>
      <c r="D139" s="6">
        <v>0</v>
      </c>
      <c r="E139" t="str">
        <v>Pesos</v>
      </c>
      <c r="F139" t="str">
        <v xml:space="preserve"> $</v>
      </c>
      <c r="G139" t="str">
        <f>IFERROR(VLOOKUP(A139,'Clientes CBOT'!B:E,4,0),B139)</f>
        <v>AGERAUSTRAL SA</v>
      </c>
      <c r="H139" t="str">
        <f t="shared" si="6"/>
        <v>Ars</v>
      </c>
      <c r="I139" s="6">
        <f t="shared" si="7"/>
        <v>0</v>
      </c>
      <c r="J139">
        <f t="shared" si="8"/>
        <v>0</v>
      </c>
      <c r="M139" s="64" t="s">
        <v>241</v>
      </c>
      <c r="N139" s="123">
        <v>-0.08</v>
      </c>
    </row>
    <row r="140" spans="1:14" hidden="1" x14ac:dyDescent="0.3">
      <c r="A140">
        <v>6053</v>
      </c>
      <c r="B140" t="str">
        <v>COMERCIAL Y GANADERA DEL NIRIHUAU SA</v>
      </c>
      <c r="C140" s="6">
        <v>-10913162.789999999</v>
      </c>
      <c r="D140" s="6">
        <v>0</v>
      </c>
      <c r="E140" t="str">
        <v>Pesos</v>
      </c>
      <c r="F140" t="str">
        <v xml:space="preserve"> $</v>
      </c>
      <c r="G140" t="str">
        <f>IFERROR(VLOOKUP(A140,'Clientes CBOT'!B:E,4,0),B140)</f>
        <v>COMERCIAL Y GANADERA DEL NIRIHUAU SA</v>
      </c>
      <c r="H140" t="str">
        <f t="shared" si="6"/>
        <v>Ars</v>
      </c>
      <c r="I140" s="6">
        <f t="shared" si="7"/>
        <v>-10913162.789999999</v>
      </c>
      <c r="J140">
        <f t="shared" si="8"/>
        <v>0</v>
      </c>
      <c r="M140" s="64" t="s">
        <v>385</v>
      </c>
      <c r="N140" s="123">
        <v>0.52</v>
      </c>
    </row>
    <row r="141" spans="1:14" hidden="1" x14ac:dyDescent="0.3">
      <c r="A141">
        <v>6023</v>
      </c>
      <c r="B141" t="str">
        <v>AGUIRRE JOSE MARIA</v>
      </c>
      <c r="C141" s="6">
        <v>2765.88</v>
      </c>
      <c r="D141" s="6">
        <v>0</v>
      </c>
      <c r="E141" t="str">
        <v>Pesos</v>
      </c>
      <c r="F141" t="str">
        <v xml:space="preserve"> $</v>
      </c>
      <c r="G141" t="str">
        <f>IFERROR(VLOOKUP(A141,'Clientes CBOT'!B:E,4,0),B141)</f>
        <v>AGUIRRE JOSE MARIA</v>
      </c>
      <c r="H141" t="str">
        <f t="shared" si="6"/>
        <v>Ars</v>
      </c>
      <c r="I141" s="6">
        <f t="shared" si="7"/>
        <v>2765.88</v>
      </c>
      <c r="J141">
        <f t="shared" si="8"/>
        <v>0</v>
      </c>
      <c r="M141" s="64" t="s">
        <v>386</v>
      </c>
      <c r="N141" s="123">
        <v>0</v>
      </c>
    </row>
    <row r="142" spans="1:14" hidden="1" x14ac:dyDescent="0.3">
      <c r="A142">
        <v>6024</v>
      </c>
      <c r="B142" t="str">
        <v>Aguirre Luis Felipe Bernardo</v>
      </c>
      <c r="C142" s="6">
        <v>0.28000000000000003</v>
      </c>
      <c r="D142" s="6">
        <v>0</v>
      </c>
      <c r="E142" t="str">
        <v>Pesos</v>
      </c>
      <c r="F142" t="str">
        <v xml:space="preserve"> $</v>
      </c>
      <c r="G142" t="str">
        <f>IFERROR(VLOOKUP(A142,'Clientes CBOT'!B:E,4,0),B142)</f>
        <v>Aguirre Luis Felipe Bernardo</v>
      </c>
      <c r="H142" t="str">
        <f t="shared" si="6"/>
        <v>Ars</v>
      </c>
      <c r="I142" s="6">
        <f t="shared" si="7"/>
        <v>0.28000000000000003</v>
      </c>
      <c r="J142">
        <f t="shared" si="8"/>
        <v>0</v>
      </c>
      <c r="M142" s="64" t="s">
        <v>387</v>
      </c>
      <c r="N142" s="123">
        <v>402898358.75</v>
      </c>
    </row>
    <row r="143" spans="1:14" hidden="1" x14ac:dyDescent="0.3">
      <c r="A143">
        <v>6027</v>
      </c>
      <c r="B143" t="str">
        <v>MARIO A BERISSO SOC EN COM POR ACCIONES</v>
      </c>
      <c r="C143" s="6">
        <v>-7000000</v>
      </c>
      <c r="D143" s="6">
        <v>0</v>
      </c>
      <c r="E143" t="str">
        <v>Pesos</v>
      </c>
      <c r="F143" t="str">
        <v xml:space="preserve"> $</v>
      </c>
      <c r="G143" t="str">
        <f>IFERROR(VLOOKUP(A143,'Clientes CBOT'!B:E,4,0),B143)</f>
        <v>MARIO A BERISSO SOC EN COM POR ACCIONES</v>
      </c>
      <c r="H143" t="str">
        <f t="shared" si="6"/>
        <v>Ars</v>
      </c>
      <c r="I143" s="6">
        <f t="shared" si="7"/>
        <v>-7000000</v>
      </c>
      <c r="J143">
        <f t="shared" si="8"/>
        <v>0</v>
      </c>
      <c r="M143" s="64" t="s">
        <v>245</v>
      </c>
      <c r="N143" s="123">
        <v>-11724.89</v>
      </c>
    </row>
    <row r="144" spans="1:14" hidden="1" x14ac:dyDescent="0.3">
      <c r="A144">
        <v>223</v>
      </c>
      <c r="B144" t="str">
        <v>CERVIGNI MARCELO RAUL</v>
      </c>
      <c r="C144" s="6">
        <v>-113.33</v>
      </c>
      <c r="D144" s="6">
        <v>-0.16</v>
      </c>
      <c r="E144" t="str">
        <v>Pesos</v>
      </c>
      <c r="F144" t="str">
        <v xml:space="preserve"> $</v>
      </c>
      <c r="G144" t="str">
        <f>IFERROR(VLOOKUP(A144,'Clientes CBOT'!B:E,4,0),B144)</f>
        <v>CERVIGNI MARCELO RAUL</v>
      </c>
      <c r="H144" t="str">
        <f t="shared" si="6"/>
        <v>Ars</v>
      </c>
      <c r="I144" s="6">
        <f t="shared" si="7"/>
        <v>-113.33</v>
      </c>
      <c r="J144">
        <f t="shared" si="8"/>
        <v>-0.16</v>
      </c>
      <c r="M144" s="64" t="s">
        <v>390</v>
      </c>
      <c r="N144" s="123">
        <v>0.8</v>
      </c>
    </row>
    <row r="145" spans="1:14" hidden="1" x14ac:dyDescent="0.3">
      <c r="A145">
        <v>224</v>
      </c>
      <c r="B145" t="str">
        <v>CERVIGNI CLAUDIA ELIZABETH</v>
      </c>
      <c r="C145" s="6">
        <v>-24801.07</v>
      </c>
      <c r="D145" s="6">
        <v>0</v>
      </c>
      <c r="E145" t="str">
        <v>Pesos</v>
      </c>
      <c r="F145" t="str">
        <v xml:space="preserve"> $</v>
      </c>
      <c r="G145" t="str">
        <f>IFERROR(VLOOKUP(A145,'Clientes CBOT'!B:E,4,0),B145)</f>
        <v>CERVIGNI CLAUDIA ELIZABETH</v>
      </c>
      <c r="H145" t="str">
        <f t="shared" si="6"/>
        <v>Ars</v>
      </c>
      <c r="I145" s="6">
        <f t="shared" si="7"/>
        <v>-24801.07</v>
      </c>
      <c r="J145">
        <f t="shared" si="8"/>
        <v>0</v>
      </c>
      <c r="M145" s="64" t="s">
        <v>250</v>
      </c>
      <c r="N145" s="123">
        <v>1508466.63</v>
      </c>
    </row>
    <row r="146" spans="1:14" hidden="1" x14ac:dyDescent="0.3">
      <c r="A146">
        <v>225</v>
      </c>
      <c r="B146" t="str">
        <v>CERVIGNI NATALIA ANDREA</v>
      </c>
      <c r="C146" s="6">
        <v>-28315.1</v>
      </c>
      <c r="D146" s="6">
        <v>0.01</v>
      </c>
      <c r="E146" t="str">
        <v>Pesos</v>
      </c>
      <c r="F146" t="str">
        <v xml:space="preserve"> $</v>
      </c>
      <c r="G146" t="str">
        <f>IFERROR(VLOOKUP(A146,'Clientes CBOT'!B:E,4,0),B146)</f>
        <v>CERVIGNI NATALIA ANDREA</v>
      </c>
      <c r="H146" t="str">
        <f t="shared" si="6"/>
        <v>Ars</v>
      </c>
      <c r="I146" s="6">
        <f t="shared" si="7"/>
        <v>-28315.1</v>
      </c>
      <c r="J146">
        <f t="shared" si="8"/>
        <v>0.01</v>
      </c>
      <c r="M146" s="64" t="s">
        <v>394</v>
      </c>
      <c r="N146" s="123">
        <v>12069.81</v>
      </c>
    </row>
    <row r="147" spans="1:14" hidden="1" x14ac:dyDescent="0.3">
      <c r="A147">
        <v>234</v>
      </c>
      <c r="B147" t="str">
        <v>IZCO SAS</v>
      </c>
      <c r="C147" s="6">
        <v>-112303644.98</v>
      </c>
      <c r="D147" s="6">
        <v>0.01</v>
      </c>
      <c r="E147" t="str">
        <v>Pesos</v>
      </c>
      <c r="F147" t="str">
        <v xml:space="preserve"> $</v>
      </c>
      <c r="G147" t="str">
        <f>IFERROR(VLOOKUP(A147,'Clientes CBOT'!B:E,4,0),B147)</f>
        <v>IZCO SAS</v>
      </c>
      <c r="H147" t="str">
        <f t="shared" si="6"/>
        <v>Ars</v>
      </c>
      <c r="I147" s="6">
        <f t="shared" si="7"/>
        <v>-112303644.98</v>
      </c>
      <c r="J147">
        <f t="shared" si="8"/>
        <v>0.01</v>
      </c>
      <c r="M147" s="64" t="s">
        <v>396</v>
      </c>
      <c r="N147" s="123">
        <v>1287.43</v>
      </c>
    </row>
    <row r="148" spans="1:14" hidden="1" x14ac:dyDescent="0.3">
      <c r="A148">
        <v>256</v>
      </c>
      <c r="B148" t="str">
        <v>DESARROLLOS AGRICOLAS DEL SUR SRL</v>
      </c>
      <c r="C148" s="6">
        <v>0</v>
      </c>
      <c r="D148" s="6">
        <v>0</v>
      </c>
      <c r="E148" t="str">
        <v>Pesos</v>
      </c>
      <c r="F148" t="str">
        <v xml:space="preserve"> $</v>
      </c>
      <c r="G148" t="str">
        <f>IFERROR(VLOOKUP(A148,'Clientes CBOT'!B:E,4,0),B148)</f>
        <v>DESARROLLOS AGRICOLAS DEL SUR SRL</v>
      </c>
      <c r="H148" t="str">
        <f t="shared" si="6"/>
        <v>Ars</v>
      </c>
      <c r="I148" s="6">
        <f t="shared" si="7"/>
        <v>0</v>
      </c>
      <c r="J148">
        <f t="shared" si="8"/>
        <v>0</v>
      </c>
      <c r="M148" s="64" t="s">
        <v>397</v>
      </c>
      <c r="N148" s="123">
        <v>0</v>
      </c>
    </row>
    <row r="149" spans="1:14" hidden="1" x14ac:dyDescent="0.3">
      <c r="A149">
        <v>58</v>
      </c>
      <c r="B149" t="str">
        <v>PETROAGRO SOCIEDAD ANONIMA</v>
      </c>
      <c r="C149" s="6">
        <v>144.99</v>
      </c>
      <c r="D149" s="6">
        <v>0</v>
      </c>
      <c r="E149" t="str">
        <v>Pesos</v>
      </c>
      <c r="F149" t="str">
        <v xml:space="preserve"> $</v>
      </c>
      <c r="G149" t="str">
        <f>IFERROR(VLOOKUP(A149,'Clientes CBOT'!B:E,4,0),B149)</f>
        <v>PETROAGRO SOCIEDAD ANONIMA</v>
      </c>
      <c r="H149" t="str">
        <f t="shared" si="6"/>
        <v>Ars</v>
      </c>
      <c r="I149" s="6">
        <f t="shared" si="7"/>
        <v>144.99</v>
      </c>
      <c r="J149">
        <f t="shared" si="8"/>
        <v>0</v>
      </c>
      <c r="M149" s="64" t="s">
        <v>398</v>
      </c>
      <c r="N149" s="123">
        <v>0</v>
      </c>
    </row>
    <row r="150" spans="1:14" hidden="1" x14ac:dyDescent="0.3">
      <c r="A150">
        <v>44</v>
      </c>
      <c r="B150" t="str">
        <v>GRIVEO SA</v>
      </c>
      <c r="C150" s="6">
        <v>-759.72</v>
      </c>
      <c r="D150" s="6">
        <v>0.05</v>
      </c>
      <c r="E150" t="str">
        <v>Pesos</v>
      </c>
      <c r="F150" t="str">
        <v xml:space="preserve"> $</v>
      </c>
      <c r="G150" t="str">
        <f>IFERROR(VLOOKUP(A150,'Clientes CBOT'!B:E,4,0),B150)</f>
        <v>GRIVEO SA</v>
      </c>
      <c r="H150" t="str">
        <f t="shared" si="6"/>
        <v>Ars</v>
      </c>
      <c r="I150" s="6">
        <f t="shared" si="7"/>
        <v>-759.72</v>
      </c>
      <c r="J150">
        <f t="shared" si="8"/>
        <v>0.05</v>
      </c>
      <c r="M150" s="64" t="s">
        <v>258</v>
      </c>
      <c r="N150" s="123">
        <v>-291227.80000000005</v>
      </c>
    </row>
    <row r="151" spans="1:14" hidden="1" x14ac:dyDescent="0.3">
      <c r="A151">
        <v>48</v>
      </c>
      <c r="B151" t="str">
        <v>INDUSTRIAS RURALES SRL</v>
      </c>
      <c r="C151" s="6">
        <v>-2208000</v>
      </c>
      <c r="D151" s="6">
        <v>0.22</v>
      </c>
      <c r="E151" t="str">
        <v>Pesos</v>
      </c>
      <c r="F151" t="str">
        <v xml:space="preserve"> $</v>
      </c>
      <c r="G151" t="str">
        <f>IFERROR(VLOOKUP(A151,'Clientes CBOT'!B:E,4,0),B151)</f>
        <v>INDUSTRIAS RURALES SRL</v>
      </c>
      <c r="H151" t="str">
        <f t="shared" si="6"/>
        <v>Ars</v>
      </c>
      <c r="I151" s="6">
        <f t="shared" si="7"/>
        <v>-2208000</v>
      </c>
      <c r="J151">
        <f t="shared" si="8"/>
        <v>0.22</v>
      </c>
      <c r="M151" s="64" t="s">
        <v>400</v>
      </c>
      <c r="N151" s="123">
        <v>1647.35</v>
      </c>
    </row>
    <row r="152" spans="1:14" hidden="1" x14ac:dyDescent="0.3">
      <c r="A152">
        <v>51</v>
      </c>
      <c r="B152" t="str">
        <v>LINEUP GRAIN SA</v>
      </c>
      <c r="C152" s="6">
        <v>-72843636.030000001</v>
      </c>
      <c r="D152" s="6">
        <v>-77263106.859999999</v>
      </c>
      <c r="E152" t="str">
        <v>Pesos</v>
      </c>
      <c r="F152" t="str">
        <v xml:space="preserve"> $</v>
      </c>
      <c r="G152" t="str">
        <f>IFERROR(VLOOKUP(A152,'Clientes CBOT'!B:E,4,0),B152)</f>
        <v>LINEUP GRAIN SA</v>
      </c>
      <c r="H152" t="str">
        <f t="shared" si="6"/>
        <v>Ars</v>
      </c>
      <c r="I152" s="6">
        <f t="shared" si="7"/>
        <v>-72843636.030000001</v>
      </c>
      <c r="J152">
        <f t="shared" si="8"/>
        <v>-77263106.859999999</v>
      </c>
      <c r="M152" s="64" t="s">
        <v>401</v>
      </c>
      <c r="N152" s="123">
        <v>0</v>
      </c>
    </row>
    <row r="153" spans="1:14" hidden="1" x14ac:dyDescent="0.3">
      <c r="A153">
        <v>37</v>
      </c>
      <c r="B153" t="str">
        <v>ARECO SEMILLAS SA</v>
      </c>
      <c r="C153" s="6">
        <v>0</v>
      </c>
      <c r="D153" s="6">
        <v>0.01</v>
      </c>
      <c r="E153" t="str">
        <v>Pesos</v>
      </c>
      <c r="F153" t="str">
        <v xml:space="preserve"> $</v>
      </c>
      <c r="G153" t="str">
        <f>IFERROR(VLOOKUP(A153,'Clientes CBOT'!B:E,4,0),B153)</f>
        <v>ARECO SEMILLAS SA</v>
      </c>
      <c r="H153" t="str">
        <f t="shared" si="6"/>
        <v>Ars</v>
      </c>
      <c r="I153" s="6">
        <f t="shared" si="7"/>
        <v>0</v>
      </c>
      <c r="J153">
        <f t="shared" si="8"/>
        <v>0.01</v>
      </c>
      <c r="M153" s="64" t="s">
        <v>261</v>
      </c>
      <c r="N153" s="123">
        <v>-1634157.18</v>
      </c>
    </row>
    <row r="154" spans="1:14" hidden="1" x14ac:dyDescent="0.3">
      <c r="A154">
        <v>18</v>
      </c>
      <c r="B154" t="str">
        <v>COSECHAS ARGENTINAS SA</v>
      </c>
      <c r="C154" s="6">
        <v>0</v>
      </c>
      <c r="D154" s="6">
        <v>0.03</v>
      </c>
      <c r="E154" t="str">
        <v>Pesos</v>
      </c>
      <c r="F154" t="str">
        <v xml:space="preserve"> $</v>
      </c>
      <c r="G154" t="str">
        <f>IFERROR(VLOOKUP(A154,'Clientes CBOT'!B:E,4,0),B154)</f>
        <v>COSECHAS ARGENTINAS SA</v>
      </c>
      <c r="H154" t="str">
        <f t="shared" si="6"/>
        <v>Ars</v>
      </c>
      <c r="I154" s="6">
        <f t="shared" si="7"/>
        <v>0</v>
      </c>
      <c r="J154">
        <f t="shared" si="8"/>
        <v>0.03</v>
      </c>
      <c r="M154" s="64" t="s">
        <v>403</v>
      </c>
      <c r="N154" s="123">
        <v>0</v>
      </c>
    </row>
    <row r="155" spans="1:14" hidden="1" x14ac:dyDescent="0.3">
      <c r="A155">
        <v>35</v>
      </c>
      <c r="B155" t="str">
        <v>FIORE HERNAN</v>
      </c>
      <c r="C155" s="6">
        <v>-19296.5</v>
      </c>
      <c r="D155" s="6">
        <v>7.0000000000000007E-2</v>
      </c>
      <c r="E155" t="str">
        <v>Pesos</v>
      </c>
      <c r="F155" t="str">
        <v xml:space="preserve"> $</v>
      </c>
      <c r="G155" t="str">
        <f>IFERROR(VLOOKUP(A155,'Clientes CBOT'!B:E,4,0),B155)</f>
        <v>FIORE HERNAN</v>
      </c>
      <c r="H155" t="str">
        <f t="shared" si="6"/>
        <v>Ars</v>
      </c>
      <c r="I155" s="6">
        <f t="shared" si="7"/>
        <v>-19296.5</v>
      </c>
      <c r="J155">
        <f t="shared" si="8"/>
        <v>7.0000000000000007E-2</v>
      </c>
      <c r="M155" s="64" t="s">
        <v>404</v>
      </c>
      <c r="N155" s="123">
        <v>-18279.370000000003</v>
      </c>
    </row>
    <row r="156" spans="1:14" hidden="1" x14ac:dyDescent="0.3">
      <c r="A156">
        <v>1000</v>
      </c>
      <c r="B156" t="str">
        <v>SPECIAL GRAINS S A</v>
      </c>
      <c r="C156" s="6">
        <v>24.74</v>
      </c>
      <c r="D156" s="6">
        <v>0</v>
      </c>
      <c r="E156" t="str">
        <v>Pesos</v>
      </c>
      <c r="F156" t="str">
        <v xml:space="preserve"> $</v>
      </c>
      <c r="G156" t="str">
        <f>IFERROR(VLOOKUP(A156,'Clientes CBOT'!B:E,4,0),B156)</f>
        <v>SPECIAL GRAINS S A</v>
      </c>
      <c r="H156" t="str">
        <f t="shared" si="6"/>
        <v>Ars</v>
      </c>
      <c r="I156" s="6">
        <f t="shared" si="7"/>
        <v>24.74</v>
      </c>
      <c r="J156">
        <f t="shared" si="8"/>
        <v>0</v>
      </c>
      <c r="M156" s="64" t="s">
        <v>266</v>
      </c>
      <c r="N156" s="123">
        <v>-573.16999999999996</v>
      </c>
    </row>
    <row r="157" spans="1:14" hidden="1" x14ac:dyDescent="0.3">
      <c r="A157">
        <v>454</v>
      </c>
      <c r="B157" t="str">
        <v>CENTRO INTEGRAL DE TRANSFORMACION AGROPECUARIA SRL</v>
      </c>
      <c r="C157" s="6">
        <v>-4491768.5599999996</v>
      </c>
      <c r="D157" s="6">
        <v>0.02</v>
      </c>
      <c r="E157" t="str">
        <v>Pesos</v>
      </c>
      <c r="F157" t="str">
        <v xml:space="preserve"> $</v>
      </c>
      <c r="G157" t="str">
        <f>IFERROR(VLOOKUP(A157,'Clientes CBOT'!B:E,4,0),B157)</f>
        <v>CENTRO INTEGRAL DE TRANSFORMACION AGROPECUARIA SRL</v>
      </c>
      <c r="H157" t="str">
        <f t="shared" si="6"/>
        <v>Ars</v>
      </c>
      <c r="I157" s="6">
        <f t="shared" si="7"/>
        <v>-4491768.5599999996</v>
      </c>
      <c r="J157">
        <f t="shared" si="8"/>
        <v>0.02</v>
      </c>
      <c r="M157" s="64" t="s">
        <v>405</v>
      </c>
      <c r="N157" s="123">
        <v>-0.01</v>
      </c>
    </row>
    <row r="158" spans="1:14" hidden="1" x14ac:dyDescent="0.3">
      <c r="A158">
        <v>474</v>
      </c>
      <c r="B158" t="str">
        <v>TATAT Agroservicios SA</v>
      </c>
      <c r="C158" s="6">
        <v>0</v>
      </c>
      <c r="D158" s="6">
        <v>-0.03</v>
      </c>
      <c r="E158" t="str">
        <v>Pesos</v>
      </c>
      <c r="F158" t="str">
        <v xml:space="preserve"> $</v>
      </c>
      <c r="G158" t="str">
        <f>IFERROR(VLOOKUP(A158,'Clientes CBOT'!B:E,4,0),B158)</f>
        <v>TATAT Agroservicios SA</v>
      </c>
      <c r="H158" t="str">
        <f t="shared" si="6"/>
        <v>Ars</v>
      </c>
      <c r="I158" s="6">
        <f t="shared" si="7"/>
        <v>0</v>
      </c>
      <c r="J158">
        <f t="shared" si="8"/>
        <v>-0.03</v>
      </c>
      <c r="M158" s="64" t="s">
        <v>406</v>
      </c>
      <c r="N158" s="123">
        <v>-134.5</v>
      </c>
    </row>
    <row r="159" spans="1:14" hidden="1" x14ac:dyDescent="0.3">
      <c r="A159">
        <v>107</v>
      </c>
      <c r="B159" t="str">
        <v>CERVIGNI HNOS SA</v>
      </c>
      <c r="C159" s="6">
        <v>0</v>
      </c>
      <c r="D159" s="6">
        <v>-0.15</v>
      </c>
      <c r="E159" t="str">
        <v>Pesos</v>
      </c>
      <c r="F159" t="str">
        <v xml:space="preserve"> $</v>
      </c>
      <c r="G159" t="str">
        <f>IFERROR(VLOOKUP(A159,'Clientes CBOT'!B:E,4,0),B159)</f>
        <v>CERVIGNI HNOS SA</v>
      </c>
      <c r="H159" t="str">
        <f t="shared" si="6"/>
        <v>Ars</v>
      </c>
      <c r="I159" s="6">
        <f t="shared" si="7"/>
        <v>0</v>
      </c>
      <c r="J159">
        <f t="shared" si="8"/>
        <v>-0.15</v>
      </c>
      <c r="M159" s="64" t="s">
        <v>407</v>
      </c>
      <c r="N159" s="123">
        <v>2576148.7799999998</v>
      </c>
    </row>
    <row r="160" spans="1:14" hidden="1" x14ac:dyDescent="0.3">
      <c r="A160">
        <v>78</v>
      </c>
      <c r="B160" t="str">
        <v>EZCURRA MIGUEL MARTIN</v>
      </c>
      <c r="C160" s="6">
        <v>0</v>
      </c>
      <c r="D160" s="6">
        <v>0</v>
      </c>
      <c r="E160" t="str">
        <v>Pesos</v>
      </c>
      <c r="F160" t="str">
        <v xml:space="preserve"> $</v>
      </c>
      <c r="G160" t="str">
        <f>IFERROR(VLOOKUP(A160,'Clientes CBOT'!B:E,4,0),B160)</f>
        <v>EZCURRA MIGUEL MARTIN</v>
      </c>
      <c r="H160" t="str">
        <f t="shared" si="6"/>
        <v>Ars</v>
      </c>
      <c r="I160" s="6">
        <f t="shared" si="7"/>
        <v>0</v>
      </c>
      <c r="J160">
        <f t="shared" si="8"/>
        <v>0</v>
      </c>
      <c r="M160" s="64" t="s">
        <v>408</v>
      </c>
      <c r="N160" s="123">
        <v>0</v>
      </c>
    </row>
    <row r="161" spans="1:14" hidden="1" x14ac:dyDescent="0.3">
      <c r="A161">
        <v>514</v>
      </c>
      <c r="B161" t="str">
        <v>MARCHI LUIS MIGUEL</v>
      </c>
      <c r="C161" s="6">
        <v>-1651560</v>
      </c>
      <c r="D161" s="6">
        <v>-0.01</v>
      </c>
      <c r="E161" t="str">
        <v>Pesos</v>
      </c>
      <c r="F161" t="str">
        <v xml:space="preserve"> $</v>
      </c>
      <c r="G161" t="str">
        <f>IFERROR(VLOOKUP(A161,'Clientes CBOT'!B:E,4,0),B161)</f>
        <v>MARCHI LUIS MIGUEL</v>
      </c>
      <c r="H161" t="str">
        <f t="shared" si="6"/>
        <v>Ars</v>
      </c>
      <c r="I161" s="6">
        <f t="shared" si="7"/>
        <v>-1651560</v>
      </c>
      <c r="J161">
        <f t="shared" si="8"/>
        <v>-0.01</v>
      </c>
      <c r="M161" s="64" t="s">
        <v>409</v>
      </c>
      <c r="N161" s="123">
        <v>0</v>
      </c>
    </row>
    <row r="162" spans="1:14" hidden="1" x14ac:dyDescent="0.3">
      <c r="A162">
        <v>89</v>
      </c>
      <c r="B162" t="str">
        <v>LA CHAMPA SA</v>
      </c>
      <c r="C162" s="6">
        <v>0</v>
      </c>
      <c r="D162" s="6">
        <v>0.06</v>
      </c>
      <c r="E162" t="str">
        <v>Pesos</v>
      </c>
      <c r="F162" t="str">
        <v xml:space="preserve"> $</v>
      </c>
      <c r="G162" t="str">
        <f>IFERROR(VLOOKUP(A162,'Clientes CBOT'!B:E,4,0),B162)</f>
        <v>LA CHAMPA SA</v>
      </c>
      <c r="H162" t="str">
        <f t="shared" si="6"/>
        <v>Ars</v>
      </c>
      <c r="I162" s="6">
        <f t="shared" si="7"/>
        <v>0</v>
      </c>
      <c r="J162">
        <f t="shared" si="8"/>
        <v>0.06</v>
      </c>
      <c r="M162" s="64" t="s">
        <v>410</v>
      </c>
      <c r="N162" s="123">
        <v>0</v>
      </c>
    </row>
    <row r="163" spans="1:14" hidden="1" x14ac:dyDescent="0.3">
      <c r="A163">
        <v>92</v>
      </c>
      <c r="B163" t="str">
        <v>Fideicomiso Bonterra I</v>
      </c>
      <c r="C163" s="6">
        <v>0</v>
      </c>
      <c r="D163" s="6">
        <v>-0.01</v>
      </c>
      <c r="E163" t="str">
        <v>Pesos</v>
      </c>
      <c r="F163" t="str">
        <v xml:space="preserve"> $</v>
      </c>
      <c r="G163" t="str">
        <f>IFERROR(VLOOKUP(A163,'Clientes CBOT'!B:E,4,0),B163)</f>
        <v>Fideicomiso Bonterra I</v>
      </c>
      <c r="H163" t="str">
        <f t="shared" si="6"/>
        <v>Ars</v>
      </c>
      <c r="I163" s="6">
        <f t="shared" si="7"/>
        <v>0</v>
      </c>
      <c r="J163">
        <f t="shared" si="8"/>
        <v>-0.01</v>
      </c>
      <c r="M163" s="64" t="s">
        <v>411</v>
      </c>
      <c r="N163" s="123">
        <v>237.8</v>
      </c>
    </row>
    <row r="164" spans="1:14" hidden="1" x14ac:dyDescent="0.3">
      <c r="A164">
        <v>141</v>
      </c>
      <c r="B164" t="str">
        <v>ROUSPIL S.A.</v>
      </c>
      <c r="C164" s="6">
        <v>26655.66</v>
      </c>
      <c r="D164" s="6">
        <v>0</v>
      </c>
      <c r="E164" t="str">
        <v>Pesos</v>
      </c>
      <c r="F164" t="str">
        <v xml:space="preserve"> $</v>
      </c>
      <c r="G164" t="str">
        <f>IFERROR(VLOOKUP(A164,'Clientes CBOT'!B:E,4,0),B164)</f>
        <v>ROUSPIL S.A.</v>
      </c>
      <c r="H164" t="str">
        <f t="shared" si="6"/>
        <v>Ars</v>
      </c>
      <c r="I164" s="6">
        <f t="shared" si="7"/>
        <v>26655.66</v>
      </c>
      <c r="J164">
        <f t="shared" si="8"/>
        <v>0</v>
      </c>
      <c r="M164" s="64" t="s">
        <v>412</v>
      </c>
      <c r="N164" s="123">
        <v>-1878.28</v>
      </c>
    </row>
    <row r="165" spans="1:14" hidden="1" x14ac:dyDescent="0.3">
      <c r="A165">
        <v>143</v>
      </c>
      <c r="B165" t="str">
        <v>FERRERO ALDO ROBERTO</v>
      </c>
      <c r="C165" s="6">
        <v>-12900000</v>
      </c>
      <c r="D165" s="6">
        <v>7.0000000000000007E-2</v>
      </c>
      <c r="E165" t="str">
        <v>Pesos</v>
      </c>
      <c r="F165" t="str">
        <v xml:space="preserve"> $</v>
      </c>
      <c r="G165" t="str">
        <f>IFERROR(VLOOKUP(A165,'Clientes CBOT'!B:E,4,0),B165)</f>
        <v>FERRERO ALDO ROBERTO</v>
      </c>
      <c r="H165" t="str">
        <f t="shared" si="6"/>
        <v>Ars</v>
      </c>
      <c r="I165" s="6">
        <f t="shared" si="7"/>
        <v>-12900000</v>
      </c>
      <c r="J165">
        <f t="shared" si="8"/>
        <v>7.0000000000000007E-2</v>
      </c>
      <c r="M165" s="64" t="s">
        <v>415</v>
      </c>
      <c r="N165" s="123">
        <v>0</v>
      </c>
    </row>
    <row r="166" spans="1:14" hidden="1" x14ac:dyDescent="0.3">
      <c r="A166">
        <v>156</v>
      </c>
      <c r="B166" t="str">
        <v>OILCO SA</v>
      </c>
      <c r="C166" s="6">
        <v>-15045875.65</v>
      </c>
      <c r="D166" s="6">
        <v>0</v>
      </c>
      <c r="E166" t="str">
        <v>Pesos</v>
      </c>
      <c r="F166" t="str">
        <v xml:space="preserve"> $</v>
      </c>
      <c r="G166" t="str">
        <f>IFERROR(VLOOKUP(A166,'Clientes CBOT'!B:E,4,0),B166)</f>
        <v>OILCO SA</v>
      </c>
      <c r="H166" t="str">
        <f t="shared" si="6"/>
        <v>Ars</v>
      </c>
      <c r="I166" s="6">
        <f t="shared" si="7"/>
        <v>-15045875.65</v>
      </c>
      <c r="J166">
        <f t="shared" si="8"/>
        <v>0</v>
      </c>
      <c r="M166" s="64" t="s">
        <v>416</v>
      </c>
      <c r="N166" s="123">
        <v>49.28</v>
      </c>
    </row>
    <row r="167" spans="1:14" hidden="1" x14ac:dyDescent="0.3">
      <c r="A167">
        <v>162</v>
      </c>
      <c r="B167" t="str">
        <v>BETA SCA</v>
      </c>
      <c r="C167" s="6">
        <v>0.4</v>
      </c>
      <c r="D167" s="6">
        <v>0.01</v>
      </c>
      <c r="E167" t="str">
        <v>Pesos</v>
      </c>
      <c r="F167" t="str">
        <v xml:space="preserve"> $</v>
      </c>
      <c r="G167" t="str">
        <f>IFERROR(VLOOKUP(A167,'Clientes CBOT'!B:E,4,0),B167)</f>
        <v>BETA SCA</v>
      </c>
      <c r="H167" t="str">
        <f t="shared" si="6"/>
        <v>Ars</v>
      </c>
      <c r="I167" s="6">
        <f t="shared" si="7"/>
        <v>0.4</v>
      </c>
      <c r="J167">
        <f t="shared" si="8"/>
        <v>0.01</v>
      </c>
      <c r="M167" s="64" t="s">
        <v>270</v>
      </c>
      <c r="N167" s="123">
        <v>-71223204.470000014</v>
      </c>
    </row>
    <row r="168" spans="1:14" hidden="1" x14ac:dyDescent="0.3">
      <c r="A168">
        <v>542</v>
      </c>
      <c r="B168" t="str">
        <v>AGROPECUARIA LAS COLORADAS SA</v>
      </c>
      <c r="C168" s="6">
        <v>0</v>
      </c>
      <c r="D168" s="6">
        <v>-0.01</v>
      </c>
      <c r="E168" t="str">
        <v>Pesos</v>
      </c>
      <c r="F168" t="str">
        <v xml:space="preserve"> $</v>
      </c>
      <c r="G168" t="str">
        <f>IFERROR(VLOOKUP(A168,'Clientes CBOT'!B:E,4,0),B168)</f>
        <v>AGROPECUARIA LAS COLORADAS SA</v>
      </c>
      <c r="H168" t="str">
        <f t="shared" si="6"/>
        <v>Ars</v>
      </c>
      <c r="I168" s="6">
        <f t="shared" si="7"/>
        <v>0</v>
      </c>
      <c r="J168">
        <f t="shared" si="8"/>
        <v>-0.01</v>
      </c>
      <c r="M168" s="64" t="s">
        <v>419</v>
      </c>
      <c r="N168" s="123">
        <v>0</v>
      </c>
    </row>
    <row r="169" spans="1:14" hidden="1" x14ac:dyDescent="0.3">
      <c r="A169">
        <v>542</v>
      </c>
      <c r="B169" t="str">
        <v>AGROPECUARIA LAS COLORADAS SA</v>
      </c>
      <c r="C169" s="6">
        <v>0</v>
      </c>
      <c r="D169" s="6">
        <v>0</v>
      </c>
      <c r="E169" t="str">
        <v xml:space="preserve">Dólar </v>
      </c>
      <c r="F169" t="str">
        <v xml:space="preserve"> U$S</v>
      </c>
      <c r="G169" t="str">
        <f>IFERROR(VLOOKUP(A169,'Clientes CBOT'!B:E,4,0),B169)</f>
        <v>AGROPECUARIA LAS COLORADAS SA</v>
      </c>
      <c r="H169" t="str">
        <f t="shared" si="6"/>
        <v>Dólar</v>
      </c>
      <c r="I169" s="6">
        <f t="shared" si="7"/>
        <v>0</v>
      </c>
      <c r="J169">
        <f t="shared" si="8"/>
        <v>0</v>
      </c>
      <c r="M169" s="64" t="s">
        <v>420</v>
      </c>
      <c r="N169" s="123">
        <v>502652.89</v>
      </c>
    </row>
    <row r="170" spans="1:14" hidden="1" x14ac:dyDescent="0.3">
      <c r="A170">
        <v>143</v>
      </c>
      <c r="B170" t="str">
        <v>FERRERO ALDO ROBERTO</v>
      </c>
      <c r="C170" s="6">
        <v>2905.66</v>
      </c>
      <c r="D170" s="6">
        <v>0</v>
      </c>
      <c r="E170" t="str">
        <v xml:space="preserve">Dólar </v>
      </c>
      <c r="F170" t="str">
        <v xml:space="preserve"> U$S</v>
      </c>
      <c r="G170" t="str">
        <f>IFERROR(VLOOKUP(A170,'Clientes CBOT'!B:E,4,0),B170)</f>
        <v>FERRERO ALDO ROBERTO</v>
      </c>
      <c r="H170" t="str">
        <f t="shared" si="6"/>
        <v>Dólar</v>
      </c>
      <c r="I170" s="6">
        <f t="shared" si="7"/>
        <v>2905.66</v>
      </c>
      <c r="J170">
        <f t="shared" si="8"/>
        <v>0</v>
      </c>
      <c r="M170" s="64" t="s">
        <v>274</v>
      </c>
      <c r="N170" s="123">
        <v>6253.95</v>
      </c>
    </row>
    <row r="171" spans="1:14" hidden="1" x14ac:dyDescent="0.3">
      <c r="A171">
        <v>141</v>
      </c>
      <c r="B171" t="str">
        <v>ROUSPIL S.A.</v>
      </c>
      <c r="C171" s="6">
        <v>0.54</v>
      </c>
      <c r="D171" s="6">
        <v>0</v>
      </c>
      <c r="E171" t="str">
        <v xml:space="preserve">Dólar </v>
      </c>
      <c r="F171" t="str">
        <v xml:space="preserve"> U$S</v>
      </c>
      <c r="G171" t="str">
        <f>IFERROR(VLOOKUP(A171,'Clientes CBOT'!B:E,4,0),B171)</f>
        <v>ROUSPIL S.A.</v>
      </c>
      <c r="H171" t="str">
        <f t="shared" si="6"/>
        <v>Dólar</v>
      </c>
      <c r="I171" s="6">
        <f t="shared" si="7"/>
        <v>0.54</v>
      </c>
      <c r="J171">
        <f t="shared" si="8"/>
        <v>0</v>
      </c>
      <c r="M171" s="64" t="s">
        <v>421</v>
      </c>
      <c r="N171" s="123">
        <v>0</v>
      </c>
    </row>
    <row r="172" spans="1:14" hidden="1" x14ac:dyDescent="0.3">
      <c r="A172">
        <v>92</v>
      </c>
      <c r="B172" t="str">
        <v>Fideicomiso Bonterra I</v>
      </c>
      <c r="C172" s="6">
        <v>0.84</v>
      </c>
      <c r="D172" s="6">
        <v>0</v>
      </c>
      <c r="E172" t="str">
        <v xml:space="preserve">Dólar </v>
      </c>
      <c r="F172" t="str">
        <v xml:space="preserve"> U$S</v>
      </c>
      <c r="G172" t="str">
        <f>IFERROR(VLOOKUP(A172,'Clientes CBOT'!B:E,4,0),B172)</f>
        <v>Fideicomiso Bonterra I</v>
      </c>
      <c r="H172" t="str">
        <f t="shared" si="6"/>
        <v>Dólar</v>
      </c>
      <c r="I172" s="6">
        <f t="shared" si="7"/>
        <v>0.84</v>
      </c>
      <c r="J172">
        <f t="shared" si="8"/>
        <v>0</v>
      </c>
      <c r="M172" s="64" t="s">
        <v>395</v>
      </c>
      <c r="N172" s="123">
        <v>731.63</v>
      </c>
    </row>
    <row r="173" spans="1:14" hidden="1" x14ac:dyDescent="0.3">
      <c r="A173">
        <v>89</v>
      </c>
      <c r="B173" t="str">
        <v>LA CHAMPA SA</v>
      </c>
      <c r="C173" s="6">
        <v>0</v>
      </c>
      <c r="D173" s="6">
        <v>0</v>
      </c>
      <c r="E173" t="str">
        <v xml:space="preserve">Dólar </v>
      </c>
      <c r="F173" t="str">
        <v xml:space="preserve"> U$S</v>
      </c>
      <c r="G173" t="str">
        <f>IFERROR(VLOOKUP(A173,'Clientes CBOT'!B:E,4,0),B173)</f>
        <v>LA CHAMPA SA</v>
      </c>
      <c r="H173" t="str">
        <f t="shared" si="6"/>
        <v>Dólar</v>
      </c>
      <c r="I173" s="6">
        <f t="shared" si="7"/>
        <v>0</v>
      </c>
      <c r="J173">
        <f t="shared" si="8"/>
        <v>0</v>
      </c>
      <c r="M173" s="64" t="s">
        <v>423</v>
      </c>
      <c r="N173" s="123">
        <v>-178127436.63999999</v>
      </c>
    </row>
    <row r="174" spans="1:14" hidden="1" x14ac:dyDescent="0.3">
      <c r="A174">
        <v>78</v>
      </c>
      <c r="B174" t="str">
        <v>EZCURRA MIGUEL MARTIN</v>
      </c>
      <c r="C174" s="6">
        <v>483.88</v>
      </c>
      <c r="D174" s="6">
        <v>0</v>
      </c>
      <c r="E174" t="str">
        <v xml:space="preserve">Dólar </v>
      </c>
      <c r="F174" t="str">
        <v xml:space="preserve"> U$S</v>
      </c>
      <c r="G174" t="str">
        <f>IFERROR(VLOOKUP(A174,'Clientes CBOT'!B:E,4,0),B174)</f>
        <v>EZCURRA MIGUEL MARTIN</v>
      </c>
      <c r="H174" t="str">
        <f t="shared" si="6"/>
        <v>Dólar</v>
      </c>
      <c r="I174" s="6">
        <f t="shared" si="7"/>
        <v>483.88</v>
      </c>
      <c r="J174">
        <f t="shared" si="8"/>
        <v>0</v>
      </c>
      <c r="M174" s="64" t="s">
        <v>424</v>
      </c>
      <c r="N174" s="123">
        <v>3442.64</v>
      </c>
    </row>
    <row r="175" spans="1:14" hidden="1" x14ac:dyDescent="0.3">
      <c r="A175">
        <v>107</v>
      </c>
      <c r="B175" t="str">
        <v>CERVIGNI HNOS SA</v>
      </c>
      <c r="C175" s="6">
        <v>921.89</v>
      </c>
      <c r="D175" s="6">
        <v>0</v>
      </c>
      <c r="E175" t="str">
        <v xml:space="preserve">Dólar </v>
      </c>
      <c r="F175" t="str">
        <v xml:space="preserve"> U$S</v>
      </c>
      <c r="G175" t="str">
        <f>IFERROR(VLOOKUP(A175,'Clientes CBOT'!B:E,4,0),B175)</f>
        <v>CERVIGNI HNOS SA</v>
      </c>
      <c r="H175" t="str">
        <f t="shared" si="6"/>
        <v>Dólar</v>
      </c>
      <c r="I175" s="6">
        <f t="shared" si="7"/>
        <v>921.89</v>
      </c>
      <c r="J175">
        <f t="shared" si="8"/>
        <v>0</v>
      </c>
      <c r="M175" s="64" t="s">
        <v>426</v>
      </c>
      <c r="N175" s="123">
        <v>0</v>
      </c>
    </row>
    <row r="176" spans="1:14" hidden="1" x14ac:dyDescent="0.3">
      <c r="A176">
        <v>1000</v>
      </c>
      <c r="B176" t="str">
        <v>SPECIAL GRAINS S A</v>
      </c>
      <c r="C176" s="6">
        <v>0</v>
      </c>
      <c r="D176" s="6">
        <v>0</v>
      </c>
      <c r="E176" t="str">
        <v xml:space="preserve">Dólar </v>
      </c>
      <c r="F176" t="str">
        <v xml:space="preserve"> U$S</v>
      </c>
      <c r="G176" t="str">
        <f>IFERROR(VLOOKUP(A176,'Clientes CBOT'!B:E,4,0),B176)</f>
        <v>SPECIAL GRAINS S A</v>
      </c>
      <c r="H176" t="str">
        <f t="shared" si="6"/>
        <v>Dólar</v>
      </c>
      <c r="I176" s="6">
        <f t="shared" si="7"/>
        <v>0</v>
      </c>
      <c r="J176">
        <f t="shared" si="8"/>
        <v>0</v>
      </c>
      <c r="M176" s="64" t="s">
        <v>427</v>
      </c>
      <c r="N176" s="123">
        <v>0</v>
      </c>
    </row>
    <row r="177" spans="1:14" hidden="1" x14ac:dyDescent="0.3">
      <c r="A177">
        <v>35</v>
      </c>
      <c r="B177" t="str">
        <v>FIORE HERNAN</v>
      </c>
      <c r="C177" s="6">
        <v>11999.06</v>
      </c>
      <c r="D177" s="6">
        <v>0</v>
      </c>
      <c r="E177" t="str">
        <v xml:space="preserve">Dólar </v>
      </c>
      <c r="F177" t="str">
        <v xml:space="preserve"> U$S</v>
      </c>
      <c r="G177" t="str">
        <f>IFERROR(VLOOKUP(A177,'Clientes CBOT'!B:E,4,0),B177)</f>
        <v>FIORE HERNAN</v>
      </c>
      <c r="H177" t="str">
        <f t="shared" si="6"/>
        <v>Dólar</v>
      </c>
      <c r="I177" s="6">
        <f t="shared" si="7"/>
        <v>11999.06</v>
      </c>
      <c r="J177">
        <f t="shared" si="8"/>
        <v>0</v>
      </c>
      <c r="M177" s="64" t="s">
        <v>429</v>
      </c>
      <c r="N177" s="123">
        <v>22.689999999999998</v>
      </c>
    </row>
    <row r="178" spans="1:14" hidden="1" x14ac:dyDescent="0.3">
      <c r="A178">
        <v>51</v>
      </c>
      <c r="B178" t="str">
        <v>LINEUP GRAIN SA</v>
      </c>
      <c r="C178" s="6">
        <v>82359.649999999994</v>
      </c>
      <c r="D178" s="6">
        <v>0</v>
      </c>
      <c r="E178" t="str">
        <v xml:space="preserve">Dólar </v>
      </c>
      <c r="F178" t="str">
        <v xml:space="preserve"> U$S</v>
      </c>
      <c r="G178" t="str">
        <f>IFERROR(VLOOKUP(A178,'Clientes CBOT'!B:E,4,0),B178)</f>
        <v>LINEUP GRAIN SA</v>
      </c>
      <c r="H178" t="str">
        <f t="shared" si="6"/>
        <v>Dólar</v>
      </c>
      <c r="I178" s="6">
        <f t="shared" si="7"/>
        <v>82359.649999999994</v>
      </c>
      <c r="J178">
        <f t="shared" si="8"/>
        <v>0</v>
      </c>
      <c r="M178" s="64" t="s">
        <v>430</v>
      </c>
      <c r="N178" s="123">
        <v>0</v>
      </c>
    </row>
    <row r="179" spans="1:14" hidden="1" x14ac:dyDescent="0.3">
      <c r="A179">
        <v>48</v>
      </c>
      <c r="B179" t="str">
        <v>INDUSTRIAS RURALES SRL</v>
      </c>
      <c r="C179" s="6">
        <v>1.06</v>
      </c>
      <c r="D179" s="6">
        <v>0</v>
      </c>
      <c r="E179" t="str">
        <v xml:space="preserve">Dólar </v>
      </c>
      <c r="F179" t="str">
        <v xml:space="preserve"> U$S</v>
      </c>
      <c r="G179" t="str">
        <f>IFERROR(VLOOKUP(A179,'Clientes CBOT'!B:E,4,0),B179)</f>
        <v>INDUSTRIAS RURALES SRL</v>
      </c>
      <c r="H179" t="str">
        <f t="shared" si="6"/>
        <v>Dólar</v>
      </c>
      <c r="I179" s="6">
        <f t="shared" si="7"/>
        <v>1.06</v>
      </c>
      <c r="J179">
        <f t="shared" si="8"/>
        <v>0</v>
      </c>
      <c r="M179" s="64" t="s">
        <v>432</v>
      </c>
      <c r="N179" s="123">
        <v>-12897094.34</v>
      </c>
    </row>
    <row r="180" spans="1:14" hidden="1" x14ac:dyDescent="0.3">
      <c r="A180">
        <v>44</v>
      </c>
      <c r="B180" t="str">
        <v>GRIVEO SA</v>
      </c>
      <c r="C180" s="6">
        <v>0</v>
      </c>
      <c r="D180" s="6">
        <v>0</v>
      </c>
      <c r="E180" t="str">
        <v xml:space="preserve">Dólar </v>
      </c>
      <c r="F180" t="str">
        <v xml:space="preserve"> U$S</v>
      </c>
      <c r="G180" t="str">
        <f>IFERROR(VLOOKUP(A180,'Clientes CBOT'!B:E,4,0),B180)</f>
        <v>GRIVEO SA</v>
      </c>
      <c r="H180" t="str">
        <f t="shared" si="6"/>
        <v>Dólar</v>
      </c>
      <c r="I180" s="6">
        <f t="shared" si="7"/>
        <v>0</v>
      </c>
      <c r="J180">
        <f t="shared" si="8"/>
        <v>0</v>
      </c>
      <c r="M180" s="64" t="s">
        <v>433</v>
      </c>
      <c r="N180" s="123">
        <v>22.53</v>
      </c>
    </row>
    <row r="181" spans="1:14" hidden="1" x14ac:dyDescent="0.3">
      <c r="A181">
        <v>234</v>
      </c>
      <c r="B181" t="str">
        <v>IZCO SAS</v>
      </c>
      <c r="C181" s="6">
        <v>960.15</v>
      </c>
      <c r="D181" s="6">
        <v>0</v>
      </c>
      <c r="E181" t="str">
        <v xml:space="preserve">Dólar </v>
      </c>
      <c r="F181" t="str">
        <v xml:space="preserve"> U$S</v>
      </c>
      <c r="G181" t="str">
        <f>IFERROR(VLOOKUP(A181,'Clientes CBOT'!B:E,4,0),B181)</f>
        <v>IZCO SAS</v>
      </c>
      <c r="H181" t="str">
        <f t="shared" si="6"/>
        <v>Dólar</v>
      </c>
      <c r="I181" s="6">
        <f t="shared" si="7"/>
        <v>960.15</v>
      </c>
      <c r="J181">
        <f t="shared" si="8"/>
        <v>0</v>
      </c>
      <c r="M181" s="64" t="s">
        <v>434</v>
      </c>
      <c r="N181" s="123">
        <v>5083.6499999999996</v>
      </c>
    </row>
    <row r="182" spans="1:14" hidden="1" x14ac:dyDescent="0.3">
      <c r="A182">
        <v>225</v>
      </c>
      <c r="B182" t="str">
        <v>CERVIGNI NATALIA ANDREA</v>
      </c>
      <c r="C182" s="6">
        <v>0</v>
      </c>
      <c r="D182" s="6">
        <v>0</v>
      </c>
      <c r="E182" t="str">
        <v xml:space="preserve">Dólar </v>
      </c>
      <c r="F182" t="str">
        <v xml:space="preserve"> U$S</v>
      </c>
      <c r="G182" t="str">
        <f>IFERROR(VLOOKUP(A182,'Clientes CBOT'!B:E,4,0),B182)</f>
        <v>CERVIGNI NATALIA ANDREA</v>
      </c>
      <c r="H182" t="str">
        <f t="shared" si="6"/>
        <v>Dólar</v>
      </c>
      <c r="I182" s="6">
        <f t="shared" si="7"/>
        <v>0</v>
      </c>
      <c r="J182">
        <f t="shared" si="8"/>
        <v>0</v>
      </c>
      <c r="M182" s="64" t="s">
        <v>435</v>
      </c>
      <c r="N182" s="123">
        <v>-0.24</v>
      </c>
    </row>
    <row r="183" spans="1:14" hidden="1" x14ac:dyDescent="0.3">
      <c r="A183">
        <v>224</v>
      </c>
      <c r="B183" t="str">
        <v>CERVIGNI CLAUDIA ELIZABETH</v>
      </c>
      <c r="C183" s="6">
        <v>4835.66</v>
      </c>
      <c r="D183" s="6">
        <v>0</v>
      </c>
      <c r="E183" t="str">
        <v xml:space="preserve">Dólar </v>
      </c>
      <c r="F183" t="str">
        <v xml:space="preserve"> U$S</v>
      </c>
      <c r="G183" t="str">
        <f>IFERROR(VLOOKUP(A183,'Clientes CBOT'!B:E,4,0),B183)</f>
        <v>CERVIGNI CLAUDIA ELIZABETH</v>
      </c>
      <c r="H183" t="str">
        <f t="shared" si="6"/>
        <v>Dólar</v>
      </c>
      <c r="I183" s="6">
        <f t="shared" si="7"/>
        <v>4835.66</v>
      </c>
      <c r="J183">
        <f t="shared" si="8"/>
        <v>0</v>
      </c>
      <c r="M183" s="64" t="s">
        <v>422</v>
      </c>
      <c r="N183" s="123">
        <v>0.84</v>
      </c>
    </row>
    <row r="184" spans="1:14" hidden="1" x14ac:dyDescent="0.3">
      <c r="A184">
        <v>223</v>
      </c>
      <c r="B184" t="str">
        <v>CERVIGNI MARCELO RAUL</v>
      </c>
      <c r="C184" s="6">
        <v>-5</v>
      </c>
      <c r="D184" s="6">
        <v>0</v>
      </c>
      <c r="E184" t="str">
        <v xml:space="preserve">Dólar </v>
      </c>
      <c r="F184" t="str">
        <v xml:space="preserve"> U$S</v>
      </c>
      <c r="G184" t="str">
        <f>IFERROR(VLOOKUP(A184,'Clientes CBOT'!B:E,4,0),B184)</f>
        <v>CERVIGNI MARCELO RAUL</v>
      </c>
      <c r="H184" t="str">
        <f t="shared" si="6"/>
        <v>Dólar</v>
      </c>
      <c r="I184" s="6">
        <f t="shared" si="7"/>
        <v>-5</v>
      </c>
      <c r="J184">
        <f t="shared" si="8"/>
        <v>0</v>
      </c>
      <c r="M184" s="64" t="s">
        <v>437</v>
      </c>
      <c r="N184" s="123">
        <v>0</v>
      </c>
    </row>
    <row r="185" spans="1:14" x14ac:dyDescent="0.3">
      <c r="A185">
        <v>6024</v>
      </c>
      <c r="B185" t="str">
        <v>Aguirre Luis Felipe Bernardo</v>
      </c>
      <c r="C185" s="6">
        <v>51.63</v>
      </c>
      <c r="D185" s="6">
        <v>0</v>
      </c>
      <c r="E185" t="str">
        <v xml:space="preserve">Dólar </v>
      </c>
      <c r="F185" t="str">
        <v xml:space="preserve"> U$S</v>
      </c>
      <c r="G185" t="str">
        <f>IFERROR(VLOOKUP(A185,'Clientes CBOT'!B:E,4,0),B185)</f>
        <v>Aguirre Luis Felipe Bernardo</v>
      </c>
      <c r="H185" t="str">
        <f t="shared" si="6"/>
        <v>Dólar</v>
      </c>
      <c r="I185" s="6">
        <f t="shared" si="7"/>
        <v>51.63</v>
      </c>
      <c r="J185">
        <f t="shared" si="8"/>
        <v>0</v>
      </c>
      <c r="M185" s="64" t="s">
        <v>439</v>
      </c>
      <c r="N185" s="123">
        <v>-0.20999999999999996</v>
      </c>
    </row>
    <row r="186" spans="1:14" x14ac:dyDescent="0.3">
      <c r="A186">
        <v>9002</v>
      </c>
      <c r="B186" t="str">
        <v>AGUIRRE JOSE MARIA FRANCISCO (CERA)</v>
      </c>
      <c r="C186" s="6">
        <v>0</v>
      </c>
      <c r="D186" s="6">
        <v>0</v>
      </c>
      <c r="E186" t="str">
        <v xml:space="preserve">Dólar </v>
      </c>
      <c r="F186" t="str">
        <v xml:space="preserve"> U$S</v>
      </c>
      <c r="G186" t="str">
        <f>IFERROR(VLOOKUP(A186,'Clientes CBOT'!B:E,4,0),B186)</f>
        <v>AGUIRRE JOSE MARIA FRANCISCO (CERA)</v>
      </c>
      <c r="H186" t="str">
        <f t="shared" si="6"/>
        <v>Dólar</v>
      </c>
      <c r="I186" s="6">
        <f t="shared" si="7"/>
        <v>0</v>
      </c>
      <c r="J186">
        <f t="shared" si="8"/>
        <v>0</v>
      </c>
      <c r="M186" s="64" t="s">
        <v>440</v>
      </c>
      <c r="N186" s="123">
        <v>-107300793.31999999</v>
      </c>
    </row>
    <row r="187" spans="1:14" x14ac:dyDescent="0.3">
      <c r="A187">
        <v>9003</v>
      </c>
      <c r="B187" t="str">
        <v>AGUIRRE LUIS FELIPE BERNARDO (CERA)</v>
      </c>
      <c r="C187" s="6">
        <v>0</v>
      </c>
      <c r="D187" s="6">
        <v>0</v>
      </c>
      <c r="E187" t="str">
        <v xml:space="preserve">Dólar </v>
      </c>
      <c r="F187" t="str">
        <v xml:space="preserve"> U$S</v>
      </c>
      <c r="G187" t="str">
        <f>IFERROR(VLOOKUP(A187,'Clientes CBOT'!B:E,4,0),B187)</f>
        <v>AGUIRRE LUIS FELIPE BERNARDO (CERA)</v>
      </c>
      <c r="H187" t="str">
        <f t="shared" si="6"/>
        <v>Dólar</v>
      </c>
      <c r="I187" s="6">
        <f t="shared" si="7"/>
        <v>0</v>
      </c>
      <c r="J187">
        <f t="shared" si="8"/>
        <v>0</v>
      </c>
      <c r="M187" s="64" t="s">
        <v>277</v>
      </c>
      <c r="N187" s="123">
        <v>-7261.8300000000008</v>
      </c>
    </row>
    <row r="188" spans="1:14" x14ac:dyDescent="0.3">
      <c r="A188">
        <v>559</v>
      </c>
      <c r="B188" t="str">
        <v>JALA LA JUANITA SA</v>
      </c>
      <c r="C188" s="6">
        <v>0</v>
      </c>
      <c r="D188" s="6">
        <v>0</v>
      </c>
      <c r="E188" t="str">
        <v xml:space="preserve">Dólar </v>
      </c>
      <c r="F188" t="str">
        <v xml:space="preserve"> U$S</v>
      </c>
      <c r="G188" t="str">
        <f>IFERROR(VLOOKUP(A188,'Clientes CBOT'!B:E,4,0),B188)</f>
        <v>JALA LA JUANITA SA</v>
      </c>
      <c r="H188" t="str">
        <f t="shared" si="6"/>
        <v>Dólar</v>
      </c>
      <c r="I188" s="6">
        <f t="shared" si="7"/>
        <v>0</v>
      </c>
      <c r="J188">
        <f t="shared" si="8"/>
        <v>0</v>
      </c>
      <c r="M188" s="64" t="s">
        <v>441</v>
      </c>
      <c r="N188" s="123">
        <v>0</v>
      </c>
    </row>
    <row r="189" spans="1:14" x14ac:dyDescent="0.3">
      <c r="A189">
        <v>6018</v>
      </c>
      <c r="B189" t="str">
        <v>SALSA SA</v>
      </c>
      <c r="C189" s="6">
        <v>0</v>
      </c>
      <c r="D189" s="6">
        <v>0</v>
      </c>
      <c r="E189" t="str">
        <v xml:space="preserve">Dólar </v>
      </c>
      <c r="F189" t="str">
        <v xml:space="preserve"> U$S</v>
      </c>
      <c r="G189" t="str">
        <f>IFERROR(VLOOKUP(A189,'Clientes CBOT'!B:E,4,0),B189)</f>
        <v>SALSA SA</v>
      </c>
      <c r="H189" t="str">
        <f t="shared" si="6"/>
        <v>Dólar</v>
      </c>
      <c r="I189" s="6">
        <f t="shared" si="7"/>
        <v>0</v>
      </c>
      <c r="J189">
        <f t="shared" si="8"/>
        <v>0</v>
      </c>
      <c r="M189" s="64" t="s">
        <v>442</v>
      </c>
      <c r="N189" s="123">
        <v>0</v>
      </c>
    </row>
    <row r="190" spans="1:14" x14ac:dyDescent="0.3">
      <c r="A190">
        <v>6021</v>
      </c>
      <c r="B190" t="str">
        <v>AGRIJO SOCIEDAD ANONIMA</v>
      </c>
      <c r="C190" s="6">
        <v>0</v>
      </c>
      <c r="D190" s="6">
        <v>0</v>
      </c>
      <c r="E190" t="str">
        <v xml:space="preserve">Dólar </v>
      </c>
      <c r="F190" t="str">
        <v xml:space="preserve"> U$S</v>
      </c>
      <c r="G190" t="str">
        <f>IFERROR(VLOOKUP(A190,'Clientes CBOT'!B:E,4,0),B190)</f>
        <v>AGRIJO SOCIEDAD ANONIMA</v>
      </c>
      <c r="H190" t="str">
        <f t="shared" si="6"/>
        <v>Dólar</v>
      </c>
      <c r="I190" s="6">
        <f t="shared" si="7"/>
        <v>0</v>
      </c>
      <c r="J190">
        <f t="shared" si="8"/>
        <v>0</v>
      </c>
      <c r="M190" s="64" t="s">
        <v>443</v>
      </c>
      <c r="N190" s="123">
        <v>3362.98</v>
      </c>
    </row>
    <row r="191" spans="1:14" x14ac:dyDescent="0.3">
      <c r="A191">
        <v>360</v>
      </c>
      <c r="B191" t="str">
        <v>LA LUCILA SA</v>
      </c>
      <c r="C191" s="6">
        <v>0</v>
      </c>
      <c r="D191" s="6">
        <v>0</v>
      </c>
      <c r="E191" t="str">
        <v xml:space="preserve">Dólar </v>
      </c>
      <c r="F191" t="str">
        <v xml:space="preserve"> U$S</v>
      </c>
      <c r="G191" t="str">
        <f>IFERROR(VLOOKUP(A191,'Clientes CBOT'!B:E,4,0),B191)</f>
        <v>LA LUCILA SA</v>
      </c>
      <c r="H191" t="str">
        <f t="shared" si="6"/>
        <v>Dólar</v>
      </c>
      <c r="I191" s="6">
        <f t="shared" si="7"/>
        <v>0</v>
      </c>
      <c r="J191">
        <f t="shared" si="8"/>
        <v>0</v>
      </c>
      <c r="M191" s="64" t="s">
        <v>444</v>
      </c>
      <c r="N191" s="123">
        <v>-3132.59</v>
      </c>
    </row>
    <row r="192" spans="1:14" x14ac:dyDescent="0.3">
      <c r="A192">
        <v>341</v>
      </c>
      <c r="B192" t="str">
        <v>AGROPEMAR SRL</v>
      </c>
      <c r="C192" s="6">
        <v>0</v>
      </c>
      <c r="D192" s="6">
        <v>0</v>
      </c>
      <c r="E192" t="str">
        <v xml:space="preserve">Dólar </v>
      </c>
      <c r="F192" t="str">
        <v xml:space="preserve"> U$S</v>
      </c>
      <c r="G192" t="str">
        <f>IFERROR(VLOOKUP(A192,'Clientes CBOT'!B:E,4,0),B192)</f>
        <v>AGROPEMAR SRL</v>
      </c>
      <c r="H192" t="str">
        <f t="shared" si="6"/>
        <v>Dólar</v>
      </c>
      <c r="I192" s="6">
        <f t="shared" si="7"/>
        <v>0</v>
      </c>
      <c r="J192">
        <f t="shared" si="8"/>
        <v>0</v>
      </c>
      <c r="M192" s="64" t="s">
        <v>445</v>
      </c>
      <c r="N192" s="123">
        <v>14095.93</v>
      </c>
    </row>
    <row r="193" spans="1:14" hidden="1" x14ac:dyDescent="0.3">
      <c r="A193">
        <v>306</v>
      </c>
      <c r="B193" t="str">
        <v>HERMIDA ZAPIOLA SANTIAGO</v>
      </c>
      <c r="C193" s="6">
        <v>0.05</v>
      </c>
      <c r="D193" s="6">
        <v>0</v>
      </c>
      <c r="E193" t="str">
        <v xml:space="preserve">Dólar </v>
      </c>
      <c r="F193" t="str">
        <v xml:space="preserve"> U$S</v>
      </c>
      <c r="G193" t="str">
        <f>IFERROR(VLOOKUP(A193,'Clientes CBOT'!B:E,4,0),B193)</f>
        <v>HERMIDA ZAPIOLA SANTIAGO</v>
      </c>
      <c r="H193" t="str">
        <f t="shared" si="6"/>
        <v>Dólar</v>
      </c>
      <c r="I193" s="6">
        <f t="shared" si="7"/>
        <v>0.05</v>
      </c>
      <c r="J193">
        <f t="shared" si="8"/>
        <v>0</v>
      </c>
      <c r="M193" s="64" t="s">
        <v>446</v>
      </c>
      <c r="N193" s="123">
        <v>0</v>
      </c>
    </row>
    <row r="194" spans="1:14" hidden="1" x14ac:dyDescent="0.3">
      <c r="A194">
        <v>323</v>
      </c>
      <c r="B194" t="str">
        <v>CORONEL ROBERTO EDUARDO</v>
      </c>
      <c r="C194" s="6">
        <v>0</v>
      </c>
      <c r="D194" s="6">
        <v>0</v>
      </c>
      <c r="E194" t="str">
        <v xml:space="preserve">Dólar </v>
      </c>
      <c r="F194" t="str">
        <v xml:space="preserve"> U$S</v>
      </c>
      <c r="G194" t="str">
        <f>IFERROR(VLOOKUP(A194,'Clientes CBOT'!B:E,4,0),B194)</f>
        <v>CORONEL ROBERTO EDUARDO</v>
      </c>
      <c r="H194" t="str">
        <f t="shared" si="6"/>
        <v>Dólar</v>
      </c>
      <c r="I194" s="6">
        <f t="shared" si="7"/>
        <v>0</v>
      </c>
      <c r="J194">
        <f t="shared" si="8"/>
        <v>0</v>
      </c>
      <c r="M194" s="64" t="s">
        <v>282</v>
      </c>
      <c r="N194" s="123">
        <v>0</v>
      </c>
    </row>
    <row r="195" spans="1:14" hidden="1" x14ac:dyDescent="0.3">
      <c r="A195">
        <v>223</v>
      </c>
      <c r="B195" t="str">
        <v>CERVIGNI MARCELO RAUL</v>
      </c>
      <c r="C195" s="6">
        <v>359.96</v>
      </c>
      <c r="D195" s="6">
        <v>0</v>
      </c>
      <c r="E195" t="str">
        <v>Dólar Cable</v>
      </c>
      <c r="F195" t="str">
        <v xml:space="preserve"> U$S TT</v>
      </c>
      <c r="G195" t="str">
        <f>IFERROR(VLOOKUP(A195,'Clientes CBOT'!B:E,4,0),B195)</f>
        <v>CERVIGNI MARCELO RAUL</v>
      </c>
      <c r="H195" t="str">
        <f t="shared" si="6"/>
        <v>Hard</v>
      </c>
      <c r="I195" s="6">
        <f t="shared" si="7"/>
        <v>359.96</v>
      </c>
      <c r="J195">
        <f t="shared" si="8"/>
        <v>0</v>
      </c>
      <c r="M195" s="64" t="s">
        <v>169</v>
      </c>
      <c r="N195" s="123">
        <v>-3993359.41</v>
      </c>
    </row>
    <row r="196" spans="1:14" hidden="1" x14ac:dyDescent="0.3">
      <c r="A196">
        <v>224</v>
      </c>
      <c r="B196" t="str">
        <v>CERVIGNI CLAUDIA ELIZABETH</v>
      </c>
      <c r="C196" s="6">
        <v>25.34</v>
      </c>
      <c r="D196" s="6">
        <v>0</v>
      </c>
      <c r="E196" t="str">
        <v>Dólar Cable</v>
      </c>
      <c r="F196" t="str">
        <v xml:space="preserve"> U$S TT</v>
      </c>
      <c r="G196" t="str">
        <f>IFERROR(VLOOKUP(A196,'Clientes CBOT'!B:E,4,0),B196)</f>
        <v>CERVIGNI CLAUDIA ELIZABETH</v>
      </c>
      <c r="H196" t="str">
        <f t="shared" si="6"/>
        <v>Hard</v>
      </c>
      <c r="I196" s="6">
        <f t="shared" si="7"/>
        <v>25.34</v>
      </c>
      <c r="J196">
        <f t="shared" si="8"/>
        <v>0</v>
      </c>
      <c r="M196" s="64" t="s">
        <v>191</v>
      </c>
      <c r="N196" s="123">
        <v>388043229.20999998</v>
      </c>
    </row>
    <row r="197" spans="1:14" hidden="1" x14ac:dyDescent="0.3">
      <c r="A197">
        <v>225</v>
      </c>
      <c r="B197" t="str">
        <v>CERVIGNI NATALIA ANDREA</v>
      </c>
      <c r="C197" s="6">
        <v>20.23</v>
      </c>
      <c r="D197" s="6">
        <v>0</v>
      </c>
      <c r="E197" t="str">
        <v>Dólar Cable</v>
      </c>
      <c r="F197" t="str">
        <v xml:space="preserve"> U$S TT</v>
      </c>
      <c r="G197" t="str">
        <f>IFERROR(VLOOKUP(A197,'Clientes CBOT'!B:E,4,0),B197)</f>
        <v>CERVIGNI NATALIA ANDREA</v>
      </c>
      <c r="H197" t="str">
        <f t="shared" ref="H197:H260" si="9">IF(E197="pesos","Ars",IF(E197="Dólar Matba Rofex","usd linked",IF(F197=" U$S TT","Hard","Dólar")))</f>
        <v>Hard</v>
      </c>
      <c r="I197" s="6">
        <f t="shared" ref="I197:I260" si="10">IF(H197="ars",C197/$J$1,IF(H197="Hard",C197*$J$2/$J$1,C197))</f>
        <v>20.23</v>
      </c>
      <c r="J197">
        <f t="shared" ref="J197:J260" si="11">IF(H197="ars",D197/$J$1,IF(H197="hard",D197*$J$2/$J$1,D197))</f>
        <v>0</v>
      </c>
      <c r="M197" s="64" t="s">
        <v>450</v>
      </c>
      <c r="N197" s="123">
        <v>0.39</v>
      </c>
    </row>
    <row r="198" spans="1:14" hidden="1" x14ac:dyDescent="0.3">
      <c r="A198">
        <v>48</v>
      </c>
      <c r="B198" t="str">
        <v>INDUSTRIAS RURALES SRL</v>
      </c>
      <c r="C198" s="6">
        <v>0</v>
      </c>
      <c r="D198" s="6">
        <v>0</v>
      </c>
      <c r="E198" t="str">
        <v>Dólar Cable</v>
      </c>
      <c r="F198" t="str">
        <v xml:space="preserve"> U$S TT</v>
      </c>
      <c r="G198" t="str">
        <f>IFERROR(VLOOKUP(A198,'Clientes CBOT'!B:E,4,0),B198)</f>
        <v>INDUSTRIAS RURALES SRL</v>
      </c>
      <c r="H198" t="str">
        <f t="shared" si="9"/>
        <v>Hard</v>
      </c>
      <c r="I198" s="6">
        <f t="shared" si="10"/>
        <v>0</v>
      </c>
      <c r="J198">
        <f t="shared" si="11"/>
        <v>0</v>
      </c>
      <c r="M198" s="64" t="s">
        <v>287</v>
      </c>
      <c r="N198" s="123">
        <v>-1885000</v>
      </c>
    </row>
    <row r="199" spans="1:14" hidden="1" x14ac:dyDescent="0.3">
      <c r="A199">
        <v>51</v>
      </c>
      <c r="B199" t="str">
        <v>LINEUP GRAIN SA</v>
      </c>
      <c r="C199" s="6">
        <v>7.0000000000000007E-2</v>
      </c>
      <c r="D199" s="6">
        <v>0</v>
      </c>
      <c r="E199" t="str">
        <v>Dólar Cable</v>
      </c>
      <c r="F199" t="str">
        <v xml:space="preserve"> U$S TT</v>
      </c>
      <c r="G199" t="str">
        <f>IFERROR(VLOOKUP(A199,'Clientes CBOT'!B:E,4,0),B199)</f>
        <v>LINEUP GRAIN SA</v>
      </c>
      <c r="H199" t="str">
        <f t="shared" si="9"/>
        <v>Hard</v>
      </c>
      <c r="I199" s="6">
        <f t="shared" si="10"/>
        <v>7.0000000000000007E-2</v>
      </c>
      <c r="J199">
        <f t="shared" si="11"/>
        <v>0</v>
      </c>
      <c r="M199" s="64" t="s">
        <v>451</v>
      </c>
      <c r="N199" s="123">
        <v>0</v>
      </c>
    </row>
    <row r="200" spans="1:14" hidden="1" x14ac:dyDescent="0.3">
      <c r="A200">
        <v>35</v>
      </c>
      <c r="B200" t="str">
        <v>FIORE HERNAN</v>
      </c>
      <c r="C200" s="6">
        <v>35.61</v>
      </c>
      <c r="D200" s="6">
        <v>0</v>
      </c>
      <c r="E200" t="str">
        <v>Dólar Cable</v>
      </c>
      <c r="F200" t="str">
        <v xml:space="preserve"> U$S TT</v>
      </c>
      <c r="G200" t="str">
        <f>IFERROR(VLOOKUP(A200,'Clientes CBOT'!B:E,4,0),B200)</f>
        <v>FIORE HERNAN</v>
      </c>
      <c r="H200" t="str">
        <f t="shared" si="9"/>
        <v>Hard</v>
      </c>
      <c r="I200" s="6">
        <f t="shared" si="10"/>
        <v>35.61</v>
      </c>
      <c r="J200">
        <f t="shared" si="11"/>
        <v>0</v>
      </c>
      <c r="M200" s="64" t="s">
        <v>452</v>
      </c>
      <c r="N200" s="123">
        <v>-174250.37</v>
      </c>
    </row>
    <row r="201" spans="1:14" hidden="1" x14ac:dyDescent="0.3">
      <c r="A201">
        <v>107</v>
      </c>
      <c r="B201" t="str">
        <v>CERVIGNI HNOS SA</v>
      </c>
      <c r="C201" s="6">
        <v>0</v>
      </c>
      <c r="D201" s="6">
        <v>0</v>
      </c>
      <c r="E201" t="str">
        <v>Dólar Cable</v>
      </c>
      <c r="F201" t="str">
        <v xml:space="preserve"> U$S TT</v>
      </c>
      <c r="G201" t="str">
        <f>IFERROR(VLOOKUP(A201,'Clientes CBOT'!B:E,4,0),B201)</f>
        <v>CERVIGNI HNOS SA</v>
      </c>
      <c r="H201" t="str">
        <f t="shared" si="9"/>
        <v>Hard</v>
      </c>
      <c r="I201" s="6">
        <f t="shared" si="10"/>
        <v>0</v>
      </c>
      <c r="J201">
        <f t="shared" si="11"/>
        <v>0</v>
      </c>
      <c r="M201" s="64" t="s">
        <v>453</v>
      </c>
      <c r="N201" s="123">
        <v>0</v>
      </c>
    </row>
    <row r="202" spans="1:14" hidden="1" x14ac:dyDescent="0.3">
      <c r="A202">
        <v>78</v>
      </c>
      <c r="B202" t="str">
        <v>EZCURRA MIGUEL MARTIN</v>
      </c>
      <c r="C202" s="6">
        <v>247.75</v>
      </c>
      <c r="D202" s="6">
        <v>0</v>
      </c>
      <c r="E202" t="str">
        <v>Dólar Cable</v>
      </c>
      <c r="F202" t="str">
        <v xml:space="preserve"> U$S TT</v>
      </c>
      <c r="G202" t="str">
        <f>IFERROR(VLOOKUP(A202,'Clientes CBOT'!B:E,4,0),B202)</f>
        <v>EZCURRA MIGUEL MARTIN</v>
      </c>
      <c r="H202" t="str">
        <f t="shared" si="9"/>
        <v>Hard</v>
      </c>
      <c r="I202" s="6">
        <f t="shared" si="10"/>
        <v>247.75</v>
      </c>
      <c r="J202">
        <f t="shared" si="11"/>
        <v>0</v>
      </c>
      <c r="M202" s="64" t="s">
        <v>454</v>
      </c>
      <c r="N202" s="123">
        <v>-350071.57</v>
      </c>
    </row>
    <row r="203" spans="1:14" hidden="1" x14ac:dyDescent="0.3">
      <c r="A203">
        <v>89</v>
      </c>
      <c r="B203" t="str">
        <v>LA CHAMPA SA</v>
      </c>
      <c r="C203" s="6">
        <v>0</v>
      </c>
      <c r="D203" s="6">
        <v>4440</v>
      </c>
      <c r="E203" t="str">
        <v>Dólar Matba Rofex</v>
      </c>
      <c r="F203" t="str">
        <v xml:space="preserve"> U$S MR</v>
      </c>
      <c r="G203" t="str">
        <f>IFERROR(VLOOKUP(A203,'Clientes CBOT'!B:E,4,0),B203)</f>
        <v>LA CHAMPA SA</v>
      </c>
      <c r="H203" t="str">
        <f t="shared" si="9"/>
        <v>usd linked</v>
      </c>
      <c r="I203" s="6">
        <f t="shared" si="10"/>
        <v>0</v>
      </c>
      <c r="J203">
        <f t="shared" si="11"/>
        <v>4440</v>
      </c>
      <c r="M203" s="64" t="s">
        <v>455</v>
      </c>
      <c r="N203" s="123">
        <v>0</v>
      </c>
    </row>
    <row r="204" spans="1:14" hidden="1" x14ac:dyDescent="0.3">
      <c r="A204">
        <v>107</v>
      </c>
      <c r="B204" t="str">
        <v>CERVIGNI HNOS SA</v>
      </c>
      <c r="C204" s="6">
        <v>6157.59</v>
      </c>
      <c r="D204" s="6">
        <v>0</v>
      </c>
      <c r="E204" t="str">
        <v>Dólar Matba Rofex</v>
      </c>
      <c r="F204" t="str">
        <v xml:space="preserve"> U$S MR</v>
      </c>
      <c r="G204" t="str">
        <f>IFERROR(VLOOKUP(A204,'Clientes CBOT'!B:E,4,0),B204)</f>
        <v>CERVIGNI HNOS SA</v>
      </c>
      <c r="H204" t="str">
        <f t="shared" si="9"/>
        <v>usd linked</v>
      </c>
      <c r="I204" s="6">
        <f t="shared" si="10"/>
        <v>6157.59</v>
      </c>
      <c r="J204">
        <f t="shared" si="11"/>
        <v>0</v>
      </c>
      <c r="M204" s="64" t="s">
        <v>457</v>
      </c>
      <c r="N204" s="123">
        <v>0</v>
      </c>
    </row>
    <row r="205" spans="1:14" hidden="1" x14ac:dyDescent="0.3">
      <c r="A205">
        <v>143</v>
      </c>
      <c r="B205" t="str">
        <v>FERRERO ALDO ROBERTO</v>
      </c>
      <c r="C205" s="6">
        <v>0</v>
      </c>
      <c r="D205" s="6">
        <v>0</v>
      </c>
      <c r="E205" t="str">
        <v>Dólar Matba Rofex</v>
      </c>
      <c r="F205" t="str">
        <v xml:space="preserve"> U$S MR</v>
      </c>
      <c r="G205" t="str">
        <f>IFERROR(VLOOKUP(A205,'Clientes CBOT'!B:E,4,0),B205)</f>
        <v>FERRERO ALDO ROBERTO</v>
      </c>
      <c r="H205" t="str">
        <f t="shared" si="9"/>
        <v>usd linked</v>
      </c>
      <c r="I205" s="6">
        <f t="shared" si="10"/>
        <v>0</v>
      </c>
      <c r="J205">
        <f t="shared" si="11"/>
        <v>0</v>
      </c>
      <c r="M205" s="64" t="s">
        <v>458</v>
      </c>
      <c r="N205" s="123">
        <v>0</v>
      </c>
    </row>
    <row r="206" spans="1:14" hidden="1" x14ac:dyDescent="0.3">
      <c r="A206">
        <v>35</v>
      </c>
      <c r="B206" t="str">
        <v>FIORE HERNAN</v>
      </c>
      <c r="C206" s="6">
        <v>0</v>
      </c>
      <c r="D206" s="6">
        <v>0</v>
      </c>
      <c r="E206" t="str">
        <v>Dólar Matba Rofex</v>
      </c>
      <c r="F206" t="str">
        <v xml:space="preserve"> U$S MR</v>
      </c>
      <c r="G206" t="str">
        <f>IFERROR(VLOOKUP(A206,'Clientes CBOT'!B:E,4,0),B206)</f>
        <v>FIORE HERNAN</v>
      </c>
      <c r="H206" t="str">
        <f t="shared" si="9"/>
        <v>usd linked</v>
      </c>
      <c r="I206" s="6">
        <f t="shared" si="10"/>
        <v>0</v>
      </c>
      <c r="J206">
        <f t="shared" si="11"/>
        <v>0</v>
      </c>
      <c r="M206" s="64" t="s">
        <v>459</v>
      </c>
      <c r="N206" s="123">
        <v>2.02</v>
      </c>
    </row>
    <row r="207" spans="1:14" hidden="1" x14ac:dyDescent="0.3">
      <c r="A207">
        <v>18</v>
      </c>
      <c r="B207" t="str">
        <v>COSECHAS ARGENTINAS SA</v>
      </c>
      <c r="C207" s="6">
        <v>0</v>
      </c>
      <c r="D207" s="6">
        <v>0</v>
      </c>
      <c r="E207" t="str">
        <v>Dólar Matba Rofex</v>
      </c>
      <c r="F207" t="str">
        <v xml:space="preserve"> U$S MR</v>
      </c>
      <c r="G207" t="str">
        <f>IFERROR(VLOOKUP(A207,'Clientes CBOT'!B:E,4,0),B207)</f>
        <v>COSECHAS ARGENTINAS SA</v>
      </c>
      <c r="H207" t="str">
        <f t="shared" si="9"/>
        <v>usd linked</v>
      </c>
      <c r="I207" s="6">
        <f t="shared" si="10"/>
        <v>0</v>
      </c>
      <c r="J207">
        <f t="shared" si="11"/>
        <v>0</v>
      </c>
      <c r="M207" s="64" t="s">
        <v>290</v>
      </c>
      <c r="N207" s="123">
        <v>-2114.2500000000005</v>
      </c>
    </row>
    <row r="208" spans="1:14" hidden="1" x14ac:dyDescent="0.3">
      <c r="A208">
        <v>37</v>
      </c>
      <c r="B208" t="str">
        <v>ARECO SEMILLAS SA</v>
      </c>
      <c r="C208" s="6">
        <v>0</v>
      </c>
      <c r="D208" s="6">
        <v>0</v>
      </c>
      <c r="E208" t="str">
        <v>Dólar Matba Rofex</v>
      </c>
      <c r="F208" t="str">
        <v xml:space="preserve"> U$S MR</v>
      </c>
      <c r="G208" t="str">
        <f>IFERROR(VLOOKUP(A208,'Clientes CBOT'!B:E,4,0),B208)</f>
        <v>ARECO SEMILLAS SA</v>
      </c>
      <c r="H208" t="str">
        <f t="shared" si="9"/>
        <v>usd linked</v>
      </c>
      <c r="I208" s="6">
        <f t="shared" si="10"/>
        <v>0</v>
      </c>
      <c r="J208">
        <f t="shared" si="11"/>
        <v>0</v>
      </c>
      <c r="M208" s="64" t="s">
        <v>462</v>
      </c>
      <c r="N208" s="123">
        <v>133419295.70999999</v>
      </c>
    </row>
    <row r="209" spans="1:14" hidden="1" x14ac:dyDescent="0.3">
      <c r="A209">
        <v>51</v>
      </c>
      <c r="B209" t="str">
        <v>LINEUP GRAIN SA</v>
      </c>
      <c r="C209" s="6">
        <v>-322.36</v>
      </c>
      <c r="D209" s="6">
        <v>22233.279999999999</v>
      </c>
      <c r="E209" t="str">
        <v>Dólar Matba Rofex</v>
      </c>
      <c r="F209" t="str">
        <v xml:space="preserve"> U$S MR</v>
      </c>
      <c r="G209" t="str">
        <f>IFERROR(VLOOKUP(A209,'Clientes CBOT'!B:E,4,0),B209)</f>
        <v>LINEUP GRAIN SA</v>
      </c>
      <c r="H209" t="str">
        <f t="shared" si="9"/>
        <v>usd linked</v>
      </c>
      <c r="I209" s="6">
        <f t="shared" si="10"/>
        <v>-322.36</v>
      </c>
      <c r="J209">
        <f t="shared" si="11"/>
        <v>22233.279999999999</v>
      </c>
      <c r="M209" s="64" t="s">
        <v>126</v>
      </c>
      <c r="N209" s="123">
        <v>2519.52</v>
      </c>
    </row>
    <row r="210" spans="1:14" hidden="1" x14ac:dyDescent="0.3">
      <c r="A210">
        <v>48</v>
      </c>
      <c r="B210" t="str">
        <v>INDUSTRIAS RURALES SRL</v>
      </c>
      <c r="C210" s="6">
        <v>0</v>
      </c>
      <c r="D210" s="6">
        <v>0</v>
      </c>
      <c r="E210" t="str">
        <v>Dólar Matba Rofex</v>
      </c>
      <c r="F210" t="str">
        <v xml:space="preserve"> U$S MR</v>
      </c>
      <c r="G210" t="str">
        <f>IFERROR(VLOOKUP(A210,'Clientes CBOT'!B:E,4,0),B210)</f>
        <v>INDUSTRIAS RURALES SRL</v>
      </c>
      <c r="H210" t="str">
        <f t="shared" si="9"/>
        <v>usd linked</v>
      </c>
      <c r="I210" s="6">
        <f t="shared" si="10"/>
        <v>0</v>
      </c>
      <c r="J210">
        <f t="shared" si="11"/>
        <v>0</v>
      </c>
      <c r="M210" s="64" t="s">
        <v>464</v>
      </c>
      <c r="N210" s="123">
        <v>-275766386.51999998</v>
      </c>
    </row>
    <row r="211" spans="1:14" hidden="1" x14ac:dyDescent="0.3">
      <c r="A211">
        <v>44</v>
      </c>
      <c r="B211" t="str">
        <v>GRIVEO SA</v>
      </c>
      <c r="C211" s="6">
        <v>0</v>
      </c>
      <c r="D211" s="6">
        <v>0</v>
      </c>
      <c r="E211" t="str">
        <v>Dólar Matba Rofex</v>
      </c>
      <c r="F211" t="str">
        <v xml:space="preserve"> U$S MR</v>
      </c>
      <c r="G211" t="str">
        <f>IFERROR(VLOOKUP(A211,'Clientes CBOT'!B:E,4,0),B211)</f>
        <v>GRIVEO SA</v>
      </c>
      <c r="H211" t="str">
        <f t="shared" si="9"/>
        <v>usd linked</v>
      </c>
      <c r="I211" s="6">
        <f t="shared" si="10"/>
        <v>0</v>
      </c>
      <c r="J211">
        <f t="shared" si="11"/>
        <v>0</v>
      </c>
      <c r="M211" s="64" t="s">
        <v>465</v>
      </c>
      <c r="N211" s="123">
        <v>-9901.48</v>
      </c>
    </row>
    <row r="212" spans="1:14" hidden="1" x14ac:dyDescent="0.3">
      <c r="A212">
        <v>58</v>
      </c>
      <c r="B212" t="str">
        <v>PETROAGRO SOCIEDAD ANONIMA</v>
      </c>
      <c r="C212" s="6">
        <v>0</v>
      </c>
      <c r="D212" s="6">
        <v>0</v>
      </c>
      <c r="E212" t="str">
        <v>Dólar Matba Rofex</v>
      </c>
      <c r="F212" t="str">
        <v xml:space="preserve"> U$S MR</v>
      </c>
      <c r="G212" t="str">
        <f>IFERROR(VLOOKUP(A212,'Clientes CBOT'!B:E,4,0),B212)</f>
        <v>PETROAGRO SOCIEDAD ANONIMA</v>
      </c>
      <c r="H212" t="str">
        <f t="shared" si="9"/>
        <v>usd linked</v>
      </c>
      <c r="I212" s="6">
        <f t="shared" si="10"/>
        <v>0</v>
      </c>
      <c r="J212">
        <f t="shared" si="11"/>
        <v>0</v>
      </c>
      <c r="M212" s="64" t="s">
        <v>293</v>
      </c>
      <c r="N212" s="123">
        <v>-10086289.439999999</v>
      </c>
    </row>
    <row r="213" spans="1:14" hidden="1" x14ac:dyDescent="0.3">
      <c r="A213">
        <v>1000</v>
      </c>
      <c r="B213" t="str">
        <v>SPECIAL GRAINS S A</v>
      </c>
      <c r="C213" s="6">
        <v>0</v>
      </c>
      <c r="D213" s="6">
        <v>0</v>
      </c>
      <c r="E213" t="str">
        <v>Dólar Matba Rofex</v>
      </c>
      <c r="F213" t="str">
        <v xml:space="preserve"> U$S MR</v>
      </c>
      <c r="G213" t="str">
        <f>IFERROR(VLOOKUP(A213,'Clientes CBOT'!B:E,4,0),B213)</f>
        <v>SPECIAL GRAINS S A</v>
      </c>
      <c r="H213" t="str">
        <f t="shared" si="9"/>
        <v>usd linked</v>
      </c>
      <c r="I213" s="6">
        <f t="shared" si="10"/>
        <v>0</v>
      </c>
      <c r="J213">
        <f t="shared" si="11"/>
        <v>0</v>
      </c>
      <c r="M213" s="64" t="s">
        <v>467</v>
      </c>
      <c r="N213" s="123">
        <v>0.39</v>
      </c>
    </row>
    <row r="214" spans="1:14" hidden="1" x14ac:dyDescent="0.3">
      <c r="A214">
        <v>474</v>
      </c>
      <c r="B214" t="str">
        <v>TATAT Agroservicios SA</v>
      </c>
      <c r="C214" s="6">
        <v>0</v>
      </c>
      <c r="D214" s="6">
        <v>0</v>
      </c>
      <c r="E214" t="str">
        <v>Dólar Matba Rofex</v>
      </c>
      <c r="F214" t="str">
        <v xml:space="preserve"> U$S MR</v>
      </c>
      <c r="G214" t="str">
        <f>IFERROR(VLOOKUP(A214,'Clientes CBOT'!B:E,4,0),B214)</f>
        <v>TATAT Agroservicios SA</v>
      </c>
      <c r="H214" t="str">
        <f t="shared" si="9"/>
        <v>usd linked</v>
      </c>
      <c r="I214" s="6">
        <f t="shared" si="10"/>
        <v>0</v>
      </c>
      <c r="J214">
        <f t="shared" si="11"/>
        <v>0</v>
      </c>
      <c r="M214" s="64" t="s">
        <v>468</v>
      </c>
      <c r="N214" s="123">
        <v>0</v>
      </c>
    </row>
    <row r="215" spans="1:14" hidden="1" x14ac:dyDescent="0.3">
      <c r="A215">
        <v>223</v>
      </c>
      <c r="B215" t="str">
        <v>CERVIGNI MARCELO RAUL</v>
      </c>
      <c r="C215" s="6">
        <v>0</v>
      </c>
      <c r="D215" s="6">
        <v>0</v>
      </c>
      <c r="E215" t="str">
        <v>Dólar Matba Rofex</v>
      </c>
      <c r="F215" t="str">
        <v xml:space="preserve"> U$S MR</v>
      </c>
      <c r="G215" t="str">
        <f>IFERROR(VLOOKUP(A215,'Clientes CBOT'!B:E,4,0),B215)</f>
        <v>CERVIGNI MARCELO RAUL</v>
      </c>
      <c r="H215" t="str">
        <f t="shared" si="9"/>
        <v>usd linked</v>
      </c>
      <c r="I215" s="6">
        <f t="shared" si="10"/>
        <v>0</v>
      </c>
      <c r="J215">
        <f t="shared" si="11"/>
        <v>0</v>
      </c>
      <c r="M215" s="64" t="s">
        <v>469</v>
      </c>
      <c r="N215" s="123">
        <v>-13212183.140000001</v>
      </c>
    </row>
    <row r="216" spans="1:14" hidden="1" x14ac:dyDescent="0.3">
      <c r="A216">
        <v>234</v>
      </c>
      <c r="B216" t="str">
        <v>IZCO SAS</v>
      </c>
      <c r="C216" s="6">
        <v>0</v>
      </c>
      <c r="D216" s="6">
        <v>14492.31</v>
      </c>
      <c r="E216" t="str">
        <v>Dólar Matba Rofex</v>
      </c>
      <c r="F216" t="str">
        <v xml:space="preserve"> U$S MR</v>
      </c>
      <c r="G216" t="str">
        <f>IFERROR(VLOOKUP(A216,'Clientes CBOT'!B:E,4,0),B216)</f>
        <v>IZCO SAS</v>
      </c>
      <c r="H216" t="str">
        <f t="shared" si="9"/>
        <v>usd linked</v>
      </c>
      <c r="I216" s="6">
        <f t="shared" si="10"/>
        <v>0</v>
      </c>
      <c r="J216">
        <f t="shared" si="11"/>
        <v>14492.31</v>
      </c>
      <c r="M216" s="64" t="s">
        <v>470</v>
      </c>
      <c r="N216" s="123">
        <v>0</v>
      </c>
    </row>
    <row r="217" spans="1:14" hidden="1" x14ac:dyDescent="0.3">
      <c r="A217">
        <v>256</v>
      </c>
      <c r="B217" t="str">
        <v>DESARROLLOS AGRICOLAS DEL SUR SRL</v>
      </c>
      <c r="C217" s="6">
        <v>0</v>
      </c>
      <c r="D217" s="6">
        <v>0</v>
      </c>
      <c r="E217" t="str">
        <v>Dólar Matba Rofex</v>
      </c>
      <c r="F217" t="str">
        <v xml:space="preserve"> U$S MR</v>
      </c>
      <c r="G217" t="str">
        <f>IFERROR(VLOOKUP(A217,'Clientes CBOT'!B:E,4,0),B217)</f>
        <v>DESARROLLOS AGRICOLAS DEL SUR SRL</v>
      </c>
      <c r="H217" t="str">
        <f t="shared" si="9"/>
        <v>usd linked</v>
      </c>
      <c r="I217" s="6">
        <f t="shared" si="10"/>
        <v>0</v>
      </c>
      <c r="J217">
        <f t="shared" si="11"/>
        <v>0</v>
      </c>
      <c r="M217" s="64" t="s">
        <v>471</v>
      </c>
      <c r="N217" s="123">
        <v>0</v>
      </c>
    </row>
    <row r="218" spans="1:14" hidden="1" x14ac:dyDescent="0.3">
      <c r="A218">
        <v>6053</v>
      </c>
      <c r="B218" t="str">
        <v>COMERCIAL Y GANADERA DEL NIRIHUAU SA</v>
      </c>
      <c r="C218" s="6">
        <v>-25434.66</v>
      </c>
      <c r="D218" s="6">
        <v>44450.07</v>
      </c>
      <c r="E218" t="str">
        <v>Dólar Matba Rofex</v>
      </c>
      <c r="F218" t="str">
        <v xml:space="preserve"> U$S MR</v>
      </c>
      <c r="G218" t="str">
        <f>IFERROR(VLOOKUP(A218,'Clientes CBOT'!B:E,4,0),B218)</f>
        <v>COMERCIAL Y GANADERA DEL NIRIHUAU SA</v>
      </c>
      <c r="H218" t="str">
        <f t="shared" si="9"/>
        <v>usd linked</v>
      </c>
      <c r="I218" s="6">
        <f t="shared" si="10"/>
        <v>-25434.66</v>
      </c>
      <c r="J218">
        <f t="shared" si="11"/>
        <v>44450.07</v>
      </c>
      <c r="M218" s="64" t="s">
        <v>472</v>
      </c>
      <c r="N218" s="123">
        <v>0</v>
      </c>
    </row>
    <row r="219" spans="1:14" hidden="1" x14ac:dyDescent="0.3">
      <c r="A219">
        <v>323</v>
      </c>
      <c r="B219" t="str">
        <v>CORONEL ROBERTO EDUARDO</v>
      </c>
      <c r="C219" s="6">
        <v>0</v>
      </c>
      <c r="D219" s="6">
        <v>0</v>
      </c>
      <c r="E219" t="str">
        <v>Dólar Matba Rofex</v>
      </c>
      <c r="F219" t="str">
        <v xml:space="preserve"> U$S MR</v>
      </c>
      <c r="G219" t="str">
        <f>IFERROR(VLOOKUP(A219,'Clientes CBOT'!B:E,4,0),B219)</f>
        <v>CORONEL ROBERTO EDUARDO</v>
      </c>
      <c r="H219" t="str">
        <f t="shared" si="9"/>
        <v>usd linked</v>
      </c>
      <c r="I219" s="6">
        <f t="shared" si="10"/>
        <v>0</v>
      </c>
      <c r="J219">
        <f t="shared" si="11"/>
        <v>0</v>
      </c>
      <c r="M219" s="64" t="s">
        <v>474</v>
      </c>
      <c r="N219" s="123">
        <v>13.55</v>
      </c>
    </row>
    <row r="220" spans="1:14" hidden="1" x14ac:dyDescent="0.3">
      <c r="A220">
        <v>306</v>
      </c>
      <c r="B220" t="str">
        <v>HERMIDA ZAPIOLA SANTIAGO</v>
      </c>
      <c r="C220" s="6">
        <v>0</v>
      </c>
      <c r="D220" s="6">
        <v>0</v>
      </c>
      <c r="E220" t="str">
        <v>Dólar Matba Rofex</v>
      </c>
      <c r="F220" t="str">
        <v xml:space="preserve"> U$S MR</v>
      </c>
      <c r="G220" t="str">
        <f>IFERROR(VLOOKUP(A220,'Clientes CBOT'!B:E,4,0),B220)</f>
        <v>HERMIDA ZAPIOLA SANTIAGO</v>
      </c>
      <c r="H220" t="str">
        <f t="shared" si="9"/>
        <v>usd linked</v>
      </c>
      <c r="I220" s="6">
        <f t="shared" si="10"/>
        <v>0</v>
      </c>
      <c r="J220">
        <f t="shared" si="11"/>
        <v>0</v>
      </c>
      <c r="M220" s="64" t="s">
        <v>475</v>
      </c>
      <c r="N220" s="123">
        <v>3939.88</v>
      </c>
    </row>
    <row r="221" spans="1:14" hidden="1" x14ac:dyDescent="0.3">
      <c r="A221">
        <v>273</v>
      </c>
      <c r="B221" t="str">
        <v>LINEUP GRAIN SA</v>
      </c>
      <c r="C221" s="6">
        <v>0</v>
      </c>
      <c r="D221" s="6">
        <v>0</v>
      </c>
      <c r="E221" t="str">
        <v>Dólar Matba Rofex</v>
      </c>
      <c r="F221" t="str">
        <v xml:space="preserve"> U$S MR</v>
      </c>
      <c r="G221" t="str">
        <f>IFERROR(VLOOKUP(A221,'Clientes CBOT'!B:E,4,0),B221)</f>
        <v>LINEUP GRAIN SA</v>
      </c>
      <c r="H221" t="str">
        <f t="shared" si="9"/>
        <v>usd linked</v>
      </c>
      <c r="I221" s="6">
        <f t="shared" si="10"/>
        <v>0</v>
      </c>
      <c r="J221">
        <f t="shared" si="11"/>
        <v>0</v>
      </c>
      <c r="M221" s="64" t="s">
        <v>327</v>
      </c>
      <c r="N221" s="123">
        <v>0</v>
      </c>
    </row>
    <row r="222" spans="1:14" hidden="1" x14ac:dyDescent="0.3">
      <c r="A222">
        <v>267</v>
      </c>
      <c r="B222" t="str">
        <v>DIORSEM SA</v>
      </c>
      <c r="C222" s="6">
        <v>0</v>
      </c>
      <c r="D222" s="6">
        <v>0</v>
      </c>
      <c r="E222" t="str">
        <v>Dólar Matba Rofex</v>
      </c>
      <c r="F222" t="str">
        <v xml:space="preserve"> U$S MR</v>
      </c>
      <c r="G222" t="str">
        <f>IFERROR(VLOOKUP(A222,'Clientes CBOT'!B:E,4,0),B222)</f>
        <v>DIORSEM SA</v>
      </c>
      <c r="H222" t="str">
        <f t="shared" si="9"/>
        <v>usd linked</v>
      </c>
      <c r="I222" s="6">
        <f t="shared" si="10"/>
        <v>0</v>
      </c>
      <c r="J222">
        <f t="shared" si="11"/>
        <v>0</v>
      </c>
      <c r="M222" s="64" t="s">
        <v>476</v>
      </c>
      <c r="N222" s="123">
        <v>0</v>
      </c>
    </row>
    <row r="223" spans="1:14" hidden="1" x14ac:dyDescent="0.3">
      <c r="A223">
        <v>341</v>
      </c>
      <c r="B223" t="str">
        <v>AGROPEMAR SRL</v>
      </c>
      <c r="C223" s="6">
        <v>0</v>
      </c>
      <c r="D223" s="6">
        <v>0</v>
      </c>
      <c r="E223" t="str">
        <v>Dólar Matba Rofex</v>
      </c>
      <c r="F223" t="str">
        <v xml:space="preserve"> U$S MR</v>
      </c>
      <c r="G223" t="str">
        <f>IFERROR(VLOOKUP(A223,'Clientes CBOT'!B:E,4,0),B223)</f>
        <v>AGROPEMAR SRL</v>
      </c>
      <c r="H223" t="str">
        <f t="shared" si="9"/>
        <v>usd linked</v>
      </c>
      <c r="I223" s="6">
        <f t="shared" si="10"/>
        <v>0</v>
      </c>
      <c r="J223">
        <f t="shared" si="11"/>
        <v>0</v>
      </c>
      <c r="M223" s="64" t="s">
        <v>298</v>
      </c>
      <c r="N223" s="123">
        <v>0</v>
      </c>
    </row>
    <row r="224" spans="1:14" hidden="1" x14ac:dyDescent="0.3">
      <c r="A224">
        <v>346</v>
      </c>
      <c r="B224" t="str">
        <v>FIDECAL SRL</v>
      </c>
      <c r="C224" s="6">
        <v>0</v>
      </c>
      <c r="D224" s="6">
        <v>0</v>
      </c>
      <c r="E224" t="str">
        <v>Dólar Matba Rofex</v>
      </c>
      <c r="F224" t="str">
        <v xml:space="preserve"> U$S MR</v>
      </c>
      <c r="G224" t="str">
        <f>IFERROR(VLOOKUP(A224,'Clientes CBOT'!B:E,4,0),B224)</f>
        <v>FIDECAL SRL</v>
      </c>
      <c r="H224" t="str">
        <f t="shared" si="9"/>
        <v>usd linked</v>
      </c>
      <c r="I224" s="6">
        <f t="shared" si="10"/>
        <v>0</v>
      </c>
      <c r="J224">
        <f t="shared" si="11"/>
        <v>0</v>
      </c>
      <c r="M224" s="64" t="s">
        <v>477</v>
      </c>
      <c r="N224" s="123">
        <v>1751.56</v>
      </c>
    </row>
    <row r="225" spans="1:14" hidden="1" x14ac:dyDescent="0.3">
      <c r="A225">
        <v>360</v>
      </c>
      <c r="B225" t="str">
        <v>LA LUCILA SA</v>
      </c>
      <c r="C225" s="6">
        <v>0</v>
      </c>
      <c r="D225" s="6">
        <v>0</v>
      </c>
      <c r="E225" t="str">
        <v>Dólar Matba Rofex</v>
      </c>
      <c r="F225" t="str">
        <v xml:space="preserve"> U$S MR</v>
      </c>
      <c r="G225" t="str">
        <f>IFERROR(VLOOKUP(A225,'Clientes CBOT'!B:E,4,0),B225)</f>
        <v>LA LUCILA SA</v>
      </c>
      <c r="H225" t="str">
        <f t="shared" si="9"/>
        <v>usd linked</v>
      </c>
      <c r="I225" s="6">
        <f t="shared" si="10"/>
        <v>0</v>
      </c>
      <c r="J225">
        <f t="shared" si="11"/>
        <v>0</v>
      </c>
      <c r="M225" s="64" t="s">
        <v>301</v>
      </c>
      <c r="N225" s="123">
        <v>-759.72</v>
      </c>
    </row>
    <row r="226" spans="1:14" hidden="1" x14ac:dyDescent="0.3">
      <c r="A226">
        <v>337</v>
      </c>
      <c r="B226" t="str">
        <v>EDUARDO BERAZA SA</v>
      </c>
      <c r="C226" s="6">
        <v>1287.43</v>
      </c>
      <c r="D226" s="6">
        <v>0</v>
      </c>
      <c r="E226" t="str">
        <v>Pesos</v>
      </c>
      <c r="F226" t="str">
        <v xml:space="preserve"> $</v>
      </c>
      <c r="G226" t="str">
        <f>IFERROR(VLOOKUP(A226,'Clientes CBOT'!B:E,4,0),B226)</f>
        <v>EDUARDO BERAZA SA</v>
      </c>
      <c r="H226" t="str">
        <f t="shared" si="9"/>
        <v>Ars</v>
      </c>
      <c r="I226" s="6">
        <f t="shared" si="10"/>
        <v>1287.43</v>
      </c>
      <c r="J226">
        <f t="shared" si="11"/>
        <v>0</v>
      </c>
      <c r="M226" s="64" t="s">
        <v>478</v>
      </c>
      <c r="N226" s="123">
        <v>16376.3</v>
      </c>
    </row>
    <row r="227" spans="1:14" hidden="1" x14ac:dyDescent="0.3">
      <c r="A227">
        <v>383</v>
      </c>
      <c r="B227" t="str">
        <v>EL PICAFLOR SRL</v>
      </c>
      <c r="C227" s="6">
        <v>-18279.740000000002</v>
      </c>
      <c r="D227" s="6">
        <v>-0.02</v>
      </c>
      <c r="E227" t="str">
        <v>Pesos</v>
      </c>
      <c r="F227" t="str">
        <v xml:space="preserve"> $</v>
      </c>
      <c r="G227" t="str">
        <f>IFERROR(VLOOKUP(A227,'Clientes CBOT'!B:E,4,0),B227)</f>
        <v>EL PICAFLOR SRL</v>
      </c>
      <c r="H227" t="str">
        <f t="shared" si="9"/>
        <v>Ars</v>
      </c>
      <c r="I227" s="6">
        <f t="shared" si="10"/>
        <v>-18279.740000000002</v>
      </c>
      <c r="J227">
        <f t="shared" si="11"/>
        <v>-0.02</v>
      </c>
      <c r="M227" s="64" t="s">
        <v>479</v>
      </c>
      <c r="N227" s="123">
        <v>431.07</v>
      </c>
    </row>
    <row r="228" spans="1:14" hidden="1" x14ac:dyDescent="0.3">
      <c r="A228">
        <v>276</v>
      </c>
      <c r="B228" t="str">
        <v>CARRETTONI JULIO ALBERTO</v>
      </c>
      <c r="C228" s="6">
        <v>2353.91</v>
      </c>
      <c r="D228" s="6">
        <v>0</v>
      </c>
      <c r="E228" t="str">
        <v>Pesos</v>
      </c>
      <c r="F228" t="str">
        <v xml:space="preserve"> $</v>
      </c>
      <c r="G228" t="str">
        <f>IFERROR(VLOOKUP(A228,'Clientes CBOT'!B:E,4,0),B228)</f>
        <v>CARRETTONI JULIO ALBERTO</v>
      </c>
      <c r="H228" t="str">
        <f t="shared" si="9"/>
        <v>Ars</v>
      </c>
      <c r="I228" s="6">
        <f t="shared" si="10"/>
        <v>2353.91</v>
      </c>
      <c r="J228">
        <f t="shared" si="11"/>
        <v>0</v>
      </c>
      <c r="M228" s="64" t="s">
        <v>480</v>
      </c>
      <c r="N228" s="123">
        <v>0</v>
      </c>
    </row>
    <row r="229" spans="1:14" hidden="1" x14ac:dyDescent="0.3">
      <c r="A229">
        <v>326</v>
      </c>
      <c r="B229" t="str">
        <v>AGROPECUARIA EL CALI SOCIEDAD ANONIMA</v>
      </c>
      <c r="C229" s="6">
        <v>3928.97</v>
      </c>
      <c r="D229" s="6">
        <v>0</v>
      </c>
      <c r="E229" t="str">
        <v>Pesos</v>
      </c>
      <c r="F229" t="str">
        <v xml:space="preserve"> $</v>
      </c>
      <c r="G229" t="str">
        <f>IFERROR(VLOOKUP(A229,'Clientes CBOT'!B:E,4,0),B229)</f>
        <v>AGROPECUARIA EL CALI SOCIEDAD ANONIMA</v>
      </c>
      <c r="H229" t="str">
        <f t="shared" si="9"/>
        <v>Ars</v>
      </c>
      <c r="I229" s="6">
        <f t="shared" si="10"/>
        <v>3928.97</v>
      </c>
      <c r="J229">
        <f t="shared" si="11"/>
        <v>0</v>
      </c>
      <c r="M229" s="64" t="s">
        <v>481</v>
      </c>
      <c r="N229" s="123">
        <v>-6134.13</v>
      </c>
    </row>
    <row r="230" spans="1:14" hidden="1" x14ac:dyDescent="0.3">
      <c r="A230">
        <v>327</v>
      </c>
      <c r="B230" t="str">
        <v>CALABRIA ANDRES AGUSTIN</v>
      </c>
      <c r="C230" s="6">
        <v>-1209.19</v>
      </c>
      <c r="D230" s="6">
        <v>0.11</v>
      </c>
      <c r="E230" t="str">
        <v>Pesos</v>
      </c>
      <c r="F230" t="str">
        <v xml:space="preserve"> $</v>
      </c>
      <c r="G230" t="str">
        <f>IFERROR(VLOOKUP(A230,'Clientes CBOT'!B:E,4,0),B230)</f>
        <v>CALABRIA ANDRES AGUSTIN</v>
      </c>
      <c r="H230" t="str">
        <f t="shared" si="9"/>
        <v>Ars</v>
      </c>
      <c r="I230" s="6">
        <f t="shared" si="10"/>
        <v>-1209.19</v>
      </c>
      <c r="J230">
        <f t="shared" si="11"/>
        <v>0.11</v>
      </c>
      <c r="M230" s="64" t="s">
        <v>305</v>
      </c>
      <c r="N230" s="123">
        <v>143629199.85999998</v>
      </c>
    </row>
    <row r="231" spans="1:14" hidden="1" x14ac:dyDescent="0.3">
      <c r="A231">
        <v>292</v>
      </c>
      <c r="B231" t="str">
        <v>CINCO DE JUNIO SA</v>
      </c>
      <c r="C231" s="6">
        <v>0</v>
      </c>
      <c r="D231" s="6">
        <v>0.02</v>
      </c>
      <c r="E231" t="str">
        <v>Pesos</v>
      </c>
      <c r="F231" t="str">
        <v xml:space="preserve"> $</v>
      </c>
      <c r="G231" t="str">
        <f>IFERROR(VLOOKUP(A231,'Clientes CBOT'!B:E,4,0),B231)</f>
        <v>CINCO DE JUNIO SA</v>
      </c>
      <c r="H231" t="str">
        <f t="shared" si="9"/>
        <v>Ars</v>
      </c>
      <c r="I231" s="6">
        <f t="shared" si="10"/>
        <v>0</v>
      </c>
      <c r="J231">
        <f t="shared" si="11"/>
        <v>0.02</v>
      </c>
      <c r="M231" s="64" t="s">
        <v>483</v>
      </c>
      <c r="N231" s="123">
        <v>0.98</v>
      </c>
    </row>
    <row r="232" spans="1:14" hidden="1" x14ac:dyDescent="0.3">
      <c r="A232">
        <v>468</v>
      </c>
      <c r="B232" t="str">
        <v>AGROPECUARIA EL SALADO SA</v>
      </c>
      <c r="C232" s="6">
        <v>0</v>
      </c>
      <c r="D232" s="6">
        <v>0</v>
      </c>
      <c r="E232" t="str">
        <v>Pesos</v>
      </c>
      <c r="F232" t="str">
        <v xml:space="preserve"> $</v>
      </c>
      <c r="G232" t="str">
        <f>IFERROR(VLOOKUP(A232,'Clientes CBOT'!B:E,4,0),B232)</f>
        <v>AGROPECUARIA EL SALADO SA</v>
      </c>
      <c r="H232" t="str">
        <f t="shared" si="9"/>
        <v>Ars</v>
      </c>
      <c r="I232" s="6">
        <f t="shared" si="10"/>
        <v>0</v>
      </c>
      <c r="J232">
        <f t="shared" si="11"/>
        <v>0</v>
      </c>
      <c r="M232" s="64" t="s">
        <v>484</v>
      </c>
      <c r="N232" s="123">
        <v>6762.49</v>
      </c>
    </row>
    <row r="233" spans="1:14" hidden="1" x14ac:dyDescent="0.3">
      <c r="A233">
        <v>453</v>
      </c>
      <c r="B233" t="str">
        <v>LOS MEDANOS SCA</v>
      </c>
      <c r="C233" s="6">
        <v>-5904.19</v>
      </c>
      <c r="D233" s="6">
        <v>-0.01</v>
      </c>
      <c r="E233" t="str">
        <v>Pesos</v>
      </c>
      <c r="F233" t="str">
        <v xml:space="preserve"> $</v>
      </c>
      <c r="G233" t="str">
        <f>IFERROR(VLOOKUP(A233,'Clientes CBOT'!B:E,4,0),B233)</f>
        <v>LOS MEDANOS SCA</v>
      </c>
      <c r="H233" t="str">
        <f t="shared" si="9"/>
        <v>Ars</v>
      </c>
      <c r="I233" s="6">
        <f t="shared" si="10"/>
        <v>-5904.19</v>
      </c>
      <c r="J233">
        <f t="shared" si="11"/>
        <v>-0.01</v>
      </c>
      <c r="M233" s="64" t="s">
        <v>309</v>
      </c>
      <c r="N233" s="123">
        <v>-32989636.360000003</v>
      </c>
    </row>
    <row r="234" spans="1:14" hidden="1" x14ac:dyDescent="0.3">
      <c r="A234">
        <v>65</v>
      </c>
      <c r="B234" t="str">
        <v>SAN PEDRO AGROPECUARIA SA</v>
      </c>
      <c r="C234" s="6">
        <v>-189752.5</v>
      </c>
      <c r="D234" s="6">
        <v>0.01</v>
      </c>
      <c r="E234" t="str">
        <v>Pesos</v>
      </c>
      <c r="F234" t="str">
        <v xml:space="preserve"> $</v>
      </c>
      <c r="G234" t="str">
        <f>IFERROR(VLOOKUP(A234,'Clientes CBOT'!B:E,4,0),B234)</f>
        <v>SAN PEDRO AGROPECUARIA SA</v>
      </c>
      <c r="H234" t="str">
        <f t="shared" si="9"/>
        <v>Ars</v>
      </c>
      <c r="I234" s="6">
        <f t="shared" si="10"/>
        <v>-189752.5</v>
      </c>
      <c r="J234">
        <f t="shared" si="11"/>
        <v>0.01</v>
      </c>
      <c r="M234" s="64" t="s">
        <v>487</v>
      </c>
      <c r="N234" s="123">
        <v>107.67999999999999</v>
      </c>
    </row>
    <row r="235" spans="1:14" hidden="1" x14ac:dyDescent="0.3">
      <c r="A235">
        <v>13</v>
      </c>
      <c r="B235" t="str">
        <v>CANTON SUIZO SA</v>
      </c>
      <c r="C235" s="6">
        <v>2.34</v>
      </c>
      <c r="D235" s="6">
        <v>0.01</v>
      </c>
      <c r="E235" t="str">
        <v>Pesos</v>
      </c>
      <c r="F235" t="str">
        <v xml:space="preserve"> $</v>
      </c>
      <c r="G235" t="str">
        <f>IFERROR(VLOOKUP(A235,'Clientes CBOT'!B:E,4,0),B235)</f>
        <v>CANTON SUIZO SA</v>
      </c>
      <c r="H235" t="str">
        <f t="shared" si="9"/>
        <v>Ars</v>
      </c>
      <c r="I235" s="6">
        <f t="shared" si="10"/>
        <v>2.34</v>
      </c>
      <c r="J235">
        <f t="shared" si="11"/>
        <v>0.01</v>
      </c>
      <c r="M235" s="64" t="s">
        <v>489</v>
      </c>
      <c r="N235" s="123">
        <v>0</v>
      </c>
    </row>
    <row r="236" spans="1:14" hidden="1" x14ac:dyDescent="0.3">
      <c r="A236">
        <v>29</v>
      </c>
      <c r="B236" t="str">
        <v>EL PRETEXTO SA</v>
      </c>
      <c r="C236" s="6">
        <v>-3017.56</v>
      </c>
      <c r="D236" s="6">
        <v>0</v>
      </c>
      <c r="E236" t="str">
        <v>Pesos</v>
      </c>
      <c r="F236" t="str">
        <v xml:space="preserve"> $</v>
      </c>
      <c r="G236" t="str">
        <f>IFERROR(VLOOKUP(A236,'Clientes CBOT'!B:E,4,0),B236)</f>
        <v>EL PRETEXTO SA</v>
      </c>
      <c r="H236" t="str">
        <f t="shared" si="9"/>
        <v>Ars</v>
      </c>
      <c r="I236" s="6">
        <f t="shared" si="10"/>
        <v>-3017.56</v>
      </c>
      <c r="J236">
        <f t="shared" si="11"/>
        <v>0</v>
      </c>
      <c r="M236" s="64" t="s">
        <v>490</v>
      </c>
      <c r="N236" s="123">
        <v>0</v>
      </c>
    </row>
    <row r="237" spans="1:14" hidden="1" x14ac:dyDescent="0.3">
      <c r="A237">
        <v>21</v>
      </c>
      <c r="B237" t="str">
        <v>Dieciocho de Agosto Sociedad Anonima</v>
      </c>
      <c r="C237" s="6">
        <v>0</v>
      </c>
      <c r="D237" s="6">
        <v>0.04</v>
      </c>
      <c r="E237" t="str">
        <v>Pesos</v>
      </c>
      <c r="F237" t="str">
        <v xml:space="preserve"> $</v>
      </c>
      <c r="G237" t="str">
        <f>IFERROR(VLOOKUP(A237,'Clientes CBOT'!B:E,4,0),B237)</f>
        <v>Dieciocho de Agosto Sociedad Anonima</v>
      </c>
      <c r="H237" t="str">
        <f t="shared" si="9"/>
        <v>Ars</v>
      </c>
      <c r="I237" s="6">
        <f t="shared" si="10"/>
        <v>0</v>
      </c>
      <c r="J237">
        <f t="shared" si="11"/>
        <v>0.04</v>
      </c>
      <c r="M237" s="64" t="s">
        <v>314</v>
      </c>
      <c r="N237" s="123">
        <v>-2207998.94</v>
      </c>
    </row>
    <row r="238" spans="1:14" hidden="1" x14ac:dyDescent="0.3">
      <c r="A238">
        <v>91</v>
      </c>
      <c r="B238" t="str">
        <v>CDM AGROPECUARIA SA</v>
      </c>
      <c r="C238" s="6">
        <v>-526093.80000000005</v>
      </c>
      <c r="D238" s="6">
        <v>0.05</v>
      </c>
      <c r="E238" t="str">
        <v>Pesos</v>
      </c>
      <c r="F238" t="str">
        <v xml:space="preserve"> $</v>
      </c>
      <c r="G238" t="str">
        <f>IFERROR(VLOOKUP(A238,'Clientes CBOT'!B:E,4,0),B238)</f>
        <v>CDM AGROPECUARIA SA</v>
      </c>
      <c r="H238" t="str">
        <f t="shared" si="9"/>
        <v>Ars</v>
      </c>
      <c r="I238" s="6">
        <f t="shared" si="10"/>
        <v>-526093.80000000005</v>
      </c>
      <c r="J238">
        <f t="shared" si="11"/>
        <v>0.05</v>
      </c>
      <c r="M238" s="64" t="s">
        <v>492</v>
      </c>
      <c r="N238" s="123">
        <v>10052.299999999999</v>
      </c>
    </row>
    <row r="239" spans="1:14" hidden="1" x14ac:dyDescent="0.3">
      <c r="A239">
        <v>94</v>
      </c>
      <c r="B239" t="str">
        <v>MONTE OVEJERO SCA</v>
      </c>
      <c r="C239" s="6">
        <v>98793901.980000004</v>
      </c>
      <c r="D239" s="6">
        <v>0.13</v>
      </c>
      <c r="E239" t="str">
        <v>Pesos</v>
      </c>
      <c r="F239" t="str">
        <v xml:space="preserve"> $</v>
      </c>
      <c r="G239" t="str">
        <f>IFERROR(VLOOKUP(A239,'Clientes CBOT'!B:E,4,0),B239)</f>
        <v>MONTE OVEJERO SCA</v>
      </c>
      <c r="H239" t="str">
        <f t="shared" si="9"/>
        <v>Ars</v>
      </c>
      <c r="I239" s="6">
        <f t="shared" si="10"/>
        <v>98793901.980000004</v>
      </c>
      <c r="J239">
        <f t="shared" si="11"/>
        <v>0.13</v>
      </c>
      <c r="M239" s="64" t="s">
        <v>318</v>
      </c>
      <c r="N239" s="123">
        <v>-115112.86000000002</v>
      </c>
    </row>
    <row r="240" spans="1:14" hidden="1" x14ac:dyDescent="0.3">
      <c r="A240">
        <v>76</v>
      </c>
      <c r="B240" t="str">
        <v>Agronoble SA</v>
      </c>
      <c r="C240" s="6">
        <v>0</v>
      </c>
      <c r="D240" s="6">
        <v>0</v>
      </c>
      <c r="E240" t="str">
        <v>Pesos</v>
      </c>
      <c r="F240" t="str">
        <v xml:space="preserve"> $</v>
      </c>
      <c r="G240" t="str">
        <f>IFERROR(VLOOKUP(A240,'Clientes CBOT'!B:E,4,0),B240)</f>
        <v>Agronoble SA</v>
      </c>
      <c r="H240" t="str">
        <f t="shared" si="9"/>
        <v>Ars</v>
      </c>
      <c r="I240" s="6">
        <f t="shared" si="10"/>
        <v>0</v>
      </c>
      <c r="J240">
        <f t="shared" si="11"/>
        <v>0</v>
      </c>
      <c r="M240" s="64" t="s">
        <v>494</v>
      </c>
      <c r="N240" s="123">
        <v>0</v>
      </c>
    </row>
    <row r="241" spans="1:14" hidden="1" x14ac:dyDescent="0.3">
      <c r="A241">
        <v>76</v>
      </c>
      <c r="B241" t="str">
        <v>Agronoble SA</v>
      </c>
      <c r="C241" s="6">
        <v>3.19</v>
      </c>
      <c r="D241" s="6">
        <v>0</v>
      </c>
      <c r="E241" t="str">
        <v xml:space="preserve">Dólar </v>
      </c>
      <c r="F241" t="str">
        <v xml:space="preserve"> U$S</v>
      </c>
      <c r="G241" t="str">
        <f>IFERROR(VLOOKUP(A241,'Clientes CBOT'!B:E,4,0),B241)</f>
        <v>Agronoble SA</v>
      </c>
      <c r="H241" t="str">
        <f t="shared" si="9"/>
        <v>Dólar</v>
      </c>
      <c r="I241" s="6">
        <f t="shared" si="10"/>
        <v>3.19</v>
      </c>
      <c r="J241">
        <f t="shared" si="11"/>
        <v>0</v>
      </c>
      <c r="M241" s="64" t="s">
        <v>495</v>
      </c>
      <c r="N241" s="123">
        <v>675.98</v>
      </c>
    </row>
    <row r="242" spans="1:14" hidden="1" x14ac:dyDescent="0.3">
      <c r="A242">
        <v>94</v>
      </c>
      <c r="B242" t="str">
        <v>MONTE OVEJERO SCA</v>
      </c>
      <c r="C242" s="6">
        <v>75204.61</v>
      </c>
      <c r="D242" s="6">
        <v>0</v>
      </c>
      <c r="E242" t="str">
        <v xml:space="preserve">Dólar </v>
      </c>
      <c r="F242" t="str">
        <v xml:space="preserve"> U$S</v>
      </c>
      <c r="G242" t="str">
        <f>IFERROR(VLOOKUP(A242,'Clientes CBOT'!B:E,4,0),B242)</f>
        <v>MONTE OVEJERO SCA</v>
      </c>
      <c r="H242" t="str">
        <f t="shared" si="9"/>
        <v>Dólar</v>
      </c>
      <c r="I242" s="6">
        <f t="shared" si="10"/>
        <v>75204.61</v>
      </c>
      <c r="J242">
        <f t="shared" si="11"/>
        <v>0</v>
      </c>
      <c r="M242" s="64" t="s">
        <v>496</v>
      </c>
      <c r="N242" s="123">
        <v>0</v>
      </c>
    </row>
    <row r="243" spans="1:14" hidden="1" x14ac:dyDescent="0.3">
      <c r="A243">
        <v>91</v>
      </c>
      <c r="B243" t="str">
        <v>CDM AGROPECUARIA SA</v>
      </c>
      <c r="C243" s="6">
        <v>10036.02</v>
      </c>
      <c r="D243" s="6">
        <v>0</v>
      </c>
      <c r="E243" t="str">
        <v xml:space="preserve">Dólar </v>
      </c>
      <c r="F243" t="str">
        <v xml:space="preserve"> U$S</v>
      </c>
      <c r="G243" t="str">
        <f>IFERROR(VLOOKUP(A243,'Clientes CBOT'!B:E,4,0),B243)</f>
        <v>CDM AGROPECUARIA SA</v>
      </c>
      <c r="H243" t="str">
        <f t="shared" si="9"/>
        <v>Dólar</v>
      </c>
      <c r="I243" s="6">
        <f t="shared" si="10"/>
        <v>10036.02</v>
      </c>
      <c r="J243">
        <f t="shared" si="11"/>
        <v>0</v>
      </c>
      <c r="M243" s="64" t="s">
        <v>497</v>
      </c>
      <c r="N243" s="123">
        <v>0</v>
      </c>
    </row>
    <row r="244" spans="1:14" hidden="1" x14ac:dyDescent="0.3">
      <c r="A244">
        <v>21</v>
      </c>
      <c r="B244" t="str">
        <v>Dieciocho de Agosto Sociedad Anonima</v>
      </c>
      <c r="C244" s="6">
        <v>0</v>
      </c>
      <c r="D244" s="6">
        <v>0</v>
      </c>
      <c r="E244" t="str">
        <v xml:space="preserve">Dólar </v>
      </c>
      <c r="F244" t="str">
        <v xml:space="preserve"> U$S</v>
      </c>
      <c r="G244" t="str">
        <f>IFERROR(VLOOKUP(A244,'Clientes CBOT'!B:E,4,0),B244)</f>
        <v>Dieciocho de Agosto Sociedad Anonima</v>
      </c>
      <c r="H244" t="str">
        <f t="shared" si="9"/>
        <v>Dólar</v>
      </c>
      <c r="I244" s="6">
        <f t="shared" si="10"/>
        <v>0</v>
      </c>
      <c r="J244">
        <f t="shared" si="11"/>
        <v>0</v>
      </c>
      <c r="M244" s="64" t="s">
        <v>498</v>
      </c>
      <c r="N244" s="123">
        <v>-29999999.870000001</v>
      </c>
    </row>
    <row r="245" spans="1:14" x14ac:dyDescent="0.3">
      <c r="A245">
        <v>29</v>
      </c>
      <c r="B245" t="str">
        <v>EL PRETEXTO SA</v>
      </c>
      <c r="C245" s="6">
        <v>2303.31</v>
      </c>
      <c r="D245" s="6">
        <v>0</v>
      </c>
      <c r="E245" t="str">
        <v xml:space="preserve">Dólar </v>
      </c>
      <c r="F245" t="str">
        <v xml:space="preserve"> U$S</v>
      </c>
      <c r="G245" t="str">
        <f>IFERROR(VLOOKUP(A245,'Clientes CBOT'!B:E,4,0),B245)</f>
        <v>EL PRETEXTO SA</v>
      </c>
      <c r="H245" t="str">
        <f t="shared" si="9"/>
        <v>Dólar</v>
      </c>
      <c r="I245" s="6">
        <f t="shared" si="10"/>
        <v>2303.31</v>
      </c>
      <c r="J245">
        <f t="shared" si="11"/>
        <v>0</v>
      </c>
      <c r="M245" s="64" t="s">
        <v>500</v>
      </c>
      <c r="N245" s="123">
        <v>-112302684.83</v>
      </c>
    </row>
    <row r="246" spans="1:14" hidden="1" x14ac:dyDescent="0.3">
      <c r="A246">
        <v>13</v>
      </c>
      <c r="B246" t="str">
        <v>CANTON SUIZO SA</v>
      </c>
      <c r="C246" s="6">
        <v>0</v>
      </c>
      <c r="D246" s="6">
        <v>0</v>
      </c>
      <c r="E246" t="str">
        <v xml:space="preserve">Dólar </v>
      </c>
      <c r="F246" t="str">
        <v xml:space="preserve"> U$S</v>
      </c>
      <c r="G246" t="str">
        <f>IFERROR(VLOOKUP(A246,'Clientes CBOT'!B:E,4,0),B246)</f>
        <v>CANTON SUIZO SA</v>
      </c>
      <c r="H246" t="str">
        <f t="shared" si="9"/>
        <v>Dólar</v>
      </c>
      <c r="I246" s="6">
        <f t="shared" si="10"/>
        <v>0</v>
      </c>
      <c r="J246">
        <f t="shared" si="11"/>
        <v>0</v>
      </c>
      <c r="M246" s="64" t="s">
        <v>501</v>
      </c>
      <c r="N246" s="123">
        <v>-10737.38</v>
      </c>
    </row>
    <row r="247" spans="1:14" hidden="1" x14ac:dyDescent="0.3">
      <c r="A247">
        <v>65</v>
      </c>
      <c r="B247" t="str">
        <v>SAN PEDRO AGROPECUARIA SA</v>
      </c>
      <c r="C247" s="6">
        <v>0</v>
      </c>
      <c r="D247" s="6">
        <v>0</v>
      </c>
      <c r="E247" t="str">
        <v xml:space="preserve">Dólar </v>
      </c>
      <c r="F247" t="str">
        <v xml:space="preserve"> U$S</v>
      </c>
      <c r="G247" t="str">
        <f>IFERROR(VLOOKUP(A247,'Clientes CBOT'!B:E,4,0),B247)</f>
        <v>SAN PEDRO AGROPECUARIA SA</v>
      </c>
      <c r="H247" t="str">
        <f t="shared" si="9"/>
        <v>Dólar</v>
      </c>
      <c r="I247" s="6">
        <f t="shared" si="10"/>
        <v>0</v>
      </c>
      <c r="J247">
        <f t="shared" si="11"/>
        <v>0</v>
      </c>
      <c r="M247" s="64" t="s">
        <v>503</v>
      </c>
      <c r="N247" s="123">
        <v>0.01</v>
      </c>
    </row>
    <row r="248" spans="1:14" hidden="1" x14ac:dyDescent="0.3">
      <c r="A248">
        <v>453</v>
      </c>
      <c r="B248" t="str">
        <v>LOS MEDANOS SCA</v>
      </c>
      <c r="C248" s="6">
        <v>0</v>
      </c>
      <c r="D248" s="6">
        <v>0</v>
      </c>
      <c r="E248" t="str">
        <v xml:space="preserve">Dólar </v>
      </c>
      <c r="F248" t="str">
        <v xml:space="preserve"> U$S</v>
      </c>
      <c r="G248" t="str">
        <f>IFERROR(VLOOKUP(A248,'Clientes CBOT'!B:E,4,0),B248)</f>
        <v>LOS MEDANOS SCA</v>
      </c>
      <c r="H248" t="str">
        <f t="shared" si="9"/>
        <v>Dólar</v>
      </c>
      <c r="I248" s="6">
        <f t="shared" si="10"/>
        <v>0</v>
      </c>
      <c r="J248">
        <f t="shared" si="11"/>
        <v>0</v>
      </c>
      <c r="M248" s="64" t="s">
        <v>504</v>
      </c>
      <c r="N248" s="123">
        <v>0</v>
      </c>
    </row>
    <row r="249" spans="1:14" hidden="1" x14ac:dyDescent="0.3">
      <c r="A249">
        <v>292</v>
      </c>
      <c r="B249" t="str">
        <v>CINCO DE JUNIO SA</v>
      </c>
      <c r="C249" s="6">
        <v>0</v>
      </c>
      <c r="D249" s="6">
        <v>0</v>
      </c>
      <c r="E249" t="str">
        <v xml:space="preserve">Dólar </v>
      </c>
      <c r="F249" t="str">
        <v xml:space="preserve"> U$S</v>
      </c>
      <c r="G249" t="str">
        <f>IFERROR(VLOOKUP(A249,'Clientes CBOT'!B:E,4,0),B249)</f>
        <v>CINCO DE JUNIO SA</v>
      </c>
      <c r="H249" t="str">
        <f t="shared" si="9"/>
        <v>Dólar</v>
      </c>
      <c r="I249" s="6">
        <f t="shared" si="10"/>
        <v>0</v>
      </c>
      <c r="J249">
        <f t="shared" si="11"/>
        <v>0</v>
      </c>
      <c r="M249" s="64" t="s">
        <v>505</v>
      </c>
      <c r="N249" s="123">
        <v>489648.52</v>
      </c>
    </row>
    <row r="250" spans="1:14" hidden="1" x14ac:dyDescent="0.3">
      <c r="A250">
        <v>327</v>
      </c>
      <c r="B250" t="str">
        <v>CALABRIA ANDRES AGUSTIN</v>
      </c>
      <c r="C250" s="6">
        <v>0</v>
      </c>
      <c r="D250" s="6">
        <v>0</v>
      </c>
      <c r="E250" t="str">
        <v xml:space="preserve">Dólar </v>
      </c>
      <c r="F250" t="str">
        <v xml:space="preserve"> U$S</v>
      </c>
      <c r="G250" t="str">
        <f>IFERROR(VLOOKUP(A250,'Clientes CBOT'!B:E,4,0),B250)</f>
        <v>CALABRIA ANDRES AGUSTIN</v>
      </c>
      <c r="H250" t="str">
        <f t="shared" si="9"/>
        <v>Dólar</v>
      </c>
      <c r="I250" s="6">
        <f t="shared" si="10"/>
        <v>0</v>
      </c>
      <c r="J250">
        <f t="shared" si="11"/>
        <v>0</v>
      </c>
      <c r="M250" s="64" t="s">
        <v>506</v>
      </c>
      <c r="N250" s="123">
        <v>0</v>
      </c>
    </row>
    <row r="251" spans="1:14" hidden="1" x14ac:dyDescent="0.3">
      <c r="A251">
        <v>326</v>
      </c>
      <c r="B251" t="str">
        <v>AGROPECUARIA EL CALI SOCIEDAD ANONIMA</v>
      </c>
      <c r="C251" s="6">
        <v>0</v>
      </c>
      <c r="D251" s="6">
        <v>0</v>
      </c>
      <c r="E251" t="str">
        <v xml:space="preserve">Dólar </v>
      </c>
      <c r="F251" t="str">
        <v xml:space="preserve"> U$S</v>
      </c>
      <c r="G251" t="str">
        <f>IFERROR(VLOOKUP(A251,'Clientes CBOT'!B:E,4,0),B251)</f>
        <v>AGROPECUARIA EL CALI SOCIEDAD ANONIMA</v>
      </c>
      <c r="H251" t="str">
        <f t="shared" si="9"/>
        <v>Dólar</v>
      </c>
      <c r="I251" s="6">
        <f t="shared" si="10"/>
        <v>0</v>
      </c>
      <c r="J251">
        <f t="shared" si="11"/>
        <v>0</v>
      </c>
      <c r="M251" s="64" t="s">
        <v>418</v>
      </c>
      <c r="N251" s="123">
        <v>0</v>
      </c>
    </row>
    <row r="252" spans="1:14" hidden="1" x14ac:dyDescent="0.3">
      <c r="A252">
        <v>276</v>
      </c>
      <c r="B252" t="str">
        <v>CARRETTONI JULIO ALBERTO</v>
      </c>
      <c r="C252" s="6">
        <v>0</v>
      </c>
      <c r="D252" s="6">
        <v>0</v>
      </c>
      <c r="E252" t="str">
        <v xml:space="preserve">Dólar </v>
      </c>
      <c r="F252" t="str">
        <v xml:space="preserve"> U$S</v>
      </c>
      <c r="G252" t="str">
        <f>IFERROR(VLOOKUP(A252,'Clientes CBOT'!B:E,4,0),B252)</f>
        <v>CARRETTONI JULIO ALBERTO</v>
      </c>
      <c r="H252" t="str">
        <f t="shared" si="9"/>
        <v>Dólar</v>
      </c>
      <c r="I252" s="6">
        <f t="shared" si="10"/>
        <v>0</v>
      </c>
      <c r="J252">
        <f t="shared" si="11"/>
        <v>0</v>
      </c>
      <c r="M252" s="64" t="s">
        <v>507</v>
      </c>
      <c r="N252" s="123">
        <v>0</v>
      </c>
    </row>
    <row r="253" spans="1:14" hidden="1" x14ac:dyDescent="0.3">
      <c r="A253">
        <v>383</v>
      </c>
      <c r="B253" t="str">
        <v>EL PICAFLOR SRL</v>
      </c>
      <c r="C253" s="6">
        <v>0.37</v>
      </c>
      <c r="D253" s="6">
        <v>0</v>
      </c>
      <c r="E253" t="str">
        <v xml:space="preserve">Dólar </v>
      </c>
      <c r="F253" t="str">
        <v xml:space="preserve"> U$S</v>
      </c>
      <c r="G253" t="str">
        <f>IFERROR(VLOOKUP(A253,'Clientes CBOT'!B:E,4,0),B253)</f>
        <v>EL PICAFLOR SRL</v>
      </c>
      <c r="H253" t="str">
        <f t="shared" si="9"/>
        <v>Dólar</v>
      </c>
      <c r="I253" s="6">
        <f t="shared" si="10"/>
        <v>0.37</v>
      </c>
      <c r="J253">
        <f t="shared" si="11"/>
        <v>0</v>
      </c>
      <c r="M253" s="64" t="s">
        <v>473</v>
      </c>
      <c r="N253" s="123">
        <v>-110.77</v>
      </c>
    </row>
    <row r="254" spans="1:14" hidden="1" x14ac:dyDescent="0.3">
      <c r="A254">
        <v>337</v>
      </c>
      <c r="B254" t="str">
        <v>EDUARDO BERAZA SA</v>
      </c>
      <c r="C254" s="6">
        <v>0</v>
      </c>
      <c r="D254" s="6">
        <v>0</v>
      </c>
      <c r="E254" t="str">
        <v xml:space="preserve">Dólar </v>
      </c>
      <c r="F254" t="str">
        <v xml:space="preserve"> U$S</v>
      </c>
      <c r="G254" t="str">
        <f>IFERROR(VLOOKUP(A254,'Clientes CBOT'!B:E,4,0),B254)</f>
        <v>EDUARDO BERAZA SA</v>
      </c>
      <c r="H254" t="str">
        <f t="shared" si="9"/>
        <v>Dólar</v>
      </c>
      <c r="I254" s="6">
        <f t="shared" si="10"/>
        <v>0</v>
      </c>
      <c r="J254">
        <f t="shared" si="11"/>
        <v>0</v>
      </c>
      <c r="M254" s="64" t="s">
        <v>413</v>
      </c>
      <c r="N254" s="123">
        <v>26458.559999999998</v>
      </c>
    </row>
    <row r="255" spans="1:14" hidden="1" x14ac:dyDescent="0.3">
      <c r="A255">
        <v>29</v>
      </c>
      <c r="B255" t="str">
        <v>EL PRETEXTO SA</v>
      </c>
      <c r="C255" s="6">
        <v>141.08000000000001</v>
      </c>
      <c r="D255" s="6">
        <v>0</v>
      </c>
      <c r="E255" t="str">
        <v>Dólar Cable</v>
      </c>
      <c r="F255" t="str">
        <v xml:space="preserve"> U$S TT</v>
      </c>
      <c r="G255" t="str">
        <f>IFERROR(VLOOKUP(A255,'Clientes CBOT'!B:E,4,0),B255)</f>
        <v>EL PRETEXTO SA</v>
      </c>
      <c r="H255" t="str">
        <f t="shared" si="9"/>
        <v>Hard</v>
      </c>
      <c r="I255" s="6">
        <f t="shared" si="10"/>
        <v>141.08000000000001</v>
      </c>
      <c r="J255">
        <f t="shared" si="11"/>
        <v>0</v>
      </c>
      <c r="M255" s="64" t="s">
        <v>399</v>
      </c>
      <c r="N255" s="123">
        <v>13.93</v>
      </c>
    </row>
    <row r="256" spans="1:14" hidden="1" x14ac:dyDescent="0.3">
      <c r="A256">
        <v>29</v>
      </c>
      <c r="B256" t="str">
        <v>EL PRETEXTO SA</v>
      </c>
      <c r="C256" s="6">
        <v>0</v>
      </c>
      <c r="D256" s="6">
        <v>0</v>
      </c>
      <c r="E256" t="str">
        <v>Dólar Matba Rofex</v>
      </c>
      <c r="F256" t="str">
        <v xml:space="preserve"> U$S MR</v>
      </c>
      <c r="G256" t="str">
        <f>IFERROR(VLOOKUP(A256,'Clientes CBOT'!B:E,4,0),B256)</f>
        <v>EL PRETEXTO SA</v>
      </c>
      <c r="H256" t="str">
        <f t="shared" si="9"/>
        <v>usd linked</v>
      </c>
      <c r="I256" s="6">
        <f t="shared" si="10"/>
        <v>0</v>
      </c>
      <c r="J256">
        <f t="shared" si="11"/>
        <v>0</v>
      </c>
      <c r="M256" s="64" t="s">
        <v>509</v>
      </c>
      <c r="N256" s="123">
        <v>-0.16</v>
      </c>
    </row>
    <row r="257" spans="1:14" hidden="1" x14ac:dyDescent="0.3">
      <c r="A257">
        <v>21</v>
      </c>
      <c r="B257" t="str">
        <v>Dieciocho de Agosto Sociedad Anonima</v>
      </c>
      <c r="C257" s="6">
        <v>0</v>
      </c>
      <c r="D257" s="6">
        <v>0</v>
      </c>
      <c r="E257" t="str">
        <v>Dólar Matba Rofex</v>
      </c>
      <c r="F257" t="str">
        <v xml:space="preserve"> U$S MR</v>
      </c>
      <c r="G257" t="str">
        <f>IFERROR(VLOOKUP(A257,'Clientes CBOT'!B:E,4,0),B257)</f>
        <v>Dieciocho de Agosto Sociedad Anonima</v>
      </c>
      <c r="H257" t="str">
        <f t="shared" si="9"/>
        <v>usd linked</v>
      </c>
      <c r="I257" s="6">
        <f t="shared" si="10"/>
        <v>0</v>
      </c>
      <c r="J257">
        <f t="shared" si="11"/>
        <v>0</v>
      </c>
      <c r="M257" s="64" t="s">
        <v>488</v>
      </c>
      <c r="N257" s="123">
        <v>-50198863.969999999</v>
      </c>
    </row>
    <row r="258" spans="1:14" hidden="1" x14ac:dyDescent="0.3">
      <c r="A258">
        <v>13</v>
      </c>
      <c r="B258" t="str">
        <v>CANTON SUIZO SA</v>
      </c>
      <c r="C258" s="6">
        <v>0</v>
      </c>
      <c r="D258" s="6">
        <v>0</v>
      </c>
      <c r="E258" t="str">
        <v>Dólar Matba Rofex</v>
      </c>
      <c r="F258" t="str">
        <v xml:space="preserve"> U$S MR</v>
      </c>
      <c r="G258" t="str">
        <f>IFERROR(VLOOKUP(A258,'Clientes CBOT'!B:E,4,0),B258)</f>
        <v>CANTON SUIZO SA</v>
      </c>
      <c r="H258" t="str">
        <f t="shared" si="9"/>
        <v>usd linked</v>
      </c>
      <c r="I258" s="6">
        <f t="shared" si="10"/>
        <v>0</v>
      </c>
      <c r="J258">
        <f t="shared" si="11"/>
        <v>0</v>
      </c>
      <c r="M258" s="64" t="s">
        <v>511</v>
      </c>
      <c r="N258" s="123">
        <v>0</v>
      </c>
    </row>
    <row r="259" spans="1:14" hidden="1" x14ac:dyDescent="0.3">
      <c r="A259">
        <v>91</v>
      </c>
      <c r="B259" t="str">
        <v>CDM AGROPECUARIA SA</v>
      </c>
      <c r="C259" s="6">
        <v>0</v>
      </c>
      <c r="D259" s="6">
        <v>0</v>
      </c>
      <c r="E259" t="str">
        <v>Dólar Matba Rofex</v>
      </c>
      <c r="F259" t="str">
        <v xml:space="preserve"> U$S MR</v>
      </c>
      <c r="G259" t="str">
        <f>IFERROR(VLOOKUP(A259,'Clientes CBOT'!B:E,4,0),B259)</f>
        <v>CDM AGROPECUARIA SA</v>
      </c>
      <c r="H259" t="str">
        <f t="shared" si="9"/>
        <v>usd linked</v>
      </c>
      <c r="I259" s="6">
        <f t="shared" si="10"/>
        <v>0</v>
      </c>
      <c r="J259">
        <f t="shared" si="11"/>
        <v>0</v>
      </c>
      <c r="M259" s="64" t="s">
        <v>512</v>
      </c>
      <c r="N259" s="123">
        <v>0</v>
      </c>
    </row>
    <row r="260" spans="1:14" hidden="1" x14ac:dyDescent="0.3">
      <c r="A260">
        <v>94</v>
      </c>
      <c r="B260" t="str">
        <v>MONTE OVEJERO SCA</v>
      </c>
      <c r="C260" s="6">
        <v>0</v>
      </c>
      <c r="D260" s="6">
        <v>0</v>
      </c>
      <c r="E260" t="str">
        <v>Dólar Matba Rofex</v>
      </c>
      <c r="F260" t="str">
        <v xml:space="preserve"> U$S MR</v>
      </c>
      <c r="G260" t="str">
        <f>IFERROR(VLOOKUP(A260,'Clientes CBOT'!B:E,4,0),B260)</f>
        <v>MONTE OVEJERO SCA</v>
      </c>
      <c r="H260" t="str">
        <f t="shared" si="9"/>
        <v>usd linked</v>
      </c>
      <c r="I260" s="6">
        <f t="shared" si="10"/>
        <v>0</v>
      </c>
      <c r="J260">
        <f t="shared" si="11"/>
        <v>0</v>
      </c>
      <c r="M260" s="64" t="s">
        <v>514</v>
      </c>
      <c r="N260" s="123">
        <v>0</v>
      </c>
    </row>
    <row r="261" spans="1:14" hidden="1" x14ac:dyDescent="0.3">
      <c r="A261">
        <v>77</v>
      </c>
      <c r="B261" t="str">
        <v>Ninci Aguero S.A.</v>
      </c>
      <c r="C261" s="6">
        <v>1723.07</v>
      </c>
      <c r="D261" s="6">
        <v>0</v>
      </c>
      <c r="E261" t="str">
        <v>Pesos</v>
      </c>
      <c r="F261" t="str">
        <v xml:space="preserve"> $</v>
      </c>
      <c r="G261" t="str">
        <f>IFERROR(VLOOKUP(A261,'Clientes CBOT'!B:E,4,0),B261)</f>
        <v>Ninci Aguero S.A.</v>
      </c>
      <c r="H261" t="str">
        <f t="shared" ref="H261:H324" si="12">IF(E261="pesos","Ars",IF(E261="Dólar Matba Rofex","usd linked",IF(F261=" U$S TT","Hard","Dólar")))</f>
        <v>Ars</v>
      </c>
      <c r="I261" s="6">
        <f t="shared" ref="I261:I324" si="13">IF(H261="ars",C261/$J$1,IF(H261="Hard",C261*$J$2/$J$1,C261))</f>
        <v>1723.07</v>
      </c>
      <c r="J261">
        <f t="shared" ref="J261:J324" si="14">IF(H261="ars",D261/$J$1,IF(H261="hard",D261*$J$2/$J$1,D261))</f>
        <v>0</v>
      </c>
      <c r="M261" s="64" t="s">
        <v>515</v>
      </c>
      <c r="N261" s="123">
        <v>0</v>
      </c>
    </row>
    <row r="262" spans="1:14" hidden="1" x14ac:dyDescent="0.3">
      <c r="A262">
        <v>105</v>
      </c>
      <c r="B262" t="str">
        <v>TRES ESTRELLAS SA</v>
      </c>
      <c r="C262" s="6">
        <v>1007.7</v>
      </c>
      <c r="D262" s="6">
        <v>0</v>
      </c>
      <c r="E262" t="str">
        <v>Pesos</v>
      </c>
      <c r="F262" t="str">
        <v xml:space="preserve"> $</v>
      </c>
      <c r="G262" t="str">
        <f>IFERROR(VLOOKUP(A262,'Clientes CBOT'!B:E,4,0),B262)</f>
        <v>TRES ESTRELLAS SA</v>
      </c>
      <c r="H262" t="str">
        <f t="shared" si="12"/>
        <v>Ars</v>
      </c>
      <c r="I262" s="6">
        <f t="shared" si="13"/>
        <v>1007.7</v>
      </c>
      <c r="J262">
        <f t="shared" si="14"/>
        <v>0</v>
      </c>
      <c r="M262" s="64" t="s">
        <v>449</v>
      </c>
      <c r="N262" s="123">
        <v>-3228201747.6900005</v>
      </c>
    </row>
    <row r="263" spans="1:14" hidden="1" x14ac:dyDescent="0.3">
      <c r="A263">
        <v>502</v>
      </c>
      <c r="B263" t="str">
        <v>SOLFANELLI Y CRAGNOLINI PABLO GUILLERMO</v>
      </c>
      <c r="C263" s="6">
        <v>15.15</v>
      </c>
      <c r="D263" s="6">
        <v>0</v>
      </c>
      <c r="E263" t="str">
        <v>Pesos</v>
      </c>
      <c r="F263" t="str">
        <v xml:space="preserve"> $</v>
      </c>
      <c r="G263" t="str">
        <f>IFERROR(VLOOKUP(A263,'Clientes CBOT'!B:E,4,0),B263)</f>
        <v>SOLFANELLI Y CRAGNOLINI PABLO GUILLERMO</v>
      </c>
      <c r="H263" t="str">
        <f t="shared" si="12"/>
        <v>Ars</v>
      </c>
      <c r="I263" s="6">
        <f t="shared" si="13"/>
        <v>15.15</v>
      </c>
      <c r="J263">
        <f t="shared" si="14"/>
        <v>0</v>
      </c>
      <c r="M263" s="64" t="s">
        <v>516</v>
      </c>
      <c r="N263" s="123">
        <v>2900.1299999999997</v>
      </c>
    </row>
    <row r="264" spans="1:14" hidden="1" x14ac:dyDescent="0.3">
      <c r="A264">
        <v>512</v>
      </c>
      <c r="B264" t="str">
        <v>ARGEO SRL</v>
      </c>
      <c r="C264" s="6">
        <v>-27960.15</v>
      </c>
      <c r="D264" s="6">
        <v>0</v>
      </c>
      <c r="E264" t="str">
        <v>Pesos</v>
      </c>
      <c r="F264" t="str">
        <v xml:space="preserve"> $</v>
      </c>
      <c r="G264" t="str">
        <f>IFERROR(VLOOKUP(A264,'Clientes CBOT'!B:E,4,0),B264)</f>
        <v>ARGEO SRL</v>
      </c>
      <c r="H264" t="str">
        <f t="shared" si="12"/>
        <v>Ars</v>
      </c>
      <c r="I264" s="6">
        <f t="shared" si="13"/>
        <v>-27960.15</v>
      </c>
      <c r="J264">
        <f t="shared" si="14"/>
        <v>0</v>
      </c>
      <c r="M264" s="64" t="s">
        <v>518</v>
      </c>
      <c r="N264" s="123">
        <v>0</v>
      </c>
    </row>
    <row r="265" spans="1:14" hidden="1" x14ac:dyDescent="0.3">
      <c r="A265">
        <v>159</v>
      </c>
      <c r="B265" t="str">
        <v>MIRU AGROPECUARIA SRL</v>
      </c>
      <c r="C265" s="6">
        <v>-1651.09</v>
      </c>
      <c r="D265" s="6">
        <v>-0.02</v>
      </c>
      <c r="E265" t="str">
        <v>Pesos</v>
      </c>
      <c r="F265" t="str">
        <v xml:space="preserve"> $</v>
      </c>
      <c r="G265" t="str">
        <f>IFERROR(VLOOKUP(A265,'Clientes CBOT'!B:E,4,0),B265)</f>
        <v>MIRU AGROPECUARIA SRL</v>
      </c>
      <c r="H265" t="str">
        <f t="shared" si="12"/>
        <v>Ars</v>
      </c>
      <c r="I265" s="6">
        <f t="shared" si="13"/>
        <v>-1651.09</v>
      </c>
      <c r="J265">
        <f t="shared" si="14"/>
        <v>-0.02</v>
      </c>
      <c r="M265" s="64" t="s">
        <v>519</v>
      </c>
      <c r="N265" s="123">
        <v>-1987.4</v>
      </c>
    </row>
    <row r="266" spans="1:14" hidden="1" x14ac:dyDescent="0.3">
      <c r="A266">
        <v>531</v>
      </c>
      <c r="B266" t="str">
        <v>SARTORI MILAGROS</v>
      </c>
      <c r="C266" s="6">
        <v>0</v>
      </c>
      <c r="D266" s="6">
        <v>0</v>
      </c>
      <c r="E266" t="str">
        <v>Pesos</v>
      </c>
      <c r="F266" t="str">
        <v xml:space="preserve"> $</v>
      </c>
      <c r="G266" t="str">
        <f>IFERROR(VLOOKUP(A266,'Clientes CBOT'!B:E,4,0),B266)</f>
        <v>SARTORI MILAGROS</v>
      </c>
      <c r="H266" t="str">
        <f t="shared" si="12"/>
        <v>Ars</v>
      </c>
      <c r="I266" s="6">
        <f t="shared" si="13"/>
        <v>0</v>
      </c>
      <c r="J266">
        <f t="shared" si="14"/>
        <v>0</v>
      </c>
      <c r="M266" s="64" t="s">
        <v>520</v>
      </c>
      <c r="N266" s="123">
        <v>0</v>
      </c>
    </row>
    <row r="267" spans="1:14" hidden="1" x14ac:dyDescent="0.3">
      <c r="A267">
        <v>165</v>
      </c>
      <c r="B267" t="str">
        <v>SARTORI ALBERTO FRANCISCO</v>
      </c>
      <c r="C267" s="6">
        <v>-3184.83</v>
      </c>
      <c r="D267" s="6">
        <v>0</v>
      </c>
      <c r="E267" t="str">
        <v>Pesos</v>
      </c>
      <c r="F267" t="str">
        <v xml:space="preserve"> $</v>
      </c>
      <c r="G267" t="str">
        <f>IFERROR(VLOOKUP(A267,'Clientes CBOT'!B:E,4,0),B267)</f>
        <v>SARTORI ALBERTO FRANCISCO</v>
      </c>
      <c r="H267" t="str">
        <f t="shared" si="12"/>
        <v>Ars</v>
      </c>
      <c r="I267" s="6">
        <f t="shared" si="13"/>
        <v>-3184.83</v>
      </c>
      <c r="J267">
        <f t="shared" si="14"/>
        <v>0</v>
      </c>
      <c r="M267" s="64" t="s">
        <v>521</v>
      </c>
      <c r="N267" s="123">
        <v>2875000</v>
      </c>
    </row>
    <row r="268" spans="1:14" hidden="1" x14ac:dyDescent="0.3">
      <c r="A268">
        <v>171</v>
      </c>
      <c r="B268" t="str">
        <v>AGROMIX SA</v>
      </c>
      <c r="C268" s="6">
        <v>0</v>
      </c>
      <c r="D268" s="6">
        <v>0.03</v>
      </c>
      <c r="E268" t="str">
        <v>Pesos</v>
      </c>
      <c r="F268" t="str">
        <v xml:space="preserve"> $</v>
      </c>
      <c r="G268" t="str">
        <f>IFERROR(VLOOKUP(A268,'Clientes CBOT'!B:E,4,0),B268)</f>
        <v>AGROMIX SA</v>
      </c>
      <c r="H268" t="str">
        <f t="shared" si="12"/>
        <v>Ars</v>
      </c>
      <c r="I268" s="6">
        <f t="shared" si="13"/>
        <v>0</v>
      </c>
      <c r="J268">
        <f t="shared" si="14"/>
        <v>0.03</v>
      </c>
      <c r="M268" s="64" t="s">
        <v>323</v>
      </c>
      <c r="N268" s="123">
        <v>-72761598.670000002</v>
      </c>
    </row>
    <row r="269" spans="1:14" hidden="1" x14ac:dyDescent="0.3">
      <c r="A269">
        <v>23</v>
      </c>
      <c r="B269" t="str">
        <v>DOMINGUEZ JORGE MARCELO</v>
      </c>
      <c r="C269" s="6">
        <v>-11724.9</v>
      </c>
      <c r="D269" s="6">
        <v>0.04</v>
      </c>
      <c r="E269" t="str">
        <v>Pesos</v>
      </c>
      <c r="F269" t="str">
        <v xml:space="preserve"> $</v>
      </c>
      <c r="G269" t="str">
        <f>IFERROR(VLOOKUP(A269,'Clientes CBOT'!B:E,4,0),B269)</f>
        <v>DOMINGUEZ JORGE MARCELO</v>
      </c>
      <c r="H269" t="str">
        <f t="shared" si="12"/>
        <v>Ars</v>
      </c>
      <c r="I269" s="6">
        <f t="shared" si="13"/>
        <v>-11724.9</v>
      </c>
      <c r="J269">
        <f t="shared" si="14"/>
        <v>0.04</v>
      </c>
      <c r="M269" s="64" t="s">
        <v>522</v>
      </c>
      <c r="N269" s="123">
        <v>-9002.0600000000013</v>
      </c>
    </row>
    <row r="270" spans="1:14" hidden="1" x14ac:dyDescent="0.3">
      <c r="A270">
        <v>41</v>
      </c>
      <c r="B270" t="str">
        <v>GIACUZZI MARTIN GABRIEL</v>
      </c>
      <c r="C270" s="6">
        <v>-10086292.039999999</v>
      </c>
      <c r="D270" s="6">
        <v>-0.06</v>
      </c>
      <c r="E270" t="str">
        <v>Pesos</v>
      </c>
      <c r="F270" t="str">
        <v xml:space="preserve"> $</v>
      </c>
      <c r="G270" t="str">
        <f>IFERROR(VLOOKUP(A270,'Clientes CBOT'!B:E,4,0),B270)</f>
        <v>GIACUZZI MARTIN GABRIEL</v>
      </c>
      <c r="H270" t="str">
        <f t="shared" si="12"/>
        <v>Ars</v>
      </c>
      <c r="I270" s="6">
        <f t="shared" si="13"/>
        <v>-10086292.039999999</v>
      </c>
      <c r="J270">
        <f t="shared" si="14"/>
        <v>-0.06</v>
      </c>
      <c r="M270" s="64" t="s">
        <v>196</v>
      </c>
      <c r="N270" s="123">
        <v>401739.95</v>
      </c>
    </row>
    <row r="271" spans="1:14" hidden="1" x14ac:dyDescent="0.3">
      <c r="A271">
        <v>430</v>
      </c>
      <c r="B271" t="str">
        <v>JERILDERIE SA</v>
      </c>
      <c r="C271" s="6">
        <v>0.01</v>
      </c>
      <c r="D271" s="6">
        <v>0</v>
      </c>
      <c r="E271" t="str">
        <v>Pesos</v>
      </c>
      <c r="F271" t="str">
        <v xml:space="preserve"> $</v>
      </c>
      <c r="G271" t="str">
        <f>IFERROR(VLOOKUP(A271,'Clientes CBOT'!B:E,4,0),B271)</f>
        <v>JERILDERIE SA</v>
      </c>
      <c r="H271" t="str">
        <f t="shared" si="12"/>
        <v>Ars</v>
      </c>
      <c r="I271" s="6">
        <f t="shared" si="13"/>
        <v>0.01</v>
      </c>
      <c r="J271">
        <f t="shared" si="14"/>
        <v>0</v>
      </c>
      <c r="M271" s="64" t="s">
        <v>123</v>
      </c>
      <c r="N271" s="123">
        <v>30</v>
      </c>
    </row>
    <row r="272" spans="1:14" hidden="1" x14ac:dyDescent="0.3">
      <c r="A272">
        <v>342</v>
      </c>
      <c r="B272" t="str">
        <v>LABAQUE AGROPECUARIA SA</v>
      </c>
      <c r="C272" s="6">
        <v>0</v>
      </c>
      <c r="D272" s="6">
        <v>0</v>
      </c>
      <c r="E272" t="str">
        <v>Pesos</v>
      </c>
      <c r="F272" t="str">
        <v xml:space="preserve"> $</v>
      </c>
      <c r="G272" t="str">
        <f>IFERROR(VLOOKUP(A272,'Clientes CBOT'!B:E,4,0),B272)</f>
        <v>LABAQUE AGROPECUARIA SA</v>
      </c>
      <c r="H272" t="str">
        <f t="shared" si="12"/>
        <v>Ars</v>
      </c>
      <c r="I272" s="6">
        <f t="shared" si="13"/>
        <v>0</v>
      </c>
      <c r="J272">
        <f t="shared" si="14"/>
        <v>0</v>
      </c>
      <c r="M272" s="64" t="s">
        <v>460</v>
      </c>
      <c r="N272" s="123">
        <v>1125.07</v>
      </c>
    </row>
    <row r="273" spans="1:14" hidden="1" x14ac:dyDescent="0.3">
      <c r="A273">
        <v>354</v>
      </c>
      <c r="B273" t="str">
        <v>ESTANCIAS DEL TOTORAL SA</v>
      </c>
      <c r="C273" s="6">
        <v>502652.89</v>
      </c>
      <c r="D273" s="6">
        <v>0</v>
      </c>
      <c r="E273" t="str">
        <v>Pesos</v>
      </c>
      <c r="F273" t="str">
        <v xml:space="preserve"> $</v>
      </c>
      <c r="G273" t="str">
        <f>IFERROR(VLOOKUP(A273,'Clientes CBOT'!B:E,4,0),B273)</f>
        <v>ESTANCIAS DEL TOTORAL SA</v>
      </c>
      <c r="H273" t="str">
        <f t="shared" si="12"/>
        <v>Ars</v>
      </c>
      <c r="I273" s="6">
        <f t="shared" si="13"/>
        <v>502652.89</v>
      </c>
      <c r="J273">
        <f t="shared" si="14"/>
        <v>0</v>
      </c>
      <c r="M273" s="64" t="s">
        <v>523</v>
      </c>
      <c r="N273" s="123">
        <v>-5904.19</v>
      </c>
    </row>
    <row r="274" spans="1:14" hidden="1" x14ac:dyDescent="0.3">
      <c r="A274">
        <v>406</v>
      </c>
      <c r="B274" t="str">
        <v>GRASSINO JUAN CARLOS</v>
      </c>
      <c r="C274" s="6">
        <v>1751.56</v>
      </c>
      <c r="D274" s="6">
        <v>0</v>
      </c>
      <c r="E274" t="str">
        <v>Pesos</v>
      </c>
      <c r="F274" t="str">
        <v xml:space="preserve"> $</v>
      </c>
      <c r="G274" t="str">
        <f>IFERROR(VLOOKUP(A274,'Clientes CBOT'!B:E,4,0),B274)</f>
        <v>GRASSINO JUAN CARLOS</v>
      </c>
      <c r="H274" t="str">
        <f t="shared" si="12"/>
        <v>Ars</v>
      </c>
      <c r="I274" s="6">
        <f t="shared" si="13"/>
        <v>1751.56</v>
      </c>
      <c r="J274">
        <f t="shared" si="14"/>
        <v>0</v>
      </c>
      <c r="M274" s="64" t="s">
        <v>447</v>
      </c>
      <c r="N274" s="123">
        <v>-1349785.4400000002</v>
      </c>
    </row>
    <row r="275" spans="1:14" hidden="1" x14ac:dyDescent="0.3">
      <c r="A275">
        <v>414</v>
      </c>
      <c r="B275" t="str">
        <v>HAYKE SA</v>
      </c>
      <c r="C275" s="6">
        <v>6762.49</v>
      </c>
      <c r="D275" s="6">
        <v>0</v>
      </c>
      <c r="E275" t="str">
        <v>Pesos</v>
      </c>
      <c r="F275" t="str">
        <v xml:space="preserve"> $</v>
      </c>
      <c r="G275" t="str">
        <f>IFERROR(VLOOKUP(A275,'Clientes CBOT'!B:E,4,0),B275)</f>
        <v>HAYKE SA</v>
      </c>
      <c r="H275" t="str">
        <f t="shared" si="12"/>
        <v>Ars</v>
      </c>
      <c r="I275" s="6">
        <f t="shared" si="13"/>
        <v>6762.49</v>
      </c>
      <c r="J275">
        <f t="shared" si="14"/>
        <v>0</v>
      </c>
      <c r="M275" s="64" t="s">
        <v>525</v>
      </c>
      <c r="N275" s="123">
        <v>991.75</v>
      </c>
    </row>
    <row r="276" spans="1:14" hidden="1" x14ac:dyDescent="0.3">
      <c r="A276">
        <v>402</v>
      </c>
      <c r="B276" t="str">
        <v>ROMERO OSCAR GUSTAVO</v>
      </c>
      <c r="C276" s="6">
        <v>0</v>
      </c>
      <c r="D276" s="6">
        <v>0</v>
      </c>
      <c r="E276" t="str">
        <v>Pesos</v>
      </c>
      <c r="F276" t="str">
        <v xml:space="preserve"> $</v>
      </c>
      <c r="G276" t="str">
        <f>IFERROR(VLOOKUP(A276,'Clientes CBOT'!B:E,4,0),B276)</f>
        <v>ROMERO OSCAR GUSTAVO</v>
      </c>
      <c r="H276" t="str">
        <f t="shared" si="12"/>
        <v>Ars</v>
      </c>
      <c r="I276" s="6">
        <f t="shared" si="13"/>
        <v>0</v>
      </c>
      <c r="J276">
        <f t="shared" si="14"/>
        <v>0</v>
      </c>
      <c r="M276" s="64" t="s">
        <v>526</v>
      </c>
      <c r="N276" s="123">
        <v>1239.33</v>
      </c>
    </row>
    <row r="277" spans="1:14" hidden="1" x14ac:dyDescent="0.3">
      <c r="A277">
        <v>266</v>
      </c>
      <c r="B277" t="str">
        <v>AGRO COLIBRI SRL</v>
      </c>
      <c r="C277" s="6">
        <v>0</v>
      </c>
      <c r="D277" s="6">
        <v>0.03</v>
      </c>
      <c r="E277" t="str">
        <v>Pesos</v>
      </c>
      <c r="F277" t="str">
        <v xml:space="preserve"> $</v>
      </c>
      <c r="G277" t="str">
        <f>IFERROR(VLOOKUP(A277,'Clientes CBOT'!B:E,4,0),B277)</f>
        <v>AGRO COLIBRI SRL</v>
      </c>
      <c r="H277" t="str">
        <f t="shared" si="12"/>
        <v>Ars</v>
      </c>
      <c r="I277" s="6">
        <f t="shared" si="13"/>
        <v>0</v>
      </c>
      <c r="J277">
        <f t="shared" si="14"/>
        <v>0.03</v>
      </c>
      <c r="M277" s="64" t="s">
        <v>528</v>
      </c>
      <c r="N277" s="123">
        <v>0</v>
      </c>
    </row>
    <row r="278" spans="1:14" hidden="1" x14ac:dyDescent="0.3">
      <c r="A278">
        <v>281</v>
      </c>
      <c r="B278" t="str">
        <v>YERUTI SA</v>
      </c>
      <c r="C278" s="6">
        <v>0</v>
      </c>
      <c r="D278" s="6">
        <v>0</v>
      </c>
      <c r="E278" t="str">
        <v>Pesos</v>
      </c>
      <c r="F278" t="str">
        <v xml:space="preserve"> $</v>
      </c>
      <c r="G278" t="str">
        <f>IFERROR(VLOOKUP(A278,'Clientes CBOT'!B:E,4,0),B278)</f>
        <v>YERUTI SA</v>
      </c>
      <c r="H278" t="str">
        <f t="shared" si="12"/>
        <v>Ars</v>
      </c>
      <c r="I278" s="6">
        <f t="shared" si="13"/>
        <v>0</v>
      </c>
      <c r="J278">
        <f t="shared" si="14"/>
        <v>0</v>
      </c>
      <c r="M278" s="64" t="s">
        <v>529</v>
      </c>
      <c r="N278" s="123">
        <v>-748.86</v>
      </c>
    </row>
    <row r="279" spans="1:14" hidden="1" x14ac:dyDescent="0.3">
      <c r="A279">
        <v>325</v>
      </c>
      <c r="B279" t="str">
        <v>EL TATA S.R.L</v>
      </c>
      <c r="C279" s="6">
        <v>0</v>
      </c>
      <c r="D279" s="6">
        <v>0.2</v>
      </c>
      <c r="E279" t="str">
        <v>Pesos</v>
      </c>
      <c r="F279" t="str">
        <v xml:space="preserve"> $</v>
      </c>
      <c r="G279" t="str">
        <f>IFERROR(VLOOKUP(A279,'Clientes CBOT'!B:E,4,0),B279)</f>
        <v>EL TATA S.R.L</v>
      </c>
      <c r="H279" t="str">
        <f t="shared" si="12"/>
        <v>Ars</v>
      </c>
      <c r="I279" s="6">
        <f t="shared" si="13"/>
        <v>0</v>
      </c>
      <c r="J279">
        <f t="shared" si="14"/>
        <v>0.2</v>
      </c>
      <c r="M279" s="64" t="s">
        <v>330</v>
      </c>
      <c r="N279" s="123">
        <v>-88787495.159999996</v>
      </c>
    </row>
    <row r="280" spans="1:14" hidden="1" x14ac:dyDescent="0.3">
      <c r="A280">
        <v>6058</v>
      </c>
      <c r="B280" t="str">
        <v>DOMAGRO SA</v>
      </c>
      <c r="C280" s="6">
        <v>0</v>
      </c>
      <c r="D280" s="6">
        <v>0</v>
      </c>
      <c r="E280" t="str">
        <v>Pesos</v>
      </c>
      <c r="F280" t="str">
        <v xml:space="preserve"> $</v>
      </c>
      <c r="G280" t="str">
        <f>IFERROR(VLOOKUP(A280,'Clientes CBOT'!B:E,4,0),B280)</f>
        <v>DOMAGRO SA</v>
      </c>
      <c r="H280" t="str">
        <f t="shared" si="12"/>
        <v>Ars</v>
      </c>
      <c r="I280" s="6">
        <f t="shared" si="13"/>
        <v>0</v>
      </c>
      <c r="J280">
        <f t="shared" si="14"/>
        <v>0</v>
      </c>
      <c r="M280" s="64" t="s">
        <v>531</v>
      </c>
      <c r="N280" s="123">
        <v>103913641.72</v>
      </c>
    </row>
    <row r="281" spans="1:14" hidden="1" x14ac:dyDescent="0.3">
      <c r="A281">
        <v>6040</v>
      </c>
      <c r="B281" t="str">
        <v>S.V.T. EMPRENDIMIENTOS S.A.</v>
      </c>
      <c r="C281" s="6">
        <v>-4.32</v>
      </c>
      <c r="D281" s="6">
        <v>0</v>
      </c>
      <c r="E281" t="str">
        <v>Pesos</v>
      </c>
      <c r="F281" t="str">
        <v xml:space="preserve"> $</v>
      </c>
      <c r="G281" t="str">
        <f>IFERROR(VLOOKUP(A281,'Clientes CBOT'!B:E,4,0),B281)</f>
        <v>S.V.T. EMPRENDIMIENTOS S.A.</v>
      </c>
      <c r="H281" t="str">
        <f t="shared" si="12"/>
        <v>Ars</v>
      </c>
      <c r="I281" s="6">
        <f t="shared" si="13"/>
        <v>-4.32</v>
      </c>
      <c r="J281">
        <f t="shared" si="14"/>
        <v>0</v>
      </c>
      <c r="M281" s="64" t="s">
        <v>485</v>
      </c>
      <c r="N281" s="123">
        <v>-96162.99</v>
      </c>
    </row>
    <row r="282" spans="1:14" hidden="1" x14ac:dyDescent="0.3">
      <c r="A282">
        <v>221</v>
      </c>
      <c r="B282" t="str">
        <v>MIOTTI LORENA ALEJANDRA</v>
      </c>
      <c r="C282" s="6">
        <v>2463.3000000000002</v>
      </c>
      <c r="D282" s="6">
        <v>0</v>
      </c>
      <c r="E282" t="str">
        <v>Pesos</v>
      </c>
      <c r="F282" t="str">
        <v xml:space="preserve"> $</v>
      </c>
      <c r="G282" t="str">
        <f>IFERROR(VLOOKUP(A282,'Clientes CBOT'!B:E,4,0),B282)</f>
        <v>MIOTTI LORENA ALEJANDRA</v>
      </c>
      <c r="H282" t="str">
        <f t="shared" si="12"/>
        <v>Ars</v>
      </c>
      <c r="I282" s="6">
        <f t="shared" si="13"/>
        <v>2463.3000000000002</v>
      </c>
      <c r="J282">
        <f t="shared" si="14"/>
        <v>0</v>
      </c>
      <c r="M282" s="64" t="s">
        <v>532</v>
      </c>
      <c r="N282" s="123">
        <v>64184.82</v>
      </c>
    </row>
    <row r="283" spans="1:14" hidden="1" x14ac:dyDescent="0.3">
      <c r="A283">
        <v>231</v>
      </c>
      <c r="B283" t="str">
        <v>MAS AGRO CENTRO SAS</v>
      </c>
      <c r="C283" s="6">
        <v>5487197.46</v>
      </c>
      <c r="D283" s="6">
        <v>0.76</v>
      </c>
      <c r="E283" t="str">
        <v>Pesos</v>
      </c>
      <c r="F283" t="str">
        <v xml:space="preserve"> $</v>
      </c>
      <c r="G283" t="str">
        <f>IFERROR(VLOOKUP(A283,'Clientes CBOT'!B:E,4,0),B283)</f>
        <v>MAS AGRO CENTRO SAS</v>
      </c>
      <c r="H283" t="str">
        <f t="shared" si="12"/>
        <v>Ars</v>
      </c>
      <c r="I283" s="6">
        <f t="shared" si="13"/>
        <v>5487197.46</v>
      </c>
      <c r="J283">
        <f t="shared" si="14"/>
        <v>0.76</v>
      </c>
      <c r="M283" s="64" t="s">
        <v>533</v>
      </c>
      <c r="N283" s="123">
        <v>-758.24</v>
      </c>
    </row>
    <row r="284" spans="1:14" hidden="1" x14ac:dyDescent="0.3">
      <c r="A284">
        <v>210</v>
      </c>
      <c r="B284" t="str">
        <v>GUAYACAN DE ANTA SA</v>
      </c>
      <c r="C284" s="6">
        <v>0</v>
      </c>
      <c r="D284" s="6">
        <v>0</v>
      </c>
      <c r="E284" t="str">
        <v>Pesos</v>
      </c>
      <c r="F284" t="str">
        <v xml:space="preserve"> $</v>
      </c>
      <c r="G284" t="str">
        <f>IFERROR(VLOOKUP(A284,'Clientes CBOT'!B:E,4,0),B284)</f>
        <v>GUAYACAN DE ANTA SA</v>
      </c>
      <c r="H284" t="str">
        <f t="shared" si="12"/>
        <v>Ars</v>
      </c>
      <c r="I284" s="6">
        <f t="shared" si="13"/>
        <v>0</v>
      </c>
      <c r="J284">
        <f t="shared" si="14"/>
        <v>0</v>
      </c>
      <c r="M284" s="64" t="s">
        <v>534</v>
      </c>
      <c r="N284" s="123">
        <v>0</v>
      </c>
    </row>
    <row r="285" spans="1:14" hidden="1" x14ac:dyDescent="0.3">
      <c r="A285">
        <v>213</v>
      </c>
      <c r="B285" t="str">
        <v>MAGNANO PABLO FABIAN</v>
      </c>
      <c r="C285" s="6">
        <v>0</v>
      </c>
      <c r="D285" s="6">
        <v>0</v>
      </c>
      <c r="E285" t="str">
        <v>Pesos</v>
      </c>
      <c r="F285" t="str">
        <v xml:space="preserve"> $</v>
      </c>
      <c r="G285" t="str">
        <f>IFERROR(VLOOKUP(A285,'Clientes CBOT'!B:E,4,0),B285)</f>
        <v>MAGNANO PABLO FABIAN</v>
      </c>
      <c r="H285" t="str">
        <f t="shared" si="12"/>
        <v>Ars</v>
      </c>
      <c r="I285" s="6">
        <f t="shared" si="13"/>
        <v>0</v>
      </c>
      <c r="J285">
        <f t="shared" si="14"/>
        <v>0</v>
      </c>
      <c r="M285" s="64" t="s">
        <v>513</v>
      </c>
      <c r="N285" s="123">
        <v>6.87</v>
      </c>
    </row>
    <row r="286" spans="1:14" hidden="1" x14ac:dyDescent="0.3">
      <c r="A286">
        <v>200</v>
      </c>
      <c r="B286" t="str">
        <v>FLOOD ANDRES</v>
      </c>
      <c r="C286" s="6">
        <v>0</v>
      </c>
      <c r="D286" s="6">
        <v>0.03</v>
      </c>
      <c r="E286" t="str">
        <v>Pesos</v>
      </c>
      <c r="F286" t="str">
        <v xml:space="preserve"> $</v>
      </c>
      <c r="G286" t="str">
        <f>IFERROR(VLOOKUP(A286,'Clientes CBOT'!B:E,4,0),B286)</f>
        <v>FLOOD ANDRES</v>
      </c>
      <c r="H286" t="str">
        <f t="shared" si="12"/>
        <v>Ars</v>
      </c>
      <c r="I286" s="6">
        <f t="shared" si="13"/>
        <v>0</v>
      </c>
      <c r="J286">
        <f t="shared" si="14"/>
        <v>0.03</v>
      </c>
      <c r="M286" s="64" t="s">
        <v>536</v>
      </c>
      <c r="N286" s="123">
        <v>-1651560</v>
      </c>
    </row>
    <row r="287" spans="1:14" hidden="1" x14ac:dyDescent="0.3">
      <c r="A287">
        <v>417</v>
      </c>
      <c r="B287" t="str">
        <v>TAY MARIA TERESA</v>
      </c>
      <c r="C287" s="6">
        <v>-45.84</v>
      </c>
      <c r="D287" s="6">
        <v>-0.01</v>
      </c>
      <c r="E287" t="str">
        <v>Pesos</v>
      </c>
      <c r="F287" t="str">
        <v xml:space="preserve"> $</v>
      </c>
      <c r="G287" t="str">
        <f>IFERROR(VLOOKUP(A287,'Clientes CBOT'!B:E,4,0),B287)</f>
        <v>TAY MARIA TERESA</v>
      </c>
      <c r="H287" t="str">
        <f t="shared" si="12"/>
        <v>Ars</v>
      </c>
      <c r="I287" s="6">
        <f t="shared" si="13"/>
        <v>-45.84</v>
      </c>
      <c r="J287">
        <f t="shared" si="14"/>
        <v>-0.01</v>
      </c>
      <c r="M287" s="64" t="s">
        <v>537</v>
      </c>
      <c r="N287" s="123">
        <v>-7000000</v>
      </c>
    </row>
    <row r="288" spans="1:14" hidden="1" x14ac:dyDescent="0.3">
      <c r="A288">
        <v>417</v>
      </c>
      <c r="B288" t="str">
        <v>TAY MARIA TERESA</v>
      </c>
      <c r="C288" s="6">
        <v>8.8800000000000008</v>
      </c>
      <c r="D288" s="6">
        <v>0</v>
      </c>
      <c r="E288" t="str">
        <v xml:space="preserve">Dólar </v>
      </c>
      <c r="F288" t="str">
        <v xml:space="preserve"> U$S</v>
      </c>
      <c r="G288" t="str">
        <f>IFERROR(VLOOKUP(A288,'Clientes CBOT'!B:E,4,0),B288)</f>
        <v>TAY MARIA TERESA</v>
      </c>
      <c r="H288" t="str">
        <f t="shared" si="12"/>
        <v>Dólar</v>
      </c>
      <c r="I288" s="6">
        <f t="shared" si="13"/>
        <v>8.8800000000000008</v>
      </c>
      <c r="J288">
        <f t="shared" si="14"/>
        <v>0</v>
      </c>
      <c r="M288" s="64" t="s">
        <v>538</v>
      </c>
      <c r="N288" s="123">
        <v>-1306.4000000000001</v>
      </c>
    </row>
    <row r="289" spans="1:14" hidden="1" x14ac:dyDescent="0.3">
      <c r="A289">
        <v>200</v>
      </c>
      <c r="B289" t="str">
        <v>FLOOD ANDRES</v>
      </c>
      <c r="C289" s="6">
        <v>0</v>
      </c>
      <c r="D289" s="6">
        <v>0</v>
      </c>
      <c r="E289" t="str">
        <v xml:space="preserve">Dólar </v>
      </c>
      <c r="F289" t="str">
        <v xml:space="preserve"> U$S</v>
      </c>
      <c r="G289" t="str">
        <f>IFERROR(VLOOKUP(A289,'Clientes CBOT'!B:E,4,0),B289)</f>
        <v>FLOOD ANDRES</v>
      </c>
      <c r="H289" t="str">
        <f t="shared" si="12"/>
        <v>Dólar</v>
      </c>
      <c r="I289" s="6">
        <f t="shared" si="13"/>
        <v>0</v>
      </c>
      <c r="J289">
        <f t="shared" si="14"/>
        <v>0</v>
      </c>
      <c r="M289" s="64" t="s">
        <v>539</v>
      </c>
      <c r="N289" s="123">
        <v>0.84</v>
      </c>
    </row>
    <row r="290" spans="1:14" hidden="1" x14ac:dyDescent="0.3">
      <c r="A290">
        <v>210</v>
      </c>
      <c r="B290" t="str">
        <v>GUAYACAN DE ANTA SA</v>
      </c>
      <c r="C290" s="6">
        <v>0</v>
      </c>
      <c r="D290" s="6">
        <v>0</v>
      </c>
      <c r="E290" t="str">
        <v xml:space="preserve">Dólar </v>
      </c>
      <c r="F290" t="str">
        <v xml:space="preserve"> U$S</v>
      </c>
      <c r="G290" t="str">
        <f>IFERROR(VLOOKUP(A290,'Clientes CBOT'!B:E,4,0),B290)</f>
        <v>GUAYACAN DE ANTA SA</v>
      </c>
      <c r="H290" t="str">
        <f t="shared" si="12"/>
        <v>Dólar</v>
      </c>
      <c r="I290" s="6">
        <f t="shared" si="13"/>
        <v>0</v>
      </c>
      <c r="J290">
        <f t="shared" si="14"/>
        <v>0</v>
      </c>
      <c r="M290" s="64" t="s">
        <v>540</v>
      </c>
      <c r="N290" s="123">
        <v>5487197.46</v>
      </c>
    </row>
    <row r="291" spans="1:14" hidden="1" x14ac:dyDescent="0.3">
      <c r="A291">
        <v>221</v>
      </c>
      <c r="B291" t="str">
        <v>MIOTTI LORENA ALEJANDRA</v>
      </c>
      <c r="C291" s="6">
        <v>0</v>
      </c>
      <c r="D291" s="6">
        <v>0</v>
      </c>
      <c r="E291" t="str">
        <v xml:space="preserve">Dólar </v>
      </c>
      <c r="F291" t="str">
        <v xml:space="preserve"> U$S</v>
      </c>
      <c r="G291" t="str">
        <f>IFERROR(VLOOKUP(A291,'Clientes CBOT'!B:E,4,0),B291)</f>
        <v>MIOTTI LORENA ALEJANDRA</v>
      </c>
      <c r="H291" t="str">
        <f t="shared" si="12"/>
        <v>Dólar</v>
      </c>
      <c r="I291" s="6">
        <f t="shared" si="13"/>
        <v>0</v>
      </c>
      <c r="J291">
        <f t="shared" si="14"/>
        <v>0</v>
      </c>
      <c r="M291" s="64" t="s">
        <v>541</v>
      </c>
      <c r="N291" s="123">
        <v>-67172164.640000001</v>
      </c>
    </row>
    <row r="292" spans="1:14" hidden="1" x14ac:dyDescent="0.3">
      <c r="A292">
        <v>6040</v>
      </c>
      <c r="B292" t="str">
        <v>S.V.T. EMPRENDIMIENTOS S.A.</v>
      </c>
      <c r="C292" s="6">
        <v>1.86</v>
      </c>
      <c r="D292" s="6">
        <v>0</v>
      </c>
      <c r="E292" t="str">
        <v xml:space="preserve">Dólar </v>
      </c>
      <c r="F292" t="str">
        <v xml:space="preserve"> U$S</v>
      </c>
      <c r="G292" t="str">
        <f>IFERROR(VLOOKUP(A292,'Clientes CBOT'!B:E,4,0),B292)</f>
        <v>S.V.T. EMPRENDIMIENTOS S.A.</v>
      </c>
      <c r="H292" t="str">
        <f t="shared" si="12"/>
        <v>Dólar</v>
      </c>
      <c r="I292" s="6">
        <f t="shared" si="13"/>
        <v>1.86</v>
      </c>
      <c r="J292">
        <f t="shared" si="14"/>
        <v>0</v>
      </c>
      <c r="M292" s="64" t="s">
        <v>334</v>
      </c>
      <c r="N292" s="123">
        <v>81698.05</v>
      </c>
    </row>
    <row r="293" spans="1:14" hidden="1" x14ac:dyDescent="0.3">
      <c r="A293">
        <v>325</v>
      </c>
      <c r="B293" t="str">
        <v>EL TATA S.R.L</v>
      </c>
      <c r="C293" s="6">
        <v>-0.01</v>
      </c>
      <c r="D293" s="6">
        <v>0</v>
      </c>
      <c r="E293" t="str">
        <v xml:space="preserve">Dólar </v>
      </c>
      <c r="F293" t="str">
        <v xml:space="preserve"> U$S</v>
      </c>
      <c r="G293" t="str">
        <f>IFERROR(VLOOKUP(A293,'Clientes CBOT'!B:E,4,0),B293)</f>
        <v>EL TATA S.R.L</v>
      </c>
      <c r="H293" t="str">
        <f t="shared" si="12"/>
        <v>Dólar</v>
      </c>
      <c r="I293" s="6">
        <f t="shared" si="13"/>
        <v>-0.01</v>
      </c>
      <c r="J293">
        <f t="shared" si="14"/>
        <v>0</v>
      </c>
      <c r="M293" s="64" t="s">
        <v>542</v>
      </c>
      <c r="N293" s="123">
        <v>0</v>
      </c>
    </row>
    <row r="294" spans="1:14" hidden="1" x14ac:dyDescent="0.3">
      <c r="A294">
        <v>266</v>
      </c>
      <c r="B294" t="str">
        <v>AGRO COLIBRI SRL</v>
      </c>
      <c r="C294" s="6">
        <v>0</v>
      </c>
      <c r="D294" s="6">
        <v>0</v>
      </c>
      <c r="E294" t="str">
        <v xml:space="preserve">Dólar </v>
      </c>
      <c r="F294" t="str">
        <v xml:space="preserve"> U$S</v>
      </c>
      <c r="G294" t="str">
        <f>IFERROR(VLOOKUP(A294,'Clientes CBOT'!B:E,4,0),B294)</f>
        <v>AGRO COLIBRI SRL</v>
      </c>
      <c r="H294" t="str">
        <f t="shared" si="12"/>
        <v>Dólar</v>
      </c>
      <c r="I294" s="6">
        <f t="shared" si="13"/>
        <v>0</v>
      </c>
      <c r="J294">
        <f t="shared" si="14"/>
        <v>0</v>
      </c>
      <c r="M294" s="64" t="s">
        <v>543</v>
      </c>
      <c r="N294" s="123">
        <v>0</v>
      </c>
    </row>
    <row r="295" spans="1:14" hidden="1" x14ac:dyDescent="0.3">
      <c r="A295">
        <v>402</v>
      </c>
      <c r="B295" t="str">
        <v>ROMERO OSCAR GUSTAVO</v>
      </c>
      <c r="C295" s="6">
        <v>0</v>
      </c>
      <c r="D295" s="6">
        <v>0</v>
      </c>
      <c r="E295" t="str">
        <v xml:space="preserve">Dólar </v>
      </c>
      <c r="F295" t="str">
        <v xml:space="preserve"> U$S</v>
      </c>
      <c r="G295" t="str">
        <f>IFERROR(VLOOKUP(A295,'Clientes CBOT'!B:E,4,0),B295)</f>
        <v>ROMERO OSCAR GUSTAVO</v>
      </c>
      <c r="H295" t="str">
        <f t="shared" si="12"/>
        <v>Dólar</v>
      </c>
      <c r="I295" s="6">
        <f t="shared" si="13"/>
        <v>0</v>
      </c>
      <c r="J295">
        <f t="shared" si="14"/>
        <v>0</v>
      </c>
      <c r="M295" s="64" t="s">
        <v>544</v>
      </c>
      <c r="N295" s="123">
        <v>-4999989.42</v>
      </c>
    </row>
    <row r="296" spans="1:14" x14ac:dyDescent="0.3">
      <c r="A296">
        <v>414</v>
      </c>
      <c r="B296" t="str">
        <v>HAYKE SA</v>
      </c>
      <c r="C296" s="6">
        <v>0</v>
      </c>
      <c r="D296" s="6">
        <v>0</v>
      </c>
      <c r="E296" t="str">
        <v xml:space="preserve">Dólar </v>
      </c>
      <c r="F296" t="str">
        <v xml:space="preserve"> U$S</v>
      </c>
      <c r="G296" t="str">
        <f>IFERROR(VLOOKUP(A296,'Clientes CBOT'!B:E,4,0),B296)</f>
        <v>HAYKE SA</v>
      </c>
      <c r="H296" t="str">
        <f t="shared" si="12"/>
        <v>Dólar</v>
      </c>
      <c r="I296" s="6">
        <f t="shared" si="13"/>
        <v>0</v>
      </c>
      <c r="J296">
        <f t="shared" si="14"/>
        <v>0</v>
      </c>
      <c r="M296" s="64" t="s">
        <v>339</v>
      </c>
      <c r="N296" s="123">
        <v>58.980000000000004</v>
      </c>
    </row>
    <row r="297" spans="1:14" x14ac:dyDescent="0.3">
      <c r="A297">
        <v>406</v>
      </c>
      <c r="B297" t="str">
        <v>GRASSINO JUAN CARLOS</v>
      </c>
      <c r="C297" s="6">
        <v>0</v>
      </c>
      <c r="D297" s="6">
        <v>0</v>
      </c>
      <c r="E297" t="str">
        <v xml:space="preserve">Dólar </v>
      </c>
      <c r="F297" t="str">
        <v xml:space="preserve"> U$S</v>
      </c>
      <c r="G297" t="str">
        <f>IFERROR(VLOOKUP(A297,'Clientes CBOT'!B:E,4,0),B297)</f>
        <v>GRASSINO JUAN CARLOS</v>
      </c>
      <c r="H297" t="str">
        <f t="shared" si="12"/>
        <v>Dólar</v>
      </c>
      <c r="I297" s="6">
        <f t="shared" si="13"/>
        <v>0</v>
      </c>
      <c r="J297">
        <f t="shared" si="14"/>
        <v>0</v>
      </c>
      <c r="M297" s="64" t="s">
        <v>546</v>
      </c>
      <c r="N297" s="123">
        <v>-607938476.42999995</v>
      </c>
    </row>
    <row r="298" spans="1:14" x14ac:dyDescent="0.3">
      <c r="A298">
        <v>354</v>
      </c>
      <c r="B298" t="str">
        <v>ESTANCIAS DEL TOTORAL SA</v>
      </c>
      <c r="C298" s="6">
        <v>0</v>
      </c>
      <c r="D298" s="6">
        <v>0</v>
      </c>
      <c r="E298" t="str">
        <v xml:space="preserve">Dólar </v>
      </c>
      <c r="F298" t="str">
        <v xml:space="preserve"> U$S</v>
      </c>
      <c r="G298" t="str">
        <f>IFERROR(VLOOKUP(A298,'Clientes CBOT'!B:E,4,0),B298)</f>
        <v>ESTANCIAS DEL TOTORAL SA</v>
      </c>
      <c r="H298" t="str">
        <f t="shared" si="12"/>
        <v>Dólar</v>
      </c>
      <c r="I298" s="6">
        <f t="shared" si="13"/>
        <v>0</v>
      </c>
      <c r="J298">
        <f t="shared" si="14"/>
        <v>0</v>
      </c>
      <c r="M298" s="64" t="s">
        <v>548</v>
      </c>
      <c r="N298" s="123">
        <v>0</v>
      </c>
    </row>
    <row r="299" spans="1:14" x14ac:dyDescent="0.3">
      <c r="A299">
        <v>41</v>
      </c>
      <c r="B299" t="str">
        <v>GIACUZZI MARTIN GABRIEL</v>
      </c>
      <c r="C299" s="6">
        <v>0</v>
      </c>
      <c r="D299" s="6">
        <v>0</v>
      </c>
      <c r="E299" t="str">
        <v xml:space="preserve">Dólar </v>
      </c>
      <c r="F299" t="str">
        <v xml:space="preserve"> U$S</v>
      </c>
      <c r="G299" t="str">
        <f>IFERROR(VLOOKUP(A299,'Clientes CBOT'!B:E,4,0),B299)</f>
        <v>GIACUZZI MARTIN GABRIEL</v>
      </c>
      <c r="H299" t="str">
        <f t="shared" si="12"/>
        <v>Dólar</v>
      </c>
      <c r="I299" s="6">
        <f t="shared" si="13"/>
        <v>0</v>
      </c>
      <c r="J299">
        <f t="shared" si="14"/>
        <v>0</v>
      </c>
      <c r="M299" s="64" t="s">
        <v>549</v>
      </c>
      <c r="N299" s="123">
        <v>2463.3000000000002</v>
      </c>
    </row>
    <row r="300" spans="1:14" hidden="1" x14ac:dyDescent="0.3">
      <c r="A300">
        <v>23</v>
      </c>
      <c r="B300" t="str">
        <v>DOMINGUEZ JORGE MARCELO</v>
      </c>
      <c r="C300" s="6">
        <v>0</v>
      </c>
      <c r="D300" s="6">
        <v>0</v>
      </c>
      <c r="E300" t="str">
        <v xml:space="preserve">Dólar </v>
      </c>
      <c r="F300" t="str">
        <v xml:space="preserve"> U$S</v>
      </c>
      <c r="G300" t="str">
        <f>IFERROR(VLOOKUP(A300,'Clientes CBOT'!B:E,4,0),B300)</f>
        <v>DOMINGUEZ JORGE MARCELO</v>
      </c>
      <c r="H300" t="str">
        <f t="shared" si="12"/>
        <v>Dólar</v>
      </c>
      <c r="I300" s="6">
        <f t="shared" si="13"/>
        <v>0</v>
      </c>
      <c r="J300">
        <f t="shared" si="14"/>
        <v>0</v>
      </c>
      <c r="M300" s="64" t="s">
        <v>530</v>
      </c>
      <c r="N300" s="123">
        <v>-1651.09</v>
      </c>
    </row>
    <row r="301" spans="1:14" hidden="1" x14ac:dyDescent="0.3">
      <c r="A301">
        <v>171</v>
      </c>
      <c r="B301" t="str">
        <v>AGROMIX SA</v>
      </c>
      <c r="C301" s="6">
        <v>0</v>
      </c>
      <c r="D301" s="6">
        <v>0</v>
      </c>
      <c r="E301" t="str">
        <v xml:space="preserve">Dólar </v>
      </c>
      <c r="F301" t="str">
        <v xml:space="preserve"> U$S</v>
      </c>
      <c r="G301" t="str">
        <f>IFERROR(VLOOKUP(A301,'Clientes CBOT'!B:E,4,0),B301)</f>
        <v>AGROMIX SA</v>
      </c>
      <c r="H301" t="str">
        <f t="shared" si="12"/>
        <v>Dólar</v>
      </c>
      <c r="I301" s="6">
        <f t="shared" si="13"/>
        <v>0</v>
      </c>
      <c r="J301">
        <f t="shared" si="14"/>
        <v>0</v>
      </c>
      <c r="M301" s="64" t="s">
        <v>550</v>
      </c>
      <c r="N301" s="123">
        <v>0</v>
      </c>
    </row>
    <row r="302" spans="1:14" hidden="1" x14ac:dyDescent="0.3">
      <c r="A302">
        <v>165</v>
      </c>
      <c r="B302" t="str">
        <v>SARTORI ALBERTO FRANCISCO</v>
      </c>
      <c r="C302" s="6">
        <v>0</v>
      </c>
      <c r="D302" s="6">
        <v>0</v>
      </c>
      <c r="E302" t="str">
        <v xml:space="preserve">Dólar </v>
      </c>
      <c r="F302" t="str">
        <v xml:space="preserve"> U$S</v>
      </c>
      <c r="G302" t="str">
        <f>IFERROR(VLOOKUP(A302,'Clientes CBOT'!B:E,4,0),B302)</f>
        <v>SARTORI ALBERTO FRANCISCO</v>
      </c>
      <c r="H302" t="str">
        <f t="shared" si="12"/>
        <v>Dólar</v>
      </c>
      <c r="I302" s="6">
        <f t="shared" si="13"/>
        <v>0</v>
      </c>
      <c r="J302">
        <f t="shared" si="14"/>
        <v>0</v>
      </c>
      <c r="M302" s="64" t="s">
        <v>551</v>
      </c>
      <c r="N302" s="123">
        <v>0</v>
      </c>
    </row>
    <row r="303" spans="1:14" hidden="1" x14ac:dyDescent="0.3">
      <c r="A303">
        <v>159</v>
      </c>
      <c r="B303" t="str">
        <v>MIRU AGROPECUARIA SRL</v>
      </c>
      <c r="C303" s="6">
        <v>0</v>
      </c>
      <c r="D303" s="6">
        <v>0</v>
      </c>
      <c r="E303" t="str">
        <v xml:space="preserve">Dólar </v>
      </c>
      <c r="F303" t="str">
        <v xml:space="preserve"> U$S</v>
      </c>
      <c r="G303" t="str">
        <f>IFERROR(VLOOKUP(A303,'Clientes CBOT'!B:E,4,0),B303)</f>
        <v>MIRU AGROPECUARIA SRL</v>
      </c>
      <c r="H303" t="str">
        <f t="shared" si="12"/>
        <v>Dólar</v>
      </c>
      <c r="I303" s="6">
        <f t="shared" si="13"/>
        <v>0</v>
      </c>
      <c r="J303">
        <f t="shared" si="14"/>
        <v>0</v>
      </c>
      <c r="M303" s="64" t="s">
        <v>552</v>
      </c>
      <c r="N303" s="123">
        <v>2933.42</v>
      </c>
    </row>
    <row r="304" spans="1:14" hidden="1" x14ac:dyDescent="0.3">
      <c r="A304">
        <v>512</v>
      </c>
      <c r="B304" t="str">
        <v>ARGEO SRL</v>
      </c>
      <c r="C304" s="6">
        <v>0</v>
      </c>
      <c r="D304" s="6">
        <v>0</v>
      </c>
      <c r="E304" t="str">
        <v xml:space="preserve">Dólar </v>
      </c>
      <c r="F304" t="str">
        <v xml:space="preserve"> U$S</v>
      </c>
      <c r="G304" t="str">
        <f>IFERROR(VLOOKUP(A304,'Clientes CBOT'!B:E,4,0),B304)</f>
        <v>ARGEO SRL</v>
      </c>
      <c r="H304" t="str">
        <f t="shared" si="12"/>
        <v>Dólar</v>
      </c>
      <c r="I304" s="6">
        <f t="shared" si="13"/>
        <v>0</v>
      </c>
      <c r="J304">
        <f t="shared" si="14"/>
        <v>0</v>
      </c>
      <c r="M304" s="64" t="s">
        <v>425</v>
      </c>
      <c r="N304" s="123">
        <v>98869106.590000004</v>
      </c>
    </row>
    <row r="305" spans="1:14" hidden="1" x14ac:dyDescent="0.3">
      <c r="A305">
        <v>105</v>
      </c>
      <c r="B305" t="str">
        <v>TRES ESTRELLAS SA</v>
      </c>
      <c r="C305" s="6">
        <v>0</v>
      </c>
      <c r="D305" s="6">
        <v>0</v>
      </c>
      <c r="E305" t="str">
        <v xml:space="preserve">Dólar </v>
      </c>
      <c r="F305" t="str">
        <v xml:space="preserve"> U$S</v>
      </c>
      <c r="G305" t="str">
        <f>IFERROR(VLOOKUP(A305,'Clientes CBOT'!B:E,4,0),B305)</f>
        <v>TRES ESTRELLAS SA</v>
      </c>
      <c r="H305" t="str">
        <f t="shared" si="12"/>
        <v>Dólar</v>
      </c>
      <c r="I305" s="6">
        <f t="shared" si="13"/>
        <v>0</v>
      </c>
      <c r="J305">
        <f t="shared" si="14"/>
        <v>0</v>
      </c>
      <c r="M305" s="64" t="s">
        <v>553</v>
      </c>
      <c r="N305" s="123">
        <v>-0.16</v>
      </c>
    </row>
    <row r="306" spans="1:14" hidden="1" x14ac:dyDescent="0.3">
      <c r="A306">
        <v>77</v>
      </c>
      <c r="B306" t="str">
        <v>Ninci Aguero S.A.</v>
      </c>
      <c r="C306" s="6">
        <v>0</v>
      </c>
      <c r="D306" s="6">
        <v>0</v>
      </c>
      <c r="E306" t="str">
        <v xml:space="preserve">Dólar </v>
      </c>
      <c r="F306" t="str">
        <v xml:space="preserve"> U$S</v>
      </c>
      <c r="G306" t="str">
        <f>IFERROR(VLOOKUP(A306,'Clientes CBOT'!B:E,4,0),B306)</f>
        <v>Ninci Aguero S.A.</v>
      </c>
      <c r="H306" t="str">
        <f t="shared" si="12"/>
        <v>Dólar</v>
      </c>
      <c r="I306" s="6">
        <f t="shared" si="13"/>
        <v>0</v>
      </c>
      <c r="J306">
        <f t="shared" si="14"/>
        <v>0</v>
      </c>
      <c r="M306" s="64" t="s">
        <v>554</v>
      </c>
      <c r="N306" s="123">
        <v>0</v>
      </c>
    </row>
    <row r="307" spans="1:14" hidden="1" x14ac:dyDescent="0.3">
      <c r="A307">
        <v>23</v>
      </c>
      <c r="B307" t="str">
        <v>DOMINGUEZ JORGE MARCELO</v>
      </c>
      <c r="C307" s="6">
        <v>0.01</v>
      </c>
      <c r="D307" s="6">
        <v>0</v>
      </c>
      <c r="E307" t="str">
        <v>Dólar Cable</v>
      </c>
      <c r="F307" t="str">
        <v xml:space="preserve"> U$S TT</v>
      </c>
      <c r="G307" t="str">
        <f>IFERROR(VLOOKUP(A307,'Clientes CBOT'!B:E,4,0),B307)</f>
        <v>DOMINGUEZ JORGE MARCELO</v>
      </c>
      <c r="H307" t="str">
        <f t="shared" si="12"/>
        <v>Hard</v>
      </c>
      <c r="I307" s="6">
        <f t="shared" si="13"/>
        <v>0.01</v>
      </c>
      <c r="J307">
        <f t="shared" si="14"/>
        <v>0</v>
      </c>
      <c r="M307" s="64" t="s">
        <v>555</v>
      </c>
      <c r="N307" s="123">
        <v>0</v>
      </c>
    </row>
    <row r="308" spans="1:14" hidden="1" x14ac:dyDescent="0.3">
      <c r="A308">
        <v>41</v>
      </c>
      <c r="B308" t="str">
        <v>GIACUZZI MARTIN GABRIEL</v>
      </c>
      <c r="C308" s="6">
        <v>2.6</v>
      </c>
      <c r="D308" s="6">
        <v>0</v>
      </c>
      <c r="E308" t="str">
        <v>Dólar Cable</v>
      </c>
      <c r="F308" t="str">
        <v xml:space="preserve"> U$S TT</v>
      </c>
      <c r="G308" t="str">
        <f>IFERROR(VLOOKUP(A308,'Clientes CBOT'!B:E,4,0),B308)</f>
        <v>GIACUZZI MARTIN GABRIEL</v>
      </c>
      <c r="H308" t="str">
        <f t="shared" si="12"/>
        <v>Hard</v>
      </c>
      <c r="I308" s="6">
        <f t="shared" si="13"/>
        <v>2.6</v>
      </c>
      <c r="J308">
        <f t="shared" si="14"/>
        <v>0</v>
      </c>
      <c r="M308" s="64" t="s">
        <v>556</v>
      </c>
      <c r="N308" s="123">
        <v>16519.03</v>
      </c>
    </row>
    <row r="309" spans="1:14" hidden="1" x14ac:dyDescent="0.3">
      <c r="A309">
        <v>213</v>
      </c>
      <c r="B309" t="str">
        <v>MAGNANO PABLO FABIAN</v>
      </c>
      <c r="C309" s="6">
        <v>0</v>
      </c>
      <c r="D309" s="6">
        <v>0</v>
      </c>
      <c r="E309" t="str">
        <v>Dólar Cable</v>
      </c>
      <c r="F309" t="str">
        <v xml:space="preserve"> U$S TT</v>
      </c>
      <c r="G309" t="str">
        <f>IFERROR(VLOOKUP(A309,'Clientes CBOT'!B:E,4,0),B309)</f>
        <v>MAGNANO PABLO FABIAN</v>
      </c>
      <c r="H309" t="str">
        <f t="shared" si="12"/>
        <v>Hard</v>
      </c>
      <c r="I309" s="6">
        <f t="shared" si="13"/>
        <v>0</v>
      </c>
      <c r="J309">
        <f t="shared" si="14"/>
        <v>0</v>
      </c>
      <c r="M309" s="64" t="s">
        <v>499</v>
      </c>
      <c r="N309" s="123">
        <v>0</v>
      </c>
    </row>
    <row r="310" spans="1:14" hidden="1" x14ac:dyDescent="0.3">
      <c r="A310">
        <v>417</v>
      </c>
      <c r="B310" t="str">
        <v>TAY MARIA TERESA</v>
      </c>
      <c r="C310" s="6">
        <v>0.39</v>
      </c>
      <c r="D310" s="6">
        <v>0</v>
      </c>
      <c r="E310" t="str">
        <v>Dólar Cable</v>
      </c>
      <c r="F310" t="str">
        <v xml:space="preserve"> U$S TT</v>
      </c>
      <c r="G310" t="str">
        <f>IFERROR(VLOOKUP(A310,'Clientes CBOT'!B:E,4,0),B310)</f>
        <v>TAY MARIA TERESA</v>
      </c>
      <c r="H310" t="str">
        <f t="shared" si="12"/>
        <v>Hard</v>
      </c>
      <c r="I310" s="6">
        <f t="shared" si="13"/>
        <v>0.39</v>
      </c>
      <c r="J310">
        <f t="shared" si="14"/>
        <v>0</v>
      </c>
      <c r="M310" s="64" t="s">
        <v>557</v>
      </c>
      <c r="N310" s="123">
        <v>-3470.7599999999998</v>
      </c>
    </row>
    <row r="311" spans="1:14" hidden="1" x14ac:dyDescent="0.3">
      <c r="A311">
        <v>213</v>
      </c>
      <c r="B311" t="str">
        <v>MAGNANO PABLO FABIAN</v>
      </c>
      <c r="C311" s="6">
        <v>0</v>
      </c>
      <c r="D311" s="6">
        <v>0</v>
      </c>
      <c r="E311" t="str">
        <v>Dólar Matba Rofex</v>
      </c>
      <c r="F311" t="str">
        <v xml:space="preserve"> U$S MR</v>
      </c>
      <c r="G311" t="str">
        <f>IFERROR(VLOOKUP(A311,'Clientes CBOT'!B:E,4,0),B311)</f>
        <v>MAGNANO PABLO FABIAN</v>
      </c>
      <c r="H311" t="str">
        <f t="shared" si="12"/>
        <v>usd linked</v>
      </c>
      <c r="I311" s="6">
        <f t="shared" si="13"/>
        <v>0</v>
      </c>
      <c r="J311">
        <f t="shared" si="14"/>
        <v>0</v>
      </c>
      <c r="M311" s="64" t="s">
        <v>558</v>
      </c>
      <c r="N311" s="123">
        <v>-0.2</v>
      </c>
    </row>
    <row r="312" spans="1:14" hidden="1" x14ac:dyDescent="0.3">
      <c r="A312">
        <v>210</v>
      </c>
      <c r="B312" t="str">
        <v>GUAYACAN DE ANTA SA</v>
      </c>
      <c r="C312" s="6">
        <v>0</v>
      </c>
      <c r="D312" s="6">
        <v>0</v>
      </c>
      <c r="E312" t="str">
        <v>Dólar Matba Rofex</v>
      </c>
      <c r="F312" t="str">
        <v xml:space="preserve"> U$S MR</v>
      </c>
      <c r="G312" t="str">
        <f>IFERROR(VLOOKUP(A312,'Clientes CBOT'!B:E,4,0),B312)</f>
        <v>GUAYACAN DE ANTA SA</v>
      </c>
      <c r="H312" t="str">
        <f t="shared" si="12"/>
        <v>usd linked</v>
      </c>
      <c r="I312" s="6">
        <f t="shared" si="13"/>
        <v>0</v>
      </c>
      <c r="J312">
        <f t="shared" si="14"/>
        <v>0</v>
      </c>
      <c r="M312" s="64" t="s">
        <v>392</v>
      </c>
      <c r="N312" s="123">
        <v>1723.07</v>
      </c>
    </row>
    <row r="313" spans="1:14" hidden="1" x14ac:dyDescent="0.3">
      <c r="A313">
        <v>231</v>
      </c>
      <c r="B313" t="str">
        <v>MAS AGRO CENTRO SAS</v>
      </c>
      <c r="C313" s="6">
        <v>0</v>
      </c>
      <c r="D313" s="6">
        <v>0</v>
      </c>
      <c r="E313" t="str">
        <v>Dólar Matba Rofex</v>
      </c>
      <c r="F313" t="str">
        <v xml:space="preserve"> U$S MR</v>
      </c>
      <c r="G313" t="str">
        <f>IFERROR(VLOOKUP(A313,'Clientes CBOT'!B:E,4,0),B313)</f>
        <v>MAS AGRO CENTRO SAS</v>
      </c>
      <c r="H313" t="str">
        <f t="shared" si="12"/>
        <v>usd linked</v>
      </c>
      <c r="I313" s="6">
        <f t="shared" si="13"/>
        <v>0</v>
      </c>
      <c r="J313">
        <f t="shared" si="14"/>
        <v>0</v>
      </c>
      <c r="M313" s="64" t="s">
        <v>125</v>
      </c>
      <c r="N313" s="123">
        <v>2392.9299999999998</v>
      </c>
    </row>
    <row r="314" spans="1:14" hidden="1" x14ac:dyDescent="0.3">
      <c r="A314">
        <v>354</v>
      </c>
      <c r="B314" t="str">
        <v>ESTANCIAS DEL TOTORAL SA</v>
      </c>
      <c r="C314" s="6">
        <v>0</v>
      </c>
      <c r="D314" s="6">
        <v>0</v>
      </c>
      <c r="E314" t="str">
        <v>Dólar Matba Rofex</v>
      </c>
      <c r="F314" t="str">
        <v xml:space="preserve"> U$S MR</v>
      </c>
      <c r="G314" t="str">
        <f>IFERROR(VLOOKUP(A314,'Clientes CBOT'!B:E,4,0),B314)</f>
        <v>ESTANCIAS DEL TOTORAL SA</v>
      </c>
      <c r="H314" t="str">
        <f t="shared" si="12"/>
        <v>usd linked</v>
      </c>
      <c r="I314" s="6">
        <f t="shared" si="13"/>
        <v>0</v>
      </c>
      <c r="J314">
        <f t="shared" si="14"/>
        <v>0</v>
      </c>
      <c r="M314" s="64" t="s">
        <v>559</v>
      </c>
      <c r="N314" s="123">
        <v>-70161.710000000006</v>
      </c>
    </row>
    <row r="315" spans="1:14" hidden="1" x14ac:dyDescent="0.3">
      <c r="A315">
        <v>342</v>
      </c>
      <c r="B315" t="str">
        <v>LABAQUE AGROPECUARIA SA</v>
      </c>
      <c r="C315" s="6">
        <v>0</v>
      </c>
      <c r="D315" s="6">
        <v>0</v>
      </c>
      <c r="E315" t="str">
        <v>Dólar Matba Rofex</v>
      </c>
      <c r="F315" t="str">
        <v xml:space="preserve"> U$S MR</v>
      </c>
      <c r="G315" t="str">
        <f>IFERROR(VLOOKUP(A315,'Clientes CBOT'!B:E,4,0),B315)</f>
        <v>LABAQUE AGROPECUARIA SA</v>
      </c>
      <c r="H315" t="str">
        <f t="shared" si="12"/>
        <v>usd linked</v>
      </c>
      <c r="I315" s="6">
        <f t="shared" si="13"/>
        <v>0</v>
      </c>
      <c r="J315">
        <f t="shared" si="14"/>
        <v>0</v>
      </c>
      <c r="M315" s="64" t="s">
        <v>560</v>
      </c>
      <c r="N315" s="123">
        <v>0</v>
      </c>
    </row>
    <row r="316" spans="1:14" hidden="1" x14ac:dyDescent="0.3">
      <c r="A316">
        <v>41</v>
      </c>
      <c r="B316" t="str">
        <v>GIACUZZI MARTIN GABRIEL</v>
      </c>
      <c r="C316" s="6">
        <v>0</v>
      </c>
      <c r="D316" s="6">
        <v>0</v>
      </c>
      <c r="E316" t="str">
        <v>Dólar Matba Rofex</v>
      </c>
      <c r="F316" t="str">
        <v xml:space="preserve"> U$S MR</v>
      </c>
      <c r="G316" t="str">
        <f>IFERROR(VLOOKUP(A316,'Clientes CBOT'!B:E,4,0),B316)</f>
        <v>GIACUZZI MARTIN GABRIEL</v>
      </c>
      <c r="H316" t="str">
        <f t="shared" si="12"/>
        <v>usd linked</v>
      </c>
      <c r="I316" s="6">
        <f t="shared" si="13"/>
        <v>0</v>
      </c>
      <c r="J316">
        <f t="shared" si="14"/>
        <v>0</v>
      </c>
      <c r="M316" s="64" t="s">
        <v>527</v>
      </c>
      <c r="N316" s="123">
        <v>-15045875.65</v>
      </c>
    </row>
    <row r="317" spans="1:14" hidden="1" x14ac:dyDescent="0.3">
      <c r="A317">
        <v>23</v>
      </c>
      <c r="B317" t="str">
        <v>DOMINGUEZ JORGE MARCELO</v>
      </c>
      <c r="C317" s="6">
        <v>0</v>
      </c>
      <c r="D317" s="6">
        <v>0</v>
      </c>
      <c r="E317" t="str">
        <v>Dólar Matba Rofex</v>
      </c>
      <c r="F317" t="str">
        <v xml:space="preserve"> U$S MR</v>
      </c>
      <c r="G317" t="str">
        <f>IFERROR(VLOOKUP(A317,'Clientes CBOT'!B:E,4,0),B317)</f>
        <v>DOMINGUEZ JORGE MARCELO</v>
      </c>
      <c r="H317" t="str">
        <f t="shared" si="12"/>
        <v>usd linked</v>
      </c>
      <c r="I317" s="6">
        <f t="shared" si="13"/>
        <v>0</v>
      </c>
      <c r="J317">
        <f t="shared" si="14"/>
        <v>0</v>
      </c>
      <c r="M317" s="64" t="s">
        <v>562</v>
      </c>
      <c r="N317" s="123">
        <v>0</v>
      </c>
    </row>
    <row r="318" spans="1:14" x14ac:dyDescent="0.3">
      <c r="A318">
        <v>430</v>
      </c>
      <c r="B318" t="str">
        <v>JERILDERIE SA</v>
      </c>
      <c r="C318" s="6">
        <v>0</v>
      </c>
      <c r="D318" s="6">
        <v>0</v>
      </c>
      <c r="E318" t="str">
        <v>Dólar Matba Rofex</v>
      </c>
      <c r="F318" t="str">
        <v xml:space="preserve"> U$S MR</v>
      </c>
      <c r="G318" t="str">
        <f>IFERROR(VLOOKUP(A318,'Clientes CBOT'!B:E,4,0),B318)</f>
        <v>JERILDERIE SA</v>
      </c>
      <c r="H318" t="str">
        <f t="shared" si="12"/>
        <v>usd linked</v>
      </c>
      <c r="I318" s="6">
        <f t="shared" si="13"/>
        <v>0</v>
      </c>
      <c r="J318">
        <f t="shared" si="14"/>
        <v>0</v>
      </c>
      <c r="M318" s="64" t="s">
        <v>563</v>
      </c>
      <c r="N318" s="123">
        <v>-3783.93</v>
      </c>
    </row>
    <row r="319" spans="1:14" hidden="1" x14ac:dyDescent="0.3">
      <c r="A319">
        <v>77</v>
      </c>
      <c r="B319" t="str">
        <v>Ninci Aguero S.A.</v>
      </c>
      <c r="C319" s="6">
        <v>0</v>
      </c>
      <c r="D319" s="6">
        <v>0</v>
      </c>
      <c r="E319" t="str">
        <v>Dólar Matba Rofex</v>
      </c>
      <c r="F319" t="str">
        <v xml:space="preserve"> U$S MR</v>
      </c>
      <c r="G319" t="str">
        <f>IFERROR(VLOOKUP(A319,'Clientes CBOT'!B:E,4,0),B319)</f>
        <v>Ninci Aguero S.A.</v>
      </c>
      <c r="H319" t="str">
        <f t="shared" si="12"/>
        <v>usd linked</v>
      </c>
      <c r="I319" s="6">
        <f t="shared" si="13"/>
        <v>0</v>
      </c>
      <c r="J319">
        <f t="shared" si="14"/>
        <v>0</v>
      </c>
      <c r="M319" s="64" t="s">
        <v>343</v>
      </c>
      <c r="N319" s="123">
        <v>113217.61</v>
      </c>
    </row>
    <row r="320" spans="1:14" hidden="1" x14ac:dyDescent="0.3">
      <c r="A320">
        <v>512</v>
      </c>
      <c r="B320" t="str">
        <v>ARGEO SRL</v>
      </c>
      <c r="C320" s="6">
        <v>0</v>
      </c>
      <c r="D320" s="6">
        <v>0</v>
      </c>
      <c r="E320" t="str">
        <v>Dólar Matba Rofex</v>
      </c>
      <c r="F320" t="str">
        <v xml:space="preserve"> U$S MR</v>
      </c>
      <c r="G320" t="str">
        <f>IFERROR(VLOOKUP(A320,'Clientes CBOT'!B:E,4,0),B320)</f>
        <v>ARGEO SRL</v>
      </c>
      <c r="H320" t="str">
        <f t="shared" si="12"/>
        <v>usd linked</v>
      </c>
      <c r="I320" s="6">
        <f t="shared" si="13"/>
        <v>0</v>
      </c>
      <c r="J320">
        <f t="shared" si="14"/>
        <v>0</v>
      </c>
      <c r="M320" s="64" t="s">
        <v>564</v>
      </c>
      <c r="N320" s="123">
        <v>2315.31</v>
      </c>
    </row>
    <row r="321" spans="1:14" hidden="1" x14ac:dyDescent="0.3">
      <c r="A321">
        <v>502</v>
      </c>
      <c r="B321" t="str">
        <v>SOLFANELLI Y CRAGNOLINI PABLO GUILLERMO</v>
      </c>
      <c r="C321" s="6">
        <v>0</v>
      </c>
      <c r="D321" s="6">
        <v>0</v>
      </c>
      <c r="E321" t="str">
        <v>Dólar Matba Rofex</v>
      </c>
      <c r="F321" t="str">
        <v xml:space="preserve"> U$S MR</v>
      </c>
      <c r="G321" t="str">
        <f>IFERROR(VLOOKUP(A321,'Clientes CBOT'!B:E,4,0),B321)</f>
        <v>SOLFANELLI Y CRAGNOLINI PABLO GUILLERMO</v>
      </c>
      <c r="H321" t="str">
        <f t="shared" si="12"/>
        <v>usd linked</v>
      </c>
      <c r="I321" s="6">
        <f t="shared" si="13"/>
        <v>0</v>
      </c>
      <c r="J321">
        <f t="shared" si="14"/>
        <v>0</v>
      </c>
      <c r="M321" s="64" t="s">
        <v>565</v>
      </c>
      <c r="N321" s="123">
        <v>0</v>
      </c>
    </row>
    <row r="322" spans="1:14" hidden="1" x14ac:dyDescent="0.3">
      <c r="A322">
        <v>165</v>
      </c>
      <c r="B322" t="str">
        <v>SARTORI ALBERTO FRANCISCO</v>
      </c>
      <c r="C322" s="6">
        <v>0</v>
      </c>
      <c r="D322" s="6">
        <v>0</v>
      </c>
      <c r="E322" t="str">
        <v>Dólar Matba Rofex</v>
      </c>
      <c r="F322" t="str">
        <v xml:space="preserve"> U$S MR</v>
      </c>
      <c r="G322" t="str">
        <f>IFERROR(VLOOKUP(A322,'Clientes CBOT'!B:E,4,0),B322)</f>
        <v>SARTORI ALBERTO FRANCISCO</v>
      </c>
      <c r="H322" t="str">
        <f t="shared" si="12"/>
        <v>usd linked</v>
      </c>
      <c r="I322" s="6">
        <f t="shared" si="13"/>
        <v>0</v>
      </c>
      <c r="J322">
        <f t="shared" si="14"/>
        <v>0</v>
      </c>
      <c r="M322" s="64" t="s">
        <v>566</v>
      </c>
      <c r="N322" s="123">
        <v>0</v>
      </c>
    </row>
    <row r="323" spans="1:14" hidden="1" x14ac:dyDescent="0.3">
      <c r="A323">
        <v>140</v>
      </c>
      <c r="B323" t="str">
        <v>MURATURE ONCATIVO SA</v>
      </c>
      <c r="C323" s="6">
        <v>0</v>
      </c>
      <c r="D323" s="6">
        <v>0.05</v>
      </c>
      <c r="E323" t="str">
        <v>Pesos</v>
      </c>
      <c r="F323" t="str">
        <v xml:space="preserve"> $</v>
      </c>
      <c r="G323" t="str">
        <f>IFERROR(VLOOKUP(A323,'Clientes CBOT'!B:E,4,0),B323)</f>
        <v>MURATURE ONCATIVO SA</v>
      </c>
      <c r="H323" t="str">
        <f t="shared" si="12"/>
        <v>Ars</v>
      </c>
      <c r="I323" s="6">
        <f t="shared" si="13"/>
        <v>0</v>
      </c>
      <c r="J323">
        <f t="shared" si="14"/>
        <v>0.05</v>
      </c>
      <c r="M323" s="64" t="s">
        <v>567</v>
      </c>
      <c r="N323" s="123">
        <v>0</v>
      </c>
    </row>
    <row r="324" spans="1:14" hidden="1" x14ac:dyDescent="0.3">
      <c r="A324">
        <v>59</v>
      </c>
      <c r="B324" t="str">
        <v>PRONOR SA</v>
      </c>
      <c r="C324" s="6">
        <v>0</v>
      </c>
      <c r="D324" s="6">
        <v>0</v>
      </c>
      <c r="E324" t="str">
        <v>Pesos</v>
      </c>
      <c r="F324" t="str">
        <v xml:space="preserve"> $</v>
      </c>
      <c r="G324">
        <f>IFERROR(VLOOKUP(A324,'Clientes CBOT'!B:E,4,0),B324)</f>
        <v>13016</v>
      </c>
      <c r="H324" t="str">
        <f t="shared" si="12"/>
        <v>Ars</v>
      </c>
      <c r="I324" s="6">
        <f t="shared" si="13"/>
        <v>0</v>
      </c>
      <c r="J324">
        <f t="shared" si="14"/>
        <v>0</v>
      </c>
      <c r="M324" s="64" t="s">
        <v>568</v>
      </c>
      <c r="N324" s="123">
        <v>0</v>
      </c>
    </row>
    <row r="325" spans="1:14" hidden="1" x14ac:dyDescent="0.3">
      <c r="A325">
        <v>60</v>
      </c>
      <c r="B325" t="str">
        <v>Puerto Arroyo Seco SA</v>
      </c>
      <c r="C325" s="6">
        <v>0</v>
      </c>
      <c r="D325" s="6">
        <v>-0.01</v>
      </c>
      <c r="E325" t="str">
        <v>Pesos</v>
      </c>
      <c r="F325" t="str">
        <v xml:space="preserve"> $</v>
      </c>
      <c r="G325" t="str">
        <f>IFERROR(VLOOKUP(A325,'Clientes CBOT'!B:E,4,0),B325)</f>
        <v>Puerto Arroyo Seco SA</v>
      </c>
      <c r="H325" t="str">
        <f t="shared" ref="H325:H388" si="15">IF(E325="pesos","Ars",IF(E325="Dólar Matba Rofex","usd linked",IF(F325=" U$S TT","Hard","Dólar")))</f>
        <v>Ars</v>
      </c>
      <c r="I325" s="6">
        <f t="shared" ref="I325:I388" si="16">IF(H325="ars",C325/$J$1,IF(H325="Hard",C325*$J$2/$J$1,C325))</f>
        <v>0</v>
      </c>
      <c r="J325">
        <f t="shared" ref="J325:J388" si="17">IF(H325="ars",D325/$J$1,IF(H325="hard",D325*$J$2/$J$1,D325))</f>
        <v>-0.01</v>
      </c>
      <c r="M325" s="64" t="s">
        <v>569</v>
      </c>
      <c r="N325" s="123">
        <v>0</v>
      </c>
    </row>
    <row r="326" spans="1:14" hidden="1" x14ac:dyDescent="0.3">
      <c r="A326">
        <v>190</v>
      </c>
      <c r="B326" t="str">
        <v>PRONOR SA</v>
      </c>
      <c r="C326" s="6">
        <v>0</v>
      </c>
      <c r="D326" s="6">
        <v>0</v>
      </c>
      <c r="E326" t="str">
        <v>Pesos</v>
      </c>
      <c r="F326" t="str">
        <v xml:space="preserve"> $</v>
      </c>
      <c r="G326" t="str">
        <f>IFERROR(VLOOKUP(A326,'Clientes CBOT'!B:E,4,0),B326)</f>
        <v>PRONOR SA</v>
      </c>
      <c r="H326" t="str">
        <f t="shared" si="15"/>
        <v>Ars</v>
      </c>
      <c r="I326" s="6">
        <f t="shared" si="16"/>
        <v>0</v>
      </c>
      <c r="J326">
        <f t="shared" si="17"/>
        <v>0</v>
      </c>
      <c r="M326" s="64" t="s">
        <v>347</v>
      </c>
      <c r="N326" s="123">
        <v>144.99</v>
      </c>
    </row>
    <row r="327" spans="1:14" hidden="1" x14ac:dyDescent="0.3">
      <c r="A327">
        <v>60</v>
      </c>
      <c r="B327" t="str">
        <v>Puerto Arroyo Seco SA</v>
      </c>
      <c r="C327" s="6">
        <v>0</v>
      </c>
      <c r="D327" s="6">
        <v>0</v>
      </c>
      <c r="E327" t="str">
        <v xml:space="preserve">Dólar </v>
      </c>
      <c r="F327" t="str">
        <v xml:space="preserve"> U$S</v>
      </c>
      <c r="G327" t="str">
        <f>IFERROR(VLOOKUP(A327,'Clientes CBOT'!B:E,4,0),B327)</f>
        <v>Puerto Arroyo Seco SA</v>
      </c>
      <c r="H327" t="str">
        <f t="shared" si="15"/>
        <v>Dólar</v>
      </c>
      <c r="I327" s="6">
        <f t="shared" si="16"/>
        <v>0</v>
      </c>
      <c r="J327">
        <f t="shared" si="17"/>
        <v>0</v>
      </c>
      <c r="M327" s="64" t="s">
        <v>570</v>
      </c>
      <c r="N327" s="123">
        <v>0.4</v>
      </c>
    </row>
    <row r="328" spans="1:14" hidden="1" x14ac:dyDescent="0.3">
      <c r="A328">
        <v>140</v>
      </c>
      <c r="B328" t="str">
        <v>MURATURE ONCATIVO SA</v>
      </c>
      <c r="C328" s="6">
        <v>0</v>
      </c>
      <c r="D328" s="6">
        <v>0</v>
      </c>
      <c r="E328" t="str">
        <v xml:space="preserve">Dólar </v>
      </c>
      <c r="F328" t="str">
        <v xml:space="preserve"> U$S</v>
      </c>
      <c r="G328" t="str">
        <f>IFERROR(VLOOKUP(A328,'Clientes CBOT'!B:E,4,0),B328)</f>
        <v>MURATURE ONCATIVO SA</v>
      </c>
      <c r="H328" t="str">
        <f t="shared" si="15"/>
        <v>Dólar</v>
      </c>
      <c r="I328" s="6">
        <f t="shared" si="16"/>
        <v>0</v>
      </c>
      <c r="J328">
        <f t="shared" si="17"/>
        <v>0</v>
      </c>
      <c r="M328" s="64" t="s">
        <v>456</v>
      </c>
      <c r="N328" s="123">
        <v>-6683501808.0699997</v>
      </c>
    </row>
    <row r="329" spans="1:14" x14ac:dyDescent="0.3">
      <c r="A329">
        <v>59</v>
      </c>
      <c r="B329" t="str">
        <v>PRONOR SA</v>
      </c>
      <c r="C329" s="6">
        <v>5682.4</v>
      </c>
      <c r="D329" s="6">
        <v>0</v>
      </c>
      <c r="E329" t="str">
        <v>Dólar Cable</v>
      </c>
      <c r="F329" t="str">
        <v xml:space="preserve"> U$S TT</v>
      </c>
      <c r="G329">
        <f>IFERROR(VLOOKUP(A329,'Clientes CBOT'!B:E,4,0),B329)</f>
        <v>13016</v>
      </c>
      <c r="H329" t="str">
        <f t="shared" si="15"/>
        <v>Hard</v>
      </c>
      <c r="I329" s="6">
        <f t="shared" si="16"/>
        <v>5682.4</v>
      </c>
      <c r="J329">
        <f t="shared" si="17"/>
        <v>0</v>
      </c>
      <c r="M329" s="64" t="s">
        <v>572</v>
      </c>
      <c r="N329" s="123">
        <v>0.28000000000000003</v>
      </c>
    </row>
    <row r="330" spans="1:14" x14ac:dyDescent="0.3">
      <c r="A330">
        <v>59</v>
      </c>
      <c r="B330" t="str">
        <v>PRONOR SA</v>
      </c>
      <c r="C330" s="6">
        <v>0</v>
      </c>
      <c r="D330" s="6">
        <v>0</v>
      </c>
      <c r="E330" t="str">
        <v>Dólar Matba Rofex</v>
      </c>
      <c r="F330" t="str">
        <v xml:space="preserve"> U$S MR</v>
      </c>
      <c r="G330">
        <f>IFERROR(VLOOKUP(A330,'Clientes CBOT'!B:E,4,0),B330)</f>
        <v>13016</v>
      </c>
      <c r="H330" t="str">
        <f t="shared" si="15"/>
        <v>usd linked</v>
      </c>
      <c r="I330" s="6">
        <f t="shared" si="16"/>
        <v>0</v>
      </c>
      <c r="J330">
        <f t="shared" si="17"/>
        <v>0</v>
      </c>
      <c r="M330" s="64" t="s">
        <v>428</v>
      </c>
      <c r="N330" s="123">
        <v>0</v>
      </c>
    </row>
    <row r="331" spans="1:14" hidden="1" x14ac:dyDescent="0.3">
      <c r="A331">
        <v>60</v>
      </c>
      <c r="B331" t="str">
        <v>Puerto Arroyo Seco SA</v>
      </c>
      <c r="C331" s="6">
        <v>0</v>
      </c>
      <c r="D331" s="6">
        <v>0</v>
      </c>
      <c r="E331" t="str">
        <v>Dólar Matba Rofex</v>
      </c>
      <c r="F331" t="str">
        <v xml:space="preserve"> U$S MR</v>
      </c>
      <c r="G331" t="str">
        <f>IFERROR(VLOOKUP(A331,'Clientes CBOT'!B:E,4,0),B331)</f>
        <v>Puerto Arroyo Seco SA</v>
      </c>
      <c r="H331" t="str">
        <f t="shared" si="15"/>
        <v>usd linked</v>
      </c>
      <c r="I331" s="6">
        <f t="shared" si="16"/>
        <v>0</v>
      </c>
      <c r="J331">
        <f t="shared" si="17"/>
        <v>0</v>
      </c>
      <c r="M331" s="64" t="s">
        <v>573</v>
      </c>
      <c r="N331" s="123">
        <v>561.80999999999995</v>
      </c>
    </row>
    <row r="332" spans="1:14" hidden="1" x14ac:dyDescent="0.3">
      <c r="A332">
        <v>190</v>
      </c>
      <c r="B332" t="str">
        <v>PRONOR SA</v>
      </c>
      <c r="C332" s="6">
        <v>0</v>
      </c>
      <c r="D332" s="6">
        <v>0</v>
      </c>
      <c r="E332" t="str">
        <v>Dólar Matba Rofex</v>
      </c>
      <c r="F332" t="str">
        <v xml:space="preserve"> U$S MR</v>
      </c>
      <c r="G332" t="str">
        <f>IFERROR(VLOOKUP(A332,'Clientes CBOT'!B:E,4,0),B332)</f>
        <v>PRONOR SA</v>
      </c>
      <c r="H332" t="str">
        <f t="shared" si="15"/>
        <v>usd linked</v>
      </c>
      <c r="I332" s="6">
        <f t="shared" si="16"/>
        <v>0</v>
      </c>
      <c r="J332">
        <f t="shared" si="17"/>
        <v>0</v>
      </c>
      <c r="M332" s="64" t="s">
        <v>574</v>
      </c>
      <c r="N332" s="123">
        <v>-10081229.289999999</v>
      </c>
    </row>
    <row r="333" spans="1:14" hidden="1" x14ac:dyDescent="0.3">
      <c r="A333">
        <v>61</v>
      </c>
      <c r="B333" t="str">
        <v>Riboldi S.A.</v>
      </c>
      <c r="C333" s="6">
        <v>75774949.560000002</v>
      </c>
      <c r="D333" s="6">
        <v>16484967.359999999</v>
      </c>
      <c r="E333" t="str">
        <v>Pesos</v>
      </c>
      <c r="F333" t="str">
        <v xml:space="preserve"> $</v>
      </c>
      <c r="G333" t="str">
        <f>IFERROR(VLOOKUP(A333,'Clientes CBOT'!B:E,4,0),B333)</f>
        <v>Riboldi S.A.</v>
      </c>
      <c r="H333" t="str">
        <f t="shared" si="15"/>
        <v>Ars</v>
      </c>
      <c r="I333" s="6">
        <f t="shared" si="16"/>
        <v>75774949.560000002</v>
      </c>
      <c r="J333">
        <f t="shared" si="17"/>
        <v>16484967.359999999</v>
      </c>
      <c r="M333" s="64" t="s">
        <v>575</v>
      </c>
      <c r="N333" s="123">
        <v>-4391.26</v>
      </c>
    </row>
    <row r="334" spans="1:14" hidden="1" x14ac:dyDescent="0.3">
      <c r="A334">
        <v>47</v>
      </c>
      <c r="B334" t="str">
        <v>HECTOR A. BERTONE S.A</v>
      </c>
      <c r="C334" s="6">
        <v>10982876.59</v>
      </c>
      <c r="D334" s="6">
        <v>0</v>
      </c>
      <c r="E334" t="str">
        <v>Pesos</v>
      </c>
      <c r="F334" t="str">
        <v xml:space="preserve"> $</v>
      </c>
      <c r="G334" t="str">
        <f>IFERROR(VLOOKUP(A334,'Clientes CBOT'!B:E,4,0),B334)</f>
        <v>HECTOR A. BERTONE S.A</v>
      </c>
      <c r="H334" t="str">
        <f t="shared" si="15"/>
        <v>Ars</v>
      </c>
      <c r="I334" s="6">
        <f t="shared" si="16"/>
        <v>10982876.59</v>
      </c>
      <c r="J334">
        <f t="shared" si="17"/>
        <v>0</v>
      </c>
      <c r="M334" s="64" t="s">
        <v>120</v>
      </c>
      <c r="N334" s="123">
        <v>5682.4</v>
      </c>
    </row>
    <row r="335" spans="1:14" hidden="1" x14ac:dyDescent="0.3">
      <c r="A335">
        <v>478</v>
      </c>
      <c r="B335" t="str">
        <v>HECTOR A. BERTONE S.A</v>
      </c>
      <c r="C335" s="6">
        <v>-43732911.270000003</v>
      </c>
      <c r="D335" s="6">
        <v>0</v>
      </c>
      <c r="E335" t="str">
        <v>Pesos</v>
      </c>
      <c r="F335" t="str">
        <v xml:space="preserve"> $</v>
      </c>
      <c r="G335" t="str">
        <f>IFERROR(VLOOKUP(A335,'Clientes CBOT'!B:E,4,0),B335)</f>
        <v>HECTOR A. BERTONE S.A</v>
      </c>
      <c r="H335" t="str">
        <f t="shared" si="15"/>
        <v>Ars</v>
      </c>
      <c r="I335" s="6">
        <f t="shared" si="16"/>
        <v>-43732911.270000003</v>
      </c>
      <c r="J335">
        <f t="shared" si="17"/>
        <v>0</v>
      </c>
      <c r="M335" s="64" t="s">
        <v>576</v>
      </c>
      <c r="N335" s="123">
        <v>0</v>
      </c>
    </row>
    <row r="336" spans="1:14" hidden="1" x14ac:dyDescent="0.3">
      <c r="A336">
        <v>111</v>
      </c>
      <c r="B336" t="str">
        <v>Conci SRL</v>
      </c>
      <c r="C336" s="6">
        <v>-57.56</v>
      </c>
      <c r="D336" s="6">
        <v>0</v>
      </c>
      <c r="E336" t="str">
        <v>Pesos</v>
      </c>
      <c r="F336" t="str">
        <v xml:space="preserve"> $</v>
      </c>
      <c r="G336" t="str">
        <f>IFERROR(VLOOKUP(A336,'Clientes CBOT'!B:E,4,0),B336)</f>
        <v>Conci SRL</v>
      </c>
      <c r="H336" t="str">
        <f t="shared" si="15"/>
        <v>Ars</v>
      </c>
      <c r="I336" s="6">
        <f t="shared" si="16"/>
        <v>-57.56</v>
      </c>
      <c r="J336">
        <f t="shared" si="17"/>
        <v>0</v>
      </c>
      <c r="M336" s="64" t="s">
        <v>353</v>
      </c>
      <c r="N336" s="123">
        <v>0</v>
      </c>
    </row>
    <row r="337" spans="1:14" hidden="1" x14ac:dyDescent="0.3">
      <c r="A337">
        <v>111</v>
      </c>
      <c r="B337" t="str">
        <v>Conci SRL</v>
      </c>
      <c r="C337" s="6">
        <v>1898.06</v>
      </c>
      <c r="D337" s="6">
        <v>0</v>
      </c>
      <c r="E337" t="str">
        <v xml:space="preserve">Dólar </v>
      </c>
      <c r="F337" t="str">
        <v xml:space="preserve"> U$S</v>
      </c>
      <c r="G337" t="str">
        <f>IFERROR(VLOOKUP(A337,'Clientes CBOT'!B:E,4,0),B337)</f>
        <v>Conci SRL</v>
      </c>
      <c r="H337" t="str">
        <f t="shared" si="15"/>
        <v>Dólar</v>
      </c>
      <c r="I337" s="6">
        <f t="shared" si="16"/>
        <v>1898.06</v>
      </c>
      <c r="J337">
        <f t="shared" si="17"/>
        <v>0</v>
      </c>
      <c r="M337" s="64" t="s">
        <v>577</v>
      </c>
      <c r="N337" s="123">
        <v>0</v>
      </c>
    </row>
    <row r="338" spans="1:14" hidden="1" x14ac:dyDescent="0.3">
      <c r="A338">
        <v>47</v>
      </c>
      <c r="B338" t="str">
        <v>HECTOR A. BERTONE S.A</v>
      </c>
      <c r="C338" s="6">
        <v>1099.55</v>
      </c>
      <c r="D338" s="6">
        <v>0</v>
      </c>
      <c r="E338" t="str">
        <v xml:space="preserve">Dólar </v>
      </c>
      <c r="F338" t="str">
        <v xml:space="preserve"> U$S</v>
      </c>
      <c r="G338" t="str">
        <f>IFERROR(VLOOKUP(A338,'Clientes CBOT'!B:E,4,0),B338)</f>
        <v>HECTOR A. BERTONE S.A</v>
      </c>
      <c r="H338" t="str">
        <f t="shared" si="15"/>
        <v>Dólar</v>
      </c>
      <c r="I338" s="6">
        <f t="shared" si="16"/>
        <v>1099.55</v>
      </c>
      <c r="J338">
        <f t="shared" si="17"/>
        <v>0</v>
      </c>
      <c r="M338" s="64" t="s">
        <v>578</v>
      </c>
      <c r="N338" s="123">
        <v>1869.56</v>
      </c>
    </row>
    <row r="339" spans="1:14" x14ac:dyDescent="0.3">
      <c r="A339">
        <v>61</v>
      </c>
      <c r="B339" t="str">
        <v>Riboldi S.A.</v>
      </c>
      <c r="C339" s="6">
        <v>37920.949999999997</v>
      </c>
      <c r="D339" s="6">
        <v>0</v>
      </c>
      <c r="E339" t="str">
        <v xml:space="preserve">Dólar </v>
      </c>
      <c r="F339" t="str">
        <v xml:space="preserve"> U$S</v>
      </c>
      <c r="G339" t="str">
        <f>IFERROR(VLOOKUP(A339,'Clientes CBOT'!B:E,4,0),B339)</f>
        <v>Riboldi S.A.</v>
      </c>
      <c r="H339" t="str">
        <f t="shared" si="15"/>
        <v>Dólar</v>
      </c>
      <c r="I339" s="6">
        <f t="shared" si="16"/>
        <v>37920.949999999997</v>
      </c>
      <c r="J339">
        <f t="shared" si="17"/>
        <v>0</v>
      </c>
      <c r="M339" s="64" t="s">
        <v>357</v>
      </c>
      <c r="N339" s="123">
        <v>75812659.550000012</v>
      </c>
    </row>
    <row r="340" spans="1:14" x14ac:dyDescent="0.3">
      <c r="A340">
        <v>61</v>
      </c>
      <c r="B340" t="str">
        <v>Riboldi S.A.</v>
      </c>
      <c r="C340" s="6">
        <v>-0.96</v>
      </c>
      <c r="D340" s="6">
        <v>0</v>
      </c>
      <c r="E340" t="str">
        <v>Dólar Cable</v>
      </c>
      <c r="F340" t="str">
        <v xml:space="preserve"> U$S TT</v>
      </c>
      <c r="G340" t="str">
        <f>IFERROR(VLOOKUP(A340,'Clientes CBOT'!B:E,4,0),B340)</f>
        <v>Riboldi S.A.</v>
      </c>
      <c r="H340" t="str">
        <f t="shared" si="15"/>
        <v>Hard</v>
      </c>
      <c r="I340" s="6">
        <f t="shared" si="16"/>
        <v>-0.96</v>
      </c>
      <c r="J340">
        <f t="shared" si="17"/>
        <v>0</v>
      </c>
      <c r="M340" s="64" t="s">
        <v>580</v>
      </c>
      <c r="N340" s="123">
        <v>0</v>
      </c>
    </row>
    <row r="341" spans="1:14" hidden="1" x14ac:dyDescent="0.3">
      <c r="A341">
        <v>47</v>
      </c>
      <c r="B341" t="str">
        <v>HECTOR A. BERTONE S.A</v>
      </c>
      <c r="C341" s="6">
        <v>27.79</v>
      </c>
      <c r="D341" s="6">
        <v>0</v>
      </c>
      <c r="E341" t="str">
        <v>Dólar Cable</v>
      </c>
      <c r="F341" t="str">
        <v xml:space="preserve"> U$S TT</v>
      </c>
      <c r="G341" t="str">
        <f>IFERROR(VLOOKUP(A341,'Clientes CBOT'!B:E,4,0),B341)</f>
        <v>HECTOR A. BERTONE S.A</v>
      </c>
      <c r="H341" t="str">
        <f t="shared" si="15"/>
        <v>Hard</v>
      </c>
      <c r="I341" s="6">
        <f t="shared" si="16"/>
        <v>27.79</v>
      </c>
      <c r="J341">
        <f t="shared" si="17"/>
        <v>0</v>
      </c>
      <c r="M341" s="64" t="s">
        <v>581</v>
      </c>
      <c r="N341" s="123">
        <v>0</v>
      </c>
    </row>
    <row r="342" spans="1:14" hidden="1" x14ac:dyDescent="0.3">
      <c r="A342">
        <v>47</v>
      </c>
      <c r="B342" t="str">
        <v>HECTOR A. BERTONE S.A</v>
      </c>
      <c r="C342" s="6">
        <v>-155250.69</v>
      </c>
      <c r="D342" s="6">
        <v>0</v>
      </c>
      <c r="E342" t="str">
        <v>Dólar Matba Rofex</v>
      </c>
      <c r="F342" t="str">
        <v xml:space="preserve"> U$S MR</v>
      </c>
      <c r="G342" t="str">
        <f>IFERROR(VLOOKUP(A342,'Clientes CBOT'!B:E,4,0),B342)</f>
        <v>HECTOR A. BERTONE S.A</v>
      </c>
      <c r="H342" t="str">
        <f t="shared" si="15"/>
        <v>usd linked</v>
      </c>
      <c r="I342" s="6">
        <f t="shared" si="16"/>
        <v>-155250.69</v>
      </c>
      <c r="J342">
        <f t="shared" si="17"/>
        <v>0</v>
      </c>
      <c r="M342" s="64" t="s">
        <v>582</v>
      </c>
      <c r="N342" s="123">
        <v>0</v>
      </c>
    </row>
    <row r="343" spans="1:14" hidden="1" x14ac:dyDescent="0.3">
      <c r="A343">
        <v>61</v>
      </c>
      <c r="B343" t="str">
        <v>Riboldi S.A.</v>
      </c>
      <c r="C343" s="6">
        <v>-210</v>
      </c>
      <c r="D343" s="6">
        <v>0</v>
      </c>
      <c r="E343" t="str">
        <v>Dólar Matba Rofex</v>
      </c>
      <c r="F343" t="str">
        <v xml:space="preserve"> U$S MR</v>
      </c>
      <c r="G343" t="str">
        <f>IFERROR(VLOOKUP(A343,'Clientes CBOT'!B:E,4,0),B343)</f>
        <v>Riboldi S.A.</v>
      </c>
      <c r="H343" t="str">
        <f t="shared" si="15"/>
        <v>usd linked</v>
      </c>
      <c r="I343" s="6">
        <f t="shared" si="16"/>
        <v>-210</v>
      </c>
      <c r="J343">
        <f t="shared" si="17"/>
        <v>0</v>
      </c>
      <c r="M343" s="64" t="s">
        <v>583</v>
      </c>
      <c r="N343" s="123">
        <v>0</v>
      </c>
    </row>
    <row r="344" spans="1:14" hidden="1" x14ac:dyDescent="0.3">
      <c r="A344">
        <v>478</v>
      </c>
      <c r="B344" t="str">
        <v>HECTOR A. BERTONE S.A</v>
      </c>
      <c r="C344" s="6">
        <v>-85478.33</v>
      </c>
      <c r="D344" s="6">
        <v>0</v>
      </c>
      <c r="E344" t="str">
        <v>Dólar Matba Rofex</v>
      </c>
      <c r="F344" t="str">
        <v xml:space="preserve"> U$S MR</v>
      </c>
      <c r="G344" t="str">
        <f>IFERROR(VLOOKUP(A344,'Clientes CBOT'!B:E,4,0),B344)</f>
        <v>HECTOR A. BERTONE S.A</v>
      </c>
      <c r="H344" t="str">
        <f t="shared" si="15"/>
        <v>usd linked</v>
      </c>
      <c r="I344" s="6">
        <f t="shared" si="16"/>
        <v>-85478.33</v>
      </c>
      <c r="J344">
        <f t="shared" si="17"/>
        <v>0</v>
      </c>
      <c r="M344" s="64" t="s">
        <v>584</v>
      </c>
      <c r="N344" s="123">
        <v>0</v>
      </c>
    </row>
    <row r="345" spans="1:14" hidden="1" x14ac:dyDescent="0.3">
      <c r="A345">
        <v>101</v>
      </c>
      <c r="B345" t="str">
        <v>TOMAS HNOS Y CIA SA</v>
      </c>
      <c r="C345" s="6">
        <v>-743232.29</v>
      </c>
      <c r="D345" s="6">
        <v>-1.53</v>
      </c>
      <c r="E345" t="str">
        <v>Pesos</v>
      </c>
      <c r="F345" t="str">
        <v xml:space="preserve"> $</v>
      </c>
      <c r="G345" t="str">
        <f>IFERROR(VLOOKUP(A345,'Clientes CBOT'!B:E,4,0),B345)</f>
        <v>TOMAS HNOS Y CIA SA</v>
      </c>
      <c r="H345" t="str">
        <f t="shared" si="15"/>
        <v>Ars</v>
      </c>
      <c r="I345" s="6">
        <f t="shared" si="16"/>
        <v>-743232.29</v>
      </c>
      <c r="J345">
        <f t="shared" si="17"/>
        <v>-1.53</v>
      </c>
      <c r="M345" s="64" t="s">
        <v>502</v>
      </c>
      <c r="N345" s="123">
        <v>26656.2</v>
      </c>
    </row>
    <row r="346" spans="1:14" hidden="1" x14ac:dyDescent="0.3">
      <c r="A346">
        <v>88</v>
      </c>
      <c r="B346" t="str">
        <v>LA RURAL S.R.L.</v>
      </c>
      <c r="C346" s="6">
        <v>527.37</v>
      </c>
      <c r="D346" s="6">
        <v>0.02</v>
      </c>
      <c r="E346" t="str">
        <v>Pesos</v>
      </c>
      <c r="F346" t="str">
        <v xml:space="preserve"> $</v>
      </c>
      <c r="G346" t="str">
        <f>IFERROR(VLOOKUP(A346,'Clientes CBOT'!B:E,4,0),B346)</f>
        <v>LA RURAL S.R.L.</v>
      </c>
      <c r="H346" t="str">
        <f t="shared" si="15"/>
        <v>Ars</v>
      </c>
      <c r="I346" s="6">
        <f t="shared" si="16"/>
        <v>527.37</v>
      </c>
      <c r="J346">
        <f t="shared" si="17"/>
        <v>0.02</v>
      </c>
      <c r="M346" s="64" t="s">
        <v>362</v>
      </c>
      <c r="N346" s="123">
        <v>-15250.78</v>
      </c>
    </row>
    <row r="347" spans="1:14" hidden="1" x14ac:dyDescent="0.3">
      <c r="A347">
        <v>173</v>
      </c>
      <c r="B347" t="str">
        <v>TOMAS HNOS Y CIA SA</v>
      </c>
      <c r="C347" s="6">
        <v>0</v>
      </c>
      <c r="D347" s="6">
        <v>0</v>
      </c>
      <c r="E347" t="str">
        <v>Pesos</v>
      </c>
      <c r="F347" t="str">
        <v xml:space="preserve"> $</v>
      </c>
      <c r="G347" t="str">
        <f>IFERROR(VLOOKUP(A347,'Clientes CBOT'!B:E,4,0),B347)</f>
        <v>TOMAS HNOS Y CIA SA</v>
      </c>
      <c r="H347" t="str">
        <f t="shared" si="15"/>
        <v>Ars</v>
      </c>
      <c r="I347" s="6">
        <f t="shared" si="16"/>
        <v>0</v>
      </c>
      <c r="J347">
        <f t="shared" si="17"/>
        <v>0</v>
      </c>
      <c r="M347" s="64" t="s">
        <v>586</v>
      </c>
      <c r="N347" s="123">
        <v>0.44</v>
      </c>
    </row>
    <row r="348" spans="1:14" hidden="1" x14ac:dyDescent="0.3">
      <c r="A348">
        <v>88</v>
      </c>
      <c r="B348" t="str">
        <v>LA RURAL S.R.L.</v>
      </c>
      <c r="C348" s="6">
        <v>44.14</v>
      </c>
      <c r="D348" s="6">
        <v>23.31</v>
      </c>
      <c r="E348" t="str">
        <v xml:space="preserve">Dólar </v>
      </c>
      <c r="F348" t="str">
        <v xml:space="preserve"> U$S</v>
      </c>
      <c r="G348" t="str">
        <f>IFERROR(VLOOKUP(A348,'Clientes CBOT'!B:E,4,0),B348)</f>
        <v>LA RURAL S.R.L.</v>
      </c>
      <c r="H348" t="str">
        <f t="shared" si="15"/>
        <v>Dólar</v>
      </c>
      <c r="I348" s="6">
        <f t="shared" si="16"/>
        <v>44.14</v>
      </c>
      <c r="J348">
        <f t="shared" si="17"/>
        <v>23.31</v>
      </c>
      <c r="M348" s="64" t="s">
        <v>587</v>
      </c>
      <c r="N348" s="123">
        <v>-710.98</v>
      </c>
    </row>
    <row r="349" spans="1:14" hidden="1" x14ac:dyDescent="0.3">
      <c r="A349">
        <v>101</v>
      </c>
      <c r="B349" t="str">
        <v>TOMAS HNOS Y CIA SA</v>
      </c>
      <c r="C349" s="6">
        <v>231725.53</v>
      </c>
      <c r="D349" s="6">
        <v>0</v>
      </c>
      <c r="E349" t="str">
        <v xml:space="preserve">Dólar </v>
      </c>
      <c r="F349" t="str">
        <v xml:space="preserve"> U$S</v>
      </c>
      <c r="G349" t="str">
        <f>IFERROR(VLOOKUP(A349,'Clientes CBOT'!B:E,4,0),B349)</f>
        <v>TOMAS HNOS Y CIA SA</v>
      </c>
      <c r="H349" t="str">
        <f t="shared" si="15"/>
        <v>Dólar</v>
      </c>
      <c r="I349" s="6">
        <f t="shared" si="16"/>
        <v>231725.53</v>
      </c>
      <c r="J349">
        <f t="shared" si="17"/>
        <v>0</v>
      </c>
      <c r="M349" s="64" t="s">
        <v>588</v>
      </c>
      <c r="N349" s="123">
        <v>-551.88</v>
      </c>
    </row>
    <row r="350" spans="1:14" hidden="1" x14ac:dyDescent="0.3">
      <c r="A350">
        <v>101</v>
      </c>
      <c r="B350" t="str">
        <v>TOMAS HNOS Y CIA SA</v>
      </c>
      <c r="C350" s="6">
        <v>-33.97</v>
      </c>
      <c r="D350" s="6">
        <v>0</v>
      </c>
      <c r="E350" t="str">
        <v>Dólar Cable</v>
      </c>
      <c r="F350" t="str">
        <v xml:space="preserve"> U$S TT</v>
      </c>
      <c r="G350" t="str">
        <f>IFERROR(VLOOKUP(A350,'Clientes CBOT'!B:E,4,0),B350)</f>
        <v>TOMAS HNOS Y CIA SA</v>
      </c>
      <c r="H350" t="str">
        <f t="shared" si="15"/>
        <v>Hard</v>
      </c>
      <c r="I350" s="6">
        <f t="shared" si="16"/>
        <v>-33.97</v>
      </c>
      <c r="J350">
        <f t="shared" si="17"/>
        <v>0</v>
      </c>
      <c r="M350" s="64" t="s">
        <v>590</v>
      </c>
      <c r="N350" s="123">
        <v>8873379.2899999991</v>
      </c>
    </row>
    <row r="351" spans="1:14" hidden="1" x14ac:dyDescent="0.3">
      <c r="A351">
        <v>88</v>
      </c>
      <c r="B351" t="str">
        <v>LA RURAL S.R.L.</v>
      </c>
      <c r="C351" s="6">
        <v>17.95</v>
      </c>
      <c r="D351" s="6">
        <v>0</v>
      </c>
      <c r="E351" t="str">
        <v>Dólar Cable</v>
      </c>
      <c r="F351" t="str">
        <v xml:space="preserve"> U$S TT</v>
      </c>
      <c r="G351" t="str">
        <f>IFERROR(VLOOKUP(A351,'Clientes CBOT'!B:E,4,0),B351)</f>
        <v>LA RURAL S.R.L.</v>
      </c>
      <c r="H351" t="str">
        <f t="shared" si="15"/>
        <v>Hard</v>
      </c>
      <c r="I351" s="6">
        <f t="shared" si="16"/>
        <v>17.95</v>
      </c>
      <c r="J351">
        <f t="shared" si="17"/>
        <v>0</v>
      </c>
      <c r="M351" s="64" t="s">
        <v>592</v>
      </c>
      <c r="N351" s="123">
        <v>15302080.41</v>
      </c>
    </row>
    <row r="352" spans="1:14" hidden="1" x14ac:dyDescent="0.3">
      <c r="A352">
        <v>88</v>
      </c>
      <c r="B352" t="str">
        <v>LA RURAL S.R.L.</v>
      </c>
      <c r="C352" s="6">
        <v>25869.1</v>
      </c>
      <c r="D352" s="6">
        <v>94592.26</v>
      </c>
      <c r="E352" t="str">
        <v>Dólar Matba Rofex</v>
      </c>
      <c r="F352" t="str">
        <v xml:space="preserve"> U$S MR</v>
      </c>
      <c r="G352" t="str">
        <f>IFERROR(VLOOKUP(A352,'Clientes CBOT'!B:E,4,0),B352)</f>
        <v>LA RURAL S.R.L.</v>
      </c>
      <c r="H352" t="str">
        <f t="shared" si="15"/>
        <v>usd linked</v>
      </c>
      <c r="I352" s="6">
        <f t="shared" si="16"/>
        <v>25869.1</v>
      </c>
      <c r="J352">
        <f t="shared" si="17"/>
        <v>94592.26</v>
      </c>
      <c r="M352" s="64" t="s">
        <v>366</v>
      </c>
      <c r="N352" s="123">
        <v>41.03</v>
      </c>
    </row>
    <row r="353" spans="1:14" hidden="1" x14ac:dyDescent="0.3">
      <c r="A353">
        <v>101</v>
      </c>
      <c r="B353" t="str">
        <v>TOMAS HNOS Y CIA SA</v>
      </c>
      <c r="C353" s="6">
        <v>0</v>
      </c>
      <c r="D353" s="6">
        <v>0</v>
      </c>
      <c r="E353" t="str">
        <v>Dólar Matba Rofex</v>
      </c>
      <c r="F353" t="str">
        <v xml:space="preserve"> U$S MR</v>
      </c>
      <c r="G353" t="str">
        <f>IFERROR(VLOOKUP(A353,'Clientes CBOT'!B:E,4,0),B353)</f>
        <v>TOMAS HNOS Y CIA SA</v>
      </c>
      <c r="H353" t="str">
        <f t="shared" si="15"/>
        <v>usd linked</v>
      </c>
      <c r="I353" s="6">
        <f t="shared" si="16"/>
        <v>0</v>
      </c>
      <c r="J353">
        <f t="shared" si="17"/>
        <v>0</v>
      </c>
      <c r="M353" s="64" t="s">
        <v>593</v>
      </c>
      <c r="N353" s="123">
        <v>0</v>
      </c>
    </row>
    <row r="354" spans="1:14" hidden="1" x14ac:dyDescent="0.3">
      <c r="A354">
        <v>173</v>
      </c>
      <c r="B354" t="str">
        <v>TOMAS HNOS Y CIA SA</v>
      </c>
      <c r="C354" s="6">
        <v>0</v>
      </c>
      <c r="D354" s="6">
        <v>0</v>
      </c>
      <c r="E354" t="str">
        <v>Dólar Matba Rofex</v>
      </c>
      <c r="F354" t="str">
        <v xml:space="preserve"> U$S MR</v>
      </c>
      <c r="G354" t="str">
        <f>IFERROR(VLOOKUP(A354,'Clientes CBOT'!B:E,4,0),B354)</f>
        <v>TOMAS HNOS Y CIA SA</v>
      </c>
      <c r="H354" t="str">
        <f t="shared" si="15"/>
        <v>usd linked</v>
      </c>
      <c r="I354" s="6">
        <f t="shared" si="16"/>
        <v>0</v>
      </c>
      <c r="J354">
        <f t="shared" si="17"/>
        <v>0</v>
      </c>
      <c r="M354" s="64" t="s">
        <v>594</v>
      </c>
      <c r="N354" s="123">
        <v>0</v>
      </c>
    </row>
    <row r="355" spans="1:14" x14ac:dyDescent="0.3">
      <c r="A355">
        <v>22</v>
      </c>
      <c r="B355" t="str">
        <v>DIVISION AGROPECUARIA S.A.</v>
      </c>
      <c r="C355" s="6">
        <v>0</v>
      </c>
      <c r="D355" s="6">
        <v>0.02</v>
      </c>
      <c r="E355" t="str">
        <v>Pesos</v>
      </c>
      <c r="F355" t="str">
        <v xml:space="preserve"> $</v>
      </c>
      <c r="G355" t="str">
        <f>IFERROR(VLOOKUP(A355,'Clientes CBOT'!B:E,4,0),B355)</f>
        <v>DIVISION AGROPECUARIA S.A.</v>
      </c>
      <c r="H355" t="str">
        <f t="shared" si="15"/>
        <v>Ars</v>
      </c>
      <c r="I355" s="6">
        <f t="shared" si="16"/>
        <v>0</v>
      </c>
      <c r="J355">
        <f t="shared" si="17"/>
        <v>0.02</v>
      </c>
      <c r="M355" s="64" t="s">
        <v>370</v>
      </c>
      <c r="N355" s="123">
        <v>-189752.5</v>
      </c>
    </row>
    <row r="356" spans="1:14" hidden="1" x14ac:dyDescent="0.3">
      <c r="A356">
        <v>22</v>
      </c>
      <c r="B356" t="str">
        <v>DIVISION AGROPECUARIA S.A.</v>
      </c>
      <c r="C356" s="6">
        <v>-0.08</v>
      </c>
      <c r="D356" s="6">
        <v>0</v>
      </c>
      <c r="E356" t="str">
        <v xml:space="preserve">Dólar </v>
      </c>
      <c r="F356" t="str">
        <v xml:space="preserve"> U$S</v>
      </c>
      <c r="G356" t="str">
        <f>IFERROR(VLOOKUP(A356,'Clientes CBOT'!B:E,4,0),B356)</f>
        <v>DIVISION AGROPECUARIA S.A.</v>
      </c>
      <c r="H356" t="str">
        <f t="shared" si="15"/>
        <v>Dólar</v>
      </c>
      <c r="I356" s="6">
        <f t="shared" si="16"/>
        <v>-0.08</v>
      </c>
      <c r="J356">
        <f t="shared" si="17"/>
        <v>0</v>
      </c>
      <c r="M356" s="64" t="s">
        <v>595</v>
      </c>
      <c r="N356" s="123">
        <v>0</v>
      </c>
    </row>
    <row r="357" spans="1:14" hidden="1" x14ac:dyDescent="0.3">
      <c r="A357">
        <v>22</v>
      </c>
      <c r="B357" t="str">
        <v>DIVISION AGROPECUARIA S.A.</v>
      </c>
      <c r="C357" s="6">
        <v>0</v>
      </c>
      <c r="D357" s="6">
        <v>0</v>
      </c>
      <c r="E357" t="str">
        <v>Dólar Matba Rofex</v>
      </c>
      <c r="F357" t="str">
        <v xml:space="preserve"> U$S MR</v>
      </c>
      <c r="G357" t="str">
        <f>IFERROR(VLOOKUP(A357,'Clientes CBOT'!B:E,4,0),B357)</f>
        <v>DIVISION AGROPECUARIA S.A.</v>
      </c>
      <c r="H357" t="str">
        <f t="shared" si="15"/>
        <v>usd linked</v>
      </c>
      <c r="I357" s="6">
        <f t="shared" si="16"/>
        <v>0</v>
      </c>
      <c r="J357">
        <f t="shared" si="17"/>
        <v>0</v>
      </c>
      <c r="M357" s="64" t="s">
        <v>128</v>
      </c>
      <c r="N357" s="123">
        <v>250933.62999999998</v>
      </c>
    </row>
    <row r="358" spans="1:14" hidden="1" x14ac:dyDescent="0.3">
      <c r="A358">
        <v>53</v>
      </c>
      <c r="B358" t="str">
        <v>MAIOCCO CEREALES SA</v>
      </c>
      <c r="C358" s="6">
        <v>-88800553.299999997</v>
      </c>
      <c r="D358" s="6">
        <v>0.04</v>
      </c>
      <c r="E358" t="str">
        <v>Pesos</v>
      </c>
      <c r="F358" t="str">
        <v xml:space="preserve"> $</v>
      </c>
      <c r="G358" t="str">
        <f>IFERROR(VLOOKUP(A358,'Clientes CBOT'!B:E,4,0),B358)</f>
        <v>MAIOCCO CEREALES SA</v>
      </c>
      <c r="H358" t="str">
        <f t="shared" si="15"/>
        <v>Ars</v>
      </c>
      <c r="I358" s="6">
        <f t="shared" si="16"/>
        <v>-88800553.299999997</v>
      </c>
      <c r="J358">
        <f t="shared" si="17"/>
        <v>0.04</v>
      </c>
      <c r="M358" s="64" t="s">
        <v>596</v>
      </c>
      <c r="N358" s="123">
        <v>0</v>
      </c>
    </row>
    <row r="359" spans="1:14" hidden="1" x14ac:dyDescent="0.3">
      <c r="A359">
        <v>57</v>
      </c>
      <c r="B359" t="str">
        <v>PAGO VIEJO SOCIEDAD ANONIMA</v>
      </c>
      <c r="C359" s="6">
        <v>393.97</v>
      </c>
      <c r="D359" s="6">
        <v>0</v>
      </c>
      <c r="E359" t="str">
        <v>Pesos</v>
      </c>
      <c r="F359" t="str">
        <v xml:space="preserve"> $</v>
      </c>
      <c r="G359" t="str">
        <f>IFERROR(VLOOKUP(A359,'Clientes CBOT'!B:E,4,0),B359)</f>
        <v>PAGO VIEJO SOCIEDAD ANONIMA</v>
      </c>
      <c r="H359" t="str">
        <f t="shared" si="15"/>
        <v>Ars</v>
      </c>
      <c r="I359" s="6">
        <f t="shared" si="16"/>
        <v>393.97</v>
      </c>
      <c r="J359">
        <f t="shared" si="17"/>
        <v>0</v>
      </c>
      <c r="M359" s="64" t="s">
        <v>535</v>
      </c>
      <c r="N359" s="123">
        <v>-3184.83</v>
      </c>
    </row>
    <row r="360" spans="1:14" hidden="1" x14ac:dyDescent="0.3">
      <c r="A360">
        <v>169</v>
      </c>
      <c r="B360" t="str">
        <v>LIAG ARGENTINA SAU</v>
      </c>
      <c r="C360" s="6">
        <v>2875000</v>
      </c>
      <c r="D360" s="6">
        <v>0</v>
      </c>
      <c r="E360" t="str">
        <v>Pesos</v>
      </c>
      <c r="F360" t="str">
        <v xml:space="preserve"> $</v>
      </c>
      <c r="G360" t="str">
        <f>IFERROR(VLOOKUP(A360,'Clientes CBOT'!B:E,4,0),B360)</f>
        <v>LIAG ARGENTINA SAU</v>
      </c>
      <c r="H360" t="str">
        <f t="shared" si="15"/>
        <v>Ars</v>
      </c>
      <c r="I360" s="6">
        <f t="shared" si="16"/>
        <v>2875000</v>
      </c>
      <c r="J360">
        <f t="shared" si="17"/>
        <v>0</v>
      </c>
      <c r="M360" s="64" t="s">
        <v>372</v>
      </c>
      <c r="N360" s="123">
        <v>2099.92</v>
      </c>
    </row>
    <row r="361" spans="1:14" hidden="1" x14ac:dyDescent="0.3">
      <c r="A361">
        <v>99</v>
      </c>
      <c r="B361" t="str">
        <v>PRIGIONI AGRO SRL</v>
      </c>
      <c r="C361" s="6">
        <v>0</v>
      </c>
      <c r="D361" s="6">
        <v>-0.01</v>
      </c>
      <c r="E361" t="str">
        <v>Pesos</v>
      </c>
      <c r="F361" t="str">
        <v xml:space="preserve"> $</v>
      </c>
      <c r="G361" t="str">
        <f>IFERROR(VLOOKUP(A361,'Clientes CBOT'!B:E,4,0),B361)</f>
        <v>PRIGIONI AGRO SRL</v>
      </c>
      <c r="H361" t="str">
        <f t="shared" si="15"/>
        <v>Ars</v>
      </c>
      <c r="I361" s="6">
        <f t="shared" si="16"/>
        <v>0</v>
      </c>
      <c r="J361">
        <f t="shared" si="17"/>
        <v>-0.01</v>
      </c>
      <c r="M361" s="64" t="s">
        <v>598</v>
      </c>
      <c r="N361" s="123">
        <v>25849.059999999998</v>
      </c>
    </row>
    <row r="362" spans="1:14" hidden="1" x14ac:dyDescent="0.3">
      <c r="A362">
        <v>362</v>
      </c>
      <c r="B362" t="str">
        <v>AGRO PRECISA SA</v>
      </c>
      <c r="C362" s="6">
        <v>12810.93</v>
      </c>
      <c r="D362" s="6">
        <v>-0.01</v>
      </c>
      <c r="E362" t="str">
        <v>Pesos</v>
      </c>
      <c r="F362" t="str">
        <v xml:space="preserve"> $</v>
      </c>
      <c r="G362" t="str">
        <f>IFERROR(VLOOKUP(A362,'Clientes CBOT'!B:E,4,0),B362)</f>
        <v>AGRO PRECISA SA</v>
      </c>
      <c r="H362" t="str">
        <f t="shared" si="15"/>
        <v>Ars</v>
      </c>
      <c r="I362" s="6">
        <f t="shared" si="16"/>
        <v>12810.93</v>
      </c>
      <c r="J362">
        <f t="shared" si="17"/>
        <v>-0.01</v>
      </c>
      <c r="M362" s="64" t="s">
        <v>402</v>
      </c>
      <c r="N362" s="123">
        <v>-5988763.7300000004</v>
      </c>
    </row>
    <row r="363" spans="1:14" hidden="1" x14ac:dyDescent="0.3">
      <c r="A363">
        <v>362</v>
      </c>
      <c r="B363" t="str">
        <v>AGRO PRECISA SA</v>
      </c>
      <c r="C363" s="6">
        <v>0</v>
      </c>
      <c r="D363" s="6">
        <v>0</v>
      </c>
      <c r="E363" t="str">
        <v xml:space="preserve">Dólar </v>
      </c>
      <c r="F363" t="str">
        <v xml:space="preserve"> U$S</v>
      </c>
      <c r="G363" t="str">
        <f>IFERROR(VLOOKUP(A363,'Clientes CBOT'!B:E,4,0),B363)</f>
        <v>AGRO PRECISA SA</v>
      </c>
      <c r="H363" t="str">
        <f t="shared" si="15"/>
        <v>Dólar</v>
      </c>
      <c r="I363" s="6">
        <f t="shared" si="16"/>
        <v>0</v>
      </c>
      <c r="J363">
        <f t="shared" si="17"/>
        <v>0</v>
      </c>
      <c r="M363" s="64" t="s">
        <v>600</v>
      </c>
      <c r="N363" s="123">
        <v>-0.02</v>
      </c>
    </row>
    <row r="364" spans="1:14" hidden="1" x14ac:dyDescent="0.3">
      <c r="A364">
        <v>57</v>
      </c>
      <c r="B364" t="str">
        <v>PAGO VIEJO SOCIEDAD ANONIMA</v>
      </c>
      <c r="C364" s="6">
        <v>97243.5</v>
      </c>
      <c r="D364" s="6">
        <v>0</v>
      </c>
      <c r="E364" t="str">
        <v xml:space="preserve">Dólar </v>
      </c>
      <c r="F364" t="str">
        <v xml:space="preserve"> U$S</v>
      </c>
      <c r="G364" t="str">
        <f>IFERROR(VLOOKUP(A364,'Clientes CBOT'!B:E,4,0),B364)</f>
        <v>PAGO VIEJO SOCIEDAD ANONIMA</v>
      </c>
      <c r="H364" t="str">
        <f t="shared" si="15"/>
        <v>Dólar</v>
      </c>
      <c r="I364" s="6">
        <f t="shared" si="16"/>
        <v>97243.5</v>
      </c>
      <c r="J364">
        <f t="shared" si="17"/>
        <v>0</v>
      </c>
      <c r="M364" s="64" t="s">
        <v>601</v>
      </c>
      <c r="N364" s="123">
        <v>0</v>
      </c>
    </row>
    <row r="365" spans="1:14" hidden="1" x14ac:dyDescent="0.3">
      <c r="A365">
        <v>53</v>
      </c>
      <c r="B365" t="str">
        <v>MAIOCCO CEREALES SA</v>
      </c>
      <c r="C365" s="6">
        <v>15958.14</v>
      </c>
      <c r="D365" s="6">
        <v>0</v>
      </c>
      <c r="E365" t="str">
        <v xml:space="preserve">Dólar </v>
      </c>
      <c r="F365" t="str">
        <v xml:space="preserve"> U$S</v>
      </c>
      <c r="G365" t="str">
        <f>IFERROR(VLOOKUP(A365,'Clientes CBOT'!B:E,4,0),B365)</f>
        <v>MAIOCCO CEREALES SA</v>
      </c>
      <c r="H365" t="str">
        <f t="shared" si="15"/>
        <v>Dólar</v>
      </c>
      <c r="I365" s="6">
        <f t="shared" si="16"/>
        <v>15958.14</v>
      </c>
      <c r="J365">
        <f t="shared" si="17"/>
        <v>0</v>
      </c>
      <c r="M365" s="64" t="s">
        <v>463</v>
      </c>
      <c r="N365" s="123">
        <v>2462.54</v>
      </c>
    </row>
    <row r="366" spans="1:14" hidden="1" x14ac:dyDescent="0.3">
      <c r="A366">
        <v>57</v>
      </c>
      <c r="B366" t="str">
        <v>PAGO VIEJO SOCIEDAD ANONIMA</v>
      </c>
      <c r="C366" s="6">
        <v>10000.14</v>
      </c>
      <c r="D366" s="6">
        <v>0</v>
      </c>
      <c r="E366" t="str">
        <v>Dólar Cable</v>
      </c>
      <c r="F366" t="str">
        <v xml:space="preserve"> U$S TT</v>
      </c>
      <c r="G366" t="str">
        <f>IFERROR(VLOOKUP(A366,'Clientes CBOT'!B:E,4,0),B366)</f>
        <v>PAGO VIEJO SOCIEDAD ANONIMA</v>
      </c>
      <c r="H366" t="str">
        <f t="shared" si="15"/>
        <v>Hard</v>
      </c>
      <c r="I366" s="6">
        <f t="shared" si="16"/>
        <v>10000.14</v>
      </c>
      <c r="J366">
        <f t="shared" si="17"/>
        <v>0</v>
      </c>
      <c r="M366" s="64" t="s">
        <v>602</v>
      </c>
      <c r="N366" s="123">
        <v>-0.01</v>
      </c>
    </row>
    <row r="367" spans="1:14" hidden="1" x14ac:dyDescent="0.3">
      <c r="A367">
        <v>57</v>
      </c>
      <c r="B367" t="str">
        <v>PAGO VIEJO SOCIEDAD ANONIMA</v>
      </c>
      <c r="C367" s="6">
        <v>5580</v>
      </c>
      <c r="D367" s="6">
        <v>5854</v>
      </c>
      <c r="E367" t="str">
        <v>Dólar Matba Rofex</v>
      </c>
      <c r="F367" t="str">
        <v xml:space="preserve"> U$S MR</v>
      </c>
      <c r="G367" t="str">
        <f>IFERROR(VLOOKUP(A367,'Clientes CBOT'!B:E,4,0),B367)</f>
        <v>PAGO VIEJO SOCIEDAD ANONIMA</v>
      </c>
      <c r="H367" t="str">
        <f t="shared" si="15"/>
        <v>usd linked</v>
      </c>
      <c r="I367" s="6">
        <f t="shared" si="16"/>
        <v>5580</v>
      </c>
      <c r="J367">
        <f t="shared" si="17"/>
        <v>5854</v>
      </c>
      <c r="M367" s="64" t="s">
        <v>603</v>
      </c>
      <c r="N367" s="123">
        <v>-51617439.940000005</v>
      </c>
    </row>
    <row r="368" spans="1:14" hidden="1" x14ac:dyDescent="0.3">
      <c r="A368">
        <v>53</v>
      </c>
      <c r="B368" t="str">
        <v>MAIOCCO CEREALES SA</v>
      </c>
      <c r="C368" s="6">
        <v>-2900</v>
      </c>
      <c r="D368" s="6">
        <v>0</v>
      </c>
      <c r="E368" t="str">
        <v>Dólar Matba Rofex</v>
      </c>
      <c r="F368" t="str">
        <v xml:space="preserve"> U$S MR</v>
      </c>
      <c r="G368" t="str">
        <f>IFERROR(VLOOKUP(A368,'Clientes CBOT'!B:E,4,0),B368)</f>
        <v>MAIOCCO CEREALES SA</v>
      </c>
      <c r="H368" t="str">
        <f t="shared" si="15"/>
        <v>usd linked</v>
      </c>
      <c r="I368" s="6">
        <f t="shared" si="16"/>
        <v>-2900</v>
      </c>
      <c r="J368">
        <f t="shared" si="17"/>
        <v>0</v>
      </c>
      <c r="M368" s="64" t="s">
        <v>605</v>
      </c>
      <c r="N368" s="123">
        <v>8.14</v>
      </c>
    </row>
    <row r="369" spans="1:14" hidden="1" x14ac:dyDescent="0.3">
      <c r="A369">
        <v>99</v>
      </c>
      <c r="B369" t="str">
        <v>PRIGIONI AGRO SRL</v>
      </c>
      <c r="C369" s="6">
        <v>0</v>
      </c>
      <c r="D369" s="6">
        <v>0</v>
      </c>
      <c r="E369" t="str">
        <v>Dólar Matba Rofex</v>
      </c>
      <c r="F369" t="str">
        <v xml:space="preserve"> U$S MR</v>
      </c>
      <c r="G369" t="str">
        <f>IFERROR(VLOOKUP(A369,'Clientes CBOT'!B:E,4,0),B369)</f>
        <v>PRIGIONI AGRO SRL</v>
      </c>
      <c r="H369" t="str">
        <f t="shared" si="15"/>
        <v>usd linked</v>
      </c>
      <c r="I369" s="6">
        <f t="shared" si="16"/>
        <v>0</v>
      </c>
      <c r="J369">
        <f t="shared" si="17"/>
        <v>0</v>
      </c>
      <c r="M369" s="64" t="s">
        <v>606</v>
      </c>
      <c r="N369" s="123">
        <v>15.15</v>
      </c>
    </row>
    <row r="370" spans="1:14" x14ac:dyDescent="0.3">
      <c r="A370">
        <v>169</v>
      </c>
      <c r="B370" t="str">
        <v>LIAG ARGENTINA SAU</v>
      </c>
      <c r="C370" s="6">
        <v>0</v>
      </c>
      <c r="D370" s="6">
        <v>18750</v>
      </c>
      <c r="E370" t="str">
        <v>Dólar Matba Rofex</v>
      </c>
      <c r="F370" t="str">
        <v xml:space="preserve"> U$S MR</v>
      </c>
      <c r="G370" t="str">
        <f>IFERROR(VLOOKUP(A370,'Clientes CBOT'!B:E,4,0),B370)</f>
        <v>LIAG ARGENTINA SAU</v>
      </c>
      <c r="H370" t="str">
        <f t="shared" si="15"/>
        <v>usd linked</v>
      </c>
      <c r="I370" s="6">
        <f t="shared" si="16"/>
        <v>0</v>
      </c>
      <c r="J370">
        <f t="shared" si="17"/>
        <v>18750</v>
      </c>
      <c r="M370" s="64" t="s">
        <v>607</v>
      </c>
      <c r="N370" s="123">
        <v>-1013623410.11</v>
      </c>
    </row>
    <row r="371" spans="1:14" x14ac:dyDescent="0.3">
      <c r="A371">
        <v>362</v>
      </c>
      <c r="B371" t="str">
        <v>AGRO PRECISA SA</v>
      </c>
      <c r="C371" s="6">
        <v>0</v>
      </c>
      <c r="D371" s="6">
        <v>0</v>
      </c>
      <c r="E371" t="str">
        <v>Dólar Matba Rofex</v>
      </c>
      <c r="F371" t="str">
        <v xml:space="preserve"> U$S MR</v>
      </c>
      <c r="G371" t="str">
        <f>IFERROR(VLOOKUP(A371,'Clientes CBOT'!B:E,4,0),B371)</f>
        <v>AGRO PRECISA SA</v>
      </c>
      <c r="H371" t="str">
        <f t="shared" si="15"/>
        <v>usd linked</v>
      </c>
      <c r="I371" s="6">
        <f t="shared" si="16"/>
        <v>0</v>
      </c>
      <c r="J371">
        <f t="shared" si="17"/>
        <v>0</v>
      </c>
      <c r="M371" s="64" t="s">
        <v>608</v>
      </c>
      <c r="N371" s="123">
        <v>-17854.169999999998</v>
      </c>
    </row>
    <row r="372" spans="1:14" hidden="1" x14ac:dyDescent="0.3">
      <c r="A372">
        <v>211</v>
      </c>
      <c r="B372" t="str">
        <v>AHC SA</v>
      </c>
      <c r="C372" s="6">
        <v>0</v>
      </c>
      <c r="D372" s="6">
        <v>0</v>
      </c>
      <c r="E372" t="str">
        <v>Pesos</v>
      </c>
      <c r="F372" t="str">
        <v xml:space="preserve"> $</v>
      </c>
      <c r="G372" t="str">
        <f>IFERROR(VLOOKUP(A372,'Clientes CBOT'!B:E,4,0),B372)</f>
        <v>AHC SA</v>
      </c>
      <c r="H372" t="str">
        <f t="shared" si="15"/>
        <v>Ars</v>
      </c>
      <c r="I372" s="6">
        <f t="shared" si="16"/>
        <v>0</v>
      </c>
      <c r="J372">
        <f t="shared" si="17"/>
        <v>0</v>
      </c>
      <c r="M372" s="64" t="s">
        <v>609</v>
      </c>
      <c r="N372" s="123">
        <v>24.74</v>
      </c>
    </row>
    <row r="373" spans="1:14" hidden="1" x14ac:dyDescent="0.3">
      <c r="A373">
        <v>133</v>
      </c>
      <c r="B373" t="str">
        <v>LA ZULEMA SA</v>
      </c>
      <c r="C373" s="6">
        <v>-50145276.049999997</v>
      </c>
      <c r="D373" s="6">
        <v>0.01</v>
      </c>
      <c r="E373" t="str">
        <v>Pesos</v>
      </c>
      <c r="F373" t="str">
        <v xml:space="preserve"> $</v>
      </c>
      <c r="G373" t="str">
        <f>IFERROR(VLOOKUP(A373,'Clientes CBOT'!B:E,4,0),B373)</f>
        <v>LA ZULEMA SA</v>
      </c>
      <c r="H373" t="str">
        <f t="shared" si="15"/>
        <v>Ars</v>
      </c>
      <c r="I373" s="6">
        <f t="shared" si="16"/>
        <v>-50145276.049999997</v>
      </c>
      <c r="J373">
        <f t="shared" si="17"/>
        <v>0.01</v>
      </c>
      <c r="M373" s="64" t="s">
        <v>491</v>
      </c>
      <c r="N373" s="123">
        <v>0</v>
      </c>
    </row>
    <row r="374" spans="1:14" hidden="1" x14ac:dyDescent="0.3">
      <c r="A374">
        <v>45</v>
      </c>
      <c r="B374" t="str">
        <v>H &amp; H OUTFITTERS SA</v>
      </c>
      <c r="C374" s="6">
        <v>143629199.25999999</v>
      </c>
      <c r="D374" s="6">
        <v>0.02</v>
      </c>
      <c r="E374" t="str">
        <v>Pesos</v>
      </c>
      <c r="F374" t="str">
        <v xml:space="preserve"> $</v>
      </c>
      <c r="G374" t="str">
        <f>IFERROR(VLOOKUP(A374,'Clientes CBOT'!B:E,4,0),B374)</f>
        <v>H &amp; H OUTFITTERS SA</v>
      </c>
      <c r="H374" t="str">
        <f t="shared" si="15"/>
        <v>Ars</v>
      </c>
      <c r="I374" s="6">
        <f t="shared" si="16"/>
        <v>143629199.25999999</v>
      </c>
      <c r="J374">
        <f t="shared" si="17"/>
        <v>0.02</v>
      </c>
      <c r="M374" s="64" t="s">
        <v>610</v>
      </c>
      <c r="N374" s="123">
        <v>0</v>
      </c>
    </row>
    <row r="375" spans="1:14" hidden="1" x14ac:dyDescent="0.3">
      <c r="A375">
        <v>26</v>
      </c>
      <c r="B375" t="str">
        <v>El Barrial SA</v>
      </c>
      <c r="C375" s="6">
        <v>-290724.40000000002</v>
      </c>
      <c r="D375" s="6">
        <v>0</v>
      </c>
      <c r="E375" t="str">
        <v>Pesos</v>
      </c>
      <c r="F375" t="str">
        <v xml:space="preserve"> $</v>
      </c>
      <c r="G375" t="str">
        <f>IFERROR(VLOOKUP(A375,'Clientes CBOT'!B:E,4,0),B375)</f>
        <v>El Barrial SA</v>
      </c>
      <c r="H375" t="str">
        <f t="shared" si="15"/>
        <v>Ars</v>
      </c>
      <c r="I375" s="6">
        <f t="shared" si="16"/>
        <v>-290724.40000000002</v>
      </c>
      <c r="J375">
        <f t="shared" si="17"/>
        <v>0</v>
      </c>
      <c r="M375" s="64" t="s">
        <v>611</v>
      </c>
      <c r="N375" s="123">
        <v>-48742760.880000003</v>
      </c>
    </row>
    <row r="376" spans="1:14" hidden="1" x14ac:dyDescent="0.3">
      <c r="A376">
        <v>30</v>
      </c>
      <c r="B376" t="str">
        <v>ESTANCIA LA MADRUGADA SA</v>
      </c>
      <c r="C376" s="6">
        <v>-71223199.180000007</v>
      </c>
      <c r="D376" s="6">
        <v>-0.03</v>
      </c>
      <c r="E376" t="str">
        <v>Pesos</v>
      </c>
      <c r="F376" t="str">
        <v xml:space="preserve"> $</v>
      </c>
      <c r="G376" t="str">
        <f>IFERROR(VLOOKUP(A376,'Clientes CBOT'!B:E,4,0),B376)</f>
        <v>ESTANCIA LA MADRUGADA SA</v>
      </c>
      <c r="H376" t="str">
        <f t="shared" si="15"/>
        <v>Ars</v>
      </c>
      <c r="I376" s="6">
        <f t="shared" si="16"/>
        <v>-71223199.180000007</v>
      </c>
      <c r="J376">
        <f t="shared" si="17"/>
        <v>-0.03</v>
      </c>
      <c r="M376" s="64" t="s">
        <v>612</v>
      </c>
      <c r="N376" s="123">
        <v>0</v>
      </c>
    </row>
    <row r="377" spans="1:14" hidden="1" x14ac:dyDescent="0.3">
      <c r="A377">
        <v>449</v>
      </c>
      <c r="B377" t="str">
        <v>SAN LORENZO SA</v>
      </c>
      <c r="C377" s="6">
        <v>0</v>
      </c>
      <c r="D377" s="6">
        <v>0</v>
      </c>
      <c r="E377" t="str">
        <v>Pesos</v>
      </c>
      <c r="F377" t="str">
        <v xml:space="preserve"> $</v>
      </c>
      <c r="G377" t="str">
        <f>IFERROR(VLOOKUP(A377,'Clientes CBOT'!B:E,4,0),B377)</f>
        <v>SAN LORENZO SA</v>
      </c>
      <c r="H377" t="str">
        <f t="shared" si="15"/>
        <v>Ars</v>
      </c>
      <c r="I377" s="6">
        <f t="shared" si="16"/>
        <v>0</v>
      </c>
      <c r="J377">
        <f t="shared" si="17"/>
        <v>0</v>
      </c>
      <c r="M377" s="64" t="s">
        <v>613</v>
      </c>
      <c r="N377" s="123">
        <v>0.8</v>
      </c>
    </row>
    <row r="378" spans="1:14" hidden="1" x14ac:dyDescent="0.3">
      <c r="A378">
        <v>30</v>
      </c>
      <c r="B378" t="str">
        <v>ESTANCIA LA MADRUGADA SA</v>
      </c>
      <c r="C378" s="6">
        <v>-5.29</v>
      </c>
      <c r="D378" s="6">
        <v>0</v>
      </c>
      <c r="E378" t="str">
        <v xml:space="preserve">Dólar </v>
      </c>
      <c r="F378" t="str">
        <v xml:space="preserve"> U$S</v>
      </c>
      <c r="G378" t="str">
        <f>IFERROR(VLOOKUP(A378,'Clientes CBOT'!B:E,4,0),B378)</f>
        <v>ESTANCIA LA MADRUGADA SA</v>
      </c>
      <c r="H378" t="str">
        <f t="shared" si="15"/>
        <v>Dólar</v>
      </c>
      <c r="I378" s="6">
        <f t="shared" si="16"/>
        <v>-5.29</v>
      </c>
      <c r="J378">
        <f t="shared" si="17"/>
        <v>0</v>
      </c>
      <c r="M378" s="64" t="s">
        <v>614</v>
      </c>
      <c r="N378" s="123">
        <v>3567</v>
      </c>
    </row>
    <row r="379" spans="1:14" hidden="1" x14ac:dyDescent="0.3">
      <c r="A379">
        <v>45</v>
      </c>
      <c r="B379" t="str">
        <v>H &amp; H OUTFITTERS SA</v>
      </c>
      <c r="C379" s="6">
        <v>0.6</v>
      </c>
      <c r="D379" s="6">
        <v>0</v>
      </c>
      <c r="E379" t="str">
        <v xml:space="preserve">Dólar </v>
      </c>
      <c r="F379" t="str">
        <v xml:space="preserve"> U$S</v>
      </c>
      <c r="G379" t="str">
        <f>IFERROR(VLOOKUP(A379,'Clientes CBOT'!B:E,4,0),B379)</f>
        <v>H &amp; H OUTFITTERS SA</v>
      </c>
      <c r="H379" t="str">
        <f t="shared" si="15"/>
        <v>Dólar</v>
      </c>
      <c r="I379" s="6">
        <f t="shared" si="16"/>
        <v>0.6</v>
      </c>
      <c r="J379">
        <f t="shared" si="17"/>
        <v>0</v>
      </c>
      <c r="M379" s="64" t="s">
        <v>377</v>
      </c>
      <c r="N379" s="123">
        <v>-98158.3</v>
      </c>
    </row>
    <row r="380" spans="1:14" hidden="1" x14ac:dyDescent="0.3">
      <c r="A380">
        <v>133</v>
      </c>
      <c r="B380" t="str">
        <v>LA ZULEMA SA</v>
      </c>
      <c r="C380" s="6">
        <v>-50705.04</v>
      </c>
      <c r="D380" s="6">
        <v>0</v>
      </c>
      <c r="E380" t="str">
        <v xml:space="preserve">Dólar </v>
      </c>
      <c r="F380" t="str">
        <v xml:space="preserve"> U$S</v>
      </c>
      <c r="G380" t="str">
        <f>IFERROR(VLOOKUP(A380,'Clientes CBOT'!B:E,4,0),B380)</f>
        <v>LA ZULEMA SA</v>
      </c>
      <c r="H380" t="str">
        <f t="shared" si="15"/>
        <v>Dólar</v>
      </c>
      <c r="I380" s="6">
        <f t="shared" si="16"/>
        <v>-50705.04</v>
      </c>
      <c r="J380">
        <f t="shared" si="17"/>
        <v>0</v>
      </c>
      <c r="M380" s="64" t="s">
        <v>615</v>
      </c>
      <c r="N380" s="123">
        <v>0</v>
      </c>
    </row>
    <row r="381" spans="1:14" hidden="1" x14ac:dyDescent="0.3">
      <c r="A381">
        <v>133</v>
      </c>
      <c r="B381" t="str">
        <v>LA ZULEMA SA</v>
      </c>
      <c r="C381" s="6">
        <v>-0.06</v>
      </c>
      <c r="D381" s="6">
        <v>0</v>
      </c>
      <c r="E381" t="str">
        <v>Dólar Cable</v>
      </c>
      <c r="F381" t="str">
        <v xml:space="preserve"> U$S TT</v>
      </c>
      <c r="G381" t="str">
        <f>IFERROR(VLOOKUP(A381,'Clientes CBOT'!B:E,4,0),B381)</f>
        <v>LA ZULEMA SA</v>
      </c>
      <c r="H381" t="str">
        <f t="shared" si="15"/>
        <v>Hard</v>
      </c>
      <c r="I381" s="6">
        <f t="shared" si="16"/>
        <v>-0.06</v>
      </c>
      <c r="J381">
        <f t="shared" si="17"/>
        <v>0</v>
      </c>
      <c r="M381" s="64" t="s">
        <v>616</v>
      </c>
      <c r="N381" s="123">
        <v>-36.57</v>
      </c>
    </row>
    <row r="382" spans="1:14" hidden="1" x14ac:dyDescent="0.3">
      <c r="A382">
        <v>30</v>
      </c>
      <c r="B382" t="str">
        <v>ESTANCIA LA MADRUGADA SA</v>
      </c>
      <c r="C382" s="6">
        <v>0</v>
      </c>
      <c r="D382" s="6">
        <v>0</v>
      </c>
      <c r="E382" t="str">
        <v>Dólar Cable</v>
      </c>
      <c r="F382" t="str">
        <v xml:space="preserve"> U$S TT</v>
      </c>
      <c r="G382" t="str">
        <f>IFERROR(VLOOKUP(A382,'Clientes CBOT'!B:E,4,0),B382)</f>
        <v>ESTANCIA LA MADRUGADA SA</v>
      </c>
      <c r="H382" t="str">
        <f t="shared" si="15"/>
        <v>Hard</v>
      </c>
      <c r="I382" s="6">
        <f t="shared" si="16"/>
        <v>0</v>
      </c>
      <c r="J382">
        <f t="shared" si="17"/>
        <v>0</v>
      </c>
      <c r="M382" s="64" t="s">
        <v>617</v>
      </c>
      <c r="N382" s="123">
        <v>0</v>
      </c>
    </row>
    <row r="383" spans="1:14" hidden="1" x14ac:dyDescent="0.3">
      <c r="A383">
        <v>26</v>
      </c>
      <c r="B383" t="str">
        <v>El Barrial SA</v>
      </c>
      <c r="C383" s="6">
        <v>-503.4</v>
      </c>
      <c r="D383" s="6">
        <v>0</v>
      </c>
      <c r="E383" t="str">
        <v>Dólar Matba Rofex</v>
      </c>
      <c r="F383" t="str">
        <v xml:space="preserve"> U$S MR</v>
      </c>
      <c r="G383" t="str">
        <f>IFERROR(VLOOKUP(A383,'Clientes CBOT'!B:E,4,0),B383)</f>
        <v>El Barrial SA</v>
      </c>
      <c r="H383" t="str">
        <f t="shared" si="15"/>
        <v>usd linked</v>
      </c>
      <c r="I383" s="6">
        <f t="shared" si="16"/>
        <v>-503.4</v>
      </c>
      <c r="J383">
        <f t="shared" si="17"/>
        <v>0</v>
      </c>
      <c r="M383" s="64" t="s">
        <v>618</v>
      </c>
      <c r="N383" s="123">
        <v>0.97</v>
      </c>
    </row>
    <row r="384" spans="1:14" hidden="1" x14ac:dyDescent="0.3">
      <c r="A384">
        <v>45</v>
      </c>
      <c r="B384" t="str">
        <v>H &amp; H OUTFITTERS SA</v>
      </c>
      <c r="C384" s="6">
        <v>0</v>
      </c>
      <c r="D384" s="6">
        <v>0</v>
      </c>
      <c r="E384" t="str">
        <v>Dólar Matba Rofex</v>
      </c>
      <c r="F384" t="str">
        <v xml:space="preserve"> U$S MR</v>
      </c>
      <c r="G384" t="str">
        <f>IFERROR(VLOOKUP(A384,'Clientes CBOT'!B:E,4,0),B384)</f>
        <v>H &amp; H OUTFITTERS SA</v>
      </c>
      <c r="H384" t="str">
        <f t="shared" si="15"/>
        <v>usd linked</v>
      </c>
      <c r="I384" s="6">
        <f t="shared" si="16"/>
        <v>0</v>
      </c>
      <c r="J384">
        <f t="shared" si="17"/>
        <v>0</v>
      </c>
      <c r="M384" s="64" t="s">
        <v>619</v>
      </c>
      <c r="N384" s="123">
        <v>339973.76</v>
      </c>
    </row>
    <row r="385" spans="1:14" hidden="1" x14ac:dyDescent="0.3">
      <c r="A385">
        <v>449</v>
      </c>
      <c r="B385" t="str">
        <v>SAN LORENZO SA</v>
      </c>
      <c r="C385" s="6">
        <v>0</v>
      </c>
      <c r="D385" s="6">
        <v>0</v>
      </c>
      <c r="E385" t="str">
        <v>Dólar Matba Rofex</v>
      </c>
      <c r="F385" t="str">
        <v xml:space="preserve"> U$S MR</v>
      </c>
      <c r="G385" t="str">
        <f>IFERROR(VLOOKUP(A385,'Clientes CBOT'!B:E,4,0),B385)</f>
        <v>SAN LORENZO SA</v>
      </c>
      <c r="H385" t="str">
        <f t="shared" si="15"/>
        <v>usd linked</v>
      </c>
      <c r="I385" s="6">
        <f t="shared" si="16"/>
        <v>0</v>
      </c>
      <c r="J385">
        <f t="shared" si="17"/>
        <v>0</v>
      </c>
      <c r="M385" s="64" t="s">
        <v>122</v>
      </c>
      <c r="N385" s="123">
        <v>-193604484.66000003</v>
      </c>
    </row>
    <row r="386" spans="1:14" hidden="1" x14ac:dyDescent="0.3">
      <c r="A386">
        <v>133</v>
      </c>
      <c r="B386" t="str">
        <v>LA ZULEMA SA</v>
      </c>
      <c r="C386" s="6">
        <v>-2882.82</v>
      </c>
      <c r="D386" s="6">
        <v>3184.9</v>
      </c>
      <c r="E386" t="str">
        <v>Dólar Matba Rofex</v>
      </c>
      <c r="F386" t="str">
        <v xml:space="preserve"> U$S MR</v>
      </c>
      <c r="G386" t="str">
        <f>IFERROR(VLOOKUP(A386,'Clientes CBOT'!B:E,4,0),B386)</f>
        <v>LA ZULEMA SA</v>
      </c>
      <c r="H386" t="str">
        <f t="shared" si="15"/>
        <v>usd linked</v>
      </c>
      <c r="I386" s="6">
        <f t="shared" si="16"/>
        <v>-2882.82</v>
      </c>
      <c r="J386">
        <f t="shared" si="17"/>
        <v>3184.9</v>
      </c>
      <c r="M386" s="64" t="s">
        <v>620</v>
      </c>
      <c r="N386" s="123">
        <v>1110.5</v>
      </c>
    </row>
    <row r="387" spans="1:14" hidden="1" x14ac:dyDescent="0.3">
      <c r="A387">
        <v>211</v>
      </c>
      <c r="B387" t="str">
        <v>AHC SA</v>
      </c>
      <c r="C387" s="6">
        <v>0</v>
      </c>
      <c r="D387" s="6">
        <v>0</v>
      </c>
      <c r="E387" t="str">
        <v>Dólar Matba Rofex</v>
      </c>
      <c r="F387" t="str">
        <v xml:space="preserve"> U$S MR</v>
      </c>
      <c r="G387" t="str">
        <f>IFERROR(VLOOKUP(A387,'Clientes CBOT'!B:E,4,0),B387)</f>
        <v>AHC SA</v>
      </c>
      <c r="H387" t="str">
        <f t="shared" si="15"/>
        <v>usd linked</v>
      </c>
      <c r="I387" s="6">
        <f t="shared" si="16"/>
        <v>0</v>
      </c>
      <c r="J387">
        <f t="shared" si="17"/>
        <v>0</v>
      </c>
      <c r="M387" s="64" t="s">
        <v>621</v>
      </c>
      <c r="N387" s="123">
        <v>-0.01</v>
      </c>
    </row>
    <row r="388" spans="1:14" hidden="1" x14ac:dyDescent="0.3">
      <c r="A388">
        <v>249</v>
      </c>
      <c r="B388" t="str">
        <v>AGROPECUARIA LA COSECHA SA</v>
      </c>
      <c r="C388" s="6">
        <v>-0.01</v>
      </c>
      <c r="D388" s="6">
        <v>-0.01</v>
      </c>
      <c r="E388" t="str">
        <v>Pesos</v>
      </c>
      <c r="F388" t="str">
        <v xml:space="preserve"> $</v>
      </c>
      <c r="G388" t="str">
        <f>IFERROR(VLOOKUP(A388,'Clientes CBOT'!B:E,4,0),B388)</f>
        <v>AGROPECUARIA LA COSECHA SA</v>
      </c>
      <c r="H388" t="str">
        <f t="shared" si="15"/>
        <v>Ars</v>
      </c>
      <c r="I388" s="6">
        <f t="shared" si="16"/>
        <v>-0.01</v>
      </c>
      <c r="J388">
        <f t="shared" si="17"/>
        <v>-0.01</v>
      </c>
      <c r="M388" s="64" t="s">
        <v>585</v>
      </c>
      <c r="N388" s="123">
        <v>11.88</v>
      </c>
    </row>
    <row r="389" spans="1:14" hidden="1" x14ac:dyDescent="0.3">
      <c r="A389">
        <v>352</v>
      </c>
      <c r="B389" t="str">
        <v>EL NORTE CORDOBES SRL</v>
      </c>
      <c r="C389" s="6">
        <v>0</v>
      </c>
      <c r="D389" s="6">
        <v>0</v>
      </c>
      <c r="E389" t="str">
        <v>Pesos</v>
      </c>
      <c r="F389" t="str">
        <v xml:space="preserve"> $</v>
      </c>
      <c r="G389" t="str">
        <f>IFERROR(VLOOKUP(A389,'Clientes CBOT'!B:E,4,0),B389)</f>
        <v>EL NORTE CORDOBES SRL</v>
      </c>
      <c r="H389" t="str">
        <f t="shared" ref="H389:H452" si="18">IF(E389="pesos","Ars",IF(E389="Dólar Matba Rofex","usd linked",IF(F389=" U$S TT","Hard","Dólar")))</f>
        <v>Ars</v>
      </c>
      <c r="I389" s="6">
        <f t="shared" ref="I389:I452" si="19">IF(H389="ars",C389/$J$1,IF(H389="Hard",C389*$J$2/$J$1,C389))</f>
        <v>0</v>
      </c>
      <c r="J389">
        <f t="shared" ref="J389:J452" si="20">IF(H389="ars",D389/$J$1,IF(H389="hard",D389*$J$2/$J$1,D389))</f>
        <v>0</v>
      </c>
      <c r="M389" s="64" t="s">
        <v>508</v>
      </c>
      <c r="N389" s="123">
        <v>0</v>
      </c>
    </row>
    <row r="390" spans="1:14" hidden="1" x14ac:dyDescent="0.3">
      <c r="A390">
        <v>367</v>
      </c>
      <c r="B390" t="str">
        <v>DUTTO OSCAR HECTOR LUIS</v>
      </c>
      <c r="C390" s="6">
        <v>12069.81</v>
      </c>
      <c r="D390" s="6">
        <v>0</v>
      </c>
      <c r="E390" t="str">
        <v>Pesos</v>
      </c>
      <c r="F390" t="str">
        <v xml:space="preserve"> $</v>
      </c>
      <c r="G390" t="str">
        <f>IFERROR(VLOOKUP(A390,'Clientes CBOT'!B:E,4,0),B390)</f>
        <v>DUTTO OSCAR HECTOR LUIS</v>
      </c>
      <c r="H390" t="str">
        <f t="shared" si="18"/>
        <v>Ars</v>
      </c>
      <c r="I390" s="6">
        <f t="shared" si="19"/>
        <v>12069.81</v>
      </c>
      <c r="J390">
        <f t="shared" si="20"/>
        <v>0</v>
      </c>
      <c r="M390" s="64" t="s">
        <v>431</v>
      </c>
      <c r="N390" s="123">
        <v>-511540.73</v>
      </c>
    </row>
    <row r="391" spans="1:14" x14ac:dyDescent="0.3">
      <c r="A391">
        <v>280</v>
      </c>
      <c r="B391" t="str">
        <v>RODRIGUEZ LUIS MARIA</v>
      </c>
      <c r="C391" s="6">
        <v>0</v>
      </c>
      <c r="D391" s="6">
        <v>0.02</v>
      </c>
      <c r="E391" t="str">
        <v>Pesos</v>
      </c>
      <c r="F391" t="str">
        <v xml:space="preserve"> $</v>
      </c>
      <c r="G391" t="str">
        <f>IFERROR(VLOOKUP(A391,'Clientes CBOT'!B:E,4,0),B391)</f>
        <v>RODRIGUEZ LUIS MARIA</v>
      </c>
      <c r="H391" t="str">
        <f t="shared" si="18"/>
        <v>Ars</v>
      </c>
      <c r="I391" s="6">
        <f t="shared" si="19"/>
        <v>0</v>
      </c>
      <c r="J391">
        <f t="shared" si="20"/>
        <v>0.02</v>
      </c>
      <c r="M391" s="64" t="s">
        <v>517</v>
      </c>
      <c r="N391" s="123">
        <v>0</v>
      </c>
    </row>
    <row r="392" spans="1:14" x14ac:dyDescent="0.3">
      <c r="A392">
        <v>286</v>
      </c>
      <c r="B392" t="str">
        <v>SURI YACO S.R.L.</v>
      </c>
      <c r="C392" s="6">
        <v>-48742764.600000001</v>
      </c>
      <c r="D392" s="6">
        <v>-0.06</v>
      </c>
      <c r="E392" t="str">
        <v>Pesos</v>
      </c>
      <c r="F392" t="str">
        <v xml:space="preserve"> $</v>
      </c>
      <c r="G392" t="str">
        <f>IFERROR(VLOOKUP(A392,'Clientes CBOT'!B:E,4,0),B392)</f>
        <v>SURI YACO S.R.L.</v>
      </c>
      <c r="H392" t="str">
        <f t="shared" si="18"/>
        <v>Ars</v>
      </c>
      <c r="I392" s="6">
        <f t="shared" si="19"/>
        <v>-48742764.600000001</v>
      </c>
      <c r="J392">
        <f t="shared" si="20"/>
        <v>-0.06</v>
      </c>
      <c r="M392" s="64" t="s">
        <v>493</v>
      </c>
      <c r="N392" s="123">
        <v>0</v>
      </c>
    </row>
    <row r="393" spans="1:14" hidden="1" x14ac:dyDescent="0.3">
      <c r="A393">
        <v>128</v>
      </c>
      <c r="B393" t="str">
        <v>VILUCO SA</v>
      </c>
      <c r="C393" s="6">
        <v>-101.21</v>
      </c>
      <c r="D393" s="6">
        <v>0</v>
      </c>
      <c r="E393" t="str">
        <v>Pesos</v>
      </c>
      <c r="F393" t="str">
        <v xml:space="preserve"> $</v>
      </c>
      <c r="G393" t="str">
        <f>IFERROR(VLOOKUP(A393,'Clientes CBOT'!B:E,4,0),B393)</f>
        <v>VILUCO SA</v>
      </c>
      <c r="H393" t="str">
        <f t="shared" si="18"/>
        <v>Ars</v>
      </c>
      <c r="I393" s="6">
        <f t="shared" si="19"/>
        <v>-101.21</v>
      </c>
      <c r="J393">
        <f t="shared" si="20"/>
        <v>0</v>
      </c>
      <c r="M393" s="64" t="s">
        <v>622</v>
      </c>
      <c r="N393" s="123">
        <v>0</v>
      </c>
    </row>
    <row r="394" spans="1:14" hidden="1" x14ac:dyDescent="0.3">
      <c r="A394">
        <v>506</v>
      </c>
      <c r="B394" t="str">
        <v>CULTIVOS SERI SA</v>
      </c>
      <c r="C394" s="6">
        <v>-7698.88</v>
      </c>
      <c r="D394" s="6">
        <v>0</v>
      </c>
      <c r="E394" t="str">
        <v>Pesos</v>
      </c>
      <c r="F394" t="str">
        <v xml:space="preserve"> $</v>
      </c>
      <c r="G394" t="str">
        <f>IFERROR(VLOOKUP(A394,'Clientes CBOT'!B:E,4,0),B394)</f>
        <v>CULTIVOS SERI SA</v>
      </c>
      <c r="H394" t="str">
        <f t="shared" si="18"/>
        <v>Ars</v>
      </c>
      <c r="I394" s="6">
        <f t="shared" si="19"/>
        <v>-7698.88</v>
      </c>
      <c r="J394">
        <f t="shared" si="20"/>
        <v>0</v>
      </c>
      <c r="M394" s="64" t="s">
        <v>623</v>
      </c>
      <c r="N394" s="123">
        <v>0</v>
      </c>
    </row>
    <row r="395" spans="1:14" hidden="1" x14ac:dyDescent="0.3">
      <c r="A395">
        <v>450</v>
      </c>
      <c r="B395" t="str">
        <v>RCM SA</v>
      </c>
      <c r="C395" s="6">
        <v>1869.56</v>
      </c>
      <c r="D395" s="6">
        <v>0</v>
      </c>
      <c r="E395" t="str">
        <v>Pesos</v>
      </c>
      <c r="F395" t="str">
        <v xml:space="preserve"> $</v>
      </c>
      <c r="G395" t="str">
        <f>IFERROR(VLOOKUP(A395,'Clientes CBOT'!B:E,4,0),B395)</f>
        <v>RCM SA</v>
      </c>
      <c r="H395" t="str">
        <f t="shared" si="18"/>
        <v>Ars</v>
      </c>
      <c r="I395" s="6">
        <f t="shared" si="19"/>
        <v>1869.56</v>
      </c>
      <c r="J395">
        <f t="shared" si="20"/>
        <v>0</v>
      </c>
      <c r="M395" s="64" t="s">
        <v>438</v>
      </c>
      <c r="N395" s="123">
        <v>1007.7</v>
      </c>
    </row>
    <row r="396" spans="1:14" hidden="1" x14ac:dyDescent="0.3">
      <c r="A396">
        <v>455</v>
      </c>
      <c r="B396" t="str">
        <v>JUAMARITA SA</v>
      </c>
      <c r="C396" s="6">
        <v>488750</v>
      </c>
      <c r="D396" s="6">
        <v>0.01</v>
      </c>
      <c r="E396" t="str">
        <v>Pesos</v>
      </c>
      <c r="F396" t="str">
        <v xml:space="preserve"> $</v>
      </c>
      <c r="G396" t="str">
        <f>IFERROR(VLOOKUP(A396,'Clientes CBOT'!B:E,4,0),B396)</f>
        <v>JUAMARITA SA</v>
      </c>
      <c r="H396" t="str">
        <f t="shared" si="18"/>
        <v>Ars</v>
      </c>
      <c r="I396" s="6">
        <f t="shared" si="19"/>
        <v>488750</v>
      </c>
      <c r="J396">
        <f t="shared" si="20"/>
        <v>0.01</v>
      </c>
      <c r="M396" s="64" t="s">
        <v>625</v>
      </c>
      <c r="N396" s="123">
        <v>2820.94</v>
      </c>
    </row>
    <row r="397" spans="1:14" hidden="1" x14ac:dyDescent="0.3">
      <c r="A397">
        <v>444</v>
      </c>
      <c r="B397" t="str">
        <v>LIPSA SRL</v>
      </c>
      <c r="C397" s="6">
        <v>-9002.11</v>
      </c>
      <c r="D397" s="6">
        <v>0.04</v>
      </c>
      <c r="E397" t="str">
        <v>Pesos</v>
      </c>
      <c r="F397" t="str">
        <v xml:space="preserve"> $</v>
      </c>
      <c r="G397" t="str">
        <f>IFERROR(VLOOKUP(A397,'Clientes CBOT'!B:E,4,0),B397)</f>
        <v>LIPSA SRL</v>
      </c>
      <c r="H397" t="str">
        <f t="shared" si="18"/>
        <v>Ars</v>
      </c>
      <c r="I397" s="6">
        <f t="shared" si="19"/>
        <v>-9002.11</v>
      </c>
      <c r="J397">
        <f t="shared" si="20"/>
        <v>0.04</v>
      </c>
      <c r="M397" s="64" t="s">
        <v>626</v>
      </c>
      <c r="N397" s="123">
        <v>59570.280000000006</v>
      </c>
    </row>
    <row r="398" spans="1:14" hidden="1" x14ac:dyDescent="0.3">
      <c r="A398">
        <v>467</v>
      </c>
      <c r="B398" t="str">
        <v>REMIS NICOLAS</v>
      </c>
      <c r="C398" s="6">
        <v>-164030.39999999999</v>
      </c>
      <c r="D398" s="6">
        <v>0</v>
      </c>
      <c r="E398" t="str">
        <v>Pesos</v>
      </c>
      <c r="F398" t="str">
        <v xml:space="preserve"> $</v>
      </c>
      <c r="G398" t="str">
        <f>IFERROR(VLOOKUP(A398,'Clientes CBOT'!B:E,4,0),B398)</f>
        <v>REMIS NICOLAS</v>
      </c>
      <c r="H398" t="str">
        <f t="shared" si="18"/>
        <v>Ars</v>
      </c>
      <c r="I398" s="6">
        <f t="shared" si="19"/>
        <v>-164030.39999999999</v>
      </c>
      <c r="J398">
        <f t="shared" si="20"/>
        <v>0</v>
      </c>
      <c r="M398" s="64" t="s">
        <v>374</v>
      </c>
      <c r="N398" s="123">
        <v>29.6</v>
      </c>
    </row>
    <row r="399" spans="1:14" hidden="1" x14ac:dyDescent="0.3">
      <c r="A399">
        <v>467</v>
      </c>
      <c r="B399" t="str">
        <v>REMIS NICOLAS</v>
      </c>
      <c r="C399" s="6">
        <v>120260.66</v>
      </c>
      <c r="D399" s="6">
        <v>0</v>
      </c>
      <c r="E399" t="str">
        <v xml:space="preserve">Dólar </v>
      </c>
      <c r="F399" t="str">
        <v xml:space="preserve"> U$S</v>
      </c>
      <c r="G399" t="str">
        <f>IFERROR(VLOOKUP(A399,'Clientes CBOT'!B:E,4,0),B399)</f>
        <v>REMIS NICOLAS</v>
      </c>
      <c r="H399" t="str">
        <f t="shared" si="18"/>
        <v>Dólar</v>
      </c>
      <c r="I399" s="6">
        <f t="shared" si="19"/>
        <v>120260.66</v>
      </c>
      <c r="J399">
        <f t="shared" si="20"/>
        <v>0</v>
      </c>
      <c r="M399" s="64" t="s">
        <v>482</v>
      </c>
      <c r="N399" s="123">
        <v>-101.21</v>
      </c>
    </row>
    <row r="400" spans="1:14" hidden="1" x14ac:dyDescent="0.3">
      <c r="A400">
        <v>444</v>
      </c>
      <c r="B400" t="str">
        <v>LIPSA SRL</v>
      </c>
      <c r="C400" s="6">
        <v>0.05</v>
      </c>
      <c r="D400" s="6">
        <v>0</v>
      </c>
      <c r="E400" t="str">
        <v xml:space="preserve">Dólar </v>
      </c>
      <c r="F400" t="str">
        <v xml:space="preserve"> U$S</v>
      </c>
      <c r="G400" t="str">
        <f>IFERROR(VLOOKUP(A400,'Clientes CBOT'!B:E,4,0),B400)</f>
        <v>LIPSA SRL</v>
      </c>
      <c r="H400" t="str">
        <f t="shared" si="18"/>
        <v>Dólar</v>
      </c>
      <c r="I400" s="6">
        <f t="shared" si="19"/>
        <v>0.05</v>
      </c>
      <c r="J400">
        <f t="shared" si="20"/>
        <v>0</v>
      </c>
      <c r="M400" s="64" t="s">
        <v>589</v>
      </c>
      <c r="N400" s="123">
        <v>-209136.61</v>
      </c>
    </row>
    <row r="401" spans="1:14" hidden="1" x14ac:dyDescent="0.3">
      <c r="A401">
        <v>455</v>
      </c>
      <c r="B401" t="str">
        <v>JUAMARITA SA</v>
      </c>
      <c r="C401" s="6">
        <v>0</v>
      </c>
      <c r="D401" s="6">
        <v>0</v>
      </c>
      <c r="E401" t="str">
        <v xml:space="preserve">Dólar </v>
      </c>
      <c r="F401" t="str">
        <v xml:space="preserve"> U$S</v>
      </c>
      <c r="G401" t="str">
        <f>IFERROR(VLOOKUP(A401,'Clientes CBOT'!B:E,4,0),B401)</f>
        <v>JUAMARITA SA</v>
      </c>
      <c r="H401" t="str">
        <f t="shared" si="18"/>
        <v>Dólar</v>
      </c>
      <c r="I401" s="6">
        <f t="shared" si="19"/>
        <v>0</v>
      </c>
      <c r="J401">
        <f t="shared" si="20"/>
        <v>0</v>
      </c>
      <c r="M401" s="64" t="s">
        <v>627</v>
      </c>
      <c r="N401" s="123">
        <v>0</v>
      </c>
    </row>
    <row r="402" spans="1:14" hidden="1" x14ac:dyDescent="0.3">
      <c r="A402">
        <v>450</v>
      </c>
      <c r="B402" t="str">
        <v>RCM SA</v>
      </c>
      <c r="C402" s="6">
        <v>0</v>
      </c>
      <c r="D402" s="6">
        <v>0</v>
      </c>
      <c r="E402" t="str">
        <v xml:space="preserve">Dólar </v>
      </c>
      <c r="F402" t="str">
        <v xml:space="preserve"> U$S</v>
      </c>
      <c r="G402" t="str">
        <f>IFERROR(VLOOKUP(A402,'Clientes CBOT'!B:E,4,0),B402)</f>
        <v>RCM SA</v>
      </c>
      <c r="H402" t="str">
        <f t="shared" si="18"/>
        <v>Dólar</v>
      </c>
      <c r="I402" s="6">
        <f t="shared" si="19"/>
        <v>0</v>
      </c>
      <c r="J402">
        <f t="shared" si="20"/>
        <v>0</v>
      </c>
      <c r="M402" s="64" t="s">
        <v>384</v>
      </c>
      <c r="N402" s="123">
        <v>4146655.53</v>
      </c>
    </row>
    <row r="403" spans="1:14" hidden="1" x14ac:dyDescent="0.3">
      <c r="A403">
        <v>286</v>
      </c>
      <c r="B403" t="str">
        <v>SURI YACO S.R.L.</v>
      </c>
      <c r="C403" s="6">
        <v>3.72</v>
      </c>
      <c r="D403" s="6">
        <v>0</v>
      </c>
      <c r="E403" t="str">
        <v xml:space="preserve">Dólar </v>
      </c>
      <c r="F403" t="str">
        <v xml:space="preserve"> U$S</v>
      </c>
      <c r="G403" t="str">
        <f>IFERROR(VLOOKUP(A403,'Clientes CBOT'!B:E,4,0),B403)</f>
        <v>SURI YACO S.R.L.</v>
      </c>
      <c r="H403" t="str">
        <f t="shared" si="18"/>
        <v>Dólar</v>
      </c>
      <c r="I403" s="6">
        <f t="shared" si="19"/>
        <v>3.72</v>
      </c>
      <c r="J403">
        <f t="shared" si="20"/>
        <v>0</v>
      </c>
      <c r="M403" s="64" t="s">
        <v>628</v>
      </c>
      <c r="N403" s="123">
        <v>0.53</v>
      </c>
    </row>
    <row r="404" spans="1:14" hidden="1" x14ac:dyDescent="0.3">
      <c r="A404">
        <v>455</v>
      </c>
      <c r="B404" t="str">
        <v>JUAMARITA SA</v>
      </c>
      <c r="C404" s="6">
        <v>898.52</v>
      </c>
      <c r="D404" s="6">
        <v>0</v>
      </c>
      <c r="E404" t="str">
        <v>Dólar Cable</v>
      </c>
      <c r="F404" t="str">
        <v xml:space="preserve"> U$S TT</v>
      </c>
      <c r="G404" t="str">
        <f>IFERROR(VLOOKUP(A404,'Clientes CBOT'!B:E,4,0),B404)</f>
        <v>JUAMARITA SA</v>
      </c>
      <c r="H404" t="str">
        <f t="shared" si="18"/>
        <v>Hard</v>
      </c>
      <c r="I404" s="6">
        <f t="shared" si="19"/>
        <v>898.52</v>
      </c>
      <c r="J404">
        <f t="shared" si="20"/>
        <v>0</v>
      </c>
      <c r="M404" s="64" t="s">
        <v>629</v>
      </c>
      <c r="N404" s="123">
        <v>26759.239999999998</v>
      </c>
    </row>
    <row r="405" spans="1:14" hidden="1" x14ac:dyDescent="0.3">
      <c r="A405">
        <v>444</v>
      </c>
      <c r="B405" t="str">
        <v>LIPSA SRL</v>
      </c>
      <c r="C405" s="6">
        <v>0</v>
      </c>
      <c r="D405" s="6">
        <v>0</v>
      </c>
      <c r="E405" t="str">
        <v>Dólar Cable</v>
      </c>
      <c r="F405" t="str">
        <v xml:space="preserve"> U$S TT</v>
      </c>
      <c r="G405" t="str">
        <f>IFERROR(VLOOKUP(A405,'Clientes CBOT'!B:E,4,0),B405)</f>
        <v>LIPSA SRL</v>
      </c>
      <c r="H405" t="str">
        <f t="shared" si="18"/>
        <v>Hard</v>
      </c>
      <c r="I405" s="6">
        <f t="shared" si="19"/>
        <v>0</v>
      </c>
      <c r="J405">
        <f t="shared" si="20"/>
        <v>0</v>
      </c>
      <c r="M405" s="64" t="s">
        <v>630</v>
      </c>
      <c r="N405" s="123">
        <v>0</v>
      </c>
    </row>
    <row r="406" spans="1:14" x14ac:dyDescent="0.3">
      <c r="A406">
        <v>444</v>
      </c>
      <c r="B406" t="str">
        <v>LIPSA SRL</v>
      </c>
      <c r="C406" s="6">
        <v>0</v>
      </c>
      <c r="D406" s="6">
        <v>0</v>
      </c>
      <c r="E406" t="str">
        <v>Dólar Matba Rofex</v>
      </c>
      <c r="F406" t="str">
        <v xml:space="preserve"> U$S MR</v>
      </c>
      <c r="G406" t="str">
        <f>IFERROR(VLOOKUP(A406,'Clientes CBOT'!B:E,4,0),B406)</f>
        <v>LIPSA SRL</v>
      </c>
      <c r="H406" t="str">
        <f t="shared" si="18"/>
        <v>usd linked</v>
      </c>
      <c r="I406" s="6">
        <f t="shared" si="19"/>
        <v>0</v>
      </c>
      <c r="J406">
        <f t="shared" si="20"/>
        <v>0</v>
      </c>
      <c r="M406" s="64" t="s">
        <v>646</v>
      </c>
      <c r="N406" s="123">
        <v>0</v>
      </c>
    </row>
    <row r="407" spans="1:14" x14ac:dyDescent="0.3">
      <c r="A407">
        <v>455</v>
      </c>
      <c r="B407" t="str">
        <v>JUAMARITA SA</v>
      </c>
      <c r="C407" s="6">
        <v>0</v>
      </c>
      <c r="D407" s="6">
        <v>0</v>
      </c>
      <c r="E407" t="str">
        <v>Dólar Matba Rofex</v>
      </c>
      <c r="F407" t="str">
        <v xml:space="preserve"> U$S MR</v>
      </c>
      <c r="G407" t="str">
        <f>IFERROR(VLOOKUP(A407,'Clientes CBOT'!B:E,4,0),B407)</f>
        <v>JUAMARITA SA</v>
      </c>
      <c r="H407" t="str">
        <f t="shared" si="18"/>
        <v>usd linked</v>
      </c>
      <c r="I407" s="6">
        <f t="shared" si="19"/>
        <v>0</v>
      </c>
      <c r="J407">
        <f t="shared" si="20"/>
        <v>0</v>
      </c>
      <c r="M407" s="64" t="s">
        <v>647</v>
      </c>
      <c r="N407" s="123">
        <v>8039.65</v>
      </c>
    </row>
    <row r="408" spans="1:14" hidden="1" x14ac:dyDescent="0.3">
      <c r="A408">
        <v>506</v>
      </c>
      <c r="B408" t="str">
        <v>CULTIVOS SERI SA</v>
      </c>
      <c r="C408" s="6">
        <v>0</v>
      </c>
      <c r="D408" s="6">
        <v>0</v>
      </c>
      <c r="E408" t="str">
        <v>Dólar Matba Rofex</v>
      </c>
      <c r="F408" t="str">
        <v xml:space="preserve"> U$S MR</v>
      </c>
      <c r="G408" t="str">
        <f>IFERROR(VLOOKUP(A408,'Clientes CBOT'!B:E,4,0),B408)</f>
        <v>CULTIVOS SERI SA</v>
      </c>
      <c r="H408" t="str">
        <f t="shared" si="18"/>
        <v>usd linked</v>
      </c>
      <c r="I408" s="6">
        <f t="shared" si="19"/>
        <v>0</v>
      </c>
      <c r="J408">
        <f t="shared" si="20"/>
        <v>0</v>
      </c>
      <c r="M408" s="64" t="s">
        <v>649</v>
      </c>
      <c r="N408" s="123">
        <v>-2.46</v>
      </c>
    </row>
    <row r="409" spans="1:14" hidden="1" x14ac:dyDescent="0.3">
      <c r="A409">
        <v>128</v>
      </c>
      <c r="B409" t="str">
        <v>VILUCO SA</v>
      </c>
      <c r="C409" s="6">
        <v>0</v>
      </c>
      <c r="D409" s="6">
        <v>112322.38</v>
      </c>
      <c r="E409" t="str">
        <v>Dólar Matba Rofex</v>
      </c>
      <c r="F409" t="str">
        <v xml:space="preserve"> U$S MR</v>
      </c>
      <c r="G409" t="str">
        <f>IFERROR(VLOOKUP(A409,'Clientes CBOT'!B:E,4,0),B409)</f>
        <v>VILUCO SA</v>
      </c>
      <c r="H409" t="str">
        <f t="shared" si="18"/>
        <v>usd linked</v>
      </c>
      <c r="I409" s="6">
        <f t="shared" si="19"/>
        <v>0</v>
      </c>
      <c r="J409">
        <f t="shared" si="20"/>
        <v>112322.38</v>
      </c>
      <c r="M409" s="64" t="s">
        <v>650</v>
      </c>
      <c r="N409" s="123">
        <v>29499.38</v>
      </c>
    </row>
    <row r="410" spans="1:14" hidden="1" x14ac:dyDescent="0.3">
      <c r="A410">
        <v>286</v>
      </c>
      <c r="B410" t="str">
        <v>SURI YACO S.R.L.</v>
      </c>
      <c r="C410" s="6">
        <v>0</v>
      </c>
      <c r="D410" s="6">
        <v>18322.78</v>
      </c>
      <c r="E410" t="str">
        <v>Dólar Matba Rofex</v>
      </c>
      <c r="F410" t="str">
        <v xml:space="preserve"> U$S MR</v>
      </c>
      <c r="G410" t="str">
        <f>IFERROR(VLOOKUP(A410,'Clientes CBOT'!B:E,4,0),B410)</f>
        <v>SURI YACO S.R.L.</v>
      </c>
      <c r="H410" t="str">
        <f t="shared" si="18"/>
        <v>usd linked</v>
      </c>
      <c r="I410" s="6">
        <f t="shared" si="19"/>
        <v>0</v>
      </c>
      <c r="J410">
        <f t="shared" si="20"/>
        <v>18322.78</v>
      </c>
      <c r="M410" s="64" t="s">
        <v>673</v>
      </c>
      <c r="N410" s="123">
        <v>0</v>
      </c>
    </row>
    <row r="411" spans="1:14" hidden="1" x14ac:dyDescent="0.3">
      <c r="A411">
        <v>280</v>
      </c>
      <c r="B411" t="str">
        <v>RODRIGUEZ LUIS MARIA</v>
      </c>
      <c r="C411" s="6">
        <v>0</v>
      </c>
      <c r="D411" s="6">
        <v>0</v>
      </c>
      <c r="E411" t="str">
        <v>Dólar Matba Rofex</v>
      </c>
      <c r="F411" t="str">
        <v xml:space="preserve"> U$S MR</v>
      </c>
      <c r="G411" t="str">
        <f>IFERROR(VLOOKUP(A411,'Clientes CBOT'!B:E,4,0),B411)</f>
        <v>RODRIGUEZ LUIS MARIA</v>
      </c>
      <c r="H411" t="str">
        <f t="shared" si="18"/>
        <v>usd linked</v>
      </c>
      <c r="I411" s="6">
        <f t="shared" si="19"/>
        <v>0</v>
      </c>
      <c r="J411">
        <f t="shared" si="20"/>
        <v>0</v>
      </c>
      <c r="M411" s="64" t="s">
        <v>674</v>
      </c>
      <c r="N411" s="123">
        <v>0</v>
      </c>
    </row>
    <row r="412" spans="1:14" hidden="1" x14ac:dyDescent="0.3">
      <c r="A412">
        <v>367</v>
      </c>
      <c r="B412" t="str">
        <v>DUTTO OSCAR HECTOR LUIS</v>
      </c>
      <c r="C412" s="6">
        <v>0</v>
      </c>
      <c r="D412" s="6">
        <v>0</v>
      </c>
      <c r="E412" t="str">
        <v>Dólar Matba Rofex</v>
      </c>
      <c r="F412" t="str">
        <v xml:space="preserve"> U$S MR</v>
      </c>
      <c r="G412" t="str">
        <f>IFERROR(VLOOKUP(A412,'Clientes CBOT'!B:E,4,0),B412)</f>
        <v>DUTTO OSCAR HECTOR LUIS</v>
      </c>
      <c r="H412" t="str">
        <f t="shared" si="18"/>
        <v>usd linked</v>
      </c>
      <c r="I412" s="6">
        <f t="shared" si="19"/>
        <v>0</v>
      </c>
      <c r="J412">
        <f t="shared" si="20"/>
        <v>0</v>
      </c>
      <c r="M412" s="64" t="s">
        <v>675</v>
      </c>
      <c r="N412" s="123">
        <v>0</v>
      </c>
    </row>
    <row r="413" spans="1:14" hidden="1" x14ac:dyDescent="0.3">
      <c r="A413">
        <v>352</v>
      </c>
      <c r="B413" t="str">
        <v>EL NORTE CORDOBES SRL</v>
      </c>
      <c r="C413" s="6">
        <v>0</v>
      </c>
      <c r="D413" s="6">
        <v>0</v>
      </c>
      <c r="E413" t="str">
        <v>Dólar Matba Rofex</v>
      </c>
      <c r="F413" t="str">
        <v xml:space="preserve"> U$S MR</v>
      </c>
      <c r="G413" t="str">
        <f>IFERROR(VLOOKUP(A413,'Clientes CBOT'!B:E,4,0),B413)</f>
        <v>EL NORTE CORDOBES SRL</v>
      </c>
      <c r="H413" t="str">
        <f t="shared" si="18"/>
        <v>usd linked</v>
      </c>
      <c r="I413" s="6">
        <f t="shared" si="19"/>
        <v>0</v>
      </c>
      <c r="J413">
        <f t="shared" si="20"/>
        <v>0</v>
      </c>
      <c r="M413" s="64" t="s">
        <v>677</v>
      </c>
      <c r="N413" s="123">
        <v>0</v>
      </c>
    </row>
    <row r="414" spans="1:14" hidden="1" x14ac:dyDescent="0.3">
      <c r="A414">
        <v>249</v>
      </c>
      <c r="B414" t="str">
        <v>AGROPECUARIA LA COSECHA SA</v>
      </c>
      <c r="C414" s="6">
        <v>0</v>
      </c>
      <c r="D414" s="6">
        <v>0</v>
      </c>
      <c r="E414" t="str">
        <v>Dólar Matba Rofex</v>
      </c>
      <c r="F414" t="str">
        <v xml:space="preserve"> U$S MR</v>
      </c>
      <c r="G414" t="str">
        <f>IFERROR(VLOOKUP(A414,'Clientes CBOT'!B:E,4,0),B414)</f>
        <v>AGROPECUARIA LA COSECHA SA</v>
      </c>
      <c r="H414" t="str">
        <f t="shared" si="18"/>
        <v>usd linked</v>
      </c>
      <c r="I414" s="6">
        <f t="shared" si="19"/>
        <v>0</v>
      </c>
      <c r="J414">
        <f t="shared" si="20"/>
        <v>0</v>
      </c>
      <c r="M414" s="64" t="s">
        <v>680</v>
      </c>
      <c r="N414" s="123">
        <v>2765.88</v>
      </c>
    </row>
    <row r="415" spans="1:14" hidden="1" x14ac:dyDescent="0.3">
      <c r="A415">
        <v>232</v>
      </c>
      <c r="B415" t="str">
        <v>AGROSUDESTE SA</v>
      </c>
      <c r="C415" s="6">
        <v>-19176.89</v>
      </c>
      <c r="D415" s="6">
        <v>0.02</v>
      </c>
      <c r="E415" t="str">
        <v>Pesos</v>
      </c>
      <c r="F415" t="str">
        <v xml:space="preserve"> $</v>
      </c>
      <c r="G415" t="str">
        <f>IFERROR(VLOOKUP(A415,'Clientes CBOT'!B:E,4,0),B415)</f>
        <v>AGROSUDESTE SA</v>
      </c>
      <c r="H415" t="str">
        <f t="shared" si="18"/>
        <v>Ars</v>
      </c>
      <c r="I415" s="6">
        <f t="shared" si="19"/>
        <v>-19176.89</v>
      </c>
      <c r="J415">
        <f t="shared" si="20"/>
        <v>0.02</v>
      </c>
      <c r="M415" s="64" t="s">
        <v>681</v>
      </c>
      <c r="N415" s="123">
        <v>51.910000000000004</v>
      </c>
    </row>
    <row r="416" spans="1:14" hidden="1" x14ac:dyDescent="0.3">
      <c r="A416">
        <v>55</v>
      </c>
      <c r="B416" t="str">
        <v>Menzio S.R.L.</v>
      </c>
      <c r="C416" s="6">
        <v>-0.37</v>
      </c>
      <c r="D416" s="6">
        <v>0</v>
      </c>
      <c r="E416" t="str">
        <v>Pesos</v>
      </c>
      <c r="F416" t="str">
        <v xml:space="preserve"> $</v>
      </c>
      <c r="G416" t="str">
        <f>IFERROR(VLOOKUP(A416,'Clientes CBOT'!B:E,4,0),B416)</f>
        <v>Menzio S.R.L.</v>
      </c>
      <c r="H416" t="str">
        <f t="shared" si="18"/>
        <v>Ars</v>
      </c>
      <c r="I416" s="6">
        <f t="shared" si="19"/>
        <v>-0.37</v>
      </c>
      <c r="J416">
        <f t="shared" si="20"/>
        <v>0</v>
      </c>
      <c r="M416" s="64" t="s">
        <v>682</v>
      </c>
      <c r="N416" s="123">
        <v>-10938597.449999999</v>
      </c>
    </row>
    <row r="417" spans="1:14" hidden="1" x14ac:dyDescent="0.3">
      <c r="A417">
        <v>55</v>
      </c>
      <c r="B417" t="str">
        <v>Menzio S.R.L.</v>
      </c>
      <c r="C417" s="6">
        <v>59.35</v>
      </c>
      <c r="D417" s="6">
        <v>0</v>
      </c>
      <c r="E417" t="str">
        <v xml:space="preserve">Dólar </v>
      </c>
      <c r="F417" t="str">
        <v xml:space="preserve"> U$S</v>
      </c>
      <c r="G417" t="str">
        <f>IFERROR(VLOOKUP(A417,'Clientes CBOT'!B:E,4,0),B417)</f>
        <v>Menzio S.R.L.</v>
      </c>
      <c r="H417" t="str">
        <f t="shared" si="18"/>
        <v>Dólar</v>
      </c>
      <c r="I417" s="6">
        <f t="shared" si="19"/>
        <v>59.35</v>
      </c>
      <c r="J417">
        <f t="shared" si="20"/>
        <v>0</v>
      </c>
      <c r="M417" s="64" t="s">
        <v>683</v>
      </c>
      <c r="N417" s="123">
        <v>0</v>
      </c>
    </row>
    <row r="418" spans="1:14" hidden="1" x14ac:dyDescent="0.3">
      <c r="A418">
        <v>232</v>
      </c>
      <c r="B418" t="str">
        <v>AGROSUDESTE SA</v>
      </c>
      <c r="C418" s="6">
        <v>0</v>
      </c>
      <c r="D418" s="6">
        <v>0</v>
      </c>
      <c r="E418" t="str">
        <v xml:space="preserve">Dólar </v>
      </c>
      <c r="F418" t="str">
        <v xml:space="preserve"> U$S</v>
      </c>
      <c r="G418" t="str">
        <f>IFERROR(VLOOKUP(A418,'Clientes CBOT'!B:E,4,0),B418)</f>
        <v>AGROSUDESTE SA</v>
      </c>
      <c r="H418" t="str">
        <f t="shared" si="18"/>
        <v>Dólar</v>
      </c>
      <c r="I418" s="6">
        <f t="shared" si="19"/>
        <v>0</v>
      </c>
      <c r="J418">
        <f t="shared" si="20"/>
        <v>0</v>
      </c>
      <c r="M418" s="64" t="s">
        <v>684</v>
      </c>
      <c r="N418" s="123">
        <v>0</v>
      </c>
    </row>
    <row r="419" spans="1:14" hidden="1" x14ac:dyDescent="0.3">
      <c r="A419">
        <v>232</v>
      </c>
      <c r="B419" t="str">
        <v>AGROSUDESTE SA</v>
      </c>
      <c r="C419" s="6">
        <v>166.28</v>
      </c>
      <c r="D419" s="6">
        <v>0</v>
      </c>
      <c r="E419" t="str">
        <v>Dólar Cable</v>
      </c>
      <c r="F419" t="str">
        <v xml:space="preserve"> U$S TT</v>
      </c>
      <c r="G419" t="str">
        <f>IFERROR(VLOOKUP(A419,'Clientes CBOT'!B:E,4,0),B419)</f>
        <v>AGROSUDESTE SA</v>
      </c>
      <c r="H419" t="str">
        <f t="shared" si="18"/>
        <v>Hard</v>
      </c>
      <c r="I419" s="6">
        <f t="shared" si="19"/>
        <v>166.28</v>
      </c>
      <c r="J419">
        <f t="shared" si="20"/>
        <v>0</v>
      </c>
      <c r="M419" s="64" t="s">
        <v>685</v>
      </c>
      <c r="N419" s="123">
        <v>0</v>
      </c>
    </row>
    <row r="420" spans="1:14" hidden="1" x14ac:dyDescent="0.3">
      <c r="A420">
        <v>55</v>
      </c>
      <c r="B420" t="str">
        <v>Menzio S.R.L.</v>
      </c>
      <c r="C420" s="6">
        <v>0</v>
      </c>
      <c r="D420" s="6">
        <v>0</v>
      </c>
      <c r="E420" t="str">
        <v>Dólar Cable</v>
      </c>
      <c r="F420" t="str">
        <v xml:space="preserve"> U$S TT</v>
      </c>
      <c r="G420" t="str">
        <f>IFERROR(VLOOKUP(A420,'Clientes CBOT'!B:E,4,0),B420)</f>
        <v>Menzio S.R.L.</v>
      </c>
      <c r="H420" t="str">
        <f t="shared" si="18"/>
        <v>Hard</v>
      </c>
      <c r="I420" s="6">
        <f t="shared" si="19"/>
        <v>0</v>
      </c>
      <c r="J420">
        <f t="shared" si="20"/>
        <v>0</v>
      </c>
      <c r="M420" s="64" t="s">
        <v>686</v>
      </c>
      <c r="N420" s="123">
        <v>4740875</v>
      </c>
    </row>
    <row r="421" spans="1:14" hidden="1" x14ac:dyDescent="0.3">
      <c r="A421">
        <v>55</v>
      </c>
      <c r="B421" t="str">
        <v>Menzio S.R.L.</v>
      </c>
      <c r="C421" s="6">
        <v>0</v>
      </c>
      <c r="D421" s="6">
        <v>0</v>
      </c>
      <c r="E421" t="str">
        <v>Dólar Matba Rofex</v>
      </c>
      <c r="F421" t="str">
        <v xml:space="preserve"> U$S MR</v>
      </c>
      <c r="G421" t="str">
        <f>IFERROR(VLOOKUP(A421,'Clientes CBOT'!B:E,4,0),B421)</f>
        <v>Menzio S.R.L.</v>
      </c>
      <c r="H421" t="str">
        <f t="shared" si="18"/>
        <v>usd linked</v>
      </c>
      <c r="I421" s="6">
        <f t="shared" si="19"/>
        <v>0</v>
      </c>
      <c r="J421">
        <f t="shared" si="20"/>
        <v>0</v>
      </c>
      <c r="M421" s="64" t="s">
        <v>687</v>
      </c>
      <c r="N421" s="123">
        <v>199.02</v>
      </c>
    </row>
    <row r="422" spans="1:14" hidden="1" x14ac:dyDescent="0.3">
      <c r="A422">
        <v>232</v>
      </c>
      <c r="B422" t="str">
        <v>AGROSUDESTE SA</v>
      </c>
      <c r="C422" s="6">
        <v>0</v>
      </c>
      <c r="D422" s="6">
        <v>0</v>
      </c>
      <c r="E422" t="str">
        <v>Dólar Matba Rofex</v>
      </c>
      <c r="F422" t="str">
        <v xml:space="preserve"> U$S MR</v>
      </c>
      <c r="G422" t="str">
        <f>IFERROR(VLOOKUP(A422,'Clientes CBOT'!B:E,4,0),B422)</f>
        <v>AGROSUDESTE SA</v>
      </c>
      <c r="H422" t="str">
        <f t="shared" si="18"/>
        <v>usd linked</v>
      </c>
      <c r="I422" s="6">
        <f t="shared" si="19"/>
        <v>0</v>
      </c>
      <c r="J422">
        <f t="shared" si="20"/>
        <v>0</v>
      </c>
      <c r="M422" s="64" t="s">
        <v>688</v>
      </c>
      <c r="N422" s="123">
        <v>-136702.92000000001</v>
      </c>
    </row>
    <row r="423" spans="1:14" hidden="1" x14ac:dyDescent="0.3">
      <c r="A423">
        <v>303</v>
      </c>
      <c r="B423" t="str">
        <v>LA UNION DEL SUR S A</v>
      </c>
      <c r="C423" s="6">
        <v>0</v>
      </c>
      <c r="D423" s="6">
        <v>-0.02</v>
      </c>
      <c r="E423" t="str">
        <v>Pesos</v>
      </c>
      <c r="F423" t="str">
        <v xml:space="preserve"> $</v>
      </c>
      <c r="G423" t="str">
        <f>IFERROR(VLOOKUP(A423,'Clientes CBOT'!B:E,4,0),B423)</f>
        <v>LA UNION DEL SUR S A</v>
      </c>
      <c r="H423" t="str">
        <f t="shared" si="18"/>
        <v>Ars</v>
      </c>
      <c r="I423" s="6">
        <f t="shared" si="19"/>
        <v>0</v>
      </c>
      <c r="J423">
        <f t="shared" si="20"/>
        <v>-0.02</v>
      </c>
      <c r="M423" s="64" t="s">
        <v>689</v>
      </c>
      <c r="N423" s="123">
        <v>-643.88</v>
      </c>
    </row>
    <row r="424" spans="1:14" hidden="1" x14ac:dyDescent="0.3">
      <c r="A424">
        <v>464</v>
      </c>
      <c r="B424" t="str">
        <v>RUBIO MANUEL EDUARDO</v>
      </c>
      <c r="C424" s="6">
        <v>-551.88</v>
      </c>
      <c r="D424" s="6">
        <v>0</v>
      </c>
      <c r="E424" t="str">
        <v>Pesos</v>
      </c>
      <c r="F424" t="str">
        <v xml:space="preserve"> $</v>
      </c>
      <c r="G424" t="str">
        <f>IFERROR(VLOOKUP(A424,'Clientes CBOT'!B:E,4,0),B424)</f>
        <v>RUBIO MANUEL EDUARDO</v>
      </c>
      <c r="H424" t="str">
        <f t="shared" si="18"/>
        <v>Ars</v>
      </c>
      <c r="I424" s="6">
        <f t="shared" si="19"/>
        <v>-551.88</v>
      </c>
      <c r="J424">
        <f t="shared" si="20"/>
        <v>0</v>
      </c>
      <c r="M424" s="64" t="s">
        <v>690</v>
      </c>
      <c r="N424" s="123">
        <v>-166179.09</v>
      </c>
    </row>
    <row r="425" spans="1:14" hidden="1" x14ac:dyDescent="0.3">
      <c r="A425">
        <v>465</v>
      </c>
      <c r="B425" t="str">
        <v>ESTACION 226 AGRO SRL</v>
      </c>
      <c r="C425" s="6">
        <v>0</v>
      </c>
      <c r="D425" s="6">
        <v>0.01</v>
      </c>
      <c r="E425" t="str">
        <v>Pesos</v>
      </c>
      <c r="F425" t="str">
        <v xml:space="preserve"> $</v>
      </c>
      <c r="G425" t="str">
        <f>IFERROR(VLOOKUP(A425,'Clientes CBOT'!B:E,4,0),B425)</f>
        <v>ESTACION 226 AGRO SRL</v>
      </c>
      <c r="H425" t="str">
        <f t="shared" si="18"/>
        <v>Ars</v>
      </c>
      <c r="I425" s="6">
        <f t="shared" si="19"/>
        <v>0</v>
      </c>
      <c r="J425">
        <f t="shared" si="20"/>
        <v>0.01</v>
      </c>
      <c r="M425" s="64" t="s">
        <v>691</v>
      </c>
      <c r="N425" s="123">
        <v>0</v>
      </c>
    </row>
    <row r="426" spans="1:14" hidden="1" x14ac:dyDescent="0.3">
      <c r="A426">
        <v>465</v>
      </c>
      <c r="B426" t="str">
        <v>ESTACION 226 AGRO SRL</v>
      </c>
      <c r="C426" s="6">
        <v>49.28</v>
      </c>
      <c r="D426" s="6">
        <v>0</v>
      </c>
      <c r="E426" t="str">
        <v xml:space="preserve">Dólar </v>
      </c>
      <c r="F426" t="str">
        <v xml:space="preserve"> U$S</v>
      </c>
      <c r="G426" t="str">
        <f>IFERROR(VLOOKUP(A426,'Clientes CBOT'!B:E,4,0),B426)</f>
        <v>ESTACION 226 AGRO SRL</v>
      </c>
      <c r="H426" t="str">
        <f t="shared" si="18"/>
        <v>Dólar</v>
      </c>
      <c r="I426" s="6">
        <f t="shared" si="19"/>
        <v>49.28</v>
      </c>
      <c r="J426">
        <f t="shared" si="20"/>
        <v>0</v>
      </c>
      <c r="M426" s="64" t="s">
        <v>692</v>
      </c>
      <c r="N426" s="123">
        <v>-86559.19</v>
      </c>
    </row>
    <row r="427" spans="1:14" hidden="1" x14ac:dyDescent="0.3">
      <c r="A427">
        <v>464</v>
      </c>
      <c r="B427" t="str">
        <v>RUBIO MANUEL EDUARDO</v>
      </c>
      <c r="C427" s="6">
        <v>0</v>
      </c>
      <c r="D427" s="6">
        <v>0</v>
      </c>
      <c r="E427" t="str">
        <v xml:space="preserve">Dólar </v>
      </c>
      <c r="F427" t="str">
        <v xml:space="preserve"> U$S</v>
      </c>
      <c r="G427" t="str">
        <f>IFERROR(VLOOKUP(A427,'Clientes CBOT'!B:E,4,0),B427)</f>
        <v>RUBIO MANUEL EDUARDO</v>
      </c>
      <c r="H427" t="str">
        <f t="shared" si="18"/>
        <v>Dólar</v>
      </c>
      <c r="I427" s="6">
        <f t="shared" si="19"/>
        <v>0</v>
      </c>
      <c r="J427">
        <f t="shared" si="20"/>
        <v>0</v>
      </c>
      <c r="M427" s="64" t="s">
        <v>693</v>
      </c>
      <c r="N427" s="123">
        <v>14.040000000000001</v>
      </c>
    </row>
    <row r="428" spans="1:14" hidden="1" x14ac:dyDescent="0.3">
      <c r="A428">
        <v>303</v>
      </c>
      <c r="B428" t="str">
        <v>LA UNION DEL SUR S A</v>
      </c>
      <c r="C428" s="6">
        <v>-0.16</v>
      </c>
      <c r="D428" s="6">
        <v>0</v>
      </c>
      <c r="E428" t="str">
        <v xml:space="preserve">Dólar </v>
      </c>
      <c r="F428" t="str">
        <v xml:space="preserve"> U$S</v>
      </c>
      <c r="G428" t="str">
        <f>IFERROR(VLOOKUP(A428,'Clientes CBOT'!B:E,4,0),B428)</f>
        <v>LA UNION DEL SUR S A</v>
      </c>
      <c r="H428" t="str">
        <f t="shared" si="18"/>
        <v>Dólar</v>
      </c>
      <c r="I428" s="6">
        <f t="shared" si="19"/>
        <v>-0.16</v>
      </c>
      <c r="J428">
        <f t="shared" si="20"/>
        <v>0</v>
      </c>
      <c r="M428" s="64" t="s">
        <v>694</v>
      </c>
      <c r="N428" s="123">
        <v>148909.52000000002</v>
      </c>
    </row>
    <row r="429" spans="1:14" hidden="1" x14ac:dyDescent="0.3">
      <c r="A429">
        <v>303</v>
      </c>
      <c r="B429" t="str">
        <v>LA UNION DEL SUR S A</v>
      </c>
      <c r="C429" s="6">
        <v>0</v>
      </c>
      <c r="D429" s="6">
        <v>0</v>
      </c>
      <c r="E429" t="str">
        <v>Dólar Matba Rofex</v>
      </c>
      <c r="F429" t="str">
        <v xml:space="preserve"> U$S MR</v>
      </c>
      <c r="G429" t="str">
        <f>IFERROR(VLOOKUP(A429,'Clientes CBOT'!B:E,4,0),B429)</f>
        <v>LA UNION DEL SUR S A</v>
      </c>
      <c r="H429" t="str">
        <f t="shared" si="18"/>
        <v>usd linked</v>
      </c>
      <c r="I429" s="6">
        <f t="shared" si="19"/>
        <v>0</v>
      </c>
      <c r="J429">
        <f t="shared" si="20"/>
        <v>0</v>
      </c>
      <c r="M429" s="64" t="s">
        <v>695</v>
      </c>
      <c r="N429" s="123">
        <v>31769.280000000002</v>
      </c>
    </row>
    <row r="430" spans="1:14" hidden="1" x14ac:dyDescent="0.3">
      <c r="A430">
        <v>338</v>
      </c>
      <c r="B430" t="str">
        <v>AGRO IN SRL</v>
      </c>
      <c r="C430" s="6">
        <v>0</v>
      </c>
      <c r="D430" s="6">
        <v>0</v>
      </c>
      <c r="E430" t="str">
        <v>Pesos</v>
      </c>
      <c r="F430" t="str">
        <v xml:space="preserve"> $</v>
      </c>
      <c r="G430" t="str">
        <f>IFERROR(VLOOKUP(A430,'Clientes CBOT'!B:E,4,0),B430)</f>
        <v>AGRO IN SRL</v>
      </c>
      <c r="H430" t="str">
        <f t="shared" si="18"/>
        <v>Ars</v>
      </c>
      <c r="I430" s="6">
        <f t="shared" si="19"/>
        <v>0</v>
      </c>
      <c r="J430">
        <f t="shared" si="20"/>
        <v>0</v>
      </c>
      <c r="M430" s="64" t="s">
        <v>696</v>
      </c>
      <c r="N430" s="123">
        <v>0.78</v>
      </c>
    </row>
    <row r="431" spans="1:14" hidden="1" x14ac:dyDescent="0.3">
      <c r="A431">
        <v>393</v>
      </c>
      <c r="B431" t="str">
        <v>ANIBAL MOSCHEN HERMANOS SA</v>
      </c>
      <c r="C431" s="6">
        <v>0</v>
      </c>
      <c r="D431" s="6">
        <v>0.01</v>
      </c>
      <c r="E431" t="str">
        <v>Pesos</v>
      </c>
      <c r="F431" t="str">
        <v xml:space="preserve"> $</v>
      </c>
      <c r="G431" t="str">
        <f>IFERROR(VLOOKUP(A431,'Clientes CBOT'!B:E,4,0),B431)</f>
        <v>ANIBAL MOSCHEN HERMANOS SA</v>
      </c>
      <c r="H431" t="str">
        <f t="shared" si="18"/>
        <v>Ars</v>
      </c>
      <c r="I431" s="6">
        <f t="shared" si="19"/>
        <v>0</v>
      </c>
      <c r="J431">
        <f t="shared" si="20"/>
        <v>0.01</v>
      </c>
      <c r="M431" s="64" t="s">
        <v>697</v>
      </c>
      <c r="N431" s="123">
        <v>0</v>
      </c>
    </row>
    <row r="432" spans="1:14" hidden="1" x14ac:dyDescent="0.3">
      <c r="A432">
        <v>247</v>
      </c>
      <c r="B432" t="str">
        <v>GP AGRO SA</v>
      </c>
      <c r="C432" s="6">
        <v>13.56</v>
      </c>
      <c r="D432" s="6">
        <v>0</v>
      </c>
      <c r="E432" t="str">
        <v>Pesos</v>
      </c>
      <c r="F432" t="str">
        <v xml:space="preserve"> $</v>
      </c>
      <c r="G432" t="str">
        <f>IFERROR(VLOOKUP(A432,'Clientes CBOT'!B:E,4,0),B432)</f>
        <v>GP AGRO SA</v>
      </c>
      <c r="H432" t="str">
        <f t="shared" si="18"/>
        <v>Ars</v>
      </c>
      <c r="I432" s="6">
        <f t="shared" si="19"/>
        <v>13.56</v>
      </c>
      <c r="J432">
        <f t="shared" si="20"/>
        <v>0</v>
      </c>
      <c r="M432" s="64" t="s">
        <v>698</v>
      </c>
      <c r="N432" s="123">
        <v>0</v>
      </c>
    </row>
    <row r="433" spans="1:14" x14ac:dyDescent="0.3">
      <c r="A433">
        <v>466</v>
      </c>
      <c r="B433" t="str">
        <v>MELCHIORI HNOS SA</v>
      </c>
      <c r="C433" s="6">
        <v>-5000000</v>
      </c>
      <c r="D433" s="6">
        <v>0.01</v>
      </c>
      <c r="E433" t="str">
        <v>Pesos</v>
      </c>
      <c r="F433" t="str">
        <v xml:space="preserve"> $</v>
      </c>
      <c r="G433" t="str">
        <f>IFERROR(VLOOKUP(A433,'Clientes CBOT'!B:E,4,0),B433)</f>
        <v>MELCHIORI HNOS SA</v>
      </c>
      <c r="H433" t="str">
        <f t="shared" si="18"/>
        <v>Ars</v>
      </c>
      <c r="I433" s="6">
        <f t="shared" si="19"/>
        <v>-5000000</v>
      </c>
      <c r="J433">
        <f t="shared" si="20"/>
        <v>0.01</v>
      </c>
      <c r="M433" s="64" t="s">
        <v>699</v>
      </c>
      <c r="N433" s="123">
        <v>0</v>
      </c>
    </row>
    <row r="434" spans="1:14" x14ac:dyDescent="0.3">
      <c r="A434">
        <v>49</v>
      </c>
      <c r="B434" t="str">
        <v>INNOVACION ONCATIVO S.A.</v>
      </c>
      <c r="C434" s="6">
        <v>-109727.71</v>
      </c>
      <c r="D434" s="6">
        <v>0</v>
      </c>
      <c r="E434" t="str">
        <v>Pesos</v>
      </c>
      <c r="F434" t="str">
        <v xml:space="preserve"> $</v>
      </c>
      <c r="G434" t="str">
        <f>IFERROR(VLOOKUP(A434,'Clientes CBOT'!B:E,4,0),B434)</f>
        <v>INNOVACION ONCATIVO S.A.</v>
      </c>
      <c r="H434" t="str">
        <f t="shared" si="18"/>
        <v>Ars</v>
      </c>
      <c r="I434" s="6">
        <f t="shared" si="19"/>
        <v>-109727.71</v>
      </c>
      <c r="J434">
        <f t="shared" si="20"/>
        <v>0</v>
      </c>
      <c r="M434" s="64" t="s">
        <v>700</v>
      </c>
      <c r="N434" s="123">
        <v>0</v>
      </c>
    </row>
    <row r="435" spans="1:14" x14ac:dyDescent="0.3">
      <c r="A435">
        <v>31</v>
      </c>
      <c r="B435" t="str">
        <v>ESTANCIAS SAN AGUSTIN SCA</v>
      </c>
      <c r="C435" s="6">
        <v>230.99</v>
      </c>
      <c r="D435" s="6">
        <v>207457211</v>
      </c>
      <c r="E435" t="str">
        <v>Pesos</v>
      </c>
      <c r="F435" t="str">
        <v xml:space="preserve"> $</v>
      </c>
      <c r="G435" t="str">
        <f>IFERROR(VLOOKUP(A435,'Clientes CBOT'!B:E,4,0),B435)</f>
        <v>ESTANCIAS SAN AGUSTIN SCA</v>
      </c>
      <c r="H435" t="str">
        <f t="shared" si="18"/>
        <v>Ars</v>
      </c>
      <c r="I435" s="6">
        <f t="shared" si="19"/>
        <v>230.99</v>
      </c>
      <c r="J435">
        <f t="shared" si="20"/>
        <v>207457211</v>
      </c>
      <c r="M435" s="64" t="s">
        <v>701</v>
      </c>
      <c r="N435" s="123">
        <v>-41159.21</v>
      </c>
    </row>
    <row r="436" spans="1:14" x14ac:dyDescent="0.3">
      <c r="A436">
        <v>136</v>
      </c>
      <c r="B436" t="str">
        <v>SPEEDAGRO SRL</v>
      </c>
      <c r="C436" s="6">
        <v>0</v>
      </c>
      <c r="D436" s="6">
        <v>0.02</v>
      </c>
      <c r="E436" t="str">
        <v>Pesos</v>
      </c>
      <c r="F436" t="str">
        <v xml:space="preserve"> $</v>
      </c>
      <c r="G436" t="str">
        <f>IFERROR(VLOOKUP(A436,'Clientes CBOT'!B:E,4,0),B436)</f>
        <v>SPEEDAGRO SRL</v>
      </c>
      <c r="H436" t="str">
        <f t="shared" si="18"/>
        <v>Ars</v>
      </c>
      <c r="I436" s="6">
        <f t="shared" si="19"/>
        <v>0</v>
      </c>
      <c r="J436">
        <f t="shared" si="20"/>
        <v>0.02</v>
      </c>
      <c r="M436" s="64" t="s">
        <v>702</v>
      </c>
      <c r="N436" s="123">
        <v>-656727514.31999993</v>
      </c>
    </row>
    <row r="437" spans="1:14" hidden="1" x14ac:dyDescent="0.3">
      <c r="A437">
        <v>158</v>
      </c>
      <c r="B437" t="str">
        <v>DIAZ OMAR FABIAN</v>
      </c>
      <c r="C437" s="6">
        <v>0</v>
      </c>
      <c r="D437" s="6">
        <v>0</v>
      </c>
      <c r="E437" t="str">
        <v>Pesos</v>
      </c>
      <c r="F437" t="str">
        <v xml:space="preserve"> $</v>
      </c>
      <c r="G437" t="str">
        <f>IFERROR(VLOOKUP(A437,'Clientes CBOT'!B:E,4,0),B437)</f>
        <v>DIAZ OMAR FABIAN</v>
      </c>
      <c r="H437" t="str">
        <f t="shared" si="18"/>
        <v>Ars</v>
      </c>
      <c r="I437" s="6">
        <f t="shared" si="19"/>
        <v>0</v>
      </c>
      <c r="J437">
        <f t="shared" si="20"/>
        <v>0</v>
      </c>
      <c r="M437" s="64" t="s">
        <v>703</v>
      </c>
      <c r="N437" s="123">
        <v>-586215.6</v>
      </c>
    </row>
    <row r="438" spans="1:14" hidden="1" x14ac:dyDescent="0.3">
      <c r="A438">
        <v>109</v>
      </c>
      <c r="B438" t="str">
        <v>LOS TACURUCES SA</v>
      </c>
      <c r="C438" s="6">
        <v>-1350582.37</v>
      </c>
      <c r="D438" s="6">
        <v>0.57999999999999996</v>
      </c>
      <c r="E438" t="str">
        <v>Pesos</v>
      </c>
      <c r="F438" t="str">
        <v xml:space="preserve"> $</v>
      </c>
      <c r="G438" t="str">
        <f>IFERROR(VLOOKUP(A438,'Clientes CBOT'!B:E,4,0),B438)</f>
        <v>LOS TACURUCES SA</v>
      </c>
      <c r="H438" t="str">
        <f t="shared" si="18"/>
        <v>Ars</v>
      </c>
      <c r="I438" s="6">
        <f t="shared" si="19"/>
        <v>-1350582.37</v>
      </c>
      <c r="J438">
        <f t="shared" si="20"/>
        <v>0.57999999999999996</v>
      </c>
      <c r="M438" s="64" t="s">
        <v>704</v>
      </c>
      <c r="N438" s="123">
        <v>-45955.41</v>
      </c>
    </row>
    <row r="439" spans="1:14" hidden="1" x14ac:dyDescent="0.3">
      <c r="A439">
        <v>115</v>
      </c>
      <c r="B439" t="str">
        <v>PONCE MICINO RENE ARNALDO LEONEL</v>
      </c>
      <c r="C439" s="6">
        <v>-6679786947.5699997</v>
      </c>
      <c r="D439" s="6">
        <v>-3.97</v>
      </c>
      <c r="E439" t="str">
        <v>Pesos</v>
      </c>
      <c r="F439" t="str">
        <v xml:space="preserve"> $</v>
      </c>
      <c r="G439" t="str">
        <f>IFERROR(VLOOKUP(A439,'Clientes CBOT'!B:E,4,0),B439)</f>
        <v>PONCE MICINO RENE ARNALDO LEONEL</v>
      </c>
      <c r="H439" t="str">
        <f t="shared" si="18"/>
        <v>Ars</v>
      </c>
      <c r="I439" s="6">
        <f t="shared" si="19"/>
        <v>-6679786947.5699997</v>
      </c>
      <c r="J439">
        <f t="shared" si="20"/>
        <v>-3.97</v>
      </c>
      <c r="M439" s="64" t="s">
        <v>705</v>
      </c>
      <c r="N439" s="123">
        <v>0</v>
      </c>
    </row>
    <row r="440" spans="1:14" hidden="1" x14ac:dyDescent="0.3">
      <c r="A440">
        <v>115</v>
      </c>
      <c r="B440" t="str">
        <v>PONCE MICINO RENE ARNALDO LEONEL</v>
      </c>
      <c r="C440" s="6">
        <v>-3715303.85</v>
      </c>
      <c r="D440" s="6">
        <v>0</v>
      </c>
      <c r="E440" t="str">
        <v xml:space="preserve">Dólar </v>
      </c>
      <c r="F440" t="str">
        <v xml:space="preserve"> U$S</v>
      </c>
      <c r="G440" t="str">
        <f>IFERROR(VLOOKUP(A440,'Clientes CBOT'!B:E,4,0),B440)</f>
        <v>PONCE MICINO RENE ARNALDO LEONEL</v>
      </c>
      <c r="H440" t="str">
        <f t="shared" si="18"/>
        <v>Dólar</v>
      </c>
      <c r="I440" s="6">
        <f t="shared" si="19"/>
        <v>-3715303.85</v>
      </c>
      <c r="J440">
        <f t="shared" si="20"/>
        <v>0</v>
      </c>
      <c r="M440" s="64" t="s">
        <v>706</v>
      </c>
      <c r="N440" s="123">
        <v>129819.79</v>
      </c>
    </row>
    <row r="441" spans="1:14" hidden="1" x14ac:dyDescent="0.3">
      <c r="A441">
        <v>109</v>
      </c>
      <c r="B441" t="str">
        <v>LOS TACURUCES SA</v>
      </c>
      <c r="C441" s="6">
        <v>2.2400000000000002</v>
      </c>
      <c r="D441" s="6">
        <v>6600</v>
      </c>
      <c r="E441" t="str">
        <v xml:space="preserve">Dólar </v>
      </c>
      <c r="F441" t="str">
        <v xml:space="preserve"> U$S</v>
      </c>
      <c r="G441" t="str">
        <f>IFERROR(VLOOKUP(A441,'Clientes CBOT'!B:E,4,0),B441)</f>
        <v>LOS TACURUCES SA</v>
      </c>
      <c r="H441" t="str">
        <f t="shared" si="18"/>
        <v>Dólar</v>
      </c>
      <c r="I441" s="6">
        <f t="shared" si="19"/>
        <v>2.2400000000000002</v>
      </c>
      <c r="J441">
        <f t="shared" si="20"/>
        <v>6600</v>
      </c>
      <c r="M441" s="64" t="s">
        <v>707</v>
      </c>
      <c r="N441" s="123">
        <v>0</v>
      </c>
    </row>
    <row r="442" spans="1:14" hidden="1" x14ac:dyDescent="0.3">
      <c r="A442">
        <v>31</v>
      </c>
      <c r="B442" t="str">
        <v>ESTANCIAS SAN AGUSTIN SCA</v>
      </c>
      <c r="C442" s="6">
        <v>5610.79</v>
      </c>
      <c r="D442" s="6">
        <v>0</v>
      </c>
      <c r="E442" t="str">
        <v xml:space="preserve">Dólar </v>
      </c>
      <c r="F442" t="str">
        <v xml:space="preserve"> U$S</v>
      </c>
      <c r="G442" t="str">
        <f>IFERROR(VLOOKUP(A442,'Clientes CBOT'!B:E,4,0),B442)</f>
        <v>ESTANCIAS SAN AGUSTIN SCA</v>
      </c>
      <c r="H442" t="str">
        <f t="shared" si="18"/>
        <v>Dólar</v>
      </c>
      <c r="I442" s="6">
        <f t="shared" si="19"/>
        <v>5610.79</v>
      </c>
      <c r="J442">
        <f t="shared" si="20"/>
        <v>0</v>
      </c>
      <c r="M442" s="64" t="s">
        <v>803</v>
      </c>
      <c r="N442" s="123">
        <v>16118.39</v>
      </c>
    </row>
    <row r="443" spans="1:14" hidden="1" x14ac:dyDescent="0.3">
      <c r="A443">
        <v>49</v>
      </c>
      <c r="B443" t="str">
        <v>INNOVACION ONCATIVO S.A.</v>
      </c>
      <c r="C443" s="6">
        <v>0</v>
      </c>
      <c r="D443" s="6">
        <v>0</v>
      </c>
      <c r="E443" t="str">
        <v xml:space="preserve">Dólar </v>
      </c>
      <c r="F443" t="str">
        <v xml:space="preserve"> U$S</v>
      </c>
      <c r="G443" t="str">
        <f>IFERROR(VLOOKUP(A443,'Clientes CBOT'!B:E,4,0),B443)</f>
        <v>INNOVACION ONCATIVO S.A.</v>
      </c>
      <c r="H443" t="str">
        <f t="shared" si="18"/>
        <v>Dólar</v>
      </c>
      <c r="I443" s="6">
        <f t="shared" si="19"/>
        <v>0</v>
      </c>
      <c r="J443">
        <f t="shared" si="20"/>
        <v>0</v>
      </c>
      <c r="M443" s="64" t="s">
        <v>804</v>
      </c>
      <c r="N443" s="123">
        <v>0.8</v>
      </c>
    </row>
    <row r="444" spans="1:14" hidden="1" x14ac:dyDescent="0.3">
      <c r="A444">
        <v>466</v>
      </c>
      <c r="B444" t="str">
        <v>MELCHIORI HNOS SA</v>
      </c>
      <c r="C444" s="6">
        <v>10.58</v>
      </c>
      <c r="D444" s="6">
        <v>0</v>
      </c>
      <c r="E444" t="str">
        <v xml:space="preserve">Dólar </v>
      </c>
      <c r="F444" t="str">
        <v xml:space="preserve"> U$S</v>
      </c>
      <c r="G444" t="str">
        <f>IFERROR(VLOOKUP(A444,'Clientes CBOT'!B:E,4,0),B444)</f>
        <v>MELCHIORI HNOS SA</v>
      </c>
      <c r="H444" t="str">
        <f t="shared" si="18"/>
        <v>Dólar</v>
      </c>
      <c r="I444" s="6">
        <f t="shared" si="19"/>
        <v>10.58</v>
      </c>
      <c r="J444">
        <f t="shared" si="20"/>
        <v>0</v>
      </c>
      <c r="M444" s="64" t="s">
        <v>737</v>
      </c>
      <c r="N444" s="123">
        <v>0</v>
      </c>
    </row>
    <row r="445" spans="1:14" hidden="1" x14ac:dyDescent="0.3">
      <c r="A445">
        <v>247</v>
      </c>
      <c r="B445" t="str">
        <v>GP AGRO SA</v>
      </c>
      <c r="C445" s="6">
        <v>0</v>
      </c>
      <c r="D445" s="6">
        <v>0</v>
      </c>
      <c r="E445" t="str">
        <v xml:space="preserve">Dólar </v>
      </c>
      <c r="F445" t="str">
        <v xml:space="preserve"> U$S</v>
      </c>
      <c r="G445" t="str">
        <f>IFERROR(VLOOKUP(A445,'Clientes CBOT'!B:E,4,0),B445)</f>
        <v>GP AGRO SA</v>
      </c>
      <c r="H445" t="str">
        <f t="shared" si="18"/>
        <v>Dólar</v>
      </c>
      <c r="I445" s="6">
        <f t="shared" si="19"/>
        <v>0</v>
      </c>
      <c r="J445">
        <f t="shared" si="20"/>
        <v>0</v>
      </c>
      <c r="M445" s="64" t="s">
        <v>824</v>
      </c>
      <c r="N445" s="123">
        <v>0</v>
      </c>
    </row>
    <row r="446" spans="1:14" hidden="1" x14ac:dyDescent="0.3">
      <c r="A446">
        <v>49</v>
      </c>
      <c r="B446" t="str">
        <v>INNOVACION ONCATIVO S.A.</v>
      </c>
      <c r="C446" s="6">
        <v>285.83999999999997</v>
      </c>
      <c r="D446" s="6">
        <v>0</v>
      </c>
      <c r="E446" t="str">
        <v>Dólar Cable</v>
      </c>
      <c r="F446" t="str">
        <v xml:space="preserve"> U$S TT</v>
      </c>
      <c r="G446" t="str">
        <f>IFERROR(VLOOKUP(A446,'Clientes CBOT'!B:E,4,0),B446)</f>
        <v>INNOVACION ONCATIVO S.A.</v>
      </c>
      <c r="H446" t="str">
        <f t="shared" si="18"/>
        <v>Hard</v>
      </c>
      <c r="I446" s="6">
        <f t="shared" si="19"/>
        <v>285.83999999999997</v>
      </c>
      <c r="J446">
        <f t="shared" si="20"/>
        <v>0</v>
      </c>
      <c r="M446" s="64" t="s">
        <v>827</v>
      </c>
      <c r="N446" s="123">
        <v>0</v>
      </c>
    </row>
    <row r="447" spans="1:14" hidden="1" x14ac:dyDescent="0.3">
      <c r="A447">
        <v>31</v>
      </c>
      <c r="B447" t="str">
        <v>ESTANCIAS SAN AGUSTIN SCA</v>
      </c>
      <c r="C447" s="6">
        <v>412.17</v>
      </c>
      <c r="D447" s="6">
        <v>0</v>
      </c>
      <c r="E447" t="str">
        <v>Dólar Cable</v>
      </c>
      <c r="F447" t="str">
        <v xml:space="preserve"> U$S TT</v>
      </c>
      <c r="G447" t="str">
        <f>IFERROR(VLOOKUP(A447,'Clientes CBOT'!B:E,4,0),B447)</f>
        <v>ESTANCIAS SAN AGUSTIN SCA</v>
      </c>
      <c r="H447" t="str">
        <f t="shared" si="18"/>
        <v>Hard</v>
      </c>
      <c r="I447" s="6">
        <f t="shared" si="19"/>
        <v>412.17</v>
      </c>
      <c r="J447">
        <f t="shared" si="20"/>
        <v>0</v>
      </c>
      <c r="M447" s="64" t="s">
        <v>840</v>
      </c>
      <c r="N447" s="123">
        <v>962.32</v>
      </c>
    </row>
    <row r="448" spans="1:14" hidden="1" x14ac:dyDescent="0.3">
      <c r="A448">
        <v>109</v>
      </c>
      <c r="B448" t="str">
        <v>LOS TACURUCES SA</v>
      </c>
      <c r="C448" s="6">
        <v>44.69</v>
      </c>
      <c r="D448" s="6">
        <v>0</v>
      </c>
      <c r="E448" t="str">
        <v>Dólar Cable</v>
      </c>
      <c r="F448" t="str">
        <v xml:space="preserve"> U$S TT</v>
      </c>
      <c r="G448" t="str">
        <f>IFERROR(VLOOKUP(A448,'Clientes CBOT'!B:E,4,0),B448)</f>
        <v>LOS TACURUCES SA</v>
      </c>
      <c r="H448" t="str">
        <f t="shared" si="18"/>
        <v>Hard</v>
      </c>
      <c r="I448" s="6">
        <f t="shared" si="19"/>
        <v>44.69</v>
      </c>
      <c r="J448">
        <f t="shared" si="20"/>
        <v>0</v>
      </c>
      <c r="M448" s="64" t="s">
        <v>845</v>
      </c>
      <c r="N448" s="123">
        <v>0</v>
      </c>
    </row>
    <row r="449" spans="1:14" hidden="1" x14ac:dyDescent="0.3">
      <c r="A449">
        <v>115</v>
      </c>
      <c r="B449" t="str">
        <v>PONCE MICINO RENE ARNALDO LEONEL</v>
      </c>
      <c r="C449" s="6">
        <v>443.35</v>
      </c>
      <c r="D449" s="6">
        <v>0</v>
      </c>
      <c r="E449" t="str">
        <v>Dólar Cable</v>
      </c>
      <c r="F449" t="str">
        <v xml:space="preserve"> U$S TT</v>
      </c>
      <c r="G449" t="str">
        <f>IFERROR(VLOOKUP(A449,'Clientes CBOT'!B:E,4,0),B449)</f>
        <v>PONCE MICINO RENE ARNALDO LEONEL</v>
      </c>
      <c r="H449" t="str">
        <f t="shared" si="18"/>
        <v>Hard</v>
      </c>
      <c r="I449" s="6">
        <f t="shared" si="19"/>
        <v>443.35</v>
      </c>
      <c r="J449">
        <f t="shared" si="20"/>
        <v>0</v>
      </c>
      <c r="M449" s="64" t="s">
        <v>846</v>
      </c>
      <c r="N449" s="123">
        <v>-3016.9</v>
      </c>
    </row>
    <row r="450" spans="1:14" hidden="1" x14ac:dyDescent="0.3">
      <c r="A450">
        <v>115</v>
      </c>
      <c r="B450" t="str">
        <v>PONCE MICINO RENE ARNALDO LEONEL</v>
      </c>
      <c r="C450" s="6">
        <v>0</v>
      </c>
      <c r="D450" s="6">
        <v>0</v>
      </c>
      <c r="E450" t="str">
        <v>Dólar Matba Rofex</v>
      </c>
      <c r="F450" t="str">
        <v xml:space="preserve"> U$S MR</v>
      </c>
      <c r="G450" t="str">
        <f>IFERROR(VLOOKUP(A450,'Clientes CBOT'!B:E,4,0),B450)</f>
        <v>PONCE MICINO RENE ARNALDO LEONEL</v>
      </c>
      <c r="H450" t="str">
        <f t="shared" si="18"/>
        <v>usd linked</v>
      </c>
      <c r="I450" s="6">
        <f t="shared" si="19"/>
        <v>0</v>
      </c>
      <c r="J450">
        <f t="shared" si="20"/>
        <v>0</v>
      </c>
      <c r="M450" s="64" t="s">
        <v>847</v>
      </c>
      <c r="N450" s="123">
        <v>0</v>
      </c>
    </row>
    <row r="451" spans="1:14" hidden="1" x14ac:dyDescent="0.3">
      <c r="A451">
        <v>109</v>
      </c>
      <c r="B451" t="str">
        <v>LOS TACURUCES SA</v>
      </c>
      <c r="C451" s="6">
        <v>750</v>
      </c>
      <c r="D451" s="6">
        <v>2936.74</v>
      </c>
      <c r="E451" t="str">
        <v>Dólar Matba Rofex</v>
      </c>
      <c r="F451" t="str">
        <v xml:space="preserve"> U$S MR</v>
      </c>
      <c r="G451" t="str">
        <f>IFERROR(VLOOKUP(A451,'Clientes CBOT'!B:E,4,0),B451)</f>
        <v>LOS TACURUCES SA</v>
      </c>
      <c r="H451" t="str">
        <f t="shared" si="18"/>
        <v>usd linked</v>
      </c>
      <c r="I451" s="6">
        <f t="shared" si="19"/>
        <v>750</v>
      </c>
      <c r="J451">
        <f t="shared" si="20"/>
        <v>2936.74</v>
      </c>
      <c r="M451" s="64" t="s">
        <v>848</v>
      </c>
      <c r="N451" s="123">
        <v>40.950000000000003</v>
      </c>
    </row>
    <row r="452" spans="1:14" hidden="1" x14ac:dyDescent="0.3">
      <c r="A452">
        <v>136</v>
      </c>
      <c r="B452" t="str">
        <v>SPEEDAGRO SRL</v>
      </c>
      <c r="C452" s="6">
        <v>0</v>
      </c>
      <c r="D452" s="6">
        <v>0</v>
      </c>
      <c r="E452" t="str">
        <v>Dólar Matba Rofex</v>
      </c>
      <c r="F452" t="str">
        <v xml:space="preserve"> U$S MR</v>
      </c>
      <c r="G452" t="str">
        <f>IFERROR(VLOOKUP(A452,'Clientes CBOT'!B:E,4,0),B452)</f>
        <v>SPEEDAGRO SRL</v>
      </c>
      <c r="H452" t="str">
        <f t="shared" si="18"/>
        <v>usd linked</v>
      </c>
      <c r="I452" s="6">
        <f t="shared" si="19"/>
        <v>0</v>
      </c>
      <c r="J452">
        <f t="shared" si="20"/>
        <v>0</v>
      </c>
      <c r="M452" s="64" t="s">
        <v>855</v>
      </c>
      <c r="N452" s="123">
        <v>0</v>
      </c>
    </row>
    <row r="453" spans="1:14" hidden="1" x14ac:dyDescent="0.3">
      <c r="A453">
        <v>31</v>
      </c>
      <c r="B453" t="str">
        <v>ESTANCIAS SAN AGUSTIN SCA</v>
      </c>
      <c r="C453" s="6">
        <v>0</v>
      </c>
      <c r="D453" s="6">
        <v>10558.14</v>
      </c>
      <c r="E453" t="str">
        <v>Dólar Matba Rofex</v>
      </c>
      <c r="F453" t="str">
        <v xml:space="preserve"> U$S MR</v>
      </c>
      <c r="G453" t="str">
        <f>IFERROR(VLOOKUP(A453,'Clientes CBOT'!B:E,4,0),B453)</f>
        <v>ESTANCIAS SAN AGUSTIN SCA</v>
      </c>
      <c r="H453" t="str">
        <f t="shared" ref="H453:H516" si="21">IF(E453="pesos","Ars",IF(E453="Dólar Matba Rofex","usd linked",IF(F453=" U$S TT","Hard","Dólar")))</f>
        <v>usd linked</v>
      </c>
      <c r="I453" s="6">
        <f t="shared" ref="I453:I516" si="22">IF(H453="ars",C453/$J$1,IF(H453="Hard",C453*$J$2/$J$1,C453))</f>
        <v>0</v>
      </c>
      <c r="J453">
        <f t="shared" ref="J453:J516" si="23">IF(H453="ars",D453/$J$1,IF(H453="hard",D453*$J$2/$J$1,D453))</f>
        <v>10558.14</v>
      </c>
      <c r="M453" s="64" t="s">
        <v>856</v>
      </c>
      <c r="N453" s="123">
        <v>0</v>
      </c>
    </row>
    <row r="454" spans="1:14" hidden="1" x14ac:dyDescent="0.3">
      <c r="A454">
        <v>49</v>
      </c>
      <c r="B454" t="str">
        <v>INNOVACION ONCATIVO S.A.</v>
      </c>
      <c r="C454" s="6">
        <v>-5670.99</v>
      </c>
      <c r="D454" s="6">
        <v>906.69</v>
      </c>
      <c r="E454" t="str">
        <v>Dólar Matba Rofex</v>
      </c>
      <c r="F454" t="str">
        <v xml:space="preserve"> U$S MR</v>
      </c>
      <c r="G454" t="str">
        <f>IFERROR(VLOOKUP(A454,'Clientes CBOT'!B:E,4,0),B454)</f>
        <v>INNOVACION ONCATIVO S.A.</v>
      </c>
      <c r="H454" t="str">
        <f t="shared" si="21"/>
        <v>usd linked</v>
      </c>
      <c r="I454" s="6">
        <f t="shared" si="22"/>
        <v>-5670.99</v>
      </c>
      <c r="J454">
        <f t="shared" si="23"/>
        <v>906.69</v>
      </c>
      <c r="M454" s="64" t="s">
        <v>857</v>
      </c>
      <c r="N454" s="123">
        <v>2016.77</v>
      </c>
    </row>
    <row r="455" spans="1:14" hidden="1" x14ac:dyDescent="0.3">
      <c r="A455">
        <v>466</v>
      </c>
      <c r="B455" t="str">
        <v>MELCHIORI HNOS SA</v>
      </c>
      <c r="C455" s="6">
        <v>0</v>
      </c>
      <c r="D455" s="6">
        <v>0</v>
      </c>
      <c r="E455" t="str">
        <v>Dólar Matba Rofex</v>
      </c>
      <c r="F455" t="str">
        <v xml:space="preserve"> U$S MR</v>
      </c>
      <c r="G455" t="str">
        <f>IFERROR(VLOOKUP(A455,'Clientes CBOT'!B:E,4,0),B455)</f>
        <v>MELCHIORI HNOS SA</v>
      </c>
      <c r="H455" t="str">
        <f t="shared" si="21"/>
        <v>usd linked</v>
      </c>
      <c r="I455" s="6">
        <f t="shared" si="22"/>
        <v>0</v>
      </c>
      <c r="J455">
        <f t="shared" si="23"/>
        <v>0</v>
      </c>
      <c r="M455" s="64" t="s">
        <v>858</v>
      </c>
      <c r="N455" s="123">
        <v>0.28999999999999998</v>
      </c>
    </row>
    <row r="456" spans="1:14" x14ac:dyDescent="0.3">
      <c r="A456">
        <v>247</v>
      </c>
      <c r="B456" t="str">
        <v>GP AGRO SA</v>
      </c>
      <c r="C456" s="6">
        <v>-0.01</v>
      </c>
      <c r="D456" s="6">
        <v>0</v>
      </c>
      <c r="E456" t="str">
        <v>Dólar Matba Rofex</v>
      </c>
      <c r="F456" t="str">
        <v xml:space="preserve"> U$S MR</v>
      </c>
      <c r="G456" t="str">
        <f>IFERROR(VLOOKUP(A456,'Clientes CBOT'!B:E,4,0),B456)</f>
        <v>GP AGRO SA</v>
      </c>
      <c r="H456" t="str">
        <f t="shared" si="21"/>
        <v>usd linked</v>
      </c>
      <c r="I456" s="6">
        <f t="shared" si="22"/>
        <v>-0.01</v>
      </c>
      <c r="J456">
        <f t="shared" si="23"/>
        <v>0</v>
      </c>
      <c r="M456" s="64" t="s">
        <v>874</v>
      </c>
      <c r="N456" s="123">
        <v>26231699.420000002</v>
      </c>
    </row>
    <row r="457" spans="1:14" x14ac:dyDescent="0.3">
      <c r="A457">
        <v>338</v>
      </c>
      <c r="B457" t="str">
        <v>AGRO IN SRL</v>
      </c>
      <c r="C457" s="6">
        <v>0</v>
      </c>
      <c r="D457" s="6">
        <v>0</v>
      </c>
      <c r="E457" t="str">
        <v>Dólar Matba Rofex</v>
      </c>
      <c r="F457" t="str">
        <v xml:space="preserve"> U$S MR</v>
      </c>
      <c r="G457" t="str">
        <f>IFERROR(VLOOKUP(A457,'Clientes CBOT'!B:E,4,0),B457)</f>
        <v>AGRO IN SRL</v>
      </c>
      <c r="H457" t="str">
        <f t="shared" si="21"/>
        <v>usd linked</v>
      </c>
      <c r="I457" s="6">
        <f t="shared" si="22"/>
        <v>0</v>
      </c>
      <c r="J457">
        <f t="shared" si="23"/>
        <v>0</v>
      </c>
      <c r="M457" s="64" t="s">
        <v>875</v>
      </c>
      <c r="N457" s="123">
        <v>0</v>
      </c>
    </row>
    <row r="458" spans="1:14" x14ac:dyDescent="0.3">
      <c r="A458">
        <v>356</v>
      </c>
      <c r="B458" t="str">
        <v>Martin Rafael Raimundo</v>
      </c>
      <c r="C458" s="6">
        <v>0.84</v>
      </c>
      <c r="D458" s="6">
        <v>0</v>
      </c>
      <c r="E458" t="str">
        <v>Pesos</v>
      </c>
      <c r="F458" t="str">
        <v xml:space="preserve"> $</v>
      </c>
      <c r="G458" t="str">
        <f>IFERROR(VLOOKUP(A458,'Clientes CBOT'!B:E,4,0),B458)</f>
        <v>Martin Rafael Raimundo</v>
      </c>
      <c r="H458" t="str">
        <f t="shared" si="21"/>
        <v>Ars</v>
      </c>
      <c r="I458" s="6">
        <f t="shared" si="22"/>
        <v>0.84</v>
      </c>
      <c r="J458">
        <f t="shared" si="23"/>
        <v>0</v>
      </c>
      <c r="M458" s="64" t="s">
        <v>899</v>
      </c>
      <c r="N458" s="123">
        <v>13294.67</v>
      </c>
    </row>
    <row r="459" spans="1:14" hidden="1" x14ac:dyDescent="0.3">
      <c r="A459">
        <v>301</v>
      </c>
      <c r="B459" t="str">
        <v>FIORDANI RENZI CEREALES S.A.</v>
      </c>
      <c r="C459" s="6">
        <v>-107293314.05</v>
      </c>
      <c r="D459" s="6">
        <v>0</v>
      </c>
      <c r="E459" t="str">
        <v>Pesos</v>
      </c>
      <c r="F459" t="str">
        <v xml:space="preserve"> $</v>
      </c>
      <c r="G459" t="str">
        <f>IFERROR(VLOOKUP(A459,'Clientes CBOT'!B:E,4,0),B459)</f>
        <v>FIORDANI RENZI CEREALES S.A.</v>
      </c>
      <c r="H459" t="str">
        <f t="shared" si="21"/>
        <v>Ars</v>
      </c>
      <c r="I459" s="6">
        <f t="shared" si="22"/>
        <v>-107293314.05</v>
      </c>
      <c r="J459">
        <f t="shared" si="23"/>
        <v>0</v>
      </c>
      <c r="M459" s="64" t="s">
        <v>900</v>
      </c>
      <c r="N459" s="123">
        <v>-61362.16</v>
      </c>
    </row>
    <row r="460" spans="1:14" hidden="1" x14ac:dyDescent="0.3">
      <c r="A460">
        <v>288</v>
      </c>
      <c r="B460" t="str">
        <v>ESTABLECIMIENTO AGRICOLA GANADERO SAN IGNACIO SRL</v>
      </c>
      <c r="C460" s="6">
        <v>-1878.28</v>
      </c>
      <c r="D460" s="6">
        <v>0.05</v>
      </c>
      <c r="E460" t="str">
        <v>Pesos</v>
      </c>
      <c r="F460" t="str">
        <v xml:space="preserve"> $</v>
      </c>
      <c r="G460" t="str">
        <f>IFERROR(VLOOKUP(A460,'Clientes CBOT'!B:E,4,0),B460)</f>
        <v>ESTABLECIMIENTO AGRICOLA GANADERO SAN IGNACIO SRL</v>
      </c>
      <c r="H460" t="str">
        <f t="shared" si="21"/>
        <v>Ars</v>
      </c>
      <c r="I460" s="6">
        <f t="shared" si="22"/>
        <v>-1878.28</v>
      </c>
      <c r="J460">
        <f t="shared" si="23"/>
        <v>0.05</v>
      </c>
      <c r="M460" s="64" t="s">
        <v>1475</v>
      </c>
      <c r="N460" s="123">
        <v>428669.64</v>
      </c>
    </row>
    <row r="461" spans="1:14" hidden="1" x14ac:dyDescent="0.3">
      <c r="A461">
        <v>68</v>
      </c>
      <c r="B461" t="str">
        <v>TAGUAY SA</v>
      </c>
      <c r="C461" s="6">
        <v>-96696.94</v>
      </c>
      <c r="D461" s="6">
        <v>-0.01</v>
      </c>
      <c r="E461" t="str">
        <v>Pesos</v>
      </c>
      <c r="F461" t="str">
        <v xml:space="preserve"> $</v>
      </c>
      <c r="G461" t="str">
        <f>IFERROR(VLOOKUP(A461,'Clientes CBOT'!B:E,4,0),B461)</f>
        <v>TAGUAY SA</v>
      </c>
      <c r="H461" t="str">
        <f t="shared" si="21"/>
        <v>Ars</v>
      </c>
      <c r="I461" s="6">
        <f t="shared" si="22"/>
        <v>-96696.94</v>
      </c>
      <c r="J461">
        <f t="shared" si="23"/>
        <v>-0.01</v>
      </c>
      <c r="M461" s="64" t="s">
        <v>1498</v>
      </c>
      <c r="N461" s="123">
        <v>40481.03</v>
      </c>
    </row>
    <row r="462" spans="1:14" hidden="1" x14ac:dyDescent="0.3">
      <c r="A462">
        <v>39</v>
      </c>
      <c r="B462" t="str">
        <v>GARMAT SA</v>
      </c>
      <c r="C462" s="6">
        <v>-6226.22</v>
      </c>
      <c r="D462" s="6">
        <v>0</v>
      </c>
      <c r="E462" t="str">
        <v>Pesos</v>
      </c>
      <c r="F462" t="str">
        <v xml:space="preserve"> $</v>
      </c>
      <c r="G462" t="str">
        <f>IFERROR(VLOOKUP(A462,'Clientes CBOT'!B:E,4,0),B462)</f>
        <v>GARMAT SA</v>
      </c>
      <c r="H462" t="str">
        <f t="shared" si="21"/>
        <v>Ars</v>
      </c>
      <c r="I462" s="6">
        <f t="shared" si="22"/>
        <v>-6226.22</v>
      </c>
      <c r="J462">
        <f t="shared" si="23"/>
        <v>0</v>
      </c>
      <c r="M462" s="64" t="s">
        <v>1510</v>
      </c>
      <c r="N462" s="123">
        <v>-55596.670000000006</v>
      </c>
    </row>
    <row r="463" spans="1:14" hidden="1" x14ac:dyDescent="0.3">
      <c r="A463">
        <v>63</v>
      </c>
      <c r="B463" t="str">
        <v>RUAS AGROPECUARIA S A</v>
      </c>
      <c r="C463" s="6">
        <v>-15250.77</v>
      </c>
      <c r="D463" s="6">
        <v>0</v>
      </c>
      <c r="E463" t="str">
        <v>Pesos</v>
      </c>
      <c r="F463" t="str">
        <v xml:space="preserve"> $</v>
      </c>
      <c r="G463" t="str">
        <f>IFERROR(VLOOKUP(A463,'Clientes CBOT'!B:E,4,0),B463)</f>
        <v>RUAS AGROPECUARIA S A</v>
      </c>
      <c r="H463" t="str">
        <f t="shared" si="21"/>
        <v>Ars</v>
      </c>
      <c r="I463" s="6">
        <f t="shared" si="22"/>
        <v>-15250.77</v>
      </c>
      <c r="J463">
        <f t="shared" si="23"/>
        <v>0</v>
      </c>
      <c r="M463" s="64" t="s">
        <v>1511</v>
      </c>
      <c r="N463" s="123">
        <v>0</v>
      </c>
    </row>
    <row r="464" spans="1:14" hidden="1" x14ac:dyDescent="0.3">
      <c r="A464">
        <v>63</v>
      </c>
      <c r="B464" t="str">
        <v>RUAS AGROPECUARIA S A</v>
      </c>
      <c r="C464" s="6">
        <v>0</v>
      </c>
      <c r="D464" s="6">
        <v>0</v>
      </c>
      <c r="E464" t="str">
        <v xml:space="preserve">Dólar </v>
      </c>
      <c r="F464" t="str">
        <v xml:space="preserve"> U$S</v>
      </c>
      <c r="G464" t="str">
        <f>IFERROR(VLOOKUP(A464,'Clientes CBOT'!B:E,4,0),B464)</f>
        <v>RUAS AGROPECUARIA S A</v>
      </c>
      <c r="H464" t="str">
        <f t="shared" si="21"/>
        <v>Dólar</v>
      </c>
      <c r="I464" s="6">
        <f t="shared" si="22"/>
        <v>0</v>
      </c>
      <c r="J464">
        <f t="shared" si="23"/>
        <v>0</v>
      </c>
      <c r="M464" s="64" t="s">
        <v>1512</v>
      </c>
      <c r="N464" s="123">
        <v>-43769.739999999991</v>
      </c>
    </row>
    <row r="465" spans="1:14" hidden="1" x14ac:dyDescent="0.3">
      <c r="A465">
        <v>39</v>
      </c>
      <c r="B465" t="str">
        <v>GARMAT SA</v>
      </c>
      <c r="C465" s="6">
        <v>4112.05</v>
      </c>
      <c r="D465" s="6">
        <v>0</v>
      </c>
      <c r="E465" t="str">
        <v xml:space="preserve">Dólar </v>
      </c>
      <c r="F465" t="str">
        <v xml:space="preserve"> U$S</v>
      </c>
      <c r="G465" t="str">
        <f>IFERROR(VLOOKUP(A465,'Clientes CBOT'!B:E,4,0),B465)</f>
        <v>GARMAT SA</v>
      </c>
      <c r="H465" t="str">
        <f t="shared" si="21"/>
        <v>Dólar</v>
      </c>
      <c r="I465" s="6">
        <f t="shared" si="22"/>
        <v>4112.05</v>
      </c>
      <c r="J465">
        <f t="shared" si="23"/>
        <v>0</v>
      </c>
      <c r="M465" s="64" t="s">
        <v>1520</v>
      </c>
      <c r="N465" s="123">
        <v>0</v>
      </c>
    </row>
    <row r="466" spans="1:14" hidden="1" x14ac:dyDescent="0.3">
      <c r="A466">
        <v>68</v>
      </c>
      <c r="B466" t="str">
        <v>TAGUAY SA</v>
      </c>
      <c r="C466" s="6">
        <v>286.27999999999997</v>
      </c>
      <c r="D466" s="6">
        <v>0</v>
      </c>
      <c r="E466" t="str">
        <v xml:space="preserve">Dólar </v>
      </c>
      <c r="F466" t="str">
        <v xml:space="preserve"> U$S</v>
      </c>
      <c r="G466" t="str">
        <f>IFERROR(VLOOKUP(A466,'Clientes CBOT'!B:E,4,0),B466)</f>
        <v>TAGUAY SA</v>
      </c>
      <c r="H466" t="str">
        <f t="shared" si="21"/>
        <v>Dólar</v>
      </c>
      <c r="I466" s="6">
        <f t="shared" si="22"/>
        <v>286.27999999999997</v>
      </c>
      <c r="J466">
        <f t="shared" si="23"/>
        <v>0</v>
      </c>
      <c r="M466" s="64" t="s">
        <v>1602</v>
      </c>
      <c r="N466" s="123">
        <v>0.2</v>
      </c>
    </row>
    <row r="467" spans="1:14" hidden="1" x14ac:dyDescent="0.3">
      <c r="A467">
        <v>301</v>
      </c>
      <c r="B467" t="str">
        <v>FIORDANI RENZI CEREALES S.A.</v>
      </c>
      <c r="C467" s="6">
        <v>9.86</v>
      </c>
      <c r="D467" s="6">
        <v>0</v>
      </c>
      <c r="E467" t="str">
        <v xml:space="preserve">Dólar </v>
      </c>
      <c r="F467" t="str">
        <v xml:space="preserve"> U$S</v>
      </c>
      <c r="G467" t="str">
        <f>IFERROR(VLOOKUP(A467,'Clientes CBOT'!B:E,4,0),B467)</f>
        <v>FIORDANI RENZI CEREALES S.A.</v>
      </c>
      <c r="H467" t="str">
        <f t="shared" si="21"/>
        <v>Dólar</v>
      </c>
      <c r="I467" s="6">
        <f t="shared" si="22"/>
        <v>9.86</v>
      </c>
      <c r="J467">
        <f t="shared" si="23"/>
        <v>0</v>
      </c>
      <c r="M467" s="64" t="s">
        <v>1603</v>
      </c>
      <c r="N467" s="123">
        <v>-0.2</v>
      </c>
    </row>
    <row r="468" spans="1:14" hidden="1" x14ac:dyDescent="0.3">
      <c r="A468">
        <v>356</v>
      </c>
      <c r="B468" t="str">
        <v>Martin Rafael Raimundo</v>
      </c>
      <c r="C468" s="6">
        <v>0</v>
      </c>
      <c r="D468" s="6">
        <v>0</v>
      </c>
      <c r="E468" t="str">
        <v xml:space="preserve">Dólar </v>
      </c>
      <c r="F468" t="str">
        <v xml:space="preserve"> U$S</v>
      </c>
      <c r="G468" t="str">
        <f>IFERROR(VLOOKUP(A468,'Clientes CBOT'!B:E,4,0),B468)</f>
        <v>Martin Rafael Raimundo</v>
      </c>
      <c r="H468" t="str">
        <f t="shared" si="21"/>
        <v>Dólar</v>
      </c>
      <c r="I468" s="6">
        <f t="shared" si="22"/>
        <v>0</v>
      </c>
      <c r="J468">
        <f t="shared" si="23"/>
        <v>0</v>
      </c>
      <c r="M468" s="64" t="s">
        <v>1617</v>
      </c>
      <c r="N468" s="123">
        <v>0</v>
      </c>
    </row>
    <row r="469" spans="1:14" hidden="1" x14ac:dyDescent="0.3">
      <c r="A469">
        <v>288</v>
      </c>
      <c r="B469" t="str">
        <v>ESTABLECIMIENTO AGRICOLA GANADERO SAN IGNACIO SRL</v>
      </c>
      <c r="C469" s="6">
        <v>0</v>
      </c>
      <c r="D469" s="6">
        <v>0</v>
      </c>
      <c r="E469" t="str">
        <v>Dólar Cable</v>
      </c>
      <c r="F469" t="str">
        <v xml:space="preserve"> U$S TT</v>
      </c>
      <c r="G469" t="str">
        <f>IFERROR(VLOOKUP(A469,'Clientes CBOT'!B:E,4,0),B469)</f>
        <v>ESTABLECIMIENTO AGRICOLA GANADERO SAN IGNACIO SRL</v>
      </c>
      <c r="H469" t="str">
        <f t="shared" si="21"/>
        <v>Hard</v>
      </c>
      <c r="I469" s="6">
        <f t="shared" si="22"/>
        <v>0</v>
      </c>
      <c r="J469">
        <f t="shared" si="23"/>
        <v>0</v>
      </c>
      <c r="M469" s="64" t="s">
        <v>1620</v>
      </c>
      <c r="N469" s="123">
        <v>2000</v>
      </c>
    </row>
    <row r="470" spans="1:14" hidden="1" x14ac:dyDescent="0.3">
      <c r="A470">
        <v>68</v>
      </c>
      <c r="B470" t="str">
        <v>TAGUAY SA</v>
      </c>
      <c r="C470" s="6">
        <v>1076.2</v>
      </c>
      <c r="D470" s="6">
        <v>0</v>
      </c>
      <c r="E470" t="str">
        <v>Dólar Cable</v>
      </c>
      <c r="F470" t="str">
        <v xml:space="preserve"> U$S TT</v>
      </c>
      <c r="G470" t="str">
        <f>IFERROR(VLOOKUP(A470,'Clientes CBOT'!B:E,4,0),B470)</f>
        <v>TAGUAY SA</v>
      </c>
      <c r="H470" t="str">
        <f t="shared" si="21"/>
        <v>Hard</v>
      </c>
      <c r="I470" s="6">
        <f t="shared" si="22"/>
        <v>1076.2</v>
      </c>
      <c r="J470">
        <f t="shared" si="23"/>
        <v>0</v>
      </c>
      <c r="M470" s="64" t="s">
        <v>1621</v>
      </c>
      <c r="N470" s="123">
        <v>16967.7</v>
      </c>
    </row>
    <row r="471" spans="1:14" hidden="1" x14ac:dyDescent="0.3">
      <c r="A471">
        <v>39</v>
      </c>
      <c r="B471" t="str">
        <v>GARMAT SA</v>
      </c>
      <c r="C471" s="6">
        <v>-7.0000000000000007E-2</v>
      </c>
      <c r="D471" s="6">
        <v>0</v>
      </c>
      <c r="E471" t="str">
        <v>Dólar Cable</v>
      </c>
      <c r="F471" t="str">
        <v xml:space="preserve"> U$S TT</v>
      </c>
      <c r="G471" t="str">
        <f>IFERROR(VLOOKUP(A471,'Clientes CBOT'!B:E,4,0),B471)</f>
        <v>GARMAT SA</v>
      </c>
      <c r="H471" t="str">
        <f t="shared" si="21"/>
        <v>Hard</v>
      </c>
      <c r="I471" s="6">
        <f t="shared" si="22"/>
        <v>-7.0000000000000007E-2</v>
      </c>
      <c r="J471">
        <f t="shared" si="23"/>
        <v>0</v>
      </c>
      <c r="M471" s="64" t="s">
        <v>633</v>
      </c>
      <c r="N471" s="123">
        <v>-14753768590.159992</v>
      </c>
    </row>
    <row r="472" spans="1:14" hidden="1" x14ac:dyDescent="0.3">
      <c r="A472">
        <v>39</v>
      </c>
      <c r="B472" t="str">
        <v>GARMAT SA</v>
      </c>
      <c r="C472" s="6">
        <v>-0.01</v>
      </c>
      <c r="D472" s="6">
        <v>0</v>
      </c>
      <c r="E472" t="str">
        <v>Dólar Matba Rofex</v>
      </c>
      <c r="F472" t="str">
        <v xml:space="preserve"> U$S MR</v>
      </c>
      <c r="G472" t="str">
        <f>IFERROR(VLOOKUP(A472,'Clientes CBOT'!B:E,4,0),B472)</f>
        <v>GARMAT SA</v>
      </c>
      <c r="H472" t="str">
        <f t="shared" si="21"/>
        <v>usd linked</v>
      </c>
      <c r="I472" s="6">
        <f t="shared" si="22"/>
        <v>-0.01</v>
      </c>
      <c r="J472">
        <f t="shared" si="23"/>
        <v>0</v>
      </c>
    </row>
    <row r="473" spans="1:14" hidden="1" x14ac:dyDescent="0.3">
      <c r="A473">
        <v>63</v>
      </c>
      <c r="B473" t="str">
        <v>RUAS AGROPECUARIA S A</v>
      </c>
      <c r="C473" s="6">
        <v>-0.01</v>
      </c>
      <c r="D473" s="6">
        <v>0</v>
      </c>
      <c r="E473" t="str">
        <v>Dólar Matba Rofex</v>
      </c>
      <c r="F473" t="str">
        <v xml:space="preserve"> U$S MR</v>
      </c>
      <c r="G473" t="str">
        <f>IFERROR(VLOOKUP(A473,'Clientes CBOT'!B:E,4,0),B473)</f>
        <v>RUAS AGROPECUARIA S A</v>
      </c>
      <c r="H473" t="str">
        <f t="shared" si="21"/>
        <v>usd linked</v>
      </c>
      <c r="I473" s="6">
        <f t="shared" si="22"/>
        <v>-0.01</v>
      </c>
      <c r="J473">
        <f t="shared" si="23"/>
        <v>0</v>
      </c>
    </row>
    <row r="474" spans="1:14" hidden="1" x14ac:dyDescent="0.3">
      <c r="A474">
        <v>68</v>
      </c>
      <c r="B474" t="str">
        <v>TAGUAY SA</v>
      </c>
      <c r="C474" s="6">
        <v>-2823.84</v>
      </c>
      <c r="D474" s="6">
        <v>5136.97</v>
      </c>
      <c r="E474" t="str">
        <v>Dólar Matba Rofex</v>
      </c>
      <c r="F474" t="str">
        <v xml:space="preserve"> U$S MR</v>
      </c>
      <c r="G474" t="str">
        <f>IFERROR(VLOOKUP(A474,'Clientes CBOT'!B:E,4,0),B474)</f>
        <v>TAGUAY SA</v>
      </c>
      <c r="H474" t="str">
        <f t="shared" si="21"/>
        <v>usd linked</v>
      </c>
      <c r="I474" s="6">
        <f t="shared" si="22"/>
        <v>-2823.84</v>
      </c>
      <c r="J474">
        <f t="shared" si="23"/>
        <v>5136.97</v>
      </c>
    </row>
    <row r="475" spans="1:14" hidden="1" x14ac:dyDescent="0.3">
      <c r="A475">
        <v>301</v>
      </c>
      <c r="B475" t="str">
        <v>FIORDANI RENZI CEREALES S.A.</v>
      </c>
      <c r="C475" s="6">
        <v>-7489.13</v>
      </c>
      <c r="D475" s="6">
        <v>142102.42000000001</v>
      </c>
      <c r="E475" t="str">
        <v>Dólar Matba Rofex</v>
      </c>
      <c r="F475" t="str">
        <v xml:space="preserve"> U$S MR</v>
      </c>
      <c r="G475" t="str">
        <f>IFERROR(VLOOKUP(A475,'Clientes CBOT'!B:E,4,0),B475)</f>
        <v>FIORDANI RENZI CEREALES S.A.</v>
      </c>
      <c r="H475" t="str">
        <f t="shared" si="21"/>
        <v>usd linked</v>
      </c>
      <c r="I475" s="6">
        <f t="shared" si="22"/>
        <v>-7489.13</v>
      </c>
      <c r="J475">
        <f t="shared" si="23"/>
        <v>142102.42000000001</v>
      </c>
    </row>
    <row r="476" spans="1:14" hidden="1" x14ac:dyDescent="0.3">
      <c r="A476">
        <v>302</v>
      </c>
      <c r="B476" t="str">
        <v>UDS AGRO SRL</v>
      </c>
      <c r="C476" s="6">
        <v>2820.94</v>
      </c>
      <c r="D476" s="6">
        <v>0</v>
      </c>
      <c r="E476" t="str">
        <v>Pesos</v>
      </c>
      <c r="F476" t="str">
        <v xml:space="preserve"> $</v>
      </c>
      <c r="G476" t="str">
        <f>IFERROR(VLOOKUP(A476,'Clientes CBOT'!B:E,4,0),B476)</f>
        <v>UDS AGRO SRL</v>
      </c>
      <c r="H476" t="str">
        <f t="shared" si="21"/>
        <v>Ars</v>
      </c>
      <c r="I476" s="6">
        <f t="shared" si="22"/>
        <v>2820.94</v>
      </c>
      <c r="J476">
        <f t="shared" si="23"/>
        <v>0</v>
      </c>
    </row>
    <row r="477" spans="1:14" hidden="1" x14ac:dyDescent="0.3">
      <c r="A477">
        <v>209</v>
      </c>
      <c r="B477" t="str">
        <v>GARAGRO SOCIEDAD ANONIMA</v>
      </c>
      <c r="C477" s="6">
        <v>0</v>
      </c>
      <c r="D477" s="6">
        <v>0</v>
      </c>
      <c r="E477" t="str">
        <v>Pesos</v>
      </c>
      <c r="F477" t="str">
        <v xml:space="preserve"> $</v>
      </c>
      <c r="G477" t="str">
        <f>IFERROR(VLOOKUP(A477,'Clientes CBOT'!B:E,4,0),B477)</f>
        <v>GARAGRO SOCIEDAD ANONIMA</v>
      </c>
      <c r="H477" t="str">
        <f t="shared" si="21"/>
        <v>Ars</v>
      </c>
      <c r="I477" s="6">
        <f t="shared" si="22"/>
        <v>0</v>
      </c>
      <c r="J477">
        <f t="shared" si="23"/>
        <v>0</v>
      </c>
    </row>
    <row r="478" spans="1:14" hidden="1" x14ac:dyDescent="0.3">
      <c r="A478">
        <v>279</v>
      </c>
      <c r="B478" t="str">
        <v>AMBROGIO MARTIN</v>
      </c>
      <c r="C478" s="6">
        <v>1780.96</v>
      </c>
      <c r="D478" s="6">
        <v>0</v>
      </c>
      <c r="E478" t="str">
        <v>Pesos</v>
      </c>
      <c r="F478" t="str">
        <v xml:space="preserve"> $</v>
      </c>
      <c r="G478" t="str">
        <f>IFERROR(VLOOKUP(A478,'Clientes CBOT'!B:E,4,0),B478)</f>
        <v>AMBROGIO MARTIN</v>
      </c>
      <c r="H478" t="str">
        <f t="shared" si="21"/>
        <v>Ars</v>
      </c>
      <c r="I478" s="6">
        <f t="shared" si="22"/>
        <v>1780.96</v>
      </c>
      <c r="J478">
        <f t="shared" si="23"/>
        <v>0</v>
      </c>
    </row>
    <row r="479" spans="1:14" hidden="1" x14ac:dyDescent="0.3">
      <c r="A479">
        <v>274</v>
      </c>
      <c r="B479" t="str">
        <v>GEOBIOS SRL</v>
      </c>
      <c r="C479" s="6">
        <v>0</v>
      </c>
      <c r="D479" s="6">
        <v>0</v>
      </c>
      <c r="E479" t="str">
        <v>Pesos</v>
      </c>
      <c r="F479" t="str">
        <v xml:space="preserve"> $</v>
      </c>
      <c r="G479">
        <f>IFERROR(VLOOKUP(A479,'Clientes CBOT'!B:E,4,0),B479)</f>
        <v>13035</v>
      </c>
      <c r="H479" t="str">
        <f t="shared" si="21"/>
        <v>Ars</v>
      </c>
      <c r="I479" s="6">
        <f t="shared" si="22"/>
        <v>0</v>
      </c>
      <c r="J479">
        <f t="shared" si="23"/>
        <v>0</v>
      </c>
    </row>
    <row r="480" spans="1:14" hidden="1" x14ac:dyDescent="0.3">
      <c r="A480">
        <v>357</v>
      </c>
      <c r="B480" t="str">
        <v>HARAS LA QUEBRADA SA</v>
      </c>
      <c r="C480" s="6">
        <v>0.98</v>
      </c>
      <c r="D480" s="6">
        <v>0.01</v>
      </c>
      <c r="E480" t="str">
        <v>Pesos</v>
      </c>
      <c r="F480" t="str">
        <v xml:space="preserve"> $</v>
      </c>
      <c r="G480" t="str">
        <f>IFERROR(VLOOKUP(A480,'Clientes CBOT'!B:E,4,0),B480)</f>
        <v>HARAS LA QUEBRADA SA</v>
      </c>
      <c r="H480" t="str">
        <f t="shared" si="21"/>
        <v>Ars</v>
      </c>
      <c r="I480" s="6">
        <f t="shared" si="22"/>
        <v>0.98</v>
      </c>
      <c r="J480">
        <f t="shared" si="23"/>
        <v>0.01</v>
      </c>
    </row>
    <row r="481" spans="1:10" hidden="1" x14ac:dyDescent="0.3">
      <c r="A481">
        <v>403</v>
      </c>
      <c r="B481" t="str">
        <v>CIGORRAGA NICOLAS</v>
      </c>
      <c r="C481" s="6">
        <v>13.42</v>
      </c>
      <c r="D481" s="6">
        <v>0</v>
      </c>
      <c r="E481" t="str">
        <v>Pesos</v>
      </c>
      <c r="F481" t="str">
        <v xml:space="preserve"> $</v>
      </c>
      <c r="G481" t="str">
        <f>IFERROR(VLOOKUP(A481,'Clientes CBOT'!B:E,4,0),B481)</f>
        <v>CIGORRAGA NICOLAS</v>
      </c>
      <c r="H481" t="str">
        <f t="shared" si="21"/>
        <v>Ars</v>
      </c>
      <c r="I481" s="6">
        <f t="shared" si="22"/>
        <v>13.42</v>
      </c>
      <c r="J481">
        <f t="shared" si="23"/>
        <v>0</v>
      </c>
    </row>
    <row r="482" spans="1:10" hidden="1" x14ac:dyDescent="0.3">
      <c r="A482">
        <v>404</v>
      </c>
      <c r="B482" t="str">
        <v>CIGORRAGA ANDRES</v>
      </c>
      <c r="C482" s="6">
        <v>-17.21</v>
      </c>
      <c r="D482" s="6">
        <v>0</v>
      </c>
      <c r="E482" t="str">
        <v>Pesos</v>
      </c>
      <c r="F482" t="str">
        <v xml:space="preserve"> $</v>
      </c>
      <c r="G482" t="str">
        <f>IFERROR(VLOOKUP(A482,'Clientes CBOT'!B:E,4,0),B482)</f>
        <v>CIGORRAGA ANDRES</v>
      </c>
      <c r="H482" t="str">
        <f t="shared" si="21"/>
        <v>Ars</v>
      </c>
      <c r="I482" s="6">
        <f t="shared" si="22"/>
        <v>-17.21</v>
      </c>
      <c r="J482">
        <f t="shared" si="23"/>
        <v>0</v>
      </c>
    </row>
    <row r="483" spans="1:10" hidden="1" x14ac:dyDescent="0.3">
      <c r="A483">
        <v>400</v>
      </c>
      <c r="B483" t="str">
        <v>BERNARD RAUL PABLO</v>
      </c>
      <c r="C483" s="6">
        <v>-2022.72</v>
      </c>
      <c r="D483" s="6">
        <v>0.01</v>
      </c>
      <c r="E483" t="str">
        <v>Pesos</v>
      </c>
      <c r="F483" t="str">
        <v xml:space="preserve"> $</v>
      </c>
      <c r="G483" t="str">
        <f>IFERROR(VLOOKUP(A483,'Clientes CBOT'!B:E,4,0),B483)</f>
        <v>BERNARD RAUL PABLO</v>
      </c>
      <c r="H483" t="str">
        <f t="shared" si="21"/>
        <v>Ars</v>
      </c>
      <c r="I483" s="6">
        <f t="shared" si="22"/>
        <v>-2022.72</v>
      </c>
      <c r="J483">
        <f t="shared" si="23"/>
        <v>0.01</v>
      </c>
    </row>
    <row r="484" spans="1:10" hidden="1" x14ac:dyDescent="0.3">
      <c r="A484">
        <v>253</v>
      </c>
      <c r="B484" t="str">
        <v>NUIC GUILLERMO Y CRISTIAN SA</v>
      </c>
      <c r="C484" s="6">
        <v>0</v>
      </c>
      <c r="D484" s="6">
        <v>0</v>
      </c>
      <c r="E484" t="str">
        <v>Pesos</v>
      </c>
      <c r="F484" t="str">
        <v xml:space="preserve"> $</v>
      </c>
      <c r="G484">
        <f>IFERROR(VLOOKUP(A484,'Clientes CBOT'!B:E,4,0),B484)</f>
        <v>13036</v>
      </c>
      <c r="H484" t="str">
        <f t="shared" si="21"/>
        <v>Ars</v>
      </c>
      <c r="I484" s="6">
        <f t="shared" si="22"/>
        <v>0</v>
      </c>
      <c r="J484">
        <f t="shared" si="23"/>
        <v>0</v>
      </c>
    </row>
    <row r="485" spans="1:10" hidden="1" x14ac:dyDescent="0.3">
      <c r="A485">
        <v>237</v>
      </c>
      <c r="B485" t="str">
        <v>AGROPECUARIA GUATAN SA</v>
      </c>
      <c r="C485" s="6">
        <v>0.28999999999999998</v>
      </c>
      <c r="D485" s="6">
        <v>0</v>
      </c>
      <c r="E485" t="str">
        <v>Pesos</v>
      </c>
      <c r="F485" t="str">
        <v xml:space="preserve"> $</v>
      </c>
      <c r="G485" t="str">
        <f>IFERROR(VLOOKUP(A485,'Clientes CBOT'!B:E,4,0),B485)</f>
        <v>AGROPECUARIA GUATAN SA</v>
      </c>
      <c r="H485" t="str">
        <f t="shared" si="21"/>
        <v>Ars</v>
      </c>
      <c r="I485" s="6">
        <f t="shared" si="22"/>
        <v>0.28999999999999998</v>
      </c>
      <c r="J485">
        <f t="shared" si="23"/>
        <v>0</v>
      </c>
    </row>
    <row r="486" spans="1:10" hidden="1" x14ac:dyDescent="0.3">
      <c r="A486">
        <v>243</v>
      </c>
      <c r="B486" t="str">
        <v>DOMINGO BLAS ALEJANDRO</v>
      </c>
      <c r="C486" s="6">
        <v>0</v>
      </c>
      <c r="D486" s="6">
        <v>0</v>
      </c>
      <c r="E486" t="str">
        <v>Pesos</v>
      </c>
      <c r="F486" t="str">
        <v xml:space="preserve"> $</v>
      </c>
      <c r="G486" t="str">
        <f>IFERROR(VLOOKUP(A486,'Clientes CBOT'!B:E,4,0),B486)</f>
        <v>DOMINGO BLAS ALEJANDRO</v>
      </c>
      <c r="H486" t="str">
        <f t="shared" si="21"/>
        <v>Ars</v>
      </c>
      <c r="I486" s="6">
        <f t="shared" si="22"/>
        <v>0</v>
      </c>
      <c r="J486">
        <f t="shared" si="23"/>
        <v>0</v>
      </c>
    </row>
    <row r="487" spans="1:10" hidden="1" x14ac:dyDescent="0.3">
      <c r="A487">
        <v>208</v>
      </c>
      <c r="B487" t="str">
        <v>GRACAGRO SA</v>
      </c>
      <c r="C487" s="6">
        <v>3889.56</v>
      </c>
      <c r="D487" s="6">
        <v>0</v>
      </c>
      <c r="E487" t="str">
        <v>Pesos</v>
      </c>
      <c r="F487" t="str">
        <v xml:space="preserve"> $</v>
      </c>
      <c r="G487" t="str">
        <f>IFERROR(VLOOKUP(A487,'Clientes CBOT'!B:E,4,0),B487)</f>
        <v>GRACAGRO SA</v>
      </c>
      <c r="H487" t="str">
        <f t="shared" si="21"/>
        <v>Ars</v>
      </c>
      <c r="I487" s="6">
        <f t="shared" si="22"/>
        <v>3889.56</v>
      </c>
      <c r="J487">
        <f t="shared" si="23"/>
        <v>0</v>
      </c>
    </row>
    <row r="488" spans="1:10" hidden="1" x14ac:dyDescent="0.3">
      <c r="A488">
        <v>217</v>
      </c>
      <c r="B488" t="str">
        <v>AGROINVERSIONES ALS S.A.S.</v>
      </c>
      <c r="C488" s="6">
        <v>0</v>
      </c>
      <c r="D488" s="6">
        <v>0.03</v>
      </c>
      <c r="E488" t="str">
        <v>Pesos</v>
      </c>
      <c r="F488" t="str">
        <v xml:space="preserve"> $</v>
      </c>
      <c r="G488" t="str">
        <f>IFERROR(VLOOKUP(A488,'Clientes CBOT'!B:E,4,0),B488)</f>
        <v>AGROINVERSIONES ALS S.A.S.</v>
      </c>
      <c r="H488" t="str">
        <f t="shared" si="21"/>
        <v>Ars</v>
      </c>
      <c r="I488" s="6">
        <f t="shared" si="22"/>
        <v>0</v>
      </c>
      <c r="J488">
        <f t="shared" si="23"/>
        <v>0.03</v>
      </c>
    </row>
    <row r="489" spans="1:10" hidden="1" x14ac:dyDescent="0.3">
      <c r="A489">
        <v>203</v>
      </c>
      <c r="B489" t="str">
        <v>GALARCE GASTON</v>
      </c>
      <c r="C489" s="6">
        <v>0</v>
      </c>
      <c r="D489" s="6">
        <v>-0.01</v>
      </c>
      <c r="E489" t="str">
        <v>Pesos</v>
      </c>
      <c r="F489" t="str">
        <v xml:space="preserve"> $</v>
      </c>
      <c r="G489" t="str">
        <f>IFERROR(VLOOKUP(A489,'Clientes CBOT'!B:E,4,0),B489)</f>
        <v>GALARCE GASTON</v>
      </c>
      <c r="H489" t="str">
        <f t="shared" si="21"/>
        <v>Ars</v>
      </c>
      <c r="I489" s="6">
        <f t="shared" si="22"/>
        <v>0</v>
      </c>
      <c r="J489">
        <f t="shared" si="23"/>
        <v>-0.01</v>
      </c>
    </row>
    <row r="490" spans="1:10" hidden="1" x14ac:dyDescent="0.3">
      <c r="A490">
        <v>205</v>
      </c>
      <c r="B490" t="str">
        <v>TINAREN SA</v>
      </c>
      <c r="C490" s="6">
        <v>11.88</v>
      </c>
      <c r="D490" s="6">
        <v>0</v>
      </c>
      <c r="E490" t="str">
        <v>Pesos</v>
      </c>
      <c r="F490" t="str">
        <v xml:space="preserve"> $</v>
      </c>
      <c r="G490" t="str">
        <f>IFERROR(VLOOKUP(A490,'Clientes CBOT'!B:E,4,0),B490)</f>
        <v>TINAREN SA</v>
      </c>
      <c r="H490" t="str">
        <f t="shared" si="21"/>
        <v>Ars</v>
      </c>
      <c r="I490" s="6">
        <f t="shared" si="22"/>
        <v>11.88</v>
      </c>
      <c r="J490">
        <f t="shared" si="23"/>
        <v>0</v>
      </c>
    </row>
    <row r="491" spans="1:10" hidden="1" x14ac:dyDescent="0.3">
      <c r="A491">
        <v>206</v>
      </c>
      <c r="B491" t="str">
        <v>MONTANARI ROMAN</v>
      </c>
      <c r="C491" s="6">
        <v>0</v>
      </c>
      <c r="D491" s="6">
        <v>-0.01</v>
      </c>
      <c r="E491" t="str">
        <v>Pesos</v>
      </c>
      <c r="F491" t="str">
        <v xml:space="preserve"> $</v>
      </c>
      <c r="G491" t="str">
        <f>IFERROR(VLOOKUP(A491,'Clientes CBOT'!B:E,4,0),B491)</f>
        <v>MONTANARI ROMAN</v>
      </c>
      <c r="H491" t="str">
        <f t="shared" si="21"/>
        <v>Ars</v>
      </c>
      <c r="I491" s="6">
        <f t="shared" si="22"/>
        <v>0</v>
      </c>
      <c r="J491">
        <f t="shared" si="23"/>
        <v>-0.01</v>
      </c>
    </row>
    <row r="492" spans="1:10" hidden="1" x14ac:dyDescent="0.3">
      <c r="A492">
        <v>198</v>
      </c>
      <c r="B492" t="str">
        <v>CAYOL MARCOS</v>
      </c>
      <c r="C492" s="6">
        <v>1656.4</v>
      </c>
      <c r="D492" s="6">
        <v>0</v>
      </c>
      <c r="E492" t="str">
        <v>Pesos</v>
      </c>
      <c r="F492" t="str">
        <v xml:space="preserve"> $</v>
      </c>
      <c r="G492" t="str">
        <f>IFERROR(VLOOKUP(A492,'Clientes CBOT'!B:E,4,0),B492)</f>
        <v>CAYOL MARCOS</v>
      </c>
      <c r="H492" t="str">
        <f t="shared" si="21"/>
        <v>Ars</v>
      </c>
      <c r="I492" s="6">
        <f t="shared" si="22"/>
        <v>1656.4</v>
      </c>
      <c r="J492">
        <f t="shared" si="23"/>
        <v>0</v>
      </c>
    </row>
    <row r="493" spans="1:10" hidden="1" x14ac:dyDescent="0.3">
      <c r="A493">
        <v>152</v>
      </c>
      <c r="B493" t="str">
        <v>CARMAN JUAN CRUZ</v>
      </c>
      <c r="C493" s="6">
        <v>0</v>
      </c>
      <c r="D493" s="6">
        <v>0</v>
      </c>
      <c r="E493" t="str">
        <v>Pesos</v>
      </c>
      <c r="F493" t="str">
        <v xml:space="preserve"> $</v>
      </c>
      <c r="G493" t="str">
        <f>IFERROR(VLOOKUP(A493,'Clientes CBOT'!B:E,4,0),B493)</f>
        <v>CARMAN JUAN CRUZ</v>
      </c>
      <c r="H493" t="str">
        <f t="shared" si="21"/>
        <v>Ars</v>
      </c>
      <c r="I493" s="6">
        <f t="shared" si="22"/>
        <v>0</v>
      </c>
      <c r="J493">
        <f t="shared" si="23"/>
        <v>0</v>
      </c>
    </row>
    <row r="494" spans="1:10" hidden="1" x14ac:dyDescent="0.3">
      <c r="A494">
        <v>166</v>
      </c>
      <c r="B494" t="str">
        <v>LOS BAGUALITOS SRL</v>
      </c>
      <c r="C494" s="6">
        <v>0</v>
      </c>
      <c r="D494" s="6">
        <v>0</v>
      </c>
      <c r="E494" t="str">
        <v>Pesos</v>
      </c>
      <c r="F494" t="str">
        <v xml:space="preserve"> $</v>
      </c>
      <c r="G494">
        <f>IFERROR(VLOOKUP(A494,'Clientes CBOT'!B:E,4,0),B494)</f>
        <v>13033</v>
      </c>
      <c r="H494" t="str">
        <f t="shared" si="21"/>
        <v>Ars</v>
      </c>
      <c r="I494" s="6">
        <f t="shared" si="22"/>
        <v>0</v>
      </c>
      <c r="J494">
        <f t="shared" si="23"/>
        <v>0</v>
      </c>
    </row>
    <row r="495" spans="1:10" hidden="1" x14ac:dyDescent="0.3">
      <c r="A495">
        <v>518</v>
      </c>
      <c r="B495" t="str">
        <v>PRIOTTI NANCY MARIA</v>
      </c>
      <c r="C495" s="6">
        <v>561.80999999999995</v>
      </c>
      <c r="D495" s="6">
        <v>0</v>
      </c>
      <c r="E495" t="str">
        <v>Pesos</v>
      </c>
      <c r="F495" t="str">
        <v xml:space="preserve"> $</v>
      </c>
      <c r="G495" t="str">
        <f>IFERROR(VLOOKUP(A495,'Clientes CBOT'!B:E,4,0),B495)</f>
        <v>PRIOTTI NANCY MARIA</v>
      </c>
      <c r="H495" t="str">
        <f t="shared" si="21"/>
        <v>Ars</v>
      </c>
      <c r="I495" s="6">
        <f t="shared" si="22"/>
        <v>561.80999999999995</v>
      </c>
      <c r="J495">
        <f t="shared" si="23"/>
        <v>0</v>
      </c>
    </row>
    <row r="496" spans="1:10" hidden="1" x14ac:dyDescent="0.3">
      <c r="A496">
        <v>528</v>
      </c>
      <c r="B496" t="str">
        <v>BERNARD RAUL PABLO y BERNARD PABLO APARICIO</v>
      </c>
      <c r="C496" s="6">
        <v>-10112.27</v>
      </c>
      <c r="D496" s="6">
        <v>0</v>
      </c>
      <c r="E496" t="str">
        <v>Pesos</v>
      </c>
      <c r="F496" t="str">
        <v xml:space="preserve"> $</v>
      </c>
      <c r="G496" t="str">
        <f>IFERROR(VLOOKUP(A496,'Clientes CBOT'!B:E,4,0),B496)</f>
        <v>BERNARD RAUL PABLO y BERNARD PABLO APARICIO</v>
      </c>
      <c r="H496" t="str">
        <f t="shared" si="21"/>
        <v>Ars</v>
      </c>
      <c r="I496" s="6">
        <f t="shared" si="22"/>
        <v>-10112.27</v>
      </c>
      <c r="J496">
        <f t="shared" si="23"/>
        <v>0</v>
      </c>
    </row>
    <row r="497" spans="1:10" hidden="1" x14ac:dyDescent="0.3">
      <c r="A497">
        <v>377</v>
      </c>
      <c r="B497" t="str">
        <v>TILO PAMPA SA</v>
      </c>
      <c r="C497" s="6">
        <v>-0.01</v>
      </c>
      <c r="D497" s="6">
        <v>0</v>
      </c>
      <c r="E497" t="str">
        <v>Pesos</v>
      </c>
      <c r="F497" t="str">
        <v xml:space="preserve"> $</v>
      </c>
      <c r="G497" t="str">
        <f>IFERROR(VLOOKUP(A497,'Clientes CBOT'!B:E,4,0),B497)</f>
        <v>TILO PAMPA SA</v>
      </c>
      <c r="H497" t="str">
        <f t="shared" si="21"/>
        <v>Ars</v>
      </c>
      <c r="I497" s="6">
        <f t="shared" si="22"/>
        <v>-0.01</v>
      </c>
      <c r="J497">
        <f t="shared" si="23"/>
        <v>0</v>
      </c>
    </row>
    <row r="498" spans="1:10" hidden="1" x14ac:dyDescent="0.3">
      <c r="A498">
        <v>528</v>
      </c>
      <c r="B498" t="str">
        <v>BERNARD RAUL PABLO y BERNARD PABLO APARICIO</v>
      </c>
      <c r="C498" s="6">
        <v>177.1</v>
      </c>
      <c r="D498" s="6">
        <v>0</v>
      </c>
      <c r="E498" t="str">
        <v xml:space="preserve">Dólar </v>
      </c>
      <c r="F498" t="str">
        <v xml:space="preserve"> U$S</v>
      </c>
      <c r="G498" t="str">
        <f>IFERROR(VLOOKUP(A498,'Clientes CBOT'!B:E,4,0),B498)</f>
        <v>BERNARD RAUL PABLO y BERNARD PABLO APARICIO</v>
      </c>
      <c r="H498" t="str">
        <f t="shared" si="21"/>
        <v>Dólar</v>
      </c>
      <c r="I498" s="6">
        <f t="shared" si="22"/>
        <v>177.1</v>
      </c>
      <c r="J498">
        <f t="shared" si="23"/>
        <v>0</v>
      </c>
    </row>
    <row r="499" spans="1:10" hidden="1" x14ac:dyDescent="0.3">
      <c r="A499">
        <v>166</v>
      </c>
      <c r="B499" t="str">
        <v>LOS BAGUALITOS SRL</v>
      </c>
      <c r="C499" s="6">
        <v>0</v>
      </c>
      <c r="D499" s="6">
        <v>0</v>
      </c>
      <c r="E499" t="str">
        <v xml:space="preserve">Dólar </v>
      </c>
      <c r="F499" t="str">
        <v xml:space="preserve"> U$S</v>
      </c>
      <c r="G499">
        <f>IFERROR(VLOOKUP(A499,'Clientes CBOT'!B:E,4,0),B499)</f>
        <v>13033</v>
      </c>
      <c r="H499" t="str">
        <f t="shared" si="21"/>
        <v>Dólar</v>
      </c>
      <c r="I499" s="6">
        <f t="shared" si="22"/>
        <v>0</v>
      </c>
      <c r="J499">
        <f t="shared" si="23"/>
        <v>0</v>
      </c>
    </row>
    <row r="500" spans="1:10" hidden="1" x14ac:dyDescent="0.3">
      <c r="A500">
        <v>152</v>
      </c>
      <c r="B500" t="str">
        <v>CARMAN JUAN CRUZ</v>
      </c>
      <c r="C500" s="6">
        <v>0</v>
      </c>
      <c r="D500" s="6">
        <v>0</v>
      </c>
      <c r="E500" t="str">
        <v xml:space="preserve">Dólar </v>
      </c>
      <c r="F500" t="str">
        <v xml:space="preserve"> U$S</v>
      </c>
      <c r="G500" t="str">
        <f>IFERROR(VLOOKUP(A500,'Clientes CBOT'!B:E,4,0),B500)</f>
        <v>CARMAN JUAN CRUZ</v>
      </c>
      <c r="H500" t="str">
        <f t="shared" si="21"/>
        <v>Dólar</v>
      </c>
      <c r="I500" s="6">
        <f t="shared" si="22"/>
        <v>0</v>
      </c>
      <c r="J500">
        <f t="shared" si="23"/>
        <v>0</v>
      </c>
    </row>
    <row r="501" spans="1:10" hidden="1" x14ac:dyDescent="0.3">
      <c r="A501">
        <v>198</v>
      </c>
      <c r="B501" t="str">
        <v>CAYOL MARCOS</v>
      </c>
      <c r="C501" s="6">
        <v>0</v>
      </c>
      <c r="D501" s="6">
        <v>0</v>
      </c>
      <c r="E501" t="str">
        <v xml:space="preserve">Dólar </v>
      </c>
      <c r="F501" t="str">
        <v xml:space="preserve"> U$S</v>
      </c>
      <c r="G501" t="str">
        <f>IFERROR(VLOOKUP(A501,'Clientes CBOT'!B:E,4,0),B501)</f>
        <v>CAYOL MARCOS</v>
      </c>
      <c r="H501" t="str">
        <f t="shared" si="21"/>
        <v>Dólar</v>
      </c>
      <c r="I501" s="6">
        <f t="shared" si="22"/>
        <v>0</v>
      </c>
      <c r="J501">
        <f t="shared" si="23"/>
        <v>0</v>
      </c>
    </row>
    <row r="502" spans="1:10" x14ac:dyDescent="0.3">
      <c r="A502">
        <v>206</v>
      </c>
      <c r="B502" t="str">
        <v>MONTANARI ROMAN</v>
      </c>
      <c r="C502" s="6">
        <v>0</v>
      </c>
      <c r="D502" s="6">
        <v>0</v>
      </c>
      <c r="E502" t="str">
        <v xml:space="preserve">Dólar </v>
      </c>
      <c r="F502" t="str">
        <v xml:space="preserve"> U$S</v>
      </c>
      <c r="G502" t="str">
        <f>IFERROR(VLOOKUP(A502,'Clientes CBOT'!B:E,4,0),B502)</f>
        <v>MONTANARI ROMAN</v>
      </c>
      <c r="H502" t="str">
        <f t="shared" si="21"/>
        <v>Dólar</v>
      </c>
      <c r="I502" s="6">
        <f t="shared" si="22"/>
        <v>0</v>
      </c>
      <c r="J502">
        <f t="shared" si="23"/>
        <v>0</v>
      </c>
    </row>
    <row r="503" spans="1:10" x14ac:dyDescent="0.3">
      <c r="A503">
        <v>203</v>
      </c>
      <c r="B503" t="str">
        <v>GALARCE GASTON</v>
      </c>
      <c r="C503" s="6">
        <v>0</v>
      </c>
      <c r="D503" s="6">
        <v>0</v>
      </c>
      <c r="E503" t="str">
        <v xml:space="preserve">Dólar </v>
      </c>
      <c r="F503" t="str">
        <v xml:space="preserve"> U$S</v>
      </c>
      <c r="G503" t="str">
        <f>IFERROR(VLOOKUP(A503,'Clientes CBOT'!B:E,4,0),B503)</f>
        <v>GALARCE GASTON</v>
      </c>
      <c r="H503" t="str">
        <f t="shared" si="21"/>
        <v>Dólar</v>
      </c>
      <c r="I503" s="6">
        <f t="shared" si="22"/>
        <v>0</v>
      </c>
      <c r="J503">
        <f t="shared" si="23"/>
        <v>0</v>
      </c>
    </row>
    <row r="504" spans="1:10" x14ac:dyDescent="0.3">
      <c r="A504">
        <v>217</v>
      </c>
      <c r="B504" t="str">
        <v>AGROINVERSIONES ALS S.A.S.</v>
      </c>
      <c r="C504" s="6">
        <v>7.0000000000000007E-2</v>
      </c>
      <c r="D504" s="6">
        <v>0</v>
      </c>
      <c r="E504" t="str">
        <v xml:space="preserve">Dólar </v>
      </c>
      <c r="F504" t="str">
        <v xml:space="preserve"> U$S</v>
      </c>
      <c r="G504" t="str">
        <f>IFERROR(VLOOKUP(A504,'Clientes CBOT'!B:E,4,0),B504)</f>
        <v>AGROINVERSIONES ALS S.A.S.</v>
      </c>
      <c r="H504" t="str">
        <f t="shared" si="21"/>
        <v>Dólar</v>
      </c>
      <c r="I504" s="6">
        <f t="shared" si="22"/>
        <v>7.0000000000000007E-2</v>
      </c>
      <c r="J504">
        <f t="shared" si="23"/>
        <v>0</v>
      </c>
    </row>
    <row r="505" spans="1:10" x14ac:dyDescent="0.3">
      <c r="A505">
        <v>208</v>
      </c>
      <c r="B505" t="str">
        <v>GRACAGRO SA</v>
      </c>
      <c r="C505" s="6">
        <v>50.32</v>
      </c>
      <c r="D505" s="6">
        <v>0</v>
      </c>
      <c r="E505" t="str">
        <v xml:space="preserve">Dólar </v>
      </c>
      <c r="F505" t="str">
        <v xml:space="preserve"> U$S</v>
      </c>
      <c r="G505" t="str">
        <f>IFERROR(VLOOKUP(A505,'Clientes CBOT'!B:E,4,0),B505)</f>
        <v>GRACAGRO SA</v>
      </c>
      <c r="H505" t="str">
        <f t="shared" si="21"/>
        <v>Dólar</v>
      </c>
      <c r="I505" s="6">
        <f t="shared" si="22"/>
        <v>50.32</v>
      </c>
      <c r="J505">
        <f t="shared" si="23"/>
        <v>0</v>
      </c>
    </row>
    <row r="506" spans="1:10" x14ac:dyDescent="0.3">
      <c r="A506">
        <v>243</v>
      </c>
      <c r="B506" t="str">
        <v>DOMINGO BLAS ALEJANDRO</v>
      </c>
      <c r="C506" s="6">
        <v>0</v>
      </c>
      <c r="D506" s="6">
        <v>0</v>
      </c>
      <c r="E506" t="str">
        <v xml:space="preserve">Dólar </v>
      </c>
      <c r="F506" t="str">
        <v xml:space="preserve"> U$S</v>
      </c>
      <c r="G506" t="str">
        <f>IFERROR(VLOOKUP(A506,'Clientes CBOT'!B:E,4,0),B506)</f>
        <v>DOMINGO BLAS ALEJANDRO</v>
      </c>
      <c r="H506" t="str">
        <f t="shared" si="21"/>
        <v>Dólar</v>
      </c>
      <c r="I506" s="6">
        <f t="shared" si="22"/>
        <v>0</v>
      </c>
      <c r="J506">
        <f t="shared" si="23"/>
        <v>0</v>
      </c>
    </row>
    <row r="507" spans="1:10" x14ac:dyDescent="0.3">
      <c r="A507">
        <v>237</v>
      </c>
      <c r="B507" t="str">
        <v>AGROPECUARIA GUATAN SA</v>
      </c>
      <c r="C507" s="6">
        <v>0</v>
      </c>
      <c r="D507" s="6">
        <v>0</v>
      </c>
      <c r="E507" t="str">
        <v xml:space="preserve">Dólar </v>
      </c>
      <c r="F507" t="str">
        <v xml:space="preserve"> U$S</v>
      </c>
      <c r="G507" t="str">
        <f>IFERROR(VLOOKUP(A507,'Clientes CBOT'!B:E,4,0),B507)</f>
        <v>AGROPECUARIA GUATAN SA</v>
      </c>
      <c r="H507" t="str">
        <f t="shared" si="21"/>
        <v>Dólar</v>
      </c>
      <c r="I507" s="6">
        <f t="shared" si="22"/>
        <v>0</v>
      </c>
      <c r="J507">
        <f t="shared" si="23"/>
        <v>0</v>
      </c>
    </row>
    <row r="508" spans="1:10" hidden="1" x14ac:dyDescent="0.3">
      <c r="A508">
        <v>253</v>
      </c>
      <c r="B508" t="str">
        <v>NUIC GUILLERMO Y CRISTIAN SA</v>
      </c>
      <c r="C508" s="6">
        <v>0</v>
      </c>
      <c r="D508" s="6">
        <v>0</v>
      </c>
      <c r="E508" t="str">
        <v xml:space="preserve">Dólar </v>
      </c>
      <c r="F508" t="str">
        <v xml:space="preserve"> U$S</v>
      </c>
      <c r="G508">
        <f>IFERROR(VLOOKUP(A508,'Clientes CBOT'!B:E,4,0),B508)</f>
        <v>13036</v>
      </c>
      <c r="H508" t="str">
        <f t="shared" si="21"/>
        <v>Dólar</v>
      </c>
      <c r="I508" s="6">
        <f t="shared" si="22"/>
        <v>0</v>
      </c>
      <c r="J508">
        <f t="shared" si="23"/>
        <v>0</v>
      </c>
    </row>
    <row r="509" spans="1:10" hidden="1" x14ac:dyDescent="0.3">
      <c r="A509">
        <v>400</v>
      </c>
      <c r="B509" t="str">
        <v>BERNARD RAUL PABLO</v>
      </c>
      <c r="C509" s="6">
        <v>-15266.91</v>
      </c>
      <c r="D509" s="6">
        <v>0</v>
      </c>
      <c r="E509" t="str">
        <v xml:space="preserve">Dólar </v>
      </c>
      <c r="F509" t="str">
        <v xml:space="preserve"> U$S</v>
      </c>
      <c r="G509" t="str">
        <f>IFERROR(VLOOKUP(A509,'Clientes CBOT'!B:E,4,0),B509)</f>
        <v>BERNARD RAUL PABLO</v>
      </c>
      <c r="H509" t="str">
        <f t="shared" si="21"/>
        <v>Dólar</v>
      </c>
      <c r="I509" s="6">
        <f t="shared" si="22"/>
        <v>-15266.91</v>
      </c>
      <c r="J509">
        <f t="shared" si="23"/>
        <v>0</v>
      </c>
    </row>
    <row r="510" spans="1:10" hidden="1" x14ac:dyDescent="0.3">
      <c r="A510">
        <v>404</v>
      </c>
      <c r="B510" t="str">
        <v>CIGORRAGA ANDRES</v>
      </c>
      <c r="C510" s="6">
        <v>0</v>
      </c>
      <c r="D510" s="6">
        <v>0</v>
      </c>
      <c r="E510" t="str">
        <v xml:space="preserve">Dólar </v>
      </c>
      <c r="F510" t="str">
        <v xml:space="preserve"> U$S</v>
      </c>
      <c r="G510" t="str">
        <f>IFERROR(VLOOKUP(A510,'Clientes CBOT'!B:E,4,0),B510)</f>
        <v>CIGORRAGA ANDRES</v>
      </c>
      <c r="H510" t="str">
        <f t="shared" si="21"/>
        <v>Dólar</v>
      </c>
      <c r="I510" s="6">
        <f t="shared" si="22"/>
        <v>0</v>
      </c>
      <c r="J510">
        <f t="shared" si="23"/>
        <v>0</v>
      </c>
    </row>
    <row r="511" spans="1:10" hidden="1" x14ac:dyDescent="0.3">
      <c r="A511">
        <v>403</v>
      </c>
      <c r="B511" t="str">
        <v>CIGORRAGA NICOLAS</v>
      </c>
      <c r="C511" s="6">
        <v>-0.02</v>
      </c>
      <c r="D511" s="6">
        <v>0</v>
      </c>
      <c r="E511" t="str">
        <v xml:space="preserve">Dólar </v>
      </c>
      <c r="F511" t="str">
        <v xml:space="preserve"> U$S</v>
      </c>
      <c r="G511" t="str">
        <f>IFERROR(VLOOKUP(A511,'Clientes CBOT'!B:E,4,0),B511)</f>
        <v>CIGORRAGA NICOLAS</v>
      </c>
      <c r="H511" t="str">
        <f t="shared" si="21"/>
        <v>Dólar</v>
      </c>
      <c r="I511" s="6">
        <f t="shared" si="22"/>
        <v>-0.02</v>
      </c>
      <c r="J511">
        <f t="shared" si="23"/>
        <v>0</v>
      </c>
    </row>
    <row r="512" spans="1:10" hidden="1" x14ac:dyDescent="0.3">
      <c r="A512">
        <v>274</v>
      </c>
      <c r="B512" t="str">
        <v>GEOBIOS SRL</v>
      </c>
      <c r="C512" s="6">
        <v>0</v>
      </c>
      <c r="D512" s="6">
        <v>0</v>
      </c>
      <c r="E512" t="str">
        <v xml:space="preserve">Dólar </v>
      </c>
      <c r="F512" t="str">
        <v xml:space="preserve"> U$S</v>
      </c>
      <c r="G512">
        <f>IFERROR(VLOOKUP(A512,'Clientes CBOT'!B:E,4,0),B512)</f>
        <v>13035</v>
      </c>
      <c r="H512" t="str">
        <f t="shared" si="21"/>
        <v>Dólar</v>
      </c>
      <c r="I512" s="6">
        <f t="shared" si="22"/>
        <v>0</v>
      </c>
      <c r="J512">
        <f t="shared" si="23"/>
        <v>0</v>
      </c>
    </row>
    <row r="513" spans="1:10" hidden="1" x14ac:dyDescent="0.3">
      <c r="A513">
        <v>279</v>
      </c>
      <c r="B513" t="str">
        <v>AMBROGIO MARTIN</v>
      </c>
      <c r="C513" s="6">
        <v>0</v>
      </c>
      <c r="D513" s="6">
        <v>0</v>
      </c>
      <c r="E513" t="str">
        <v xml:space="preserve">Dólar </v>
      </c>
      <c r="F513" t="str">
        <v xml:space="preserve"> U$S</v>
      </c>
      <c r="G513" t="str">
        <f>IFERROR(VLOOKUP(A513,'Clientes CBOT'!B:E,4,0),B513)</f>
        <v>AMBROGIO MARTIN</v>
      </c>
      <c r="H513" t="str">
        <f t="shared" si="21"/>
        <v>Dólar</v>
      </c>
      <c r="I513" s="6">
        <f t="shared" si="22"/>
        <v>0</v>
      </c>
      <c r="J513">
        <f t="shared" si="23"/>
        <v>0</v>
      </c>
    </row>
    <row r="514" spans="1:10" hidden="1" x14ac:dyDescent="0.3">
      <c r="A514">
        <v>302</v>
      </c>
      <c r="B514" t="str">
        <v>UDS AGRO SRL</v>
      </c>
      <c r="C514" s="6">
        <v>0</v>
      </c>
      <c r="D514" s="6">
        <v>0</v>
      </c>
      <c r="E514" t="str">
        <v xml:space="preserve">Dólar </v>
      </c>
      <c r="F514" t="str">
        <v xml:space="preserve"> U$S</v>
      </c>
      <c r="G514" t="str">
        <f>IFERROR(VLOOKUP(A514,'Clientes CBOT'!B:E,4,0),B514)</f>
        <v>UDS AGRO SRL</v>
      </c>
      <c r="H514" t="str">
        <f t="shared" si="21"/>
        <v>Dólar</v>
      </c>
      <c r="I514" s="6">
        <f t="shared" si="22"/>
        <v>0</v>
      </c>
      <c r="J514">
        <f t="shared" si="23"/>
        <v>0</v>
      </c>
    </row>
    <row r="515" spans="1:10" hidden="1" x14ac:dyDescent="0.3">
      <c r="A515">
        <v>274</v>
      </c>
      <c r="B515" t="str">
        <v>GEOBIOS SRL</v>
      </c>
      <c r="C515" s="6">
        <v>2519.52</v>
      </c>
      <c r="D515" s="6">
        <v>0</v>
      </c>
      <c r="E515" t="str">
        <v>Dólar Cable</v>
      </c>
      <c r="F515" t="str">
        <v xml:space="preserve"> U$S TT</v>
      </c>
      <c r="G515">
        <f>IFERROR(VLOOKUP(A515,'Clientes CBOT'!B:E,4,0),B515)</f>
        <v>13035</v>
      </c>
      <c r="H515" t="str">
        <f t="shared" si="21"/>
        <v>Hard</v>
      </c>
      <c r="I515" s="6">
        <f t="shared" si="22"/>
        <v>2519.52</v>
      </c>
      <c r="J515">
        <f t="shared" si="23"/>
        <v>0</v>
      </c>
    </row>
    <row r="516" spans="1:10" hidden="1" x14ac:dyDescent="0.3">
      <c r="A516">
        <v>400</v>
      </c>
      <c r="B516" t="str">
        <v>BERNARD RAUL PABLO</v>
      </c>
      <c r="C516" s="6">
        <v>107.79</v>
      </c>
      <c r="D516" s="6">
        <v>0</v>
      </c>
      <c r="E516" t="str">
        <v>Dólar Cable</v>
      </c>
      <c r="F516" t="str">
        <v xml:space="preserve"> U$S TT</v>
      </c>
      <c r="G516" t="str">
        <f>IFERROR(VLOOKUP(A516,'Clientes CBOT'!B:E,4,0),B516)</f>
        <v>BERNARD RAUL PABLO</v>
      </c>
      <c r="H516" t="str">
        <f t="shared" si="21"/>
        <v>Hard</v>
      </c>
      <c r="I516" s="6">
        <f t="shared" si="22"/>
        <v>107.79</v>
      </c>
      <c r="J516">
        <f t="shared" si="23"/>
        <v>0</v>
      </c>
    </row>
    <row r="517" spans="1:10" hidden="1" x14ac:dyDescent="0.3">
      <c r="A517">
        <v>253</v>
      </c>
      <c r="B517" t="str">
        <v>NUIC GUILLERMO Y CRISTIAN SA</v>
      </c>
      <c r="C517" s="6">
        <v>2392.9299999999998</v>
      </c>
      <c r="D517" s="6">
        <v>0</v>
      </c>
      <c r="E517" t="str">
        <v>Dólar Cable</v>
      </c>
      <c r="F517" t="str">
        <v xml:space="preserve"> U$S TT</v>
      </c>
      <c r="G517">
        <f>IFERROR(VLOOKUP(A517,'Clientes CBOT'!B:E,4,0),B517)</f>
        <v>13036</v>
      </c>
      <c r="H517" t="str">
        <f t="shared" ref="H517:H580" si="24">IF(E517="pesos","Ars",IF(E517="Dólar Matba Rofex","usd linked",IF(F517=" U$S TT","Hard","Dólar")))</f>
        <v>Hard</v>
      </c>
      <c r="I517" s="6">
        <f t="shared" ref="I517:I580" si="25">IF(H517="ars",C517/$J$1,IF(H517="Hard",C517*$J$2/$J$1,C517))</f>
        <v>2392.9299999999998</v>
      </c>
      <c r="J517">
        <f t="shared" ref="J517:J580" si="26">IF(H517="ars",D517/$J$1,IF(H517="hard",D517*$J$2/$J$1,D517))</f>
        <v>0</v>
      </c>
    </row>
    <row r="518" spans="1:10" hidden="1" x14ac:dyDescent="0.3">
      <c r="A518">
        <v>152</v>
      </c>
      <c r="B518" t="str">
        <v>CARMAN JUAN CRUZ</v>
      </c>
      <c r="C518" s="6">
        <v>0</v>
      </c>
      <c r="D518" s="6">
        <v>0</v>
      </c>
      <c r="E518" t="str">
        <v>Dólar Cable</v>
      </c>
      <c r="F518" t="str">
        <v xml:space="preserve"> U$S TT</v>
      </c>
      <c r="G518" t="str">
        <f>IFERROR(VLOOKUP(A518,'Clientes CBOT'!B:E,4,0),B518)</f>
        <v>CARMAN JUAN CRUZ</v>
      </c>
      <c r="H518" t="str">
        <f t="shared" si="24"/>
        <v>Hard</v>
      </c>
      <c r="I518" s="6">
        <f t="shared" si="25"/>
        <v>0</v>
      </c>
      <c r="J518">
        <f t="shared" si="26"/>
        <v>0</v>
      </c>
    </row>
    <row r="519" spans="1:10" hidden="1" x14ac:dyDescent="0.3">
      <c r="A519">
        <v>166</v>
      </c>
      <c r="B519" t="str">
        <v>LOS BAGUALITOS SRL</v>
      </c>
      <c r="C519" s="6">
        <v>30</v>
      </c>
      <c r="D519" s="6">
        <v>0</v>
      </c>
      <c r="E519" t="str">
        <v>Dólar Cable</v>
      </c>
      <c r="F519" t="str">
        <v xml:space="preserve"> U$S TT</v>
      </c>
      <c r="G519">
        <f>IFERROR(VLOOKUP(A519,'Clientes CBOT'!B:E,4,0),B519)</f>
        <v>13033</v>
      </c>
      <c r="H519" t="str">
        <f t="shared" si="24"/>
        <v>Hard</v>
      </c>
      <c r="I519" s="6">
        <f t="shared" si="25"/>
        <v>30</v>
      </c>
      <c r="J519">
        <f t="shared" si="26"/>
        <v>0</v>
      </c>
    </row>
    <row r="520" spans="1:10" hidden="1" x14ac:dyDescent="0.3">
      <c r="A520">
        <v>528</v>
      </c>
      <c r="B520" t="str">
        <v>BERNARD RAUL PABLO y BERNARD PABLO APARICIO</v>
      </c>
      <c r="C520" s="6">
        <v>33.950000000000003</v>
      </c>
      <c r="D520" s="6">
        <v>0</v>
      </c>
      <c r="E520" t="str">
        <v>Dólar Cable</v>
      </c>
      <c r="F520" t="str">
        <v xml:space="preserve"> U$S TT</v>
      </c>
      <c r="G520" t="str">
        <f>IFERROR(VLOOKUP(A520,'Clientes CBOT'!B:E,4,0),B520)</f>
        <v>BERNARD RAUL PABLO y BERNARD PABLO APARICIO</v>
      </c>
      <c r="H520" t="str">
        <f t="shared" si="24"/>
        <v>Hard</v>
      </c>
      <c r="I520" s="6">
        <f t="shared" si="25"/>
        <v>33.950000000000003</v>
      </c>
      <c r="J520">
        <f t="shared" si="26"/>
        <v>0</v>
      </c>
    </row>
    <row r="521" spans="1:10" hidden="1" x14ac:dyDescent="0.3">
      <c r="A521">
        <v>528</v>
      </c>
      <c r="B521" t="str">
        <v>BERNARD RAUL PABLO y BERNARD PABLO APARICIO</v>
      </c>
      <c r="C521" s="6">
        <v>0</v>
      </c>
      <c r="D521" s="6">
        <v>0</v>
      </c>
      <c r="E521" t="str">
        <v>Dólar Matba Rofex</v>
      </c>
      <c r="F521" t="str">
        <v xml:space="preserve"> U$S MR</v>
      </c>
      <c r="G521" t="str">
        <f>IFERROR(VLOOKUP(A521,'Clientes CBOT'!B:E,4,0),B521)</f>
        <v>BERNARD RAUL PABLO y BERNARD PABLO APARICIO</v>
      </c>
      <c r="H521" t="str">
        <f t="shared" si="24"/>
        <v>usd linked</v>
      </c>
      <c r="I521" s="6">
        <f t="shared" si="25"/>
        <v>0</v>
      </c>
      <c r="J521">
        <f t="shared" si="26"/>
        <v>0</v>
      </c>
    </row>
    <row r="522" spans="1:10" hidden="1" x14ac:dyDescent="0.3">
      <c r="A522">
        <v>166</v>
      </c>
      <c r="B522" t="str">
        <v>LOS BAGUALITOS SRL</v>
      </c>
      <c r="C522" s="6">
        <v>0</v>
      </c>
      <c r="D522" s="6">
        <v>0</v>
      </c>
      <c r="E522" t="str">
        <v>Dólar Matba Rofex</v>
      </c>
      <c r="F522" t="str">
        <v xml:space="preserve"> U$S MR</v>
      </c>
      <c r="G522">
        <f>IFERROR(VLOOKUP(A522,'Clientes CBOT'!B:E,4,0),B522)</f>
        <v>13033</v>
      </c>
      <c r="H522" t="str">
        <f t="shared" si="24"/>
        <v>usd linked</v>
      </c>
      <c r="I522" s="6">
        <f t="shared" si="25"/>
        <v>0</v>
      </c>
      <c r="J522">
        <f t="shared" si="26"/>
        <v>0</v>
      </c>
    </row>
    <row r="523" spans="1:10" hidden="1" x14ac:dyDescent="0.3">
      <c r="A523">
        <v>518</v>
      </c>
      <c r="B523" t="str">
        <v>PRIOTTI NANCY MARIA</v>
      </c>
      <c r="C523" s="6">
        <v>0</v>
      </c>
      <c r="D523" s="6">
        <v>0</v>
      </c>
      <c r="E523" t="str">
        <v>Dólar Matba Rofex</v>
      </c>
      <c r="F523" t="str">
        <v xml:space="preserve"> U$S MR</v>
      </c>
      <c r="G523" t="str">
        <f>IFERROR(VLOOKUP(A523,'Clientes CBOT'!B:E,4,0),B523)</f>
        <v>PRIOTTI NANCY MARIA</v>
      </c>
      <c r="H523" t="str">
        <f t="shared" si="24"/>
        <v>usd linked</v>
      </c>
      <c r="I523" s="6">
        <f t="shared" si="25"/>
        <v>0</v>
      </c>
      <c r="J523">
        <f t="shared" si="26"/>
        <v>0</v>
      </c>
    </row>
    <row r="524" spans="1:10" x14ac:dyDescent="0.3">
      <c r="A524">
        <v>152</v>
      </c>
      <c r="B524" t="str">
        <v>CARMAN JUAN CRUZ</v>
      </c>
      <c r="C524" s="6">
        <v>0</v>
      </c>
      <c r="D524" s="6">
        <v>0</v>
      </c>
      <c r="E524" t="str">
        <v>Dólar Matba Rofex</v>
      </c>
      <c r="F524" t="str">
        <v xml:space="preserve"> U$S MR</v>
      </c>
      <c r="G524" t="str">
        <f>IFERROR(VLOOKUP(A524,'Clientes CBOT'!B:E,4,0),B524)</f>
        <v>CARMAN JUAN CRUZ</v>
      </c>
      <c r="H524" t="str">
        <f t="shared" si="24"/>
        <v>usd linked</v>
      </c>
      <c r="I524" s="6">
        <f t="shared" si="25"/>
        <v>0</v>
      </c>
      <c r="J524">
        <f t="shared" si="26"/>
        <v>0</v>
      </c>
    </row>
    <row r="525" spans="1:10" hidden="1" x14ac:dyDescent="0.3">
      <c r="A525">
        <v>253</v>
      </c>
      <c r="B525" t="str">
        <v>NUIC GUILLERMO Y CRISTIAN SA</v>
      </c>
      <c r="C525" s="6">
        <v>0</v>
      </c>
      <c r="D525" s="6">
        <v>0</v>
      </c>
      <c r="E525" t="str">
        <v>Dólar Matba Rofex</v>
      </c>
      <c r="F525" t="str">
        <v xml:space="preserve"> U$S MR</v>
      </c>
      <c r="G525">
        <f>IFERROR(VLOOKUP(A525,'Clientes CBOT'!B:E,4,0),B525)</f>
        <v>13036</v>
      </c>
      <c r="H525" t="str">
        <f t="shared" si="24"/>
        <v>usd linked</v>
      </c>
      <c r="I525" s="6">
        <f t="shared" si="25"/>
        <v>0</v>
      </c>
      <c r="J525">
        <f t="shared" si="26"/>
        <v>0</v>
      </c>
    </row>
    <row r="526" spans="1:10" hidden="1" x14ac:dyDescent="0.3">
      <c r="A526">
        <v>217</v>
      </c>
      <c r="B526" t="str">
        <v>AGROINVERSIONES ALS S.A.S.</v>
      </c>
      <c r="C526" s="6">
        <v>0</v>
      </c>
      <c r="D526" s="6">
        <v>0</v>
      </c>
      <c r="E526" t="str">
        <v>Dólar Matba Rofex</v>
      </c>
      <c r="F526" t="str">
        <v xml:space="preserve"> U$S MR</v>
      </c>
      <c r="G526" t="str">
        <f>IFERROR(VLOOKUP(A526,'Clientes CBOT'!B:E,4,0),B526)</f>
        <v>AGROINVERSIONES ALS S.A.S.</v>
      </c>
      <c r="H526" t="str">
        <f t="shared" si="24"/>
        <v>usd linked</v>
      </c>
      <c r="I526" s="6">
        <f t="shared" si="25"/>
        <v>0</v>
      </c>
      <c r="J526">
        <f t="shared" si="26"/>
        <v>0</v>
      </c>
    </row>
    <row r="527" spans="1:10" hidden="1" x14ac:dyDescent="0.3">
      <c r="A527">
        <v>203</v>
      </c>
      <c r="B527" t="str">
        <v>GALARCE GASTON</v>
      </c>
      <c r="C527" s="6">
        <v>0</v>
      </c>
      <c r="D527" s="6">
        <v>0</v>
      </c>
      <c r="E527" t="str">
        <v>Dólar Matba Rofex</v>
      </c>
      <c r="F527" t="str">
        <v xml:space="preserve"> U$S MR</v>
      </c>
      <c r="G527" t="str">
        <f>IFERROR(VLOOKUP(A527,'Clientes CBOT'!B:E,4,0),B527)</f>
        <v>GALARCE GASTON</v>
      </c>
      <c r="H527" t="str">
        <f t="shared" si="24"/>
        <v>usd linked</v>
      </c>
      <c r="I527" s="6">
        <f t="shared" si="25"/>
        <v>0</v>
      </c>
      <c r="J527">
        <f t="shared" si="26"/>
        <v>0</v>
      </c>
    </row>
    <row r="528" spans="1:10" hidden="1" x14ac:dyDescent="0.3">
      <c r="A528">
        <v>205</v>
      </c>
      <c r="B528" t="str">
        <v>TINAREN SA</v>
      </c>
      <c r="C528" s="6">
        <v>0</v>
      </c>
      <c r="D528" s="6">
        <v>0</v>
      </c>
      <c r="E528" t="str">
        <v>Dólar Matba Rofex</v>
      </c>
      <c r="F528" t="str">
        <v xml:space="preserve"> U$S MR</v>
      </c>
      <c r="G528" t="str">
        <f>IFERROR(VLOOKUP(A528,'Clientes CBOT'!B:E,4,0),B528)</f>
        <v>TINAREN SA</v>
      </c>
      <c r="H528" t="str">
        <f t="shared" si="24"/>
        <v>usd linked</v>
      </c>
      <c r="I528" s="6">
        <f t="shared" si="25"/>
        <v>0</v>
      </c>
      <c r="J528">
        <f t="shared" si="26"/>
        <v>0</v>
      </c>
    </row>
    <row r="529" spans="1:10" hidden="1" x14ac:dyDescent="0.3">
      <c r="A529">
        <v>206</v>
      </c>
      <c r="B529" t="str">
        <v>MONTANARI ROMAN</v>
      </c>
      <c r="C529" s="6">
        <v>0</v>
      </c>
      <c r="D529" s="6">
        <v>0</v>
      </c>
      <c r="E529" t="str">
        <v>Dólar Matba Rofex</v>
      </c>
      <c r="F529" t="str">
        <v xml:space="preserve"> U$S MR</v>
      </c>
      <c r="G529" t="str">
        <f>IFERROR(VLOOKUP(A529,'Clientes CBOT'!B:E,4,0),B529)</f>
        <v>MONTANARI ROMAN</v>
      </c>
      <c r="H529" t="str">
        <f t="shared" si="24"/>
        <v>usd linked</v>
      </c>
      <c r="I529" s="6">
        <f t="shared" si="25"/>
        <v>0</v>
      </c>
      <c r="J529">
        <f t="shared" si="26"/>
        <v>0</v>
      </c>
    </row>
    <row r="530" spans="1:10" hidden="1" x14ac:dyDescent="0.3">
      <c r="A530">
        <v>198</v>
      </c>
      <c r="B530" t="str">
        <v>CAYOL MARCOS</v>
      </c>
      <c r="C530" s="6">
        <v>0</v>
      </c>
      <c r="D530" s="6">
        <v>0</v>
      </c>
      <c r="E530" t="str">
        <v>Dólar Matba Rofex</v>
      </c>
      <c r="F530" t="str">
        <v xml:space="preserve"> U$S MR</v>
      </c>
      <c r="G530" t="str">
        <f>IFERROR(VLOOKUP(A530,'Clientes CBOT'!B:E,4,0),B530)</f>
        <v>CAYOL MARCOS</v>
      </c>
      <c r="H530" t="str">
        <f t="shared" si="24"/>
        <v>usd linked</v>
      </c>
      <c r="I530" s="6">
        <f t="shared" si="25"/>
        <v>0</v>
      </c>
      <c r="J530">
        <f t="shared" si="26"/>
        <v>0</v>
      </c>
    </row>
    <row r="531" spans="1:10" hidden="1" x14ac:dyDescent="0.3">
      <c r="A531">
        <v>400</v>
      </c>
      <c r="B531" t="str">
        <v>BERNARD RAUL PABLO</v>
      </c>
      <c r="C531" s="6">
        <v>0</v>
      </c>
      <c r="D531" s="6">
        <v>0</v>
      </c>
      <c r="E531" t="str">
        <v>Dólar Matba Rofex</v>
      </c>
      <c r="F531" t="str">
        <v xml:space="preserve"> U$S MR</v>
      </c>
      <c r="G531" t="str">
        <f>IFERROR(VLOOKUP(A531,'Clientes CBOT'!B:E,4,0),B531)</f>
        <v>BERNARD RAUL PABLO</v>
      </c>
      <c r="H531" t="str">
        <f t="shared" si="24"/>
        <v>usd linked</v>
      </c>
      <c r="I531" s="6">
        <f t="shared" si="25"/>
        <v>0</v>
      </c>
      <c r="J531">
        <f t="shared" si="26"/>
        <v>0</v>
      </c>
    </row>
    <row r="532" spans="1:10" hidden="1" x14ac:dyDescent="0.3">
      <c r="A532">
        <v>357</v>
      </c>
      <c r="B532" t="str">
        <v>HARAS LA QUEBRADA SA</v>
      </c>
      <c r="C532" s="6">
        <v>0</v>
      </c>
      <c r="D532" s="6">
        <v>0</v>
      </c>
      <c r="E532" t="str">
        <v>Dólar Matba Rofex</v>
      </c>
      <c r="F532" t="str">
        <v xml:space="preserve"> U$S MR</v>
      </c>
      <c r="G532" t="str">
        <f>IFERROR(VLOOKUP(A532,'Clientes CBOT'!B:E,4,0),B532)</f>
        <v>HARAS LA QUEBRADA SA</v>
      </c>
      <c r="H532" t="str">
        <f t="shared" si="24"/>
        <v>usd linked</v>
      </c>
      <c r="I532" s="6">
        <f t="shared" si="25"/>
        <v>0</v>
      </c>
      <c r="J532">
        <f t="shared" si="26"/>
        <v>0</v>
      </c>
    </row>
    <row r="533" spans="1:10" hidden="1" x14ac:dyDescent="0.3">
      <c r="A533">
        <v>274</v>
      </c>
      <c r="B533" t="str">
        <v>GEOBIOS SRL</v>
      </c>
      <c r="C533" s="6">
        <v>0</v>
      </c>
      <c r="D533" s="6">
        <v>0</v>
      </c>
      <c r="E533" t="str">
        <v>Dólar Matba Rofex</v>
      </c>
      <c r="F533" t="str">
        <v xml:space="preserve"> U$S MR</v>
      </c>
      <c r="G533">
        <f>IFERROR(VLOOKUP(A533,'Clientes CBOT'!B:E,4,0),B533)</f>
        <v>13035</v>
      </c>
      <c r="H533" t="str">
        <f t="shared" si="24"/>
        <v>usd linked</v>
      </c>
      <c r="I533" s="6">
        <f t="shared" si="25"/>
        <v>0</v>
      </c>
      <c r="J533">
        <f t="shared" si="26"/>
        <v>0</v>
      </c>
    </row>
    <row r="534" spans="1:10" hidden="1" x14ac:dyDescent="0.3">
      <c r="A534">
        <v>291</v>
      </c>
      <c r="B534" t="str">
        <v>MSU SA</v>
      </c>
      <c r="C534" s="6">
        <v>0</v>
      </c>
      <c r="D534" s="6">
        <v>0</v>
      </c>
      <c r="E534" t="str">
        <v>Pesos</v>
      </c>
      <c r="F534" t="str">
        <v xml:space="preserve"> $</v>
      </c>
      <c r="G534" t="str">
        <f>IFERROR(VLOOKUP(A534,'Clientes CBOT'!B:E,4,0),B534)</f>
        <v>MSU SA</v>
      </c>
      <c r="H534" t="str">
        <f t="shared" si="24"/>
        <v>Ars</v>
      </c>
      <c r="I534" s="6">
        <f t="shared" si="25"/>
        <v>0</v>
      </c>
      <c r="J534">
        <f t="shared" si="26"/>
        <v>0</v>
      </c>
    </row>
    <row r="535" spans="1:10" hidden="1" x14ac:dyDescent="0.3">
      <c r="A535">
        <v>150</v>
      </c>
      <c r="B535" t="str">
        <v>MARCHESI JUAN CARLOS</v>
      </c>
      <c r="C535" s="6">
        <v>0</v>
      </c>
      <c r="D535" s="6">
        <v>0</v>
      </c>
      <c r="E535" t="str">
        <v>Pesos</v>
      </c>
      <c r="F535" t="str">
        <v xml:space="preserve"> $</v>
      </c>
      <c r="G535" t="str">
        <f>IFERROR(VLOOKUP(A535,'Clientes CBOT'!B:E,4,0),B535)</f>
        <v>MARCHESI JUAN CARLOS</v>
      </c>
      <c r="H535" t="str">
        <f t="shared" si="24"/>
        <v>Ars</v>
      </c>
      <c r="I535" s="6">
        <f t="shared" si="25"/>
        <v>0</v>
      </c>
      <c r="J535">
        <f t="shared" si="26"/>
        <v>0</v>
      </c>
    </row>
    <row r="536" spans="1:10" hidden="1" x14ac:dyDescent="0.3">
      <c r="A536">
        <v>150</v>
      </c>
      <c r="B536" t="str">
        <v>MARCHESI JUAN CARLOS</v>
      </c>
      <c r="C536" s="6">
        <v>0</v>
      </c>
      <c r="D536" s="6">
        <v>0.02</v>
      </c>
      <c r="E536" t="str">
        <v xml:space="preserve">Dólar </v>
      </c>
      <c r="F536" t="str">
        <v xml:space="preserve"> U$S</v>
      </c>
      <c r="G536" t="str">
        <f>IFERROR(VLOOKUP(A536,'Clientes CBOT'!B:E,4,0),B536)</f>
        <v>MARCHESI JUAN CARLOS</v>
      </c>
      <c r="H536" t="str">
        <f t="shared" si="24"/>
        <v>Dólar</v>
      </c>
      <c r="I536" s="6">
        <f t="shared" si="25"/>
        <v>0</v>
      </c>
      <c r="J536">
        <f t="shared" si="26"/>
        <v>0.02</v>
      </c>
    </row>
    <row r="537" spans="1:10" x14ac:dyDescent="0.3">
      <c r="A537">
        <v>150</v>
      </c>
      <c r="B537" t="str">
        <v>MARCHESI JUAN CARLOS</v>
      </c>
      <c r="C537" s="6">
        <v>6.87</v>
      </c>
      <c r="D537" s="6">
        <v>0</v>
      </c>
      <c r="E537" t="str">
        <v>Dólar Cable</v>
      </c>
      <c r="F537" t="str">
        <v xml:space="preserve"> U$S TT</v>
      </c>
      <c r="G537" t="str">
        <f>IFERROR(VLOOKUP(A537,'Clientes CBOT'!B:E,4,0),B537)</f>
        <v>MARCHESI JUAN CARLOS</v>
      </c>
      <c r="H537" t="str">
        <f t="shared" si="24"/>
        <v>Hard</v>
      </c>
      <c r="I537" s="6">
        <f t="shared" si="25"/>
        <v>6.87</v>
      </c>
      <c r="J537">
        <f t="shared" si="26"/>
        <v>0</v>
      </c>
    </row>
    <row r="538" spans="1:10" x14ac:dyDescent="0.3">
      <c r="A538">
        <v>150</v>
      </c>
      <c r="B538" t="str">
        <v>MARCHESI JUAN CARLOS</v>
      </c>
      <c r="C538" s="6">
        <v>0</v>
      </c>
      <c r="D538" s="6">
        <v>0</v>
      </c>
      <c r="E538" t="str">
        <v>Dólar Matba Rofex</v>
      </c>
      <c r="F538" t="str">
        <v xml:space="preserve"> U$S MR</v>
      </c>
      <c r="G538" t="str">
        <f>IFERROR(VLOOKUP(A538,'Clientes CBOT'!B:E,4,0),B538)</f>
        <v>MARCHESI JUAN CARLOS</v>
      </c>
      <c r="H538" t="str">
        <f t="shared" si="24"/>
        <v>usd linked</v>
      </c>
      <c r="I538" s="6">
        <f t="shared" si="25"/>
        <v>0</v>
      </c>
      <c r="J538">
        <f t="shared" si="26"/>
        <v>0</v>
      </c>
    </row>
    <row r="539" spans="1:10" x14ac:dyDescent="0.3">
      <c r="A539">
        <v>291</v>
      </c>
      <c r="B539" t="str">
        <v>MSU SA</v>
      </c>
      <c r="C539" s="6">
        <v>0</v>
      </c>
      <c r="D539" s="6">
        <v>0</v>
      </c>
      <c r="E539" t="str">
        <v>Dólar Matba Rofex</v>
      </c>
      <c r="F539" t="str">
        <v xml:space="preserve"> U$S MR</v>
      </c>
      <c r="G539" t="str">
        <f>IFERROR(VLOOKUP(A539,'Clientes CBOT'!B:E,4,0),B539)</f>
        <v>MSU SA</v>
      </c>
      <c r="H539" t="str">
        <f t="shared" si="24"/>
        <v>usd linked</v>
      </c>
      <c r="I539" s="6">
        <f t="shared" si="25"/>
        <v>0</v>
      </c>
      <c r="J539">
        <f t="shared" si="26"/>
        <v>0</v>
      </c>
    </row>
    <row r="540" spans="1:10" hidden="1" x14ac:dyDescent="0.3">
      <c r="A540">
        <v>207</v>
      </c>
      <c r="B540" t="str">
        <v>VITERRA ARGENTINA SA</v>
      </c>
      <c r="C540" s="6">
        <v>-208135.61</v>
      </c>
      <c r="D540" s="6">
        <v>0</v>
      </c>
      <c r="E540" t="str">
        <v>Pesos</v>
      </c>
      <c r="F540" t="str">
        <v xml:space="preserve"> $</v>
      </c>
      <c r="G540" t="str">
        <f>IFERROR(VLOOKUP(A540,'Clientes CBOT'!B:E,4,0),B540)</f>
        <v>VITERRA ARGENTINA SA</v>
      </c>
      <c r="H540" t="str">
        <f t="shared" si="24"/>
        <v>Ars</v>
      </c>
      <c r="I540" s="6">
        <f t="shared" si="25"/>
        <v>-208135.61</v>
      </c>
      <c r="J540">
        <f t="shared" si="26"/>
        <v>0</v>
      </c>
    </row>
    <row r="541" spans="1:10" hidden="1" x14ac:dyDescent="0.3">
      <c r="A541">
        <v>207</v>
      </c>
      <c r="B541" t="str">
        <v>VITERRA ARGENTINA SA</v>
      </c>
      <c r="C541" s="6">
        <v>-1001</v>
      </c>
      <c r="D541" s="6">
        <v>0</v>
      </c>
      <c r="E541" t="str">
        <v>Dólar Matba Rofex</v>
      </c>
      <c r="F541" t="str">
        <v xml:space="preserve"> U$S MR</v>
      </c>
      <c r="G541" t="str">
        <f>IFERROR(VLOOKUP(A541,'Clientes CBOT'!B:E,4,0),B541)</f>
        <v>VITERRA ARGENTINA SA</v>
      </c>
      <c r="H541" t="str">
        <f t="shared" si="24"/>
        <v>usd linked</v>
      </c>
      <c r="I541" s="6">
        <f t="shared" si="25"/>
        <v>-1001</v>
      </c>
      <c r="J541">
        <f t="shared" si="26"/>
        <v>0</v>
      </c>
    </row>
    <row r="542" spans="1:10" hidden="1" x14ac:dyDescent="0.3">
      <c r="A542">
        <v>199</v>
      </c>
      <c r="B542" t="str">
        <v>GEAR SAAICFEI</v>
      </c>
      <c r="C542" s="6">
        <v>133417305.67</v>
      </c>
      <c r="D542" s="6">
        <v>0.02</v>
      </c>
      <c r="E542" t="str">
        <v>Pesos</v>
      </c>
      <c r="F542" t="str">
        <v xml:space="preserve"> $</v>
      </c>
      <c r="G542" t="str">
        <f>IFERROR(VLOOKUP(A542,'Clientes CBOT'!B:E,4,0),B542)</f>
        <v>GEAR SAAICFEI</v>
      </c>
      <c r="H542" t="str">
        <f t="shared" si="24"/>
        <v>Ars</v>
      </c>
      <c r="I542" s="6">
        <f t="shared" si="25"/>
        <v>133417305.67</v>
      </c>
      <c r="J542">
        <f t="shared" si="26"/>
        <v>0.02</v>
      </c>
    </row>
    <row r="543" spans="1:10" hidden="1" x14ac:dyDescent="0.3">
      <c r="A543">
        <v>172</v>
      </c>
      <c r="B543" t="str">
        <v>LARTIRIGOYEN Y CIA. SA</v>
      </c>
      <c r="C543" s="6">
        <v>-2472662.77</v>
      </c>
      <c r="D543" s="6">
        <v>0</v>
      </c>
      <c r="E543" t="str">
        <v>Pesos</v>
      </c>
      <c r="F543" t="str">
        <v xml:space="preserve"> $</v>
      </c>
      <c r="G543" t="str">
        <f>IFERROR(VLOOKUP(A543,'Clientes CBOT'!B:E,4,0),B543)</f>
        <v>LARTIRIGOYEN Y CIA. SA</v>
      </c>
      <c r="H543" t="str">
        <f t="shared" si="24"/>
        <v>Ars</v>
      </c>
      <c r="I543" s="6">
        <f t="shared" si="25"/>
        <v>-2472662.77</v>
      </c>
      <c r="J543">
        <f t="shared" si="26"/>
        <v>0</v>
      </c>
    </row>
    <row r="544" spans="1:10" hidden="1" x14ac:dyDescent="0.3">
      <c r="A544">
        <v>110</v>
      </c>
      <c r="B544" t="str">
        <v>LARTIRIGOYEN Y CIA. SA</v>
      </c>
      <c r="C544" s="6">
        <v>-3225027869.23</v>
      </c>
      <c r="D544" s="6">
        <v>0.27</v>
      </c>
      <c r="E544" t="str">
        <v>Pesos</v>
      </c>
      <c r="F544" t="str">
        <v xml:space="preserve"> $</v>
      </c>
      <c r="G544" t="str">
        <f>IFERROR(VLOOKUP(A544,'Clientes CBOT'!B:E,4,0),B544)</f>
        <v>LARTIRIGOYEN Y CIA. SA</v>
      </c>
      <c r="H544" t="str">
        <f t="shared" si="24"/>
        <v>Ars</v>
      </c>
      <c r="I544" s="6">
        <f t="shared" si="25"/>
        <v>-3225027869.23</v>
      </c>
      <c r="J544">
        <f t="shared" si="26"/>
        <v>0.27</v>
      </c>
    </row>
    <row r="545" spans="1:10" hidden="1" x14ac:dyDescent="0.3">
      <c r="A545">
        <v>69</v>
      </c>
      <c r="B545" t="str">
        <v>Terrapampa S.A.</v>
      </c>
      <c r="C545" s="6">
        <v>-193406135.87</v>
      </c>
      <c r="D545" s="6">
        <v>0</v>
      </c>
      <c r="E545" t="str">
        <v>Pesos</v>
      </c>
      <c r="F545" t="str">
        <v xml:space="preserve"> $</v>
      </c>
      <c r="G545">
        <f>IFERROR(VLOOKUP(A545,'Clientes CBOT'!B:E,4,0),B545)</f>
        <v>13003</v>
      </c>
      <c r="H545" t="str">
        <f t="shared" si="24"/>
        <v>Ars</v>
      </c>
      <c r="I545" s="6">
        <f t="shared" si="25"/>
        <v>-193406135.87</v>
      </c>
      <c r="J545">
        <f t="shared" si="26"/>
        <v>0</v>
      </c>
    </row>
    <row r="546" spans="1:10" hidden="1" x14ac:dyDescent="0.3">
      <c r="A546">
        <v>446</v>
      </c>
      <c r="B546" t="str">
        <v>LARTIRIGOYEN Y CIA. SA</v>
      </c>
      <c r="C546" s="6">
        <v>-736984.17</v>
      </c>
      <c r="D546" s="6">
        <v>0</v>
      </c>
      <c r="E546" t="str">
        <v>Pesos</v>
      </c>
      <c r="F546" t="str">
        <v xml:space="preserve"> $</v>
      </c>
      <c r="G546" t="str">
        <f>IFERROR(VLOOKUP(A546,'Clientes CBOT'!B:E,4,0),B546)</f>
        <v>LARTIRIGOYEN Y CIA. SA</v>
      </c>
      <c r="H546" t="str">
        <f t="shared" si="24"/>
        <v>Ars</v>
      </c>
      <c r="I546" s="6">
        <f t="shared" si="25"/>
        <v>-736984.17</v>
      </c>
      <c r="J546">
        <f t="shared" si="26"/>
        <v>0</v>
      </c>
    </row>
    <row r="547" spans="1:10" hidden="1" x14ac:dyDescent="0.3">
      <c r="A547">
        <v>69</v>
      </c>
      <c r="B547" t="str">
        <v>Terrapampa S.A.</v>
      </c>
      <c r="C547" s="6">
        <v>2031.54</v>
      </c>
      <c r="D547" s="6">
        <v>25000</v>
      </c>
      <c r="E547" t="str">
        <v xml:space="preserve">Dólar </v>
      </c>
      <c r="F547" t="str">
        <v xml:space="preserve"> U$S</v>
      </c>
      <c r="G547">
        <f>IFERROR(VLOOKUP(A547,'Clientes CBOT'!B:E,4,0),B547)</f>
        <v>13003</v>
      </c>
      <c r="H547" t="str">
        <f t="shared" si="24"/>
        <v>Dólar</v>
      </c>
      <c r="I547" s="6">
        <f t="shared" si="25"/>
        <v>2031.54</v>
      </c>
      <c r="J547">
        <f t="shared" si="26"/>
        <v>25000</v>
      </c>
    </row>
    <row r="548" spans="1:10" hidden="1" x14ac:dyDescent="0.3">
      <c r="A548">
        <v>110</v>
      </c>
      <c r="B548" t="str">
        <v>LARTIRIGOYEN Y CIA. SA</v>
      </c>
      <c r="C548" s="6">
        <v>768.48</v>
      </c>
      <c r="D548" s="6">
        <v>0</v>
      </c>
      <c r="E548" t="str">
        <v xml:space="preserve">Dólar </v>
      </c>
      <c r="F548" t="str">
        <v xml:space="preserve"> U$S</v>
      </c>
      <c r="G548" t="str">
        <f>IFERROR(VLOOKUP(A548,'Clientes CBOT'!B:E,4,0),B548)</f>
        <v>LARTIRIGOYEN Y CIA. SA</v>
      </c>
      <c r="H548" t="str">
        <f t="shared" si="24"/>
        <v>Dólar</v>
      </c>
      <c r="I548" s="6">
        <f t="shared" si="25"/>
        <v>768.48</v>
      </c>
      <c r="J548">
        <f t="shared" si="26"/>
        <v>0</v>
      </c>
    </row>
    <row r="549" spans="1:10" hidden="1" x14ac:dyDescent="0.3">
      <c r="A549">
        <v>199</v>
      </c>
      <c r="B549" t="str">
        <v>GEAR SAAICFEI</v>
      </c>
      <c r="C549" s="6">
        <v>26.49</v>
      </c>
      <c r="D549" s="6">
        <v>-0.03</v>
      </c>
      <c r="E549" t="str">
        <v xml:space="preserve">Dólar </v>
      </c>
      <c r="F549" t="str">
        <v xml:space="preserve"> U$S</v>
      </c>
      <c r="G549" t="str">
        <f>IFERROR(VLOOKUP(A549,'Clientes CBOT'!B:E,4,0),B549)</f>
        <v>GEAR SAAICFEI</v>
      </c>
      <c r="H549" t="str">
        <f t="shared" si="24"/>
        <v>Dólar</v>
      </c>
      <c r="I549" s="6">
        <f t="shared" si="25"/>
        <v>26.49</v>
      </c>
      <c r="J549">
        <f t="shared" si="26"/>
        <v>-0.03</v>
      </c>
    </row>
    <row r="550" spans="1:10" hidden="1" x14ac:dyDescent="0.3">
      <c r="A550">
        <v>199</v>
      </c>
      <c r="B550" t="str">
        <v>GEAR SAAICFEI</v>
      </c>
      <c r="C550" s="6">
        <v>63.55</v>
      </c>
      <c r="D550" s="6">
        <v>0</v>
      </c>
      <c r="E550" t="str">
        <v>Dólar Cable</v>
      </c>
      <c r="F550" t="str">
        <v xml:space="preserve"> U$S TT</v>
      </c>
      <c r="G550" t="str">
        <f>IFERROR(VLOOKUP(A550,'Clientes CBOT'!B:E,4,0),B550)</f>
        <v>GEAR SAAICFEI</v>
      </c>
      <c r="H550" t="str">
        <f t="shared" si="24"/>
        <v>Hard</v>
      </c>
      <c r="I550" s="6">
        <f t="shared" si="25"/>
        <v>63.55</v>
      </c>
      <c r="J550">
        <f t="shared" si="26"/>
        <v>0</v>
      </c>
    </row>
    <row r="551" spans="1:10" hidden="1" x14ac:dyDescent="0.3">
      <c r="A551">
        <v>110</v>
      </c>
      <c r="B551" t="str">
        <v>LARTIRIGOYEN Y CIA. SA</v>
      </c>
      <c r="C551" s="6">
        <v>0</v>
      </c>
      <c r="D551" s="6">
        <v>0</v>
      </c>
      <c r="E551" t="str">
        <v>Dólar Cable</v>
      </c>
      <c r="F551" t="str">
        <v xml:space="preserve"> U$S TT</v>
      </c>
      <c r="G551" t="str">
        <f>IFERROR(VLOOKUP(A551,'Clientes CBOT'!B:E,4,0),B551)</f>
        <v>LARTIRIGOYEN Y CIA. SA</v>
      </c>
      <c r="H551" t="str">
        <f t="shared" si="24"/>
        <v>Hard</v>
      </c>
      <c r="I551" s="6">
        <f t="shared" si="25"/>
        <v>0</v>
      </c>
      <c r="J551">
        <f t="shared" si="26"/>
        <v>0</v>
      </c>
    </row>
    <row r="552" spans="1:10" hidden="1" x14ac:dyDescent="0.3">
      <c r="A552">
        <v>69</v>
      </c>
      <c r="B552" t="str">
        <v>Terrapampa S.A.</v>
      </c>
      <c r="C552" s="6">
        <v>0</v>
      </c>
      <c r="D552" s="6">
        <v>0</v>
      </c>
      <c r="E552" t="str">
        <v>Dólar Cable</v>
      </c>
      <c r="F552" t="str">
        <v xml:space="preserve"> U$S TT</v>
      </c>
      <c r="G552">
        <f>IFERROR(VLOOKUP(A552,'Clientes CBOT'!B:E,4,0),B552)</f>
        <v>13003</v>
      </c>
      <c r="H552" t="str">
        <f t="shared" si="24"/>
        <v>Hard</v>
      </c>
      <c r="I552" s="6">
        <f t="shared" si="25"/>
        <v>0</v>
      </c>
      <c r="J552">
        <f t="shared" si="26"/>
        <v>0</v>
      </c>
    </row>
    <row r="553" spans="1:10" hidden="1" x14ac:dyDescent="0.3">
      <c r="A553">
        <v>69</v>
      </c>
      <c r="B553" t="str">
        <v>Terrapampa S.A.</v>
      </c>
      <c r="C553" s="6">
        <v>-200380.33</v>
      </c>
      <c r="D553" s="6">
        <v>84406.58</v>
      </c>
      <c r="E553" t="str">
        <v>Dólar Matba Rofex</v>
      </c>
      <c r="F553" t="str">
        <v xml:space="preserve"> U$S MR</v>
      </c>
      <c r="G553">
        <f>IFERROR(VLOOKUP(A553,'Clientes CBOT'!B:E,4,0),B553)</f>
        <v>13003</v>
      </c>
      <c r="H553" t="str">
        <f t="shared" si="24"/>
        <v>usd linked</v>
      </c>
      <c r="I553" s="6">
        <f t="shared" si="25"/>
        <v>-200380.33</v>
      </c>
      <c r="J553">
        <f t="shared" si="26"/>
        <v>84406.58</v>
      </c>
    </row>
    <row r="554" spans="1:10" hidden="1" x14ac:dyDescent="0.3">
      <c r="A554">
        <v>110</v>
      </c>
      <c r="B554" t="str">
        <v>LARTIRIGOYEN Y CIA. SA</v>
      </c>
      <c r="C554" s="6">
        <v>826764.43</v>
      </c>
      <c r="D554" s="6">
        <v>383383.74</v>
      </c>
      <c r="E554" t="str">
        <v>Dólar Matba Rofex</v>
      </c>
      <c r="F554" t="str">
        <v xml:space="preserve"> U$S MR</v>
      </c>
      <c r="G554" t="str">
        <f>IFERROR(VLOOKUP(A554,'Clientes CBOT'!B:E,4,0),B554)</f>
        <v>LARTIRIGOYEN Y CIA. SA</v>
      </c>
      <c r="H554" t="str">
        <f t="shared" si="24"/>
        <v>usd linked</v>
      </c>
      <c r="I554" s="6">
        <f t="shared" si="25"/>
        <v>826764.43</v>
      </c>
      <c r="J554">
        <f t="shared" si="26"/>
        <v>383383.74</v>
      </c>
    </row>
    <row r="555" spans="1:10" hidden="1" x14ac:dyDescent="0.3">
      <c r="A555">
        <v>172</v>
      </c>
      <c r="B555" t="str">
        <v>LARTIRIGOYEN Y CIA. SA</v>
      </c>
      <c r="C555" s="6">
        <v>-366057.78</v>
      </c>
      <c r="D555" s="6">
        <v>0</v>
      </c>
      <c r="E555" t="str">
        <v>Dólar Matba Rofex</v>
      </c>
      <c r="F555" t="str">
        <v xml:space="preserve"> U$S MR</v>
      </c>
      <c r="G555" t="str">
        <f>IFERROR(VLOOKUP(A555,'Clientes CBOT'!B:E,4,0),B555)</f>
        <v>LARTIRIGOYEN Y CIA. SA</v>
      </c>
      <c r="H555" t="str">
        <f t="shared" si="24"/>
        <v>usd linked</v>
      </c>
      <c r="I555" s="6">
        <f t="shared" si="25"/>
        <v>-366057.78</v>
      </c>
      <c r="J555">
        <f t="shared" si="26"/>
        <v>0</v>
      </c>
    </row>
    <row r="556" spans="1:10" hidden="1" x14ac:dyDescent="0.3">
      <c r="A556">
        <v>446</v>
      </c>
      <c r="B556" t="str">
        <v>LARTIRIGOYEN Y CIA. SA</v>
      </c>
      <c r="C556" s="6">
        <v>-425706.65</v>
      </c>
      <c r="D556" s="6">
        <v>0</v>
      </c>
      <c r="E556" t="str">
        <v>Dólar Matba Rofex</v>
      </c>
      <c r="F556" t="str">
        <v xml:space="preserve"> U$S MR</v>
      </c>
      <c r="G556" t="str">
        <f>IFERROR(VLOOKUP(A556,'Clientes CBOT'!B:E,4,0),B556)</f>
        <v>LARTIRIGOYEN Y CIA. SA</v>
      </c>
      <c r="H556" t="str">
        <f t="shared" si="24"/>
        <v>usd linked</v>
      </c>
      <c r="I556" s="6">
        <f t="shared" si="25"/>
        <v>-425706.65</v>
      </c>
      <c r="J556">
        <f t="shared" si="26"/>
        <v>0</v>
      </c>
    </row>
    <row r="557" spans="1:10" hidden="1" x14ac:dyDescent="0.3">
      <c r="A557">
        <v>199</v>
      </c>
      <c r="B557" t="str">
        <v>GEAR SAAICFEI</v>
      </c>
      <c r="C557" s="6">
        <v>1900</v>
      </c>
      <c r="D557" s="6">
        <v>800</v>
      </c>
      <c r="E557" t="str">
        <v>Dólar Matba Rofex</v>
      </c>
      <c r="F557" t="str">
        <v xml:space="preserve"> U$S MR</v>
      </c>
      <c r="G557" t="str">
        <f>IFERROR(VLOOKUP(A557,'Clientes CBOT'!B:E,4,0),B557)</f>
        <v>GEAR SAAICFEI</v>
      </c>
      <c r="H557" t="str">
        <f t="shared" si="24"/>
        <v>usd linked</v>
      </c>
      <c r="I557" s="6">
        <f t="shared" si="25"/>
        <v>1900</v>
      </c>
      <c r="J557">
        <f t="shared" si="26"/>
        <v>800</v>
      </c>
    </row>
    <row r="558" spans="1:10" hidden="1" x14ac:dyDescent="0.3">
      <c r="A558">
        <v>6072</v>
      </c>
      <c r="B558" t="str">
        <v>PLUMA DE PATO S.A.</v>
      </c>
      <c r="C558" s="6">
        <v>-643.88</v>
      </c>
      <c r="D558" s="6">
        <v>0</v>
      </c>
      <c r="E558" t="str">
        <v>Pesos</v>
      </c>
      <c r="F558" t="str">
        <v xml:space="preserve"> $</v>
      </c>
      <c r="G558" t="str">
        <f>IFERROR(VLOOKUP(A558,'Clientes CBOT'!B:E,4,0),B558)</f>
        <v>PLUMA DE PATO S.A.</v>
      </c>
      <c r="H558" t="str">
        <f t="shared" si="24"/>
        <v>Ars</v>
      </c>
      <c r="I558" s="6">
        <f t="shared" si="25"/>
        <v>-643.88</v>
      </c>
      <c r="J558">
        <f t="shared" si="26"/>
        <v>0</v>
      </c>
    </row>
    <row r="559" spans="1:10" hidden="1" x14ac:dyDescent="0.3">
      <c r="A559">
        <v>6077</v>
      </c>
      <c r="B559" t="str">
        <v>ADMINISTRACION AGRICOLA S. A.</v>
      </c>
      <c r="C559" s="6">
        <v>-132968.09</v>
      </c>
      <c r="D559" s="6">
        <v>0</v>
      </c>
      <c r="E559" t="str">
        <v>Pesos</v>
      </c>
      <c r="F559" t="str">
        <v xml:space="preserve"> $</v>
      </c>
      <c r="G559" t="str">
        <f>IFERROR(VLOOKUP(A559,'Clientes CBOT'!B:E,4,0),B559)</f>
        <v>ADMINISTRACION AGRICOLA S. A.</v>
      </c>
      <c r="H559" t="str">
        <f t="shared" si="24"/>
        <v>Ars</v>
      </c>
      <c r="I559" s="6">
        <f t="shared" si="25"/>
        <v>-132968.09</v>
      </c>
      <c r="J559">
        <f t="shared" si="26"/>
        <v>0</v>
      </c>
    </row>
    <row r="560" spans="1:10" hidden="1" x14ac:dyDescent="0.3">
      <c r="A560">
        <v>178</v>
      </c>
      <c r="B560" t="str">
        <v>INVERSIONES FINANCIERAS DEL SUR S.A.</v>
      </c>
      <c r="C560" s="6">
        <v>675.98</v>
      </c>
      <c r="D560" s="6">
        <v>-5.19</v>
      </c>
      <c r="E560" t="str">
        <v>Pesos</v>
      </c>
      <c r="F560" t="str">
        <v xml:space="preserve"> $</v>
      </c>
      <c r="G560" t="str">
        <f>IFERROR(VLOOKUP(A560,'Clientes CBOT'!B:E,4,0),B560)</f>
        <v>INVERSIONES FINANCIERAS DEL SUR S.A.</v>
      </c>
      <c r="H560" t="str">
        <f t="shared" si="24"/>
        <v>Ars</v>
      </c>
      <c r="I560" s="6">
        <f t="shared" si="25"/>
        <v>675.98</v>
      </c>
      <c r="J560">
        <f t="shared" si="26"/>
        <v>-5.19</v>
      </c>
    </row>
    <row r="561" spans="1:10" hidden="1" x14ac:dyDescent="0.3">
      <c r="A561">
        <v>236</v>
      </c>
      <c r="B561" t="str">
        <v>AGROPECUARIA CATRILO SA</v>
      </c>
      <c r="C561" s="6">
        <v>0.48</v>
      </c>
      <c r="D561" s="6">
        <v>-0.01</v>
      </c>
      <c r="E561" t="str">
        <v>Pesos</v>
      </c>
      <c r="F561" t="str">
        <v xml:space="preserve"> $</v>
      </c>
      <c r="G561">
        <f>IFERROR(VLOOKUP(A561,'Clientes CBOT'!B:E,4,0),B561)</f>
        <v>13002</v>
      </c>
      <c r="H561" t="str">
        <f t="shared" si="24"/>
        <v>Ars</v>
      </c>
      <c r="I561" s="6">
        <f t="shared" si="25"/>
        <v>0.48</v>
      </c>
      <c r="J561">
        <f t="shared" si="26"/>
        <v>-0.01</v>
      </c>
    </row>
    <row r="562" spans="1:10" hidden="1" x14ac:dyDescent="0.3">
      <c r="A562">
        <v>6041</v>
      </c>
      <c r="B562" t="str">
        <v>MUCHIUT VIVIANA MILENA, MUCHIUT CECILIA MARIA</v>
      </c>
      <c r="C562" s="6">
        <v>15585.52</v>
      </c>
      <c r="D562" s="6">
        <v>0</v>
      </c>
      <c r="E562" t="str">
        <v>Pesos</v>
      </c>
      <c r="F562" t="str">
        <v xml:space="preserve"> $</v>
      </c>
      <c r="G562" t="str">
        <f>IFERROR(VLOOKUP(A562,'Clientes CBOT'!B:E,4,0),B562)</f>
        <v>MUCHIUT VIVIANA MILENA, MUCHIUT CECILIA MARIA</v>
      </c>
      <c r="H562" t="str">
        <f t="shared" si="24"/>
        <v>Ars</v>
      </c>
      <c r="I562" s="6">
        <f t="shared" si="25"/>
        <v>15585.52</v>
      </c>
      <c r="J562">
        <f t="shared" si="26"/>
        <v>0</v>
      </c>
    </row>
    <row r="563" spans="1:10" hidden="1" x14ac:dyDescent="0.3">
      <c r="A563">
        <v>6039</v>
      </c>
      <c r="B563" t="str">
        <v>UNION AGRICOLA DE AVELLANEDA COOP LTDA</v>
      </c>
      <c r="C563" s="6">
        <v>4740875</v>
      </c>
      <c r="D563" s="6">
        <v>0</v>
      </c>
      <c r="E563" t="str">
        <v>Pesos</v>
      </c>
      <c r="F563" t="str">
        <v xml:space="preserve"> $</v>
      </c>
      <c r="G563" t="str">
        <f>IFERROR(VLOOKUP(A563,'Clientes CBOT'!B:E,4,0),B563)</f>
        <v>UNION AGRICOLA DE AVELLANEDA COOP LTDA</v>
      </c>
      <c r="H563" t="str">
        <f t="shared" si="24"/>
        <v>Ars</v>
      </c>
      <c r="I563" s="6">
        <f t="shared" si="25"/>
        <v>4740875</v>
      </c>
      <c r="J563">
        <f t="shared" si="26"/>
        <v>0</v>
      </c>
    </row>
    <row r="564" spans="1:10" hidden="1" x14ac:dyDescent="0.3">
      <c r="A564">
        <v>6064</v>
      </c>
      <c r="B564" t="str">
        <v>LARTIRIGOYEN IGNACIO</v>
      </c>
      <c r="C564" s="6">
        <v>-136702.92000000001</v>
      </c>
      <c r="D564" s="6">
        <v>0</v>
      </c>
      <c r="E564" t="str">
        <v>Pesos</v>
      </c>
      <c r="F564" t="str">
        <v xml:space="preserve"> $</v>
      </c>
      <c r="G564" t="str">
        <f>IFERROR(VLOOKUP(A564,'Clientes CBOT'!B:E,4,0),B564)</f>
        <v>LARTIRIGOYEN IGNACIO</v>
      </c>
      <c r="H564" t="str">
        <f t="shared" si="24"/>
        <v>Ars</v>
      </c>
      <c r="I564" s="6">
        <f t="shared" si="25"/>
        <v>-136702.92000000001</v>
      </c>
      <c r="J564">
        <f t="shared" si="26"/>
        <v>0</v>
      </c>
    </row>
    <row r="565" spans="1:10" hidden="1" x14ac:dyDescent="0.3">
      <c r="A565">
        <v>6046</v>
      </c>
      <c r="B565" t="str">
        <v>ALFREDO S. MONDINO CEREALES SRL</v>
      </c>
      <c r="C565" s="6">
        <v>199.02</v>
      </c>
      <c r="D565" s="6">
        <v>0</v>
      </c>
      <c r="E565" t="str">
        <v>Pesos</v>
      </c>
      <c r="F565" t="str">
        <v xml:space="preserve"> $</v>
      </c>
      <c r="G565" t="str">
        <f>IFERROR(VLOOKUP(A565,'Clientes CBOT'!B:E,4,0),B565)</f>
        <v>ALFREDO S. MONDINO CEREALES SRL</v>
      </c>
      <c r="H565" t="str">
        <f t="shared" si="24"/>
        <v>Ars</v>
      </c>
      <c r="I565" s="6">
        <f t="shared" si="25"/>
        <v>199.02</v>
      </c>
      <c r="J565">
        <f t="shared" si="26"/>
        <v>0</v>
      </c>
    </row>
    <row r="566" spans="1:10" hidden="1" x14ac:dyDescent="0.3">
      <c r="A566">
        <v>572</v>
      </c>
      <c r="B566" t="str">
        <v>BERNARD RAUL PABLO (SCOUT)</v>
      </c>
      <c r="C566" s="6">
        <v>-86732.75</v>
      </c>
      <c r="D566" s="6">
        <v>0</v>
      </c>
      <c r="E566" t="str">
        <v>Pesos</v>
      </c>
      <c r="F566" t="str">
        <v xml:space="preserve"> $</v>
      </c>
      <c r="G566" t="str">
        <f>IFERROR(VLOOKUP(A566,'Clientes CBOT'!B:E,4,0),B566)</f>
        <v>BERNARD RAUL PABLO (SCOUT)</v>
      </c>
      <c r="H566" t="str">
        <f t="shared" si="24"/>
        <v>Ars</v>
      </c>
      <c r="I566" s="6">
        <f t="shared" si="25"/>
        <v>-86732.75</v>
      </c>
      <c r="J566">
        <f t="shared" si="26"/>
        <v>0</v>
      </c>
    </row>
    <row r="567" spans="1:10" hidden="1" x14ac:dyDescent="0.3">
      <c r="A567">
        <v>6005</v>
      </c>
      <c r="B567" t="str">
        <v>MURATURE DIEGO, SYLVESTRE BEGNIS CRISTINA</v>
      </c>
      <c r="C567" s="6">
        <v>16519.03</v>
      </c>
      <c r="D567" s="6">
        <v>-0.03</v>
      </c>
      <c r="E567" t="str">
        <v>Pesos</v>
      </c>
      <c r="F567" t="str">
        <v xml:space="preserve"> $</v>
      </c>
      <c r="G567" t="str">
        <f>IFERROR(VLOOKUP(A567,'Clientes CBOT'!B:E,4,0),B567)</f>
        <v>MURATURE DIEGO, SYLVESTRE BEGNIS CRISTINA</v>
      </c>
      <c r="H567" t="str">
        <f t="shared" si="24"/>
        <v>Ars</v>
      </c>
      <c r="I567" s="6">
        <f t="shared" si="25"/>
        <v>16519.03</v>
      </c>
      <c r="J567">
        <f t="shared" si="26"/>
        <v>-0.03</v>
      </c>
    </row>
    <row r="568" spans="1:10" hidden="1" x14ac:dyDescent="0.3">
      <c r="A568">
        <v>6007</v>
      </c>
      <c r="B568" t="str">
        <v>ATS AGRO S.A.</v>
      </c>
      <c r="C568" s="6">
        <v>0</v>
      </c>
      <c r="D568" s="6">
        <v>0</v>
      </c>
      <c r="E568" t="str">
        <v>Pesos</v>
      </c>
      <c r="F568" t="str">
        <v xml:space="preserve"> $</v>
      </c>
      <c r="G568" t="str">
        <f>IFERROR(VLOOKUP(A568,'Clientes CBOT'!B:E,4,0),B568)</f>
        <v>ATS AGRO S.A.</v>
      </c>
      <c r="H568" t="str">
        <f t="shared" si="24"/>
        <v>Ars</v>
      </c>
      <c r="I568" s="6">
        <f t="shared" si="25"/>
        <v>0</v>
      </c>
      <c r="J568">
        <f t="shared" si="26"/>
        <v>0</v>
      </c>
    </row>
    <row r="569" spans="1:10" hidden="1" x14ac:dyDescent="0.3">
      <c r="A569">
        <v>5089</v>
      </c>
      <c r="B569" t="str">
        <v>PARAKEET CAPITAL SA</v>
      </c>
      <c r="C569" s="6">
        <v>0</v>
      </c>
      <c r="D569" s="6">
        <v>0</v>
      </c>
      <c r="E569" t="str">
        <v>Pesos</v>
      </c>
      <c r="F569" t="str">
        <v xml:space="preserve"> $</v>
      </c>
      <c r="G569" t="str">
        <f>IFERROR(VLOOKUP(A569,'Clientes CBOT'!B:E,4,0),B569)</f>
        <v>PARAKEET CAPITAL SA</v>
      </c>
      <c r="H569" t="str">
        <f t="shared" si="24"/>
        <v>Ars</v>
      </c>
      <c r="I569" s="6">
        <f t="shared" si="25"/>
        <v>0</v>
      </c>
      <c r="J569">
        <f t="shared" si="26"/>
        <v>0</v>
      </c>
    </row>
    <row r="570" spans="1:10" hidden="1" x14ac:dyDescent="0.3">
      <c r="A570">
        <v>552</v>
      </c>
      <c r="B570" t="str">
        <v>SYNGENTA AGRO SA</v>
      </c>
      <c r="C570" s="6">
        <v>0.8</v>
      </c>
      <c r="D570" s="6">
        <v>0</v>
      </c>
      <c r="E570" t="str">
        <v>Pesos</v>
      </c>
      <c r="F570" t="str">
        <v xml:space="preserve"> $</v>
      </c>
      <c r="G570" t="str">
        <f>IFERROR(VLOOKUP(A570,'Clientes CBOT'!B:E,4,0),B570)</f>
        <v>SYNGENTA AGRO SA</v>
      </c>
      <c r="H570" t="str">
        <f t="shared" si="24"/>
        <v>Ars</v>
      </c>
      <c r="I570" s="6">
        <f t="shared" si="25"/>
        <v>0.8</v>
      </c>
      <c r="J570">
        <f t="shared" si="26"/>
        <v>0</v>
      </c>
    </row>
    <row r="571" spans="1:10" hidden="1" x14ac:dyDescent="0.3">
      <c r="A571">
        <v>6001</v>
      </c>
      <c r="B571" t="str">
        <v>NUÑEZ GIORGETTI MARIANO ENRIQUE</v>
      </c>
      <c r="C571" s="6">
        <v>-70169.210000000006</v>
      </c>
      <c r="D571" s="6">
        <v>0</v>
      </c>
      <c r="E571" t="str">
        <v>Pesos</v>
      </c>
      <c r="F571" t="str">
        <v xml:space="preserve"> $</v>
      </c>
      <c r="G571" t="str">
        <f>IFERROR(VLOOKUP(A571,'Clientes CBOT'!B:E,4,0),B571)</f>
        <v>NUÑEZ GIORGETTI MARIANO ENRIQUE</v>
      </c>
      <c r="H571" t="str">
        <f t="shared" si="24"/>
        <v>Ars</v>
      </c>
      <c r="I571" s="6">
        <f t="shared" si="25"/>
        <v>-70169.210000000006</v>
      </c>
      <c r="J571">
        <f t="shared" si="26"/>
        <v>0</v>
      </c>
    </row>
    <row r="572" spans="1:10" hidden="1" x14ac:dyDescent="0.3">
      <c r="A572">
        <v>6002</v>
      </c>
      <c r="B572" t="str">
        <v>LATTUGA GISELLE JAQUELINA</v>
      </c>
      <c r="C572" s="6">
        <v>2892.72</v>
      </c>
      <c r="D572" s="6">
        <v>0</v>
      </c>
      <c r="E572" t="str">
        <v>Pesos</v>
      </c>
      <c r="F572" t="str">
        <v xml:space="preserve"> $</v>
      </c>
      <c r="G572" t="str">
        <f>IFERROR(VLOOKUP(A572,'Clientes CBOT'!B:E,4,0),B572)</f>
        <v>LATTUGA GISELLE JAQUELINA</v>
      </c>
      <c r="H572" t="str">
        <f t="shared" si="24"/>
        <v>Ars</v>
      </c>
      <c r="I572" s="6">
        <f t="shared" si="25"/>
        <v>2892.72</v>
      </c>
      <c r="J572">
        <f t="shared" si="26"/>
        <v>0</v>
      </c>
    </row>
    <row r="573" spans="1:10" hidden="1" x14ac:dyDescent="0.3">
      <c r="A573">
        <v>563</v>
      </c>
      <c r="B573" t="str">
        <v>SIECON SA</v>
      </c>
      <c r="C573" s="6">
        <v>-0.02</v>
      </c>
      <c r="D573" s="6">
        <v>0</v>
      </c>
      <c r="E573" t="str">
        <v>Pesos</v>
      </c>
      <c r="F573" t="str">
        <v xml:space="preserve"> $</v>
      </c>
      <c r="G573" t="str">
        <f>IFERROR(VLOOKUP(A573,'Clientes CBOT'!B:E,4,0),B573)</f>
        <v>SIECON SA</v>
      </c>
      <c r="H573" t="str">
        <f t="shared" si="24"/>
        <v>Ars</v>
      </c>
      <c r="I573" s="6">
        <f t="shared" si="25"/>
        <v>-0.02</v>
      </c>
      <c r="J573">
        <f t="shared" si="26"/>
        <v>0</v>
      </c>
    </row>
    <row r="574" spans="1:10" hidden="1" x14ac:dyDescent="0.3">
      <c r="A574">
        <v>566</v>
      </c>
      <c r="B574" t="str">
        <v>FYOFOODS SAU</v>
      </c>
      <c r="C574" s="6">
        <v>0</v>
      </c>
      <c r="D574" s="6">
        <v>0</v>
      </c>
      <c r="E574" t="str">
        <v>Pesos</v>
      </c>
      <c r="F574" t="str">
        <v xml:space="preserve"> $</v>
      </c>
      <c r="G574" t="str">
        <f>IFERROR(VLOOKUP(A574,'Clientes CBOT'!B:E,4,0),B574)</f>
        <v>FYOFOODS SAU</v>
      </c>
      <c r="H574" t="str">
        <f t="shared" si="24"/>
        <v>Ars</v>
      </c>
      <c r="I574" s="6">
        <f t="shared" si="25"/>
        <v>0</v>
      </c>
      <c r="J574">
        <f t="shared" si="26"/>
        <v>0</v>
      </c>
    </row>
    <row r="575" spans="1:10" hidden="1" x14ac:dyDescent="0.3">
      <c r="A575">
        <v>568</v>
      </c>
      <c r="B575" t="str">
        <v>CN AGRO SA</v>
      </c>
      <c r="C575" s="6">
        <v>0</v>
      </c>
      <c r="D575" s="6">
        <v>0</v>
      </c>
      <c r="E575" t="str">
        <v>Pesos</v>
      </c>
      <c r="F575" t="str">
        <v xml:space="preserve"> $</v>
      </c>
      <c r="G575" t="str">
        <f>IFERROR(VLOOKUP(A575,'Clientes CBOT'!B:E,4,0),B575)</f>
        <v>CN AGRO SA</v>
      </c>
      <c r="H575" t="str">
        <f t="shared" si="24"/>
        <v>Ars</v>
      </c>
      <c r="I575" s="6">
        <f t="shared" si="25"/>
        <v>0</v>
      </c>
      <c r="J575">
        <f t="shared" si="26"/>
        <v>0</v>
      </c>
    </row>
    <row r="576" spans="1:10" hidden="1" x14ac:dyDescent="0.3">
      <c r="A576">
        <v>317</v>
      </c>
      <c r="B576" t="str">
        <v>BOIX JUAN ESTEBAN</v>
      </c>
      <c r="C576" s="6">
        <v>0</v>
      </c>
      <c r="D576" s="6">
        <v>0</v>
      </c>
      <c r="E576" t="str">
        <v>Pesos</v>
      </c>
      <c r="F576" t="str">
        <v xml:space="preserve"> $</v>
      </c>
      <c r="G576" t="str">
        <f>IFERROR(VLOOKUP(A576,'Clientes CBOT'!B:E,4,0),B576)</f>
        <v>BOIX JUAN ESTEBAN</v>
      </c>
      <c r="H576" t="str">
        <f t="shared" si="24"/>
        <v>Ars</v>
      </c>
      <c r="I576" s="6">
        <f t="shared" si="25"/>
        <v>0</v>
      </c>
      <c r="J576">
        <f t="shared" si="26"/>
        <v>0</v>
      </c>
    </row>
    <row r="577" spans="1:10" hidden="1" x14ac:dyDescent="0.3">
      <c r="A577">
        <v>300</v>
      </c>
      <c r="B577" t="str">
        <v>CGM AGRO SAS</v>
      </c>
      <c r="C577" s="6">
        <v>0</v>
      </c>
      <c r="D577" s="6">
        <v>0.01</v>
      </c>
      <c r="E577" t="str">
        <v>Pesos</v>
      </c>
      <c r="F577" t="str">
        <v xml:space="preserve"> $</v>
      </c>
      <c r="G577" t="str">
        <f>IFERROR(VLOOKUP(A577,'Clientes CBOT'!B:E,4,0),B577)</f>
        <v>CGM AGRO SAS</v>
      </c>
      <c r="H577" t="str">
        <f t="shared" si="24"/>
        <v>Ars</v>
      </c>
      <c r="I577" s="6">
        <f t="shared" si="25"/>
        <v>0</v>
      </c>
      <c r="J577">
        <f t="shared" si="26"/>
        <v>0.01</v>
      </c>
    </row>
    <row r="578" spans="1:10" hidden="1" x14ac:dyDescent="0.3">
      <c r="A578">
        <v>308</v>
      </c>
      <c r="B578" t="str">
        <v>FUTUROS Y OPCIONES.COM SA</v>
      </c>
      <c r="C578" s="6">
        <v>0</v>
      </c>
      <c r="D578" s="6">
        <v>0</v>
      </c>
      <c r="E578" t="str">
        <v>Pesos</v>
      </c>
      <c r="F578" t="str">
        <v xml:space="preserve"> $</v>
      </c>
      <c r="G578" t="str">
        <f>IFERROR(VLOOKUP(A578,'Clientes CBOT'!B:E,4,0),B578)</f>
        <v>FUTUROS Y OPCIONES.COM SA</v>
      </c>
      <c r="H578" t="str">
        <f t="shared" si="24"/>
        <v>Ars</v>
      </c>
      <c r="I578" s="6">
        <f t="shared" si="25"/>
        <v>0</v>
      </c>
      <c r="J578">
        <f t="shared" si="26"/>
        <v>0</v>
      </c>
    </row>
    <row r="579" spans="1:10" hidden="1" x14ac:dyDescent="0.3">
      <c r="A579">
        <v>309</v>
      </c>
      <c r="B579" t="str">
        <v>FUTUROS Y OPCIONES.COM SA</v>
      </c>
      <c r="C579" s="6">
        <v>0</v>
      </c>
      <c r="D579" s="6">
        <v>0</v>
      </c>
      <c r="E579" t="str">
        <v>Pesos</v>
      </c>
      <c r="F579" t="str">
        <v xml:space="preserve"> $</v>
      </c>
      <c r="G579" t="str">
        <f>IFERROR(VLOOKUP(A579,'Clientes CBOT'!B:E,4,0),B579)</f>
        <v>FUTUROS Y OPCIONES.COM SA</v>
      </c>
      <c r="H579" t="str">
        <f t="shared" si="24"/>
        <v>Ars</v>
      </c>
      <c r="I579" s="6">
        <f t="shared" si="25"/>
        <v>0</v>
      </c>
      <c r="J579">
        <f t="shared" si="26"/>
        <v>0</v>
      </c>
    </row>
    <row r="580" spans="1:10" hidden="1" x14ac:dyDescent="0.3">
      <c r="A580">
        <v>265</v>
      </c>
      <c r="B580" t="str">
        <v>LARTIRIGOYEN &amp; OROMI SA</v>
      </c>
      <c r="C580" s="6">
        <v>0</v>
      </c>
      <c r="D580" s="6">
        <v>0.01</v>
      </c>
      <c r="E580" t="str">
        <v>Pesos</v>
      </c>
      <c r="F580" t="str">
        <v xml:space="preserve"> $</v>
      </c>
      <c r="G580" t="str">
        <f>IFERROR(VLOOKUP(A580,'Clientes CBOT'!B:E,4,0),B580)</f>
        <v>LARTIRIGOYEN &amp; OROMI SA</v>
      </c>
      <c r="H580" t="str">
        <f t="shared" si="24"/>
        <v>Ars</v>
      </c>
      <c r="I580" s="6">
        <f t="shared" si="25"/>
        <v>0</v>
      </c>
      <c r="J580">
        <f t="shared" si="26"/>
        <v>0.01</v>
      </c>
    </row>
    <row r="581" spans="1:10" hidden="1" x14ac:dyDescent="0.3">
      <c r="A581">
        <v>368</v>
      </c>
      <c r="B581" t="str">
        <v>EL TEGUA SAS</v>
      </c>
      <c r="C581" s="6">
        <v>-134.5</v>
      </c>
      <c r="D581" s="6">
        <v>0</v>
      </c>
      <c r="E581" t="str">
        <v>Pesos</v>
      </c>
      <c r="F581" t="str">
        <v xml:space="preserve"> $</v>
      </c>
      <c r="G581" t="str">
        <f>IFERROR(VLOOKUP(A581,'Clientes CBOT'!B:E,4,0),B581)</f>
        <v>EL TEGUA SAS</v>
      </c>
      <c r="H581" t="str">
        <f t="shared" ref="H581:H644" si="27">IF(E581="pesos","Ars",IF(E581="Dólar Matba Rofex","usd linked",IF(F581=" U$S TT","Hard","Dólar")))</f>
        <v>Ars</v>
      </c>
      <c r="I581" s="6">
        <f t="shared" ref="I581:I644" si="28">IF(H581="ars",C581/$J$1,IF(H581="Hard",C581*$J$2/$J$1,C581))</f>
        <v>-134.5</v>
      </c>
      <c r="J581">
        <f t="shared" ref="J581:J644" si="29">IF(H581="ars",D581/$J$1,IF(H581="hard",D581*$J$2/$J$1,D581))</f>
        <v>0</v>
      </c>
    </row>
    <row r="582" spans="1:10" hidden="1" x14ac:dyDescent="0.3">
      <c r="A582">
        <v>375</v>
      </c>
      <c r="B582" t="str">
        <v>FYO ACOPIO S.A.</v>
      </c>
      <c r="C582" s="6">
        <v>-8369.89</v>
      </c>
      <c r="D582" s="6">
        <v>0</v>
      </c>
      <c r="E582" t="str">
        <v>Pesos</v>
      </c>
      <c r="F582" t="str">
        <v xml:space="preserve"> $</v>
      </c>
      <c r="G582" t="str">
        <f>IFERROR(VLOOKUP(A582,'Clientes CBOT'!B:E,4,0),B582)</f>
        <v>FYO ACOPIO S.A.</v>
      </c>
      <c r="H582" t="str">
        <f t="shared" si="27"/>
        <v>Ars</v>
      </c>
      <c r="I582" s="6">
        <f t="shared" si="28"/>
        <v>-8369.89</v>
      </c>
      <c r="J582">
        <f t="shared" si="29"/>
        <v>0</v>
      </c>
    </row>
    <row r="583" spans="1:10" hidden="1" x14ac:dyDescent="0.3">
      <c r="A583">
        <v>343</v>
      </c>
      <c r="B583" t="str">
        <v>SEDMAK PABLO MIGUEL</v>
      </c>
      <c r="C583" s="6">
        <v>25851.39</v>
      </c>
      <c r="D583" s="6">
        <v>0.03</v>
      </c>
      <c r="E583" t="str">
        <v>Pesos</v>
      </c>
      <c r="F583" t="str">
        <v xml:space="preserve"> $</v>
      </c>
      <c r="G583" t="str">
        <f>IFERROR(VLOOKUP(A583,'Clientes CBOT'!B:E,4,0),B583)</f>
        <v>SEDMAK PABLO MIGUEL</v>
      </c>
      <c r="H583" t="str">
        <f t="shared" si="27"/>
        <v>Ars</v>
      </c>
      <c r="I583" s="6">
        <f t="shared" si="28"/>
        <v>25851.39</v>
      </c>
      <c r="J583">
        <f t="shared" si="29"/>
        <v>0.03</v>
      </c>
    </row>
    <row r="584" spans="1:10" hidden="1" x14ac:dyDescent="0.3">
      <c r="A584">
        <v>401</v>
      </c>
      <c r="B584" t="str">
        <v>CASANOVA RICARDO</v>
      </c>
      <c r="C584" s="6">
        <v>36692.06</v>
      </c>
      <c r="D584" s="6">
        <v>0</v>
      </c>
      <c r="E584" t="str">
        <v>Pesos</v>
      </c>
      <c r="F584" t="str">
        <v xml:space="preserve"> $</v>
      </c>
      <c r="G584" t="str">
        <f>IFERROR(VLOOKUP(A584,'Clientes CBOT'!B:E,4,0),B584)</f>
        <v>CASANOVA RICARDO</v>
      </c>
      <c r="H584" t="str">
        <f t="shared" si="27"/>
        <v>Ars</v>
      </c>
      <c r="I584" s="6">
        <f t="shared" si="28"/>
        <v>36692.06</v>
      </c>
      <c r="J584">
        <f t="shared" si="29"/>
        <v>0</v>
      </c>
    </row>
    <row r="585" spans="1:10" hidden="1" x14ac:dyDescent="0.3">
      <c r="A585">
        <v>408</v>
      </c>
      <c r="B585" t="str">
        <v>FALABELLA JUAN GUILLERMO</v>
      </c>
      <c r="C585" s="6">
        <v>3442.2</v>
      </c>
      <c r="D585" s="6">
        <v>0</v>
      </c>
      <c r="E585" t="str">
        <v>Pesos</v>
      </c>
      <c r="F585" t="str">
        <v xml:space="preserve"> $</v>
      </c>
      <c r="G585" t="str">
        <f>IFERROR(VLOOKUP(A585,'Clientes CBOT'!B:E,4,0),B585)</f>
        <v>FALABELLA JUAN GUILLERMO</v>
      </c>
      <c r="H585" t="str">
        <f t="shared" si="27"/>
        <v>Ars</v>
      </c>
      <c r="I585" s="6">
        <f t="shared" si="28"/>
        <v>3442.2</v>
      </c>
      <c r="J585">
        <f t="shared" si="29"/>
        <v>0</v>
      </c>
    </row>
    <row r="586" spans="1:10" hidden="1" x14ac:dyDescent="0.3">
      <c r="A586">
        <v>371</v>
      </c>
      <c r="B586" t="str">
        <v>SANTIAGO HUMBERTO HUGO</v>
      </c>
      <c r="C586" s="6">
        <v>0</v>
      </c>
      <c r="D586" s="6">
        <v>0</v>
      </c>
      <c r="E586" t="str">
        <v>Pesos</v>
      </c>
      <c r="F586" t="str">
        <v xml:space="preserve"> $</v>
      </c>
      <c r="G586" t="str">
        <f>IFERROR(VLOOKUP(A586,'Clientes CBOT'!B:E,4,0),B586)</f>
        <v>SANTIAGO HUMBERTO HUGO</v>
      </c>
      <c r="H586" t="str">
        <f t="shared" si="27"/>
        <v>Ars</v>
      </c>
      <c r="I586" s="6">
        <f t="shared" si="28"/>
        <v>0</v>
      </c>
      <c r="J586">
        <f t="shared" si="29"/>
        <v>0</v>
      </c>
    </row>
    <row r="587" spans="1:10" hidden="1" x14ac:dyDescent="0.3">
      <c r="A587">
        <v>386</v>
      </c>
      <c r="B587" t="str">
        <v>POTENCIAR SGR</v>
      </c>
      <c r="C587" s="6">
        <v>0.28000000000000003</v>
      </c>
      <c r="D587" s="6">
        <v>0</v>
      </c>
      <c r="E587" t="str">
        <v>Pesos</v>
      </c>
      <c r="F587" t="str">
        <v xml:space="preserve"> $</v>
      </c>
      <c r="G587" t="str">
        <f>IFERROR(VLOOKUP(A587,'Clientes CBOT'!B:E,4,0),B587)</f>
        <v>POTENCIAR SGR</v>
      </c>
      <c r="H587" t="str">
        <f t="shared" si="27"/>
        <v>Ars</v>
      </c>
      <c r="I587" s="6">
        <f t="shared" si="28"/>
        <v>0.28000000000000003</v>
      </c>
      <c r="J587">
        <f t="shared" si="29"/>
        <v>0</v>
      </c>
    </row>
    <row r="588" spans="1:10" hidden="1" x14ac:dyDescent="0.3">
      <c r="A588">
        <v>447</v>
      </c>
      <c r="B588" t="str">
        <v>MACCAGNO AGUSTIN DANIEL</v>
      </c>
      <c r="C588" s="6">
        <v>991.75</v>
      </c>
      <c r="D588" s="6">
        <v>0</v>
      </c>
      <c r="E588" t="str">
        <v>Pesos</v>
      </c>
      <c r="F588" t="str">
        <v xml:space="preserve"> $</v>
      </c>
      <c r="G588" t="str">
        <f>IFERROR(VLOOKUP(A588,'Clientes CBOT'!B:E,4,0),B588)</f>
        <v>MACCAGNO AGUSTIN DANIEL</v>
      </c>
      <c r="H588" t="str">
        <f t="shared" si="27"/>
        <v>Ars</v>
      </c>
      <c r="I588" s="6">
        <f t="shared" si="28"/>
        <v>991.75</v>
      </c>
      <c r="J588">
        <f t="shared" si="29"/>
        <v>0</v>
      </c>
    </row>
    <row r="589" spans="1:10" hidden="1" x14ac:dyDescent="0.3">
      <c r="A589">
        <v>445</v>
      </c>
      <c r="B589" t="str">
        <v>MACCAGNO NICOLAS</v>
      </c>
      <c r="C589" s="6">
        <v>1239.33</v>
      </c>
      <c r="D589" s="6">
        <v>0</v>
      </c>
      <c r="E589" t="str">
        <v>Pesos</v>
      </c>
      <c r="F589" t="str">
        <v xml:space="preserve"> $</v>
      </c>
      <c r="G589" t="str">
        <f>IFERROR(VLOOKUP(A589,'Clientes CBOT'!B:E,4,0),B589)</f>
        <v>MACCAGNO NICOLAS</v>
      </c>
      <c r="H589" t="str">
        <f t="shared" si="27"/>
        <v>Ars</v>
      </c>
      <c r="I589" s="6">
        <f t="shared" si="28"/>
        <v>1239.33</v>
      </c>
      <c r="J589">
        <f t="shared" si="29"/>
        <v>0</v>
      </c>
    </row>
    <row r="590" spans="1:10" hidden="1" x14ac:dyDescent="0.3">
      <c r="A590">
        <v>433</v>
      </c>
      <c r="B590" t="str">
        <v>SOBRERO JUAN MIGUEL</v>
      </c>
      <c r="C590" s="6">
        <v>-49873320.380000003</v>
      </c>
      <c r="D590" s="6">
        <v>0.01</v>
      </c>
      <c r="E590" t="str">
        <v>Pesos</v>
      </c>
      <c r="F590" t="str">
        <v xml:space="preserve"> $</v>
      </c>
      <c r="G590" t="str">
        <f>IFERROR(VLOOKUP(A590,'Clientes CBOT'!B:E,4,0),B590)</f>
        <v>SOBRERO JUAN MIGUEL</v>
      </c>
      <c r="H590" t="str">
        <f t="shared" si="27"/>
        <v>Ars</v>
      </c>
      <c r="I590" s="6">
        <f t="shared" si="28"/>
        <v>-49873320.380000003</v>
      </c>
      <c r="J590">
        <f t="shared" si="29"/>
        <v>0.01</v>
      </c>
    </row>
    <row r="591" spans="1:10" hidden="1" x14ac:dyDescent="0.3">
      <c r="A591">
        <v>438</v>
      </c>
      <c r="B591" t="str">
        <v>SYNGENTA AGRO SA</v>
      </c>
      <c r="C591" s="6">
        <v>0</v>
      </c>
      <c r="D591" s="6">
        <v>0</v>
      </c>
      <c r="E591" t="str">
        <v>Pesos</v>
      </c>
      <c r="F591" t="str">
        <v xml:space="preserve"> $</v>
      </c>
      <c r="G591" t="str">
        <f>IFERROR(VLOOKUP(A591,'Clientes CBOT'!B:E,4,0),B591)</f>
        <v>SYNGENTA AGRO SA</v>
      </c>
      <c r="H591" t="str">
        <f t="shared" si="27"/>
        <v>Ars</v>
      </c>
      <c r="I591" s="6">
        <f t="shared" si="28"/>
        <v>0</v>
      </c>
      <c r="J591">
        <f t="shared" si="29"/>
        <v>0</v>
      </c>
    </row>
    <row r="592" spans="1:10" hidden="1" x14ac:dyDescent="0.3">
      <c r="A592">
        <v>442</v>
      </c>
      <c r="B592" t="str">
        <v>MAIOCCO ALEJANDRO EZEQUIEL</v>
      </c>
      <c r="C592" s="6">
        <v>-748.86</v>
      </c>
      <c r="D592" s="6">
        <v>0</v>
      </c>
      <c r="E592" t="str">
        <v>Pesos</v>
      </c>
      <c r="F592" t="str">
        <v xml:space="preserve"> $</v>
      </c>
      <c r="G592" t="str">
        <f>IFERROR(VLOOKUP(A592,'Clientes CBOT'!B:E,4,0),B592)</f>
        <v>MAIOCCO ALEJANDRO EZEQUIEL</v>
      </c>
      <c r="H592" t="str">
        <f t="shared" si="27"/>
        <v>Ars</v>
      </c>
      <c r="I592" s="6">
        <f t="shared" si="28"/>
        <v>-748.86</v>
      </c>
      <c r="J592">
        <f t="shared" si="29"/>
        <v>0</v>
      </c>
    </row>
    <row r="593" spans="1:10" hidden="1" x14ac:dyDescent="0.3">
      <c r="A593">
        <v>422</v>
      </c>
      <c r="B593" t="str">
        <v>BERNARD BLANCA BEATRIZ</v>
      </c>
      <c r="C593" s="6">
        <v>8080.12</v>
      </c>
      <c r="D593" s="6">
        <v>0</v>
      </c>
      <c r="E593" t="str">
        <v>Pesos</v>
      </c>
      <c r="F593" t="str">
        <v xml:space="preserve"> $</v>
      </c>
      <c r="G593" t="str">
        <f>IFERROR(VLOOKUP(A593,'Clientes CBOT'!B:E,4,0),B593)</f>
        <v>BERNARD BLANCA BEATRIZ</v>
      </c>
      <c r="H593" t="str">
        <f t="shared" si="27"/>
        <v>Ars</v>
      </c>
      <c r="I593" s="6">
        <f t="shared" si="28"/>
        <v>8080.12</v>
      </c>
      <c r="J593">
        <f t="shared" si="29"/>
        <v>0</v>
      </c>
    </row>
    <row r="594" spans="1:10" hidden="1" x14ac:dyDescent="0.3">
      <c r="A594">
        <v>431</v>
      </c>
      <c r="B594" t="str">
        <v>IMOLA ABEL ELILIO ANTONIO</v>
      </c>
      <c r="C594" s="6">
        <v>0</v>
      </c>
      <c r="D594" s="6">
        <v>0</v>
      </c>
      <c r="E594" t="str">
        <v>Pesos</v>
      </c>
      <c r="F594" t="str">
        <v xml:space="preserve"> $</v>
      </c>
      <c r="G594" t="str">
        <f>IFERROR(VLOOKUP(A594,'Clientes CBOT'!B:E,4,0),B594)</f>
        <v>IMOLA ABEL ELILIO ANTONIO</v>
      </c>
      <c r="H594" t="str">
        <f t="shared" si="27"/>
        <v>Ars</v>
      </c>
      <c r="I594" s="6">
        <f t="shared" si="28"/>
        <v>0</v>
      </c>
      <c r="J594">
        <f t="shared" si="29"/>
        <v>0</v>
      </c>
    </row>
    <row r="595" spans="1:10" hidden="1" x14ac:dyDescent="0.3">
      <c r="A595">
        <v>1012</v>
      </c>
      <c r="B595" t="str">
        <v>BANCO INDUSTRIAL SA IAM RENTA BALANCEADA</v>
      </c>
      <c r="C595" s="6">
        <v>0</v>
      </c>
      <c r="D595" s="6">
        <v>0</v>
      </c>
      <c r="E595" t="str">
        <v>Pesos</v>
      </c>
      <c r="F595" t="str">
        <v xml:space="preserve"> $</v>
      </c>
      <c r="G595" t="str">
        <f>IFERROR(VLOOKUP(A595,'Clientes CBOT'!B:E,4,0),B595)</f>
        <v>BANCO INDUSTRIAL SA IAM RENTA BALANCEADA</v>
      </c>
      <c r="H595" t="str">
        <f t="shared" si="27"/>
        <v>Ars</v>
      </c>
      <c r="I595" s="6">
        <f t="shared" si="28"/>
        <v>0</v>
      </c>
      <c r="J595">
        <f t="shared" si="29"/>
        <v>0</v>
      </c>
    </row>
    <row r="596" spans="1:10" hidden="1" x14ac:dyDescent="0.3">
      <c r="A596">
        <v>426</v>
      </c>
      <c r="B596" t="str">
        <v>COTELLA JUAN CARLOS</v>
      </c>
      <c r="C596" s="6">
        <v>0</v>
      </c>
      <c r="D596" s="6">
        <v>0</v>
      </c>
      <c r="E596" t="str">
        <v>Pesos</v>
      </c>
      <c r="F596" t="str">
        <v xml:space="preserve"> $</v>
      </c>
      <c r="G596" t="str">
        <f>IFERROR(VLOOKUP(A596,'Clientes CBOT'!B:E,4,0),B596)</f>
        <v>COTELLA JUAN CARLOS</v>
      </c>
      <c r="H596" t="str">
        <f t="shared" si="27"/>
        <v>Ars</v>
      </c>
      <c r="I596" s="6">
        <f t="shared" si="28"/>
        <v>0</v>
      </c>
      <c r="J596">
        <f t="shared" si="29"/>
        <v>0</v>
      </c>
    </row>
    <row r="597" spans="1:10" hidden="1" x14ac:dyDescent="0.3">
      <c r="A597">
        <v>427</v>
      </c>
      <c r="B597" t="str">
        <v>MSU SERVICIOS SA</v>
      </c>
      <c r="C597" s="6">
        <v>0</v>
      </c>
      <c r="D597" s="6">
        <v>0</v>
      </c>
      <c r="E597" t="str">
        <v>Pesos</v>
      </c>
      <c r="F597" t="str">
        <v xml:space="preserve"> $</v>
      </c>
      <c r="G597" t="str">
        <f>IFERROR(VLOOKUP(A597,'Clientes CBOT'!B:E,4,0),B597)</f>
        <v>MSU SERVICIOS SA</v>
      </c>
      <c r="H597" t="str">
        <f t="shared" si="27"/>
        <v>Ars</v>
      </c>
      <c r="I597" s="6">
        <f t="shared" si="28"/>
        <v>0</v>
      </c>
      <c r="J597">
        <f t="shared" si="29"/>
        <v>0</v>
      </c>
    </row>
    <row r="598" spans="1:10" hidden="1" x14ac:dyDescent="0.3">
      <c r="A598">
        <v>5038</v>
      </c>
      <c r="B598" t="str">
        <v>Capital Markets Argentina SA</v>
      </c>
      <c r="C598" s="6">
        <v>0</v>
      </c>
      <c r="D598" s="6">
        <v>0</v>
      </c>
      <c r="E598" t="str">
        <v>Pesos</v>
      </c>
      <c r="F598" t="str">
        <v xml:space="preserve"> $</v>
      </c>
      <c r="G598" t="str">
        <f>IFERROR(VLOOKUP(A598,'Clientes CBOT'!B:E,4,0),B598)</f>
        <v>Capital Markets Argentina SA</v>
      </c>
      <c r="H598" t="str">
        <f t="shared" si="27"/>
        <v>Ars</v>
      </c>
      <c r="I598" s="6">
        <f t="shared" si="28"/>
        <v>0</v>
      </c>
      <c r="J598">
        <f t="shared" si="29"/>
        <v>0</v>
      </c>
    </row>
    <row r="599" spans="1:10" hidden="1" x14ac:dyDescent="0.3">
      <c r="A599">
        <v>462</v>
      </c>
      <c r="B599" t="str">
        <v>EL BAGRE SRL</v>
      </c>
      <c r="C599" s="6">
        <v>0</v>
      </c>
      <c r="D599" s="6">
        <v>0</v>
      </c>
      <c r="E599" t="str">
        <v>Pesos</v>
      </c>
      <c r="F599" t="str">
        <v xml:space="preserve"> $</v>
      </c>
      <c r="G599" t="str">
        <f>IFERROR(VLOOKUP(A599,'Clientes CBOT'!B:E,4,0),B599)</f>
        <v>EL BAGRE SRL</v>
      </c>
      <c r="H599" t="str">
        <f t="shared" si="27"/>
        <v>Ars</v>
      </c>
      <c r="I599" s="6">
        <f t="shared" si="28"/>
        <v>0</v>
      </c>
      <c r="J599">
        <f t="shared" si="29"/>
        <v>0</v>
      </c>
    </row>
    <row r="600" spans="1:10" hidden="1" x14ac:dyDescent="0.3">
      <c r="A600">
        <v>458</v>
      </c>
      <c r="B600" t="str">
        <v>FRIGORIFICO DE AVES SOYCHU SAICFIA</v>
      </c>
      <c r="C600" s="6">
        <v>0</v>
      </c>
      <c r="D600" s="6">
        <v>0</v>
      </c>
      <c r="E600" t="str">
        <v>Pesos</v>
      </c>
      <c r="F600" t="str">
        <v xml:space="preserve"> $</v>
      </c>
      <c r="G600" t="str">
        <f>IFERROR(VLOOKUP(A600,'Clientes CBOT'!B:E,4,0),B600)</f>
        <v>FRIGORIFICO DE AVES SOYCHU SAICFIA</v>
      </c>
      <c r="H600" t="str">
        <f t="shared" si="27"/>
        <v>Ars</v>
      </c>
      <c r="I600" s="6">
        <f t="shared" si="28"/>
        <v>0</v>
      </c>
      <c r="J600">
        <f t="shared" si="29"/>
        <v>0</v>
      </c>
    </row>
    <row r="601" spans="1:10" hidden="1" x14ac:dyDescent="0.3">
      <c r="A601">
        <v>457</v>
      </c>
      <c r="B601" t="str">
        <v>BELOTTINI GUILLERMO LUIS</v>
      </c>
      <c r="C601" s="6">
        <v>9927.4699999999993</v>
      </c>
      <c r="D601" s="6">
        <v>-0.01</v>
      </c>
      <c r="E601" t="str">
        <v>Pesos</v>
      </c>
      <c r="F601" t="str">
        <v xml:space="preserve"> $</v>
      </c>
      <c r="G601" t="str">
        <f>IFERROR(VLOOKUP(A601,'Clientes CBOT'!B:E,4,0),B601)</f>
        <v>BELOTTINI GUILLERMO LUIS</v>
      </c>
      <c r="H601" t="str">
        <f t="shared" si="27"/>
        <v>Ars</v>
      </c>
      <c r="I601" s="6">
        <f t="shared" si="28"/>
        <v>9927.4699999999993</v>
      </c>
      <c r="J601">
        <f t="shared" si="29"/>
        <v>-0.01</v>
      </c>
    </row>
    <row r="602" spans="1:10" hidden="1" x14ac:dyDescent="0.3">
      <c r="A602">
        <v>479</v>
      </c>
      <c r="B602" t="str">
        <v>GOMEZ EZEQUIEL MATIAS</v>
      </c>
      <c r="C602" s="6">
        <v>0</v>
      </c>
      <c r="D602" s="6">
        <v>0</v>
      </c>
      <c r="E602" t="str">
        <v>Pesos</v>
      </c>
      <c r="F602" t="str">
        <v xml:space="preserve"> $</v>
      </c>
      <c r="G602" t="str">
        <f>IFERROR(VLOOKUP(A602,'Clientes CBOT'!B:E,4,0),B602)</f>
        <v>GOMEZ EZEQUIEL MATIAS</v>
      </c>
      <c r="H602" t="str">
        <f t="shared" si="27"/>
        <v>Ars</v>
      </c>
      <c r="I602" s="6">
        <f t="shared" si="28"/>
        <v>0</v>
      </c>
      <c r="J602">
        <f t="shared" si="29"/>
        <v>0</v>
      </c>
    </row>
    <row r="603" spans="1:10" hidden="1" x14ac:dyDescent="0.3">
      <c r="A603">
        <v>477</v>
      </c>
      <c r="B603" t="str">
        <v>MEINERO ALFREDO</v>
      </c>
      <c r="C603" s="6">
        <v>0</v>
      </c>
      <c r="D603" s="6">
        <v>0</v>
      </c>
      <c r="E603" t="str">
        <v>Pesos</v>
      </c>
      <c r="F603" t="str">
        <v xml:space="preserve"> $</v>
      </c>
      <c r="G603" t="str">
        <f>IFERROR(VLOOKUP(A603,'Clientes CBOT'!B:E,4,0),B603)</f>
        <v>MEINERO ALFREDO</v>
      </c>
      <c r="H603" t="str">
        <f t="shared" si="27"/>
        <v>Ars</v>
      </c>
      <c r="I603" s="6">
        <f t="shared" si="28"/>
        <v>0</v>
      </c>
      <c r="J603">
        <f t="shared" si="29"/>
        <v>0</v>
      </c>
    </row>
    <row r="604" spans="1:10" hidden="1" x14ac:dyDescent="0.3">
      <c r="A604">
        <v>5106</v>
      </c>
      <c r="B604" t="str">
        <v>GMC VALORES SA</v>
      </c>
      <c r="C604" s="6">
        <v>0</v>
      </c>
      <c r="D604" s="6">
        <v>0</v>
      </c>
      <c r="E604" t="str">
        <v>Pesos</v>
      </c>
      <c r="F604" t="str">
        <v xml:space="preserve"> $</v>
      </c>
      <c r="G604" t="str">
        <f>IFERROR(VLOOKUP(A604,'Clientes CBOT'!B:E,4,0),B604)</f>
        <v>GMC VALORES SA</v>
      </c>
      <c r="H604" t="str">
        <f t="shared" si="27"/>
        <v>Ars</v>
      </c>
      <c r="I604" s="6">
        <f t="shared" si="28"/>
        <v>0</v>
      </c>
      <c r="J604">
        <f t="shared" si="29"/>
        <v>0</v>
      </c>
    </row>
    <row r="605" spans="1:10" hidden="1" x14ac:dyDescent="0.3">
      <c r="A605">
        <v>482</v>
      </c>
      <c r="B605" t="str">
        <v>OVALLE MARIA BEATRIZ</v>
      </c>
      <c r="C605" s="6">
        <v>-3783.93</v>
      </c>
      <c r="D605" s="6">
        <v>0.03</v>
      </c>
      <c r="E605" t="str">
        <v>Pesos</v>
      </c>
      <c r="F605" t="str">
        <v xml:space="preserve"> $</v>
      </c>
      <c r="G605" t="str">
        <f>IFERROR(VLOOKUP(A605,'Clientes CBOT'!B:E,4,0),B605)</f>
        <v>OVALLE MARIA BEATRIZ</v>
      </c>
      <c r="H605" t="str">
        <f t="shared" si="27"/>
        <v>Ars</v>
      </c>
      <c r="I605" s="6">
        <f t="shared" si="28"/>
        <v>-3783.93</v>
      </c>
      <c r="J605">
        <f t="shared" si="29"/>
        <v>0.03</v>
      </c>
    </row>
    <row r="606" spans="1:10" hidden="1" x14ac:dyDescent="0.3">
      <c r="A606">
        <v>485</v>
      </c>
      <c r="B606" t="str">
        <v>MURATURE YARI</v>
      </c>
      <c r="C606" s="6">
        <v>-3470.54</v>
      </c>
      <c r="D606" s="6">
        <v>0.1</v>
      </c>
      <c r="E606" t="str">
        <v>Pesos</v>
      </c>
      <c r="F606" t="str">
        <v xml:space="preserve"> $</v>
      </c>
      <c r="G606" t="str">
        <f>IFERROR(VLOOKUP(A606,'Clientes CBOT'!B:E,4,0),B606)</f>
        <v>MURATURE YARI</v>
      </c>
      <c r="H606" t="str">
        <f t="shared" si="27"/>
        <v>Ars</v>
      </c>
      <c r="I606" s="6">
        <f t="shared" si="28"/>
        <v>-3470.54</v>
      </c>
      <c r="J606">
        <f t="shared" si="29"/>
        <v>0.1</v>
      </c>
    </row>
    <row r="607" spans="1:10" hidden="1" x14ac:dyDescent="0.3">
      <c r="A607">
        <v>5118</v>
      </c>
      <c r="B607" t="str">
        <v>WIN SECURITIES SA</v>
      </c>
      <c r="C607" s="6">
        <v>0</v>
      </c>
      <c r="D607" s="6">
        <v>0</v>
      </c>
      <c r="E607" t="str">
        <v>Pesos</v>
      </c>
      <c r="F607" t="str">
        <v xml:space="preserve"> $</v>
      </c>
      <c r="G607" t="str">
        <f>IFERROR(VLOOKUP(A607,'Clientes CBOT'!B:E,4,0),B607)</f>
        <v>WIN SECURITIES SA</v>
      </c>
      <c r="H607" t="str">
        <f t="shared" si="27"/>
        <v>Ars</v>
      </c>
      <c r="I607" s="6">
        <f t="shared" si="28"/>
        <v>0</v>
      </c>
      <c r="J607">
        <f t="shared" si="29"/>
        <v>0</v>
      </c>
    </row>
    <row r="608" spans="1:10" hidden="1" x14ac:dyDescent="0.3">
      <c r="A608">
        <v>5240</v>
      </c>
      <c r="B608" t="str">
        <v>STONEX SECURITIES SA</v>
      </c>
      <c r="C608" s="6">
        <v>0</v>
      </c>
      <c r="D608" s="6">
        <v>0</v>
      </c>
      <c r="E608" t="str">
        <v>Pesos</v>
      </c>
      <c r="F608" t="str">
        <v xml:space="preserve"> $</v>
      </c>
      <c r="G608" t="str">
        <f>IFERROR(VLOOKUP(A608,'Clientes CBOT'!B:E,4,0),B608)</f>
        <v>STONEX SECURITIES SA</v>
      </c>
      <c r="H608" t="str">
        <f t="shared" si="27"/>
        <v>Ars</v>
      </c>
      <c r="I608" s="6">
        <f t="shared" si="28"/>
        <v>0</v>
      </c>
      <c r="J608">
        <f t="shared" si="29"/>
        <v>0</v>
      </c>
    </row>
    <row r="609" spans="1:10" hidden="1" x14ac:dyDescent="0.3">
      <c r="A609">
        <v>5203</v>
      </c>
      <c r="B609" t="str">
        <v>INVERTIR EN BOLSA SA</v>
      </c>
      <c r="C609" s="6">
        <v>0</v>
      </c>
      <c r="D609" s="6">
        <v>0</v>
      </c>
      <c r="E609" t="str">
        <v>Pesos</v>
      </c>
      <c r="F609" t="str">
        <v xml:space="preserve"> $</v>
      </c>
      <c r="G609" t="str">
        <f>IFERROR(VLOOKUP(A609,'Clientes CBOT'!B:E,4,0),B609)</f>
        <v>INVERTIR EN BOLSA SA</v>
      </c>
      <c r="H609" t="str">
        <f t="shared" si="27"/>
        <v>Ars</v>
      </c>
      <c r="I609" s="6">
        <f t="shared" si="28"/>
        <v>0</v>
      </c>
      <c r="J609">
        <f t="shared" si="29"/>
        <v>0</v>
      </c>
    </row>
    <row r="610" spans="1:10" hidden="1" x14ac:dyDescent="0.3">
      <c r="A610">
        <v>5</v>
      </c>
      <c r="B610" t="str">
        <v>FYO ACOPIO S.A.</v>
      </c>
      <c r="C610" s="6">
        <v>344142425.38</v>
      </c>
      <c r="D610" s="6">
        <v>2.21</v>
      </c>
      <c r="E610" t="str">
        <v>Pesos</v>
      </c>
      <c r="F610" t="str">
        <v xml:space="preserve"> $</v>
      </c>
      <c r="G610">
        <f>IFERROR(VLOOKUP(A610,'Clientes CBOT'!B:E,4,0),B610)</f>
        <v>20176</v>
      </c>
      <c r="H610" t="str">
        <f t="shared" si="27"/>
        <v>Ars</v>
      </c>
      <c r="I610" s="6">
        <f t="shared" si="28"/>
        <v>344142425.38</v>
      </c>
      <c r="J610">
        <f t="shared" si="29"/>
        <v>2.21</v>
      </c>
    </row>
    <row r="611" spans="1:10" hidden="1" x14ac:dyDescent="0.3">
      <c r="A611">
        <v>4</v>
      </c>
      <c r="B611" t="str">
        <v>FUTUROS Y OPCIONES.COM SA</v>
      </c>
      <c r="C611" s="6">
        <v>-2818089.6</v>
      </c>
      <c r="D611" s="6">
        <v>0</v>
      </c>
      <c r="E611" t="str">
        <v>Pesos</v>
      </c>
      <c r="F611" t="str">
        <v xml:space="preserve"> $</v>
      </c>
      <c r="G611" t="str">
        <f>IFERROR(VLOOKUP(A611,'Clientes CBOT'!B:E,4,0),B611)</f>
        <v>FUTUROS Y OPCIONES.COM SA</v>
      </c>
      <c r="H611" t="str">
        <f t="shared" si="27"/>
        <v>Ars</v>
      </c>
      <c r="I611" s="6">
        <f t="shared" si="28"/>
        <v>-2818089.6</v>
      </c>
      <c r="J611">
        <f t="shared" si="29"/>
        <v>0</v>
      </c>
    </row>
    <row r="612" spans="1:10" hidden="1" x14ac:dyDescent="0.3">
      <c r="A612">
        <v>86</v>
      </c>
      <c r="B612" t="str">
        <v>GDM ARGENTINA SA</v>
      </c>
      <c r="C612" s="6">
        <v>0</v>
      </c>
      <c r="D612" s="6">
        <v>0</v>
      </c>
      <c r="E612" t="str">
        <v>Pesos</v>
      </c>
      <c r="F612" t="str">
        <v xml:space="preserve"> $</v>
      </c>
      <c r="G612" t="str">
        <f>IFERROR(VLOOKUP(A612,'Clientes CBOT'!B:E,4,0),B612)</f>
        <v>GDM ARGENTINA SA</v>
      </c>
      <c r="H612" t="str">
        <f t="shared" si="27"/>
        <v>Ars</v>
      </c>
      <c r="I612" s="6">
        <f t="shared" si="28"/>
        <v>0</v>
      </c>
      <c r="J612">
        <f t="shared" si="29"/>
        <v>0</v>
      </c>
    </row>
    <row r="613" spans="1:10" hidden="1" x14ac:dyDescent="0.3">
      <c r="A613">
        <v>7</v>
      </c>
      <c r="B613" t="str">
        <v>AYERZA ALEJANDRO</v>
      </c>
      <c r="C613" s="6">
        <v>-11548.88</v>
      </c>
      <c r="D613" s="6">
        <v>-0.42</v>
      </c>
      <c r="E613" t="str">
        <v>Pesos</v>
      </c>
      <c r="F613" t="str">
        <v xml:space="preserve"> $</v>
      </c>
      <c r="G613" t="str">
        <f>IFERROR(VLOOKUP(A613,'Clientes CBOT'!B:E,4,0),B613)</f>
        <v>AYERZA ALEJANDRO</v>
      </c>
      <c r="H613" t="str">
        <f t="shared" si="27"/>
        <v>Ars</v>
      </c>
      <c r="I613" s="6">
        <f t="shared" si="28"/>
        <v>-11548.88</v>
      </c>
      <c r="J613">
        <f t="shared" si="29"/>
        <v>-0.42</v>
      </c>
    </row>
    <row r="614" spans="1:10" hidden="1" x14ac:dyDescent="0.3">
      <c r="A614">
        <v>175</v>
      </c>
      <c r="B614" t="str">
        <v>FYO ACOPIO S.A.</v>
      </c>
      <c r="C614" s="6">
        <v>-44905180.43</v>
      </c>
      <c r="D614" s="6">
        <v>0</v>
      </c>
      <c r="E614" t="str">
        <v>Pesos</v>
      </c>
      <c r="F614" t="str">
        <v xml:space="preserve"> $</v>
      </c>
      <c r="G614" t="str">
        <f>IFERROR(VLOOKUP(A614,'Clientes CBOT'!B:E,4,0),B614)</f>
        <v>FYO ACOPIO S.A.</v>
      </c>
      <c r="H614" t="str">
        <f t="shared" si="27"/>
        <v>Ars</v>
      </c>
      <c r="I614" s="6">
        <f t="shared" si="28"/>
        <v>-44905180.43</v>
      </c>
      <c r="J614">
        <f t="shared" si="29"/>
        <v>0</v>
      </c>
    </row>
    <row r="615" spans="1:10" hidden="1" x14ac:dyDescent="0.3">
      <c r="A615">
        <v>176</v>
      </c>
      <c r="B615" t="str">
        <v>FYO ACOPIO S.A.</v>
      </c>
      <c r="C615" s="6">
        <v>88654351.099999994</v>
      </c>
      <c r="D615" s="6">
        <v>0</v>
      </c>
      <c r="E615" t="str">
        <v>Pesos</v>
      </c>
      <c r="F615" t="str">
        <v xml:space="preserve"> $</v>
      </c>
      <c r="G615" t="str">
        <f>IFERROR(VLOOKUP(A615,'Clientes CBOT'!B:E,4,0),B615)</f>
        <v>FYO ACOPIO S.A.</v>
      </c>
      <c r="H615" t="str">
        <f t="shared" si="27"/>
        <v>Ars</v>
      </c>
      <c r="I615" s="6">
        <f t="shared" si="28"/>
        <v>88654351.099999994</v>
      </c>
      <c r="J615">
        <f t="shared" si="29"/>
        <v>0</v>
      </c>
    </row>
    <row r="616" spans="1:10" hidden="1" x14ac:dyDescent="0.3">
      <c r="A616">
        <v>533</v>
      </c>
      <c r="B616" t="str">
        <v>BELAUSTEGUI RICARDO CRISTIAN</v>
      </c>
      <c r="C616" s="6">
        <v>-426965</v>
      </c>
      <c r="D616" s="6">
        <v>0.01</v>
      </c>
      <c r="E616" t="str">
        <v>Pesos</v>
      </c>
      <c r="F616" t="str">
        <v xml:space="preserve"> $</v>
      </c>
      <c r="G616" t="str">
        <f>IFERROR(VLOOKUP(A616,'Clientes CBOT'!B:E,4,0),B616)</f>
        <v>BELAUSTEGUI RICARDO CRISTIAN</v>
      </c>
      <c r="H616" t="str">
        <f t="shared" si="27"/>
        <v>Ars</v>
      </c>
      <c r="I616" s="6">
        <f t="shared" si="28"/>
        <v>-426965</v>
      </c>
      <c r="J616">
        <f t="shared" si="29"/>
        <v>0.01</v>
      </c>
    </row>
    <row r="617" spans="1:10" hidden="1" x14ac:dyDescent="0.3">
      <c r="A617">
        <v>522</v>
      </c>
      <c r="B617" t="str">
        <v>BELLAMAR ESTANCIAS SA</v>
      </c>
      <c r="C617" s="6">
        <v>14.05</v>
      </c>
      <c r="D617" s="6">
        <v>0</v>
      </c>
      <c r="E617" t="str">
        <v>Pesos</v>
      </c>
      <c r="F617" t="str">
        <v xml:space="preserve"> $</v>
      </c>
      <c r="G617" t="str">
        <f>IFERROR(VLOOKUP(A617,'Clientes CBOT'!B:E,4,0),B617)</f>
        <v>BELLAMAR ESTANCIAS SA</v>
      </c>
      <c r="H617" t="str">
        <f t="shared" si="27"/>
        <v>Ars</v>
      </c>
      <c r="I617" s="6">
        <f t="shared" si="28"/>
        <v>14.05</v>
      </c>
      <c r="J617">
        <f t="shared" si="29"/>
        <v>0</v>
      </c>
    </row>
    <row r="618" spans="1:10" hidden="1" x14ac:dyDescent="0.3">
      <c r="A618">
        <v>516</v>
      </c>
      <c r="B618" t="str">
        <v>ROTAMAR AGRICOLA GANADERA SA</v>
      </c>
      <c r="C618" s="6">
        <v>0</v>
      </c>
      <c r="D618" s="6">
        <v>0</v>
      </c>
      <c r="E618" t="str">
        <v>Pesos</v>
      </c>
      <c r="F618" t="str">
        <v xml:space="preserve"> $</v>
      </c>
      <c r="G618" t="str">
        <f>IFERROR(VLOOKUP(A618,'Clientes CBOT'!B:E,4,0),B618)</f>
        <v>ROTAMAR AGRICOLA GANADERA SA</v>
      </c>
      <c r="H618" t="str">
        <f t="shared" si="27"/>
        <v>Ars</v>
      </c>
      <c r="I618" s="6">
        <f t="shared" si="28"/>
        <v>0</v>
      </c>
      <c r="J618">
        <f t="shared" si="29"/>
        <v>0</v>
      </c>
    </row>
    <row r="619" spans="1:10" hidden="1" x14ac:dyDescent="0.3">
      <c r="A619">
        <v>524</v>
      </c>
      <c r="B619" t="str">
        <v>AGROPECUARIA LA CELINA SA</v>
      </c>
      <c r="C619" s="6">
        <v>0</v>
      </c>
      <c r="D619" s="6">
        <v>0</v>
      </c>
      <c r="E619" t="str">
        <v>Pesos</v>
      </c>
      <c r="F619" t="str">
        <v xml:space="preserve"> $</v>
      </c>
      <c r="G619" t="str">
        <f>IFERROR(VLOOKUP(A619,'Clientes CBOT'!B:E,4,0),B619)</f>
        <v>AGROPECUARIA LA CELINA SA</v>
      </c>
      <c r="H619" t="str">
        <f t="shared" si="27"/>
        <v>Ars</v>
      </c>
      <c r="I619" s="6">
        <f t="shared" si="28"/>
        <v>0</v>
      </c>
      <c r="J619">
        <f t="shared" si="29"/>
        <v>0</v>
      </c>
    </row>
    <row r="620" spans="1:10" hidden="1" x14ac:dyDescent="0.3">
      <c r="A620">
        <v>154</v>
      </c>
      <c r="B620" t="str">
        <v>IRSA INVERSIONES Y REPRESENTACIONES SA</v>
      </c>
      <c r="C620" s="6">
        <v>-30000000</v>
      </c>
      <c r="D620" s="6">
        <v>0.03</v>
      </c>
      <c r="E620" t="str">
        <v>Pesos</v>
      </c>
      <c r="F620" t="str">
        <v xml:space="preserve"> $</v>
      </c>
      <c r="G620" t="str">
        <f>IFERROR(VLOOKUP(A620,'Clientes CBOT'!B:E,4,0),B620)</f>
        <v>IRSA INVERSIONES Y REPRESENTACIONES SA</v>
      </c>
      <c r="H620" t="str">
        <f t="shared" si="27"/>
        <v>Ars</v>
      </c>
      <c r="I620" s="6">
        <f t="shared" si="28"/>
        <v>-30000000</v>
      </c>
      <c r="J620">
        <f t="shared" si="29"/>
        <v>0.03</v>
      </c>
    </row>
    <row r="621" spans="1:10" hidden="1" x14ac:dyDescent="0.3">
      <c r="A621">
        <v>120</v>
      </c>
      <c r="B621" t="str">
        <v>AGROFY GLOBAL SOCIEDAD LIMITADA POR ACCIONES</v>
      </c>
      <c r="C621" s="6">
        <v>2769.84</v>
      </c>
      <c r="D621" s="6">
        <v>0</v>
      </c>
      <c r="E621" t="str">
        <v>Pesos</v>
      </c>
      <c r="F621" t="str">
        <v xml:space="preserve"> $</v>
      </c>
      <c r="G621" t="str">
        <f>IFERROR(VLOOKUP(A621,'Clientes CBOT'!B:E,4,0),B621)</f>
        <v>AGROFY GLOBAL SOCIEDAD LIMITADA POR ACCIONES</v>
      </c>
      <c r="H621" t="str">
        <f t="shared" si="27"/>
        <v>Ars</v>
      </c>
      <c r="I621" s="6">
        <f t="shared" si="28"/>
        <v>2769.84</v>
      </c>
      <c r="J621">
        <f t="shared" si="29"/>
        <v>0</v>
      </c>
    </row>
    <row r="622" spans="1:10" hidden="1" x14ac:dyDescent="0.3">
      <c r="A622">
        <v>124</v>
      </c>
      <c r="B622" t="str">
        <v>CARLOS BOERO ROMANO SAIC</v>
      </c>
      <c r="C622" s="6">
        <v>0</v>
      </c>
      <c r="D622" s="6">
        <v>0</v>
      </c>
      <c r="E622" t="str">
        <v>Pesos</v>
      </c>
      <c r="F622" t="str">
        <v xml:space="preserve"> $</v>
      </c>
      <c r="G622" t="str">
        <f>IFERROR(VLOOKUP(A622,'Clientes CBOT'!B:E,4,0),B622)</f>
        <v>CARLOS BOERO ROMANO SAIC</v>
      </c>
      <c r="H622" t="str">
        <f t="shared" si="27"/>
        <v>Ars</v>
      </c>
      <c r="I622" s="6">
        <f t="shared" si="28"/>
        <v>0</v>
      </c>
      <c r="J622">
        <f t="shared" si="29"/>
        <v>0</v>
      </c>
    </row>
    <row r="623" spans="1:10" hidden="1" x14ac:dyDescent="0.3">
      <c r="A623">
        <v>123</v>
      </c>
      <c r="B623" t="str">
        <v>FUTUROS Y OPCIONES.COM SA</v>
      </c>
      <c r="C623" s="6">
        <v>-1174214.57</v>
      </c>
      <c r="D623" s="6">
        <v>0</v>
      </c>
      <c r="E623" t="str">
        <v>Pesos</v>
      </c>
      <c r="F623" t="str">
        <v xml:space="preserve"> $</v>
      </c>
      <c r="G623" t="str">
        <f>IFERROR(VLOOKUP(A623,'Clientes CBOT'!B:E,4,0),B623)</f>
        <v>FUTUROS Y OPCIONES.COM SA</v>
      </c>
      <c r="H623" t="str">
        <f t="shared" si="27"/>
        <v>Ars</v>
      </c>
      <c r="I623" s="6">
        <f t="shared" si="28"/>
        <v>-1174214.57</v>
      </c>
      <c r="J623">
        <f t="shared" si="29"/>
        <v>0</v>
      </c>
    </row>
    <row r="624" spans="1:10" hidden="1" x14ac:dyDescent="0.3">
      <c r="A624">
        <v>52</v>
      </c>
      <c r="B624" t="str">
        <v>GRANERO SRL</v>
      </c>
      <c r="C624" s="6">
        <v>0</v>
      </c>
      <c r="D624" s="6">
        <v>0</v>
      </c>
      <c r="E624" t="str">
        <v>Pesos</v>
      </c>
      <c r="F624" t="str">
        <v xml:space="preserve"> $</v>
      </c>
      <c r="G624" t="str">
        <f>IFERROR(VLOOKUP(A624,'Clientes CBOT'!B:E,4,0),B624)</f>
        <v>GRANERO SRL</v>
      </c>
      <c r="H624" t="str">
        <f t="shared" si="27"/>
        <v>Ars</v>
      </c>
      <c r="I624" s="6">
        <f t="shared" si="28"/>
        <v>0</v>
      </c>
      <c r="J624">
        <f t="shared" si="29"/>
        <v>0</v>
      </c>
    </row>
    <row r="625" spans="1:10" hidden="1" x14ac:dyDescent="0.3">
      <c r="A625">
        <v>119</v>
      </c>
      <c r="B625" t="str">
        <v>Agrofy SAU</v>
      </c>
      <c r="C625" s="6">
        <v>0</v>
      </c>
      <c r="D625" s="6">
        <v>0</v>
      </c>
      <c r="E625" t="str">
        <v>Pesos</v>
      </c>
      <c r="F625" t="str">
        <v xml:space="preserve"> $</v>
      </c>
      <c r="G625" t="str">
        <f>IFERROR(VLOOKUP(A625,'Clientes CBOT'!B:E,4,0),B625)</f>
        <v>Agrofy SAU</v>
      </c>
      <c r="H625" t="str">
        <f t="shared" si="27"/>
        <v>Ars</v>
      </c>
      <c r="I625" s="6">
        <f t="shared" si="28"/>
        <v>0</v>
      </c>
      <c r="J625">
        <f t="shared" si="29"/>
        <v>0</v>
      </c>
    </row>
    <row r="626" spans="1:10" hidden="1" x14ac:dyDescent="0.3">
      <c r="A626">
        <v>116</v>
      </c>
      <c r="B626" t="str">
        <v>Los Bayos SA</v>
      </c>
      <c r="C626" s="6">
        <v>1125.07</v>
      </c>
      <c r="D626" s="6">
        <v>-0.03</v>
      </c>
      <c r="E626" t="str">
        <v>Pesos</v>
      </c>
      <c r="F626" t="str">
        <v xml:space="preserve"> $</v>
      </c>
      <c r="G626" t="str">
        <f>IFERROR(VLOOKUP(A626,'Clientes CBOT'!B:E,4,0),B626)</f>
        <v>Los Bayos SA</v>
      </c>
      <c r="H626" t="str">
        <f t="shared" si="27"/>
        <v>Ars</v>
      </c>
      <c r="I626" s="6">
        <f t="shared" si="28"/>
        <v>1125.07</v>
      </c>
      <c r="J626">
        <f t="shared" si="29"/>
        <v>-0.03</v>
      </c>
    </row>
    <row r="627" spans="1:10" hidden="1" x14ac:dyDescent="0.3">
      <c r="A627">
        <v>515</v>
      </c>
      <c r="B627" t="str">
        <v>AGROPECUARIA LOS TRES VASCOS SA</v>
      </c>
      <c r="C627" s="6">
        <v>0</v>
      </c>
      <c r="D627" s="6">
        <v>0</v>
      </c>
      <c r="E627" t="str">
        <v>Pesos</v>
      </c>
      <c r="F627" t="str">
        <v xml:space="preserve"> $</v>
      </c>
      <c r="G627" t="str">
        <f>IFERROR(VLOOKUP(A627,'Clientes CBOT'!B:E,4,0),B627)</f>
        <v>AGROPECUARIA LOS TRES VASCOS SA</v>
      </c>
      <c r="H627" t="str">
        <f t="shared" si="27"/>
        <v>Ars</v>
      </c>
      <c r="I627" s="6">
        <f t="shared" si="28"/>
        <v>0</v>
      </c>
      <c r="J627">
        <f t="shared" si="29"/>
        <v>0</v>
      </c>
    </row>
    <row r="628" spans="1:10" hidden="1" x14ac:dyDescent="0.3">
      <c r="A628">
        <v>509</v>
      </c>
      <c r="B628" t="str">
        <v>GRUPO CONSTRUCTOR BUENOS AIRES ROSARIO SA</v>
      </c>
      <c r="C628" s="6">
        <v>16376.3</v>
      </c>
      <c r="D628" s="6">
        <v>0</v>
      </c>
      <c r="E628" t="str">
        <v>Pesos</v>
      </c>
      <c r="F628" t="str">
        <v xml:space="preserve"> $</v>
      </c>
      <c r="G628" t="str">
        <f>IFERROR(VLOOKUP(A628,'Clientes CBOT'!B:E,4,0),B628)</f>
        <v>GRUPO CONSTRUCTOR BUENOS AIRES ROSARIO SA</v>
      </c>
      <c r="H628" t="str">
        <f t="shared" si="27"/>
        <v>Ars</v>
      </c>
      <c r="I628" s="6">
        <f t="shared" si="28"/>
        <v>16376.3</v>
      </c>
      <c r="J628">
        <f t="shared" si="29"/>
        <v>0</v>
      </c>
    </row>
    <row r="629" spans="1:10" hidden="1" x14ac:dyDescent="0.3">
      <c r="A629">
        <v>5065</v>
      </c>
      <c r="B629" t="str">
        <v>OPTION SECURITIES SA</v>
      </c>
      <c r="C629" s="6">
        <v>0</v>
      </c>
      <c r="D629" s="6">
        <v>0</v>
      </c>
      <c r="E629" t="str">
        <v>Pesos</v>
      </c>
      <c r="F629" t="str">
        <v xml:space="preserve"> $</v>
      </c>
      <c r="G629" t="str">
        <f>IFERROR(VLOOKUP(A629,'Clientes CBOT'!B:E,4,0),B629)</f>
        <v>OPTION SECURITIES SA</v>
      </c>
      <c r="H629" t="str">
        <f t="shared" si="27"/>
        <v>Ars</v>
      </c>
      <c r="I629" s="6">
        <f t="shared" si="28"/>
        <v>0</v>
      </c>
      <c r="J629">
        <f t="shared" si="29"/>
        <v>0</v>
      </c>
    </row>
    <row r="630" spans="1:10" hidden="1" x14ac:dyDescent="0.3">
      <c r="A630">
        <v>481</v>
      </c>
      <c r="B630" t="str">
        <v>CORTONDO SERGIO DANIEL</v>
      </c>
      <c r="C630" s="6">
        <v>170006.99</v>
      </c>
      <c r="D630" s="6">
        <v>0</v>
      </c>
      <c r="E630" t="str">
        <v>Pesos</v>
      </c>
      <c r="F630" t="str">
        <v xml:space="preserve"> $</v>
      </c>
      <c r="G630" t="str">
        <f>IFERROR(VLOOKUP(A630,'Clientes CBOT'!B:E,4,0),B630)</f>
        <v>CORTONDO SERGIO DANIEL</v>
      </c>
      <c r="H630" t="str">
        <f t="shared" si="27"/>
        <v>Ars</v>
      </c>
      <c r="I630" s="6">
        <f t="shared" si="28"/>
        <v>170006.99</v>
      </c>
      <c r="J630">
        <f t="shared" si="29"/>
        <v>0</v>
      </c>
    </row>
    <row r="631" spans="1:10" hidden="1" x14ac:dyDescent="0.3">
      <c r="A631">
        <v>489</v>
      </c>
      <c r="B631" t="str">
        <v>SANTANGELO CLAUDIO ROBERTO</v>
      </c>
      <c r="C631" s="6">
        <v>-45.47</v>
      </c>
      <c r="D631" s="6">
        <v>0</v>
      </c>
      <c r="E631" t="str">
        <v>Pesos</v>
      </c>
      <c r="F631" t="str">
        <v xml:space="preserve"> $</v>
      </c>
      <c r="G631">
        <f>IFERROR(VLOOKUP(A631,'Clientes CBOT'!B:E,4,0),B631)</f>
        <v>13006</v>
      </c>
      <c r="H631" t="str">
        <f t="shared" si="27"/>
        <v>Ars</v>
      </c>
      <c r="I631" s="6">
        <f t="shared" si="28"/>
        <v>-45.47</v>
      </c>
      <c r="J631">
        <f t="shared" si="29"/>
        <v>0</v>
      </c>
    </row>
    <row r="632" spans="1:10" hidden="1" x14ac:dyDescent="0.3">
      <c r="A632">
        <v>490</v>
      </c>
      <c r="B632" t="str">
        <v>SANTANGELO FRANCISCO VICTOR</v>
      </c>
      <c r="C632" s="6">
        <v>-45.48</v>
      </c>
      <c r="D632" s="6">
        <v>0</v>
      </c>
      <c r="E632" t="str">
        <v>Pesos</v>
      </c>
      <c r="F632" t="str">
        <v xml:space="preserve"> $</v>
      </c>
      <c r="G632">
        <f>IFERROR(VLOOKUP(A632,'Clientes CBOT'!B:E,4,0),B632)</f>
        <v>13007</v>
      </c>
      <c r="H632" t="str">
        <f t="shared" si="27"/>
        <v>Ars</v>
      </c>
      <c r="I632" s="6">
        <f t="shared" si="28"/>
        <v>-45.48</v>
      </c>
      <c r="J632">
        <f t="shared" si="29"/>
        <v>0</v>
      </c>
    </row>
    <row r="633" spans="1:10" hidden="1" x14ac:dyDescent="0.3">
      <c r="A633">
        <v>494</v>
      </c>
      <c r="B633" t="str">
        <v>BORLA ULDERICO CARLOS</v>
      </c>
      <c r="C633" s="6">
        <v>0</v>
      </c>
      <c r="D633" s="6">
        <v>0</v>
      </c>
      <c r="E633" t="str">
        <v>Pesos</v>
      </c>
      <c r="F633" t="str">
        <v xml:space="preserve"> $</v>
      </c>
      <c r="G633" t="str">
        <f>IFERROR(VLOOKUP(A633,'Clientes CBOT'!B:E,4,0),B633)</f>
        <v>BORLA ULDERICO CARLOS</v>
      </c>
      <c r="H633" t="str">
        <f t="shared" si="27"/>
        <v>Ars</v>
      </c>
      <c r="I633" s="6">
        <f t="shared" si="28"/>
        <v>0</v>
      </c>
      <c r="J633">
        <f t="shared" si="29"/>
        <v>0</v>
      </c>
    </row>
    <row r="634" spans="1:10" hidden="1" x14ac:dyDescent="0.3">
      <c r="A634">
        <v>421</v>
      </c>
      <c r="B634" t="str">
        <v>Agro Ganadera Vicen SRL</v>
      </c>
      <c r="C634" s="6">
        <v>-52599.3</v>
      </c>
      <c r="D634" s="6">
        <v>0.02</v>
      </c>
      <c r="E634" t="str">
        <v>Pesos</v>
      </c>
      <c r="F634" t="str">
        <v xml:space="preserve"> $</v>
      </c>
      <c r="G634" t="str">
        <f>IFERROR(VLOOKUP(A634,'Clientes CBOT'!B:E,4,0),B634)</f>
        <v>Agro Ganadera Vicen SRL</v>
      </c>
      <c r="H634" t="str">
        <f t="shared" si="27"/>
        <v>Ars</v>
      </c>
      <c r="I634" s="6">
        <f t="shared" si="28"/>
        <v>-52599.3</v>
      </c>
      <c r="J634">
        <f t="shared" si="29"/>
        <v>0.02</v>
      </c>
    </row>
    <row r="635" spans="1:10" hidden="1" x14ac:dyDescent="0.3">
      <c r="A635">
        <v>419</v>
      </c>
      <c r="B635" t="str">
        <v>EL CHELFORO SRL</v>
      </c>
      <c r="C635" s="6">
        <v>1647.53</v>
      </c>
      <c r="D635" s="6">
        <v>0</v>
      </c>
      <c r="E635" t="str">
        <v>Pesos</v>
      </c>
      <c r="F635" t="str">
        <v xml:space="preserve"> $</v>
      </c>
      <c r="G635" t="str">
        <f>IFERROR(VLOOKUP(A635,'Clientes CBOT'!B:E,4,0),B635)</f>
        <v>EL CHELFORO SRL</v>
      </c>
      <c r="H635" t="str">
        <f t="shared" si="27"/>
        <v>Ars</v>
      </c>
      <c r="I635" s="6">
        <f t="shared" si="28"/>
        <v>1647.53</v>
      </c>
      <c r="J635">
        <f t="shared" si="29"/>
        <v>0</v>
      </c>
    </row>
    <row r="636" spans="1:10" hidden="1" x14ac:dyDescent="0.3">
      <c r="A636">
        <v>419</v>
      </c>
      <c r="B636" t="str">
        <v>EL CHELFORO SRL</v>
      </c>
      <c r="C636" s="6">
        <v>-0.18</v>
      </c>
      <c r="D636" s="6">
        <v>0</v>
      </c>
      <c r="E636" t="str">
        <v xml:space="preserve">Dólar </v>
      </c>
      <c r="F636" t="str">
        <v xml:space="preserve"> U$S</v>
      </c>
      <c r="G636" t="str">
        <f>IFERROR(VLOOKUP(A636,'Clientes CBOT'!B:E,4,0),B636)</f>
        <v>EL CHELFORO SRL</v>
      </c>
      <c r="H636" t="str">
        <f t="shared" si="27"/>
        <v>Dólar</v>
      </c>
      <c r="I636" s="6">
        <f t="shared" si="28"/>
        <v>-0.18</v>
      </c>
      <c r="J636">
        <f t="shared" si="29"/>
        <v>0</v>
      </c>
    </row>
    <row r="637" spans="1:10" hidden="1" x14ac:dyDescent="0.3">
      <c r="A637">
        <v>494</v>
      </c>
      <c r="B637" t="str">
        <v>BORLA ULDERICO CARLOS</v>
      </c>
      <c r="C637" s="6">
        <v>0</v>
      </c>
      <c r="D637" s="6">
        <v>0</v>
      </c>
      <c r="E637" t="str">
        <v xml:space="preserve">Dólar </v>
      </c>
      <c r="F637" t="str">
        <v xml:space="preserve"> U$S</v>
      </c>
      <c r="G637" t="str">
        <f>IFERROR(VLOOKUP(A637,'Clientes CBOT'!B:E,4,0),B637)</f>
        <v>BORLA ULDERICO CARLOS</v>
      </c>
      <c r="H637" t="str">
        <f t="shared" si="27"/>
        <v>Dólar</v>
      </c>
      <c r="I637" s="6">
        <f t="shared" si="28"/>
        <v>0</v>
      </c>
      <c r="J637">
        <f t="shared" si="29"/>
        <v>0</v>
      </c>
    </row>
    <row r="638" spans="1:10" hidden="1" x14ac:dyDescent="0.3">
      <c r="A638">
        <v>490</v>
      </c>
      <c r="B638" t="str">
        <v>SANTANGELO FRANCISCO VICTOR</v>
      </c>
      <c r="C638" s="6">
        <v>329.15</v>
      </c>
      <c r="D638" s="6">
        <v>0</v>
      </c>
      <c r="E638" t="str">
        <v xml:space="preserve">Dólar </v>
      </c>
      <c r="F638" t="str">
        <v xml:space="preserve"> U$S</v>
      </c>
      <c r="G638">
        <f>IFERROR(VLOOKUP(A638,'Clientes CBOT'!B:E,4,0),B638)</f>
        <v>13007</v>
      </c>
      <c r="H638" t="str">
        <f t="shared" si="27"/>
        <v>Dólar</v>
      </c>
      <c r="I638" s="6">
        <f t="shared" si="28"/>
        <v>329.15</v>
      </c>
      <c r="J638">
        <f t="shared" si="29"/>
        <v>0</v>
      </c>
    </row>
    <row r="639" spans="1:10" hidden="1" x14ac:dyDescent="0.3">
      <c r="A639">
        <v>489</v>
      </c>
      <c r="B639" t="str">
        <v>SANTANGELO CLAUDIO ROBERTO</v>
      </c>
      <c r="C639" s="6">
        <v>3954.5</v>
      </c>
      <c r="D639" s="6">
        <v>0</v>
      </c>
      <c r="E639" t="str">
        <v xml:space="preserve">Dólar </v>
      </c>
      <c r="F639" t="str">
        <v xml:space="preserve"> U$S</v>
      </c>
      <c r="G639">
        <f>IFERROR(VLOOKUP(A639,'Clientes CBOT'!B:E,4,0),B639)</f>
        <v>13006</v>
      </c>
      <c r="H639" t="str">
        <f t="shared" si="27"/>
        <v>Dólar</v>
      </c>
      <c r="I639" s="6">
        <f t="shared" si="28"/>
        <v>3954.5</v>
      </c>
      <c r="J639">
        <f t="shared" si="29"/>
        <v>0</v>
      </c>
    </row>
    <row r="640" spans="1:10" hidden="1" x14ac:dyDescent="0.3">
      <c r="A640">
        <v>481</v>
      </c>
      <c r="B640" t="str">
        <v>CORTONDO SERGIO DANIEL</v>
      </c>
      <c r="C640" s="6">
        <v>0.8</v>
      </c>
      <c r="D640" s="6">
        <v>0</v>
      </c>
      <c r="E640" t="str">
        <v xml:space="preserve">Dólar </v>
      </c>
      <c r="F640" t="str">
        <v xml:space="preserve"> U$S</v>
      </c>
      <c r="G640" t="str">
        <f>IFERROR(VLOOKUP(A640,'Clientes CBOT'!B:E,4,0),B640)</f>
        <v>CORTONDO SERGIO DANIEL</v>
      </c>
      <c r="H640" t="str">
        <f t="shared" si="27"/>
        <v>Dólar</v>
      </c>
      <c r="I640" s="6">
        <f t="shared" si="28"/>
        <v>0.8</v>
      </c>
      <c r="J640">
        <f t="shared" si="29"/>
        <v>0</v>
      </c>
    </row>
    <row r="641" spans="1:10" hidden="1" x14ac:dyDescent="0.3">
      <c r="A641">
        <v>116</v>
      </c>
      <c r="B641" t="str">
        <v>Los Bayos SA</v>
      </c>
      <c r="C641" s="6">
        <v>0</v>
      </c>
      <c r="D641" s="6">
        <v>0</v>
      </c>
      <c r="E641" t="str">
        <v xml:space="preserve">Dólar </v>
      </c>
      <c r="F641" t="str">
        <v xml:space="preserve"> U$S</v>
      </c>
      <c r="G641" t="str">
        <f>IFERROR(VLOOKUP(A641,'Clientes CBOT'!B:E,4,0),B641)</f>
        <v>Los Bayos SA</v>
      </c>
      <c r="H641" t="str">
        <f t="shared" si="27"/>
        <v>Dólar</v>
      </c>
      <c r="I641" s="6">
        <f t="shared" si="28"/>
        <v>0</v>
      </c>
      <c r="J641">
        <f t="shared" si="29"/>
        <v>0</v>
      </c>
    </row>
    <row r="642" spans="1:10" hidden="1" x14ac:dyDescent="0.3">
      <c r="A642">
        <v>119</v>
      </c>
      <c r="B642" t="str">
        <v>Agrofy SAU</v>
      </c>
      <c r="C642" s="6">
        <v>0</v>
      </c>
      <c r="D642" s="6">
        <v>0</v>
      </c>
      <c r="E642" t="str">
        <v xml:space="preserve">Dólar </v>
      </c>
      <c r="F642" t="str">
        <v xml:space="preserve"> U$S</v>
      </c>
      <c r="G642" t="str">
        <f>IFERROR(VLOOKUP(A642,'Clientes CBOT'!B:E,4,0),B642)</f>
        <v>Agrofy SAU</v>
      </c>
      <c r="H642" t="str">
        <f t="shared" si="27"/>
        <v>Dólar</v>
      </c>
      <c r="I642" s="6">
        <f t="shared" si="28"/>
        <v>0</v>
      </c>
      <c r="J642">
        <f t="shared" si="29"/>
        <v>0</v>
      </c>
    </row>
    <row r="643" spans="1:10" hidden="1" x14ac:dyDescent="0.3">
      <c r="A643">
        <v>123</v>
      </c>
      <c r="B643" t="str">
        <v>FUTUROS Y OPCIONES.COM SA</v>
      </c>
      <c r="C643" s="6">
        <v>0</v>
      </c>
      <c r="D643" s="6">
        <v>0</v>
      </c>
      <c r="E643" t="str">
        <v xml:space="preserve">Dólar </v>
      </c>
      <c r="F643" t="str">
        <v xml:space="preserve"> U$S</v>
      </c>
      <c r="G643" t="str">
        <f>IFERROR(VLOOKUP(A643,'Clientes CBOT'!B:E,4,0),B643)</f>
        <v>FUTUROS Y OPCIONES.COM SA</v>
      </c>
      <c r="H643" t="str">
        <f t="shared" si="27"/>
        <v>Dólar</v>
      </c>
      <c r="I643" s="6">
        <f t="shared" si="28"/>
        <v>0</v>
      </c>
      <c r="J643">
        <f t="shared" si="29"/>
        <v>0</v>
      </c>
    </row>
    <row r="644" spans="1:10" hidden="1" x14ac:dyDescent="0.3">
      <c r="A644">
        <v>154</v>
      </c>
      <c r="B644" t="str">
        <v>IRSA INVERSIONES Y REPRESENTACIONES SA</v>
      </c>
      <c r="C644" s="6">
        <v>0.13</v>
      </c>
      <c r="D644" s="6">
        <v>0</v>
      </c>
      <c r="E644" t="str">
        <v xml:space="preserve">Dólar </v>
      </c>
      <c r="F644" t="str">
        <v xml:space="preserve"> U$S</v>
      </c>
      <c r="G644" t="str">
        <f>IFERROR(VLOOKUP(A644,'Clientes CBOT'!B:E,4,0),B644)</f>
        <v>IRSA INVERSIONES Y REPRESENTACIONES SA</v>
      </c>
      <c r="H644" t="str">
        <f t="shared" si="27"/>
        <v>Dólar</v>
      </c>
      <c r="I644" s="6">
        <f t="shared" si="28"/>
        <v>0.13</v>
      </c>
      <c r="J644">
        <f t="shared" si="29"/>
        <v>0</v>
      </c>
    </row>
    <row r="645" spans="1:10" hidden="1" x14ac:dyDescent="0.3">
      <c r="A645">
        <v>524</v>
      </c>
      <c r="B645" t="str">
        <v>AGROPECUARIA LA CELINA SA</v>
      </c>
      <c r="C645" s="6">
        <v>0</v>
      </c>
      <c r="D645" s="6">
        <v>0</v>
      </c>
      <c r="E645" t="str">
        <v xml:space="preserve">Dólar </v>
      </c>
      <c r="F645" t="str">
        <v xml:space="preserve"> U$S</v>
      </c>
      <c r="G645" t="str">
        <f>IFERROR(VLOOKUP(A645,'Clientes CBOT'!B:E,4,0),B645)</f>
        <v>AGROPECUARIA LA CELINA SA</v>
      </c>
      <c r="H645" t="str">
        <f t="shared" ref="H645:H708" si="30">IF(E645="pesos","Ars",IF(E645="Dólar Matba Rofex","usd linked",IF(F645=" U$S TT","Hard","Dólar")))</f>
        <v>Dólar</v>
      </c>
      <c r="I645" s="6">
        <f t="shared" ref="I645:I708" si="31">IF(H645="ars",C645/$J$1,IF(H645="Hard",C645*$J$2/$J$1,C645))</f>
        <v>0</v>
      </c>
      <c r="J645">
        <f t="shared" ref="J645:J708" si="32">IF(H645="ars",D645/$J$1,IF(H645="hard",D645*$J$2/$J$1,D645))</f>
        <v>0</v>
      </c>
    </row>
    <row r="646" spans="1:10" hidden="1" x14ac:dyDescent="0.3">
      <c r="A646">
        <v>533</v>
      </c>
      <c r="B646" t="str">
        <v>BELAUSTEGUI RICARDO CRISTIAN</v>
      </c>
      <c r="C646" s="6">
        <v>123.48</v>
      </c>
      <c r="D646" s="6">
        <v>0</v>
      </c>
      <c r="E646" t="str">
        <v xml:space="preserve">Dólar </v>
      </c>
      <c r="F646" t="str">
        <v xml:space="preserve"> U$S</v>
      </c>
      <c r="G646" t="str">
        <f>IFERROR(VLOOKUP(A646,'Clientes CBOT'!B:E,4,0),B646)</f>
        <v>BELAUSTEGUI RICARDO CRISTIAN</v>
      </c>
      <c r="H646" t="str">
        <f t="shared" si="30"/>
        <v>Dólar</v>
      </c>
      <c r="I646" s="6">
        <f t="shared" si="31"/>
        <v>123.48</v>
      </c>
      <c r="J646">
        <f t="shared" si="32"/>
        <v>0</v>
      </c>
    </row>
    <row r="647" spans="1:10" hidden="1" x14ac:dyDescent="0.3">
      <c r="A647">
        <v>7</v>
      </c>
      <c r="B647" t="str">
        <v>AYERZA ALEJANDRO</v>
      </c>
      <c r="C647" s="6">
        <v>0</v>
      </c>
      <c r="D647" s="6">
        <v>0</v>
      </c>
      <c r="E647" t="str">
        <v xml:space="preserve">Dólar </v>
      </c>
      <c r="F647" t="str">
        <v xml:space="preserve"> U$S</v>
      </c>
      <c r="G647" t="str">
        <f>IFERROR(VLOOKUP(A647,'Clientes CBOT'!B:E,4,0),B647)</f>
        <v>AYERZA ALEJANDRO</v>
      </c>
      <c r="H647" t="str">
        <f t="shared" si="30"/>
        <v>Dólar</v>
      </c>
      <c r="I647" s="6">
        <f t="shared" si="31"/>
        <v>0</v>
      </c>
      <c r="J647">
        <f t="shared" si="32"/>
        <v>0</v>
      </c>
    </row>
    <row r="648" spans="1:10" hidden="1" x14ac:dyDescent="0.3">
      <c r="A648">
        <v>4</v>
      </c>
      <c r="B648" t="str">
        <v>FUTUROS Y OPCIONES.COM SA</v>
      </c>
      <c r="C648" s="6">
        <v>0</v>
      </c>
      <c r="D648" s="6">
        <v>0</v>
      </c>
      <c r="E648" t="str">
        <v xml:space="preserve">Dólar </v>
      </c>
      <c r="F648" t="str">
        <v xml:space="preserve"> U$S</v>
      </c>
      <c r="G648" t="str">
        <f>IFERROR(VLOOKUP(A648,'Clientes CBOT'!B:E,4,0),B648)</f>
        <v>FUTUROS Y OPCIONES.COM SA</v>
      </c>
      <c r="H648" t="str">
        <f t="shared" si="30"/>
        <v>Dólar</v>
      </c>
      <c r="I648" s="6">
        <f t="shared" si="31"/>
        <v>0</v>
      </c>
      <c r="J648">
        <f t="shared" si="32"/>
        <v>0</v>
      </c>
    </row>
    <row r="649" spans="1:10" hidden="1" x14ac:dyDescent="0.3">
      <c r="A649">
        <v>5</v>
      </c>
      <c r="B649" t="str">
        <v>FYO ACOPIO S.A.</v>
      </c>
      <c r="C649" s="6">
        <v>0.01</v>
      </c>
      <c r="D649" s="6">
        <v>0</v>
      </c>
      <c r="E649" t="str">
        <v xml:space="preserve">Dólar </v>
      </c>
      <c r="F649" t="str">
        <v xml:space="preserve"> U$S</v>
      </c>
      <c r="G649">
        <f>IFERROR(VLOOKUP(A649,'Clientes CBOT'!B:E,4,0),B649)</f>
        <v>20176</v>
      </c>
      <c r="H649" t="str">
        <f t="shared" si="30"/>
        <v>Dólar</v>
      </c>
      <c r="I649" s="6">
        <f t="shared" si="31"/>
        <v>0.01</v>
      </c>
      <c r="J649">
        <f t="shared" si="32"/>
        <v>0</v>
      </c>
    </row>
    <row r="650" spans="1:10" hidden="1" x14ac:dyDescent="0.3">
      <c r="A650">
        <v>5203</v>
      </c>
      <c r="B650" t="str">
        <v>INVERTIR EN BOLSA SA</v>
      </c>
      <c r="C650" s="6">
        <v>0</v>
      </c>
      <c r="D650" s="6">
        <v>0</v>
      </c>
      <c r="E650" t="str">
        <v xml:space="preserve">Dólar </v>
      </c>
      <c r="F650" t="str">
        <v xml:space="preserve"> U$S</v>
      </c>
      <c r="G650" t="str">
        <f>IFERROR(VLOOKUP(A650,'Clientes CBOT'!B:E,4,0),B650)</f>
        <v>INVERTIR EN BOLSA SA</v>
      </c>
      <c r="H650" t="str">
        <f t="shared" si="30"/>
        <v>Dólar</v>
      </c>
      <c r="I650" s="6">
        <f t="shared" si="31"/>
        <v>0</v>
      </c>
      <c r="J650">
        <f t="shared" si="32"/>
        <v>0</v>
      </c>
    </row>
    <row r="651" spans="1:10" hidden="1" x14ac:dyDescent="0.3">
      <c r="A651">
        <v>5240</v>
      </c>
      <c r="B651" t="str">
        <v>STONEX SECURITIES SA</v>
      </c>
      <c r="C651" s="6">
        <v>0</v>
      </c>
      <c r="D651" s="6">
        <v>0</v>
      </c>
      <c r="E651" t="str">
        <v xml:space="preserve">Dólar </v>
      </c>
      <c r="F651" t="str">
        <v xml:space="preserve"> U$S</v>
      </c>
      <c r="G651" t="str">
        <f>IFERROR(VLOOKUP(A651,'Clientes CBOT'!B:E,4,0),B651)</f>
        <v>STONEX SECURITIES SA</v>
      </c>
      <c r="H651" t="str">
        <f t="shared" si="30"/>
        <v>Dólar</v>
      </c>
      <c r="I651" s="6">
        <f t="shared" si="31"/>
        <v>0</v>
      </c>
      <c r="J651">
        <f t="shared" si="32"/>
        <v>0</v>
      </c>
    </row>
    <row r="652" spans="1:10" hidden="1" x14ac:dyDescent="0.3">
      <c r="A652">
        <v>485</v>
      </c>
      <c r="B652" t="str">
        <v>MURATURE YARI</v>
      </c>
      <c r="C652" s="6">
        <v>0</v>
      </c>
      <c r="D652" s="6">
        <v>0</v>
      </c>
      <c r="E652" t="str">
        <v xml:space="preserve">Dólar </v>
      </c>
      <c r="F652" t="str">
        <v xml:space="preserve"> U$S</v>
      </c>
      <c r="G652" t="str">
        <f>IFERROR(VLOOKUP(A652,'Clientes CBOT'!B:E,4,0),B652)</f>
        <v>MURATURE YARI</v>
      </c>
      <c r="H652" t="str">
        <f t="shared" si="30"/>
        <v>Dólar</v>
      </c>
      <c r="I652" s="6">
        <f t="shared" si="31"/>
        <v>0</v>
      </c>
      <c r="J652">
        <f t="shared" si="32"/>
        <v>0</v>
      </c>
    </row>
    <row r="653" spans="1:10" hidden="1" x14ac:dyDescent="0.3">
      <c r="A653">
        <v>482</v>
      </c>
      <c r="B653" t="str">
        <v>OVALLE MARIA BEATRIZ</v>
      </c>
      <c r="C653" s="6">
        <v>0</v>
      </c>
      <c r="D653" s="6">
        <v>0</v>
      </c>
      <c r="E653" t="str">
        <v xml:space="preserve">Dólar </v>
      </c>
      <c r="F653" t="str">
        <v xml:space="preserve"> U$S</v>
      </c>
      <c r="G653" t="str">
        <f>IFERROR(VLOOKUP(A653,'Clientes CBOT'!B:E,4,0),B653)</f>
        <v>OVALLE MARIA BEATRIZ</v>
      </c>
      <c r="H653" t="str">
        <f t="shared" si="30"/>
        <v>Dólar</v>
      </c>
      <c r="I653" s="6">
        <f t="shared" si="31"/>
        <v>0</v>
      </c>
      <c r="J653">
        <f t="shared" si="32"/>
        <v>0</v>
      </c>
    </row>
    <row r="654" spans="1:10" hidden="1" x14ac:dyDescent="0.3">
      <c r="A654">
        <v>5106</v>
      </c>
      <c r="B654" t="str">
        <v>GMC VALORES SA</v>
      </c>
      <c r="C654" s="6">
        <v>0</v>
      </c>
      <c r="D654" s="6">
        <v>0</v>
      </c>
      <c r="E654" t="str">
        <v xml:space="preserve">Dólar </v>
      </c>
      <c r="F654" t="str">
        <v xml:space="preserve"> U$S</v>
      </c>
      <c r="G654" t="str">
        <f>IFERROR(VLOOKUP(A654,'Clientes CBOT'!B:E,4,0),B654)</f>
        <v>GMC VALORES SA</v>
      </c>
      <c r="H654" t="str">
        <f t="shared" si="30"/>
        <v>Dólar</v>
      </c>
      <c r="I654" s="6">
        <f t="shared" si="31"/>
        <v>0</v>
      </c>
      <c r="J654">
        <f t="shared" si="32"/>
        <v>0</v>
      </c>
    </row>
    <row r="655" spans="1:10" hidden="1" x14ac:dyDescent="0.3">
      <c r="A655">
        <v>457</v>
      </c>
      <c r="B655" t="str">
        <v>BELOTTINI GUILLERMO LUIS</v>
      </c>
      <c r="C655" s="6">
        <v>47.2</v>
      </c>
      <c r="D655" s="6">
        <v>0</v>
      </c>
      <c r="E655" t="str">
        <v xml:space="preserve">Dólar </v>
      </c>
      <c r="F655" t="str">
        <v xml:space="preserve"> U$S</v>
      </c>
      <c r="G655" t="str">
        <f>IFERROR(VLOOKUP(A655,'Clientes CBOT'!B:E,4,0),B655)</f>
        <v>BELOTTINI GUILLERMO LUIS</v>
      </c>
      <c r="H655" t="str">
        <f t="shared" si="30"/>
        <v>Dólar</v>
      </c>
      <c r="I655" s="6">
        <f t="shared" si="31"/>
        <v>47.2</v>
      </c>
      <c r="J655">
        <f t="shared" si="32"/>
        <v>0</v>
      </c>
    </row>
    <row r="656" spans="1:10" hidden="1" x14ac:dyDescent="0.3">
      <c r="A656">
        <v>5038</v>
      </c>
      <c r="B656" t="str">
        <v>Capital Markets Argentina SA</v>
      </c>
      <c r="C656" s="6">
        <v>0</v>
      </c>
      <c r="D656" s="6">
        <v>0</v>
      </c>
      <c r="E656" t="str">
        <v xml:space="preserve">Dólar </v>
      </c>
      <c r="F656" t="str">
        <v xml:space="preserve"> U$S</v>
      </c>
      <c r="G656" t="str">
        <f>IFERROR(VLOOKUP(A656,'Clientes CBOT'!B:E,4,0),B656)</f>
        <v>Capital Markets Argentina SA</v>
      </c>
      <c r="H656" t="str">
        <f t="shared" si="30"/>
        <v>Dólar</v>
      </c>
      <c r="I656" s="6">
        <f t="shared" si="31"/>
        <v>0</v>
      </c>
      <c r="J656">
        <f t="shared" si="32"/>
        <v>0</v>
      </c>
    </row>
    <row r="657" spans="1:10" hidden="1" x14ac:dyDescent="0.3">
      <c r="A657">
        <v>426</v>
      </c>
      <c r="B657" t="str">
        <v>COTELLA JUAN CARLOS</v>
      </c>
      <c r="C657" s="6">
        <v>50.45</v>
      </c>
      <c r="D657" s="6">
        <v>0</v>
      </c>
      <c r="E657" t="str">
        <v xml:space="preserve">Dólar </v>
      </c>
      <c r="F657" t="str">
        <v xml:space="preserve"> U$S</v>
      </c>
      <c r="G657" t="str">
        <f>IFERROR(VLOOKUP(A657,'Clientes CBOT'!B:E,4,0),B657)</f>
        <v>COTELLA JUAN CARLOS</v>
      </c>
      <c r="H657" t="str">
        <f t="shared" si="30"/>
        <v>Dólar</v>
      </c>
      <c r="I657" s="6">
        <f t="shared" si="31"/>
        <v>50.45</v>
      </c>
      <c r="J657">
        <f t="shared" si="32"/>
        <v>0</v>
      </c>
    </row>
    <row r="658" spans="1:10" hidden="1" x14ac:dyDescent="0.3">
      <c r="A658">
        <v>1012</v>
      </c>
      <c r="B658" t="str">
        <v>BANCO INDUSTRIAL SA IAM RENTA BALANCEADA</v>
      </c>
      <c r="C658" s="6">
        <v>0</v>
      </c>
      <c r="D658" s="6">
        <v>0</v>
      </c>
      <c r="E658" t="str">
        <v xml:space="preserve">Dólar </v>
      </c>
      <c r="F658" t="str">
        <v xml:space="preserve"> U$S</v>
      </c>
      <c r="G658" t="str">
        <f>IFERROR(VLOOKUP(A658,'Clientes CBOT'!B:E,4,0),B658)</f>
        <v>BANCO INDUSTRIAL SA IAM RENTA BALANCEADA</v>
      </c>
      <c r="H658" t="str">
        <f t="shared" si="30"/>
        <v>Dólar</v>
      </c>
      <c r="I658" s="6">
        <f t="shared" si="31"/>
        <v>0</v>
      </c>
      <c r="J658">
        <f t="shared" si="32"/>
        <v>0</v>
      </c>
    </row>
    <row r="659" spans="1:10" hidden="1" x14ac:dyDescent="0.3">
      <c r="A659">
        <v>431</v>
      </c>
      <c r="B659" t="str">
        <v>IMOLA ABEL ELILIO ANTONIO</v>
      </c>
      <c r="C659" s="6">
        <v>0</v>
      </c>
      <c r="D659" s="6">
        <v>0</v>
      </c>
      <c r="E659" t="str">
        <v xml:space="preserve">Dólar </v>
      </c>
      <c r="F659" t="str">
        <v xml:space="preserve"> U$S</v>
      </c>
      <c r="G659" t="str">
        <f>IFERROR(VLOOKUP(A659,'Clientes CBOT'!B:E,4,0),B659)</f>
        <v>IMOLA ABEL ELILIO ANTONIO</v>
      </c>
      <c r="H659" t="str">
        <f t="shared" si="30"/>
        <v>Dólar</v>
      </c>
      <c r="I659" s="6">
        <f t="shared" si="31"/>
        <v>0</v>
      </c>
      <c r="J659">
        <f t="shared" si="32"/>
        <v>0</v>
      </c>
    </row>
    <row r="660" spans="1:10" hidden="1" x14ac:dyDescent="0.3">
      <c r="A660">
        <v>422</v>
      </c>
      <c r="B660" t="str">
        <v>BERNARD BLANCA BEATRIZ</v>
      </c>
      <c r="C660" s="6">
        <v>344.57</v>
      </c>
      <c r="D660" s="6">
        <v>0</v>
      </c>
      <c r="E660" t="str">
        <v xml:space="preserve">Dólar </v>
      </c>
      <c r="F660" t="str">
        <v xml:space="preserve"> U$S</v>
      </c>
      <c r="G660" t="str">
        <f>IFERROR(VLOOKUP(A660,'Clientes CBOT'!B:E,4,0),B660)</f>
        <v>BERNARD BLANCA BEATRIZ</v>
      </c>
      <c r="H660" t="str">
        <f t="shared" si="30"/>
        <v>Dólar</v>
      </c>
      <c r="I660" s="6">
        <f t="shared" si="31"/>
        <v>344.57</v>
      </c>
      <c r="J660">
        <f t="shared" si="32"/>
        <v>0</v>
      </c>
    </row>
    <row r="661" spans="1:10" hidden="1" x14ac:dyDescent="0.3">
      <c r="A661">
        <v>421</v>
      </c>
      <c r="B661" t="str">
        <v>Agro Ganadera Vicen SRL</v>
      </c>
      <c r="C661" s="6">
        <v>33.75</v>
      </c>
      <c r="D661" s="6">
        <v>0</v>
      </c>
      <c r="E661" t="str">
        <v xml:space="preserve">Dólar </v>
      </c>
      <c r="F661" t="str">
        <v xml:space="preserve"> U$S</v>
      </c>
      <c r="G661" t="str">
        <f>IFERROR(VLOOKUP(A661,'Clientes CBOT'!B:E,4,0),B661)</f>
        <v>Agro Ganadera Vicen SRL</v>
      </c>
      <c r="H661" t="str">
        <f t="shared" si="30"/>
        <v>Dólar</v>
      </c>
      <c r="I661" s="6">
        <f t="shared" si="31"/>
        <v>33.75</v>
      </c>
      <c r="J661">
        <f t="shared" si="32"/>
        <v>0</v>
      </c>
    </row>
    <row r="662" spans="1:10" hidden="1" x14ac:dyDescent="0.3">
      <c r="A662">
        <v>442</v>
      </c>
      <c r="B662" t="str">
        <v>MAIOCCO ALEJANDRO EZEQUIEL</v>
      </c>
      <c r="C662" s="6">
        <v>0</v>
      </c>
      <c r="D662" s="6">
        <v>0</v>
      </c>
      <c r="E662" t="str">
        <v xml:space="preserve">Dólar </v>
      </c>
      <c r="F662" t="str">
        <v xml:space="preserve"> U$S</v>
      </c>
      <c r="G662" t="str">
        <f>IFERROR(VLOOKUP(A662,'Clientes CBOT'!B:E,4,0),B662)</f>
        <v>MAIOCCO ALEJANDRO EZEQUIEL</v>
      </c>
      <c r="H662" t="str">
        <f t="shared" si="30"/>
        <v>Dólar</v>
      </c>
      <c r="I662" s="6">
        <f t="shared" si="31"/>
        <v>0</v>
      </c>
      <c r="J662">
        <f t="shared" si="32"/>
        <v>0</v>
      </c>
    </row>
    <row r="663" spans="1:10" hidden="1" x14ac:dyDescent="0.3">
      <c r="A663">
        <v>433</v>
      </c>
      <c r="B663" t="str">
        <v>SOBRERO JUAN MIGUEL</v>
      </c>
      <c r="C663" s="6">
        <v>-1744393.64</v>
      </c>
      <c r="D663" s="6">
        <v>0</v>
      </c>
      <c r="E663" t="str">
        <v xml:space="preserve">Dólar </v>
      </c>
      <c r="F663" t="str">
        <v xml:space="preserve"> U$S</v>
      </c>
      <c r="G663" t="str">
        <f>IFERROR(VLOOKUP(A663,'Clientes CBOT'!B:E,4,0),B663)</f>
        <v>SOBRERO JUAN MIGUEL</v>
      </c>
      <c r="H663" t="str">
        <f t="shared" si="30"/>
        <v>Dólar</v>
      </c>
      <c r="I663" s="6">
        <f t="shared" si="31"/>
        <v>-1744393.64</v>
      </c>
      <c r="J663">
        <f t="shared" si="32"/>
        <v>0</v>
      </c>
    </row>
    <row r="664" spans="1:10" hidden="1" x14ac:dyDescent="0.3">
      <c r="A664">
        <v>445</v>
      </c>
      <c r="B664" t="str">
        <v>MACCAGNO NICOLAS</v>
      </c>
      <c r="C664" s="6">
        <v>0</v>
      </c>
      <c r="D664" s="6">
        <v>0</v>
      </c>
      <c r="E664" t="str">
        <v xml:space="preserve">Dólar </v>
      </c>
      <c r="F664" t="str">
        <v xml:space="preserve"> U$S</v>
      </c>
      <c r="G664" t="str">
        <f>IFERROR(VLOOKUP(A664,'Clientes CBOT'!B:E,4,0),B664)</f>
        <v>MACCAGNO NICOLAS</v>
      </c>
      <c r="H664" t="str">
        <f t="shared" si="30"/>
        <v>Dólar</v>
      </c>
      <c r="I664" s="6">
        <f t="shared" si="31"/>
        <v>0</v>
      </c>
      <c r="J664">
        <f t="shared" si="32"/>
        <v>0</v>
      </c>
    </row>
    <row r="665" spans="1:10" x14ac:dyDescent="0.3">
      <c r="A665">
        <v>447</v>
      </c>
      <c r="B665" t="str">
        <v>MACCAGNO AGUSTIN DANIEL</v>
      </c>
      <c r="C665" s="6">
        <v>0</v>
      </c>
      <c r="D665" s="6">
        <v>0</v>
      </c>
      <c r="E665" t="str">
        <v xml:space="preserve">Dólar </v>
      </c>
      <c r="F665" t="str">
        <v xml:space="preserve"> U$S</v>
      </c>
      <c r="G665" t="str">
        <f>IFERROR(VLOOKUP(A665,'Clientes CBOT'!B:E,4,0),B665)</f>
        <v>MACCAGNO AGUSTIN DANIEL</v>
      </c>
      <c r="H665" t="str">
        <f t="shared" si="30"/>
        <v>Dólar</v>
      </c>
      <c r="I665" s="6">
        <f t="shared" si="31"/>
        <v>0</v>
      </c>
      <c r="J665">
        <f t="shared" si="32"/>
        <v>0</v>
      </c>
    </row>
    <row r="666" spans="1:10" x14ac:dyDescent="0.3">
      <c r="A666">
        <v>371</v>
      </c>
      <c r="B666" t="str">
        <v>SANTIAGO HUMBERTO HUGO</v>
      </c>
      <c r="C666" s="6">
        <v>0</v>
      </c>
      <c r="D666" s="6">
        <v>0</v>
      </c>
      <c r="E666" t="str">
        <v xml:space="preserve">Dólar </v>
      </c>
      <c r="F666" t="str">
        <v xml:space="preserve"> U$S</v>
      </c>
      <c r="G666" t="str">
        <f>IFERROR(VLOOKUP(A666,'Clientes CBOT'!B:E,4,0),B666)</f>
        <v>SANTIAGO HUMBERTO HUGO</v>
      </c>
      <c r="H666" t="str">
        <f t="shared" si="30"/>
        <v>Dólar</v>
      </c>
      <c r="I666" s="6">
        <f t="shared" si="31"/>
        <v>0</v>
      </c>
      <c r="J666">
        <f t="shared" si="32"/>
        <v>0</v>
      </c>
    </row>
    <row r="667" spans="1:10" x14ac:dyDescent="0.3">
      <c r="A667">
        <v>408</v>
      </c>
      <c r="B667" t="str">
        <v>FALABELLA JUAN GUILLERMO</v>
      </c>
      <c r="C667" s="6">
        <v>0.44</v>
      </c>
      <c r="D667" s="6">
        <v>0</v>
      </c>
      <c r="E667" t="str">
        <v xml:space="preserve">Dólar </v>
      </c>
      <c r="F667" t="str">
        <v xml:space="preserve"> U$S</v>
      </c>
      <c r="G667" t="str">
        <f>IFERROR(VLOOKUP(A667,'Clientes CBOT'!B:E,4,0),B667)</f>
        <v>FALABELLA JUAN GUILLERMO</v>
      </c>
      <c r="H667" t="str">
        <f t="shared" si="30"/>
        <v>Dólar</v>
      </c>
      <c r="I667" s="6">
        <f t="shared" si="31"/>
        <v>0.44</v>
      </c>
      <c r="J667">
        <f t="shared" si="32"/>
        <v>0</v>
      </c>
    </row>
    <row r="668" spans="1:10" x14ac:dyDescent="0.3">
      <c r="A668">
        <v>343</v>
      </c>
      <c r="B668" t="str">
        <v>SEDMAK PABLO MIGUEL</v>
      </c>
      <c r="C668" s="6">
        <v>-2.33</v>
      </c>
      <c r="D668" s="6">
        <v>0</v>
      </c>
      <c r="E668" t="str">
        <v xml:space="preserve">Dólar </v>
      </c>
      <c r="F668" t="str">
        <v xml:space="preserve"> U$S</v>
      </c>
      <c r="G668" t="str">
        <f>IFERROR(VLOOKUP(A668,'Clientes CBOT'!B:E,4,0),B668)</f>
        <v>SEDMAK PABLO MIGUEL</v>
      </c>
      <c r="H668" t="str">
        <f t="shared" si="30"/>
        <v>Dólar</v>
      </c>
      <c r="I668" s="6">
        <f t="shared" si="31"/>
        <v>-2.33</v>
      </c>
      <c r="J668">
        <f t="shared" si="32"/>
        <v>0</v>
      </c>
    </row>
    <row r="669" spans="1:10" x14ac:dyDescent="0.3">
      <c r="A669">
        <v>317</v>
      </c>
      <c r="B669" t="str">
        <v>BOIX JUAN ESTEBAN</v>
      </c>
      <c r="C669" s="6">
        <v>2.4</v>
      </c>
      <c r="D669" s="6">
        <v>0</v>
      </c>
      <c r="E669" t="str">
        <v xml:space="preserve">Dólar </v>
      </c>
      <c r="F669" t="str">
        <v xml:space="preserve"> U$S</v>
      </c>
      <c r="G669" t="str">
        <f>IFERROR(VLOOKUP(A669,'Clientes CBOT'!B:E,4,0),B669)</f>
        <v>BOIX JUAN ESTEBAN</v>
      </c>
      <c r="H669" t="str">
        <f t="shared" si="30"/>
        <v>Dólar</v>
      </c>
      <c r="I669" s="6">
        <f t="shared" si="31"/>
        <v>2.4</v>
      </c>
      <c r="J669">
        <f t="shared" si="32"/>
        <v>0</v>
      </c>
    </row>
    <row r="670" spans="1:10" x14ac:dyDescent="0.3">
      <c r="A670">
        <v>566</v>
      </c>
      <c r="B670" t="str">
        <v>FYOFOODS SAU</v>
      </c>
      <c r="C670" s="6">
        <v>0.39</v>
      </c>
      <c r="D670" s="6">
        <v>0</v>
      </c>
      <c r="E670" t="str">
        <v xml:space="preserve">Dólar </v>
      </c>
      <c r="F670" t="str">
        <v xml:space="preserve"> U$S</v>
      </c>
      <c r="G670" t="str">
        <f>IFERROR(VLOOKUP(A670,'Clientes CBOT'!B:E,4,0),B670)</f>
        <v>FYOFOODS SAU</v>
      </c>
      <c r="H670" t="str">
        <f t="shared" si="30"/>
        <v>Dólar</v>
      </c>
      <c r="I670" s="6">
        <f t="shared" si="31"/>
        <v>0.39</v>
      </c>
      <c r="J670">
        <f t="shared" si="32"/>
        <v>0</v>
      </c>
    </row>
    <row r="671" spans="1:10" x14ac:dyDescent="0.3">
      <c r="A671">
        <v>563</v>
      </c>
      <c r="B671" t="str">
        <v>SIECON SA</v>
      </c>
      <c r="C671" s="6">
        <v>0</v>
      </c>
      <c r="D671" s="6">
        <v>0</v>
      </c>
      <c r="E671" t="str">
        <v xml:space="preserve">Dólar </v>
      </c>
      <c r="F671" t="str">
        <v xml:space="preserve"> U$S</v>
      </c>
      <c r="G671" t="str">
        <f>IFERROR(VLOOKUP(A671,'Clientes CBOT'!B:E,4,0),B671)</f>
        <v>SIECON SA</v>
      </c>
      <c r="H671" t="str">
        <f t="shared" si="30"/>
        <v>Dólar</v>
      </c>
      <c r="I671" s="6">
        <f t="shared" si="31"/>
        <v>0</v>
      </c>
      <c r="J671">
        <f t="shared" si="32"/>
        <v>0</v>
      </c>
    </row>
    <row r="672" spans="1:10" x14ac:dyDescent="0.3">
      <c r="A672">
        <v>6002</v>
      </c>
      <c r="B672" t="str">
        <v>LATTUGA GISELLE JAQUELINA</v>
      </c>
      <c r="C672" s="6">
        <v>7.41</v>
      </c>
      <c r="D672" s="6">
        <v>0</v>
      </c>
      <c r="E672" t="str">
        <v xml:space="preserve">Dólar </v>
      </c>
      <c r="F672" t="str">
        <v xml:space="preserve"> U$S</v>
      </c>
      <c r="G672" t="str">
        <f>IFERROR(VLOOKUP(A672,'Clientes CBOT'!B:E,4,0),B672)</f>
        <v>LATTUGA GISELLE JAQUELINA</v>
      </c>
      <c r="H672" t="str">
        <f t="shared" si="30"/>
        <v>Dólar</v>
      </c>
      <c r="I672" s="6">
        <f t="shared" si="31"/>
        <v>7.41</v>
      </c>
      <c r="J672">
        <f t="shared" si="32"/>
        <v>0</v>
      </c>
    </row>
    <row r="673" spans="1:10" x14ac:dyDescent="0.3">
      <c r="A673">
        <v>6001</v>
      </c>
      <c r="B673" t="str">
        <v>NUÑEZ GIORGETTI MARIANO ENRIQUE</v>
      </c>
      <c r="C673" s="6">
        <v>7.5</v>
      </c>
      <c r="D673" s="6">
        <v>0</v>
      </c>
      <c r="E673" t="str">
        <v xml:space="preserve">Dólar </v>
      </c>
      <c r="F673" t="str">
        <v xml:space="preserve"> U$S</v>
      </c>
      <c r="G673" t="str">
        <f>IFERROR(VLOOKUP(A673,'Clientes CBOT'!B:E,4,0),B673)</f>
        <v>NUÑEZ GIORGETTI MARIANO ENRIQUE</v>
      </c>
      <c r="H673" t="str">
        <f t="shared" si="30"/>
        <v>Dólar</v>
      </c>
      <c r="I673" s="6">
        <f t="shared" si="31"/>
        <v>7.5</v>
      </c>
      <c r="J673">
        <f t="shared" si="32"/>
        <v>0</v>
      </c>
    </row>
    <row r="674" spans="1:10" x14ac:dyDescent="0.3">
      <c r="A674">
        <v>6005</v>
      </c>
      <c r="B674" t="str">
        <v>MURATURE DIEGO, SYLVESTRE BEGNIS CRISTINA</v>
      </c>
      <c r="C674" s="6">
        <v>0</v>
      </c>
      <c r="D674" s="6">
        <v>0</v>
      </c>
      <c r="E674" t="str">
        <v xml:space="preserve">Dólar </v>
      </c>
      <c r="F674" t="str">
        <v xml:space="preserve"> U$S</v>
      </c>
      <c r="G674" t="str">
        <f>IFERROR(VLOOKUP(A674,'Clientes CBOT'!B:E,4,0),B674)</f>
        <v>MURATURE DIEGO, SYLVESTRE BEGNIS CRISTINA</v>
      </c>
      <c r="H674" t="str">
        <f t="shared" si="30"/>
        <v>Dólar</v>
      </c>
      <c r="I674" s="6">
        <f t="shared" si="31"/>
        <v>0</v>
      </c>
      <c r="J674">
        <f t="shared" si="32"/>
        <v>0</v>
      </c>
    </row>
    <row r="675" spans="1:10" x14ac:dyDescent="0.3">
      <c r="A675">
        <v>572</v>
      </c>
      <c r="B675" t="str">
        <v>BERNARD RAUL PABLO (SCOUT)</v>
      </c>
      <c r="C675" s="6">
        <v>173.56</v>
      </c>
      <c r="D675" s="6">
        <v>0</v>
      </c>
      <c r="E675" t="str">
        <v xml:space="preserve">Dólar </v>
      </c>
      <c r="F675" t="str">
        <v xml:space="preserve"> U$S</v>
      </c>
      <c r="G675" t="str">
        <f>IFERROR(VLOOKUP(A675,'Clientes CBOT'!B:E,4,0),B675)</f>
        <v>BERNARD RAUL PABLO (SCOUT)</v>
      </c>
      <c r="H675" t="str">
        <f t="shared" si="30"/>
        <v>Dólar</v>
      </c>
      <c r="I675" s="6">
        <f t="shared" si="31"/>
        <v>173.56</v>
      </c>
      <c r="J675">
        <f t="shared" si="32"/>
        <v>0</v>
      </c>
    </row>
    <row r="676" spans="1:10" x14ac:dyDescent="0.3">
      <c r="A676">
        <v>6046</v>
      </c>
      <c r="B676" t="str">
        <v>ALFREDO S. MONDINO CEREALES SRL</v>
      </c>
      <c r="C676" s="6">
        <v>0</v>
      </c>
      <c r="D676" s="6">
        <v>0</v>
      </c>
      <c r="E676" t="str">
        <v xml:space="preserve">Dólar </v>
      </c>
      <c r="F676" t="str">
        <v xml:space="preserve"> U$S</v>
      </c>
      <c r="G676" t="str">
        <f>IFERROR(VLOOKUP(A676,'Clientes CBOT'!B:E,4,0),B676)</f>
        <v>ALFREDO S. MONDINO CEREALES SRL</v>
      </c>
      <c r="H676" t="str">
        <f t="shared" si="30"/>
        <v>Dólar</v>
      </c>
      <c r="I676" s="6">
        <f t="shared" si="31"/>
        <v>0</v>
      </c>
      <c r="J676">
        <f t="shared" si="32"/>
        <v>0</v>
      </c>
    </row>
    <row r="677" spans="1:10" x14ac:dyDescent="0.3">
      <c r="A677">
        <v>6041</v>
      </c>
      <c r="B677" t="str">
        <v>MUCHIUT VIVIANA MILENA, MUCHIUT CECILIA MARIA</v>
      </c>
      <c r="C677" s="6">
        <v>13913.86</v>
      </c>
      <c r="D677" s="6">
        <v>0</v>
      </c>
      <c r="E677" t="str">
        <v xml:space="preserve">Dólar </v>
      </c>
      <c r="F677" t="str">
        <v xml:space="preserve"> U$S</v>
      </c>
      <c r="G677" t="str">
        <f>IFERROR(VLOOKUP(A677,'Clientes CBOT'!B:E,4,0),B677)</f>
        <v>MUCHIUT VIVIANA MILENA, MUCHIUT CECILIA MARIA</v>
      </c>
      <c r="H677" t="str">
        <f t="shared" si="30"/>
        <v>Dólar</v>
      </c>
      <c r="I677" s="6">
        <f t="shared" si="31"/>
        <v>13913.86</v>
      </c>
      <c r="J677">
        <f t="shared" si="32"/>
        <v>0</v>
      </c>
    </row>
    <row r="678" spans="1:10" x14ac:dyDescent="0.3">
      <c r="A678">
        <v>236</v>
      </c>
      <c r="B678" t="str">
        <v>AGROPECUARIA CATRILO SA</v>
      </c>
      <c r="C678" s="6">
        <v>0.66</v>
      </c>
      <c r="D678" s="6">
        <v>-0.01</v>
      </c>
      <c r="E678" t="str">
        <v xml:space="preserve">Dólar </v>
      </c>
      <c r="F678" t="str">
        <v xml:space="preserve"> U$S</v>
      </c>
      <c r="G678">
        <f>IFERROR(VLOOKUP(A678,'Clientes CBOT'!B:E,4,0),B678)</f>
        <v>13002</v>
      </c>
      <c r="H678" t="str">
        <f t="shared" si="30"/>
        <v>Dólar</v>
      </c>
      <c r="I678" s="6">
        <f t="shared" si="31"/>
        <v>0.66</v>
      </c>
      <c r="J678">
        <f t="shared" si="32"/>
        <v>-0.01</v>
      </c>
    </row>
    <row r="679" spans="1:10" x14ac:dyDescent="0.3">
      <c r="A679">
        <v>236</v>
      </c>
      <c r="B679" t="str">
        <v>AGROPECUARIA CATRILO SA</v>
      </c>
      <c r="C679" s="6">
        <v>1699.94</v>
      </c>
      <c r="D679" s="6">
        <v>0</v>
      </c>
      <c r="E679" t="str">
        <v>Dólar Cable</v>
      </c>
      <c r="F679" t="str">
        <v xml:space="preserve"> U$S TT</v>
      </c>
      <c r="G679">
        <f>IFERROR(VLOOKUP(A679,'Clientes CBOT'!B:E,4,0),B679)</f>
        <v>13002</v>
      </c>
      <c r="H679" t="str">
        <f t="shared" si="30"/>
        <v>Hard</v>
      </c>
      <c r="I679" s="6">
        <f t="shared" si="31"/>
        <v>1699.94</v>
      </c>
      <c r="J679">
        <f t="shared" si="32"/>
        <v>0</v>
      </c>
    </row>
    <row r="680" spans="1:10" x14ac:dyDescent="0.3">
      <c r="A680">
        <v>6077</v>
      </c>
      <c r="B680" t="str">
        <v>ADMINISTRACION AGRICOLA S. A.</v>
      </c>
      <c r="C680" s="6">
        <v>-33211</v>
      </c>
      <c r="D680" s="6">
        <v>0</v>
      </c>
      <c r="E680" t="str">
        <v>Dólar Cable</v>
      </c>
      <c r="F680" t="str">
        <v xml:space="preserve"> U$S TT</v>
      </c>
      <c r="G680" t="str">
        <f>IFERROR(VLOOKUP(A680,'Clientes CBOT'!B:E,4,0),B680)</f>
        <v>ADMINISTRACION AGRICOLA S. A.</v>
      </c>
      <c r="H680" t="str">
        <f t="shared" si="30"/>
        <v>Hard</v>
      </c>
      <c r="I680" s="6">
        <f t="shared" si="31"/>
        <v>-33211</v>
      </c>
      <c r="J680">
        <f t="shared" si="32"/>
        <v>0</v>
      </c>
    </row>
    <row r="681" spans="1:10" x14ac:dyDescent="0.3">
      <c r="A681">
        <v>401</v>
      </c>
      <c r="B681" t="str">
        <v>CASANOVA RICARDO</v>
      </c>
      <c r="C681" s="6">
        <v>0</v>
      </c>
      <c r="D681" s="6">
        <v>0</v>
      </c>
      <c r="E681" t="str">
        <v>Dólar Cable</v>
      </c>
      <c r="F681" t="str">
        <v xml:space="preserve"> U$S TT</v>
      </c>
      <c r="G681" t="str">
        <f>IFERROR(VLOOKUP(A681,'Clientes CBOT'!B:E,4,0),B681)</f>
        <v>CASANOVA RICARDO</v>
      </c>
      <c r="H681" t="str">
        <f t="shared" si="30"/>
        <v>Hard</v>
      </c>
      <c r="I681" s="6">
        <f t="shared" si="31"/>
        <v>0</v>
      </c>
      <c r="J681">
        <f t="shared" si="32"/>
        <v>0</v>
      </c>
    </row>
    <row r="682" spans="1:10" x14ac:dyDescent="0.3">
      <c r="A682">
        <v>433</v>
      </c>
      <c r="B682" t="str">
        <v>SOBRERO JUAN MIGUEL</v>
      </c>
      <c r="C682" s="6">
        <v>274.08</v>
      </c>
      <c r="D682" s="6">
        <v>0</v>
      </c>
      <c r="E682" t="str">
        <v>Dólar Cable</v>
      </c>
      <c r="F682" t="str">
        <v xml:space="preserve"> U$S TT</v>
      </c>
      <c r="G682" t="str">
        <f>IFERROR(VLOOKUP(A682,'Clientes CBOT'!B:E,4,0),B682)</f>
        <v>SOBRERO JUAN MIGUEL</v>
      </c>
      <c r="H682" t="str">
        <f t="shared" si="30"/>
        <v>Hard</v>
      </c>
      <c r="I682" s="6">
        <f t="shared" si="31"/>
        <v>274.08</v>
      </c>
      <c r="J682">
        <f t="shared" si="32"/>
        <v>0</v>
      </c>
    </row>
    <row r="683" spans="1:10" x14ac:dyDescent="0.3">
      <c r="A683">
        <v>422</v>
      </c>
      <c r="B683" t="str">
        <v>BERNARD BLANCA BEATRIZ</v>
      </c>
      <c r="C683" s="6">
        <v>0.5</v>
      </c>
      <c r="D683" s="6">
        <v>0</v>
      </c>
      <c r="E683" t="str">
        <v>Dólar Cable</v>
      </c>
      <c r="F683" t="str">
        <v xml:space="preserve"> U$S TT</v>
      </c>
      <c r="G683" t="str">
        <f>IFERROR(VLOOKUP(A683,'Clientes CBOT'!B:E,4,0),B683)</f>
        <v>BERNARD BLANCA BEATRIZ</v>
      </c>
      <c r="H683" t="str">
        <f t="shared" si="30"/>
        <v>Hard</v>
      </c>
      <c r="I683" s="6">
        <f t="shared" si="31"/>
        <v>0.5</v>
      </c>
      <c r="J683">
        <f t="shared" si="32"/>
        <v>0</v>
      </c>
    </row>
    <row r="684" spans="1:10" x14ac:dyDescent="0.3">
      <c r="A684">
        <v>5106</v>
      </c>
      <c r="B684" t="str">
        <v>GMC VALORES SA</v>
      </c>
      <c r="C684" s="6">
        <v>0</v>
      </c>
      <c r="D684" s="6">
        <v>0</v>
      </c>
      <c r="E684" t="str">
        <v>Dólar Cable</v>
      </c>
      <c r="F684" t="str">
        <v xml:space="preserve"> U$S TT</v>
      </c>
      <c r="G684" t="str">
        <f>IFERROR(VLOOKUP(A684,'Clientes CBOT'!B:E,4,0),B684)</f>
        <v>GMC VALORES SA</v>
      </c>
      <c r="H684" t="str">
        <f t="shared" si="30"/>
        <v>Hard</v>
      </c>
      <c r="I684" s="6">
        <f t="shared" si="31"/>
        <v>0</v>
      </c>
      <c r="J684">
        <f t="shared" si="32"/>
        <v>0</v>
      </c>
    </row>
    <row r="685" spans="1:10" x14ac:dyDescent="0.3">
      <c r="A685">
        <v>482</v>
      </c>
      <c r="B685" t="str">
        <v>OVALLE MARIA BEATRIZ</v>
      </c>
      <c r="C685" s="6">
        <v>0</v>
      </c>
      <c r="D685" s="6">
        <v>0</v>
      </c>
      <c r="E685" t="str">
        <v>Dólar Cable</v>
      </c>
      <c r="F685" t="str">
        <v xml:space="preserve"> U$S TT</v>
      </c>
      <c r="G685" t="str">
        <f>IFERROR(VLOOKUP(A685,'Clientes CBOT'!B:E,4,0),B685)</f>
        <v>OVALLE MARIA BEATRIZ</v>
      </c>
      <c r="H685" t="str">
        <f t="shared" si="30"/>
        <v>Hard</v>
      </c>
      <c r="I685" s="6">
        <f t="shared" si="31"/>
        <v>0</v>
      </c>
      <c r="J685">
        <f t="shared" si="32"/>
        <v>0</v>
      </c>
    </row>
    <row r="686" spans="1:10" hidden="1" x14ac:dyDescent="0.3">
      <c r="A686">
        <v>485</v>
      </c>
      <c r="B686" t="str">
        <v>MURATURE YARI</v>
      </c>
      <c r="C686" s="6">
        <v>-0.22</v>
      </c>
      <c r="D686" s="6">
        <v>0</v>
      </c>
      <c r="E686" t="str">
        <v>Dólar Cable</v>
      </c>
      <c r="F686" t="str">
        <v xml:space="preserve"> U$S TT</v>
      </c>
      <c r="G686" t="str">
        <f>IFERROR(VLOOKUP(A686,'Clientes CBOT'!B:E,4,0),B686)</f>
        <v>MURATURE YARI</v>
      </c>
      <c r="H686" t="str">
        <f t="shared" si="30"/>
        <v>Hard</v>
      </c>
      <c r="I686" s="6">
        <f t="shared" si="31"/>
        <v>-0.22</v>
      </c>
      <c r="J686">
        <f t="shared" si="32"/>
        <v>0</v>
      </c>
    </row>
    <row r="687" spans="1:10" hidden="1" x14ac:dyDescent="0.3">
      <c r="A687">
        <v>5240</v>
      </c>
      <c r="B687" t="str">
        <v>STONEX SECURITIES SA</v>
      </c>
      <c r="C687" s="6">
        <v>0</v>
      </c>
      <c r="D687" s="6">
        <v>0</v>
      </c>
      <c r="E687" t="str">
        <v>Dólar Cable</v>
      </c>
      <c r="F687" t="str">
        <v xml:space="preserve"> U$S TT</v>
      </c>
      <c r="G687" t="str">
        <f>IFERROR(VLOOKUP(A687,'Clientes CBOT'!B:E,4,0),B687)</f>
        <v>STONEX SECURITIES SA</v>
      </c>
      <c r="H687" t="str">
        <f t="shared" si="30"/>
        <v>Hard</v>
      </c>
      <c r="I687" s="6">
        <f t="shared" si="31"/>
        <v>0</v>
      </c>
      <c r="J687">
        <f t="shared" si="32"/>
        <v>0</v>
      </c>
    </row>
    <row r="688" spans="1:10" hidden="1" x14ac:dyDescent="0.3">
      <c r="A688">
        <v>5118</v>
      </c>
      <c r="B688" t="str">
        <v>WIN SECURITIES SA</v>
      </c>
      <c r="C688" s="6">
        <v>0</v>
      </c>
      <c r="D688" s="6">
        <v>0</v>
      </c>
      <c r="E688" t="str">
        <v>Dólar Cable</v>
      </c>
      <c r="F688" t="str">
        <v xml:space="preserve"> U$S TT</v>
      </c>
      <c r="G688" t="str">
        <f>IFERROR(VLOOKUP(A688,'Clientes CBOT'!B:E,4,0),B688)</f>
        <v>WIN SECURITIES SA</v>
      </c>
      <c r="H688" t="str">
        <f t="shared" si="30"/>
        <v>Hard</v>
      </c>
      <c r="I688" s="6">
        <f t="shared" si="31"/>
        <v>0</v>
      </c>
      <c r="J688">
        <f t="shared" si="32"/>
        <v>0</v>
      </c>
    </row>
    <row r="689" spans="1:10" hidden="1" x14ac:dyDescent="0.3">
      <c r="A689">
        <v>5203</v>
      </c>
      <c r="B689" t="str">
        <v>INVERTIR EN BOLSA SA</v>
      </c>
      <c r="C689" s="6">
        <v>0</v>
      </c>
      <c r="D689" s="6">
        <v>0</v>
      </c>
      <c r="E689" t="str">
        <v>Dólar Cable</v>
      </c>
      <c r="F689" t="str">
        <v xml:space="preserve"> U$S TT</v>
      </c>
      <c r="G689" t="str">
        <f>IFERROR(VLOOKUP(A689,'Clientes CBOT'!B:E,4,0),B689)</f>
        <v>INVERTIR EN BOLSA SA</v>
      </c>
      <c r="H689" t="str">
        <f t="shared" si="30"/>
        <v>Hard</v>
      </c>
      <c r="I689" s="6">
        <f t="shared" si="31"/>
        <v>0</v>
      </c>
      <c r="J689">
        <f t="shared" si="32"/>
        <v>0</v>
      </c>
    </row>
    <row r="690" spans="1:10" hidden="1" x14ac:dyDescent="0.3">
      <c r="A690">
        <v>5</v>
      </c>
      <c r="B690" t="str">
        <v>FYO ACOPIO S.A.</v>
      </c>
      <c r="C690" s="6">
        <v>160003.04</v>
      </c>
      <c r="D690" s="6">
        <v>0</v>
      </c>
      <c r="E690" t="str">
        <v>Dólar Cable</v>
      </c>
      <c r="F690" t="str">
        <v xml:space="preserve"> U$S TT</v>
      </c>
      <c r="G690">
        <f>IFERROR(VLOOKUP(A690,'Clientes CBOT'!B:E,4,0),B690)</f>
        <v>20176</v>
      </c>
      <c r="H690" t="str">
        <f t="shared" si="30"/>
        <v>Hard</v>
      </c>
      <c r="I690" s="6">
        <f t="shared" si="31"/>
        <v>160003.04</v>
      </c>
      <c r="J690">
        <f t="shared" si="32"/>
        <v>0</v>
      </c>
    </row>
    <row r="691" spans="1:10" hidden="1" x14ac:dyDescent="0.3">
      <c r="A691">
        <v>4</v>
      </c>
      <c r="B691" t="str">
        <v>FUTUROS Y OPCIONES.COM SA</v>
      </c>
      <c r="C691" s="6">
        <v>0</v>
      </c>
      <c r="D691" s="6">
        <v>0</v>
      </c>
      <c r="E691" t="str">
        <v>Dólar Cable</v>
      </c>
      <c r="F691" t="str">
        <v xml:space="preserve"> U$S TT</v>
      </c>
      <c r="G691" t="str">
        <f>IFERROR(VLOOKUP(A691,'Clientes CBOT'!B:E,4,0),B691)</f>
        <v>FUTUROS Y OPCIONES.COM SA</v>
      </c>
      <c r="H691" t="str">
        <f t="shared" si="30"/>
        <v>Hard</v>
      </c>
      <c r="I691" s="6">
        <f t="shared" si="31"/>
        <v>0</v>
      </c>
      <c r="J691">
        <f t="shared" si="32"/>
        <v>0</v>
      </c>
    </row>
    <row r="692" spans="1:10" hidden="1" x14ac:dyDescent="0.3">
      <c r="A692">
        <v>154</v>
      </c>
      <c r="B692" t="str">
        <v>IRSA INVERSIONES Y REPRESENTACIONES SA</v>
      </c>
      <c r="C692" s="6">
        <v>0</v>
      </c>
      <c r="D692" s="6">
        <v>0</v>
      </c>
      <c r="E692" t="str">
        <v>Dólar Cable</v>
      </c>
      <c r="F692" t="str">
        <v xml:space="preserve"> U$S TT</v>
      </c>
      <c r="G692" t="str">
        <f>IFERROR(VLOOKUP(A692,'Clientes CBOT'!B:E,4,0),B692)</f>
        <v>IRSA INVERSIONES Y REPRESENTACIONES SA</v>
      </c>
      <c r="H692" t="str">
        <f t="shared" si="30"/>
        <v>Hard</v>
      </c>
      <c r="I692" s="6">
        <f t="shared" si="31"/>
        <v>0</v>
      </c>
      <c r="J692">
        <f t="shared" si="32"/>
        <v>0</v>
      </c>
    </row>
    <row r="693" spans="1:10" hidden="1" x14ac:dyDescent="0.3">
      <c r="A693">
        <v>123</v>
      </c>
      <c r="B693" t="str">
        <v>FUTUROS Y OPCIONES.COM SA</v>
      </c>
      <c r="C693" s="6">
        <v>-1055.24</v>
      </c>
      <c r="D693" s="6">
        <v>0</v>
      </c>
      <c r="E693" t="str">
        <v>Dólar Cable</v>
      </c>
      <c r="F693" t="str">
        <v xml:space="preserve"> U$S TT</v>
      </c>
      <c r="G693" t="str">
        <f>IFERROR(VLOOKUP(A693,'Clientes CBOT'!B:E,4,0),B693)</f>
        <v>FUTUROS Y OPCIONES.COM SA</v>
      </c>
      <c r="H693" t="str">
        <f t="shared" si="30"/>
        <v>Hard</v>
      </c>
      <c r="I693" s="6">
        <f t="shared" si="31"/>
        <v>-1055.24</v>
      </c>
      <c r="J693">
        <f t="shared" si="32"/>
        <v>0</v>
      </c>
    </row>
    <row r="694" spans="1:10" hidden="1" x14ac:dyDescent="0.3">
      <c r="A694">
        <v>119</v>
      </c>
      <c r="B694" t="str">
        <v>Agrofy SAU</v>
      </c>
      <c r="C694" s="6">
        <v>0</v>
      </c>
      <c r="D694" s="6">
        <v>0</v>
      </c>
      <c r="E694" t="str">
        <v>Dólar Cable</v>
      </c>
      <c r="F694" t="str">
        <v xml:space="preserve"> U$S TT</v>
      </c>
      <c r="G694" t="str">
        <f>IFERROR(VLOOKUP(A694,'Clientes CBOT'!B:E,4,0),B694)</f>
        <v>Agrofy SAU</v>
      </c>
      <c r="H694" t="str">
        <f t="shared" si="30"/>
        <v>Hard</v>
      </c>
      <c r="I694" s="6">
        <f t="shared" si="31"/>
        <v>0</v>
      </c>
      <c r="J694">
        <f t="shared" si="32"/>
        <v>0</v>
      </c>
    </row>
    <row r="695" spans="1:10" hidden="1" x14ac:dyDescent="0.3">
      <c r="A695">
        <v>124</v>
      </c>
      <c r="B695" t="str">
        <v>CARLOS BOERO ROMANO SAIC</v>
      </c>
      <c r="C695" s="6">
        <v>0</v>
      </c>
      <c r="D695" s="6">
        <v>0</v>
      </c>
      <c r="E695" t="str">
        <v>Dólar Cable</v>
      </c>
      <c r="F695" t="str">
        <v xml:space="preserve"> U$S TT</v>
      </c>
      <c r="G695" t="str">
        <f>IFERROR(VLOOKUP(A695,'Clientes CBOT'!B:E,4,0),B695)</f>
        <v>CARLOS BOERO ROMANO SAIC</v>
      </c>
      <c r="H695" t="str">
        <f t="shared" si="30"/>
        <v>Hard</v>
      </c>
      <c r="I695" s="6">
        <f t="shared" si="31"/>
        <v>0</v>
      </c>
      <c r="J695">
        <f t="shared" si="32"/>
        <v>0</v>
      </c>
    </row>
    <row r="696" spans="1:10" hidden="1" x14ac:dyDescent="0.3">
      <c r="A696">
        <v>120</v>
      </c>
      <c r="B696" t="str">
        <v>AGROFY GLOBAL SOCIEDAD LIMITADA POR ACCIONES</v>
      </c>
      <c r="C696" s="6">
        <v>5.7</v>
      </c>
      <c r="D696" s="6">
        <v>0</v>
      </c>
      <c r="E696" t="str">
        <v>Dólar Cable</v>
      </c>
      <c r="F696" t="str">
        <v xml:space="preserve"> U$S TT</v>
      </c>
      <c r="G696" t="str">
        <f>IFERROR(VLOOKUP(A696,'Clientes CBOT'!B:E,4,0),B696)</f>
        <v>AGROFY GLOBAL SOCIEDAD LIMITADA POR ACCIONES</v>
      </c>
      <c r="H696" t="str">
        <f t="shared" si="30"/>
        <v>Hard</v>
      </c>
      <c r="I696" s="6">
        <f t="shared" si="31"/>
        <v>5.7</v>
      </c>
      <c r="J696">
        <f t="shared" si="32"/>
        <v>0</v>
      </c>
    </row>
    <row r="697" spans="1:10" hidden="1" x14ac:dyDescent="0.3">
      <c r="A697">
        <v>489</v>
      </c>
      <c r="B697" t="str">
        <v>SANTANGELO CLAUDIO ROBERTO</v>
      </c>
      <c r="C697" s="6">
        <v>246345.52</v>
      </c>
      <c r="D697" s="6">
        <v>100011.75</v>
      </c>
      <c r="E697" t="str">
        <v>Dólar Cable</v>
      </c>
      <c r="F697" t="str">
        <v xml:space="preserve"> U$S TT</v>
      </c>
      <c r="G697">
        <f>IFERROR(VLOOKUP(A697,'Clientes CBOT'!B:E,4,0),B697)</f>
        <v>13006</v>
      </c>
      <c r="H697" t="str">
        <f t="shared" si="30"/>
        <v>Hard</v>
      </c>
      <c r="I697" s="6">
        <f t="shared" si="31"/>
        <v>246345.52</v>
      </c>
      <c r="J697">
        <f t="shared" si="32"/>
        <v>100011.75</v>
      </c>
    </row>
    <row r="698" spans="1:10" hidden="1" x14ac:dyDescent="0.3">
      <c r="A698">
        <v>490</v>
      </c>
      <c r="B698" t="str">
        <v>SANTANGELO FRANCISCO VICTOR</v>
      </c>
      <c r="C698" s="6">
        <v>142975.85</v>
      </c>
      <c r="D698" s="6">
        <v>100011.75</v>
      </c>
      <c r="E698" t="str">
        <v>Dólar Cable</v>
      </c>
      <c r="F698" t="str">
        <v xml:space="preserve"> U$S TT</v>
      </c>
      <c r="G698">
        <f>IFERROR(VLOOKUP(A698,'Clientes CBOT'!B:E,4,0),B698)</f>
        <v>13007</v>
      </c>
      <c r="H698" t="str">
        <f t="shared" si="30"/>
        <v>Hard</v>
      </c>
      <c r="I698" s="6">
        <f t="shared" si="31"/>
        <v>142975.85</v>
      </c>
      <c r="J698">
        <f t="shared" si="32"/>
        <v>100011.75</v>
      </c>
    </row>
    <row r="699" spans="1:10" hidden="1" x14ac:dyDescent="0.3">
      <c r="A699">
        <v>494</v>
      </c>
      <c r="B699" t="str">
        <v>BORLA ULDERICO CARLOS</v>
      </c>
      <c r="C699" s="6">
        <v>0</v>
      </c>
      <c r="D699" s="6">
        <v>0</v>
      </c>
      <c r="E699" t="str">
        <v>Dólar Cable</v>
      </c>
      <c r="F699" t="str">
        <v xml:space="preserve"> U$S TT</v>
      </c>
      <c r="G699" t="str">
        <f>IFERROR(VLOOKUP(A699,'Clientes CBOT'!B:E,4,0),B699)</f>
        <v>BORLA ULDERICO CARLOS</v>
      </c>
      <c r="H699" t="str">
        <f t="shared" si="30"/>
        <v>Hard</v>
      </c>
      <c r="I699" s="6">
        <f t="shared" si="31"/>
        <v>0</v>
      </c>
      <c r="J699">
        <f t="shared" si="32"/>
        <v>0</v>
      </c>
    </row>
    <row r="700" spans="1:10" hidden="1" x14ac:dyDescent="0.3">
      <c r="A700">
        <v>490</v>
      </c>
      <c r="B700" t="str">
        <v>SANTANGELO FRANCISCO VICTOR</v>
      </c>
      <c r="C700" s="6">
        <v>5650</v>
      </c>
      <c r="D700" s="6">
        <v>11309.14</v>
      </c>
      <c r="E700" t="str">
        <v>Dólar Matba Rofex</v>
      </c>
      <c r="F700" t="str">
        <v xml:space="preserve"> U$S MR</v>
      </c>
      <c r="G700">
        <f>IFERROR(VLOOKUP(A700,'Clientes CBOT'!B:E,4,0),B700)</f>
        <v>13007</v>
      </c>
      <c r="H700" t="str">
        <f t="shared" si="30"/>
        <v>usd linked</v>
      </c>
      <c r="I700" s="6">
        <f t="shared" si="31"/>
        <v>5650</v>
      </c>
      <c r="J700">
        <f t="shared" si="32"/>
        <v>11309.14</v>
      </c>
    </row>
    <row r="701" spans="1:10" hidden="1" x14ac:dyDescent="0.3">
      <c r="A701">
        <v>489</v>
      </c>
      <c r="B701" t="str">
        <v>SANTANGELO CLAUDIO ROBERTO</v>
      </c>
      <c r="C701" s="6">
        <v>679.08</v>
      </c>
      <c r="D701" s="6">
        <v>0</v>
      </c>
      <c r="E701" t="str">
        <v>Dólar Matba Rofex</v>
      </c>
      <c r="F701" t="str">
        <v xml:space="preserve"> U$S MR</v>
      </c>
      <c r="G701">
        <f>IFERROR(VLOOKUP(A701,'Clientes CBOT'!B:E,4,0),B701)</f>
        <v>13006</v>
      </c>
      <c r="H701" t="str">
        <f t="shared" si="30"/>
        <v>usd linked</v>
      </c>
      <c r="I701" s="6">
        <f t="shared" si="31"/>
        <v>679.08</v>
      </c>
      <c r="J701">
        <f t="shared" si="32"/>
        <v>0</v>
      </c>
    </row>
    <row r="702" spans="1:10" hidden="1" x14ac:dyDescent="0.3">
      <c r="A702">
        <v>509</v>
      </c>
      <c r="B702" t="str">
        <v>GRUPO CONSTRUCTOR BUENOS AIRES ROSARIO SA</v>
      </c>
      <c r="C702" s="6">
        <v>0</v>
      </c>
      <c r="D702" s="6">
        <v>0</v>
      </c>
      <c r="E702" t="str">
        <v>Dólar Matba Rofex</v>
      </c>
      <c r="F702" t="str">
        <v xml:space="preserve"> U$S MR</v>
      </c>
      <c r="G702" t="str">
        <f>IFERROR(VLOOKUP(A702,'Clientes CBOT'!B:E,4,0),B702)</f>
        <v>GRUPO CONSTRUCTOR BUENOS AIRES ROSARIO SA</v>
      </c>
      <c r="H702" t="str">
        <f t="shared" si="30"/>
        <v>usd linked</v>
      </c>
      <c r="I702" s="6">
        <f t="shared" si="31"/>
        <v>0</v>
      </c>
      <c r="J702">
        <f t="shared" si="32"/>
        <v>0</v>
      </c>
    </row>
    <row r="703" spans="1:10" hidden="1" x14ac:dyDescent="0.3">
      <c r="A703">
        <v>515</v>
      </c>
      <c r="B703" t="str">
        <v>AGROPECUARIA LOS TRES VASCOS SA</v>
      </c>
      <c r="C703" s="6">
        <v>0</v>
      </c>
      <c r="D703" s="6">
        <v>0</v>
      </c>
      <c r="E703" t="str">
        <v>Dólar Matba Rofex</v>
      </c>
      <c r="F703" t="str">
        <v xml:space="preserve"> U$S MR</v>
      </c>
      <c r="G703" t="str">
        <f>IFERROR(VLOOKUP(A703,'Clientes CBOT'!B:E,4,0),B703)</f>
        <v>AGROPECUARIA LOS TRES VASCOS SA</v>
      </c>
      <c r="H703" t="str">
        <f t="shared" si="30"/>
        <v>usd linked</v>
      </c>
      <c r="I703" s="6">
        <f t="shared" si="31"/>
        <v>0</v>
      </c>
      <c r="J703">
        <f t="shared" si="32"/>
        <v>0</v>
      </c>
    </row>
    <row r="704" spans="1:10" hidden="1" x14ac:dyDescent="0.3">
      <c r="A704">
        <v>52</v>
      </c>
      <c r="B704" t="str">
        <v>GRANERO SRL</v>
      </c>
      <c r="C704" s="6">
        <v>0</v>
      </c>
      <c r="D704" s="6">
        <v>0</v>
      </c>
      <c r="E704" t="str">
        <v>Dólar Matba Rofex</v>
      </c>
      <c r="F704" t="str">
        <v xml:space="preserve"> U$S MR</v>
      </c>
      <c r="G704" t="str">
        <f>IFERROR(VLOOKUP(A704,'Clientes CBOT'!B:E,4,0),B704)</f>
        <v>GRANERO SRL</v>
      </c>
      <c r="H704" t="str">
        <f t="shared" si="30"/>
        <v>usd linked</v>
      </c>
      <c r="I704" s="6">
        <f t="shared" si="31"/>
        <v>0</v>
      </c>
      <c r="J704">
        <f t="shared" si="32"/>
        <v>0</v>
      </c>
    </row>
    <row r="705" spans="1:10" hidden="1" x14ac:dyDescent="0.3">
      <c r="A705">
        <v>123</v>
      </c>
      <c r="B705" t="str">
        <v>FUTUROS Y OPCIONES.COM SA</v>
      </c>
      <c r="C705" s="6">
        <v>0</v>
      </c>
      <c r="D705" s="6">
        <v>0</v>
      </c>
      <c r="E705" t="str">
        <v>Dólar Matba Rofex</v>
      </c>
      <c r="F705" t="str">
        <v xml:space="preserve"> U$S MR</v>
      </c>
      <c r="G705" t="str">
        <f>IFERROR(VLOOKUP(A705,'Clientes CBOT'!B:E,4,0),B705)</f>
        <v>FUTUROS Y OPCIONES.COM SA</v>
      </c>
      <c r="H705" t="str">
        <f t="shared" si="30"/>
        <v>usd linked</v>
      </c>
      <c r="I705" s="6">
        <f t="shared" si="31"/>
        <v>0</v>
      </c>
      <c r="J705">
        <f t="shared" si="32"/>
        <v>0</v>
      </c>
    </row>
    <row r="706" spans="1:10" hidden="1" x14ac:dyDescent="0.3">
      <c r="A706">
        <v>154</v>
      </c>
      <c r="B706" t="str">
        <v>IRSA INVERSIONES Y REPRESENTACIONES SA</v>
      </c>
      <c r="C706" s="6">
        <v>0</v>
      </c>
      <c r="D706" s="6">
        <v>0</v>
      </c>
      <c r="E706" t="str">
        <v>Dólar Matba Rofex</v>
      </c>
      <c r="F706" t="str">
        <v xml:space="preserve"> U$S MR</v>
      </c>
      <c r="G706" t="str">
        <f>IFERROR(VLOOKUP(A706,'Clientes CBOT'!B:E,4,0),B706)</f>
        <v>IRSA INVERSIONES Y REPRESENTACIONES SA</v>
      </c>
      <c r="H706" t="str">
        <f t="shared" si="30"/>
        <v>usd linked</v>
      </c>
      <c r="I706" s="6">
        <f t="shared" si="31"/>
        <v>0</v>
      </c>
      <c r="J706">
        <f t="shared" si="32"/>
        <v>0</v>
      </c>
    </row>
    <row r="707" spans="1:10" hidden="1" x14ac:dyDescent="0.3">
      <c r="A707">
        <v>533</v>
      </c>
      <c r="B707" t="str">
        <v>BELAUSTEGUI RICARDO CRISTIAN</v>
      </c>
      <c r="C707" s="6">
        <v>-2.11</v>
      </c>
      <c r="D707" s="6">
        <v>0</v>
      </c>
      <c r="E707" t="str">
        <v>Dólar Matba Rofex</v>
      </c>
      <c r="F707" t="str">
        <v xml:space="preserve"> U$S MR</v>
      </c>
      <c r="G707" t="str">
        <f>IFERROR(VLOOKUP(A707,'Clientes CBOT'!B:E,4,0),B707)</f>
        <v>BELAUSTEGUI RICARDO CRISTIAN</v>
      </c>
      <c r="H707" t="str">
        <f t="shared" si="30"/>
        <v>usd linked</v>
      </c>
      <c r="I707" s="6">
        <f t="shared" si="31"/>
        <v>-2.11</v>
      </c>
      <c r="J707">
        <f t="shared" si="32"/>
        <v>0</v>
      </c>
    </row>
    <row r="708" spans="1:10" hidden="1" x14ac:dyDescent="0.3">
      <c r="A708">
        <v>522</v>
      </c>
      <c r="B708" t="str">
        <v>BELLAMAR ESTANCIAS SA</v>
      </c>
      <c r="C708" s="6">
        <v>-0.01</v>
      </c>
      <c r="D708" s="6">
        <v>0</v>
      </c>
      <c r="E708" t="str">
        <v>Dólar Matba Rofex</v>
      </c>
      <c r="F708" t="str">
        <v xml:space="preserve"> U$S MR</v>
      </c>
      <c r="G708" t="str">
        <f>IFERROR(VLOOKUP(A708,'Clientes CBOT'!B:E,4,0),B708)</f>
        <v>BELLAMAR ESTANCIAS SA</v>
      </c>
      <c r="H708" t="str">
        <f t="shared" si="30"/>
        <v>usd linked</v>
      </c>
      <c r="I708" s="6">
        <f t="shared" si="31"/>
        <v>-0.01</v>
      </c>
      <c r="J708">
        <f t="shared" si="32"/>
        <v>0</v>
      </c>
    </row>
    <row r="709" spans="1:10" hidden="1" x14ac:dyDescent="0.3">
      <c r="A709">
        <v>516</v>
      </c>
      <c r="B709" t="str">
        <v>ROTAMAR AGRICOLA GANADERA SA</v>
      </c>
      <c r="C709" s="6">
        <v>0</v>
      </c>
      <c r="D709" s="6">
        <v>0</v>
      </c>
      <c r="E709" t="str">
        <v>Dólar Matba Rofex</v>
      </c>
      <c r="F709" t="str">
        <v xml:space="preserve"> U$S MR</v>
      </c>
      <c r="G709" t="str">
        <f>IFERROR(VLOOKUP(A709,'Clientes CBOT'!B:E,4,0),B709)</f>
        <v>ROTAMAR AGRICOLA GANADERA SA</v>
      </c>
      <c r="H709" t="str">
        <f t="shared" ref="H709:H772" si="33">IF(E709="pesos","Ars",IF(E709="Dólar Matba Rofex","usd linked",IF(F709=" U$S TT","Hard","Dólar")))</f>
        <v>usd linked</v>
      </c>
      <c r="I709" s="6">
        <f t="shared" ref="I709:I772" si="34">IF(H709="ars",C709/$J$1,IF(H709="Hard",C709*$J$2/$J$1,C709))</f>
        <v>0</v>
      </c>
      <c r="J709">
        <f t="shared" ref="J709:J772" si="35">IF(H709="ars",D709/$J$1,IF(H709="hard",D709*$J$2/$J$1,D709))</f>
        <v>0</v>
      </c>
    </row>
    <row r="710" spans="1:10" hidden="1" x14ac:dyDescent="0.3">
      <c r="A710">
        <v>175</v>
      </c>
      <c r="B710" t="str">
        <v>FYO ACOPIO S.A.</v>
      </c>
      <c r="C710" s="6">
        <v>-17225395.079999998</v>
      </c>
      <c r="D710" s="6">
        <v>0</v>
      </c>
      <c r="E710" t="str">
        <v>Dólar Matba Rofex</v>
      </c>
      <c r="F710" t="str">
        <v xml:space="preserve"> U$S MR</v>
      </c>
      <c r="G710" t="str">
        <f>IFERROR(VLOOKUP(A710,'Clientes CBOT'!B:E,4,0),B710)</f>
        <v>FYO ACOPIO S.A.</v>
      </c>
      <c r="H710" t="str">
        <f t="shared" si="33"/>
        <v>usd linked</v>
      </c>
      <c r="I710" s="6">
        <f t="shared" si="34"/>
        <v>-17225395.079999998</v>
      </c>
      <c r="J710">
        <f t="shared" si="35"/>
        <v>0</v>
      </c>
    </row>
    <row r="711" spans="1:10" hidden="1" x14ac:dyDescent="0.3">
      <c r="A711">
        <v>4</v>
      </c>
      <c r="B711" t="str">
        <v>FUTUROS Y OPCIONES.COM SA</v>
      </c>
      <c r="C711" s="6">
        <v>0</v>
      </c>
      <c r="D711" s="6">
        <v>0</v>
      </c>
      <c r="E711" t="str">
        <v>Dólar Matba Rofex</v>
      </c>
      <c r="F711" t="str">
        <v xml:space="preserve"> U$S MR</v>
      </c>
      <c r="G711" t="str">
        <f>IFERROR(VLOOKUP(A711,'Clientes CBOT'!B:E,4,0),B711)</f>
        <v>FUTUROS Y OPCIONES.COM SA</v>
      </c>
      <c r="H711" t="str">
        <f t="shared" si="33"/>
        <v>usd linked</v>
      </c>
      <c r="I711" s="6">
        <f t="shared" si="34"/>
        <v>0</v>
      </c>
      <c r="J711">
        <f t="shared" si="35"/>
        <v>0</v>
      </c>
    </row>
    <row r="712" spans="1:10" hidden="1" x14ac:dyDescent="0.3">
      <c r="A712">
        <v>7</v>
      </c>
      <c r="B712" t="str">
        <v>AYERZA ALEJANDRO</v>
      </c>
      <c r="C712" s="6">
        <v>0</v>
      </c>
      <c r="D712" s="6">
        <v>0</v>
      </c>
      <c r="E712" t="str">
        <v>Dólar Matba Rofex</v>
      </c>
      <c r="F712" t="str">
        <v xml:space="preserve"> U$S MR</v>
      </c>
      <c r="G712" t="str">
        <f>IFERROR(VLOOKUP(A712,'Clientes CBOT'!B:E,4,0),B712)</f>
        <v>AYERZA ALEJANDRO</v>
      </c>
      <c r="H712" t="str">
        <f t="shared" si="33"/>
        <v>usd linked</v>
      </c>
      <c r="I712" s="6">
        <f t="shared" si="34"/>
        <v>0</v>
      </c>
      <c r="J712">
        <f t="shared" si="35"/>
        <v>0</v>
      </c>
    </row>
    <row r="713" spans="1:10" hidden="1" x14ac:dyDescent="0.3">
      <c r="A713">
        <v>86</v>
      </c>
      <c r="B713" t="str">
        <v>GDM ARGENTINA SA</v>
      </c>
      <c r="C713" s="6">
        <v>0</v>
      </c>
      <c r="D713" s="6">
        <v>0</v>
      </c>
      <c r="E713" t="str">
        <v>Dólar Matba Rofex</v>
      </c>
      <c r="F713" t="str">
        <v xml:space="preserve"> U$S MR</v>
      </c>
      <c r="G713" t="str">
        <f>IFERROR(VLOOKUP(A713,'Clientes CBOT'!B:E,4,0),B713)</f>
        <v>GDM ARGENTINA SA</v>
      </c>
      <c r="H713" t="str">
        <f t="shared" si="33"/>
        <v>usd linked</v>
      </c>
      <c r="I713" s="6">
        <f t="shared" si="34"/>
        <v>0</v>
      </c>
      <c r="J713">
        <f t="shared" si="35"/>
        <v>0</v>
      </c>
    </row>
    <row r="714" spans="1:10" hidden="1" x14ac:dyDescent="0.3">
      <c r="A714">
        <v>5</v>
      </c>
      <c r="B714" t="str">
        <v>FYO ACOPIO S.A.</v>
      </c>
      <c r="C714" s="6">
        <v>17223295.079999998</v>
      </c>
      <c r="D714" s="6">
        <v>0</v>
      </c>
      <c r="E714" t="str">
        <v>Dólar Matba Rofex</v>
      </c>
      <c r="F714" t="str">
        <v xml:space="preserve"> U$S MR</v>
      </c>
      <c r="G714">
        <f>IFERROR(VLOOKUP(A714,'Clientes CBOT'!B:E,4,0),B714)</f>
        <v>20176</v>
      </c>
      <c r="H714" t="str">
        <f t="shared" si="33"/>
        <v>usd linked</v>
      </c>
      <c r="I714" s="6">
        <f t="shared" si="34"/>
        <v>17223295.079999998</v>
      </c>
      <c r="J714">
        <f t="shared" si="35"/>
        <v>0</v>
      </c>
    </row>
    <row r="715" spans="1:10" hidden="1" x14ac:dyDescent="0.3">
      <c r="A715">
        <v>485</v>
      </c>
      <c r="B715" t="str">
        <v>MURATURE YARI</v>
      </c>
      <c r="C715" s="6">
        <v>0</v>
      </c>
      <c r="D715" s="6">
        <v>0</v>
      </c>
      <c r="E715" t="str">
        <v>Dólar Matba Rofex</v>
      </c>
      <c r="F715" t="str">
        <v xml:space="preserve"> U$S MR</v>
      </c>
      <c r="G715" t="str">
        <f>IFERROR(VLOOKUP(A715,'Clientes CBOT'!B:E,4,0),B715)</f>
        <v>MURATURE YARI</v>
      </c>
      <c r="H715" t="str">
        <f t="shared" si="33"/>
        <v>usd linked</v>
      </c>
      <c r="I715" s="6">
        <f t="shared" si="34"/>
        <v>0</v>
      </c>
      <c r="J715">
        <f t="shared" si="35"/>
        <v>0</v>
      </c>
    </row>
    <row r="716" spans="1:10" hidden="1" x14ac:dyDescent="0.3">
      <c r="A716">
        <v>477</v>
      </c>
      <c r="B716" t="str">
        <v>MEINERO ALFREDO</v>
      </c>
      <c r="C716" s="6">
        <v>0</v>
      </c>
      <c r="D716" s="6">
        <v>0</v>
      </c>
      <c r="E716" t="str">
        <v>Dólar Matba Rofex</v>
      </c>
      <c r="F716" t="str">
        <v xml:space="preserve"> U$S MR</v>
      </c>
      <c r="G716" t="str">
        <f>IFERROR(VLOOKUP(A716,'Clientes CBOT'!B:E,4,0),B716)</f>
        <v>MEINERO ALFREDO</v>
      </c>
      <c r="H716" t="str">
        <f t="shared" si="33"/>
        <v>usd linked</v>
      </c>
      <c r="I716" s="6">
        <f t="shared" si="34"/>
        <v>0</v>
      </c>
      <c r="J716">
        <f t="shared" si="35"/>
        <v>0</v>
      </c>
    </row>
    <row r="717" spans="1:10" hidden="1" x14ac:dyDescent="0.3">
      <c r="A717">
        <v>479</v>
      </c>
      <c r="B717" t="str">
        <v>GOMEZ EZEQUIEL MATIAS</v>
      </c>
      <c r="C717" s="6">
        <v>0</v>
      </c>
      <c r="D717" s="6">
        <v>0</v>
      </c>
      <c r="E717" t="str">
        <v>Dólar Matba Rofex</v>
      </c>
      <c r="F717" t="str">
        <v xml:space="preserve"> U$S MR</v>
      </c>
      <c r="G717" t="str">
        <f>IFERROR(VLOOKUP(A717,'Clientes CBOT'!B:E,4,0),B717)</f>
        <v>GOMEZ EZEQUIEL MATIAS</v>
      </c>
      <c r="H717" t="str">
        <f t="shared" si="33"/>
        <v>usd linked</v>
      </c>
      <c r="I717" s="6">
        <f t="shared" si="34"/>
        <v>0</v>
      </c>
      <c r="J717">
        <f t="shared" si="35"/>
        <v>0</v>
      </c>
    </row>
    <row r="718" spans="1:10" hidden="1" x14ac:dyDescent="0.3">
      <c r="A718">
        <v>457</v>
      </c>
      <c r="B718" t="str">
        <v>BELOTTINI GUILLERMO LUIS</v>
      </c>
      <c r="C718" s="6">
        <v>0</v>
      </c>
      <c r="D718" s="6">
        <v>0</v>
      </c>
      <c r="E718" t="str">
        <v>Dólar Matba Rofex</v>
      </c>
      <c r="F718" t="str">
        <v xml:space="preserve"> U$S MR</v>
      </c>
      <c r="G718" t="str">
        <f>IFERROR(VLOOKUP(A718,'Clientes CBOT'!B:E,4,0),B718)</f>
        <v>BELOTTINI GUILLERMO LUIS</v>
      </c>
      <c r="H718" t="str">
        <f t="shared" si="33"/>
        <v>usd linked</v>
      </c>
      <c r="I718" s="6">
        <f t="shared" si="34"/>
        <v>0</v>
      </c>
      <c r="J718">
        <f t="shared" si="35"/>
        <v>0</v>
      </c>
    </row>
    <row r="719" spans="1:10" hidden="1" x14ac:dyDescent="0.3">
      <c r="A719">
        <v>458</v>
      </c>
      <c r="B719" t="str">
        <v>FRIGORIFICO DE AVES SOYCHU SAICFIA</v>
      </c>
      <c r="C719" s="6">
        <v>0</v>
      </c>
      <c r="D719" s="6">
        <v>10220.200000000001</v>
      </c>
      <c r="E719" t="str">
        <v>Dólar Matba Rofex</v>
      </c>
      <c r="F719" t="str">
        <v xml:space="preserve"> U$S MR</v>
      </c>
      <c r="G719" t="str">
        <f>IFERROR(VLOOKUP(A719,'Clientes CBOT'!B:E,4,0),B719)</f>
        <v>FRIGORIFICO DE AVES SOYCHU SAICFIA</v>
      </c>
      <c r="H719" t="str">
        <f t="shared" si="33"/>
        <v>usd linked</v>
      </c>
      <c r="I719" s="6">
        <f t="shared" si="34"/>
        <v>0</v>
      </c>
      <c r="J719">
        <f t="shared" si="35"/>
        <v>10220.200000000001</v>
      </c>
    </row>
    <row r="720" spans="1:10" hidden="1" x14ac:dyDescent="0.3">
      <c r="A720">
        <v>422</v>
      </c>
      <c r="B720" t="str">
        <v>BERNARD BLANCA BEATRIZ</v>
      </c>
      <c r="C720" s="6">
        <v>0</v>
      </c>
      <c r="D720" s="6">
        <v>0</v>
      </c>
      <c r="E720" t="str">
        <v>Dólar Matba Rofex</v>
      </c>
      <c r="F720" t="str">
        <v xml:space="preserve"> U$S MR</v>
      </c>
      <c r="G720" t="str">
        <f>IFERROR(VLOOKUP(A720,'Clientes CBOT'!B:E,4,0),B720)</f>
        <v>BERNARD BLANCA BEATRIZ</v>
      </c>
      <c r="H720" t="str">
        <f t="shared" si="33"/>
        <v>usd linked</v>
      </c>
      <c r="I720" s="6">
        <f t="shared" si="34"/>
        <v>0</v>
      </c>
      <c r="J720">
        <f t="shared" si="35"/>
        <v>0</v>
      </c>
    </row>
    <row r="721" spans="1:10" hidden="1" x14ac:dyDescent="0.3">
      <c r="A721">
        <v>421</v>
      </c>
      <c r="B721" t="str">
        <v>Agro Ganadera Vicen SRL</v>
      </c>
      <c r="C721" s="6">
        <v>0</v>
      </c>
      <c r="D721" s="6">
        <v>0</v>
      </c>
      <c r="E721" t="str">
        <v>Dólar Matba Rofex</v>
      </c>
      <c r="F721" t="str">
        <v xml:space="preserve"> U$S MR</v>
      </c>
      <c r="G721" t="str">
        <f>IFERROR(VLOOKUP(A721,'Clientes CBOT'!B:E,4,0),B721)</f>
        <v>Agro Ganadera Vicen SRL</v>
      </c>
      <c r="H721" t="str">
        <f t="shared" si="33"/>
        <v>usd linked</v>
      </c>
      <c r="I721" s="6">
        <f t="shared" si="34"/>
        <v>0</v>
      </c>
      <c r="J721">
        <f t="shared" si="35"/>
        <v>0</v>
      </c>
    </row>
    <row r="722" spans="1:10" hidden="1" x14ac:dyDescent="0.3">
      <c r="A722">
        <v>427</v>
      </c>
      <c r="B722" t="str">
        <v>MSU SERVICIOS SA</v>
      </c>
      <c r="C722" s="6">
        <v>0</v>
      </c>
      <c r="D722" s="6">
        <v>0</v>
      </c>
      <c r="E722" t="str">
        <v>Dólar Matba Rofex</v>
      </c>
      <c r="F722" t="str">
        <v xml:space="preserve"> U$S MR</v>
      </c>
      <c r="G722" t="str">
        <f>IFERROR(VLOOKUP(A722,'Clientes CBOT'!B:E,4,0),B722)</f>
        <v>MSU SERVICIOS SA</v>
      </c>
      <c r="H722" t="str">
        <f t="shared" si="33"/>
        <v>usd linked</v>
      </c>
      <c r="I722" s="6">
        <f t="shared" si="34"/>
        <v>0</v>
      </c>
      <c r="J722">
        <f t="shared" si="35"/>
        <v>0</v>
      </c>
    </row>
    <row r="723" spans="1:10" hidden="1" x14ac:dyDescent="0.3">
      <c r="A723">
        <v>433</v>
      </c>
      <c r="B723" t="str">
        <v>SOBRERO JUAN MIGUEL</v>
      </c>
      <c r="C723" s="6">
        <v>0</v>
      </c>
      <c r="D723" s="6">
        <v>0</v>
      </c>
      <c r="E723" t="str">
        <v>Dólar Matba Rofex</v>
      </c>
      <c r="F723" t="str">
        <v xml:space="preserve"> U$S MR</v>
      </c>
      <c r="G723" t="str">
        <f>IFERROR(VLOOKUP(A723,'Clientes CBOT'!B:E,4,0),B723)</f>
        <v>SOBRERO JUAN MIGUEL</v>
      </c>
      <c r="H723" t="str">
        <f t="shared" si="33"/>
        <v>usd linked</v>
      </c>
      <c r="I723" s="6">
        <f t="shared" si="34"/>
        <v>0</v>
      </c>
      <c r="J723">
        <f t="shared" si="35"/>
        <v>0</v>
      </c>
    </row>
    <row r="724" spans="1:10" hidden="1" x14ac:dyDescent="0.3">
      <c r="A724">
        <v>375</v>
      </c>
      <c r="B724" t="str">
        <v>FYO ACOPIO S.A.</v>
      </c>
      <c r="C724" s="6">
        <v>2100</v>
      </c>
      <c r="D724" s="6">
        <v>0</v>
      </c>
      <c r="E724" t="str">
        <v>Dólar Matba Rofex</v>
      </c>
      <c r="F724" t="str">
        <v xml:space="preserve"> U$S MR</v>
      </c>
      <c r="G724" t="str">
        <f>IFERROR(VLOOKUP(A724,'Clientes CBOT'!B:E,4,0),B724)</f>
        <v>FYO ACOPIO S.A.</v>
      </c>
      <c r="H724" t="str">
        <f t="shared" si="33"/>
        <v>usd linked</v>
      </c>
      <c r="I724" s="6">
        <f t="shared" si="34"/>
        <v>2100</v>
      </c>
      <c r="J724">
        <f t="shared" si="35"/>
        <v>0</v>
      </c>
    </row>
    <row r="725" spans="1:10" hidden="1" x14ac:dyDescent="0.3">
      <c r="A725">
        <v>309</v>
      </c>
      <c r="B725" t="str">
        <v>FUTUROS Y OPCIONES.COM SA</v>
      </c>
      <c r="C725" s="6">
        <v>0</v>
      </c>
      <c r="D725" s="6">
        <v>0</v>
      </c>
      <c r="E725" t="str">
        <v>Dólar Matba Rofex</v>
      </c>
      <c r="F725" t="str">
        <v xml:space="preserve"> U$S MR</v>
      </c>
      <c r="G725" t="str">
        <f>IFERROR(VLOOKUP(A725,'Clientes CBOT'!B:E,4,0),B725)</f>
        <v>FUTUROS Y OPCIONES.COM SA</v>
      </c>
      <c r="H725" t="str">
        <f t="shared" si="33"/>
        <v>usd linked</v>
      </c>
      <c r="I725" s="6">
        <f t="shared" si="34"/>
        <v>0</v>
      </c>
      <c r="J725">
        <f t="shared" si="35"/>
        <v>0</v>
      </c>
    </row>
    <row r="726" spans="1:10" hidden="1" x14ac:dyDescent="0.3">
      <c r="A726">
        <v>308</v>
      </c>
      <c r="B726" t="str">
        <v>FUTUROS Y OPCIONES.COM SA</v>
      </c>
      <c r="C726" s="6">
        <v>0</v>
      </c>
      <c r="D726" s="6">
        <v>0</v>
      </c>
      <c r="E726" t="str">
        <v>Dólar Matba Rofex</v>
      </c>
      <c r="F726" t="str">
        <v xml:space="preserve"> U$S MR</v>
      </c>
      <c r="G726" t="str">
        <f>IFERROR(VLOOKUP(A726,'Clientes CBOT'!B:E,4,0),B726)</f>
        <v>FUTUROS Y OPCIONES.COM SA</v>
      </c>
      <c r="H726" t="str">
        <f t="shared" si="33"/>
        <v>usd linked</v>
      </c>
      <c r="I726" s="6">
        <f t="shared" si="34"/>
        <v>0</v>
      </c>
      <c r="J726">
        <f t="shared" si="35"/>
        <v>0</v>
      </c>
    </row>
    <row r="727" spans="1:10" hidden="1" x14ac:dyDescent="0.3">
      <c r="A727">
        <v>300</v>
      </c>
      <c r="B727" t="str">
        <v>CGM AGRO SAS</v>
      </c>
      <c r="C727" s="6">
        <v>0</v>
      </c>
      <c r="D727" s="6">
        <v>0</v>
      </c>
      <c r="E727" t="str">
        <v>Dólar Matba Rofex</v>
      </c>
      <c r="F727" t="str">
        <v xml:space="preserve"> U$S MR</v>
      </c>
      <c r="G727" t="str">
        <f>IFERROR(VLOOKUP(A727,'Clientes CBOT'!B:E,4,0),B727)</f>
        <v>CGM AGRO SAS</v>
      </c>
      <c r="H727" t="str">
        <f t="shared" si="33"/>
        <v>usd linked</v>
      </c>
      <c r="I727" s="6">
        <f t="shared" si="34"/>
        <v>0</v>
      </c>
      <c r="J727">
        <f t="shared" si="35"/>
        <v>0</v>
      </c>
    </row>
    <row r="728" spans="1:10" hidden="1" x14ac:dyDescent="0.3">
      <c r="A728">
        <v>236</v>
      </c>
      <c r="B728" t="str">
        <v>AGROPECUARIA CATRILO SA</v>
      </c>
      <c r="C728" s="6">
        <v>0</v>
      </c>
      <c r="D728" s="6">
        <v>0</v>
      </c>
      <c r="E728" t="str">
        <v>Dólar Matba Rofex</v>
      </c>
      <c r="F728" t="str">
        <v xml:space="preserve"> U$S MR</v>
      </c>
      <c r="G728">
        <f>IFERROR(VLOOKUP(A728,'Clientes CBOT'!B:E,4,0),B728)</f>
        <v>13002</v>
      </c>
      <c r="H728" t="str">
        <f t="shared" si="33"/>
        <v>usd linked</v>
      </c>
      <c r="I728" s="6">
        <f t="shared" si="34"/>
        <v>0</v>
      </c>
      <c r="J728">
        <f t="shared" si="35"/>
        <v>0</v>
      </c>
    </row>
    <row r="729" spans="1:10" hidden="1" x14ac:dyDescent="0.3">
      <c r="A729">
        <v>6072</v>
      </c>
      <c r="B729" t="str">
        <v>PLUMA DE PATO S.A.</v>
      </c>
      <c r="C729" s="6">
        <v>0</v>
      </c>
      <c r="D729" s="6">
        <v>0</v>
      </c>
      <c r="E729" t="str">
        <v>Dólar Matba Rofex</v>
      </c>
      <c r="F729" t="str">
        <v xml:space="preserve"> U$S MR</v>
      </c>
      <c r="G729" t="str">
        <f>IFERROR(VLOOKUP(A729,'Clientes CBOT'!B:E,4,0),B729)</f>
        <v>PLUMA DE PATO S.A.</v>
      </c>
      <c r="H729" t="str">
        <f t="shared" si="33"/>
        <v>usd linked</v>
      </c>
      <c r="I729" s="6">
        <f t="shared" si="34"/>
        <v>0</v>
      </c>
      <c r="J729">
        <f t="shared" si="35"/>
        <v>0</v>
      </c>
    </row>
    <row r="730" spans="1:10" hidden="1" x14ac:dyDescent="0.3">
      <c r="A730">
        <v>6039</v>
      </c>
      <c r="B730" t="str">
        <v>UNION AGRICOLA DE AVELLANEDA COOP LTDA</v>
      </c>
      <c r="C730" s="6">
        <v>0</v>
      </c>
      <c r="D730" s="6">
        <v>19968</v>
      </c>
      <c r="E730" t="str">
        <v>Dólar Matba Rofex</v>
      </c>
      <c r="F730" t="str">
        <v xml:space="preserve"> U$S MR</v>
      </c>
      <c r="G730" t="str">
        <f>IFERROR(VLOOKUP(A730,'Clientes CBOT'!B:E,4,0),B730)</f>
        <v>UNION AGRICOLA DE AVELLANEDA COOP LTDA</v>
      </c>
      <c r="H730" t="str">
        <f t="shared" si="33"/>
        <v>usd linked</v>
      </c>
      <c r="I730" s="6">
        <f t="shared" si="34"/>
        <v>0</v>
      </c>
      <c r="J730">
        <f t="shared" si="35"/>
        <v>19968</v>
      </c>
    </row>
    <row r="731" spans="1:10" hidden="1" x14ac:dyDescent="0.3">
      <c r="A731">
        <v>6005</v>
      </c>
      <c r="B731" t="str">
        <v>MURATURE DIEGO, SYLVESTRE BEGNIS CRISTINA</v>
      </c>
      <c r="C731" s="6">
        <v>0</v>
      </c>
      <c r="D731" s="6">
        <v>0</v>
      </c>
      <c r="E731" t="str">
        <v>Dólar Matba Rofex</v>
      </c>
      <c r="F731" t="str">
        <v xml:space="preserve"> U$S MR</v>
      </c>
      <c r="G731" t="str">
        <f>IFERROR(VLOOKUP(A731,'Clientes CBOT'!B:E,4,0),B731)</f>
        <v>MURATURE DIEGO, SYLVESTRE BEGNIS CRISTINA</v>
      </c>
      <c r="H731" t="str">
        <f t="shared" si="33"/>
        <v>usd linked</v>
      </c>
      <c r="I731" s="6">
        <f t="shared" si="34"/>
        <v>0</v>
      </c>
      <c r="J731">
        <f t="shared" si="35"/>
        <v>0</v>
      </c>
    </row>
    <row r="732" spans="1:10" hidden="1" x14ac:dyDescent="0.3">
      <c r="A732">
        <v>6001</v>
      </c>
      <c r="B732" t="str">
        <v>NUÑEZ GIORGETTI MARIANO ENRIQUE</v>
      </c>
      <c r="C732" s="6">
        <v>0</v>
      </c>
      <c r="D732" s="6">
        <v>0</v>
      </c>
      <c r="E732" t="str">
        <v>Dólar Matba Rofex</v>
      </c>
      <c r="F732" t="str">
        <v xml:space="preserve"> U$S MR</v>
      </c>
      <c r="G732" t="str">
        <f>IFERROR(VLOOKUP(A732,'Clientes CBOT'!B:E,4,0),B732)</f>
        <v>NUÑEZ GIORGETTI MARIANO ENRIQUE</v>
      </c>
      <c r="H732" t="str">
        <f t="shared" si="33"/>
        <v>usd linked</v>
      </c>
      <c r="I732" s="6">
        <f t="shared" si="34"/>
        <v>0</v>
      </c>
      <c r="J732">
        <f t="shared" si="35"/>
        <v>0</v>
      </c>
    </row>
    <row r="733" spans="1:10" hidden="1" x14ac:dyDescent="0.3">
      <c r="A733">
        <v>6002</v>
      </c>
      <c r="B733" t="str">
        <v>LATTUGA GISELLE JAQUELINA</v>
      </c>
      <c r="C733" s="6">
        <v>0</v>
      </c>
      <c r="D733" s="6">
        <v>0</v>
      </c>
      <c r="E733" t="str">
        <v>Dólar Matba Rofex</v>
      </c>
      <c r="F733" t="str">
        <v xml:space="preserve"> U$S MR</v>
      </c>
      <c r="G733" t="str">
        <f>IFERROR(VLOOKUP(A733,'Clientes CBOT'!B:E,4,0),B733)</f>
        <v>LATTUGA GISELLE JAQUELINA</v>
      </c>
      <c r="H733" t="str">
        <f t="shared" si="33"/>
        <v>usd linked</v>
      </c>
      <c r="I733" s="6">
        <f t="shared" si="34"/>
        <v>0</v>
      </c>
      <c r="J733">
        <f t="shared" si="35"/>
        <v>0</v>
      </c>
    </row>
    <row r="734" spans="1:10" hidden="1" x14ac:dyDescent="0.3">
      <c r="A734">
        <v>568</v>
      </c>
      <c r="B734" t="str">
        <v>CN AGRO SA</v>
      </c>
      <c r="C734" s="6">
        <v>0</v>
      </c>
      <c r="D734" s="6">
        <v>0</v>
      </c>
      <c r="E734" t="str">
        <v>Dólar Matba Rofex</v>
      </c>
      <c r="F734" t="str">
        <v xml:space="preserve"> U$S MR</v>
      </c>
      <c r="G734" t="str">
        <f>IFERROR(VLOOKUP(A734,'Clientes CBOT'!B:E,4,0),B734)</f>
        <v>CN AGRO SA</v>
      </c>
      <c r="H734" t="str">
        <f t="shared" si="33"/>
        <v>usd linked</v>
      </c>
      <c r="I734" s="6">
        <f t="shared" si="34"/>
        <v>0</v>
      </c>
      <c r="J734">
        <f t="shared" si="35"/>
        <v>0</v>
      </c>
    </row>
    <row r="735" spans="1:10" hidden="1" x14ac:dyDescent="0.3">
      <c r="A735">
        <v>305</v>
      </c>
      <c r="B735" t="str">
        <v>FIDEICOMISO AGROPECUARIO PEYRANO</v>
      </c>
      <c r="C735" s="6">
        <v>5083.6499999999996</v>
      </c>
      <c r="D735" s="6">
        <v>0</v>
      </c>
      <c r="E735" t="str">
        <v>Pesos</v>
      </c>
      <c r="F735" t="str">
        <v xml:space="preserve"> $</v>
      </c>
      <c r="G735" t="str">
        <f>IFERROR(VLOOKUP(A735,'Clientes CBOT'!B:E,4,0),B735)</f>
        <v>FIDEICOMISO AGROPECUARIO PEYRANO</v>
      </c>
      <c r="H735" t="str">
        <f t="shared" si="33"/>
        <v>Ars</v>
      </c>
      <c r="I735" s="6">
        <f t="shared" si="34"/>
        <v>5083.6499999999996</v>
      </c>
      <c r="J735">
        <f t="shared" si="35"/>
        <v>0</v>
      </c>
    </row>
    <row r="736" spans="1:10" hidden="1" x14ac:dyDescent="0.3">
      <c r="A736">
        <v>269</v>
      </c>
      <c r="B736" t="str">
        <v>CEREALES DEC SA</v>
      </c>
      <c r="C736" s="6">
        <v>-55407844.390000001</v>
      </c>
      <c r="D736" s="6">
        <v>-0.04</v>
      </c>
      <c r="E736" t="str">
        <v>Pesos</v>
      </c>
      <c r="F736" t="str">
        <v xml:space="preserve"> $</v>
      </c>
      <c r="G736" t="str">
        <f>IFERROR(VLOOKUP(A736,'Clientes CBOT'!B:E,4,0),B736)</f>
        <v>CEREALES DEC SA</v>
      </c>
      <c r="H736" t="str">
        <f t="shared" si="33"/>
        <v>Ars</v>
      </c>
      <c r="I736" s="6">
        <f t="shared" si="34"/>
        <v>-55407844.390000001</v>
      </c>
      <c r="J736">
        <f t="shared" si="35"/>
        <v>-0.04</v>
      </c>
    </row>
    <row r="737" spans="1:10" hidden="1" x14ac:dyDescent="0.3">
      <c r="A737">
        <v>390</v>
      </c>
      <c r="B737" t="str">
        <v>CABAÑA LA PASTORAL S A</v>
      </c>
      <c r="C737" s="6">
        <v>0</v>
      </c>
      <c r="D737" s="6">
        <v>0</v>
      </c>
      <c r="E737" t="str">
        <v>Pesos</v>
      </c>
      <c r="F737" t="str">
        <v xml:space="preserve"> $</v>
      </c>
      <c r="G737" t="str">
        <f>IFERROR(VLOOKUP(A737,'Clientes CBOT'!B:E,4,0),B737)</f>
        <v>CABAÑA LA PASTORAL S A</v>
      </c>
      <c r="H737" t="str">
        <f t="shared" si="33"/>
        <v>Ars</v>
      </c>
      <c r="I737" s="6">
        <f t="shared" si="34"/>
        <v>0</v>
      </c>
      <c r="J737">
        <f t="shared" si="35"/>
        <v>0</v>
      </c>
    </row>
    <row r="738" spans="1:10" hidden="1" x14ac:dyDescent="0.3">
      <c r="A738">
        <v>269</v>
      </c>
      <c r="B738" t="str">
        <v>CEREALES DEC SA</v>
      </c>
      <c r="C738" s="6">
        <v>37314.449999999997</v>
      </c>
      <c r="D738" s="6">
        <v>0</v>
      </c>
      <c r="E738" t="str">
        <v xml:space="preserve">Dólar </v>
      </c>
      <c r="F738" t="str">
        <v xml:space="preserve"> U$S</v>
      </c>
      <c r="G738" t="str">
        <f>IFERROR(VLOOKUP(A738,'Clientes CBOT'!B:E,4,0),B738)</f>
        <v>CEREALES DEC SA</v>
      </c>
      <c r="H738" t="str">
        <f t="shared" si="33"/>
        <v>Dólar</v>
      </c>
      <c r="I738" s="6">
        <f t="shared" si="34"/>
        <v>37314.449999999997</v>
      </c>
      <c r="J738">
        <f t="shared" si="35"/>
        <v>0</v>
      </c>
    </row>
    <row r="739" spans="1:10" hidden="1" x14ac:dyDescent="0.3">
      <c r="A739">
        <v>269</v>
      </c>
      <c r="B739" t="str">
        <v>CEREALES DEC SA</v>
      </c>
      <c r="C739" s="6">
        <v>0</v>
      </c>
      <c r="D739" s="6">
        <v>0</v>
      </c>
      <c r="E739" t="str">
        <v>Dólar Matba Rofex</v>
      </c>
      <c r="F739" t="str">
        <v xml:space="preserve"> U$S MR</v>
      </c>
      <c r="G739" t="str">
        <f>IFERROR(VLOOKUP(A739,'Clientes CBOT'!B:E,4,0),B739)</f>
        <v>CEREALES DEC SA</v>
      </c>
      <c r="H739" t="str">
        <f t="shared" si="33"/>
        <v>usd linked</v>
      </c>
      <c r="I739" s="6">
        <f t="shared" si="34"/>
        <v>0</v>
      </c>
      <c r="J739">
        <f t="shared" si="35"/>
        <v>0</v>
      </c>
    </row>
    <row r="740" spans="1:10" hidden="1" x14ac:dyDescent="0.3">
      <c r="A740">
        <v>390</v>
      </c>
      <c r="B740" t="str">
        <v>CABAÑA LA PASTORAL S A</v>
      </c>
      <c r="C740" s="6">
        <v>0</v>
      </c>
      <c r="D740" s="6">
        <v>0</v>
      </c>
      <c r="E740" t="str">
        <v>Dólar Matba Rofex</v>
      </c>
      <c r="F740" t="str">
        <v xml:space="preserve"> U$S MR</v>
      </c>
      <c r="G740" t="str">
        <f>IFERROR(VLOOKUP(A740,'Clientes CBOT'!B:E,4,0),B740)</f>
        <v>CABAÑA LA PASTORAL S A</v>
      </c>
      <c r="H740" t="str">
        <f t="shared" si="33"/>
        <v>usd linked</v>
      </c>
      <c r="I740" s="6">
        <f t="shared" si="34"/>
        <v>0</v>
      </c>
      <c r="J740">
        <f t="shared" si="35"/>
        <v>0</v>
      </c>
    </row>
    <row r="741" spans="1:10" hidden="1" x14ac:dyDescent="0.3">
      <c r="A741">
        <v>364</v>
      </c>
      <c r="B741" t="str">
        <v>GARCIA NICOLAS</v>
      </c>
      <c r="C741" s="6">
        <v>-3016.9</v>
      </c>
      <c r="D741" s="6">
        <v>0</v>
      </c>
      <c r="E741" t="str">
        <v>Pesos</v>
      </c>
      <c r="F741" t="str">
        <v xml:space="preserve"> $</v>
      </c>
      <c r="G741" t="str">
        <f>IFERROR(VLOOKUP(A741,'Clientes CBOT'!B:E,4,0),B741)</f>
        <v>GARCIA NICOLAS</v>
      </c>
      <c r="H741" t="str">
        <f t="shared" si="33"/>
        <v>Ars</v>
      </c>
      <c r="I741" s="6">
        <f t="shared" si="34"/>
        <v>-3016.9</v>
      </c>
      <c r="J741">
        <f t="shared" si="35"/>
        <v>0</v>
      </c>
    </row>
    <row r="742" spans="1:10" hidden="1" x14ac:dyDescent="0.3">
      <c r="A742">
        <v>36</v>
      </c>
      <c r="B742" t="str">
        <v>FUMISEM SA</v>
      </c>
      <c r="C742" s="6">
        <v>0</v>
      </c>
      <c r="D742" s="6">
        <v>0</v>
      </c>
      <c r="E742" t="str">
        <v>Pesos</v>
      </c>
      <c r="F742" t="str">
        <v xml:space="preserve"> $</v>
      </c>
      <c r="G742" t="str">
        <f>IFERROR(VLOOKUP(A742,'Clientes CBOT'!B:E,4,0),B742)</f>
        <v>FUMISEM SA</v>
      </c>
      <c r="H742" t="str">
        <f t="shared" si="33"/>
        <v>Ars</v>
      </c>
      <c r="I742" s="6">
        <f t="shared" si="34"/>
        <v>0</v>
      </c>
      <c r="J742">
        <f t="shared" si="35"/>
        <v>0</v>
      </c>
    </row>
    <row r="743" spans="1:10" hidden="1" x14ac:dyDescent="0.3">
      <c r="A743">
        <v>36</v>
      </c>
      <c r="B743" t="str">
        <v>FUMISEM SA</v>
      </c>
      <c r="C743" s="6">
        <v>0</v>
      </c>
      <c r="D743" s="6">
        <v>0</v>
      </c>
      <c r="E743" t="str">
        <v>Dólar Matba Rofex</v>
      </c>
      <c r="F743" t="str">
        <v xml:space="preserve"> U$S MR</v>
      </c>
      <c r="G743" t="str">
        <f>IFERROR(VLOOKUP(A743,'Clientes CBOT'!B:E,4,0),B743)</f>
        <v>FUMISEM SA</v>
      </c>
      <c r="H743" t="str">
        <f t="shared" si="33"/>
        <v>usd linked</v>
      </c>
      <c r="I743" s="6">
        <f t="shared" si="34"/>
        <v>0</v>
      </c>
      <c r="J743">
        <f t="shared" si="35"/>
        <v>0</v>
      </c>
    </row>
    <row r="744" spans="1:10" hidden="1" x14ac:dyDescent="0.3">
      <c r="A744">
        <v>364</v>
      </c>
      <c r="B744" t="str">
        <v>GARCIA NICOLAS</v>
      </c>
      <c r="C744" s="6">
        <v>0</v>
      </c>
      <c r="D744" s="6">
        <v>0</v>
      </c>
      <c r="E744" t="str">
        <v>Dólar Matba Rofex</v>
      </c>
      <c r="F744" t="str">
        <v xml:space="preserve"> U$S MR</v>
      </c>
      <c r="G744" t="str">
        <f>IFERROR(VLOOKUP(A744,'Clientes CBOT'!B:E,4,0),B744)</f>
        <v>GARCIA NICOLAS</v>
      </c>
      <c r="H744" t="str">
        <f t="shared" si="33"/>
        <v>usd linked</v>
      </c>
      <c r="I744" s="6">
        <f t="shared" si="34"/>
        <v>0</v>
      </c>
      <c r="J744">
        <f t="shared" si="35"/>
        <v>0</v>
      </c>
    </row>
    <row r="745" spans="1:10" hidden="1" x14ac:dyDescent="0.3">
      <c r="A745">
        <v>259</v>
      </c>
      <c r="B745" t="str">
        <v>DOLCINI SUSANA LIDIA</v>
      </c>
      <c r="C745" s="6">
        <v>0</v>
      </c>
      <c r="D745" s="6">
        <v>0</v>
      </c>
      <c r="E745" t="str">
        <v>Pesos</v>
      </c>
      <c r="F745" t="str">
        <v xml:space="preserve"> $</v>
      </c>
      <c r="G745" t="str">
        <f>IFERROR(VLOOKUP(A745,'Clientes CBOT'!B:E,4,0),B745)</f>
        <v>DOLCINI SUSANA LIDIA</v>
      </c>
      <c r="H745" t="str">
        <f t="shared" si="33"/>
        <v>Ars</v>
      </c>
      <c r="I745" s="6">
        <f t="shared" si="34"/>
        <v>0</v>
      </c>
      <c r="J745">
        <f t="shared" si="35"/>
        <v>0</v>
      </c>
    </row>
    <row r="746" spans="1:10" x14ac:dyDescent="0.3">
      <c r="A746">
        <v>259</v>
      </c>
      <c r="B746" t="str">
        <v>DOLCINI SUSANA LIDIA</v>
      </c>
      <c r="C746" s="6">
        <v>0.52</v>
      </c>
      <c r="D746" s="6">
        <v>0</v>
      </c>
      <c r="E746" t="str">
        <v xml:space="preserve">Dólar </v>
      </c>
      <c r="F746" t="str">
        <v xml:space="preserve"> U$S</v>
      </c>
      <c r="G746" t="str">
        <f>IFERROR(VLOOKUP(A746,'Clientes CBOT'!B:E,4,0),B746)</f>
        <v>DOLCINI SUSANA LIDIA</v>
      </c>
      <c r="H746" t="str">
        <f t="shared" si="33"/>
        <v>Dólar</v>
      </c>
      <c r="I746" s="6">
        <f t="shared" si="34"/>
        <v>0.52</v>
      </c>
      <c r="J746">
        <f t="shared" si="35"/>
        <v>0</v>
      </c>
    </row>
    <row r="747" spans="1:10" x14ac:dyDescent="0.3">
      <c r="A747">
        <v>259</v>
      </c>
      <c r="B747" t="str">
        <v>DOLCINI SUSANA LIDIA</v>
      </c>
      <c r="C747" s="6">
        <v>0</v>
      </c>
      <c r="D747" s="6">
        <v>0</v>
      </c>
      <c r="E747" t="str">
        <v>Dólar Matba Rofex</v>
      </c>
      <c r="F747" t="str">
        <v xml:space="preserve"> U$S MR</v>
      </c>
      <c r="G747" t="str">
        <f>IFERROR(VLOOKUP(A747,'Clientes CBOT'!B:E,4,0),B747)</f>
        <v>DOLCINI SUSANA LIDIA</v>
      </c>
      <c r="H747" t="str">
        <f t="shared" si="33"/>
        <v>usd linked</v>
      </c>
      <c r="I747" s="6">
        <f t="shared" si="34"/>
        <v>0</v>
      </c>
      <c r="J747">
        <f t="shared" si="35"/>
        <v>0</v>
      </c>
    </row>
    <row r="748" spans="1:10" hidden="1" x14ac:dyDescent="0.3">
      <c r="A748">
        <v>258</v>
      </c>
      <c r="B748" t="str">
        <v>SOJAS ARGENTINAS SRL</v>
      </c>
      <c r="C748" s="6">
        <v>9.26</v>
      </c>
      <c r="D748" s="6">
        <v>0.02</v>
      </c>
      <c r="E748" t="str">
        <v>Pesos</v>
      </c>
      <c r="F748" t="str">
        <v xml:space="preserve"> $</v>
      </c>
      <c r="G748" t="str">
        <f>IFERROR(VLOOKUP(A748,'Clientes CBOT'!B:E,4,0),B748)</f>
        <v>SOJAS ARGENTINAS SRL</v>
      </c>
      <c r="H748" t="str">
        <f t="shared" si="33"/>
        <v>Ars</v>
      </c>
      <c r="I748" s="6">
        <f t="shared" si="34"/>
        <v>9.26</v>
      </c>
      <c r="J748">
        <f t="shared" si="35"/>
        <v>0.02</v>
      </c>
    </row>
    <row r="749" spans="1:10" hidden="1" x14ac:dyDescent="0.3">
      <c r="A749">
        <v>235</v>
      </c>
      <c r="B749" t="str">
        <v>THE COMPUTER SRL</v>
      </c>
      <c r="C749" s="6">
        <v>0</v>
      </c>
      <c r="D749" s="6">
        <v>0.01</v>
      </c>
      <c r="E749" t="str">
        <v>Pesos</v>
      </c>
      <c r="F749" t="str">
        <v xml:space="preserve"> $</v>
      </c>
      <c r="G749" t="str">
        <f>IFERROR(VLOOKUP(A749,'Clientes CBOT'!B:E,4,0),B749)</f>
        <v>THE COMPUTER SRL</v>
      </c>
      <c r="H749" t="str">
        <f t="shared" si="33"/>
        <v>Ars</v>
      </c>
      <c r="I749" s="6">
        <f t="shared" si="34"/>
        <v>0</v>
      </c>
      <c r="J749">
        <f t="shared" si="35"/>
        <v>0.01</v>
      </c>
    </row>
    <row r="750" spans="1:10" hidden="1" x14ac:dyDescent="0.3">
      <c r="A750">
        <v>215</v>
      </c>
      <c r="B750" t="str">
        <v>INMAGAR SA</v>
      </c>
      <c r="C750" s="6">
        <v>10052.299999999999</v>
      </c>
      <c r="D750" s="6">
        <v>0.02</v>
      </c>
      <c r="E750" t="str">
        <v>Pesos</v>
      </c>
      <c r="F750" t="str">
        <v xml:space="preserve"> $</v>
      </c>
      <c r="G750" t="str">
        <f>IFERROR(VLOOKUP(A750,'Clientes CBOT'!B:E,4,0),B750)</f>
        <v>INMAGAR SA</v>
      </c>
      <c r="H750" t="str">
        <f t="shared" si="33"/>
        <v>Ars</v>
      </c>
      <c r="I750" s="6">
        <f t="shared" si="34"/>
        <v>10052.299999999999</v>
      </c>
      <c r="J750">
        <f t="shared" si="35"/>
        <v>0.02</v>
      </c>
    </row>
    <row r="751" spans="1:10" hidden="1" x14ac:dyDescent="0.3">
      <c r="A751">
        <v>233</v>
      </c>
      <c r="B751" t="str">
        <v>AGROVERAZ S.A.</v>
      </c>
      <c r="C751" s="6">
        <v>0</v>
      </c>
      <c r="D751" s="6">
        <v>0</v>
      </c>
      <c r="E751" t="str">
        <v>Pesos</v>
      </c>
      <c r="F751" t="str">
        <v xml:space="preserve"> $</v>
      </c>
      <c r="G751" t="str">
        <f>IFERROR(VLOOKUP(A751,'Clientes CBOT'!B:E,4,0),B751)</f>
        <v>AGROVERAZ S.A.</v>
      </c>
      <c r="H751" t="str">
        <f t="shared" si="33"/>
        <v>Ars</v>
      </c>
      <c r="I751" s="6">
        <f t="shared" si="34"/>
        <v>0</v>
      </c>
      <c r="J751">
        <f t="shared" si="35"/>
        <v>0</v>
      </c>
    </row>
    <row r="752" spans="1:10" hidden="1" x14ac:dyDescent="0.3">
      <c r="A752">
        <v>395</v>
      </c>
      <c r="B752" t="str">
        <v>MATIAS AYERZA SAS</v>
      </c>
      <c r="C752" s="6">
        <v>-67172164.640000001</v>
      </c>
      <c r="D752" s="6">
        <v>0.01</v>
      </c>
      <c r="E752" t="str">
        <v>Pesos</v>
      </c>
      <c r="F752" t="str">
        <v xml:space="preserve"> $</v>
      </c>
      <c r="G752" t="str">
        <f>IFERROR(VLOOKUP(A752,'Clientes CBOT'!B:E,4,0),B752)</f>
        <v>MATIAS AYERZA SAS</v>
      </c>
      <c r="H752" t="str">
        <f t="shared" si="33"/>
        <v>Ars</v>
      </c>
      <c r="I752" s="6">
        <f t="shared" si="34"/>
        <v>-67172164.640000001</v>
      </c>
      <c r="J752">
        <f t="shared" si="35"/>
        <v>0.01</v>
      </c>
    </row>
    <row r="753" spans="1:10" hidden="1" x14ac:dyDescent="0.3">
      <c r="A753">
        <v>396</v>
      </c>
      <c r="B753" t="str">
        <v>EL AZAR SA</v>
      </c>
      <c r="C753" s="6">
        <v>0</v>
      </c>
      <c r="D753" s="6">
        <v>0.02</v>
      </c>
      <c r="E753" t="str">
        <v>Pesos</v>
      </c>
      <c r="F753" t="str">
        <v xml:space="preserve"> $</v>
      </c>
      <c r="G753" t="str">
        <f>IFERROR(VLOOKUP(A753,'Clientes CBOT'!B:E,4,0),B753)</f>
        <v>EL AZAR SA</v>
      </c>
      <c r="H753" t="str">
        <f t="shared" si="33"/>
        <v>Ars</v>
      </c>
      <c r="I753" s="6">
        <f t="shared" si="34"/>
        <v>0</v>
      </c>
      <c r="J753">
        <f t="shared" si="35"/>
        <v>0.02</v>
      </c>
    </row>
    <row r="754" spans="1:10" hidden="1" x14ac:dyDescent="0.3">
      <c r="A754">
        <v>81</v>
      </c>
      <c r="B754" t="str">
        <v>Semillero Catriel SA</v>
      </c>
      <c r="C754" s="6">
        <v>-5929903.1900000004</v>
      </c>
      <c r="D754" s="6">
        <v>-1.52</v>
      </c>
      <c r="E754" t="str">
        <v>Pesos</v>
      </c>
      <c r="F754" t="str">
        <v xml:space="preserve"> $</v>
      </c>
      <c r="G754" t="str">
        <f>IFERROR(VLOOKUP(A754,'Clientes CBOT'!B:E,4,0),B754)</f>
        <v>Semillero Catriel SA</v>
      </c>
      <c r="H754" t="str">
        <f t="shared" si="33"/>
        <v>Ars</v>
      </c>
      <c r="I754" s="6">
        <f t="shared" si="34"/>
        <v>-5929903.1900000004</v>
      </c>
      <c r="J754">
        <f t="shared" si="35"/>
        <v>-1.52</v>
      </c>
    </row>
    <row r="755" spans="1:10" hidden="1" x14ac:dyDescent="0.3">
      <c r="A755">
        <v>81</v>
      </c>
      <c r="B755" t="str">
        <v>Semillero Catriel SA</v>
      </c>
      <c r="C755" s="6">
        <v>0</v>
      </c>
      <c r="D755" s="6">
        <v>5010.62</v>
      </c>
      <c r="E755" t="str">
        <v xml:space="preserve">Dólar </v>
      </c>
      <c r="F755" t="str">
        <v xml:space="preserve"> U$S</v>
      </c>
      <c r="G755" t="str">
        <f>IFERROR(VLOOKUP(A755,'Clientes CBOT'!B:E,4,0),B755)</f>
        <v>Semillero Catriel SA</v>
      </c>
      <c r="H755" t="str">
        <f t="shared" si="33"/>
        <v>Dólar</v>
      </c>
      <c r="I755" s="6">
        <f t="shared" si="34"/>
        <v>0</v>
      </c>
      <c r="J755">
        <f t="shared" si="35"/>
        <v>5010.62</v>
      </c>
    </row>
    <row r="756" spans="1:10" hidden="1" x14ac:dyDescent="0.3">
      <c r="A756">
        <v>396</v>
      </c>
      <c r="B756" t="str">
        <v>EL AZAR SA</v>
      </c>
      <c r="C756" s="6">
        <v>0</v>
      </c>
      <c r="D756" s="6">
        <v>0</v>
      </c>
      <c r="E756" t="str">
        <v xml:space="preserve">Dólar </v>
      </c>
      <c r="F756" t="str">
        <v xml:space="preserve"> U$S</v>
      </c>
      <c r="G756" t="str">
        <f>IFERROR(VLOOKUP(A756,'Clientes CBOT'!B:E,4,0),B756)</f>
        <v>EL AZAR SA</v>
      </c>
      <c r="H756" t="str">
        <f t="shared" si="33"/>
        <v>Dólar</v>
      </c>
      <c r="I756" s="6">
        <f t="shared" si="34"/>
        <v>0</v>
      </c>
      <c r="J756">
        <f t="shared" si="35"/>
        <v>0</v>
      </c>
    </row>
    <row r="757" spans="1:10" hidden="1" x14ac:dyDescent="0.3">
      <c r="A757">
        <v>395</v>
      </c>
      <c r="B757" t="str">
        <v>MATIAS AYERZA SAS</v>
      </c>
      <c r="C757" s="6">
        <v>0</v>
      </c>
      <c r="D757" s="6">
        <v>0</v>
      </c>
      <c r="E757" t="str">
        <v xml:space="preserve">Dólar </v>
      </c>
      <c r="F757" t="str">
        <v xml:space="preserve"> U$S</v>
      </c>
      <c r="G757" t="str">
        <f>IFERROR(VLOOKUP(A757,'Clientes CBOT'!B:E,4,0),B757)</f>
        <v>MATIAS AYERZA SAS</v>
      </c>
      <c r="H757" t="str">
        <f t="shared" si="33"/>
        <v>Dólar</v>
      </c>
      <c r="I757" s="6">
        <f t="shared" si="34"/>
        <v>0</v>
      </c>
      <c r="J757">
        <f t="shared" si="35"/>
        <v>0</v>
      </c>
    </row>
    <row r="758" spans="1:10" hidden="1" x14ac:dyDescent="0.3">
      <c r="A758">
        <v>235</v>
      </c>
      <c r="B758" t="str">
        <v>THE COMPUTER SRL</v>
      </c>
      <c r="C758" s="6">
        <v>1110.5</v>
      </c>
      <c r="D758" s="6">
        <v>0</v>
      </c>
      <c r="E758" t="str">
        <v xml:space="preserve">Dólar </v>
      </c>
      <c r="F758" t="str">
        <v xml:space="preserve"> U$S</v>
      </c>
      <c r="G758" t="str">
        <f>IFERROR(VLOOKUP(A758,'Clientes CBOT'!B:E,4,0),B758)</f>
        <v>THE COMPUTER SRL</v>
      </c>
      <c r="H758" t="str">
        <f t="shared" si="33"/>
        <v>Dólar</v>
      </c>
      <c r="I758" s="6">
        <f t="shared" si="34"/>
        <v>1110.5</v>
      </c>
      <c r="J758">
        <f t="shared" si="35"/>
        <v>0</v>
      </c>
    </row>
    <row r="759" spans="1:10" hidden="1" x14ac:dyDescent="0.3">
      <c r="A759">
        <v>258</v>
      </c>
      <c r="B759" t="str">
        <v>SOJAS ARGENTINAS SRL</v>
      </c>
      <c r="C759" s="6">
        <v>0</v>
      </c>
      <c r="D759" s="6">
        <v>0</v>
      </c>
      <c r="E759" t="str">
        <v xml:space="preserve">Dólar </v>
      </c>
      <c r="F759" t="str">
        <v xml:space="preserve"> U$S</v>
      </c>
      <c r="G759" t="str">
        <f>IFERROR(VLOOKUP(A759,'Clientes CBOT'!B:E,4,0),B759)</f>
        <v>SOJAS ARGENTINAS SRL</v>
      </c>
      <c r="H759" t="str">
        <f t="shared" si="33"/>
        <v>Dólar</v>
      </c>
      <c r="I759" s="6">
        <f t="shared" si="34"/>
        <v>0</v>
      </c>
      <c r="J759">
        <f t="shared" si="35"/>
        <v>0</v>
      </c>
    </row>
    <row r="760" spans="1:10" hidden="1" x14ac:dyDescent="0.3">
      <c r="A760">
        <v>235</v>
      </c>
      <c r="B760" t="str">
        <v>THE COMPUTER SRL</v>
      </c>
      <c r="C760" s="6">
        <v>0</v>
      </c>
      <c r="D760" s="6">
        <v>0</v>
      </c>
      <c r="E760" t="str">
        <v>Dólar Cable</v>
      </c>
      <c r="F760" t="str">
        <v xml:space="preserve"> U$S TT</v>
      </c>
      <c r="G760" t="str">
        <f>IFERROR(VLOOKUP(A760,'Clientes CBOT'!B:E,4,0),B760)</f>
        <v>THE COMPUTER SRL</v>
      </c>
      <c r="H760" t="str">
        <f t="shared" si="33"/>
        <v>Hard</v>
      </c>
      <c r="I760" s="6">
        <f t="shared" si="34"/>
        <v>0</v>
      </c>
      <c r="J760">
        <f t="shared" si="35"/>
        <v>0</v>
      </c>
    </row>
    <row r="761" spans="1:10" hidden="1" x14ac:dyDescent="0.3">
      <c r="A761">
        <v>215</v>
      </c>
      <c r="B761" t="str">
        <v>INMAGAR SA</v>
      </c>
      <c r="C761" s="6">
        <v>0</v>
      </c>
      <c r="D761" s="6">
        <v>0</v>
      </c>
      <c r="E761" t="str">
        <v>Dólar Cable</v>
      </c>
      <c r="F761" t="str">
        <v xml:space="preserve"> U$S TT</v>
      </c>
      <c r="G761" t="str">
        <f>IFERROR(VLOOKUP(A761,'Clientes CBOT'!B:E,4,0),B761)</f>
        <v>INMAGAR SA</v>
      </c>
      <c r="H761" t="str">
        <f t="shared" si="33"/>
        <v>Hard</v>
      </c>
      <c r="I761" s="6">
        <f t="shared" si="34"/>
        <v>0</v>
      </c>
      <c r="J761">
        <f t="shared" si="35"/>
        <v>0</v>
      </c>
    </row>
    <row r="762" spans="1:10" hidden="1" x14ac:dyDescent="0.3">
      <c r="A762">
        <v>258</v>
      </c>
      <c r="B762" t="str">
        <v>SOJAS ARGENTINAS SRL</v>
      </c>
      <c r="C762" s="6">
        <v>-1.1200000000000001</v>
      </c>
      <c r="D762" s="6">
        <v>0</v>
      </c>
      <c r="E762" t="str">
        <v>Dólar Matba Rofex</v>
      </c>
      <c r="F762" t="str">
        <v xml:space="preserve"> U$S MR</v>
      </c>
      <c r="G762" t="str">
        <f>IFERROR(VLOOKUP(A762,'Clientes CBOT'!B:E,4,0),B762)</f>
        <v>SOJAS ARGENTINAS SRL</v>
      </c>
      <c r="H762" t="str">
        <f t="shared" si="33"/>
        <v>usd linked</v>
      </c>
      <c r="I762" s="6">
        <f t="shared" si="34"/>
        <v>-1.1200000000000001</v>
      </c>
      <c r="J762">
        <f t="shared" si="35"/>
        <v>0</v>
      </c>
    </row>
    <row r="763" spans="1:10" hidden="1" x14ac:dyDescent="0.3">
      <c r="A763">
        <v>395</v>
      </c>
      <c r="B763" t="str">
        <v>MATIAS AYERZA SAS</v>
      </c>
      <c r="C763" s="6">
        <v>0</v>
      </c>
      <c r="D763" s="6">
        <v>62549.74</v>
      </c>
      <c r="E763" t="str">
        <v>Dólar Matba Rofex</v>
      </c>
      <c r="F763" t="str">
        <v xml:space="preserve"> U$S MR</v>
      </c>
      <c r="G763" t="str">
        <f>IFERROR(VLOOKUP(A763,'Clientes CBOT'!B:E,4,0),B763)</f>
        <v>MATIAS AYERZA SAS</v>
      </c>
      <c r="H763" t="str">
        <f t="shared" si="33"/>
        <v>usd linked</v>
      </c>
      <c r="I763" s="6">
        <f t="shared" si="34"/>
        <v>0</v>
      </c>
      <c r="J763">
        <f t="shared" si="35"/>
        <v>62549.74</v>
      </c>
    </row>
    <row r="764" spans="1:10" hidden="1" x14ac:dyDescent="0.3">
      <c r="A764">
        <v>81</v>
      </c>
      <c r="B764" t="str">
        <v>Semillero Catriel SA</v>
      </c>
      <c r="C764" s="6">
        <v>-58860.54</v>
      </c>
      <c r="D764" s="6">
        <v>144044.82999999999</v>
      </c>
      <c r="E764" t="str">
        <v>Dólar Matba Rofex</v>
      </c>
      <c r="F764" t="str">
        <v xml:space="preserve"> U$S MR</v>
      </c>
      <c r="G764" t="str">
        <f>IFERROR(VLOOKUP(A764,'Clientes CBOT'!B:E,4,0),B764)</f>
        <v>Semillero Catriel SA</v>
      </c>
      <c r="H764" t="str">
        <f t="shared" si="33"/>
        <v>usd linked</v>
      </c>
      <c r="I764" s="6">
        <f t="shared" si="34"/>
        <v>-58860.54</v>
      </c>
      <c r="J764">
        <f t="shared" si="35"/>
        <v>144044.82999999999</v>
      </c>
    </row>
    <row r="765" spans="1:10" hidden="1" x14ac:dyDescent="0.3">
      <c r="A765">
        <v>79</v>
      </c>
      <c r="B765" t="str">
        <v>LA TAJADA SAACEI</v>
      </c>
      <c r="C765" s="6">
        <v>13.94</v>
      </c>
      <c r="D765" s="6">
        <v>0.01</v>
      </c>
      <c r="E765" t="str">
        <v>Pesos</v>
      </c>
      <c r="F765" t="str">
        <v xml:space="preserve"> $</v>
      </c>
      <c r="G765" t="str">
        <f>IFERROR(VLOOKUP(A765,'Clientes CBOT'!B:E,4,0),B765)</f>
        <v>LA TAJADA SAACEI</v>
      </c>
      <c r="H765" t="str">
        <f t="shared" si="33"/>
        <v>Ars</v>
      </c>
      <c r="I765" s="6">
        <f t="shared" si="34"/>
        <v>13.94</v>
      </c>
      <c r="J765">
        <f t="shared" si="35"/>
        <v>0.01</v>
      </c>
    </row>
    <row r="766" spans="1:10" hidden="1" x14ac:dyDescent="0.3">
      <c r="A766">
        <v>73</v>
      </c>
      <c r="B766" t="str">
        <v>YABITO SA</v>
      </c>
      <c r="C766" s="6">
        <v>4121420.53</v>
      </c>
      <c r="D766" s="6">
        <v>0.01</v>
      </c>
      <c r="E766" t="str">
        <v>Pesos</v>
      </c>
      <c r="F766" t="str">
        <v xml:space="preserve"> $</v>
      </c>
      <c r="G766">
        <f>IFERROR(VLOOKUP(A766,'Clientes CBOT'!B:E,4,0),B766)</f>
        <v>13010</v>
      </c>
      <c r="H766" t="str">
        <f t="shared" si="33"/>
        <v>Ars</v>
      </c>
      <c r="I766" s="6">
        <f t="shared" si="34"/>
        <v>4121420.53</v>
      </c>
      <c r="J766">
        <f t="shared" si="35"/>
        <v>0.01</v>
      </c>
    </row>
    <row r="767" spans="1:10" hidden="1" x14ac:dyDescent="0.3">
      <c r="A767">
        <v>164</v>
      </c>
      <c r="B767" t="str">
        <v>A &amp; T Y ASOCIADOS SA</v>
      </c>
      <c r="C767" s="6">
        <v>0</v>
      </c>
      <c r="D767" s="6">
        <v>0</v>
      </c>
      <c r="E767" t="str">
        <v>Pesos</v>
      </c>
      <c r="F767" t="str">
        <v xml:space="preserve"> $</v>
      </c>
      <c r="G767" t="str">
        <f>IFERROR(VLOOKUP(A767,'Clientes CBOT'!B:E,4,0),B767)</f>
        <v>A &amp; T Y ASOCIADOS SA</v>
      </c>
      <c r="H767" t="str">
        <f t="shared" si="33"/>
        <v>Ars</v>
      </c>
      <c r="I767" s="6">
        <f t="shared" si="34"/>
        <v>0</v>
      </c>
      <c r="J767">
        <f t="shared" si="35"/>
        <v>0</v>
      </c>
    </row>
    <row r="768" spans="1:10" hidden="1" x14ac:dyDescent="0.3">
      <c r="A768">
        <v>127</v>
      </c>
      <c r="B768" t="str">
        <v>FELIPE CROSETTI SA</v>
      </c>
      <c r="C768" s="6">
        <v>22.56</v>
      </c>
      <c r="D768" s="6">
        <v>0.71</v>
      </c>
      <c r="E768" t="str">
        <v>Pesos</v>
      </c>
      <c r="F768" t="str">
        <v xml:space="preserve"> $</v>
      </c>
      <c r="G768" t="str">
        <f>IFERROR(VLOOKUP(A768,'Clientes CBOT'!B:E,4,0),B768)</f>
        <v>FELIPE CROSETTI SA</v>
      </c>
      <c r="H768" t="str">
        <f t="shared" si="33"/>
        <v>Ars</v>
      </c>
      <c r="I768" s="6">
        <f t="shared" si="34"/>
        <v>22.56</v>
      </c>
      <c r="J768">
        <f t="shared" si="35"/>
        <v>0.71</v>
      </c>
    </row>
    <row r="769" spans="1:10" hidden="1" x14ac:dyDescent="0.3">
      <c r="A769">
        <v>460</v>
      </c>
      <c r="B769" t="str">
        <v>CAVAGLIA MAURICIO GUSTAVO</v>
      </c>
      <c r="C769" s="6">
        <v>228.23</v>
      </c>
      <c r="D769" s="6">
        <v>0</v>
      </c>
      <c r="E769" t="str">
        <v>Pesos</v>
      </c>
      <c r="F769" t="str">
        <v xml:space="preserve"> $</v>
      </c>
      <c r="G769" t="str">
        <f>IFERROR(VLOOKUP(A769,'Clientes CBOT'!B:E,4,0),B769)</f>
        <v>CAVAGLIA MAURICIO GUSTAVO</v>
      </c>
      <c r="H769" t="str">
        <f t="shared" si="33"/>
        <v>Ars</v>
      </c>
      <c r="I769" s="6">
        <f t="shared" si="34"/>
        <v>228.23</v>
      </c>
      <c r="J769">
        <f t="shared" si="35"/>
        <v>0</v>
      </c>
    </row>
    <row r="770" spans="1:10" hidden="1" x14ac:dyDescent="0.3">
      <c r="A770">
        <v>472</v>
      </c>
      <c r="B770" t="str">
        <v>GESAGRO SA</v>
      </c>
      <c r="C770" s="6">
        <v>-9901.48</v>
      </c>
      <c r="D770" s="6">
        <v>0</v>
      </c>
      <c r="E770" t="str">
        <v>Pesos</v>
      </c>
      <c r="F770" t="str">
        <v xml:space="preserve"> $</v>
      </c>
      <c r="G770" t="str">
        <f>IFERROR(VLOOKUP(A770,'Clientes CBOT'!B:E,4,0),B770)</f>
        <v>GESAGRO SA</v>
      </c>
      <c r="H770" t="str">
        <f t="shared" si="33"/>
        <v>Ars</v>
      </c>
      <c r="I770" s="6">
        <f t="shared" si="34"/>
        <v>-9901.48</v>
      </c>
      <c r="J770">
        <f t="shared" si="35"/>
        <v>0</v>
      </c>
    </row>
    <row r="771" spans="1:10" hidden="1" x14ac:dyDescent="0.3">
      <c r="A771">
        <v>43</v>
      </c>
      <c r="B771" t="str">
        <v>GRANOS Y SEMILLAS SA</v>
      </c>
      <c r="C771" s="6">
        <v>-5.69</v>
      </c>
      <c r="D771" s="6">
        <v>0</v>
      </c>
      <c r="E771" t="str">
        <v>Pesos</v>
      </c>
      <c r="F771" t="str">
        <v xml:space="preserve"> $</v>
      </c>
      <c r="G771" t="str">
        <f>IFERROR(VLOOKUP(A771,'Clientes CBOT'!B:E,4,0),B771)</f>
        <v>GRANOS Y SEMILLAS SA</v>
      </c>
      <c r="H771" t="str">
        <f t="shared" si="33"/>
        <v>Ars</v>
      </c>
      <c r="I771" s="6">
        <f t="shared" si="34"/>
        <v>-5.69</v>
      </c>
      <c r="J771">
        <f t="shared" si="35"/>
        <v>0</v>
      </c>
    </row>
    <row r="772" spans="1:10" hidden="1" x14ac:dyDescent="0.3">
      <c r="A772">
        <v>28</v>
      </c>
      <c r="B772" t="str">
        <v>El Mirador de Lincoln SA</v>
      </c>
      <c r="C772" s="6">
        <v>-1636358.28</v>
      </c>
      <c r="D772" s="6">
        <v>0.22</v>
      </c>
      <c r="E772" t="str">
        <v>Pesos</v>
      </c>
      <c r="F772" t="str">
        <v xml:space="preserve"> $</v>
      </c>
      <c r="G772">
        <f>IFERROR(VLOOKUP(A772,'Clientes CBOT'!B:E,4,0),B772)</f>
        <v>13008</v>
      </c>
      <c r="H772" t="str">
        <f t="shared" si="33"/>
        <v>Ars</v>
      </c>
      <c r="I772" s="6">
        <f t="shared" si="34"/>
        <v>-1636358.28</v>
      </c>
      <c r="J772">
        <f t="shared" si="35"/>
        <v>0.22</v>
      </c>
    </row>
    <row r="773" spans="1:10" hidden="1" x14ac:dyDescent="0.3">
      <c r="A773">
        <v>335</v>
      </c>
      <c r="B773" t="str">
        <v>TERRA VERDE AGRO INSUMOS S.A.</v>
      </c>
      <c r="C773" s="6">
        <v>38573.760000000002</v>
      </c>
      <c r="D773" s="6">
        <v>0.02</v>
      </c>
      <c r="E773" t="str">
        <v>Pesos</v>
      </c>
      <c r="F773" t="str">
        <v xml:space="preserve"> $</v>
      </c>
      <c r="G773" t="str">
        <f>IFERROR(VLOOKUP(A773,'Clientes CBOT'!B:E,4,0),B773)</f>
        <v>TERRA VERDE AGRO INSUMOS S.A.</v>
      </c>
      <c r="H773" t="str">
        <f t="shared" ref="H773:H836" si="36">IF(E773="pesos","Ars",IF(E773="Dólar Matba Rofex","usd linked",IF(F773=" U$S TT","Hard","Dólar")))</f>
        <v>Ars</v>
      </c>
      <c r="I773" s="6">
        <f t="shared" ref="I773:I836" si="37">IF(H773="ars",C773/$J$1,IF(H773="Hard",C773*$J$2/$J$1,C773))</f>
        <v>38573.760000000002</v>
      </c>
      <c r="J773">
        <f t="shared" ref="J773:J836" si="38">IF(H773="ars",D773/$J$1,IF(H773="hard",D773*$J$2/$J$1,D773))</f>
        <v>0.02</v>
      </c>
    </row>
    <row r="774" spans="1:10" hidden="1" x14ac:dyDescent="0.3">
      <c r="A774">
        <v>333</v>
      </c>
      <c r="B774" t="str">
        <v>GRANOS Y SEMILLAS SA</v>
      </c>
      <c r="C774" s="6">
        <v>0</v>
      </c>
      <c r="D774" s="6">
        <v>0</v>
      </c>
      <c r="E774" t="str">
        <v>Pesos</v>
      </c>
      <c r="F774" t="str">
        <v xml:space="preserve"> $</v>
      </c>
      <c r="G774" t="str">
        <f>IFERROR(VLOOKUP(A774,'Clientes CBOT'!B:E,4,0),B774)</f>
        <v>GRANOS Y SEMILLAS SA</v>
      </c>
      <c r="H774" t="str">
        <f t="shared" si="36"/>
        <v>Ars</v>
      </c>
      <c r="I774" s="6">
        <f t="shared" si="37"/>
        <v>0</v>
      </c>
      <c r="J774">
        <f t="shared" si="38"/>
        <v>0</v>
      </c>
    </row>
    <row r="775" spans="1:10" hidden="1" x14ac:dyDescent="0.3">
      <c r="A775">
        <v>242</v>
      </c>
      <c r="B775" t="str">
        <v>GRANOS Y SEMILLAS SA</v>
      </c>
      <c r="C775" s="6">
        <v>0</v>
      </c>
      <c r="D775" s="6">
        <v>0</v>
      </c>
      <c r="E775" t="str">
        <v>Pesos</v>
      </c>
      <c r="F775" t="str">
        <v xml:space="preserve"> $</v>
      </c>
      <c r="G775" t="str">
        <f>IFERROR(VLOOKUP(A775,'Clientes CBOT'!B:E,4,0),B775)</f>
        <v>GRANOS Y SEMILLAS SA</v>
      </c>
      <c r="H775" t="str">
        <f t="shared" si="36"/>
        <v>Ars</v>
      </c>
      <c r="I775" s="6">
        <f t="shared" si="37"/>
        <v>0</v>
      </c>
      <c r="J775">
        <f t="shared" si="38"/>
        <v>0</v>
      </c>
    </row>
    <row r="776" spans="1:10" hidden="1" x14ac:dyDescent="0.3">
      <c r="A776">
        <v>294</v>
      </c>
      <c r="B776" t="str">
        <v>GRANOS DEL PLATA SRL</v>
      </c>
      <c r="C776" s="6">
        <v>0</v>
      </c>
      <c r="D776" s="6">
        <v>0</v>
      </c>
      <c r="E776" t="str">
        <v>Pesos</v>
      </c>
      <c r="F776" t="str">
        <v xml:space="preserve"> $</v>
      </c>
      <c r="G776" t="str">
        <f>IFERROR(VLOOKUP(A776,'Clientes CBOT'!B:E,4,0),B776)</f>
        <v>GRANOS DEL PLATA SRL</v>
      </c>
      <c r="H776" t="str">
        <f t="shared" si="36"/>
        <v>Ars</v>
      </c>
      <c r="I776" s="6">
        <f t="shared" si="37"/>
        <v>0</v>
      </c>
      <c r="J776">
        <f t="shared" si="38"/>
        <v>0</v>
      </c>
    </row>
    <row r="777" spans="1:10" hidden="1" x14ac:dyDescent="0.3">
      <c r="A777">
        <v>313</v>
      </c>
      <c r="B777" t="str">
        <v>GRANOS Y SEMILLAS SA</v>
      </c>
      <c r="C777" s="6">
        <v>0</v>
      </c>
      <c r="D777" s="6">
        <v>0</v>
      </c>
      <c r="E777" t="str">
        <v>Pesos</v>
      </c>
      <c r="F777" t="str">
        <v xml:space="preserve"> $</v>
      </c>
      <c r="G777" t="str">
        <f>IFERROR(VLOOKUP(A777,'Clientes CBOT'!B:E,4,0),B777)</f>
        <v>GRANOS Y SEMILLAS SA</v>
      </c>
      <c r="H777" t="str">
        <f t="shared" si="36"/>
        <v>Ars</v>
      </c>
      <c r="I777" s="6">
        <f t="shared" si="37"/>
        <v>0</v>
      </c>
      <c r="J777">
        <f t="shared" si="38"/>
        <v>0</v>
      </c>
    </row>
    <row r="778" spans="1:10" hidden="1" x14ac:dyDescent="0.3">
      <c r="A778">
        <v>312</v>
      </c>
      <c r="B778" t="str">
        <v>GRANOS Y SEMILLAS SA</v>
      </c>
      <c r="C778" s="6">
        <v>5.69</v>
      </c>
      <c r="D778" s="6">
        <v>0</v>
      </c>
      <c r="E778" t="str">
        <v>Pesos</v>
      </c>
      <c r="F778" t="str">
        <v xml:space="preserve"> $</v>
      </c>
      <c r="G778" t="str">
        <f>IFERROR(VLOOKUP(A778,'Clientes CBOT'!B:E,4,0),B778)</f>
        <v>GRANOS Y SEMILLAS SA</v>
      </c>
      <c r="H778" t="str">
        <f t="shared" si="36"/>
        <v>Ars</v>
      </c>
      <c r="I778" s="6">
        <f t="shared" si="37"/>
        <v>5.69</v>
      </c>
      <c r="J778">
        <f t="shared" si="38"/>
        <v>0</v>
      </c>
    </row>
    <row r="779" spans="1:10" hidden="1" x14ac:dyDescent="0.3">
      <c r="A779">
        <v>239</v>
      </c>
      <c r="B779" t="str">
        <v>GRANOS Y SEMILLAS SA</v>
      </c>
      <c r="C779" s="6">
        <v>0</v>
      </c>
      <c r="D779" s="6">
        <v>0</v>
      </c>
      <c r="E779" t="str">
        <v>Pesos</v>
      </c>
      <c r="F779" t="str">
        <v xml:space="preserve"> $</v>
      </c>
      <c r="G779" t="str">
        <f>IFERROR(VLOOKUP(A779,'Clientes CBOT'!B:E,4,0),B779)</f>
        <v>GRANOS Y SEMILLAS SA</v>
      </c>
      <c r="H779" t="str">
        <f t="shared" si="36"/>
        <v>Ars</v>
      </c>
      <c r="I779" s="6">
        <f t="shared" si="37"/>
        <v>0</v>
      </c>
      <c r="J779">
        <f t="shared" si="38"/>
        <v>0</v>
      </c>
    </row>
    <row r="780" spans="1:10" hidden="1" x14ac:dyDescent="0.3">
      <c r="A780">
        <v>245</v>
      </c>
      <c r="B780" t="str">
        <v>FERIAS DEL NORTE SACIA</v>
      </c>
      <c r="C780" s="6">
        <v>0</v>
      </c>
      <c r="D780" s="6">
        <v>0</v>
      </c>
      <c r="E780" t="str">
        <v>Pesos</v>
      </c>
      <c r="F780" t="str">
        <v xml:space="preserve"> $</v>
      </c>
      <c r="G780" t="str">
        <f>IFERROR(VLOOKUP(A780,'Clientes CBOT'!B:E,4,0),B780)</f>
        <v>FERIAS DEL NORTE SACIA</v>
      </c>
      <c r="H780" t="str">
        <f t="shared" si="36"/>
        <v>Ars</v>
      </c>
      <c r="I780" s="6">
        <f t="shared" si="37"/>
        <v>0</v>
      </c>
      <c r="J780">
        <f t="shared" si="38"/>
        <v>0</v>
      </c>
    </row>
    <row r="781" spans="1:10" x14ac:dyDescent="0.3">
      <c r="A781">
        <v>218</v>
      </c>
      <c r="B781" t="str">
        <v>FLOR DEL CARDO SRL</v>
      </c>
      <c r="C781" s="6">
        <v>3362.98</v>
      </c>
      <c r="D781" s="6">
        <v>0</v>
      </c>
      <c r="E781" t="str">
        <v>Pesos</v>
      </c>
      <c r="F781" t="str">
        <v xml:space="preserve"> $</v>
      </c>
      <c r="G781" t="str">
        <f>IFERROR(VLOOKUP(A781,'Clientes CBOT'!B:E,4,0),B781)</f>
        <v>FLOR DEL CARDO SRL</v>
      </c>
      <c r="H781" t="str">
        <f t="shared" si="36"/>
        <v>Ars</v>
      </c>
      <c r="I781" s="6">
        <f t="shared" si="37"/>
        <v>3362.98</v>
      </c>
      <c r="J781">
        <f t="shared" si="38"/>
        <v>0</v>
      </c>
    </row>
    <row r="782" spans="1:10" x14ac:dyDescent="0.3">
      <c r="A782">
        <v>214</v>
      </c>
      <c r="B782" t="str">
        <v>GALEAZZI SA</v>
      </c>
      <c r="C782" s="6">
        <v>-165600.37</v>
      </c>
      <c r="D782" s="6">
        <v>0</v>
      </c>
      <c r="E782" t="str">
        <v>Pesos</v>
      </c>
      <c r="F782" t="str">
        <v xml:space="preserve"> $</v>
      </c>
      <c r="G782" t="str">
        <f>IFERROR(VLOOKUP(A782,'Clientes CBOT'!B:E,4,0),B782)</f>
        <v>GALEAZZI SA</v>
      </c>
      <c r="H782" t="str">
        <f t="shared" si="36"/>
        <v>Ars</v>
      </c>
      <c r="I782" s="6">
        <f t="shared" si="37"/>
        <v>-165600.37</v>
      </c>
      <c r="J782">
        <f t="shared" si="38"/>
        <v>0</v>
      </c>
    </row>
    <row r="783" spans="1:10" hidden="1" x14ac:dyDescent="0.3">
      <c r="A783">
        <v>191</v>
      </c>
      <c r="B783" t="str">
        <v>YABITO SA</v>
      </c>
      <c r="C783" s="6">
        <v>0</v>
      </c>
      <c r="D783" s="6">
        <v>0</v>
      </c>
      <c r="E783" t="str">
        <v>Pesos</v>
      </c>
      <c r="F783" t="str">
        <v xml:space="preserve"> $</v>
      </c>
      <c r="G783" t="str">
        <f>IFERROR(VLOOKUP(A783,'Clientes CBOT'!B:E,4,0),B783)</f>
        <v>YABITO SA</v>
      </c>
      <c r="H783" t="str">
        <f t="shared" si="36"/>
        <v>Ars</v>
      </c>
      <c r="I783" s="6">
        <f t="shared" si="37"/>
        <v>0</v>
      </c>
      <c r="J783">
        <f t="shared" si="38"/>
        <v>0</v>
      </c>
    </row>
    <row r="784" spans="1:10" hidden="1" x14ac:dyDescent="0.3">
      <c r="A784">
        <v>192</v>
      </c>
      <c r="B784" t="str">
        <v>YABITO SA</v>
      </c>
      <c r="C784" s="6">
        <v>0</v>
      </c>
      <c r="D784" s="6">
        <v>0</v>
      </c>
      <c r="E784" t="str">
        <v>Pesos</v>
      </c>
      <c r="F784" t="str">
        <v xml:space="preserve"> $</v>
      </c>
      <c r="G784" t="str">
        <f>IFERROR(VLOOKUP(A784,'Clientes CBOT'!B:E,4,0),B784)</f>
        <v>YABITO SA</v>
      </c>
      <c r="H784" t="str">
        <f t="shared" si="36"/>
        <v>Ars</v>
      </c>
      <c r="I784" s="6">
        <f t="shared" si="37"/>
        <v>0</v>
      </c>
      <c r="J784">
        <f t="shared" si="38"/>
        <v>0</v>
      </c>
    </row>
    <row r="785" spans="1:10" hidden="1" x14ac:dyDescent="0.3">
      <c r="A785">
        <v>193</v>
      </c>
      <c r="B785" t="str">
        <v>YABITO SA</v>
      </c>
      <c r="C785" s="6">
        <v>0</v>
      </c>
      <c r="D785" s="6">
        <v>0</v>
      </c>
      <c r="E785" t="str">
        <v>Pesos</v>
      </c>
      <c r="F785" t="str">
        <v xml:space="preserve"> $</v>
      </c>
      <c r="G785" t="str">
        <f>IFERROR(VLOOKUP(A785,'Clientes CBOT'!B:E,4,0),B785)</f>
        <v>YABITO SA</v>
      </c>
      <c r="H785" t="str">
        <f t="shared" si="36"/>
        <v>Ars</v>
      </c>
      <c r="I785" s="6">
        <f t="shared" si="37"/>
        <v>0</v>
      </c>
      <c r="J785">
        <f t="shared" si="38"/>
        <v>0</v>
      </c>
    </row>
    <row r="786" spans="1:10" hidden="1" x14ac:dyDescent="0.3">
      <c r="A786">
        <v>192</v>
      </c>
      <c r="B786" t="str">
        <v>YABITO SA</v>
      </c>
      <c r="C786" s="6">
        <v>0</v>
      </c>
      <c r="D786" s="6">
        <v>0</v>
      </c>
      <c r="E786" t="str">
        <v xml:space="preserve">Dólar </v>
      </c>
      <c r="F786" t="str">
        <v xml:space="preserve"> U$S</v>
      </c>
      <c r="G786" t="str">
        <f>IFERROR(VLOOKUP(A786,'Clientes CBOT'!B:E,4,0),B786)</f>
        <v>YABITO SA</v>
      </c>
      <c r="H786" t="str">
        <f t="shared" si="36"/>
        <v>Dólar</v>
      </c>
      <c r="I786" s="6">
        <f t="shared" si="37"/>
        <v>0</v>
      </c>
      <c r="J786">
        <f t="shared" si="38"/>
        <v>0</v>
      </c>
    </row>
    <row r="787" spans="1:10" hidden="1" x14ac:dyDescent="0.3">
      <c r="A787">
        <v>191</v>
      </c>
      <c r="B787" t="str">
        <v>YABITO SA</v>
      </c>
      <c r="C787" s="6">
        <v>0</v>
      </c>
      <c r="D787" s="6">
        <v>0</v>
      </c>
      <c r="E787" t="str">
        <v xml:space="preserve">Dólar </v>
      </c>
      <c r="F787" t="str">
        <v xml:space="preserve"> U$S</v>
      </c>
      <c r="G787" t="str">
        <f>IFERROR(VLOOKUP(A787,'Clientes CBOT'!B:E,4,0),B787)</f>
        <v>YABITO SA</v>
      </c>
      <c r="H787" t="str">
        <f t="shared" si="36"/>
        <v>Dólar</v>
      </c>
      <c r="I787" s="6">
        <f t="shared" si="37"/>
        <v>0</v>
      </c>
      <c r="J787">
        <f t="shared" si="38"/>
        <v>0</v>
      </c>
    </row>
    <row r="788" spans="1:10" hidden="1" x14ac:dyDescent="0.3">
      <c r="A788">
        <v>335</v>
      </c>
      <c r="B788" t="str">
        <v>TERRA VERDE AGRO INSUMOS S.A.</v>
      </c>
      <c r="C788" s="6">
        <v>301400</v>
      </c>
      <c r="D788" s="6">
        <v>0</v>
      </c>
      <c r="E788" t="str">
        <v xml:space="preserve">Dólar </v>
      </c>
      <c r="F788" t="str">
        <v xml:space="preserve"> U$S</v>
      </c>
      <c r="G788" t="str">
        <f>IFERROR(VLOOKUP(A788,'Clientes CBOT'!B:E,4,0),B788)</f>
        <v>TERRA VERDE AGRO INSUMOS S.A.</v>
      </c>
      <c r="H788" t="str">
        <f t="shared" si="36"/>
        <v>Dólar</v>
      </c>
      <c r="I788" s="6">
        <f t="shared" si="37"/>
        <v>301400</v>
      </c>
      <c r="J788">
        <f t="shared" si="38"/>
        <v>0</v>
      </c>
    </row>
    <row r="789" spans="1:10" hidden="1" x14ac:dyDescent="0.3">
      <c r="A789">
        <v>28</v>
      </c>
      <c r="B789" t="str">
        <v>El Mirador de Lincoln SA</v>
      </c>
      <c r="C789" s="6">
        <v>2193.7800000000002</v>
      </c>
      <c r="D789" s="6">
        <v>0</v>
      </c>
      <c r="E789" t="str">
        <v xml:space="preserve">Dólar </v>
      </c>
      <c r="F789" t="str">
        <v xml:space="preserve"> U$S</v>
      </c>
      <c r="G789">
        <f>IFERROR(VLOOKUP(A789,'Clientes CBOT'!B:E,4,0),B789)</f>
        <v>13008</v>
      </c>
      <c r="H789" t="str">
        <f t="shared" si="36"/>
        <v>Dólar</v>
      </c>
      <c r="I789" s="6">
        <f t="shared" si="37"/>
        <v>2193.7800000000002</v>
      </c>
      <c r="J789">
        <f t="shared" si="38"/>
        <v>0</v>
      </c>
    </row>
    <row r="790" spans="1:10" hidden="1" x14ac:dyDescent="0.3">
      <c r="A790">
        <v>472</v>
      </c>
      <c r="B790" t="str">
        <v>GESAGRO SA</v>
      </c>
      <c r="C790" s="6">
        <v>0</v>
      </c>
      <c r="D790" s="6">
        <v>0</v>
      </c>
      <c r="E790" t="str">
        <v xml:space="preserve">Dólar </v>
      </c>
      <c r="F790" t="str">
        <v xml:space="preserve"> U$S</v>
      </c>
      <c r="G790" t="str">
        <f>IFERROR(VLOOKUP(A790,'Clientes CBOT'!B:E,4,0),B790)</f>
        <v>GESAGRO SA</v>
      </c>
      <c r="H790" t="str">
        <f t="shared" si="36"/>
        <v>Dólar</v>
      </c>
      <c r="I790" s="6">
        <f t="shared" si="37"/>
        <v>0</v>
      </c>
      <c r="J790">
        <f t="shared" si="38"/>
        <v>0</v>
      </c>
    </row>
    <row r="791" spans="1:10" hidden="1" x14ac:dyDescent="0.3">
      <c r="A791">
        <v>460</v>
      </c>
      <c r="B791" t="str">
        <v>CAVAGLIA MAURICIO GUSTAVO</v>
      </c>
      <c r="C791" s="6">
        <v>0</v>
      </c>
      <c r="D791" s="6">
        <v>0</v>
      </c>
      <c r="E791" t="str">
        <v xml:space="preserve">Dólar </v>
      </c>
      <c r="F791" t="str">
        <v xml:space="preserve"> U$S</v>
      </c>
      <c r="G791" t="str">
        <f>IFERROR(VLOOKUP(A791,'Clientes CBOT'!B:E,4,0),B791)</f>
        <v>CAVAGLIA MAURICIO GUSTAVO</v>
      </c>
      <c r="H791" t="str">
        <f t="shared" si="36"/>
        <v>Dólar</v>
      </c>
      <c r="I791" s="6">
        <f t="shared" si="37"/>
        <v>0</v>
      </c>
      <c r="J791">
        <f t="shared" si="38"/>
        <v>0</v>
      </c>
    </row>
    <row r="792" spans="1:10" hidden="1" x14ac:dyDescent="0.3">
      <c r="A792">
        <v>127</v>
      </c>
      <c r="B792" t="str">
        <v>FELIPE CROSETTI SA</v>
      </c>
      <c r="C792" s="6">
        <v>0.13</v>
      </c>
      <c r="D792" s="6">
        <v>0</v>
      </c>
      <c r="E792" t="str">
        <v xml:space="preserve">Dólar </v>
      </c>
      <c r="F792" t="str">
        <v xml:space="preserve"> U$S</v>
      </c>
      <c r="G792" t="str">
        <f>IFERROR(VLOOKUP(A792,'Clientes CBOT'!B:E,4,0),B792)</f>
        <v>FELIPE CROSETTI SA</v>
      </c>
      <c r="H792" t="str">
        <f t="shared" si="36"/>
        <v>Dólar</v>
      </c>
      <c r="I792" s="6">
        <f t="shared" si="37"/>
        <v>0.13</v>
      </c>
      <c r="J792">
        <f t="shared" si="38"/>
        <v>0</v>
      </c>
    </row>
    <row r="793" spans="1:10" hidden="1" x14ac:dyDescent="0.3">
      <c r="A793">
        <v>73</v>
      </c>
      <c r="B793" t="str">
        <v>YABITO SA</v>
      </c>
      <c r="C793" s="6">
        <v>0</v>
      </c>
      <c r="D793" s="6">
        <v>28478.77</v>
      </c>
      <c r="E793" t="str">
        <v xml:space="preserve">Dólar </v>
      </c>
      <c r="F793" t="str">
        <v xml:space="preserve"> U$S</v>
      </c>
      <c r="G793">
        <f>IFERROR(VLOOKUP(A793,'Clientes CBOT'!B:E,4,0),B793)</f>
        <v>13010</v>
      </c>
      <c r="H793" t="str">
        <f t="shared" si="36"/>
        <v>Dólar</v>
      </c>
      <c r="I793" s="6">
        <f t="shared" si="37"/>
        <v>0</v>
      </c>
      <c r="J793">
        <f t="shared" si="38"/>
        <v>28478.77</v>
      </c>
    </row>
    <row r="794" spans="1:10" hidden="1" x14ac:dyDescent="0.3">
      <c r="A794">
        <v>79</v>
      </c>
      <c r="B794" t="str">
        <v>LA TAJADA SAACEI</v>
      </c>
      <c r="C794" s="6">
        <v>0</v>
      </c>
      <c r="D794" s="6">
        <v>0</v>
      </c>
      <c r="E794" t="str">
        <v xml:space="preserve">Dólar </v>
      </c>
      <c r="F794" t="str">
        <v xml:space="preserve"> U$S</v>
      </c>
      <c r="G794" t="str">
        <f>IFERROR(VLOOKUP(A794,'Clientes CBOT'!B:E,4,0),B794)</f>
        <v>LA TAJADA SAACEI</v>
      </c>
      <c r="H794" t="str">
        <f t="shared" si="36"/>
        <v>Dólar</v>
      </c>
      <c r="I794" s="6">
        <f t="shared" si="37"/>
        <v>0</v>
      </c>
      <c r="J794">
        <f t="shared" si="38"/>
        <v>0</v>
      </c>
    </row>
    <row r="795" spans="1:10" hidden="1" x14ac:dyDescent="0.3">
      <c r="A795">
        <v>73</v>
      </c>
      <c r="B795" t="str">
        <v>YABITO SA</v>
      </c>
      <c r="C795" s="6">
        <v>25235</v>
      </c>
      <c r="D795" s="6">
        <v>0</v>
      </c>
      <c r="E795" t="str">
        <v>Dólar Cable</v>
      </c>
      <c r="F795" t="str">
        <v xml:space="preserve"> U$S TT</v>
      </c>
      <c r="G795">
        <f>IFERROR(VLOOKUP(A795,'Clientes CBOT'!B:E,4,0),B795)</f>
        <v>13010</v>
      </c>
      <c r="H795" t="str">
        <f t="shared" si="36"/>
        <v>Hard</v>
      </c>
      <c r="I795" s="6">
        <f t="shared" si="37"/>
        <v>25235</v>
      </c>
      <c r="J795">
        <f t="shared" si="38"/>
        <v>0</v>
      </c>
    </row>
    <row r="796" spans="1:10" hidden="1" x14ac:dyDescent="0.3">
      <c r="A796">
        <v>28</v>
      </c>
      <c r="B796" t="str">
        <v>El Mirador de Lincoln SA</v>
      </c>
      <c r="C796" s="6">
        <v>7.32</v>
      </c>
      <c r="D796" s="6">
        <v>0</v>
      </c>
      <c r="E796" t="str">
        <v>Dólar Cable</v>
      </c>
      <c r="F796" t="str">
        <v xml:space="preserve"> U$S TT</v>
      </c>
      <c r="G796">
        <f>IFERROR(VLOOKUP(A796,'Clientes CBOT'!B:E,4,0),B796)</f>
        <v>13008</v>
      </c>
      <c r="H796" t="str">
        <f t="shared" si="36"/>
        <v>Hard</v>
      </c>
      <c r="I796" s="6">
        <f t="shared" si="37"/>
        <v>7.32</v>
      </c>
      <c r="J796">
        <f t="shared" si="38"/>
        <v>0</v>
      </c>
    </row>
    <row r="797" spans="1:10" hidden="1" x14ac:dyDescent="0.3">
      <c r="A797">
        <v>28</v>
      </c>
      <c r="B797" t="str">
        <v>El Mirador de Lincoln SA</v>
      </c>
      <c r="C797" s="6">
        <v>0</v>
      </c>
      <c r="D797" s="6">
        <v>0</v>
      </c>
      <c r="E797" t="str">
        <v>Dólar Matba Rofex</v>
      </c>
      <c r="F797" t="str">
        <v xml:space="preserve"> U$S MR</v>
      </c>
      <c r="G797">
        <f>IFERROR(VLOOKUP(A797,'Clientes CBOT'!B:E,4,0),B797)</f>
        <v>13008</v>
      </c>
      <c r="H797" t="str">
        <f t="shared" si="36"/>
        <v>usd linked</v>
      </c>
      <c r="I797" s="6">
        <f t="shared" si="37"/>
        <v>0</v>
      </c>
      <c r="J797">
        <f t="shared" si="38"/>
        <v>0</v>
      </c>
    </row>
    <row r="798" spans="1:10" hidden="1" x14ac:dyDescent="0.3">
      <c r="A798">
        <v>43</v>
      </c>
      <c r="B798" t="str">
        <v>GRANOS Y SEMILLAS SA</v>
      </c>
      <c r="C798" s="6">
        <v>0</v>
      </c>
      <c r="D798" s="6">
        <v>1525</v>
      </c>
      <c r="E798" t="str">
        <v>Dólar Matba Rofex</v>
      </c>
      <c r="F798" t="str">
        <v xml:space="preserve"> U$S MR</v>
      </c>
      <c r="G798" t="str">
        <f>IFERROR(VLOOKUP(A798,'Clientes CBOT'!B:E,4,0),B798)</f>
        <v>GRANOS Y SEMILLAS SA</v>
      </c>
      <c r="H798" t="str">
        <f t="shared" si="36"/>
        <v>usd linked</v>
      </c>
      <c r="I798" s="6">
        <f t="shared" si="37"/>
        <v>0</v>
      </c>
      <c r="J798">
        <f t="shared" si="38"/>
        <v>1525</v>
      </c>
    </row>
    <row r="799" spans="1:10" hidden="1" x14ac:dyDescent="0.3">
      <c r="A799">
        <v>73</v>
      </c>
      <c r="B799" t="str">
        <v>YABITO SA</v>
      </c>
      <c r="C799" s="6">
        <v>0</v>
      </c>
      <c r="D799" s="6">
        <v>75237.960000000006</v>
      </c>
      <c r="E799" t="str">
        <v>Dólar Matba Rofex</v>
      </c>
      <c r="F799" t="str">
        <v xml:space="preserve"> U$S MR</v>
      </c>
      <c r="G799">
        <f>IFERROR(VLOOKUP(A799,'Clientes CBOT'!B:E,4,0),B799)</f>
        <v>13010</v>
      </c>
      <c r="H799" t="str">
        <f t="shared" si="36"/>
        <v>usd linked</v>
      </c>
      <c r="I799" s="6">
        <f t="shared" si="37"/>
        <v>0</v>
      </c>
      <c r="J799">
        <f t="shared" si="38"/>
        <v>75237.960000000006</v>
      </c>
    </row>
    <row r="800" spans="1:10" hidden="1" x14ac:dyDescent="0.3">
      <c r="A800">
        <v>79</v>
      </c>
      <c r="B800" t="str">
        <v>LA TAJADA SAACEI</v>
      </c>
      <c r="C800" s="6">
        <v>-0.01</v>
      </c>
      <c r="D800" s="6">
        <v>0</v>
      </c>
      <c r="E800" t="str">
        <v>Dólar Matba Rofex</v>
      </c>
      <c r="F800" t="str">
        <v xml:space="preserve"> U$S MR</v>
      </c>
      <c r="G800" t="str">
        <f>IFERROR(VLOOKUP(A800,'Clientes CBOT'!B:E,4,0),B800)</f>
        <v>LA TAJADA SAACEI</v>
      </c>
      <c r="H800" t="str">
        <f t="shared" si="36"/>
        <v>usd linked</v>
      </c>
      <c r="I800" s="6">
        <f t="shared" si="37"/>
        <v>-0.01</v>
      </c>
      <c r="J800">
        <f t="shared" si="38"/>
        <v>0</v>
      </c>
    </row>
    <row r="801" spans="1:10" hidden="1" x14ac:dyDescent="0.3">
      <c r="A801">
        <v>164</v>
      </c>
      <c r="B801" t="str">
        <v>A &amp; T Y ASOCIADOS SA</v>
      </c>
      <c r="C801" s="6">
        <v>0</v>
      </c>
      <c r="D801" s="6">
        <v>0</v>
      </c>
      <c r="E801" t="str">
        <v>Dólar Matba Rofex</v>
      </c>
      <c r="F801" t="str">
        <v xml:space="preserve"> U$S MR</v>
      </c>
      <c r="G801" t="str">
        <f>IFERROR(VLOOKUP(A801,'Clientes CBOT'!B:E,4,0),B801)</f>
        <v>A &amp; T Y ASOCIADOS SA</v>
      </c>
      <c r="H801" t="str">
        <f t="shared" si="36"/>
        <v>usd linked</v>
      </c>
      <c r="I801" s="6">
        <f t="shared" si="37"/>
        <v>0</v>
      </c>
      <c r="J801">
        <f t="shared" si="38"/>
        <v>0</v>
      </c>
    </row>
    <row r="802" spans="1:10" hidden="1" x14ac:dyDescent="0.3">
      <c r="A802">
        <v>335</v>
      </c>
      <c r="B802" t="str">
        <v>TERRA VERDE AGRO INSUMOS S.A.</v>
      </c>
      <c r="C802" s="6">
        <v>0</v>
      </c>
      <c r="D802" s="6">
        <v>0</v>
      </c>
      <c r="E802" t="str">
        <v>Dólar Matba Rofex</v>
      </c>
      <c r="F802" t="str">
        <v xml:space="preserve"> U$S MR</v>
      </c>
      <c r="G802" t="str">
        <f>IFERROR(VLOOKUP(A802,'Clientes CBOT'!B:E,4,0),B802)</f>
        <v>TERRA VERDE AGRO INSUMOS S.A.</v>
      </c>
      <c r="H802" t="str">
        <f t="shared" si="36"/>
        <v>usd linked</v>
      </c>
      <c r="I802" s="6">
        <f t="shared" si="37"/>
        <v>0</v>
      </c>
      <c r="J802">
        <f t="shared" si="38"/>
        <v>0</v>
      </c>
    </row>
    <row r="803" spans="1:10" hidden="1" x14ac:dyDescent="0.3">
      <c r="A803">
        <v>333</v>
      </c>
      <c r="B803" t="str">
        <v>GRANOS Y SEMILLAS SA</v>
      </c>
      <c r="C803" s="6">
        <v>0</v>
      </c>
      <c r="D803" s="6">
        <v>0</v>
      </c>
      <c r="E803" t="str">
        <v>Dólar Matba Rofex</v>
      </c>
      <c r="F803" t="str">
        <v xml:space="preserve"> U$S MR</v>
      </c>
      <c r="G803" t="str">
        <f>IFERROR(VLOOKUP(A803,'Clientes CBOT'!B:E,4,0),B803)</f>
        <v>GRANOS Y SEMILLAS SA</v>
      </c>
      <c r="H803" t="str">
        <f t="shared" si="36"/>
        <v>usd linked</v>
      </c>
      <c r="I803" s="6">
        <f t="shared" si="37"/>
        <v>0</v>
      </c>
      <c r="J803">
        <f t="shared" si="38"/>
        <v>0</v>
      </c>
    </row>
    <row r="804" spans="1:10" hidden="1" x14ac:dyDescent="0.3">
      <c r="A804">
        <v>312</v>
      </c>
      <c r="B804" t="str">
        <v>GRANOS Y SEMILLAS SA</v>
      </c>
      <c r="C804" s="6">
        <v>0</v>
      </c>
      <c r="D804" s="6">
        <v>0</v>
      </c>
      <c r="E804" t="str">
        <v>Dólar Matba Rofex</v>
      </c>
      <c r="F804" t="str">
        <v xml:space="preserve"> U$S MR</v>
      </c>
      <c r="G804" t="str">
        <f>IFERROR(VLOOKUP(A804,'Clientes CBOT'!B:E,4,0),B804)</f>
        <v>GRANOS Y SEMILLAS SA</v>
      </c>
      <c r="H804" t="str">
        <f t="shared" si="36"/>
        <v>usd linked</v>
      </c>
      <c r="I804" s="6">
        <f t="shared" si="37"/>
        <v>0</v>
      </c>
      <c r="J804">
        <f t="shared" si="38"/>
        <v>0</v>
      </c>
    </row>
    <row r="805" spans="1:10" x14ac:dyDescent="0.3">
      <c r="A805">
        <v>313</v>
      </c>
      <c r="B805" t="str">
        <v>GRANOS Y SEMILLAS SA</v>
      </c>
      <c r="C805" s="6">
        <v>0</v>
      </c>
      <c r="D805" s="6">
        <v>0</v>
      </c>
      <c r="E805" t="str">
        <v>Dólar Matba Rofex</v>
      </c>
      <c r="F805" t="str">
        <v xml:space="preserve"> U$S MR</v>
      </c>
      <c r="G805" t="str">
        <f>IFERROR(VLOOKUP(A805,'Clientes CBOT'!B:E,4,0),B805)</f>
        <v>GRANOS Y SEMILLAS SA</v>
      </c>
      <c r="H805" t="str">
        <f t="shared" si="36"/>
        <v>usd linked</v>
      </c>
      <c r="I805" s="6">
        <f t="shared" si="37"/>
        <v>0</v>
      </c>
      <c r="J805">
        <f t="shared" si="38"/>
        <v>0</v>
      </c>
    </row>
    <row r="806" spans="1:10" x14ac:dyDescent="0.3">
      <c r="A806">
        <v>242</v>
      </c>
      <c r="B806" t="str">
        <v>GRANOS Y SEMILLAS SA</v>
      </c>
      <c r="C806" s="6">
        <v>0</v>
      </c>
      <c r="D806" s="6">
        <v>0</v>
      </c>
      <c r="E806" t="str">
        <v>Dólar Matba Rofex</v>
      </c>
      <c r="F806" t="str">
        <v xml:space="preserve"> U$S MR</v>
      </c>
      <c r="G806" t="str">
        <f>IFERROR(VLOOKUP(A806,'Clientes CBOT'!B:E,4,0),B806)</f>
        <v>GRANOS Y SEMILLAS SA</v>
      </c>
      <c r="H806" t="str">
        <f t="shared" si="36"/>
        <v>usd linked</v>
      </c>
      <c r="I806" s="6">
        <f t="shared" si="37"/>
        <v>0</v>
      </c>
      <c r="J806">
        <f t="shared" si="38"/>
        <v>0</v>
      </c>
    </row>
    <row r="807" spans="1:10" hidden="1" x14ac:dyDescent="0.3">
      <c r="A807">
        <v>191</v>
      </c>
      <c r="B807" t="str">
        <v>YABITO SA</v>
      </c>
      <c r="C807" s="6">
        <v>0</v>
      </c>
      <c r="D807" s="6">
        <v>0</v>
      </c>
      <c r="E807" t="str">
        <v>Dólar Matba Rofex</v>
      </c>
      <c r="F807" t="str">
        <v xml:space="preserve"> U$S MR</v>
      </c>
      <c r="G807" t="str">
        <f>IFERROR(VLOOKUP(A807,'Clientes CBOT'!B:E,4,0),B807)</f>
        <v>YABITO SA</v>
      </c>
      <c r="H807" t="str">
        <f t="shared" si="36"/>
        <v>usd linked</v>
      </c>
      <c r="I807" s="6">
        <f t="shared" si="37"/>
        <v>0</v>
      </c>
      <c r="J807">
        <f t="shared" si="38"/>
        <v>0</v>
      </c>
    </row>
    <row r="808" spans="1:10" hidden="1" x14ac:dyDescent="0.3">
      <c r="A808">
        <v>192</v>
      </c>
      <c r="B808" t="str">
        <v>YABITO SA</v>
      </c>
      <c r="C808" s="6">
        <v>0</v>
      </c>
      <c r="D808" s="6">
        <v>0</v>
      </c>
      <c r="E808" t="str">
        <v>Dólar Matba Rofex</v>
      </c>
      <c r="F808" t="str">
        <v xml:space="preserve"> U$S MR</v>
      </c>
      <c r="G808" t="str">
        <f>IFERROR(VLOOKUP(A808,'Clientes CBOT'!B:E,4,0),B808)</f>
        <v>YABITO SA</v>
      </c>
      <c r="H808" t="str">
        <f t="shared" si="36"/>
        <v>usd linked</v>
      </c>
      <c r="I808" s="6">
        <f t="shared" si="37"/>
        <v>0</v>
      </c>
      <c r="J808">
        <f t="shared" si="38"/>
        <v>0</v>
      </c>
    </row>
    <row r="809" spans="1:10" hidden="1" x14ac:dyDescent="0.3">
      <c r="A809">
        <v>193</v>
      </c>
      <c r="B809" t="str">
        <v>YABITO SA</v>
      </c>
      <c r="C809" s="6">
        <v>0</v>
      </c>
      <c r="D809" s="6">
        <v>0</v>
      </c>
      <c r="E809" t="str">
        <v>Dólar Matba Rofex</v>
      </c>
      <c r="F809" t="str">
        <v xml:space="preserve"> U$S MR</v>
      </c>
      <c r="G809" t="str">
        <f>IFERROR(VLOOKUP(A809,'Clientes CBOT'!B:E,4,0),B809)</f>
        <v>YABITO SA</v>
      </c>
      <c r="H809" t="str">
        <f t="shared" si="36"/>
        <v>usd linked</v>
      </c>
      <c r="I809" s="6">
        <f t="shared" si="37"/>
        <v>0</v>
      </c>
      <c r="J809">
        <f t="shared" si="38"/>
        <v>0</v>
      </c>
    </row>
    <row r="810" spans="1:10" hidden="1" x14ac:dyDescent="0.3">
      <c r="A810">
        <v>214</v>
      </c>
      <c r="B810" t="str">
        <v>GALEAZZI SA</v>
      </c>
      <c r="C810" s="6">
        <v>-8650</v>
      </c>
      <c r="D810" s="6">
        <v>0</v>
      </c>
      <c r="E810" t="str">
        <v>Dólar Matba Rofex</v>
      </c>
      <c r="F810" t="str">
        <v xml:space="preserve"> U$S MR</v>
      </c>
      <c r="G810" t="str">
        <f>IFERROR(VLOOKUP(A810,'Clientes CBOT'!B:E,4,0),B810)</f>
        <v>GALEAZZI SA</v>
      </c>
      <c r="H810" t="str">
        <f t="shared" si="36"/>
        <v>usd linked</v>
      </c>
      <c r="I810" s="6">
        <f t="shared" si="37"/>
        <v>-8650</v>
      </c>
      <c r="J810">
        <f t="shared" si="38"/>
        <v>0</v>
      </c>
    </row>
    <row r="811" spans="1:10" hidden="1" x14ac:dyDescent="0.3">
      <c r="A811">
        <v>218</v>
      </c>
      <c r="B811" t="str">
        <v>FLOR DEL CARDO SRL</v>
      </c>
      <c r="C811" s="6">
        <v>0</v>
      </c>
      <c r="D811" s="6">
        <v>0</v>
      </c>
      <c r="E811" t="str">
        <v>Dólar Matba Rofex</v>
      </c>
      <c r="F811" t="str">
        <v xml:space="preserve"> U$S MR</v>
      </c>
      <c r="G811" t="str">
        <f>IFERROR(VLOOKUP(A811,'Clientes CBOT'!B:E,4,0),B811)</f>
        <v>FLOR DEL CARDO SRL</v>
      </c>
      <c r="H811" t="str">
        <f t="shared" si="36"/>
        <v>usd linked</v>
      </c>
      <c r="I811" s="6">
        <f t="shared" si="37"/>
        <v>0</v>
      </c>
      <c r="J811">
        <f t="shared" si="38"/>
        <v>0</v>
      </c>
    </row>
    <row r="812" spans="1:10" hidden="1" x14ac:dyDescent="0.3">
      <c r="A812">
        <v>245</v>
      </c>
      <c r="B812" t="str">
        <v>FERIAS DEL NORTE SACIA</v>
      </c>
      <c r="C812" s="6">
        <v>0</v>
      </c>
      <c r="D812" s="6">
        <v>0</v>
      </c>
      <c r="E812" t="str">
        <v>Dólar Matba Rofex</v>
      </c>
      <c r="F812" t="str">
        <v xml:space="preserve"> U$S MR</v>
      </c>
      <c r="G812" t="str">
        <f>IFERROR(VLOOKUP(A812,'Clientes CBOT'!B:E,4,0),B812)</f>
        <v>FERIAS DEL NORTE SACIA</v>
      </c>
      <c r="H812" t="str">
        <f t="shared" si="36"/>
        <v>usd linked</v>
      </c>
      <c r="I812" s="6">
        <f t="shared" si="37"/>
        <v>0</v>
      </c>
      <c r="J812">
        <f t="shared" si="38"/>
        <v>0</v>
      </c>
    </row>
    <row r="813" spans="1:10" hidden="1" x14ac:dyDescent="0.3">
      <c r="A813">
        <v>239</v>
      </c>
      <c r="B813" t="str">
        <v>GRANOS Y SEMILLAS SA</v>
      </c>
      <c r="C813" s="6">
        <v>0</v>
      </c>
      <c r="D813" s="6">
        <v>0</v>
      </c>
      <c r="E813" t="str">
        <v>Dólar Matba Rofex</v>
      </c>
      <c r="F813" t="str">
        <v xml:space="preserve"> U$S MR</v>
      </c>
      <c r="G813" t="str">
        <f>IFERROR(VLOOKUP(A813,'Clientes CBOT'!B:E,4,0),B813)</f>
        <v>GRANOS Y SEMILLAS SA</v>
      </c>
      <c r="H813" t="str">
        <f t="shared" si="36"/>
        <v>usd linked</v>
      </c>
      <c r="I813" s="6">
        <f t="shared" si="37"/>
        <v>0</v>
      </c>
      <c r="J813">
        <f t="shared" si="38"/>
        <v>0</v>
      </c>
    </row>
    <row r="814" spans="1:10" hidden="1" x14ac:dyDescent="0.3">
      <c r="A814">
        <v>380</v>
      </c>
      <c r="B814" t="str">
        <v>ESTANCIA TRES BONETES SAU</v>
      </c>
      <c r="C814" s="6">
        <v>0</v>
      </c>
      <c r="D814" s="6">
        <v>0</v>
      </c>
      <c r="E814" t="str">
        <v>Pesos</v>
      </c>
      <c r="F814" t="str">
        <v xml:space="preserve"> $</v>
      </c>
      <c r="G814" t="str">
        <f>IFERROR(VLOOKUP(A814,'Clientes CBOT'!B:E,4,0),B814)</f>
        <v>ESTANCIA TRES BONETES SAU</v>
      </c>
      <c r="H814" t="str">
        <f t="shared" si="36"/>
        <v>Ars</v>
      </c>
      <c r="I814" s="6">
        <f t="shared" si="37"/>
        <v>0</v>
      </c>
      <c r="J814">
        <f t="shared" si="38"/>
        <v>0</v>
      </c>
    </row>
    <row r="815" spans="1:10" hidden="1" x14ac:dyDescent="0.3">
      <c r="A815">
        <v>8</v>
      </c>
      <c r="B815" t="str">
        <v>BALDUCCHI JUAN JOSE</v>
      </c>
      <c r="C815" s="6">
        <v>0</v>
      </c>
      <c r="D815" s="6">
        <v>0</v>
      </c>
      <c r="E815" t="str">
        <v>Pesos</v>
      </c>
      <c r="F815" t="str">
        <v xml:space="preserve"> $</v>
      </c>
      <c r="G815" t="str">
        <f>IFERROR(VLOOKUP(A815,'Clientes CBOT'!B:E,4,0),B815)</f>
        <v>BALDUCCHI JUAN JOSE</v>
      </c>
      <c r="H815" t="str">
        <f t="shared" si="36"/>
        <v>Ars</v>
      </c>
      <c r="I815" s="6">
        <f t="shared" si="37"/>
        <v>0</v>
      </c>
      <c r="J815">
        <f t="shared" si="38"/>
        <v>0</v>
      </c>
    </row>
    <row r="816" spans="1:10" hidden="1" x14ac:dyDescent="0.3">
      <c r="A816">
        <v>9</v>
      </c>
      <c r="B816" t="str">
        <v>Balducchi MIguel Angel</v>
      </c>
      <c r="C816" s="6">
        <v>1.91</v>
      </c>
      <c r="D816" s="6">
        <v>0</v>
      </c>
      <c r="E816" t="str">
        <v>Pesos</v>
      </c>
      <c r="F816" t="str">
        <v xml:space="preserve"> $</v>
      </c>
      <c r="G816" t="str">
        <f>IFERROR(VLOOKUP(A816,'Clientes CBOT'!B:E,4,0),B816)</f>
        <v>Balducchi MIguel Angel</v>
      </c>
      <c r="H816" t="str">
        <f t="shared" si="36"/>
        <v>Ars</v>
      </c>
      <c r="I816" s="6">
        <f t="shared" si="37"/>
        <v>1.91</v>
      </c>
      <c r="J816">
        <f t="shared" si="38"/>
        <v>0</v>
      </c>
    </row>
    <row r="817" spans="1:10" hidden="1" x14ac:dyDescent="0.3">
      <c r="A817">
        <v>435</v>
      </c>
      <c r="B817" t="str">
        <v>CAMPO ALEGRE SA</v>
      </c>
      <c r="C817" s="6">
        <v>-0.2</v>
      </c>
      <c r="D817" s="6">
        <v>0</v>
      </c>
      <c r="E817" t="str">
        <v>Pesos</v>
      </c>
      <c r="F817" t="str">
        <v xml:space="preserve"> $</v>
      </c>
      <c r="G817" t="str">
        <f>IFERROR(VLOOKUP(A817,'Clientes CBOT'!B:E,4,0),B817)</f>
        <v>CAMPO ALEGRE SA</v>
      </c>
      <c r="H817" t="str">
        <f t="shared" si="36"/>
        <v>Ars</v>
      </c>
      <c r="I817" s="6">
        <f t="shared" si="37"/>
        <v>-0.2</v>
      </c>
      <c r="J817">
        <f t="shared" si="38"/>
        <v>0</v>
      </c>
    </row>
    <row r="818" spans="1:10" hidden="1" x14ac:dyDescent="0.3">
      <c r="A818">
        <v>435</v>
      </c>
      <c r="B818" t="str">
        <v>CAMPO ALEGRE SA</v>
      </c>
      <c r="C818" s="6">
        <v>0</v>
      </c>
      <c r="D818" s="6">
        <v>0</v>
      </c>
      <c r="E818" t="str">
        <v xml:space="preserve">Dólar </v>
      </c>
      <c r="F818" t="str">
        <v xml:space="preserve"> U$S</v>
      </c>
      <c r="G818" t="str">
        <f>IFERROR(VLOOKUP(A818,'Clientes CBOT'!B:E,4,0),B818)</f>
        <v>CAMPO ALEGRE SA</v>
      </c>
      <c r="H818" t="str">
        <f t="shared" si="36"/>
        <v>Dólar</v>
      </c>
      <c r="I818" s="6">
        <f t="shared" si="37"/>
        <v>0</v>
      </c>
      <c r="J818">
        <f t="shared" si="38"/>
        <v>0</v>
      </c>
    </row>
    <row r="819" spans="1:10" hidden="1" x14ac:dyDescent="0.3">
      <c r="A819">
        <v>9</v>
      </c>
      <c r="B819" t="str">
        <v>Balducchi MIguel Angel</v>
      </c>
      <c r="C819" s="6">
        <v>0</v>
      </c>
      <c r="D819" s="6">
        <v>10328</v>
      </c>
      <c r="E819" t="str">
        <v xml:space="preserve">Dólar </v>
      </c>
      <c r="F819" t="str">
        <v xml:space="preserve"> U$S</v>
      </c>
      <c r="G819" t="str">
        <f>IFERROR(VLOOKUP(A819,'Clientes CBOT'!B:E,4,0),B819)</f>
        <v>Balducchi MIguel Angel</v>
      </c>
      <c r="H819" t="str">
        <f t="shared" si="36"/>
        <v>Dólar</v>
      </c>
      <c r="I819" s="6">
        <f t="shared" si="37"/>
        <v>0</v>
      </c>
      <c r="J819">
        <f t="shared" si="38"/>
        <v>10328</v>
      </c>
    </row>
    <row r="820" spans="1:10" hidden="1" x14ac:dyDescent="0.3">
      <c r="A820">
        <v>380</v>
      </c>
      <c r="B820" t="str">
        <v>ESTANCIA TRES BONETES SAU</v>
      </c>
      <c r="C820" s="6">
        <v>0</v>
      </c>
      <c r="D820" s="6">
        <v>0</v>
      </c>
      <c r="E820" t="str">
        <v xml:space="preserve">Dólar </v>
      </c>
      <c r="F820" t="str">
        <v xml:space="preserve"> U$S</v>
      </c>
      <c r="G820" t="str">
        <f>IFERROR(VLOOKUP(A820,'Clientes CBOT'!B:E,4,0),B820)</f>
        <v>ESTANCIA TRES BONETES SAU</v>
      </c>
      <c r="H820" t="str">
        <f t="shared" si="36"/>
        <v>Dólar</v>
      </c>
      <c r="I820" s="6">
        <f t="shared" si="37"/>
        <v>0</v>
      </c>
      <c r="J820">
        <f t="shared" si="38"/>
        <v>0</v>
      </c>
    </row>
    <row r="821" spans="1:10" hidden="1" x14ac:dyDescent="0.3">
      <c r="A821">
        <v>9</v>
      </c>
      <c r="B821" t="str">
        <v>Balducchi MIguel Angel</v>
      </c>
      <c r="C821" s="6">
        <v>1248.5999999999999</v>
      </c>
      <c r="D821" s="6">
        <v>0</v>
      </c>
      <c r="E821" t="str">
        <v>Dólar Cable</v>
      </c>
      <c r="F821" t="str">
        <v xml:space="preserve"> U$S TT</v>
      </c>
      <c r="G821" t="str">
        <f>IFERROR(VLOOKUP(A821,'Clientes CBOT'!B:E,4,0),B821)</f>
        <v>Balducchi MIguel Angel</v>
      </c>
      <c r="H821" t="str">
        <f t="shared" si="36"/>
        <v>Hard</v>
      </c>
      <c r="I821" s="6">
        <f t="shared" si="37"/>
        <v>1248.5999999999999</v>
      </c>
      <c r="J821">
        <f t="shared" si="38"/>
        <v>0</v>
      </c>
    </row>
    <row r="822" spans="1:10" hidden="1" x14ac:dyDescent="0.3">
      <c r="A822">
        <v>8</v>
      </c>
      <c r="B822" t="str">
        <v>BALDUCCHI JUAN JOSE</v>
      </c>
      <c r="C822" s="6">
        <v>1567.73</v>
      </c>
      <c r="D822" s="6">
        <v>0</v>
      </c>
      <c r="E822" t="str">
        <v>Dólar Cable</v>
      </c>
      <c r="F822" t="str">
        <v xml:space="preserve"> U$S TT</v>
      </c>
      <c r="G822" t="str">
        <f>IFERROR(VLOOKUP(A822,'Clientes CBOT'!B:E,4,0),B822)</f>
        <v>BALDUCCHI JUAN JOSE</v>
      </c>
      <c r="H822" t="str">
        <f t="shared" si="36"/>
        <v>Hard</v>
      </c>
      <c r="I822" s="6">
        <f t="shared" si="37"/>
        <v>1567.73</v>
      </c>
      <c r="J822">
        <f t="shared" si="38"/>
        <v>0</v>
      </c>
    </row>
    <row r="823" spans="1:10" x14ac:dyDescent="0.3">
      <c r="A823">
        <v>9</v>
      </c>
      <c r="B823" t="str">
        <v>Balducchi MIguel Angel</v>
      </c>
      <c r="C823" s="6">
        <v>-2052.42</v>
      </c>
      <c r="D823" s="6">
        <v>0</v>
      </c>
      <c r="E823" t="str">
        <v>Dólar Matba Rofex</v>
      </c>
      <c r="F823" t="str">
        <v xml:space="preserve"> U$S MR</v>
      </c>
      <c r="G823" t="str">
        <f>IFERROR(VLOOKUP(A823,'Clientes CBOT'!B:E,4,0),B823)</f>
        <v>Balducchi MIguel Angel</v>
      </c>
      <c r="H823" t="str">
        <f t="shared" si="36"/>
        <v>usd linked</v>
      </c>
      <c r="I823" s="6">
        <f t="shared" si="37"/>
        <v>-2052.42</v>
      </c>
      <c r="J823">
        <f t="shared" si="38"/>
        <v>0</v>
      </c>
    </row>
    <row r="824" spans="1:10" hidden="1" x14ac:dyDescent="0.3">
      <c r="A824">
        <v>380</v>
      </c>
      <c r="B824" t="str">
        <v>ESTANCIA TRES BONETES SAU</v>
      </c>
      <c r="C824" s="6">
        <v>0</v>
      </c>
      <c r="D824" s="6">
        <v>0</v>
      </c>
      <c r="E824" t="str">
        <v>Dólar Matba Rofex</v>
      </c>
      <c r="F824" t="str">
        <v xml:space="preserve"> U$S MR</v>
      </c>
      <c r="G824" t="str">
        <f>IFERROR(VLOOKUP(A824,'Clientes CBOT'!B:E,4,0),B824)</f>
        <v>ESTANCIA TRES BONETES SAU</v>
      </c>
      <c r="H824" t="str">
        <f t="shared" si="36"/>
        <v>usd linked</v>
      </c>
      <c r="I824" s="6">
        <f t="shared" si="37"/>
        <v>0</v>
      </c>
      <c r="J824">
        <f t="shared" si="38"/>
        <v>0</v>
      </c>
    </row>
    <row r="825" spans="1:10" hidden="1" x14ac:dyDescent="0.3">
      <c r="A825">
        <v>358</v>
      </c>
      <c r="B825" t="str">
        <v>MOLINO CHABAS SA</v>
      </c>
      <c r="C825" s="6">
        <v>0</v>
      </c>
      <c r="D825" s="6">
        <v>-0.01</v>
      </c>
      <c r="E825" t="str">
        <v>Pesos</v>
      </c>
      <c r="F825" t="str">
        <v xml:space="preserve"> $</v>
      </c>
      <c r="G825" t="str">
        <f>IFERROR(VLOOKUP(A825,'Clientes CBOT'!B:E,4,0),B825)</f>
        <v>MOLINO CHABAS SA</v>
      </c>
      <c r="H825" t="str">
        <f t="shared" si="36"/>
        <v>Ars</v>
      </c>
      <c r="I825" s="6">
        <f t="shared" si="37"/>
        <v>0</v>
      </c>
      <c r="J825">
        <f t="shared" si="38"/>
        <v>-0.01</v>
      </c>
    </row>
    <row r="826" spans="1:10" hidden="1" x14ac:dyDescent="0.3">
      <c r="A826">
        <v>358</v>
      </c>
      <c r="B826" t="str">
        <v>MOLINO CHABAS SA</v>
      </c>
      <c r="C826" s="6">
        <v>0</v>
      </c>
      <c r="D826" s="6">
        <v>0</v>
      </c>
      <c r="E826" t="str">
        <v>Dólar Matba Rofex</v>
      </c>
      <c r="F826" t="str">
        <v xml:space="preserve"> U$S MR</v>
      </c>
      <c r="G826" t="str">
        <f>IFERROR(VLOOKUP(A826,'Clientes CBOT'!B:E,4,0),B826)</f>
        <v>MOLINO CHABAS SA</v>
      </c>
      <c r="H826" t="str">
        <f t="shared" si="36"/>
        <v>usd linked</v>
      </c>
      <c r="I826" s="6">
        <f t="shared" si="37"/>
        <v>0</v>
      </c>
      <c r="J826">
        <f t="shared" si="38"/>
        <v>0</v>
      </c>
    </row>
    <row r="827" spans="1:10" hidden="1" x14ac:dyDescent="0.3">
      <c r="A827">
        <v>353</v>
      </c>
      <c r="B827" t="str">
        <v>FAIN HECTOR E Y GUSTAVO RICARDO Y SERGIO DANIEL SA</v>
      </c>
      <c r="C827" s="6">
        <v>-178127436.63999999</v>
      </c>
      <c r="D827" s="6">
        <v>0</v>
      </c>
      <c r="E827" t="str">
        <v>Pesos</v>
      </c>
      <c r="F827" t="str">
        <v xml:space="preserve"> $</v>
      </c>
      <c r="G827" t="str">
        <f>IFERROR(VLOOKUP(A827,'Clientes CBOT'!B:E,4,0),B827)</f>
        <v>FAIN HECTOR E Y GUSTAVO RICARDO Y SERGIO DANIEL SA</v>
      </c>
      <c r="H827" t="str">
        <f t="shared" si="36"/>
        <v>Ars</v>
      </c>
      <c r="I827" s="6">
        <f t="shared" si="37"/>
        <v>-178127436.63999999</v>
      </c>
      <c r="J827">
        <f t="shared" si="38"/>
        <v>0</v>
      </c>
    </row>
    <row r="828" spans="1:10" hidden="1" x14ac:dyDescent="0.3">
      <c r="A828">
        <v>353</v>
      </c>
      <c r="B828" t="str">
        <v>FAIN HECTOR E Y GUSTAVO RICARDO Y SERGIO DANIEL SA</v>
      </c>
      <c r="C828" s="6">
        <v>0</v>
      </c>
      <c r="D828" s="6">
        <v>0</v>
      </c>
      <c r="E828" t="str">
        <v xml:space="preserve">Dólar </v>
      </c>
      <c r="F828" t="str">
        <v xml:space="preserve"> U$S</v>
      </c>
      <c r="G828" t="str">
        <f>IFERROR(VLOOKUP(A828,'Clientes CBOT'!B:E,4,0),B828)</f>
        <v>FAIN HECTOR E Y GUSTAVO RICARDO Y SERGIO DANIEL SA</v>
      </c>
      <c r="H828" t="str">
        <f t="shared" si="36"/>
        <v>Dólar</v>
      </c>
      <c r="I828" s="6">
        <f t="shared" si="37"/>
        <v>0</v>
      </c>
      <c r="J828">
        <f t="shared" si="38"/>
        <v>0</v>
      </c>
    </row>
    <row r="829" spans="1:10" hidden="1" x14ac:dyDescent="0.3">
      <c r="A829">
        <v>443</v>
      </c>
      <c r="B829" t="str">
        <v>MAN AGRO SA</v>
      </c>
      <c r="C829" s="6">
        <v>103904402.56999999</v>
      </c>
      <c r="D829" s="6">
        <v>0</v>
      </c>
      <c r="E829" t="str">
        <v>Pesos</v>
      </c>
      <c r="F829" t="str">
        <v xml:space="preserve"> $</v>
      </c>
      <c r="G829" t="str">
        <f>IFERROR(VLOOKUP(A829,'Clientes CBOT'!B:E,4,0),B829)</f>
        <v>MAN AGRO SA</v>
      </c>
      <c r="H829" t="str">
        <f t="shared" si="36"/>
        <v>Ars</v>
      </c>
      <c r="I829" s="6">
        <f t="shared" si="37"/>
        <v>103904402.56999999</v>
      </c>
      <c r="J829">
        <f t="shared" si="38"/>
        <v>0</v>
      </c>
    </row>
    <row r="830" spans="1:10" hidden="1" x14ac:dyDescent="0.3">
      <c r="A830">
        <v>443</v>
      </c>
      <c r="B830" t="str">
        <v>MAN AGRO SA</v>
      </c>
      <c r="C830" s="6">
        <v>-10.85</v>
      </c>
      <c r="D830" s="6">
        <v>0</v>
      </c>
      <c r="E830" t="str">
        <v xml:space="preserve">Dólar </v>
      </c>
      <c r="F830" t="str">
        <v xml:space="preserve"> U$S</v>
      </c>
      <c r="G830" t="str">
        <f>IFERROR(VLOOKUP(A830,'Clientes CBOT'!B:E,4,0),B830)</f>
        <v>MAN AGRO SA</v>
      </c>
      <c r="H830" t="str">
        <f t="shared" si="36"/>
        <v>Dólar</v>
      </c>
      <c r="I830" s="6">
        <f t="shared" si="37"/>
        <v>-10.85</v>
      </c>
      <c r="J830">
        <f t="shared" si="38"/>
        <v>0</v>
      </c>
    </row>
    <row r="831" spans="1:10" hidden="1" x14ac:dyDescent="0.3">
      <c r="A831">
        <v>443</v>
      </c>
      <c r="B831" t="str">
        <v>MAN AGRO SA</v>
      </c>
      <c r="C831" s="6">
        <v>9250</v>
      </c>
      <c r="D831" s="6">
        <v>1784452.35</v>
      </c>
      <c r="E831" t="str">
        <v>Dólar Matba Rofex</v>
      </c>
      <c r="F831" t="str">
        <v xml:space="preserve"> U$S MR</v>
      </c>
      <c r="G831" t="str">
        <f>IFERROR(VLOOKUP(A831,'Clientes CBOT'!B:E,4,0),B831)</f>
        <v>MAN AGRO SA</v>
      </c>
      <c r="H831" t="str">
        <f t="shared" si="36"/>
        <v>usd linked</v>
      </c>
      <c r="I831" s="6">
        <f t="shared" si="37"/>
        <v>9250</v>
      </c>
      <c r="J831">
        <f t="shared" si="38"/>
        <v>1784452.35</v>
      </c>
    </row>
    <row r="832" spans="1:10" hidden="1" x14ac:dyDescent="0.3">
      <c r="A832">
        <v>151</v>
      </c>
      <c r="B832" t="str">
        <v>TOSQUITA CEREALES S.A</v>
      </c>
      <c r="C832" s="6">
        <v>0</v>
      </c>
      <c r="D832" s="6">
        <v>0.44</v>
      </c>
      <c r="E832" t="str">
        <v>Pesos</v>
      </c>
      <c r="F832" t="str">
        <v xml:space="preserve"> $</v>
      </c>
      <c r="G832" t="str">
        <f>IFERROR(VLOOKUP(A832,'Clientes CBOT'!B:E,4,0),B832)</f>
        <v>TOSQUITA CEREALES S.A</v>
      </c>
      <c r="H832" t="str">
        <f t="shared" si="36"/>
        <v>Ars</v>
      </c>
      <c r="I832" s="6">
        <f t="shared" si="37"/>
        <v>0</v>
      </c>
      <c r="J832">
        <f t="shared" si="38"/>
        <v>0.44</v>
      </c>
    </row>
    <row r="833" spans="1:10" hidden="1" x14ac:dyDescent="0.3">
      <c r="A833">
        <v>151</v>
      </c>
      <c r="B833" t="str">
        <v>TOSQUITA CEREALES S.A</v>
      </c>
      <c r="C833" s="6">
        <v>0</v>
      </c>
      <c r="D833" s="6">
        <v>0</v>
      </c>
      <c r="E833" t="str">
        <v>Dólar Matba Rofex</v>
      </c>
      <c r="F833" t="str">
        <v xml:space="preserve"> U$S MR</v>
      </c>
      <c r="G833" t="str">
        <f>IFERROR(VLOOKUP(A833,'Clientes CBOT'!B:E,4,0),B833)</f>
        <v>TOSQUITA CEREALES S.A</v>
      </c>
      <c r="H833" t="str">
        <f t="shared" si="36"/>
        <v>usd linked</v>
      </c>
      <c r="I833" s="6">
        <f t="shared" si="37"/>
        <v>0</v>
      </c>
      <c r="J833">
        <f t="shared" si="38"/>
        <v>0</v>
      </c>
    </row>
    <row r="834" spans="1:10" hidden="1" x14ac:dyDescent="0.3">
      <c r="A834">
        <v>67</v>
      </c>
      <c r="B834" t="str">
        <v>VILLA MARIA CEREALES SRL</v>
      </c>
      <c r="C834" s="6">
        <v>-19.23</v>
      </c>
      <c r="D834" s="6">
        <v>0</v>
      </c>
      <c r="E834" t="str">
        <v>Pesos</v>
      </c>
      <c r="F834" t="str">
        <v xml:space="preserve"> $</v>
      </c>
      <c r="G834" t="str">
        <f>IFERROR(VLOOKUP(A834,'Clientes CBOT'!B:E,4,0),B834)</f>
        <v>VILLA MARIA CEREALES SRL</v>
      </c>
      <c r="H834" t="str">
        <f t="shared" si="36"/>
        <v>Ars</v>
      </c>
      <c r="I834" s="6">
        <f t="shared" si="37"/>
        <v>-19.23</v>
      </c>
      <c r="J834">
        <f t="shared" si="38"/>
        <v>0</v>
      </c>
    </row>
    <row r="835" spans="1:10" hidden="1" x14ac:dyDescent="0.3">
      <c r="A835">
        <v>374</v>
      </c>
      <c r="B835" t="str">
        <v>PRO DE MAN SA</v>
      </c>
      <c r="C835" s="6">
        <v>-10081250</v>
      </c>
      <c r="D835" s="6">
        <v>44553.01</v>
      </c>
      <c r="E835" t="str">
        <v>Pesos</v>
      </c>
      <c r="F835" t="str">
        <v xml:space="preserve"> $</v>
      </c>
      <c r="G835" t="str">
        <f>IFERROR(VLOOKUP(A835,'Clientes CBOT'!B:E,4,0),B835)</f>
        <v>PRO DE MAN SA</v>
      </c>
      <c r="H835" t="str">
        <f t="shared" si="36"/>
        <v>Ars</v>
      </c>
      <c r="I835" s="6">
        <f t="shared" si="37"/>
        <v>-10081250</v>
      </c>
      <c r="J835">
        <f t="shared" si="38"/>
        <v>44553.01</v>
      </c>
    </row>
    <row r="836" spans="1:10" hidden="1" x14ac:dyDescent="0.3">
      <c r="A836">
        <v>394</v>
      </c>
      <c r="B836" t="str">
        <v>SURSUNCORSA SAS</v>
      </c>
      <c r="C836" s="6">
        <v>0</v>
      </c>
      <c r="D836" s="6">
        <v>0</v>
      </c>
      <c r="E836" t="str">
        <v>Pesos</v>
      </c>
      <c r="F836" t="str">
        <v xml:space="preserve"> $</v>
      </c>
      <c r="G836" t="str">
        <f>IFERROR(VLOOKUP(A836,'Clientes CBOT'!B:E,4,0),B836)</f>
        <v>SURSUNCORSA SAS</v>
      </c>
      <c r="H836" t="str">
        <f t="shared" si="36"/>
        <v>Ars</v>
      </c>
      <c r="I836" s="6">
        <f t="shared" si="37"/>
        <v>0</v>
      </c>
      <c r="J836">
        <f t="shared" si="38"/>
        <v>0</v>
      </c>
    </row>
    <row r="837" spans="1:10" hidden="1" x14ac:dyDescent="0.3">
      <c r="A837">
        <v>409</v>
      </c>
      <c r="B837" t="str">
        <v>TRANSAGRO SA</v>
      </c>
      <c r="C837" s="6">
        <v>0</v>
      </c>
      <c r="D837" s="6">
        <v>0</v>
      </c>
      <c r="E837" t="str">
        <v>Pesos</v>
      </c>
      <c r="F837" t="str">
        <v xml:space="preserve"> $</v>
      </c>
      <c r="G837" t="str">
        <f>IFERROR(VLOOKUP(A837,'Clientes CBOT'!B:E,4,0),B837)</f>
        <v>TRANSAGRO SA</v>
      </c>
      <c r="H837" t="str">
        <f t="shared" ref="H837:H900" si="39">IF(E837="pesos","Ars",IF(E837="Dólar Matba Rofex","usd linked",IF(F837=" U$S TT","Hard","Dólar")))</f>
        <v>Ars</v>
      </c>
      <c r="I837" s="6">
        <f t="shared" ref="I837:I900" si="40">IF(H837="ars",C837/$J$1,IF(H837="Hard",C837*$J$2/$J$1,C837))</f>
        <v>0</v>
      </c>
      <c r="J837">
        <f t="shared" ref="J837:J900" si="41">IF(H837="ars",D837/$J$1,IF(H837="hard",D837*$J$2/$J$1,D837))</f>
        <v>0</v>
      </c>
    </row>
    <row r="838" spans="1:10" hidden="1" x14ac:dyDescent="0.3">
      <c r="A838">
        <v>374</v>
      </c>
      <c r="B838" t="str">
        <v>PRO DE MAN SA</v>
      </c>
      <c r="C838" s="6">
        <v>23.57</v>
      </c>
      <c r="D838" s="6">
        <v>0</v>
      </c>
      <c r="E838" t="str">
        <v xml:space="preserve">Dólar </v>
      </c>
      <c r="F838" t="str">
        <v xml:space="preserve"> U$S</v>
      </c>
      <c r="G838" t="str">
        <f>IFERROR(VLOOKUP(A838,'Clientes CBOT'!B:E,4,0),B838)</f>
        <v>PRO DE MAN SA</v>
      </c>
      <c r="H838" t="str">
        <f t="shared" si="39"/>
        <v>Dólar</v>
      </c>
      <c r="I838" s="6">
        <f t="shared" si="40"/>
        <v>23.57</v>
      </c>
      <c r="J838">
        <f t="shared" si="41"/>
        <v>0</v>
      </c>
    </row>
    <row r="839" spans="1:10" hidden="1" x14ac:dyDescent="0.3">
      <c r="A839">
        <v>67</v>
      </c>
      <c r="B839" t="str">
        <v>VILLA MARIA CEREALES SRL</v>
      </c>
      <c r="C839" s="6">
        <v>50.75</v>
      </c>
      <c r="D839" s="6">
        <v>0</v>
      </c>
      <c r="E839" t="str">
        <v xml:space="preserve">Dólar </v>
      </c>
      <c r="F839" t="str">
        <v xml:space="preserve"> U$S</v>
      </c>
      <c r="G839" t="str">
        <f>IFERROR(VLOOKUP(A839,'Clientes CBOT'!B:E,4,0),B839)</f>
        <v>VILLA MARIA CEREALES SRL</v>
      </c>
      <c r="H839" t="str">
        <f t="shared" si="39"/>
        <v>Dólar</v>
      </c>
      <c r="I839" s="6">
        <f t="shared" si="40"/>
        <v>50.75</v>
      </c>
      <c r="J839">
        <f t="shared" si="41"/>
        <v>0</v>
      </c>
    </row>
    <row r="840" spans="1:10" hidden="1" x14ac:dyDescent="0.3">
      <c r="A840">
        <v>374</v>
      </c>
      <c r="B840" t="str">
        <v>PRO DE MAN SA</v>
      </c>
      <c r="C840" s="6">
        <v>-2.86</v>
      </c>
      <c r="D840" s="6">
        <v>0</v>
      </c>
      <c r="E840" t="str">
        <v>Dólar Cable</v>
      </c>
      <c r="F840" t="str">
        <v xml:space="preserve"> U$S TT</v>
      </c>
      <c r="G840" t="str">
        <f>IFERROR(VLOOKUP(A840,'Clientes CBOT'!B:E,4,0),B840)</f>
        <v>PRO DE MAN SA</v>
      </c>
      <c r="H840" t="str">
        <f t="shared" si="39"/>
        <v>Hard</v>
      </c>
      <c r="I840" s="6">
        <f t="shared" si="40"/>
        <v>-2.86</v>
      </c>
      <c r="J840">
        <f t="shared" si="41"/>
        <v>0</v>
      </c>
    </row>
    <row r="841" spans="1:10" hidden="1" x14ac:dyDescent="0.3">
      <c r="A841">
        <v>374</v>
      </c>
      <c r="B841" t="str">
        <v>PRO DE MAN SA</v>
      </c>
      <c r="C841" s="6">
        <v>0</v>
      </c>
      <c r="D841" s="6">
        <v>0</v>
      </c>
      <c r="E841" t="str">
        <v>Dólar Matba Rofex</v>
      </c>
      <c r="F841" t="str">
        <v xml:space="preserve"> U$S MR</v>
      </c>
      <c r="G841" t="str">
        <f>IFERROR(VLOOKUP(A841,'Clientes CBOT'!B:E,4,0),B841)</f>
        <v>PRO DE MAN SA</v>
      </c>
      <c r="H841" t="str">
        <f t="shared" si="39"/>
        <v>usd linked</v>
      </c>
      <c r="I841" s="6">
        <f t="shared" si="40"/>
        <v>0</v>
      </c>
      <c r="J841">
        <f t="shared" si="41"/>
        <v>0</v>
      </c>
    </row>
    <row r="842" spans="1:10" hidden="1" x14ac:dyDescent="0.3">
      <c r="A842">
        <v>409</v>
      </c>
      <c r="B842" t="str">
        <v>TRANSAGRO SA</v>
      </c>
      <c r="C842" s="6">
        <v>0</v>
      </c>
      <c r="D842" s="6">
        <v>0</v>
      </c>
      <c r="E842" t="str">
        <v>Dólar Matba Rofex</v>
      </c>
      <c r="F842" t="str">
        <v xml:space="preserve"> U$S MR</v>
      </c>
      <c r="G842" t="str">
        <f>IFERROR(VLOOKUP(A842,'Clientes CBOT'!B:E,4,0),B842)</f>
        <v>TRANSAGRO SA</v>
      </c>
      <c r="H842" t="str">
        <f t="shared" si="39"/>
        <v>usd linked</v>
      </c>
      <c r="I842" s="6">
        <f t="shared" si="40"/>
        <v>0</v>
      </c>
      <c r="J842">
        <f t="shared" si="41"/>
        <v>0</v>
      </c>
    </row>
    <row r="843" spans="1:10" hidden="1" x14ac:dyDescent="0.3">
      <c r="A843">
        <v>67</v>
      </c>
      <c r="B843" t="str">
        <v>VILLA MARIA CEREALES SRL</v>
      </c>
      <c r="C843" s="6">
        <v>-1.92</v>
      </c>
      <c r="D843" s="6">
        <v>0</v>
      </c>
      <c r="E843" t="str">
        <v>Dólar Matba Rofex</v>
      </c>
      <c r="F843" t="str">
        <v xml:space="preserve"> U$S MR</v>
      </c>
      <c r="G843" t="str">
        <f>IFERROR(VLOOKUP(A843,'Clientes CBOT'!B:E,4,0),B843)</f>
        <v>VILLA MARIA CEREALES SRL</v>
      </c>
      <c r="H843" t="str">
        <f t="shared" si="39"/>
        <v>usd linked</v>
      </c>
      <c r="I843" s="6">
        <f t="shared" si="40"/>
        <v>-1.92</v>
      </c>
      <c r="J843">
        <f t="shared" si="41"/>
        <v>0</v>
      </c>
    </row>
    <row r="844" spans="1:10" hidden="1" x14ac:dyDescent="0.3">
      <c r="A844">
        <v>495</v>
      </c>
      <c r="B844" t="str">
        <v>BIOLATO LUCIANA EDITH</v>
      </c>
      <c r="C844" s="6">
        <v>506.14</v>
      </c>
      <c r="D844" s="6">
        <v>0.01</v>
      </c>
      <c r="E844" t="str">
        <v>Pesos</v>
      </c>
      <c r="F844" t="str">
        <v xml:space="preserve"> $</v>
      </c>
      <c r="G844" t="str">
        <f>IFERROR(VLOOKUP(A844,'Clientes CBOT'!B:E,4,0),B844)</f>
        <v>BIOLATO LUCIANA EDITH</v>
      </c>
      <c r="H844" t="str">
        <f t="shared" si="39"/>
        <v>Ars</v>
      </c>
      <c r="I844" s="6">
        <f t="shared" si="40"/>
        <v>506.14</v>
      </c>
      <c r="J844">
        <f t="shared" si="41"/>
        <v>0.01</v>
      </c>
    </row>
    <row r="845" spans="1:10" hidden="1" x14ac:dyDescent="0.3">
      <c r="A845">
        <v>497</v>
      </c>
      <c r="B845" t="str">
        <v>BIOLATO LEANDRO MARTIN</v>
      </c>
      <c r="C845" s="6">
        <v>0</v>
      </c>
      <c r="D845" s="6">
        <v>0</v>
      </c>
      <c r="E845" t="str">
        <v>Pesos</v>
      </c>
      <c r="F845" t="str">
        <v xml:space="preserve"> $</v>
      </c>
      <c r="G845" t="str">
        <f>IFERROR(VLOOKUP(A845,'Clientes CBOT'!B:E,4,0),B845)</f>
        <v>BIOLATO LEANDRO MARTIN</v>
      </c>
      <c r="H845" t="str">
        <f t="shared" si="39"/>
        <v>Ars</v>
      </c>
      <c r="I845" s="6">
        <f t="shared" si="40"/>
        <v>0</v>
      </c>
      <c r="J845">
        <f t="shared" si="41"/>
        <v>0</v>
      </c>
    </row>
    <row r="846" spans="1:10" x14ac:dyDescent="0.3">
      <c r="A846">
        <v>498</v>
      </c>
      <c r="B846" t="str">
        <v>TAZZIOLI PATRICIA MONICA</v>
      </c>
      <c r="C846" s="6">
        <v>0</v>
      </c>
      <c r="D846" s="6">
        <v>0</v>
      </c>
      <c r="E846" t="str">
        <v>Pesos</v>
      </c>
      <c r="F846" t="str">
        <v xml:space="preserve"> $</v>
      </c>
      <c r="G846" t="str">
        <f>IFERROR(VLOOKUP(A846,'Clientes CBOT'!B:E,4,0),B846)</f>
        <v>TAZZIOLI PATRICIA MONICA</v>
      </c>
      <c r="H846" t="str">
        <f t="shared" si="39"/>
        <v>Ars</v>
      </c>
      <c r="I846" s="6">
        <f t="shared" si="40"/>
        <v>0</v>
      </c>
      <c r="J846">
        <f t="shared" si="41"/>
        <v>0</v>
      </c>
    </row>
    <row r="847" spans="1:10" x14ac:dyDescent="0.3">
      <c r="A847">
        <v>130</v>
      </c>
      <c r="B847" t="str">
        <v>MANASSERO HNOS SRL</v>
      </c>
      <c r="C847" s="6">
        <v>-7331.22</v>
      </c>
      <c r="D847" s="6">
        <v>-0.14000000000000001</v>
      </c>
      <c r="E847" t="str">
        <v>Pesos</v>
      </c>
      <c r="F847" t="str">
        <v xml:space="preserve"> $</v>
      </c>
      <c r="G847" t="str">
        <f>IFERROR(VLOOKUP(A847,'Clientes CBOT'!B:E,4,0),B847)</f>
        <v>MANASSERO HNOS SRL</v>
      </c>
      <c r="H847" t="str">
        <f t="shared" si="39"/>
        <v>Ars</v>
      </c>
      <c r="I847" s="6">
        <f t="shared" si="40"/>
        <v>-7331.22</v>
      </c>
      <c r="J847">
        <f t="shared" si="41"/>
        <v>-0.14000000000000001</v>
      </c>
    </row>
    <row r="848" spans="1:10" x14ac:dyDescent="0.3">
      <c r="A848">
        <v>429</v>
      </c>
      <c r="B848" t="str">
        <v>GLYCINEMAX SA</v>
      </c>
      <c r="C848" s="6">
        <v>-13212183.140000001</v>
      </c>
      <c r="D848" s="6">
        <v>0</v>
      </c>
      <c r="E848" t="str">
        <v>Pesos</v>
      </c>
      <c r="F848" t="str">
        <v xml:space="preserve"> $</v>
      </c>
      <c r="G848" t="str">
        <f>IFERROR(VLOOKUP(A848,'Clientes CBOT'!B:E,4,0),B848)</f>
        <v>GLYCINEMAX SA</v>
      </c>
      <c r="H848" t="str">
        <f t="shared" si="39"/>
        <v>Ars</v>
      </c>
      <c r="I848" s="6">
        <f t="shared" si="40"/>
        <v>-13212183.140000001</v>
      </c>
      <c r="J848">
        <f t="shared" si="41"/>
        <v>0</v>
      </c>
    </row>
    <row r="849" spans="1:10" x14ac:dyDescent="0.3">
      <c r="A849">
        <v>483</v>
      </c>
      <c r="B849" t="str">
        <v>EL ESTERO SA</v>
      </c>
      <c r="C849" s="6">
        <v>0</v>
      </c>
      <c r="D849" s="6">
        <v>-0.01</v>
      </c>
      <c r="E849" t="str">
        <v>Pesos</v>
      </c>
      <c r="F849" t="str">
        <v xml:space="preserve"> $</v>
      </c>
      <c r="G849" t="str">
        <f>IFERROR(VLOOKUP(A849,'Clientes CBOT'!B:E,4,0),B849)</f>
        <v>EL ESTERO SA</v>
      </c>
      <c r="H849" t="str">
        <f t="shared" si="39"/>
        <v>Ars</v>
      </c>
      <c r="I849" s="6">
        <f t="shared" si="40"/>
        <v>0</v>
      </c>
      <c r="J849">
        <f t="shared" si="41"/>
        <v>-0.01</v>
      </c>
    </row>
    <row r="850" spans="1:10" hidden="1" x14ac:dyDescent="0.3">
      <c r="A850">
        <v>54</v>
      </c>
      <c r="B850" t="str">
        <v>MATILDE Y ALICIA CAMUYRANO SA</v>
      </c>
      <c r="C850" s="6">
        <v>-28057.75</v>
      </c>
      <c r="D850" s="6">
        <v>0</v>
      </c>
      <c r="E850" t="str">
        <v>Pesos</v>
      </c>
      <c r="F850" t="str">
        <v xml:space="preserve"> $</v>
      </c>
      <c r="G850" t="str">
        <f>IFERROR(VLOOKUP(A850,'Clientes CBOT'!B:E,4,0),B850)</f>
        <v>MATILDE Y ALICIA CAMUYRANO SA</v>
      </c>
      <c r="H850" t="str">
        <f t="shared" si="39"/>
        <v>Ars</v>
      </c>
      <c r="I850" s="6">
        <f t="shared" si="40"/>
        <v>-28057.75</v>
      </c>
      <c r="J850">
        <f t="shared" si="41"/>
        <v>0</v>
      </c>
    </row>
    <row r="851" spans="1:10" hidden="1" x14ac:dyDescent="0.3">
      <c r="A851">
        <v>329</v>
      </c>
      <c r="B851" t="str">
        <v>CAMUYRANO ALICIA</v>
      </c>
      <c r="C851" s="6">
        <v>18942.95</v>
      </c>
      <c r="D851" s="6">
        <v>0</v>
      </c>
      <c r="E851" t="str">
        <v>Pesos</v>
      </c>
      <c r="F851" t="str">
        <v xml:space="preserve"> $</v>
      </c>
      <c r="G851" t="str">
        <f>IFERROR(VLOOKUP(A851,'Clientes CBOT'!B:E,4,0),B851)</f>
        <v>CAMUYRANO ALICIA</v>
      </c>
      <c r="H851" t="str">
        <f t="shared" si="39"/>
        <v>Ars</v>
      </c>
      <c r="I851" s="6">
        <f t="shared" si="40"/>
        <v>18942.95</v>
      </c>
      <c r="J851">
        <f t="shared" si="41"/>
        <v>0</v>
      </c>
    </row>
    <row r="852" spans="1:10" hidden="1" x14ac:dyDescent="0.3">
      <c r="A852">
        <v>330</v>
      </c>
      <c r="B852" t="str">
        <v>VIDAL CARLOS ALFREDO</v>
      </c>
      <c r="C852" s="6">
        <v>59573.66</v>
      </c>
      <c r="D852" s="6">
        <v>0</v>
      </c>
      <c r="E852" t="str">
        <v>Pesos</v>
      </c>
      <c r="F852" t="str">
        <v xml:space="preserve"> $</v>
      </c>
      <c r="G852" t="str">
        <f>IFERROR(VLOOKUP(A852,'Clientes CBOT'!B:E,4,0),B852)</f>
        <v>VIDAL CARLOS ALFREDO</v>
      </c>
      <c r="H852" t="str">
        <f t="shared" si="39"/>
        <v>Ars</v>
      </c>
      <c r="I852" s="6">
        <f t="shared" si="40"/>
        <v>59573.66</v>
      </c>
      <c r="J852">
        <f t="shared" si="41"/>
        <v>0</v>
      </c>
    </row>
    <row r="853" spans="1:10" hidden="1" x14ac:dyDescent="0.3">
      <c r="A853">
        <v>322</v>
      </c>
      <c r="B853" t="str">
        <v>GL SEMILLAS SA</v>
      </c>
      <c r="C853" s="6">
        <v>0</v>
      </c>
      <c r="D853" s="6">
        <v>0.09</v>
      </c>
      <c r="E853" t="str">
        <v>Pesos</v>
      </c>
      <c r="F853" t="str">
        <v xml:space="preserve"> $</v>
      </c>
      <c r="G853" t="str">
        <f>IFERROR(VLOOKUP(A853,'Clientes CBOT'!B:E,4,0),B853)</f>
        <v>GL SEMILLAS SA</v>
      </c>
      <c r="H853" t="str">
        <f t="shared" si="39"/>
        <v>Ars</v>
      </c>
      <c r="I853" s="6">
        <f t="shared" si="40"/>
        <v>0</v>
      </c>
      <c r="J853">
        <f t="shared" si="41"/>
        <v>0.09</v>
      </c>
    </row>
    <row r="854" spans="1:10" hidden="1" x14ac:dyDescent="0.3">
      <c r="A854">
        <v>321</v>
      </c>
      <c r="B854" t="str">
        <v>AGRO COTTON SA</v>
      </c>
      <c r="C854" s="6">
        <v>0.37</v>
      </c>
      <c r="D854" s="6">
        <v>0</v>
      </c>
      <c r="E854" t="str">
        <v>Pesos</v>
      </c>
      <c r="F854" t="str">
        <v xml:space="preserve"> $</v>
      </c>
      <c r="G854" t="str">
        <f>IFERROR(VLOOKUP(A854,'Clientes CBOT'!B:E,4,0),B854)</f>
        <v>AGRO COTTON SA</v>
      </c>
      <c r="H854" t="str">
        <f t="shared" si="39"/>
        <v>Ars</v>
      </c>
      <c r="I854" s="6">
        <f t="shared" si="40"/>
        <v>0.37</v>
      </c>
      <c r="J854">
        <f t="shared" si="41"/>
        <v>0</v>
      </c>
    </row>
    <row r="855" spans="1:10" hidden="1" x14ac:dyDescent="0.3">
      <c r="A855">
        <v>212</v>
      </c>
      <c r="B855" t="str">
        <v>LEDESMA SAAI</v>
      </c>
      <c r="C855" s="6">
        <v>-1987.4</v>
      </c>
      <c r="D855" s="6">
        <v>0</v>
      </c>
      <c r="E855" t="str">
        <v>Pesos</v>
      </c>
      <c r="F855" t="str">
        <v xml:space="preserve"> $</v>
      </c>
      <c r="G855" t="str">
        <f>IFERROR(VLOOKUP(A855,'Clientes CBOT'!B:E,4,0),B855)</f>
        <v>LEDESMA SAAI</v>
      </c>
      <c r="H855" t="str">
        <f t="shared" si="39"/>
        <v>Ars</v>
      </c>
      <c r="I855" s="6">
        <f t="shared" si="40"/>
        <v>-1987.4</v>
      </c>
      <c r="J855">
        <f t="shared" si="41"/>
        <v>0</v>
      </c>
    </row>
    <row r="856" spans="1:10" hidden="1" x14ac:dyDescent="0.3">
      <c r="A856">
        <v>330</v>
      </c>
      <c r="B856" t="str">
        <v>VIDAL CARLOS ALFREDO</v>
      </c>
      <c r="C856" s="6">
        <v>-5.63</v>
      </c>
      <c r="D856" s="6">
        <v>0</v>
      </c>
      <c r="E856" t="str">
        <v xml:space="preserve">Dólar </v>
      </c>
      <c r="F856" t="str">
        <v xml:space="preserve"> U$S</v>
      </c>
      <c r="G856" t="str">
        <f>IFERROR(VLOOKUP(A856,'Clientes CBOT'!B:E,4,0),B856)</f>
        <v>VIDAL CARLOS ALFREDO</v>
      </c>
      <c r="H856" t="str">
        <f t="shared" si="39"/>
        <v>Dólar</v>
      </c>
      <c r="I856" s="6">
        <f t="shared" si="40"/>
        <v>-5.63</v>
      </c>
      <c r="J856">
        <f t="shared" si="41"/>
        <v>0</v>
      </c>
    </row>
    <row r="857" spans="1:10" hidden="1" x14ac:dyDescent="0.3">
      <c r="A857">
        <v>329</v>
      </c>
      <c r="B857" t="str">
        <v>CAMUYRANO ALICIA</v>
      </c>
      <c r="C857" s="6">
        <v>-3.23</v>
      </c>
      <c r="D857" s="6">
        <v>0</v>
      </c>
      <c r="E857" t="str">
        <v xml:space="preserve">Dólar </v>
      </c>
      <c r="F857" t="str">
        <v xml:space="preserve"> U$S</v>
      </c>
      <c r="G857" t="str">
        <f>IFERROR(VLOOKUP(A857,'Clientes CBOT'!B:E,4,0),B857)</f>
        <v>CAMUYRANO ALICIA</v>
      </c>
      <c r="H857" t="str">
        <f t="shared" si="39"/>
        <v>Dólar</v>
      </c>
      <c r="I857" s="6">
        <f t="shared" si="40"/>
        <v>-3.23</v>
      </c>
      <c r="J857">
        <f t="shared" si="41"/>
        <v>0</v>
      </c>
    </row>
    <row r="858" spans="1:10" hidden="1" x14ac:dyDescent="0.3">
      <c r="A858">
        <v>54</v>
      </c>
      <c r="B858" t="str">
        <v>MATILDE Y ALICIA CAMUYRANO SA</v>
      </c>
      <c r="C858" s="6">
        <v>0</v>
      </c>
      <c r="D858" s="6">
        <v>0</v>
      </c>
      <c r="E858" t="str">
        <v xml:space="preserve">Dólar </v>
      </c>
      <c r="F858" t="str">
        <v xml:space="preserve"> U$S</v>
      </c>
      <c r="G858" t="str">
        <f>IFERROR(VLOOKUP(A858,'Clientes CBOT'!B:E,4,0),B858)</f>
        <v>MATILDE Y ALICIA CAMUYRANO SA</v>
      </c>
      <c r="H858" t="str">
        <f t="shared" si="39"/>
        <v>Dólar</v>
      </c>
      <c r="I858" s="6">
        <f t="shared" si="40"/>
        <v>0</v>
      </c>
      <c r="J858">
        <f t="shared" si="41"/>
        <v>0</v>
      </c>
    </row>
    <row r="859" spans="1:10" hidden="1" x14ac:dyDescent="0.3">
      <c r="A859">
        <v>130</v>
      </c>
      <c r="B859" t="str">
        <v>MANASSERO HNOS SRL</v>
      </c>
      <c r="C859" s="6">
        <v>-90015.6</v>
      </c>
      <c r="D859" s="6">
        <v>0</v>
      </c>
      <c r="E859" t="str">
        <v xml:space="preserve">Dólar </v>
      </c>
      <c r="F859" t="str">
        <v xml:space="preserve"> U$S</v>
      </c>
      <c r="G859" t="str">
        <f>IFERROR(VLOOKUP(A859,'Clientes CBOT'!B:E,4,0),B859)</f>
        <v>MANASSERO HNOS SRL</v>
      </c>
      <c r="H859" t="str">
        <f t="shared" si="39"/>
        <v>Dólar</v>
      </c>
      <c r="I859" s="6">
        <f t="shared" si="40"/>
        <v>-90015.6</v>
      </c>
      <c r="J859">
        <f t="shared" si="41"/>
        <v>0</v>
      </c>
    </row>
    <row r="860" spans="1:10" x14ac:dyDescent="0.3">
      <c r="A860">
        <v>498</v>
      </c>
      <c r="B860" t="str">
        <v>TAZZIOLI PATRICIA MONICA</v>
      </c>
      <c r="C860" s="6">
        <v>0</v>
      </c>
      <c r="D860" s="6">
        <v>0</v>
      </c>
      <c r="E860" t="str">
        <v xml:space="preserve">Dólar </v>
      </c>
      <c r="F860" t="str">
        <v xml:space="preserve"> U$S</v>
      </c>
      <c r="G860" t="str">
        <f>IFERROR(VLOOKUP(A860,'Clientes CBOT'!B:E,4,0),B860)</f>
        <v>TAZZIOLI PATRICIA MONICA</v>
      </c>
      <c r="H860" t="str">
        <f t="shared" si="39"/>
        <v>Dólar</v>
      </c>
      <c r="I860" s="6">
        <f t="shared" si="40"/>
        <v>0</v>
      </c>
      <c r="J860">
        <f t="shared" si="41"/>
        <v>0</v>
      </c>
    </row>
    <row r="861" spans="1:10" hidden="1" x14ac:dyDescent="0.3">
      <c r="A861">
        <v>497</v>
      </c>
      <c r="B861" t="str">
        <v>BIOLATO LEANDRO MARTIN</v>
      </c>
      <c r="C861" s="6">
        <v>0</v>
      </c>
      <c r="D861" s="6">
        <v>0</v>
      </c>
      <c r="E861" t="str">
        <v xml:space="preserve">Dólar </v>
      </c>
      <c r="F861" t="str">
        <v xml:space="preserve"> U$S</v>
      </c>
      <c r="G861" t="str">
        <f>IFERROR(VLOOKUP(A861,'Clientes CBOT'!B:E,4,0),B861)</f>
        <v>BIOLATO LEANDRO MARTIN</v>
      </c>
      <c r="H861" t="str">
        <f t="shared" si="39"/>
        <v>Dólar</v>
      </c>
      <c r="I861" s="6">
        <f t="shared" si="40"/>
        <v>0</v>
      </c>
      <c r="J861">
        <f t="shared" si="41"/>
        <v>0</v>
      </c>
    </row>
    <row r="862" spans="1:10" hidden="1" x14ac:dyDescent="0.3">
      <c r="A862">
        <v>495</v>
      </c>
      <c r="B862" t="str">
        <v>BIOLATO LUCIANA EDITH</v>
      </c>
      <c r="C862" s="6">
        <v>4.84</v>
      </c>
      <c r="D862" s="6">
        <v>0</v>
      </c>
      <c r="E862" t="str">
        <v xml:space="preserve">Dólar </v>
      </c>
      <c r="F862" t="str">
        <v xml:space="preserve"> U$S</v>
      </c>
      <c r="G862" t="str">
        <f>IFERROR(VLOOKUP(A862,'Clientes CBOT'!B:E,4,0),B862)</f>
        <v>BIOLATO LUCIANA EDITH</v>
      </c>
      <c r="H862" t="str">
        <f t="shared" si="39"/>
        <v>Dólar</v>
      </c>
      <c r="I862" s="6">
        <f t="shared" si="40"/>
        <v>4.84</v>
      </c>
      <c r="J862">
        <f t="shared" si="41"/>
        <v>0</v>
      </c>
    </row>
    <row r="863" spans="1:10" hidden="1" x14ac:dyDescent="0.3">
      <c r="A863">
        <v>130</v>
      </c>
      <c r="B863" t="str">
        <v>MANASSERO HNOS SRL</v>
      </c>
      <c r="C863" s="6">
        <v>1189.83</v>
      </c>
      <c r="D863" s="6">
        <v>0</v>
      </c>
      <c r="E863" t="str">
        <v>Dólar Cable</v>
      </c>
      <c r="F863" t="str">
        <v xml:space="preserve"> U$S TT</v>
      </c>
      <c r="G863" t="str">
        <f>IFERROR(VLOOKUP(A863,'Clientes CBOT'!B:E,4,0),B863)</f>
        <v>MANASSERO HNOS SRL</v>
      </c>
      <c r="H863" t="str">
        <f t="shared" si="39"/>
        <v>Hard</v>
      </c>
      <c r="I863" s="6">
        <f t="shared" si="40"/>
        <v>1189.83</v>
      </c>
      <c r="J863">
        <f t="shared" si="41"/>
        <v>0</v>
      </c>
    </row>
    <row r="864" spans="1:10" hidden="1" x14ac:dyDescent="0.3">
      <c r="A864">
        <v>54</v>
      </c>
      <c r="B864" t="str">
        <v>MATILDE Y ALICIA CAMUYRANO SA</v>
      </c>
      <c r="C864" s="6">
        <v>109755.8</v>
      </c>
      <c r="D864" s="6">
        <v>0</v>
      </c>
      <c r="E864" t="str">
        <v>Dólar Cable</v>
      </c>
      <c r="F864" t="str">
        <v xml:space="preserve"> U$S TT</v>
      </c>
      <c r="G864" t="str">
        <f>IFERROR(VLOOKUP(A864,'Clientes CBOT'!B:E,4,0),B864)</f>
        <v>MATILDE Y ALICIA CAMUYRANO SA</v>
      </c>
      <c r="H864" t="str">
        <f t="shared" si="39"/>
        <v>Hard</v>
      </c>
      <c r="I864" s="6">
        <f t="shared" si="40"/>
        <v>109755.8</v>
      </c>
      <c r="J864">
        <f t="shared" si="41"/>
        <v>0</v>
      </c>
    </row>
    <row r="865" spans="1:10" hidden="1" x14ac:dyDescent="0.3">
      <c r="A865">
        <v>329</v>
      </c>
      <c r="B865" t="str">
        <v>CAMUYRANO ALICIA</v>
      </c>
      <c r="C865" s="6">
        <v>0.1</v>
      </c>
      <c r="D865" s="6">
        <v>0</v>
      </c>
      <c r="E865" t="str">
        <v>Dólar Cable</v>
      </c>
      <c r="F865" t="str">
        <v xml:space="preserve"> U$S TT</v>
      </c>
      <c r="G865" t="str">
        <f>IFERROR(VLOOKUP(A865,'Clientes CBOT'!B:E,4,0),B865)</f>
        <v>CAMUYRANO ALICIA</v>
      </c>
      <c r="H865" t="str">
        <f t="shared" si="39"/>
        <v>Hard</v>
      </c>
      <c r="I865" s="6">
        <f t="shared" si="40"/>
        <v>0.1</v>
      </c>
      <c r="J865">
        <f t="shared" si="41"/>
        <v>0</v>
      </c>
    </row>
    <row r="866" spans="1:10" hidden="1" x14ac:dyDescent="0.3">
      <c r="A866">
        <v>330</v>
      </c>
      <c r="B866" t="str">
        <v>VIDAL CARLOS ALFREDO</v>
      </c>
      <c r="C866" s="6">
        <v>2.25</v>
      </c>
      <c r="D866" s="6">
        <v>0</v>
      </c>
      <c r="E866" t="str">
        <v>Dólar Cable</v>
      </c>
      <c r="F866" t="str">
        <v xml:space="preserve"> U$S TT</v>
      </c>
      <c r="G866" t="str">
        <f>IFERROR(VLOOKUP(A866,'Clientes CBOT'!B:E,4,0),B866)</f>
        <v>VIDAL CARLOS ALFREDO</v>
      </c>
      <c r="H866" t="str">
        <f t="shared" si="39"/>
        <v>Hard</v>
      </c>
      <c r="I866" s="6">
        <f t="shared" si="40"/>
        <v>2.25</v>
      </c>
      <c r="J866">
        <f t="shared" si="41"/>
        <v>0</v>
      </c>
    </row>
    <row r="867" spans="1:10" hidden="1" x14ac:dyDescent="0.3">
      <c r="A867">
        <v>330</v>
      </c>
      <c r="B867" t="str">
        <v>VIDAL CARLOS ALFREDO</v>
      </c>
      <c r="C867" s="6">
        <v>0</v>
      </c>
      <c r="D867" s="6">
        <v>0</v>
      </c>
      <c r="E867" t="str">
        <v>Dólar Matba Rofex</v>
      </c>
      <c r="F867" t="str">
        <v xml:space="preserve"> U$S MR</v>
      </c>
      <c r="G867" t="str">
        <f>IFERROR(VLOOKUP(A867,'Clientes CBOT'!B:E,4,0),B867)</f>
        <v>VIDAL CARLOS ALFREDO</v>
      </c>
      <c r="H867" t="str">
        <f t="shared" si="39"/>
        <v>usd linked</v>
      </c>
      <c r="I867" s="6">
        <f t="shared" si="40"/>
        <v>0</v>
      </c>
      <c r="J867">
        <f t="shared" si="41"/>
        <v>0</v>
      </c>
    </row>
    <row r="868" spans="1:10" hidden="1" x14ac:dyDescent="0.3">
      <c r="A868">
        <v>321</v>
      </c>
      <c r="B868" t="str">
        <v>AGRO COTTON SA</v>
      </c>
      <c r="C868" s="6">
        <v>0</v>
      </c>
      <c r="D868" s="6">
        <v>11217.89</v>
      </c>
      <c r="E868" t="str">
        <v>Dólar Matba Rofex</v>
      </c>
      <c r="F868" t="str">
        <v xml:space="preserve"> U$S MR</v>
      </c>
      <c r="G868" t="str">
        <f>IFERROR(VLOOKUP(A868,'Clientes CBOT'!B:E,4,0),B868)</f>
        <v>AGRO COTTON SA</v>
      </c>
      <c r="H868" t="str">
        <f t="shared" si="39"/>
        <v>usd linked</v>
      </c>
      <c r="I868" s="6">
        <f t="shared" si="40"/>
        <v>0</v>
      </c>
      <c r="J868">
        <f t="shared" si="41"/>
        <v>11217.89</v>
      </c>
    </row>
    <row r="869" spans="1:10" hidden="1" x14ac:dyDescent="0.3">
      <c r="A869">
        <v>322</v>
      </c>
      <c r="B869" t="str">
        <v>GL SEMILLAS SA</v>
      </c>
      <c r="C869" s="6">
        <v>0</v>
      </c>
      <c r="D869" s="6">
        <v>0</v>
      </c>
      <c r="E869" t="str">
        <v>Dólar Matba Rofex</v>
      </c>
      <c r="F869" t="str">
        <v xml:space="preserve"> U$S MR</v>
      </c>
      <c r="G869" t="str">
        <f>IFERROR(VLOOKUP(A869,'Clientes CBOT'!B:E,4,0),B869)</f>
        <v>GL SEMILLAS SA</v>
      </c>
      <c r="H869" t="str">
        <f t="shared" si="39"/>
        <v>usd linked</v>
      </c>
      <c r="I869" s="6">
        <f t="shared" si="40"/>
        <v>0</v>
      </c>
      <c r="J869">
        <f t="shared" si="41"/>
        <v>0</v>
      </c>
    </row>
    <row r="870" spans="1:10" hidden="1" x14ac:dyDescent="0.3">
      <c r="A870">
        <v>212</v>
      </c>
      <c r="B870" t="str">
        <v>LEDESMA SAAI</v>
      </c>
      <c r="C870" s="6">
        <v>0</v>
      </c>
      <c r="D870" s="6">
        <v>0</v>
      </c>
      <c r="E870" t="str">
        <v>Dólar Matba Rofex</v>
      </c>
      <c r="F870" t="str">
        <v xml:space="preserve"> U$S MR</v>
      </c>
      <c r="G870" t="str">
        <f>IFERROR(VLOOKUP(A870,'Clientes CBOT'!B:E,4,0),B870)</f>
        <v>LEDESMA SAAI</v>
      </c>
      <c r="H870" t="str">
        <f t="shared" si="39"/>
        <v>usd linked</v>
      </c>
      <c r="I870" s="6">
        <f t="shared" si="40"/>
        <v>0</v>
      </c>
      <c r="J870">
        <f t="shared" si="41"/>
        <v>0</v>
      </c>
    </row>
    <row r="871" spans="1:10" hidden="1" x14ac:dyDescent="0.3">
      <c r="A871">
        <v>54</v>
      </c>
      <c r="B871" t="str">
        <v>MATILDE Y ALICIA CAMUYRANO SA</v>
      </c>
      <c r="C871" s="6">
        <v>0</v>
      </c>
      <c r="D871" s="6">
        <v>0</v>
      </c>
      <c r="E871" t="str">
        <v>Dólar Matba Rofex</v>
      </c>
      <c r="F871" t="str">
        <v xml:space="preserve"> U$S MR</v>
      </c>
      <c r="G871" t="str">
        <f>IFERROR(VLOOKUP(A871,'Clientes CBOT'!B:E,4,0),B871)</f>
        <v>MATILDE Y ALICIA CAMUYRANO SA</v>
      </c>
      <c r="H871" t="str">
        <f t="shared" si="39"/>
        <v>usd linked</v>
      </c>
      <c r="I871" s="6">
        <f t="shared" si="40"/>
        <v>0</v>
      </c>
      <c r="J871">
        <f t="shared" si="41"/>
        <v>0</v>
      </c>
    </row>
    <row r="872" spans="1:10" hidden="1" x14ac:dyDescent="0.3">
      <c r="A872">
        <v>429</v>
      </c>
      <c r="B872" t="str">
        <v>GLYCINEMAX SA</v>
      </c>
      <c r="C872" s="6">
        <v>0</v>
      </c>
      <c r="D872" s="6">
        <v>53182.96</v>
      </c>
      <c r="E872" t="str">
        <v>Dólar Matba Rofex</v>
      </c>
      <c r="F872" t="str">
        <v xml:space="preserve"> U$S MR</v>
      </c>
      <c r="G872" t="str">
        <f>IFERROR(VLOOKUP(A872,'Clientes CBOT'!B:E,4,0),B872)</f>
        <v>GLYCINEMAX SA</v>
      </c>
      <c r="H872" t="str">
        <f t="shared" si="39"/>
        <v>usd linked</v>
      </c>
      <c r="I872" s="6">
        <f t="shared" si="40"/>
        <v>0</v>
      </c>
      <c r="J872">
        <f t="shared" si="41"/>
        <v>53182.96</v>
      </c>
    </row>
    <row r="873" spans="1:10" hidden="1" x14ac:dyDescent="0.3">
      <c r="A873">
        <v>130</v>
      </c>
      <c r="B873" t="str">
        <v>MANASSERO HNOS SRL</v>
      </c>
      <c r="C873" s="6">
        <v>-6</v>
      </c>
      <c r="D873" s="6">
        <v>0</v>
      </c>
      <c r="E873" t="str">
        <v>Dólar Matba Rofex</v>
      </c>
      <c r="F873" t="str">
        <v xml:space="preserve"> U$S MR</v>
      </c>
      <c r="G873" t="str">
        <f>IFERROR(VLOOKUP(A873,'Clientes CBOT'!B:E,4,0),B873)</f>
        <v>MANASSERO HNOS SRL</v>
      </c>
      <c r="H873" t="str">
        <f t="shared" si="39"/>
        <v>usd linked</v>
      </c>
      <c r="I873" s="6">
        <f t="shared" si="40"/>
        <v>-6</v>
      </c>
      <c r="J873">
        <f t="shared" si="41"/>
        <v>0</v>
      </c>
    </row>
    <row r="874" spans="1:10" hidden="1" x14ac:dyDescent="0.3">
      <c r="A874">
        <v>74</v>
      </c>
      <c r="B874" t="str">
        <v>ZANOY AGRO &amp; SERVICIOS SA</v>
      </c>
      <c r="C874" s="6">
        <v>25533.46</v>
      </c>
      <c r="D874" s="6">
        <v>-61594818.960000001</v>
      </c>
      <c r="E874" t="str">
        <v>Pesos</v>
      </c>
      <c r="F874" t="str">
        <v xml:space="preserve"> $</v>
      </c>
      <c r="G874" t="str">
        <f>IFERROR(VLOOKUP(A874,'Clientes CBOT'!B:E,4,0),B874)</f>
        <v>ZANOY AGRO &amp; SERVICIOS SA</v>
      </c>
      <c r="H874" t="str">
        <f t="shared" si="39"/>
        <v>Ars</v>
      </c>
      <c r="I874" s="6">
        <f t="shared" si="40"/>
        <v>25533.46</v>
      </c>
      <c r="J874">
        <f t="shared" si="41"/>
        <v>-61594818.960000001</v>
      </c>
    </row>
    <row r="875" spans="1:10" hidden="1" x14ac:dyDescent="0.3">
      <c r="A875">
        <v>411</v>
      </c>
      <c r="B875" t="str">
        <v>MYMSA AGRONEGOCIOS SA</v>
      </c>
      <c r="C875" s="6">
        <v>-0.2</v>
      </c>
      <c r="D875" s="6">
        <v>0</v>
      </c>
      <c r="E875" t="str">
        <v>Pesos</v>
      </c>
      <c r="F875" t="str">
        <v xml:space="preserve"> $</v>
      </c>
      <c r="G875" t="str">
        <f>IFERROR(VLOOKUP(A875,'Clientes CBOT'!B:E,4,0),B875)</f>
        <v>MYMSA AGRONEGOCIOS SA</v>
      </c>
      <c r="H875" t="str">
        <f t="shared" si="39"/>
        <v>Ars</v>
      </c>
      <c r="I875" s="6">
        <f t="shared" si="40"/>
        <v>-0.2</v>
      </c>
      <c r="J875">
        <f t="shared" si="41"/>
        <v>0</v>
      </c>
    </row>
    <row r="876" spans="1:10" hidden="1" x14ac:dyDescent="0.3">
      <c r="A876">
        <v>411</v>
      </c>
      <c r="B876" t="str">
        <v>MYMSA AGRONEGOCIOS SA</v>
      </c>
      <c r="C876" s="6">
        <v>0</v>
      </c>
      <c r="D876" s="6">
        <v>0</v>
      </c>
      <c r="E876" t="str">
        <v xml:space="preserve">Dólar </v>
      </c>
      <c r="F876" t="str">
        <v xml:space="preserve"> U$S</v>
      </c>
      <c r="G876" t="str">
        <f>IFERROR(VLOOKUP(A876,'Clientes CBOT'!B:E,4,0),B876)</f>
        <v>MYMSA AGRONEGOCIOS SA</v>
      </c>
      <c r="H876" t="str">
        <f t="shared" si="39"/>
        <v>Dólar</v>
      </c>
      <c r="I876" s="6">
        <f t="shared" si="40"/>
        <v>0</v>
      </c>
      <c r="J876">
        <f t="shared" si="41"/>
        <v>0</v>
      </c>
    </row>
    <row r="877" spans="1:10" hidden="1" x14ac:dyDescent="0.3">
      <c r="A877">
        <v>74</v>
      </c>
      <c r="B877" t="str">
        <v>ZANOY AGRO &amp; SERVICIOS SA</v>
      </c>
      <c r="C877" s="6">
        <v>1217.93</v>
      </c>
      <c r="D877" s="6">
        <v>0</v>
      </c>
      <c r="E877" t="str">
        <v xml:space="preserve">Dólar </v>
      </c>
      <c r="F877" t="str">
        <v xml:space="preserve"> U$S</v>
      </c>
      <c r="G877" t="str">
        <f>IFERROR(VLOOKUP(A877,'Clientes CBOT'!B:E,4,0),B877)</f>
        <v>ZANOY AGRO &amp; SERVICIOS SA</v>
      </c>
      <c r="H877" t="str">
        <f t="shared" si="39"/>
        <v>Dólar</v>
      </c>
      <c r="I877" s="6">
        <f t="shared" si="40"/>
        <v>1217.93</v>
      </c>
      <c r="J877">
        <f t="shared" si="41"/>
        <v>0</v>
      </c>
    </row>
    <row r="878" spans="1:10" hidden="1" x14ac:dyDescent="0.3">
      <c r="A878">
        <v>74</v>
      </c>
      <c r="B878" t="str">
        <v>ZANOY AGRO &amp; SERVICIOS SA</v>
      </c>
      <c r="C878" s="6">
        <v>7.85</v>
      </c>
      <c r="D878" s="6">
        <v>0</v>
      </c>
      <c r="E878" t="str">
        <v>Dólar Cable</v>
      </c>
      <c r="F878" t="str">
        <v xml:space="preserve"> U$S TT</v>
      </c>
      <c r="G878" t="str">
        <f>IFERROR(VLOOKUP(A878,'Clientes CBOT'!B:E,4,0),B878)</f>
        <v>ZANOY AGRO &amp; SERVICIOS SA</v>
      </c>
      <c r="H878" t="str">
        <f t="shared" si="39"/>
        <v>Hard</v>
      </c>
      <c r="I878" s="6">
        <f t="shared" si="40"/>
        <v>7.85</v>
      </c>
      <c r="J878">
        <f t="shared" si="41"/>
        <v>0</v>
      </c>
    </row>
    <row r="879" spans="1:10" hidden="1" x14ac:dyDescent="0.3">
      <c r="A879">
        <v>74</v>
      </c>
      <c r="B879" t="str">
        <v>ZANOY AGRO &amp; SERVICIOS SA</v>
      </c>
      <c r="C879" s="6">
        <v>0</v>
      </c>
      <c r="D879" s="6">
        <v>9208.92</v>
      </c>
      <c r="E879" t="str">
        <v>Dólar Matba Rofex</v>
      </c>
      <c r="F879" t="str">
        <v xml:space="preserve"> U$S MR</v>
      </c>
      <c r="G879" t="str">
        <f>IFERROR(VLOOKUP(A879,'Clientes CBOT'!B:E,4,0),B879)</f>
        <v>ZANOY AGRO &amp; SERVICIOS SA</v>
      </c>
      <c r="H879" t="str">
        <f t="shared" si="39"/>
        <v>usd linked</v>
      </c>
      <c r="I879" s="6">
        <f t="shared" si="40"/>
        <v>0</v>
      </c>
      <c r="J879">
        <f t="shared" si="41"/>
        <v>9208.92</v>
      </c>
    </row>
    <row r="880" spans="1:10" hidden="1" x14ac:dyDescent="0.3">
      <c r="A880">
        <v>412</v>
      </c>
      <c r="B880" t="str">
        <v>ZANOY AGRO &amp; SERVICIOS SA</v>
      </c>
      <c r="C880" s="6">
        <v>0</v>
      </c>
      <c r="D880" s="6">
        <v>0</v>
      </c>
      <c r="E880" t="str">
        <v>Dólar Matba Rofex</v>
      </c>
      <c r="F880" t="str">
        <v xml:space="preserve"> U$S MR</v>
      </c>
      <c r="G880" t="str">
        <f>IFERROR(VLOOKUP(A880,'Clientes CBOT'!B:E,4,0),B880)</f>
        <v>ZANOY AGRO &amp; SERVICIOS SA</v>
      </c>
      <c r="H880" t="str">
        <f t="shared" si="39"/>
        <v>usd linked</v>
      </c>
      <c r="I880" s="6">
        <f t="shared" si="40"/>
        <v>0</v>
      </c>
      <c r="J880">
        <f t="shared" si="41"/>
        <v>0</v>
      </c>
    </row>
    <row r="881" spans="1:10" hidden="1" x14ac:dyDescent="0.3">
      <c r="A881">
        <v>387</v>
      </c>
      <c r="B881" t="str">
        <v>SIMIENTE S.A.</v>
      </c>
      <c r="C881" s="6">
        <v>-0.01</v>
      </c>
      <c r="D881" s="6">
        <v>0</v>
      </c>
      <c r="E881" t="str">
        <v>Pesos</v>
      </c>
      <c r="F881" t="str">
        <v xml:space="preserve"> $</v>
      </c>
      <c r="G881" t="str">
        <f>IFERROR(VLOOKUP(A881,'Clientes CBOT'!B:E,4,0),B881)</f>
        <v>SIMIENTE S.A.</v>
      </c>
      <c r="H881" t="str">
        <f t="shared" si="39"/>
        <v>Ars</v>
      </c>
      <c r="I881" s="6">
        <f t="shared" si="40"/>
        <v>-0.01</v>
      </c>
      <c r="J881">
        <f t="shared" si="41"/>
        <v>0</v>
      </c>
    </row>
    <row r="882" spans="1:10" hidden="1" x14ac:dyDescent="0.3">
      <c r="A882">
        <v>351</v>
      </c>
      <c r="B882" t="str">
        <v>KELYMAR SA</v>
      </c>
      <c r="C882" s="6">
        <v>0</v>
      </c>
      <c r="D882" s="6">
        <v>0.01</v>
      </c>
      <c r="E882" t="str">
        <v>Pesos</v>
      </c>
      <c r="F882" t="str">
        <v xml:space="preserve"> $</v>
      </c>
      <c r="G882" t="str">
        <f>IFERROR(VLOOKUP(A882,'Clientes CBOT'!B:E,4,0),B882)</f>
        <v>KELYMAR SA</v>
      </c>
      <c r="H882" t="str">
        <f t="shared" si="39"/>
        <v>Ars</v>
      </c>
      <c r="I882" s="6">
        <f t="shared" si="40"/>
        <v>0</v>
      </c>
      <c r="J882">
        <f t="shared" si="41"/>
        <v>0.01</v>
      </c>
    </row>
    <row r="883" spans="1:10" hidden="1" x14ac:dyDescent="0.3">
      <c r="A883">
        <v>499</v>
      </c>
      <c r="B883" t="str">
        <v>BEARZOTTI LELIO ALFREDO</v>
      </c>
      <c r="C883" s="6">
        <v>2890.07</v>
      </c>
      <c r="D883" s="6">
        <v>0</v>
      </c>
      <c r="E883" t="str">
        <v>Pesos</v>
      </c>
      <c r="F883" t="str">
        <v xml:space="preserve"> $</v>
      </c>
      <c r="G883" t="str">
        <f>IFERROR(VLOOKUP(A883,'Clientes CBOT'!B:E,4,0),B883)</f>
        <v>BEARZOTTI LELIO ALFREDO</v>
      </c>
      <c r="H883" t="str">
        <f t="shared" si="39"/>
        <v>Ars</v>
      </c>
      <c r="I883" s="6">
        <f t="shared" si="40"/>
        <v>2890.07</v>
      </c>
      <c r="J883">
        <f t="shared" si="41"/>
        <v>0</v>
      </c>
    </row>
    <row r="884" spans="1:10" hidden="1" x14ac:dyDescent="0.3">
      <c r="A884">
        <v>142</v>
      </c>
      <c r="B884" t="str">
        <v>ESKEL SA</v>
      </c>
      <c r="C884" s="6">
        <v>0</v>
      </c>
      <c r="D884" s="6">
        <v>0.06</v>
      </c>
      <c r="E884" t="str">
        <v>Pesos</v>
      </c>
      <c r="F884" t="str">
        <v xml:space="preserve"> $</v>
      </c>
      <c r="G884" t="str">
        <f>IFERROR(VLOOKUP(A884,'Clientes CBOT'!B:E,4,0),B884)</f>
        <v>ESKEL SA</v>
      </c>
      <c r="H884" t="str">
        <f t="shared" si="39"/>
        <v>Ars</v>
      </c>
      <c r="I884" s="6">
        <f t="shared" si="40"/>
        <v>0</v>
      </c>
      <c r="J884">
        <f t="shared" si="41"/>
        <v>0.06</v>
      </c>
    </row>
    <row r="885" spans="1:10" hidden="1" x14ac:dyDescent="0.3">
      <c r="A885">
        <v>476</v>
      </c>
      <c r="B885" t="str">
        <v>SIGMA AGRO SA</v>
      </c>
      <c r="C885" s="6">
        <v>0</v>
      </c>
      <c r="D885" s="6">
        <v>0</v>
      </c>
      <c r="E885" t="str">
        <v>Pesos</v>
      </c>
      <c r="F885" t="str">
        <v xml:space="preserve"> $</v>
      </c>
      <c r="G885" t="str">
        <f>IFERROR(VLOOKUP(A885,'Clientes CBOT'!B:E,4,0),B885)</f>
        <v>SIGMA AGRO SA</v>
      </c>
      <c r="H885" t="str">
        <f t="shared" si="39"/>
        <v>Ars</v>
      </c>
      <c r="I885" s="6">
        <f t="shared" si="40"/>
        <v>0</v>
      </c>
      <c r="J885">
        <f t="shared" si="41"/>
        <v>0</v>
      </c>
    </row>
    <row r="886" spans="1:10" hidden="1" x14ac:dyDescent="0.3">
      <c r="A886">
        <v>142</v>
      </c>
      <c r="B886" t="str">
        <v>ESKEL SA</v>
      </c>
      <c r="C886" s="6">
        <v>0</v>
      </c>
      <c r="D886" s="6">
        <v>0</v>
      </c>
      <c r="E886" t="str">
        <v xml:space="preserve">Dólar </v>
      </c>
      <c r="F886" t="str">
        <v xml:space="preserve"> U$S</v>
      </c>
      <c r="G886" t="str">
        <f>IFERROR(VLOOKUP(A886,'Clientes CBOT'!B:E,4,0),B886)</f>
        <v>ESKEL SA</v>
      </c>
      <c r="H886" t="str">
        <f t="shared" si="39"/>
        <v>Dólar</v>
      </c>
      <c r="I886" s="6">
        <f t="shared" si="40"/>
        <v>0</v>
      </c>
      <c r="J886">
        <f t="shared" si="41"/>
        <v>0</v>
      </c>
    </row>
    <row r="887" spans="1:10" hidden="1" x14ac:dyDescent="0.3">
      <c r="A887">
        <v>499</v>
      </c>
      <c r="B887" t="str">
        <v>BEARZOTTI LELIO ALFREDO</v>
      </c>
      <c r="C887" s="6">
        <v>0</v>
      </c>
      <c r="D887" s="6">
        <v>0</v>
      </c>
      <c r="E887" t="str">
        <v xml:space="preserve">Dólar </v>
      </c>
      <c r="F887" t="str">
        <v xml:space="preserve"> U$S</v>
      </c>
      <c r="G887" t="str">
        <f>IFERROR(VLOOKUP(A887,'Clientes CBOT'!B:E,4,0),B887)</f>
        <v>BEARZOTTI LELIO ALFREDO</v>
      </c>
      <c r="H887" t="str">
        <f t="shared" si="39"/>
        <v>Dólar</v>
      </c>
      <c r="I887" s="6">
        <f t="shared" si="40"/>
        <v>0</v>
      </c>
      <c r="J887">
        <f t="shared" si="41"/>
        <v>0</v>
      </c>
    </row>
    <row r="888" spans="1:10" hidden="1" x14ac:dyDescent="0.3">
      <c r="A888">
        <v>351</v>
      </c>
      <c r="B888" t="str">
        <v>KELYMAR SA</v>
      </c>
      <c r="C888" s="6">
        <v>0</v>
      </c>
      <c r="D888" s="6">
        <v>0</v>
      </c>
      <c r="E888" t="str">
        <v xml:space="preserve">Dólar </v>
      </c>
      <c r="F888" t="str">
        <v xml:space="preserve"> U$S</v>
      </c>
      <c r="G888" t="str">
        <f>IFERROR(VLOOKUP(A888,'Clientes CBOT'!B:E,4,0),B888)</f>
        <v>KELYMAR SA</v>
      </c>
      <c r="H888" t="str">
        <f t="shared" si="39"/>
        <v>Dólar</v>
      </c>
      <c r="I888" s="6">
        <f t="shared" si="40"/>
        <v>0</v>
      </c>
      <c r="J888">
        <f t="shared" si="41"/>
        <v>0</v>
      </c>
    </row>
    <row r="889" spans="1:10" hidden="1" x14ac:dyDescent="0.3">
      <c r="A889">
        <v>351</v>
      </c>
      <c r="B889" t="str">
        <v>KELYMAR SA</v>
      </c>
      <c r="C889" s="6">
        <v>0</v>
      </c>
      <c r="D889" s="6">
        <v>0</v>
      </c>
      <c r="E889" t="str">
        <v>Dólar Matba Rofex</v>
      </c>
      <c r="F889" t="str">
        <v xml:space="preserve"> U$S MR</v>
      </c>
      <c r="G889" t="str">
        <f>IFERROR(VLOOKUP(A889,'Clientes CBOT'!B:E,4,0),B889)</f>
        <v>KELYMAR SA</v>
      </c>
      <c r="H889" t="str">
        <f t="shared" si="39"/>
        <v>usd linked</v>
      </c>
      <c r="I889" s="6">
        <f t="shared" si="40"/>
        <v>0</v>
      </c>
      <c r="J889">
        <f t="shared" si="41"/>
        <v>0</v>
      </c>
    </row>
    <row r="890" spans="1:10" hidden="1" x14ac:dyDescent="0.3">
      <c r="A890">
        <v>387</v>
      </c>
      <c r="B890" t="str">
        <v>SIMIENTE S.A.</v>
      </c>
      <c r="C890" s="6">
        <v>0</v>
      </c>
      <c r="D890" s="6">
        <v>0</v>
      </c>
      <c r="E890" t="str">
        <v>Dólar Matba Rofex</v>
      </c>
      <c r="F890" t="str">
        <v xml:space="preserve"> U$S MR</v>
      </c>
      <c r="G890" t="str">
        <f>IFERROR(VLOOKUP(A890,'Clientes CBOT'!B:E,4,0),B890)</f>
        <v>SIMIENTE S.A.</v>
      </c>
      <c r="H890" t="str">
        <f t="shared" si="39"/>
        <v>usd linked</v>
      </c>
      <c r="I890" s="6">
        <f t="shared" si="40"/>
        <v>0</v>
      </c>
      <c r="J890">
        <f t="shared" si="41"/>
        <v>0</v>
      </c>
    </row>
    <row r="891" spans="1:10" hidden="1" x14ac:dyDescent="0.3">
      <c r="A891">
        <v>142</v>
      </c>
      <c r="B891" t="str">
        <v>ESKEL SA</v>
      </c>
      <c r="C891" s="6">
        <v>0</v>
      </c>
      <c r="D891" s="6">
        <v>0</v>
      </c>
      <c r="E891" t="str">
        <v>Dólar Matba Rofex</v>
      </c>
      <c r="F891" t="str">
        <v xml:space="preserve"> U$S MR</v>
      </c>
      <c r="G891" t="str">
        <f>IFERROR(VLOOKUP(A891,'Clientes CBOT'!B:E,4,0),B891)</f>
        <v>ESKEL SA</v>
      </c>
      <c r="H891" t="str">
        <f t="shared" si="39"/>
        <v>usd linked</v>
      </c>
      <c r="I891" s="6">
        <f t="shared" si="40"/>
        <v>0</v>
      </c>
      <c r="J891">
        <f t="shared" si="41"/>
        <v>0</v>
      </c>
    </row>
    <row r="892" spans="1:10" hidden="1" x14ac:dyDescent="0.3">
      <c r="A892">
        <v>476</v>
      </c>
      <c r="B892" t="str">
        <v>SIGMA AGRO SA</v>
      </c>
      <c r="C892" s="6">
        <v>0</v>
      </c>
      <c r="D892" s="6">
        <v>0</v>
      </c>
      <c r="E892" t="str">
        <v>Dólar Matba Rofex</v>
      </c>
      <c r="F892" t="str">
        <v xml:space="preserve"> U$S MR</v>
      </c>
      <c r="G892" t="str">
        <f>IFERROR(VLOOKUP(A892,'Clientes CBOT'!B:E,4,0),B892)</f>
        <v>SIGMA AGRO SA</v>
      </c>
      <c r="H892" t="str">
        <f t="shared" si="39"/>
        <v>usd linked</v>
      </c>
      <c r="I892" s="6">
        <f t="shared" si="40"/>
        <v>0</v>
      </c>
      <c r="J892">
        <f t="shared" si="41"/>
        <v>0</v>
      </c>
    </row>
    <row r="893" spans="1:10" hidden="1" x14ac:dyDescent="0.3">
      <c r="A893">
        <v>473</v>
      </c>
      <c r="B893" t="str">
        <v>ESTABLECIMIENTOS LA NEGRA SA</v>
      </c>
      <c r="C893" s="6">
        <v>0</v>
      </c>
      <c r="D893" s="6">
        <v>0</v>
      </c>
      <c r="E893" t="str">
        <v>Pesos</v>
      </c>
      <c r="F893" t="str">
        <v xml:space="preserve"> $</v>
      </c>
      <c r="G893" t="str">
        <f>IFERROR(VLOOKUP(A893,'Clientes CBOT'!B:E,4,0),B893)</f>
        <v>ESTABLECIMIENTOS LA NEGRA SA</v>
      </c>
      <c r="H893" t="str">
        <f t="shared" si="39"/>
        <v>Ars</v>
      </c>
      <c r="I893" s="6">
        <f t="shared" si="40"/>
        <v>0</v>
      </c>
      <c r="J893">
        <f t="shared" si="41"/>
        <v>0</v>
      </c>
    </row>
    <row r="894" spans="1:10" hidden="1" x14ac:dyDescent="0.3">
      <c r="A894">
        <v>441</v>
      </c>
      <c r="B894" t="str">
        <v>GARINO FABIAN JORGE</v>
      </c>
      <c r="C894" s="6">
        <v>0</v>
      </c>
      <c r="D894" s="6">
        <v>0</v>
      </c>
      <c r="E894" t="str">
        <v>Pesos</v>
      </c>
      <c r="F894" t="str">
        <v xml:space="preserve"> $</v>
      </c>
      <c r="G894" t="str">
        <f>IFERROR(VLOOKUP(A894,'Clientes CBOT'!B:E,4,0),B894)</f>
        <v>GARINO FABIAN JORGE</v>
      </c>
      <c r="H894" t="str">
        <f t="shared" si="39"/>
        <v>Ars</v>
      </c>
      <c r="I894" s="6">
        <f t="shared" si="40"/>
        <v>0</v>
      </c>
      <c r="J894">
        <f t="shared" si="41"/>
        <v>0</v>
      </c>
    </row>
    <row r="895" spans="1:10" hidden="1" x14ac:dyDescent="0.3">
      <c r="A895">
        <v>436</v>
      </c>
      <c r="B895" t="str">
        <v>GARINO CEREALES SRL</v>
      </c>
      <c r="C895" s="6">
        <v>0</v>
      </c>
      <c r="D895" s="6">
        <v>0.02</v>
      </c>
      <c r="E895" t="str">
        <v>Pesos</v>
      </c>
      <c r="F895" t="str">
        <v xml:space="preserve"> $</v>
      </c>
      <c r="G895" t="str">
        <f>IFERROR(VLOOKUP(A895,'Clientes CBOT'!B:E,4,0),B895)</f>
        <v>GARINO CEREALES SRL</v>
      </c>
      <c r="H895" t="str">
        <f t="shared" si="39"/>
        <v>Ars</v>
      </c>
      <c r="I895" s="6">
        <f t="shared" si="40"/>
        <v>0</v>
      </c>
      <c r="J895">
        <f t="shared" si="41"/>
        <v>0.02</v>
      </c>
    </row>
    <row r="896" spans="1:10" hidden="1" x14ac:dyDescent="0.3">
      <c r="A896">
        <v>163</v>
      </c>
      <c r="B896" t="str">
        <v>ESTELA DELLAROSSA SA</v>
      </c>
      <c r="C896" s="6">
        <v>0</v>
      </c>
      <c r="D896" s="6">
        <v>0</v>
      </c>
      <c r="E896" t="str">
        <v>Pesos</v>
      </c>
      <c r="F896" t="str">
        <v xml:space="preserve"> $</v>
      </c>
      <c r="G896" t="str">
        <f>IFERROR(VLOOKUP(A896,'Clientes CBOT'!B:E,4,0),B896)</f>
        <v>ESTELA DELLAROSSA SA</v>
      </c>
      <c r="H896" t="str">
        <f t="shared" si="39"/>
        <v>Ars</v>
      </c>
      <c r="I896" s="6">
        <f t="shared" si="40"/>
        <v>0</v>
      </c>
      <c r="J896">
        <f t="shared" si="41"/>
        <v>0</v>
      </c>
    </row>
    <row r="897" spans="1:10" hidden="1" x14ac:dyDescent="0.3">
      <c r="A897">
        <v>488</v>
      </c>
      <c r="B897" t="str">
        <v>FONTANELLAS WALTER ARIEL</v>
      </c>
      <c r="C897" s="6">
        <v>14096.02</v>
      </c>
      <c r="D897" s="6">
        <v>0.02</v>
      </c>
      <c r="E897" t="str">
        <v>Pesos</v>
      </c>
      <c r="F897" t="str">
        <v xml:space="preserve"> $</v>
      </c>
      <c r="G897" t="str">
        <f>IFERROR(VLOOKUP(A897,'Clientes CBOT'!B:E,4,0),B897)</f>
        <v>FONTANELLAS WALTER ARIEL</v>
      </c>
      <c r="H897" t="str">
        <f t="shared" si="39"/>
        <v>Ars</v>
      </c>
      <c r="I897" s="6">
        <f t="shared" si="40"/>
        <v>14096.02</v>
      </c>
      <c r="J897">
        <f t="shared" si="41"/>
        <v>0.02</v>
      </c>
    </row>
    <row r="898" spans="1:10" hidden="1" x14ac:dyDescent="0.3">
      <c r="A898">
        <v>413</v>
      </c>
      <c r="B898" t="str">
        <v>PM ORIGEN SA</v>
      </c>
      <c r="C898" s="6">
        <v>0.4</v>
      </c>
      <c r="D898" s="6">
        <v>3695242.99</v>
      </c>
      <c r="E898" t="str">
        <v>Pesos</v>
      </c>
      <c r="F898" t="str">
        <v xml:space="preserve"> $</v>
      </c>
      <c r="G898" t="str">
        <f>IFERROR(VLOOKUP(A898,'Clientes CBOT'!B:E,4,0),B898)</f>
        <v>PM ORIGEN SA</v>
      </c>
      <c r="H898" t="str">
        <f t="shared" si="39"/>
        <v>Ars</v>
      </c>
      <c r="I898" s="6">
        <f t="shared" si="40"/>
        <v>0.4</v>
      </c>
      <c r="J898">
        <f t="shared" si="41"/>
        <v>3695242.99</v>
      </c>
    </row>
    <row r="899" spans="1:10" hidden="1" x14ac:dyDescent="0.3">
      <c r="A899">
        <v>398</v>
      </c>
      <c r="B899" t="str">
        <v>GDEA SA</v>
      </c>
      <c r="C899" s="6">
        <v>31769.49</v>
      </c>
      <c r="D899" s="6">
        <v>0</v>
      </c>
      <c r="E899" t="str">
        <v>Pesos</v>
      </c>
      <c r="F899" t="str">
        <v xml:space="preserve"> $</v>
      </c>
      <c r="G899" t="str">
        <f>IFERROR(VLOOKUP(A899,'Clientes CBOT'!B:E,4,0),B899)</f>
        <v>GDEA SA</v>
      </c>
      <c r="H899" t="str">
        <f t="shared" si="39"/>
        <v>Ars</v>
      </c>
      <c r="I899" s="6">
        <f t="shared" si="40"/>
        <v>31769.49</v>
      </c>
      <c r="J899">
        <f t="shared" si="41"/>
        <v>0</v>
      </c>
    </row>
    <row r="900" spans="1:10" hidden="1" x14ac:dyDescent="0.3">
      <c r="A900">
        <v>369</v>
      </c>
      <c r="B900" t="str">
        <v>MERLO Y MANAVELLA SA</v>
      </c>
      <c r="C900" s="6">
        <v>-607940077.05999994</v>
      </c>
      <c r="D900" s="6">
        <v>0</v>
      </c>
      <c r="E900" t="str">
        <v>Pesos</v>
      </c>
      <c r="F900" t="str">
        <v xml:space="preserve"> $</v>
      </c>
      <c r="G900" t="str">
        <f>IFERROR(VLOOKUP(A900,'Clientes CBOT'!B:E,4,0),B900)</f>
        <v>MERLO Y MANAVELLA SA</v>
      </c>
      <c r="H900" t="str">
        <f t="shared" si="39"/>
        <v>Ars</v>
      </c>
      <c r="I900" s="6">
        <f t="shared" si="40"/>
        <v>-607940077.05999994</v>
      </c>
      <c r="J900">
        <f t="shared" si="41"/>
        <v>0</v>
      </c>
    </row>
    <row r="901" spans="1:10" hidden="1" x14ac:dyDescent="0.3">
      <c r="A901">
        <v>246</v>
      </c>
      <c r="B901" t="str">
        <v>CINGOLANI FERNANDO LUIS</v>
      </c>
      <c r="C901" s="6">
        <v>2599.1799999999998</v>
      </c>
      <c r="D901" s="6">
        <v>0</v>
      </c>
      <c r="E901" t="str">
        <v>Pesos</v>
      </c>
      <c r="F901" t="str">
        <v xml:space="preserve"> $</v>
      </c>
      <c r="G901" t="str">
        <f>IFERROR(VLOOKUP(A901,'Clientes CBOT'!B:E,4,0),B901)</f>
        <v>CINGOLANI FERNANDO LUIS</v>
      </c>
      <c r="H901" t="str">
        <f t="shared" ref="H901:H964" si="42">IF(E901="pesos","Ars",IF(E901="Dólar Matba Rofex","usd linked",IF(F901=" U$S TT","Hard","Dólar")))</f>
        <v>Ars</v>
      </c>
      <c r="I901" s="6">
        <f t="shared" ref="I901:I964" si="43">IF(H901="ars",C901/$J$1,IF(H901="Hard",C901*$J$2/$J$1,C901))</f>
        <v>2599.1799999999998</v>
      </c>
      <c r="J901">
        <f t="shared" ref="J901:J964" si="44">IF(H901="ars",D901/$J$1,IF(H901="hard",D901*$J$2/$J$1,D901))</f>
        <v>0</v>
      </c>
    </row>
    <row r="902" spans="1:10" hidden="1" x14ac:dyDescent="0.3">
      <c r="A902">
        <v>246</v>
      </c>
      <c r="B902" t="str">
        <v>CINGOLANI FERNANDO LUIS</v>
      </c>
      <c r="C902" s="6">
        <v>0</v>
      </c>
      <c r="D902" s="6">
        <v>0</v>
      </c>
      <c r="E902" t="str">
        <v xml:space="preserve">Dólar </v>
      </c>
      <c r="F902" t="str">
        <v xml:space="preserve"> U$S</v>
      </c>
      <c r="G902" t="str">
        <f>IFERROR(VLOOKUP(A902,'Clientes CBOT'!B:E,4,0),B902)</f>
        <v>CINGOLANI FERNANDO LUIS</v>
      </c>
      <c r="H902" t="str">
        <f t="shared" si="42"/>
        <v>Dólar</v>
      </c>
      <c r="I902" s="6">
        <f t="shared" si="43"/>
        <v>0</v>
      </c>
      <c r="J902">
        <f t="shared" si="44"/>
        <v>0</v>
      </c>
    </row>
    <row r="903" spans="1:10" hidden="1" x14ac:dyDescent="0.3">
      <c r="A903">
        <v>369</v>
      </c>
      <c r="B903" t="str">
        <v>MERLO Y MANAVELLA SA</v>
      </c>
      <c r="C903" s="6">
        <v>1600.63</v>
      </c>
      <c r="D903" s="6">
        <v>0</v>
      </c>
      <c r="E903" t="str">
        <v xml:space="preserve">Dólar </v>
      </c>
      <c r="F903" t="str">
        <v xml:space="preserve"> U$S</v>
      </c>
      <c r="G903" t="str">
        <f>IFERROR(VLOOKUP(A903,'Clientes CBOT'!B:E,4,0),B903)</f>
        <v>MERLO Y MANAVELLA SA</v>
      </c>
      <c r="H903" t="str">
        <f t="shared" si="42"/>
        <v>Dólar</v>
      </c>
      <c r="I903" s="6">
        <f t="shared" si="43"/>
        <v>1600.63</v>
      </c>
      <c r="J903">
        <f t="shared" si="44"/>
        <v>0</v>
      </c>
    </row>
    <row r="904" spans="1:10" hidden="1" x14ac:dyDescent="0.3">
      <c r="A904">
        <v>398</v>
      </c>
      <c r="B904" t="str">
        <v>GDEA SA</v>
      </c>
      <c r="C904" s="6">
        <v>-0.21</v>
      </c>
      <c r="D904" s="6">
        <v>0</v>
      </c>
      <c r="E904" t="str">
        <v xml:space="preserve">Dólar </v>
      </c>
      <c r="F904" t="str">
        <v xml:space="preserve"> U$S</v>
      </c>
      <c r="G904" t="str">
        <f>IFERROR(VLOOKUP(A904,'Clientes CBOT'!B:E,4,0),B904)</f>
        <v>GDEA SA</v>
      </c>
      <c r="H904" t="str">
        <f t="shared" si="42"/>
        <v>Dólar</v>
      </c>
      <c r="I904" s="6">
        <f t="shared" si="43"/>
        <v>-0.21</v>
      </c>
      <c r="J904">
        <f t="shared" si="44"/>
        <v>0</v>
      </c>
    </row>
    <row r="905" spans="1:10" hidden="1" x14ac:dyDescent="0.3">
      <c r="A905">
        <v>488</v>
      </c>
      <c r="B905" t="str">
        <v>FONTANELLAS WALTER ARIEL</v>
      </c>
      <c r="C905" s="6">
        <v>-0.09</v>
      </c>
      <c r="D905" s="6">
        <v>0</v>
      </c>
      <c r="E905" t="str">
        <v xml:space="preserve">Dólar </v>
      </c>
      <c r="F905" t="str">
        <v xml:space="preserve"> U$S</v>
      </c>
      <c r="G905" t="str">
        <f>IFERROR(VLOOKUP(A905,'Clientes CBOT'!B:E,4,0),B905)</f>
        <v>FONTANELLAS WALTER ARIEL</v>
      </c>
      <c r="H905" t="str">
        <f t="shared" si="42"/>
        <v>Dólar</v>
      </c>
      <c r="I905" s="6">
        <f t="shared" si="43"/>
        <v>-0.09</v>
      </c>
      <c r="J905">
        <f t="shared" si="44"/>
        <v>0</v>
      </c>
    </row>
    <row r="906" spans="1:10" hidden="1" x14ac:dyDescent="0.3">
      <c r="A906">
        <v>163</v>
      </c>
      <c r="B906" t="str">
        <v>ESTELA DELLAROSSA SA</v>
      </c>
      <c r="C906" s="6">
        <v>0</v>
      </c>
      <c r="D906" s="6">
        <v>0</v>
      </c>
      <c r="E906" t="str">
        <v xml:space="preserve">Dólar </v>
      </c>
      <c r="F906" t="str">
        <v xml:space="preserve"> U$S</v>
      </c>
      <c r="G906" t="str">
        <f>IFERROR(VLOOKUP(A906,'Clientes CBOT'!B:E,4,0),B906)</f>
        <v>ESTELA DELLAROSSA SA</v>
      </c>
      <c r="H906" t="str">
        <f t="shared" si="42"/>
        <v>Dólar</v>
      </c>
      <c r="I906" s="6">
        <f t="shared" si="43"/>
        <v>0</v>
      </c>
      <c r="J906">
        <f t="shared" si="44"/>
        <v>0</v>
      </c>
    </row>
    <row r="907" spans="1:10" hidden="1" x14ac:dyDescent="0.3">
      <c r="A907">
        <v>441</v>
      </c>
      <c r="B907" t="str">
        <v>GARINO FABIAN JORGE</v>
      </c>
      <c r="C907" s="6">
        <v>2.02</v>
      </c>
      <c r="D907" s="6">
        <v>0</v>
      </c>
      <c r="E907" t="str">
        <v xml:space="preserve">Dólar </v>
      </c>
      <c r="F907" t="str">
        <v xml:space="preserve"> U$S</v>
      </c>
      <c r="G907" t="str">
        <f>IFERROR(VLOOKUP(A907,'Clientes CBOT'!B:E,4,0),B907)</f>
        <v>GARINO FABIAN JORGE</v>
      </c>
      <c r="H907" t="str">
        <f t="shared" si="42"/>
        <v>Dólar</v>
      </c>
      <c r="I907" s="6">
        <f t="shared" si="43"/>
        <v>2.02</v>
      </c>
      <c r="J907">
        <f t="shared" si="44"/>
        <v>0</v>
      </c>
    </row>
    <row r="908" spans="1:10" hidden="1" x14ac:dyDescent="0.3">
      <c r="A908">
        <v>473</v>
      </c>
      <c r="B908" t="str">
        <v>ESTABLECIMIENTOS LA NEGRA SA</v>
      </c>
      <c r="C908" s="6">
        <v>0</v>
      </c>
      <c r="D908" s="6">
        <v>0</v>
      </c>
      <c r="E908" t="str">
        <v xml:space="preserve">Dólar </v>
      </c>
      <c r="F908" t="str">
        <v xml:space="preserve"> U$S</v>
      </c>
      <c r="G908" t="str">
        <f>IFERROR(VLOOKUP(A908,'Clientes CBOT'!B:E,4,0),B908)</f>
        <v>ESTABLECIMIENTOS LA NEGRA SA</v>
      </c>
      <c r="H908" t="str">
        <f t="shared" si="42"/>
        <v>Dólar</v>
      </c>
      <c r="I908" s="6">
        <f t="shared" si="43"/>
        <v>0</v>
      </c>
      <c r="J908">
        <f t="shared" si="44"/>
        <v>0</v>
      </c>
    </row>
    <row r="909" spans="1:10" hidden="1" x14ac:dyDescent="0.3">
      <c r="A909">
        <v>473</v>
      </c>
      <c r="B909" t="str">
        <v>ESTABLECIMIENTOS LA NEGRA SA</v>
      </c>
      <c r="C909" s="6">
        <v>0</v>
      </c>
      <c r="D909" s="6">
        <v>0</v>
      </c>
      <c r="E909" t="str">
        <v>Dólar Matba Rofex</v>
      </c>
      <c r="F909" t="str">
        <v xml:space="preserve"> U$S MR</v>
      </c>
      <c r="G909" t="str">
        <f>IFERROR(VLOOKUP(A909,'Clientes CBOT'!B:E,4,0),B909)</f>
        <v>ESTABLECIMIENTOS LA NEGRA SA</v>
      </c>
      <c r="H909" t="str">
        <f t="shared" si="42"/>
        <v>usd linked</v>
      </c>
      <c r="I909" s="6">
        <f t="shared" si="43"/>
        <v>0</v>
      </c>
      <c r="J909">
        <f t="shared" si="44"/>
        <v>0</v>
      </c>
    </row>
    <row r="910" spans="1:10" hidden="1" x14ac:dyDescent="0.3">
      <c r="A910">
        <v>441</v>
      </c>
      <c r="B910" t="str">
        <v>GARINO FABIAN JORGE</v>
      </c>
      <c r="C910" s="6">
        <v>0</v>
      </c>
      <c r="D910" s="6">
        <v>0</v>
      </c>
      <c r="E910" t="str">
        <v>Dólar Matba Rofex</v>
      </c>
      <c r="F910" t="str">
        <v xml:space="preserve"> U$S MR</v>
      </c>
      <c r="G910" t="str">
        <f>IFERROR(VLOOKUP(A910,'Clientes CBOT'!B:E,4,0),B910)</f>
        <v>GARINO FABIAN JORGE</v>
      </c>
      <c r="H910" t="str">
        <f t="shared" si="42"/>
        <v>usd linked</v>
      </c>
      <c r="I910" s="6">
        <f t="shared" si="43"/>
        <v>0</v>
      </c>
      <c r="J910">
        <f t="shared" si="44"/>
        <v>0</v>
      </c>
    </row>
    <row r="911" spans="1:10" hidden="1" x14ac:dyDescent="0.3">
      <c r="A911">
        <v>436</v>
      </c>
      <c r="B911" t="str">
        <v>GARINO CEREALES SRL</v>
      </c>
      <c r="C911" s="6">
        <v>0</v>
      </c>
      <c r="D911" s="6">
        <v>0</v>
      </c>
      <c r="E911" t="str">
        <v>Dólar Matba Rofex</v>
      </c>
      <c r="F911" t="str">
        <v xml:space="preserve"> U$S MR</v>
      </c>
      <c r="G911" t="str">
        <f>IFERROR(VLOOKUP(A911,'Clientes CBOT'!B:E,4,0),B911)</f>
        <v>GARINO CEREALES SRL</v>
      </c>
      <c r="H911" t="str">
        <f t="shared" si="42"/>
        <v>usd linked</v>
      </c>
      <c r="I911" s="6">
        <f t="shared" si="43"/>
        <v>0</v>
      </c>
      <c r="J911">
        <f t="shared" si="44"/>
        <v>0</v>
      </c>
    </row>
    <row r="912" spans="1:10" hidden="1" x14ac:dyDescent="0.3">
      <c r="A912">
        <v>488</v>
      </c>
      <c r="B912" t="str">
        <v>FONTANELLAS WALTER ARIEL</v>
      </c>
      <c r="C912" s="6">
        <v>0</v>
      </c>
      <c r="D912" s="6">
        <v>0</v>
      </c>
      <c r="E912" t="str">
        <v>Dólar Matba Rofex</v>
      </c>
      <c r="F912" t="str">
        <v xml:space="preserve"> U$S MR</v>
      </c>
      <c r="G912" t="str">
        <f>IFERROR(VLOOKUP(A912,'Clientes CBOT'!B:E,4,0),B912)</f>
        <v>FONTANELLAS WALTER ARIEL</v>
      </c>
      <c r="H912" t="str">
        <f t="shared" si="42"/>
        <v>usd linked</v>
      </c>
      <c r="I912" s="6">
        <f t="shared" si="43"/>
        <v>0</v>
      </c>
      <c r="J912">
        <f t="shared" si="44"/>
        <v>0</v>
      </c>
    </row>
    <row r="913" spans="1:10" hidden="1" x14ac:dyDescent="0.3">
      <c r="A913">
        <v>423</v>
      </c>
      <c r="B913" t="str">
        <v>TACUAREMBO SA</v>
      </c>
      <c r="C913" s="6">
        <v>3567</v>
      </c>
      <c r="D913" s="6">
        <v>0</v>
      </c>
      <c r="E913" t="str">
        <v>Pesos</v>
      </c>
      <c r="F913" t="str">
        <v xml:space="preserve"> $</v>
      </c>
      <c r="G913" t="str">
        <f>IFERROR(VLOOKUP(A913,'Clientes CBOT'!B:E,4,0),B913)</f>
        <v>TACUAREMBO SA</v>
      </c>
      <c r="H913" t="str">
        <f t="shared" si="42"/>
        <v>Ars</v>
      </c>
      <c r="I913" s="6">
        <f t="shared" si="43"/>
        <v>3567</v>
      </c>
      <c r="J913">
        <f t="shared" si="44"/>
        <v>0</v>
      </c>
    </row>
    <row r="914" spans="1:10" hidden="1" x14ac:dyDescent="0.3">
      <c r="A914">
        <v>410</v>
      </c>
      <c r="B914" t="str">
        <v>MIL SOLES SRL</v>
      </c>
      <c r="C914" s="6">
        <v>0</v>
      </c>
      <c r="D914" s="6">
        <v>0</v>
      </c>
      <c r="E914" t="str">
        <v>Pesos</v>
      </c>
      <c r="F914" t="str">
        <v xml:space="preserve"> $</v>
      </c>
      <c r="G914" t="str">
        <f>IFERROR(VLOOKUP(A914,'Clientes CBOT'!B:E,4,0),B914)</f>
        <v>MIL SOLES SRL</v>
      </c>
      <c r="H914" t="str">
        <f t="shared" si="42"/>
        <v>Ars</v>
      </c>
      <c r="I914" s="6">
        <f t="shared" si="43"/>
        <v>0</v>
      </c>
      <c r="J914">
        <f t="shared" si="44"/>
        <v>0</v>
      </c>
    </row>
    <row r="915" spans="1:10" hidden="1" x14ac:dyDescent="0.3">
      <c r="A915">
        <v>410</v>
      </c>
      <c r="B915" t="str">
        <v>MIL SOLES SRL</v>
      </c>
      <c r="C915" s="6">
        <v>0</v>
      </c>
      <c r="D915" s="6">
        <v>0</v>
      </c>
      <c r="E915" t="str">
        <v xml:space="preserve">Dólar </v>
      </c>
      <c r="F915" t="str">
        <v xml:space="preserve"> U$S</v>
      </c>
      <c r="G915" t="str">
        <f>IFERROR(VLOOKUP(A915,'Clientes CBOT'!B:E,4,0),B915)</f>
        <v>MIL SOLES SRL</v>
      </c>
      <c r="H915" t="str">
        <f t="shared" si="42"/>
        <v>Dólar</v>
      </c>
      <c r="I915" s="6">
        <f t="shared" si="43"/>
        <v>0</v>
      </c>
      <c r="J915">
        <f t="shared" si="44"/>
        <v>0</v>
      </c>
    </row>
    <row r="916" spans="1:10" hidden="1" x14ac:dyDescent="0.3">
      <c r="A916">
        <v>423</v>
      </c>
      <c r="B916" t="str">
        <v>TACUAREMBO SA</v>
      </c>
      <c r="C916" s="6">
        <v>0</v>
      </c>
      <c r="D916" s="6">
        <v>0</v>
      </c>
      <c r="E916" t="str">
        <v xml:space="preserve">Dólar </v>
      </c>
      <c r="F916" t="str">
        <v xml:space="preserve"> U$S</v>
      </c>
      <c r="G916" t="str">
        <f>IFERROR(VLOOKUP(A916,'Clientes CBOT'!B:E,4,0),B916)</f>
        <v>TACUAREMBO SA</v>
      </c>
      <c r="H916" t="str">
        <f t="shared" si="42"/>
        <v>Dólar</v>
      </c>
      <c r="I916" s="6">
        <f t="shared" si="43"/>
        <v>0</v>
      </c>
      <c r="J916">
        <f t="shared" si="44"/>
        <v>0</v>
      </c>
    </row>
    <row r="917" spans="1:10" hidden="1" x14ac:dyDescent="0.3">
      <c r="A917">
        <v>452</v>
      </c>
      <c r="B917" t="str">
        <v>GRUPO DEL SUR SRL</v>
      </c>
      <c r="C917" s="6">
        <v>0.39</v>
      </c>
      <c r="D917" s="6">
        <v>0</v>
      </c>
      <c r="E917" t="str">
        <v>Pesos</v>
      </c>
      <c r="F917" t="str">
        <v xml:space="preserve"> $</v>
      </c>
      <c r="G917" t="str">
        <f>IFERROR(VLOOKUP(A917,'Clientes CBOT'!B:E,4,0),B917)</f>
        <v>GRUPO DEL SUR SRL</v>
      </c>
      <c r="H917" t="str">
        <f t="shared" si="42"/>
        <v>Ars</v>
      </c>
      <c r="I917" s="6">
        <f t="shared" si="43"/>
        <v>0.39</v>
      </c>
      <c r="J917">
        <f t="shared" si="44"/>
        <v>0</v>
      </c>
    </row>
    <row r="918" spans="1:10" hidden="1" x14ac:dyDescent="0.3">
      <c r="A918">
        <v>1020</v>
      </c>
      <c r="B918" t="str">
        <v>BC SA SD ZOFINGEN DOLLAR LINKED</v>
      </c>
      <c r="C918" s="6">
        <v>0</v>
      </c>
      <c r="D918" s="6">
        <v>0</v>
      </c>
      <c r="E918" t="str">
        <v>Pesos</v>
      </c>
      <c r="F918" t="str">
        <v xml:space="preserve"> $</v>
      </c>
      <c r="G918" t="str">
        <f>IFERROR(VLOOKUP(A918,'Clientes CBOT'!B:E,4,0),B918)</f>
        <v>BC SA SD ZOFINGEN DOLLAR LINKED</v>
      </c>
      <c r="H918" t="str">
        <f t="shared" si="42"/>
        <v>Ars</v>
      </c>
      <c r="I918" s="6">
        <f t="shared" si="43"/>
        <v>0</v>
      </c>
      <c r="J918">
        <f t="shared" si="44"/>
        <v>0</v>
      </c>
    </row>
    <row r="919" spans="1:10" hidden="1" x14ac:dyDescent="0.3">
      <c r="A919">
        <v>1021</v>
      </c>
      <c r="B919" t="str">
        <v>BC SA SD ZOFINGEN FACTORING ABIERTO PYME</v>
      </c>
      <c r="C919" s="6">
        <v>-863.85</v>
      </c>
      <c r="D919" s="6">
        <v>0</v>
      </c>
      <c r="E919" t="str">
        <v>Pesos</v>
      </c>
      <c r="F919" t="str">
        <v xml:space="preserve"> $</v>
      </c>
      <c r="G919" t="str">
        <f>IFERROR(VLOOKUP(A919,'Clientes CBOT'!B:E,4,0),B919)</f>
        <v>BC SA SD ZOFINGEN FACTORING ABIERTO PYME</v>
      </c>
      <c r="H919" t="str">
        <f t="shared" si="42"/>
        <v>Ars</v>
      </c>
      <c r="I919" s="6">
        <f t="shared" si="43"/>
        <v>-863.85</v>
      </c>
      <c r="J919">
        <f t="shared" si="44"/>
        <v>0</v>
      </c>
    </row>
    <row r="920" spans="1:10" hidden="1" x14ac:dyDescent="0.3">
      <c r="A920">
        <v>19</v>
      </c>
      <c r="B920" t="str">
        <v>CRESUD S A COMERCIAL INMOBILIARIA FINANCIERA Y AGROPECUARIA</v>
      </c>
      <c r="C920" s="6">
        <v>-363363375.82999998</v>
      </c>
      <c r="D920" s="6">
        <v>0</v>
      </c>
      <c r="E920" t="str">
        <v>Pesos</v>
      </c>
      <c r="F920" t="str">
        <v xml:space="preserve"> $</v>
      </c>
      <c r="G920" t="str">
        <f>IFERROR(VLOOKUP(A920,'Clientes CBOT'!B:E,4,0),B920)</f>
        <v>CRESUD S A COMERCIAL INMOBILIARIA FINANCIERA Y AGROPECUARIA</v>
      </c>
      <c r="H920" t="str">
        <f t="shared" si="42"/>
        <v>Ars</v>
      </c>
      <c r="I920" s="6">
        <f t="shared" si="43"/>
        <v>-363363375.82999998</v>
      </c>
      <c r="J920">
        <f t="shared" si="44"/>
        <v>0</v>
      </c>
    </row>
    <row r="921" spans="1:10" hidden="1" x14ac:dyDescent="0.3">
      <c r="A921">
        <v>493</v>
      </c>
      <c r="B921" t="str">
        <v>ARG DE GRAAF SA</v>
      </c>
      <c r="C921" s="6">
        <v>-0.1</v>
      </c>
      <c r="D921" s="6">
        <v>0</v>
      </c>
      <c r="E921" t="str">
        <v>Pesos</v>
      </c>
      <c r="F921" t="str">
        <v xml:space="preserve"> $</v>
      </c>
      <c r="G921" t="str">
        <f>IFERROR(VLOOKUP(A921,'Clientes CBOT'!B:E,4,0),B921)</f>
        <v>ARG DE GRAAF SA</v>
      </c>
      <c r="H921" t="str">
        <f t="shared" si="42"/>
        <v>Ars</v>
      </c>
      <c r="I921" s="6">
        <f t="shared" si="43"/>
        <v>-0.1</v>
      </c>
      <c r="J921">
        <f t="shared" si="44"/>
        <v>0</v>
      </c>
    </row>
    <row r="922" spans="1:10" hidden="1" x14ac:dyDescent="0.3">
      <c r="A922">
        <v>1022</v>
      </c>
      <c r="B922" t="str">
        <v>BCSA SD GALILEO FCI MULTIMERCADO II</v>
      </c>
      <c r="C922" s="6">
        <v>0</v>
      </c>
      <c r="D922" s="6">
        <v>0</v>
      </c>
      <c r="E922" t="str">
        <v>Pesos</v>
      </c>
      <c r="F922" t="str">
        <v xml:space="preserve"> $</v>
      </c>
      <c r="G922" t="str">
        <f>IFERROR(VLOOKUP(A922,'Clientes CBOT'!B:E,4,0),B922)</f>
        <v>BCSA SD GALILEO FCI MULTIMERCADO II</v>
      </c>
      <c r="H922" t="str">
        <f t="shared" si="42"/>
        <v>Ars</v>
      </c>
      <c r="I922" s="6">
        <f t="shared" si="43"/>
        <v>0</v>
      </c>
      <c r="J922">
        <f t="shared" si="44"/>
        <v>0</v>
      </c>
    </row>
    <row r="923" spans="1:10" hidden="1" x14ac:dyDescent="0.3">
      <c r="A923">
        <v>1024</v>
      </c>
      <c r="B923" t="str">
        <v>BCSA SD ZOFINGEN PESOS 24</v>
      </c>
      <c r="C923" s="6">
        <v>0</v>
      </c>
      <c r="D923" s="6">
        <v>0</v>
      </c>
      <c r="E923" t="str">
        <v>Pesos</v>
      </c>
      <c r="F923" t="str">
        <v xml:space="preserve"> $</v>
      </c>
      <c r="G923" t="str">
        <f>IFERROR(VLOOKUP(A923,'Clientes CBOT'!B:E,4,0),B923)</f>
        <v>BCSA SD ZOFINGEN PESOS 24</v>
      </c>
      <c r="H923" t="str">
        <f t="shared" si="42"/>
        <v>Ars</v>
      </c>
      <c r="I923" s="6">
        <f t="shared" si="43"/>
        <v>0</v>
      </c>
      <c r="J923">
        <f t="shared" si="44"/>
        <v>0</v>
      </c>
    </row>
    <row r="924" spans="1:10" hidden="1" x14ac:dyDescent="0.3">
      <c r="A924">
        <v>1023</v>
      </c>
      <c r="B924" t="str">
        <v>ZOFINGEN INFRAESTRUCTURA FCI ABIERTO</v>
      </c>
      <c r="C924" s="6">
        <v>0</v>
      </c>
      <c r="D924" s="6">
        <v>0</v>
      </c>
      <c r="E924" t="str">
        <v>Pesos</v>
      </c>
      <c r="F924" t="str">
        <v xml:space="preserve"> $</v>
      </c>
      <c r="G924" t="str">
        <f>IFERROR(VLOOKUP(A924,'Clientes CBOT'!B:E,4,0),B924)</f>
        <v>ZOFINGEN INFRAESTRUCTURA FCI ABIERTO</v>
      </c>
      <c r="H924" t="str">
        <f t="shared" si="42"/>
        <v>Ars</v>
      </c>
      <c r="I924" s="6">
        <f t="shared" si="43"/>
        <v>0</v>
      </c>
      <c r="J924">
        <f t="shared" si="44"/>
        <v>0</v>
      </c>
    </row>
    <row r="925" spans="1:10" hidden="1" x14ac:dyDescent="0.3">
      <c r="A925">
        <v>155</v>
      </c>
      <c r="B925" t="str">
        <v>CRESUD S A COMERCIAL INMOBILIARIA FINANCIERA Y AGROPECUARIA</v>
      </c>
      <c r="C925" s="6">
        <v>-159703925.84999999</v>
      </c>
      <c r="D925" s="6">
        <v>0</v>
      </c>
      <c r="E925" t="str">
        <v>Pesos</v>
      </c>
      <c r="F925" t="str">
        <v xml:space="preserve"> $</v>
      </c>
      <c r="G925" t="str">
        <f>IFERROR(VLOOKUP(A925,'Clientes CBOT'!B:E,4,0),B925)</f>
        <v>CRESUD S A COMERCIAL INMOBILIARIA FINANCIERA Y AGROPECUARIA</v>
      </c>
      <c r="H925" t="str">
        <f t="shared" si="42"/>
        <v>Ars</v>
      </c>
      <c r="I925" s="6">
        <f t="shared" si="43"/>
        <v>-159703925.84999999</v>
      </c>
      <c r="J925">
        <f t="shared" si="44"/>
        <v>0</v>
      </c>
    </row>
    <row r="926" spans="1:10" hidden="1" x14ac:dyDescent="0.3">
      <c r="A926">
        <v>525</v>
      </c>
      <c r="B926" t="str">
        <v>MANTRA SA</v>
      </c>
      <c r="C926" s="6">
        <v>0</v>
      </c>
      <c r="D926" s="6">
        <v>0</v>
      </c>
      <c r="E926" t="str">
        <v>Pesos</v>
      </c>
      <c r="F926" t="str">
        <v xml:space="preserve"> $</v>
      </c>
      <c r="G926" t="str">
        <f>IFERROR(VLOOKUP(A926,'Clientes CBOT'!B:E,4,0),B926)</f>
        <v>MANTRA SA</v>
      </c>
      <c r="H926" t="str">
        <f t="shared" si="42"/>
        <v>Ars</v>
      </c>
      <c r="I926" s="6">
        <f t="shared" si="43"/>
        <v>0</v>
      </c>
      <c r="J926">
        <f t="shared" si="44"/>
        <v>0</v>
      </c>
    </row>
    <row r="927" spans="1:10" hidden="1" x14ac:dyDescent="0.3">
      <c r="A927">
        <v>1028</v>
      </c>
      <c r="B927" t="str">
        <v>FCI GALILEO AHORRO</v>
      </c>
      <c r="C927" s="6">
        <v>0</v>
      </c>
      <c r="D927" s="6">
        <v>0</v>
      </c>
      <c r="E927" t="str">
        <v>Pesos</v>
      </c>
      <c r="F927" t="str">
        <v xml:space="preserve"> $</v>
      </c>
      <c r="G927" t="str">
        <f>IFERROR(VLOOKUP(A927,'Clientes CBOT'!B:E,4,0),B927)</f>
        <v>FCI GALILEO AHORRO</v>
      </c>
      <c r="H927" t="str">
        <f t="shared" si="42"/>
        <v>Ars</v>
      </c>
      <c r="I927" s="6">
        <f t="shared" si="43"/>
        <v>0</v>
      </c>
      <c r="J927">
        <f t="shared" si="44"/>
        <v>0</v>
      </c>
    </row>
    <row r="928" spans="1:10" hidden="1" x14ac:dyDescent="0.3">
      <c r="A928">
        <v>1029</v>
      </c>
      <c r="B928" t="str">
        <v>FCI GALILEO AHORRO PLUS</v>
      </c>
      <c r="C928" s="6">
        <v>0</v>
      </c>
      <c r="D928" s="6">
        <v>0</v>
      </c>
      <c r="E928" t="str">
        <v>Pesos</v>
      </c>
      <c r="F928" t="str">
        <v xml:space="preserve"> $</v>
      </c>
      <c r="G928" t="str">
        <f>IFERROR(VLOOKUP(A928,'Clientes CBOT'!B:E,4,0),B928)</f>
        <v>FCI GALILEO AHORRO PLUS</v>
      </c>
      <c r="H928" t="str">
        <f t="shared" si="42"/>
        <v>Ars</v>
      </c>
      <c r="I928" s="6">
        <f t="shared" si="43"/>
        <v>0</v>
      </c>
      <c r="J928">
        <f t="shared" si="44"/>
        <v>0</v>
      </c>
    </row>
    <row r="929" spans="1:10" hidden="1" x14ac:dyDescent="0.3">
      <c r="A929">
        <v>391</v>
      </c>
      <c r="B929" t="str">
        <v>DESVIO FUNKE SRL</v>
      </c>
      <c r="C929" s="6">
        <v>0.03</v>
      </c>
      <c r="D929" s="6">
        <v>0</v>
      </c>
      <c r="E929" t="str">
        <v>Pesos</v>
      </c>
      <c r="F929" t="str">
        <v xml:space="preserve"> $</v>
      </c>
      <c r="G929" t="str">
        <f>IFERROR(VLOOKUP(A929,'Clientes CBOT'!B:E,4,0),B929)</f>
        <v>DESVIO FUNKE SRL</v>
      </c>
      <c r="H929" t="str">
        <f t="shared" si="42"/>
        <v>Ars</v>
      </c>
      <c r="I929" s="6">
        <f t="shared" si="43"/>
        <v>0.03</v>
      </c>
      <c r="J929">
        <f t="shared" si="44"/>
        <v>0</v>
      </c>
    </row>
    <row r="930" spans="1:10" hidden="1" x14ac:dyDescent="0.3">
      <c r="A930">
        <v>385</v>
      </c>
      <c r="B930" t="str">
        <v>AGRICULTORES GANADEROS VILLA CANAS SRL</v>
      </c>
      <c r="C930" s="6">
        <v>-369.19</v>
      </c>
      <c r="D930" s="6">
        <v>0.04</v>
      </c>
      <c r="E930" t="str">
        <v>Pesos</v>
      </c>
      <c r="F930" t="str">
        <v xml:space="preserve"> $</v>
      </c>
      <c r="G930" t="str">
        <f>IFERROR(VLOOKUP(A930,'Clientes CBOT'!B:E,4,0),B930)</f>
        <v>AGRICULTORES GANADEROS VILLA CANAS SRL</v>
      </c>
      <c r="H930" t="str">
        <f t="shared" si="42"/>
        <v>Ars</v>
      </c>
      <c r="I930" s="6">
        <f t="shared" si="43"/>
        <v>-369.19</v>
      </c>
      <c r="J930">
        <f t="shared" si="44"/>
        <v>0.04</v>
      </c>
    </row>
    <row r="931" spans="1:10" hidden="1" x14ac:dyDescent="0.3">
      <c r="A931">
        <v>376</v>
      </c>
      <c r="B931" t="str">
        <v>MONTE DEL GATO SA</v>
      </c>
      <c r="C931" s="6">
        <v>2933.42</v>
      </c>
      <c r="D931" s="6">
        <v>0</v>
      </c>
      <c r="E931" t="str">
        <v>Pesos</v>
      </c>
      <c r="F931" t="str">
        <v xml:space="preserve"> $</v>
      </c>
      <c r="G931" t="str">
        <f>IFERROR(VLOOKUP(A931,'Clientes CBOT'!B:E,4,0),B931)</f>
        <v>MONTE DEL GATO SA</v>
      </c>
      <c r="H931" t="str">
        <f t="shared" si="42"/>
        <v>Ars</v>
      </c>
      <c r="I931" s="6">
        <f t="shared" si="43"/>
        <v>2933.42</v>
      </c>
      <c r="J931">
        <f t="shared" si="44"/>
        <v>0</v>
      </c>
    </row>
    <row r="932" spans="1:10" hidden="1" x14ac:dyDescent="0.3">
      <c r="A932">
        <v>272</v>
      </c>
      <c r="B932" t="str">
        <v>ALEA Y CIA SOCIEDAD ANONIMA</v>
      </c>
      <c r="C932" s="6">
        <v>-1477351938.0599999</v>
      </c>
      <c r="D932" s="6">
        <v>0</v>
      </c>
      <c r="E932" t="str">
        <v>Pesos</v>
      </c>
      <c r="F932" t="str">
        <v xml:space="preserve"> $</v>
      </c>
      <c r="G932" t="str">
        <f>IFERROR(VLOOKUP(A932,'Clientes CBOT'!B:E,4,0),B932)</f>
        <v>ALEA Y CIA SOCIEDAD ANONIMA</v>
      </c>
      <c r="H932" t="str">
        <f t="shared" si="42"/>
        <v>Ars</v>
      </c>
      <c r="I932" s="6">
        <f t="shared" si="43"/>
        <v>-1477351938.0599999</v>
      </c>
      <c r="J932">
        <f t="shared" si="44"/>
        <v>0</v>
      </c>
    </row>
    <row r="933" spans="1:10" x14ac:dyDescent="0.3">
      <c r="A933">
        <v>194</v>
      </c>
      <c r="B933" t="str">
        <v>CRESUD S A COMERCIAL INMOBILIARIA FINANCIERA Y AGROPECUARIA</v>
      </c>
      <c r="C933" s="6">
        <v>475865822</v>
      </c>
      <c r="D933" s="6">
        <v>0</v>
      </c>
      <c r="E933" t="str">
        <v>Pesos</v>
      </c>
      <c r="F933" t="str">
        <v xml:space="preserve"> $</v>
      </c>
      <c r="G933" t="str">
        <f>IFERROR(VLOOKUP(A933,'Clientes CBOT'!B:E,4,0),B933)</f>
        <v>CRESUD S A COMERCIAL INMOBILIARIA FINANCIERA Y AGROPECUARIA</v>
      </c>
      <c r="H933" t="str">
        <f t="shared" si="42"/>
        <v>Ars</v>
      </c>
      <c r="I933" s="6">
        <f t="shared" si="43"/>
        <v>475865822</v>
      </c>
      <c r="J933">
        <f t="shared" si="44"/>
        <v>0</v>
      </c>
    </row>
    <row r="934" spans="1:10" x14ac:dyDescent="0.3">
      <c r="A934">
        <v>195</v>
      </c>
      <c r="B934" t="str">
        <v>CRESUD S A COMERCIAL INMOBILIARIA FINANCIERA Y AGROPECUARIA</v>
      </c>
      <c r="C934" s="6">
        <v>18701479.48</v>
      </c>
      <c r="D934" s="6">
        <v>0</v>
      </c>
      <c r="E934" t="str">
        <v>Pesos</v>
      </c>
      <c r="F934" t="str">
        <v xml:space="preserve"> $</v>
      </c>
      <c r="G934" t="str">
        <f>IFERROR(VLOOKUP(A934,'Clientes CBOT'!B:E,4,0),B934)</f>
        <v>CRESUD S A COMERCIAL INMOBILIARIA FINANCIERA Y AGROPECUARIA</v>
      </c>
      <c r="H934" t="str">
        <f t="shared" si="42"/>
        <v>Ars</v>
      </c>
      <c r="I934" s="6">
        <f t="shared" si="43"/>
        <v>18701479.48</v>
      </c>
      <c r="J934">
        <f t="shared" si="44"/>
        <v>0</v>
      </c>
    </row>
    <row r="935" spans="1:10" x14ac:dyDescent="0.3">
      <c r="A935">
        <v>564</v>
      </c>
      <c r="B935" t="str">
        <v>MARTIN LUCAS HORACIO</v>
      </c>
      <c r="C935" s="6">
        <v>-1306.4000000000001</v>
      </c>
      <c r="D935" s="6">
        <v>0</v>
      </c>
      <c r="E935" t="str">
        <v>Pesos</v>
      </c>
      <c r="F935" t="str">
        <v xml:space="preserve"> $</v>
      </c>
      <c r="G935" t="str">
        <f>IFERROR(VLOOKUP(A935,'Clientes CBOT'!B:E,4,0),B935)</f>
        <v>MARTIN LUCAS HORACIO</v>
      </c>
      <c r="H935" t="str">
        <f t="shared" si="42"/>
        <v>Ars</v>
      </c>
      <c r="I935" s="6">
        <f t="shared" si="43"/>
        <v>-1306.4000000000001</v>
      </c>
      <c r="J935">
        <f t="shared" si="44"/>
        <v>0</v>
      </c>
    </row>
    <row r="936" spans="1:10" hidden="1" x14ac:dyDescent="0.3">
      <c r="A936">
        <v>6003</v>
      </c>
      <c r="B936" t="str">
        <v>ATANOR SOCIEDAD EN COMANDITA POR ACCIONES</v>
      </c>
      <c r="C936" s="6">
        <v>-0.65</v>
      </c>
      <c r="D936" s="6">
        <v>0</v>
      </c>
      <c r="E936" t="str">
        <v>Pesos</v>
      </c>
      <c r="F936" t="str">
        <v xml:space="preserve"> $</v>
      </c>
      <c r="G936" t="str">
        <f>IFERROR(VLOOKUP(A936,'Clientes CBOT'!B:E,4,0),B936)</f>
        <v>ATANOR SOCIEDAD EN COMANDITA POR ACCIONES</v>
      </c>
      <c r="H936" t="str">
        <f t="shared" si="42"/>
        <v>Ars</v>
      </c>
      <c r="I936" s="6">
        <f t="shared" si="43"/>
        <v>-0.65</v>
      </c>
      <c r="J936">
        <f t="shared" si="44"/>
        <v>0</v>
      </c>
    </row>
    <row r="937" spans="1:10" hidden="1" x14ac:dyDescent="0.3">
      <c r="A937">
        <v>5200</v>
      </c>
      <c r="B937" t="str">
        <v>BULL MARKET BROKERS SA</v>
      </c>
      <c r="C937" s="6">
        <v>0</v>
      </c>
      <c r="D937" s="6">
        <v>0</v>
      </c>
      <c r="E937" t="str">
        <v>Pesos</v>
      </c>
      <c r="F937" t="str">
        <v xml:space="preserve"> $</v>
      </c>
      <c r="G937" t="str">
        <f>IFERROR(VLOOKUP(A937,'Clientes CBOT'!B:E,4,0),B937)</f>
        <v>BULL MARKET BROKERS SA</v>
      </c>
      <c r="H937" t="str">
        <f t="shared" si="42"/>
        <v>Ars</v>
      </c>
      <c r="I937" s="6">
        <f t="shared" si="43"/>
        <v>0</v>
      </c>
      <c r="J937">
        <f t="shared" si="44"/>
        <v>0</v>
      </c>
    </row>
    <row r="938" spans="1:10" hidden="1" x14ac:dyDescent="0.3">
      <c r="A938">
        <v>560</v>
      </c>
      <c r="B938" t="str">
        <v>MORIXE HERMANOS SACI</v>
      </c>
      <c r="C938" s="6">
        <v>-0.16</v>
      </c>
      <c r="D938" s="6">
        <v>0</v>
      </c>
      <c r="E938" t="str">
        <v>Pesos</v>
      </c>
      <c r="F938" t="str">
        <v xml:space="preserve"> $</v>
      </c>
      <c r="G938" t="str">
        <f>IFERROR(VLOOKUP(A938,'Clientes CBOT'!B:E,4,0),B938)</f>
        <v>MORIXE HERMANOS SACI</v>
      </c>
      <c r="H938" t="str">
        <f t="shared" si="42"/>
        <v>Ars</v>
      </c>
      <c r="I938" s="6">
        <f t="shared" si="43"/>
        <v>-0.16</v>
      </c>
      <c r="J938">
        <f t="shared" si="44"/>
        <v>0</v>
      </c>
    </row>
    <row r="939" spans="1:10" hidden="1" x14ac:dyDescent="0.3">
      <c r="A939">
        <v>5292</v>
      </c>
      <c r="B939" t="str">
        <v>FIRST CAPITAL MARKET SA</v>
      </c>
      <c r="C939" s="6">
        <v>0</v>
      </c>
      <c r="D939" s="6">
        <v>0</v>
      </c>
      <c r="E939" t="str">
        <v>Pesos</v>
      </c>
      <c r="F939" t="str">
        <v xml:space="preserve"> $</v>
      </c>
      <c r="G939" t="str">
        <f>IFERROR(VLOOKUP(A939,'Clientes CBOT'!B:E,4,0),B939)</f>
        <v>FIRST CAPITAL MARKET SA</v>
      </c>
      <c r="H939" t="str">
        <f t="shared" si="42"/>
        <v>Ars</v>
      </c>
      <c r="I939" s="6">
        <f t="shared" si="43"/>
        <v>0</v>
      </c>
      <c r="J939">
        <f t="shared" si="44"/>
        <v>0</v>
      </c>
    </row>
    <row r="940" spans="1:10" hidden="1" x14ac:dyDescent="0.3">
      <c r="A940">
        <v>6008</v>
      </c>
      <c r="B940" t="str">
        <v>MANEXA S.A</v>
      </c>
      <c r="C940" s="6">
        <v>64182.97</v>
      </c>
      <c r="D940" s="6">
        <v>0</v>
      </c>
      <c r="E940" t="str">
        <v>Pesos</v>
      </c>
      <c r="F940" t="str">
        <v xml:space="preserve"> $</v>
      </c>
      <c r="G940" t="str">
        <f>IFERROR(VLOOKUP(A940,'Clientes CBOT'!B:E,4,0),B940)</f>
        <v>MANEXA S.A</v>
      </c>
      <c r="H940" t="str">
        <f t="shared" si="42"/>
        <v>Ars</v>
      </c>
      <c r="I940" s="6">
        <f t="shared" si="43"/>
        <v>64182.97</v>
      </c>
      <c r="J940">
        <f t="shared" si="44"/>
        <v>0</v>
      </c>
    </row>
    <row r="941" spans="1:10" hidden="1" x14ac:dyDescent="0.3">
      <c r="A941">
        <v>6016</v>
      </c>
      <c r="B941" t="str">
        <v>ZAMPIERI RAUL</v>
      </c>
      <c r="C941" s="6">
        <v>0</v>
      </c>
      <c r="D941" s="6">
        <v>0</v>
      </c>
      <c r="E941" t="str">
        <v>Pesos</v>
      </c>
      <c r="F941" t="str">
        <v xml:space="preserve"> $</v>
      </c>
      <c r="G941" t="str">
        <f>IFERROR(VLOOKUP(A941,'Clientes CBOT'!B:E,4,0),B941)</f>
        <v>ZAMPIERI RAUL</v>
      </c>
      <c r="H941" t="str">
        <f t="shared" si="42"/>
        <v>Ars</v>
      </c>
      <c r="I941" s="6">
        <f t="shared" si="43"/>
        <v>0</v>
      </c>
      <c r="J941">
        <f t="shared" si="44"/>
        <v>0</v>
      </c>
    </row>
    <row r="942" spans="1:10" hidden="1" x14ac:dyDescent="0.3">
      <c r="A942">
        <v>420</v>
      </c>
      <c r="B942" t="str">
        <v>TECNO AIRE SRL</v>
      </c>
      <c r="C942" s="6">
        <v>0.11</v>
      </c>
      <c r="D942" s="6">
        <v>-0.01</v>
      </c>
      <c r="E942" t="str">
        <v>Pesos</v>
      </c>
      <c r="F942" t="str">
        <v xml:space="preserve"> $</v>
      </c>
      <c r="G942" t="str">
        <f>IFERROR(VLOOKUP(A942,'Clientes CBOT'!B:E,4,0),B942)</f>
        <v>TECNO AIRE SRL</v>
      </c>
      <c r="H942" t="str">
        <f t="shared" si="42"/>
        <v>Ars</v>
      </c>
      <c r="I942" s="6">
        <f t="shared" si="43"/>
        <v>0.11</v>
      </c>
      <c r="J942">
        <f t="shared" si="44"/>
        <v>-0.01</v>
      </c>
    </row>
    <row r="943" spans="1:10" hidden="1" x14ac:dyDescent="0.3">
      <c r="A943">
        <v>420</v>
      </c>
      <c r="B943" t="str">
        <v>TECNO AIRE SRL</v>
      </c>
      <c r="C943" s="6">
        <v>0.86</v>
      </c>
      <c r="D943" s="6">
        <v>0</v>
      </c>
      <c r="E943" t="str">
        <v xml:space="preserve">Dólar </v>
      </c>
      <c r="F943" t="str">
        <v xml:space="preserve"> U$S</v>
      </c>
      <c r="G943" t="str">
        <f>IFERROR(VLOOKUP(A943,'Clientes CBOT'!B:E,4,0),B943)</f>
        <v>TECNO AIRE SRL</v>
      </c>
      <c r="H943" t="str">
        <f t="shared" si="42"/>
        <v>Dólar</v>
      </c>
      <c r="I943" s="6">
        <f t="shared" si="43"/>
        <v>0.86</v>
      </c>
      <c r="J943">
        <f t="shared" si="44"/>
        <v>0</v>
      </c>
    </row>
    <row r="944" spans="1:10" hidden="1" x14ac:dyDescent="0.3">
      <c r="A944">
        <v>6016</v>
      </c>
      <c r="B944" t="str">
        <v>ZAMPIERI RAUL</v>
      </c>
      <c r="C944" s="6">
        <v>0.53</v>
      </c>
      <c r="D944" s="6">
        <v>0</v>
      </c>
      <c r="E944" t="str">
        <v xml:space="preserve">Dólar </v>
      </c>
      <c r="F944" t="str">
        <v xml:space="preserve"> U$S</v>
      </c>
      <c r="G944" t="str">
        <f>IFERROR(VLOOKUP(A944,'Clientes CBOT'!B:E,4,0),B944)</f>
        <v>ZAMPIERI RAUL</v>
      </c>
      <c r="H944" t="str">
        <f t="shared" si="42"/>
        <v>Dólar</v>
      </c>
      <c r="I944" s="6">
        <f t="shared" si="43"/>
        <v>0.53</v>
      </c>
      <c r="J944">
        <f t="shared" si="44"/>
        <v>0</v>
      </c>
    </row>
    <row r="945" spans="1:10" hidden="1" x14ac:dyDescent="0.3">
      <c r="A945">
        <v>6008</v>
      </c>
      <c r="B945" t="str">
        <v>MANEXA S.A</v>
      </c>
      <c r="C945" s="6">
        <v>1.85</v>
      </c>
      <c r="D945" s="6">
        <v>0</v>
      </c>
      <c r="E945" t="str">
        <v xml:space="preserve">Dólar </v>
      </c>
      <c r="F945" t="str">
        <v xml:space="preserve"> U$S</v>
      </c>
      <c r="G945" t="str">
        <f>IFERROR(VLOOKUP(A945,'Clientes CBOT'!B:E,4,0),B945)</f>
        <v>MANEXA S.A</v>
      </c>
      <c r="H945" t="str">
        <f t="shared" si="42"/>
        <v>Dólar</v>
      </c>
      <c r="I945" s="6">
        <f t="shared" si="43"/>
        <v>1.85</v>
      </c>
      <c r="J945">
        <f t="shared" si="44"/>
        <v>0</v>
      </c>
    </row>
    <row r="946" spans="1:10" hidden="1" x14ac:dyDescent="0.3">
      <c r="A946">
        <v>272</v>
      </c>
      <c r="B946" t="str">
        <v>ALEA Y CIA SOCIEDAD ANONIMA</v>
      </c>
      <c r="C946" s="6">
        <v>517.5</v>
      </c>
      <c r="D946" s="6">
        <v>0</v>
      </c>
      <c r="E946" t="str">
        <v xml:space="preserve">Dólar </v>
      </c>
      <c r="F946" t="str">
        <v xml:space="preserve"> U$S</v>
      </c>
      <c r="G946" t="str">
        <f>IFERROR(VLOOKUP(A946,'Clientes CBOT'!B:E,4,0),B946)</f>
        <v>ALEA Y CIA SOCIEDAD ANONIMA</v>
      </c>
      <c r="H946" t="str">
        <f t="shared" si="42"/>
        <v>Dólar</v>
      </c>
      <c r="I946" s="6">
        <f t="shared" si="43"/>
        <v>517.5</v>
      </c>
      <c r="J946">
        <f t="shared" si="44"/>
        <v>0</v>
      </c>
    </row>
    <row r="947" spans="1:10" hidden="1" x14ac:dyDescent="0.3">
      <c r="A947">
        <v>376</v>
      </c>
      <c r="B947" t="str">
        <v>MONTE DEL GATO SA</v>
      </c>
      <c r="C947" s="6">
        <v>0</v>
      </c>
      <c r="D947" s="6">
        <v>0</v>
      </c>
      <c r="E947" t="str">
        <v xml:space="preserve">Dólar </v>
      </c>
      <c r="F947" t="str">
        <v xml:space="preserve"> U$S</v>
      </c>
      <c r="G947" t="str">
        <f>IFERROR(VLOOKUP(A947,'Clientes CBOT'!B:E,4,0),B947)</f>
        <v>MONTE DEL GATO SA</v>
      </c>
      <c r="H947" t="str">
        <f t="shared" si="42"/>
        <v>Dólar</v>
      </c>
      <c r="I947" s="6">
        <f t="shared" si="43"/>
        <v>0</v>
      </c>
      <c r="J947">
        <f t="shared" si="44"/>
        <v>0</v>
      </c>
    </row>
    <row r="948" spans="1:10" hidden="1" x14ac:dyDescent="0.3">
      <c r="A948">
        <v>385</v>
      </c>
      <c r="B948" t="str">
        <v>AGRICULTORES GANADEROS VILLA CANAS SRL</v>
      </c>
      <c r="C948" s="6">
        <v>0</v>
      </c>
      <c r="D948" s="6">
        <v>0</v>
      </c>
      <c r="E948" t="str">
        <v xml:space="preserve">Dólar </v>
      </c>
      <c r="F948" t="str">
        <v xml:space="preserve"> U$S</v>
      </c>
      <c r="G948" t="str">
        <f>IFERROR(VLOOKUP(A948,'Clientes CBOT'!B:E,4,0),B948)</f>
        <v>AGRICULTORES GANADEROS VILLA CANAS SRL</v>
      </c>
      <c r="H948" t="str">
        <f t="shared" si="42"/>
        <v>Dólar</v>
      </c>
      <c r="I948" s="6">
        <f t="shared" si="43"/>
        <v>0</v>
      </c>
      <c r="J948">
        <f t="shared" si="44"/>
        <v>0</v>
      </c>
    </row>
    <row r="949" spans="1:10" hidden="1" x14ac:dyDescent="0.3">
      <c r="A949">
        <v>525</v>
      </c>
      <c r="B949" t="str">
        <v>MANTRA SA</v>
      </c>
      <c r="C949" s="6">
        <v>0</v>
      </c>
      <c r="D949" s="6">
        <v>0</v>
      </c>
      <c r="E949" t="str">
        <v xml:space="preserve">Dólar </v>
      </c>
      <c r="F949" t="str">
        <v xml:space="preserve"> U$S</v>
      </c>
      <c r="G949" t="str">
        <f>IFERROR(VLOOKUP(A949,'Clientes CBOT'!B:E,4,0),B949)</f>
        <v>MANTRA SA</v>
      </c>
      <c r="H949" t="str">
        <f t="shared" si="42"/>
        <v>Dólar</v>
      </c>
      <c r="I949" s="6">
        <f t="shared" si="43"/>
        <v>0</v>
      </c>
      <c r="J949">
        <f t="shared" si="44"/>
        <v>0</v>
      </c>
    </row>
    <row r="950" spans="1:10" hidden="1" x14ac:dyDescent="0.3">
      <c r="A950">
        <v>19</v>
      </c>
      <c r="B950" t="str">
        <v>CRESUD S A COMERCIAL INMOBILIARIA FINANCIERA Y AGROPECUARIA</v>
      </c>
      <c r="C950" s="6">
        <v>0</v>
      </c>
      <c r="D950" s="6">
        <v>4387.6899999999996</v>
      </c>
      <c r="E950" t="str">
        <v xml:space="preserve">Dólar </v>
      </c>
      <c r="F950" t="str">
        <v xml:space="preserve"> U$S</v>
      </c>
      <c r="G950" t="str">
        <f>IFERROR(VLOOKUP(A950,'Clientes CBOT'!B:E,4,0),B950)</f>
        <v>CRESUD S A COMERCIAL INMOBILIARIA FINANCIERA Y AGROPECUARIA</v>
      </c>
      <c r="H950" t="str">
        <f t="shared" si="42"/>
        <v>Dólar</v>
      </c>
      <c r="I950" s="6">
        <f t="shared" si="43"/>
        <v>0</v>
      </c>
      <c r="J950">
        <f t="shared" si="44"/>
        <v>4387.6899999999996</v>
      </c>
    </row>
    <row r="951" spans="1:10" hidden="1" x14ac:dyDescent="0.3">
      <c r="A951">
        <v>452</v>
      </c>
      <c r="B951" t="str">
        <v>GRUPO DEL SUR SRL</v>
      </c>
      <c r="C951" s="6">
        <v>430.68</v>
      </c>
      <c r="D951" s="6">
        <v>0</v>
      </c>
      <c r="E951" t="str">
        <v xml:space="preserve">Dólar </v>
      </c>
      <c r="F951" t="str">
        <v xml:space="preserve"> U$S</v>
      </c>
      <c r="G951" t="str">
        <f>IFERROR(VLOOKUP(A951,'Clientes CBOT'!B:E,4,0),B951)</f>
        <v>GRUPO DEL SUR SRL</v>
      </c>
      <c r="H951" t="str">
        <f t="shared" si="42"/>
        <v>Dólar</v>
      </c>
      <c r="I951" s="6">
        <f t="shared" si="43"/>
        <v>430.68</v>
      </c>
      <c r="J951">
        <f t="shared" si="44"/>
        <v>0</v>
      </c>
    </row>
    <row r="952" spans="1:10" hidden="1" x14ac:dyDescent="0.3">
      <c r="A952">
        <v>19</v>
      </c>
      <c r="B952" t="str">
        <v>CRESUD S A COMERCIAL INMOBILIARIA FINANCIERA Y AGROPECUARIA</v>
      </c>
      <c r="C952" s="6">
        <v>8465.24</v>
      </c>
      <c r="D952" s="6">
        <v>491.23</v>
      </c>
      <c r="E952" t="str">
        <v>Dólar Cable</v>
      </c>
      <c r="F952" t="str">
        <v xml:space="preserve"> U$S TT</v>
      </c>
      <c r="G952" t="str">
        <f>IFERROR(VLOOKUP(A952,'Clientes CBOT'!B:E,4,0),B952)</f>
        <v>CRESUD S A COMERCIAL INMOBILIARIA FINANCIERA Y AGROPECUARIA</v>
      </c>
      <c r="H952" t="str">
        <f t="shared" si="42"/>
        <v>Hard</v>
      </c>
      <c r="I952" s="6">
        <f t="shared" si="43"/>
        <v>8465.24</v>
      </c>
      <c r="J952">
        <f t="shared" si="44"/>
        <v>491.23</v>
      </c>
    </row>
    <row r="953" spans="1:10" hidden="1" x14ac:dyDescent="0.3">
      <c r="A953">
        <v>525</v>
      </c>
      <c r="B953" t="str">
        <v>MANTRA SA</v>
      </c>
      <c r="C953" s="6">
        <v>0</v>
      </c>
      <c r="D953" s="6">
        <v>0</v>
      </c>
      <c r="E953" t="str">
        <v>Dólar Cable</v>
      </c>
      <c r="F953" t="str">
        <v xml:space="preserve"> U$S TT</v>
      </c>
      <c r="G953" t="str">
        <f>IFERROR(VLOOKUP(A953,'Clientes CBOT'!B:E,4,0),B953)</f>
        <v>MANTRA SA</v>
      </c>
      <c r="H953" t="str">
        <f t="shared" si="42"/>
        <v>Hard</v>
      </c>
      <c r="I953" s="6">
        <f t="shared" si="43"/>
        <v>0</v>
      </c>
      <c r="J953">
        <f t="shared" si="44"/>
        <v>0</v>
      </c>
    </row>
    <row r="954" spans="1:10" hidden="1" x14ac:dyDescent="0.3">
      <c r="A954">
        <v>493</v>
      </c>
      <c r="B954" t="str">
        <v>ARG DE GRAAF SA</v>
      </c>
      <c r="C954" s="6">
        <v>-0.02</v>
      </c>
      <c r="D954" s="6">
        <v>0</v>
      </c>
      <c r="E954" t="str">
        <v>Dólar Cable</v>
      </c>
      <c r="F954" t="str">
        <v xml:space="preserve"> U$S TT</v>
      </c>
      <c r="G954" t="str">
        <f>IFERROR(VLOOKUP(A954,'Clientes CBOT'!B:E,4,0),B954)</f>
        <v>ARG DE GRAAF SA</v>
      </c>
      <c r="H954" t="str">
        <f t="shared" si="42"/>
        <v>Hard</v>
      </c>
      <c r="I954" s="6">
        <f t="shared" si="43"/>
        <v>-0.02</v>
      </c>
      <c r="J954">
        <f t="shared" si="44"/>
        <v>0</v>
      </c>
    </row>
    <row r="955" spans="1:10" hidden="1" x14ac:dyDescent="0.3">
      <c r="A955">
        <v>155</v>
      </c>
      <c r="B955" t="str">
        <v>CRESUD S A COMERCIAL INMOBILIARIA FINANCIERA Y AGROPECUARIA</v>
      </c>
      <c r="C955" s="6">
        <v>67788.67</v>
      </c>
      <c r="D955" s="6">
        <v>0</v>
      </c>
      <c r="E955" t="str">
        <v>Dólar Matba Rofex</v>
      </c>
      <c r="F955" t="str">
        <v xml:space="preserve"> U$S MR</v>
      </c>
      <c r="G955" t="str">
        <f>IFERROR(VLOOKUP(A955,'Clientes CBOT'!B:E,4,0),B955)</f>
        <v>CRESUD S A COMERCIAL INMOBILIARIA FINANCIERA Y AGROPECUARIA</v>
      </c>
      <c r="H955" t="str">
        <f t="shared" si="42"/>
        <v>usd linked</v>
      </c>
      <c r="I955" s="6">
        <f t="shared" si="43"/>
        <v>67788.67</v>
      </c>
      <c r="J955">
        <f t="shared" si="44"/>
        <v>0</v>
      </c>
    </row>
    <row r="956" spans="1:10" hidden="1" x14ac:dyDescent="0.3">
      <c r="A956">
        <v>19</v>
      </c>
      <c r="B956" t="str">
        <v>CRESUD S A COMERCIAL INMOBILIARIA FINANCIERA Y AGROPECUARIA</v>
      </c>
      <c r="C956" s="6">
        <v>-1316274.0900000001</v>
      </c>
      <c r="D956" s="6">
        <v>1445581.74</v>
      </c>
      <c r="E956" t="str">
        <v>Dólar Matba Rofex</v>
      </c>
      <c r="F956" t="str">
        <v xml:space="preserve"> U$S MR</v>
      </c>
      <c r="G956" t="str">
        <f>IFERROR(VLOOKUP(A956,'Clientes CBOT'!B:E,4,0),B956)</f>
        <v>CRESUD S A COMERCIAL INMOBILIARIA FINANCIERA Y AGROPECUARIA</v>
      </c>
      <c r="H956" t="str">
        <f t="shared" si="42"/>
        <v>usd linked</v>
      </c>
      <c r="I956" s="6">
        <f t="shared" si="43"/>
        <v>-1316274.0900000001</v>
      </c>
      <c r="J956">
        <f t="shared" si="44"/>
        <v>1445581.74</v>
      </c>
    </row>
    <row r="957" spans="1:10" hidden="1" x14ac:dyDescent="0.3">
      <c r="A957">
        <v>391</v>
      </c>
      <c r="B957" t="str">
        <v>DESVIO FUNKE SRL</v>
      </c>
      <c r="C957" s="6">
        <v>0</v>
      </c>
      <c r="D957" s="6">
        <v>0</v>
      </c>
      <c r="E957" t="str">
        <v>Dólar Matba Rofex</v>
      </c>
      <c r="F957" t="str">
        <v xml:space="preserve"> U$S MR</v>
      </c>
      <c r="G957" t="str">
        <f>IFERROR(VLOOKUP(A957,'Clientes CBOT'!B:E,4,0),B957)</f>
        <v>DESVIO FUNKE SRL</v>
      </c>
      <c r="H957" t="str">
        <f t="shared" si="42"/>
        <v>usd linked</v>
      </c>
      <c r="I957" s="6">
        <f t="shared" si="43"/>
        <v>0</v>
      </c>
      <c r="J957">
        <f t="shared" si="44"/>
        <v>0</v>
      </c>
    </row>
    <row r="958" spans="1:10" hidden="1" x14ac:dyDescent="0.3">
      <c r="A958">
        <v>272</v>
      </c>
      <c r="B958" t="str">
        <v>ALEA Y CIA SOCIEDAD ANONIMA</v>
      </c>
      <c r="C958" s="6">
        <v>0</v>
      </c>
      <c r="D958" s="6">
        <v>10625</v>
      </c>
      <c r="E958" t="str">
        <v>Dólar Matba Rofex</v>
      </c>
      <c r="F958" t="str">
        <v xml:space="preserve"> U$S MR</v>
      </c>
      <c r="G958" t="str">
        <f>IFERROR(VLOOKUP(A958,'Clientes CBOT'!B:E,4,0),B958)</f>
        <v>ALEA Y CIA SOCIEDAD ANONIMA</v>
      </c>
      <c r="H958" t="str">
        <f t="shared" si="42"/>
        <v>usd linked</v>
      </c>
      <c r="I958" s="6">
        <f t="shared" si="43"/>
        <v>0</v>
      </c>
      <c r="J958">
        <f t="shared" si="44"/>
        <v>10625</v>
      </c>
    </row>
    <row r="959" spans="1:10" hidden="1" x14ac:dyDescent="0.3">
      <c r="A959">
        <v>195</v>
      </c>
      <c r="B959" t="str">
        <v>CRESUD S A COMERCIAL INMOBILIARIA FINANCIERA Y AGROPECUARIA</v>
      </c>
      <c r="C959" s="6">
        <v>1129883.51</v>
      </c>
      <c r="D959" s="6">
        <v>0</v>
      </c>
      <c r="E959" t="str">
        <v>Dólar Matba Rofex</v>
      </c>
      <c r="F959" t="str">
        <v xml:space="preserve"> U$S MR</v>
      </c>
      <c r="G959" t="str">
        <f>IFERROR(VLOOKUP(A959,'Clientes CBOT'!B:E,4,0),B959)</f>
        <v>CRESUD S A COMERCIAL INMOBILIARIA FINANCIERA Y AGROPECUARIA</v>
      </c>
      <c r="H959" t="str">
        <f t="shared" si="42"/>
        <v>usd linked</v>
      </c>
      <c r="I959" s="6">
        <f t="shared" si="43"/>
        <v>1129883.51</v>
      </c>
      <c r="J959">
        <f t="shared" si="44"/>
        <v>0</v>
      </c>
    </row>
    <row r="960" spans="1:10" hidden="1" x14ac:dyDescent="0.3">
      <c r="A960">
        <v>194</v>
      </c>
      <c r="B960" t="str">
        <v>CRESUD S A COMERCIAL INMOBILIARIA FINANCIERA Y AGROPECUARIA</v>
      </c>
      <c r="C960" s="6">
        <v>126701.91</v>
      </c>
      <c r="D960" s="6">
        <v>0</v>
      </c>
      <c r="E960" t="str">
        <v>Dólar Matba Rofex</v>
      </c>
      <c r="F960" t="str">
        <v xml:space="preserve"> U$S MR</v>
      </c>
      <c r="G960" t="str">
        <f>IFERROR(VLOOKUP(A960,'Clientes CBOT'!B:E,4,0),B960)</f>
        <v>CRESUD S A COMERCIAL INMOBILIARIA FINANCIERA Y AGROPECUARIA</v>
      </c>
      <c r="H960" t="str">
        <f t="shared" si="42"/>
        <v>usd linked</v>
      </c>
      <c r="I960" s="6">
        <f t="shared" si="43"/>
        <v>126701.91</v>
      </c>
      <c r="J960">
        <f t="shared" si="44"/>
        <v>0</v>
      </c>
    </row>
    <row r="961" spans="1:10" hidden="1" x14ac:dyDescent="0.3">
      <c r="A961">
        <v>424</v>
      </c>
      <c r="B961" t="str">
        <v>INSUMOS DEL CENTRO SA</v>
      </c>
      <c r="C961" s="6">
        <v>0</v>
      </c>
      <c r="D961" s="6">
        <v>0</v>
      </c>
      <c r="E961" t="str">
        <v>Pesos</v>
      </c>
      <c r="F961" t="str">
        <v xml:space="preserve"> $</v>
      </c>
      <c r="G961" t="str">
        <f>IFERROR(VLOOKUP(A961,'Clientes CBOT'!B:E,4,0),B961)</f>
        <v>INSUMOS DEL CENTRO SA</v>
      </c>
      <c r="H961" t="str">
        <f t="shared" si="42"/>
        <v>Ars</v>
      </c>
      <c r="I961" s="6">
        <f t="shared" si="43"/>
        <v>0</v>
      </c>
      <c r="J961">
        <f t="shared" si="44"/>
        <v>0</v>
      </c>
    </row>
    <row r="962" spans="1:10" hidden="1" x14ac:dyDescent="0.3">
      <c r="A962">
        <v>480</v>
      </c>
      <c r="B962" t="str">
        <v>FIORDANI DOUGLAS</v>
      </c>
      <c r="C962" s="6">
        <v>0.28000000000000003</v>
      </c>
      <c r="D962" s="6">
        <v>-0.01</v>
      </c>
      <c r="E962" t="str">
        <v>Pesos</v>
      </c>
      <c r="F962" t="str">
        <v xml:space="preserve"> $</v>
      </c>
      <c r="G962" t="str">
        <f>IFERROR(VLOOKUP(A962,'Clientes CBOT'!B:E,4,0),B962)</f>
        <v>FIORDANI DOUGLAS</v>
      </c>
      <c r="H962" t="str">
        <f t="shared" si="42"/>
        <v>Ars</v>
      </c>
      <c r="I962" s="6">
        <f t="shared" si="43"/>
        <v>0.28000000000000003</v>
      </c>
      <c r="J962">
        <f t="shared" si="44"/>
        <v>-0.01</v>
      </c>
    </row>
    <row r="963" spans="1:10" hidden="1" x14ac:dyDescent="0.3">
      <c r="A963">
        <v>513</v>
      </c>
      <c r="B963" t="str">
        <v>CEREALES 25 DE MAYO SA</v>
      </c>
      <c r="C963" s="6">
        <v>485.34</v>
      </c>
      <c r="D963" s="6">
        <v>0</v>
      </c>
      <c r="E963" t="str">
        <v>Pesos</v>
      </c>
      <c r="F963" t="str">
        <v xml:space="preserve"> $</v>
      </c>
      <c r="G963" t="str">
        <f>IFERROR(VLOOKUP(A963,'Clientes CBOT'!B:E,4,0),B963)</f>
        <v>CEREALES 25 DE MAYO SA</v>
      </c>
      <c r="H963" t="str">
        <f t="shared" si="42"/>
        <v>Ars</v>
      </c>
      <c r="I963" s="6">
        <f t="shared" si="43"/>
        <v>485.34</v>
      </c>
      <c r="J963">
        <f t="shared" si="44"/>
        <v>0</v>
      </c>
    </row>
    <row r="964" spans="1:10" hidden="1" x14ac:dyDescent="0.3">
      <c r="A964">
        <v>480</v>
      </c>
      <c r="B964" t="str">
        <v>FIORDANI DOUGLAS</v>
      </c>
      <c r="C964" s="6">
        <v>-0.49</v>
      </c>
      <c r="D964" s="6">
        <v>0</v>
      </c>
      <c r="E964" t="str">
        <v xml:space="preserve">Dólar </v>
      </c>
      <c r="F964" t="str">
        <v xml:space="preserve"> U$S</v>
      </c>
      <c r="G964" t="str">
        <f>IFERROR(VLOOKUP(A964,'Clientes CBOT'!B:E,4,0),B964)</f>
        <v>FIORDANI DOUGLAS</v>
      </c>
      <c r="H964" t="str">
        <f t="shared" si="42"/>
        <v>Dólar</v>
      </c>
      <c r="I964" s="6">
        <f t="shared" si="43"/>
        <v>-0.49</v>
      </c>
      <c r="J964">
        <f t="shared" si="44"/>
        <v>0</v>
      </c>
    </row>
    <row r="965" spans="1:10" hidden="1" x14ac:dyDescent="0.3">
      <c r="A965">
        <v>480</v>
      </c>
      <c r="B965" t="str">
        <v>FIORDANI DOUGLAS</v>
      </c>
      <c r="C965" s="6">
        <v>0</v>
      </c>
      <c r="D965" s="6">
        <v>0</v>
      </c>
      <c r="E965" t="str">
        <v>Dólar Matba Rofex</v>
      </c>
      <c r="F965" t="str">
        <v xml:space="preserve"> U$S MR</v>
      </c>
      <c r="G965" t="str">
        <f>IFERROR(VLOOKUP(A965,'Clientes CBOT'!B:E,4,0),B965)</f>
        <v>FIORDANI DOUGLAS</v>
      </c>
      <c r="H965" t="str">
        <f t="shared" ref="H965:H1028" si="45">IF(E965="pesos","Ars",IF(E965="Dólar Matba Rofex","usd linked",IF(F965=" U$S TT","Hard","Dólar")))</f>
        <v>usd linked</v>
      </c>
      <c r="I965" s="6">
        <f t="shared" ref="I965:I1028" si="46">IF(H965="ars",C965/$J$1,IF(H965="Hard",C965*$J$2/$J$1,C965))</f>
        <v>0</v>
      </c>
      <c r="J965">
        <f t="shared" ref="J965:J1028" si="47">IF(H965="ars",D965/$J$1,IF(H965="hard",D965*$J$2/$J$1,D965))</f>
        <v>0</v>
      </c>
    </row>
    <row r="966" spans="1:10" hidden="1" x14ac:dyDescent="0.3">
      <c r="A966">
        <v>424</v>
      </c>
      <c r="B966" t="str">
        <v>INSUMOS DEL CENTRO SA</v>
      </c>
      <c r="C966" s="6">
        <v>0</v>
      </c>
      <c r="D966" s="6">
        <v>0</v>
      </c>
      <c r="E966" t="str">
        <v>Dólar Matba Rofex</v>
      </c>
      <c r="F966" t="str">
        <v xml:space="preserve"> U$S MR</v>
      </c>
      <c r="G966" t="str">
        <f>IFERROR(VLOOKUP(A966,'Clientes CBOT'!B:E,4,0),B966)</f>
        <v>INSUMOS DEL CENTRO SA</v>
      </c>
      <c r="H966" t="str">
        <f t="shared" si="45"/>
        <v>usd linked</v>
      </c>
      <c r="I966" s="6">
        <f t="shared" si="46"/>
        <v>0</v>
      </c>
      <c r="J966">
        <f t="shared" si="47"/>
        <v>0</v>
      </c>
    </row>
    <row r="967" spans="1:10" hidden="1" x14ac:dyDescent="0.3">
      <c r="A967">
        <v>293</v>
      </c>
      <c r="B967" t="str">
        <v>INTEGRAL ACOPIO SRL</v>
      </c>
      <c r="C967" s="6">
        <v>7.23</v>
      </c>
      <c r="D967" s="6">
        <v>0</v>
      </c>
      <c r="E967" t="str">
        <v>Pesos</v>
      </c>
      <c r="F967" t="str">
        <v xml:space="preserve"> $</v>
      </c>
      <c r="G967" t="str">
        <f>IFERROR(VLOOKUP(A967,'Clientes CBOT'!B:E,4,0),B967)</f>
        <v>INTEGRAL ACOPIO SRL</v>
      </c>
      <c r="H967" t="str">
        <f t="shared" si="45"/>
        <v>Ars</v>
      </c>
      <c r="I967" s="6">
        <f t="shared" si="46"/>
        <v>7.23</v>
      </c>
      <c r="J967">
        <f t="shared" si="47"/>
        <v>0</v>
      </c>
    </row>
    <row r="968" spans="1:10" hidden="1" x14ac:dyDescent="0.3">
      <c r="A968">
        <v>293</v>
      </c>
      <c r="B968" t="str">
        <v>INTEGRAL ACOPIO SRL</v>
      </c>
      <c r="C968" s="6">
        <v>8032.42</v>
      </c>
      <c r="D968" s="6">
        <v>0</v>
      </c>
      <c r="E968" t="str">
        <v xml:space="preserve">Dólar </v>
      </c>
      <c r="F968" t="str">
        <v xml:space="preserve"> U$S</v>
      </c>
      <c r="G968" t="str">
        <f>IFERROR(VLOOKUP(A968,'Clientes CBOT'!B:E,4,0),B968)</f>
        <v>INTEGRAL ACOPIO SRL</v>
      </c>
      <c r="H968" t="str">
        <f t="shared" si="45"/>
        <v>Dólar</v>
      </c>
      <c r="I968" s="6">
        <f t="shared" si="46"/>
        <v>8032.42</v>
      </c>
      <c r="J968">
        <f t="shared" si="47"/>
        <v>0</v>
      </c>
    </row>
    <row r="969" spans="1:10" hidden="1" x14ac:dyDescent="0.3">
      <c r="A969">
        <v>293</v>
      </c>
      <c r="B969" t="str">
        <v>INTEGRAL ACOPIO SRL</v>
      </c>
      <c r="C969" s="6">
        <v>0</v>
      </c>
      <c r="D969" s="6">
        <v>7946.19</v>
      </c>
      <c r="E969" t="str">
        <v>Dólar Matba Rofex</v>
      </c>
      <c r="F969" t="str">
        <v xml:space="preserve"> U$S MR</v>
      </c>
      <c r="G969" t="str">
        <f>IFERROR(VLOOKUP(A969,'Clientes CBOT'!B:E,4,0),B969)</f>
        <v>INTEGRAL ACOPIO SRL</v>
      </c>
      <c r="H969" t="str">
        <f t="shared" si="45"/>
        <v>usd linked</v>
      </c>
      <c r="I969" s="6">
        <f t="shared" si="46"/>
        <v>0</v>
      </c>
      <c r="J969">
        <f t="shared" si="47"/>
        <v>7946.19</v>
      </c>
    </row>
    <row r="970" spans="1:10" hidden="1" x14ac:dyDescent="0.3">
      <c r="A970">
        <v>392</v>
      </c>
      <c r="B970" t="str">
        <v>AGRO LEBEN SRL</v>
      </c>
      <c r="C970" s="6">
        <v>0.45</v>
      </c>
      <c r="D970" s="6">
        <v>0.12</v>
      </c>
      <c r="E970" t="str">
        <v>Pesos</v>
      </c>
      <c r="F970" t="str">
        <v xml:space="preserve"> $</v>
      </c>
      <c r="G970" t="str">
        <f>IFERROR(VLOOKUP(A970,'Clientes CBOT'!B:E,4,0),B970)</f>
        <v>AGRO LEBEN SRL</v>
      </c>
      <c r="H970" t="str">
        <f t="shared" si="45"/>
        <v>Ars</v>
      </c>
      <c r="I970" s="6">
        <f t="shared" si="46"/>
        <v>0.45</v>
      </c>
      <c r="J970">
        <f t="shared" si="47"/>
        <v>0.12</v>
      </c>
    </row>
    <row r="971" spans="1:10" x14ac:dyDescent="0.3">
      <c r="A971">
        <v>381</v>
      </c>
      <c r="B971" t="str">
        <v>ESPINDOLA RAUL RAMON</v>
      </c>
      <c r="C971" s="6">
        <v>0</v>
      </c>
      <c r="D971" s="6">
        <v>0</v>
      </c>
      <c r="E971" t="str">
        <v>Pesos</v>
      </c>
      <c r="F971" t="str">
        <v xml:space="preserve"> $</v>
      </c>
      <c r="G971" t="str">
        <f>IFERROR(VLOOKUP(A971,'Clientes CBOT'!B:E,4,0),B971)</f>
        <v>ESPINDOLA RAUL RAMON</v>
      </c>
      <c r="H971" t="str">
        <f t="shared" si="45"/>
        <v>Ars</v>
      </c>
      <c r="I971" s="6">
        <f t="shared" si="46"/>
        <v>0</v>
      </c>
      <c r="J971">
        <f t="shared" si="47"/>
        <v>0</v>
      </c>
    </row>
    <row r="972" spans="1:10" hidden="1" x14ac:dyDescent="0.3">
      <c r="A972">
        <v>6073</v>
      </c>
      <c r="B972" t="str">
        <v>PONZIO JOSE ADRIAN</v>
      </c>
      <c r="C972" s="6">
        <v>0.78</v>
      </c>
      <c r="D972" s="6">
        <v>0</v>
      </c>
      <c r="E972" t="str">
        <v>Pesos</v>
      </c>
      <c r="F972" t="str">
        <v xml:space="preserve"> $</v>
      </c>
      <c r="G972" t="str">
        <f>IFERROR(VLOOKUP(A972,'Clientes CBOT'!B:E,4,0),B972)</f>
        <v>PONZIO JOSE ADRIAN</v>
      </c>
      <c r="H972" t="str">
        <f t="shared" si="45"/>
        <v>Ars</v>
      </c>
      <c r="I972" s="6">
        <f t="shared" si="46"/>
        <v>0.78</v>
      </c>
      <c r="J972">
        <f t="shared" si="47"/>
        <v>0</v>
      </c>
    </row>
    <row r="973" spans="1:10" hidden="1" x14ac:dyDescent="0.3">
      <c r="A973">
        <v>538</v>
      </c>
      <c r="B973" t="str">
        <v>ESPARTINA SA</v>
      </c>
      <c r="C973" s="6">
        <v>0</v>
      </c>
      <c r="D973" s="6">
        <v>0</v>
      </c>
      <c r="E973" t="str">
        <v>Pesos</v>
      </c>
      <c r="F973" t="str">
        <v xml:space="preserve"> $</v>
      </c>
      <c r="G973" t="str">
        <f>IFERROR(VLOOKUP(A973,'Clientes CBOT'!B:E,4,0),B973)</f>
        <v>ESPARTINA SA</v>
      </c>
      <c r="H973" t="str">
        <f t="shared" si="45"/>
        <v>Ars</v>
      </c>
      <c r="I973" s="6">
        <f t="shared" si="46"/>
        <v>0</v>
      </c>
      <c r="J973">
        <f t="shared" si="47"/>
        <v>0</v>
      </c>
    </row>
    <row r="974" spans="1:10" hidden="1" x14ac:dyDescent="0.3">
      <c r="A974">
        <v>5022</v>
      </c>
      <c r="B974" t="str">
        <v>GMA CAPITAL SA</v>
      </c>
      <c r="C974" s="6">
        <v>0</v>
      </c>
      <c r="D974" s="6">
        <v>0</v>
      </c>
      <c r="E974" t="str">
        <v>Pesos</v>
      </c>
      <c r="F974" t="str">
        <v xml:space="preserve"> $</v>
      </c>
      <c r="G974" t="str">
        <f>IFERROR(VLOOKUP(A974,'Clientes CBOT'!B:E,4,0),B974)</f>
        <v>GMA CAPITAL SA</v>
      </c>
      <c r="H974" t="str">
        <f t="shared" si="45"/>
        <v>Ars</v>
      </c>
      <c r="I974" s="6">
        <f t="shared" si="46"/>
        <v>0</v>
      </c>
      <c r="J974">
        <f t="shared" si="47"/>
        <v>0</v>
      </c>
    </row>
    <row r="975" spans="1:10" hidden="1" x14ac:dyDescent="0.3">
      <c r="A975">
        <v>1038</v>
      </c>
      <c r="B975" t="str">
        <v>BVSA SD PARAKEET RENTA PESOS FCI</v>
      </c>
      <c r="C975" s="6">
        <v>0</v>
      </c>
      <c r="D975" s="6">
        <v>0</v>
      </c>
      <c r="E975" t="str">
        <v>Pesos</v>
      </c>
      <c r="F975" t="str">
        <v xml:space="preserve"> $</v>
      </c>
      <c r="G975" t="str">
        <f>IFERROR(VLOOKUP(A975,'Clientes CBOT'!B:E,4,0),B975)</f>
        <v>BVSA SD PARAKEET RENTA PESOS FCI</v>
      </c>
      <c r="H975" t="str">
        <f t="shared" si="45"/>
        <v>Ars</v>
      </c>
      <c r="I975" s="6">
        <f t="shared" si="46"/>
        <v>0</v>
      </c>
      <c r="J975">
        <f t="shared" si="47"/>
        <v>0</v>
      </c>
    </row>
    <row r="976" spans="1:10" hidden="1" x14ac:dyDescent="0.3">
      <c r="A976">
        <v>5105</v>
      </c>
      <c r="B976" t="str">
        <v>S&amp;C INVERSIONES SA</v>
      </c>
      <c r="C976" s="6">
        <v>0</v>
      </c>
      <c r="D976" s="6">
        <v>0</v>
      </c>
      <c r="E976" t="str">
        <v>Pesos</v>
      </c>
      <c r="F976" t="str">
        <v xml:space="preserve"> $</v>
      </c>
      <c r="G976" t="str">
        <f>IFERROR(VLOOKUP(A976,'Clientes CBOT'!B:E,4,0),B976)</f>
        <v>S&amp;C INVERSIONES SA</v>
      </c>
      <c r="H976" t="str">
        <f t="shared" si="45"/>
        <v>Ars</v>
      </c>
      <c r="I976" s="6">
        <f t="shared" si="46"/>
        <v>0</v>
      </c>
      <c r="J976">
        <f t="shared" si="47"/>
        <v>0</v>
      </c>
    </row>
    <row r="977" spans="1:10" hidden="1" x14ac:dyDescent="0.3">
      <c r="A977">
        <v>5008</v>
      </c>
      <c r="B977" t="str">
        <v>PORTFOLIO INVESTMENT SA</v>
      </c>
      <c r="C977" s="6">
        <v>0</v>
      </c>
      <c r="D977" s="6">
        <v>0</v>
      </c>
      <c r="E977" t="str">
        <v>Pesos</v>
      </c>
      <c r="F977" t="str">
        <v xml:space="preserve"> $</v>
      </c>
      <c r="G977" t="str">
        <f>IFERROR(VLOOKUP(A977,'Clientes CBOT'!B:E,4,0),B977)</f>
        <v>PORTFOLIO INVESTMENT SA</v>
      </c>
      <c r="H977" t="str">
        <f t="shared" si="45"/>
        <v>Ars</v>
      </c>
      <c r="I977" s="6">
        <f t="shared" si="46"/>
        <v>0</v>
      </c>
      <c r="J977">
        <f t="shared" si="47"/>
        <v>0</v>
      </c>
    </row>
    <row r="978" spans="1:10" hidden="1" x14ac:dyDescent="0.3">
      <c r="A978">
        <v>5070</v>
      </c>
      <c r="B978" t="str">
        <v>BANCO DE VALORES SA</v>
      </c>
      <c r="C978" s="6">
        <v>0</v>
      </c>
      <c r="D978" s="6">
        <v>0</v>
      </c>
      <c r="E978" t="str">
        <v>Pesos</v>
      </c>
      <c r="F978" t="str">
        <v xml:space="preserve"> $</v>
      </c>
      <c r="G978" t="str">
        <f>IFERROR(VLOOKUP(A978,'Clientes CBOT'!B:E,4,0),B978)</f>
        <v>BANCO DE VALORES SA</v>
      </c>
      <c r="H978" t="str">
        <f t="shared" si="45"/>
        <v>Ars</v>
      </c>
      <c r="I978" s="6">
        <f t="shared" si="46"/>
        <v>0</v>
      </c>
      <c r="J978">
        <f t="shared" si="47"/>
        <v>0</v>
      </c>
    </row>
    <row r="979" spans="1:10" hidden="1" x14ac:dyDescent="0.3">
      <c r="A979">
        <v>432</v>
      </c>
      <c r="B979" t="str">
        <v>PAMPA BIO SA</v>
      </c>
      <c r="C979" s="6">
        <v>2315.31</v>
      </c>
      <c r="D979" s="6">
        <v>0.01</v>
      </c>
      <c r="E979" t="str">
        <v>Pesos</v>
      </c>
      <c r="F979" t="str">
        <v xml:space="preserve"> $</v>
      </c>
      <c r="G979" t="str">
        <f>IFERROR(VLOOKUP(A979,'Clientes CBOT'!B:E,4,0),B979)</f>
        <v>PAMPA BIO SA</v>
      </c>
      <c r="H979" t="str">
        <f t="shared" si="45"/>
        <v>Ars</v>
      </c>
      <c r="I979" s="6">
        <f t="shared" si="46"/>
        <v>2315.31</v>
      </c>
      <c r="J979">
        <f t="shared" si="47"/>
        <v>0.01</v>
      </c>
    </row>
    <row r="980" spans="1:10" hidden="1" x14ac:dyDescent="0.3">
      <c r="A980">
        <v>511</v>
      </c>
      <c r="B980" t="str">
        <v>RURAL CERES SA</v>
      </c>
      <c r="C980" s="6">
        <v>8873379.2899999991</v>
      </c>
      <c r="D980" s="6">
        <v>5278819.92</v>
      </c>
      <c r="E980" t="str">
        <v>Pesos</v>
      </c>
      <c r="F980" t="str">
        <v xml:space="preserve"> $</v>
      </c>
      <c r="G980" t="str">
        <f>IFERROR(VLOOKUP(A980,'Clientes CBOT'!B:E,4,0),B980)</f>
        <v>RURAL CERES SA</v>
      </c>
      <c r="H980" t="str">
        <f t="shared" si="45"/>
        <v>Ars</v>
      </c>
      <c r="I980" s="6">
        <f t="shared" si="46"/>
        <v>8873379.2899999991</v>
      </c>
      <c r="J980">
        <f t="shared" si="47"/>
        <v>5278819.92</v>
      </c>
    </row>
    <row r="981" spans="1:10" hidden="1" x14ac:dyDescent="0.3">
      <c r="A981">
        <v>501</v>
      </c>
      <c r="B981" t="str">
        <v>RUBEN ANTONIO GHERGO SRL</v>
      </c>
      <c r="C981" s="6">
        <v>0.44</v>
      </c>
      <c r="D981" s="6">
        <v>0</v>
      </c>
      <c r="E981" t="str">
        <v>Pesos</v>
      </c>
      <c r="F981" t="str">
        <v xml:space="preserve"> $</v>
      </c>
      <c r="G981" t="str">
        <f>IFERROR(VLOOKUP(A981,'Clientes CBOT'!B:E,4,0),B981)</f>
        <v>RUBEN ANTONIO GHERGO SRL</v>
      </c>
      <c r="H981" t="str">
        <f t="shared" si="45"/>
        <v>Ars</v>
      </c>
      <c r="I981" s="6">
        <f t="shared" si="46"/>
        <v>0.44</v>
      </c>
      <c r="J981">
        <f t="shared" si="47"/>
        <v>0</v>
      </c>
    </row>
    <row r="982" spans="1:10" hidden="1" x14ac:dyDescent="0.3">
      <c r="A982">
        <v>5086</v>
      </c>
      <c r="B982" t="str">
        <v>INVIU SAU</v>
      </c>
      <c r="C982" s="6">
        <v>0</v>
      </c>
      <c r="D982" s="6">
        <v>0</v>
      </c>
      <c r="E982" t="str">
        <v>Pesos</v>
      </c>
      <c r="F982" t="str">
        <v xml:space="preserve"> $</v>
      </c>
      <c r="G982" t="str">
        <f>IFERROR(VLOOKUP(A982,'Clientes CBOT'!B:E,4,0),B982)</f>
        <v>INVIU SAU</v>
      </c>
      <c r="H982" t="str">
        <f t="shared" si="45"/>
        <v>Ars</v>
      </c>
      <c r="I982" s="6">
        <f t="shared" si="46"/>
        <v>0</v>
      </c>
      <c r="J982">
        <f t="shared" si="47"/>
        <v>0</v>
      </c>
    </row>
    <row r="983" spans="1:10" hidden="1" x14ac:dyDescent="0.3">
      <c r="A983">
        <v>5265</v>
      </c>
      <c r="B983" t="str">
        <v>COCOS CAPITAL SA</v>
      </c>
      <c r="C983" s="6">
        <v>0</v>
      </c>
      <c r="D983" s="6">
        <v>0</v>
      </c>
      <c r="E983" t="str">
        <v>Pesos</v>
      </c>
      <c r="F983" t="str">
        <v xml:space="preserve"> $</v>
      </c>
      <c r="G983" t="str">
        <f>IFERROR(VLOOKUP(A983,'Clientes CBOT'!B:E,4,0),B983)</f>
        <v>COCOS CAPITAL SA</v>
      </c>
      <c r="H983" t="str">
        <f t="shared" si="45"/>
        <v>Ars</v>
      </c>
      <c r="I983" s="6">
        <f t="shared" si="46"/>
        <v>0</v>
      </c>
      <c r="J983">
        <f t="shared" si="47"/>
        <v>0</v>
      </c>
    </row>
    <row r="984" spans="1:10" hidden="1" x14ac:dyDescent="0.3">
      <c r="A984">
        <v>517</v>
      </c>
      <c r="B984" t="str">
        <v>LEON RABEY E HIJOS SRL</v>
      </c>
      <c r="C984" s="6">
        <v>0</v>
      </c>
      <c r="D984" s="6">
        <v>0</v>
      </c>
      <c r="E984" t="str">
        <v>Pesos</v>
      </c>
      <c r="F984" t="str">
        <v xml:space="preserve"> $</v>
      </c>
      <c r="G984" t="str">
        <f>IFERROR(VLOOKUP(A984,'Clientes CBOT'!B:E,4,0),B984)</f>
        <v>LEON RABEY E HIJOS SRL</v>
      </c>
      <c r="H984" t="str">
        <f t="shared" si="45"/>
        <v>Ars</v>
      </c>
      <c r="I984" s="6">
        <f t="shared" si="46"/>
        <v>0</v>
      </c>
      <c r="J984">
        <f t="shared" si="47"/>
        <v>0</v>
      </c>
    </row>
    <row r="985" spans="1:10" hidden="1" x14ac:dyDescent="0.3">
      <c r="A985">
        <v>5265</v>
      </c>
      <c r="B985" t="str">
        <v>COCOS CAPITAL SA</v>
      </c>
      <c r="C985" s="6">
        <v>0</v>
      </c>
      <c r="D985" s="6">
        <v>0</v>
      </c>
      <c r="E985" t="str">
        <v xml:space="preserve">Dólar </v>
      </c>
      <c r="F985" t="str">
        <v xml:space="preserve"> U$S</v>
      </c>
      <c r="G985" t="str">
        <f>IFERROR(VLOOKUP(A985,'Clientes CBOT'!B:E,4,0),B985)</f>
        <v>COCOS CAPITAL SA</v>
      </c>
      <c r="H985" t="str">
        <f t="shared" si="45"/>
        <v>Dólar</v>
      </c>
      <c r="I985" s="6">
        <f t="shared" si="46"/>
        <v>0</v>
      </c>
      <c r="J985">
        <f t="shared" si="47"/>
        <v>0</v>
      </c>
    </row>
    <row r="986" spans="1:10" hidden="1" x14ac:dyDescent="0.3">
      <c r="A986">
        <v>511</v>
      </c>
      <c r="B986" t="str">
        <v>RURAL CERES SA</v>
      </c>
      <c r="C986" s="6">
        <v>0</v>
      </c>
      <c r="D986" s="6">
        <v>0</v>
      </c>
      <c r="E986" t="str">
        <v xml:space="preserve">Dólar </v>
      </c>
      <c r="F986" t="str">
        <v xml:space="preserve"> U$S</v>
      </c>
      <c r="G986" t="str">
        <f>IFERROR(VLOOKUP(A986,'Clientes CBOT'!B:E,4,0),B986)</f>
        <v>RURAL CERES SA</v>
      </c>
      <c r="H986" t="str">
        <f t="shared" si="45"/>
        <v>Dólar</v>
      </c>
      <c r="I986" s="6">
        <f t="shared" si="46"/>
        <v>0</v>
      </c>
      <c r="J986">
        <f t="shared" si="47"/>
        <v>0</v>
      </c>
    </row>
    <row r="987" spans="1:10" hidden="1" x14ac:dyDescent="0.3">
      <c r="A987">
        <v>432</v>
      </c>
      <c r="B987" t="str">
        <v>PAMPA BIO SA</v>
      </c>
      <c r="C987" s="6">
        <v>0</v>
      </c>
      <c r="D987" s="6">
        <v>0</v>
      </c>
      <c r="E987" t="str">
        <v xml:space="preserve">Dólar </v>
      </c>
      <c r="F987" t="str">
        <v xml:space="preserve"> U$S</v>
      </c>
      <c r="G987" t="str">
        <f>IFERROR(VLOOKUP(A987,'Clientes CBOT'!B:E,4,0),B987)</f>
        <v>PAMPA BIO SA</v>
      </c>
      <c r="H987" t="str">
        <f t="shared" si="45"/>
        <v>Dólar</v>
      </c>
      <c r="I987" s="6">
        <f t="shared" si="46"/>
        <v>0</v>
      </c>
      <c r="J987">
        <f t="shared" si="47"/>
        <v>0</v>
      </c>
    </row>
    <row r="988" spans="1:10" hidden="1" x14ac:dyDescent="0.3">
      <c r="A988">
        <v>6073</v>
      </c>
      <c r="B988" t="str">
        <v>PONZIO JOSE ADRIAN</v>
      </c>
      <c r="C988" s="6">
        <v>0</v>
      </c>
      <c r="D988" s="6">
        <v>0</v>
      </c>
      <c r="E988" t="str">
        <v xml:space="preserve">Dólar </v>
      </c>
      <c r="F988" t="str">
        <v xml:space="preserve"> U$S</v>
      </c>
      <c r="G988" t="str">
        <f>IFERROR(VLOOKUP(A988,'Clientes CBOT'!B:E,4,0),B988)</f>
        <v>PONZIO JOSE ADRIAN</v>
      </c>
      <c r="H988" t="str">
        <f t="shared" si="45"/>
        <v>Dólar</v>
      </c>
      <c r="I988" s="6">
        <f t="shared" si="46"/>
        <v>0</v>
      </c>
      <c r="J988">
        <f t="shared" si="47"/>
        <v>0</v>
      </c>
    </row>
    <row r="989" spans="1:10" hidden="1" x14ac:dyDescent="0.3">
      <c r="A989">
        <v>381</v>
      </c>
      <c r="B989" t="str">
        <v>ESPINDOLA RAUL RAMON</v>
      </c>
      <c r="C989" s="6">
        <v>237.8</v>
      </c>
      <c r="D989" s="6">
        <v>0</v>
      </c>
      <c r="E989" t="str">
        <v xml:space="preserve">Dólar </v>
      </c>
      <c r="F989" t="str">
        <v xml:space="preserve"> U$S</v>
      </c>
      <c r="G989" t="str">
        <f>IFERROR(VLOOKUP(A989,'Clientes CBOT'!B:E,4,0),B989)</f>
        <v>ESPINDOLA RAUL RAMON</v>
      </c>
      <c r="H989" t="str">
        <f t="shared" si="45"/>
        <v>Dólar</v>
      </c>
      <c r="I989" s="6">
        <f t="shared" si="46"/>
        <v>237.8</v>
      </c>
      <c r="J989">
        <f t="shared" si="47"/>
        <v>0</v>
      </c>
    </row>
    <row r="990" spans="1:10" hidden="1" x14ac:dyDescent="0.3">
      <c r="A990">
        <v>392</v>
      </c>
      <c r="B990" t="str">
        <v>AGRO LEBEN SRL</v>
      </c>
      <c r="C990" s="6">
        <v>0</v>
      </c>
      <c r="D990" s="6">
        <v>0</v>
      </c>
      <c r="E990" t="str">
        <v xml:space="preserve">Dólar </v>
      </c>
      <c r="F990" t="str">
        <v xml:space="preserve"> U$S</v>
      </c>
      <c r="G990" t="str">
        <f>IFERROR(VLOOKUP(A990,'Clientes CBOT'!B:E,4,0),B990)</f>
        <v>AGRO LEBEN SRL</v>
      </c>
      <c r="H990" t="str">
        <f t="shared" si="45"/>
        <v>Dólar</v>
      </c>
      <c r="I990" s="6">
        <f t="shared" si="46"/>
        <v>0</v>
      </c>
      <c r="J990">
        <f t="shared" si="47"/>
        <v>0</v>
      </c>
    </row>
    <row r="991" spans="1:10" hidden="1" x14ac:dyDescent="0.3">
      <c r="A991">
        <v>5022</v>
      </c>
      <c r="B991" t="str">
        <v>GMA CAPITAL SA</v>
      </c>
      <c r="C991" s="6">
        <v>0</v>
      </c>
      <c r="D991" s="6">
        <v>0</v>
      </c>
      <c r="E991" t="str">
        <v>Dólar Cable</v>
      </c>
      <c r="F991" t="str">
        <v xml:space="preserve"> U$S TT</v>
      </c>
      <c r="G991" t="str">
        <f>IFERROR(VLOOKUP(A991,'Clientes CBOT'!B:E,4,0),B991)</f>
        <v>GMA CAPITAL SA</v>
      </c>
      <c r="H991" t="str">
        <f t="shared" si="45"/>
        <v>Hard</v>
      </c>
      <c r="I991" s="6">
        <f t="shared" si="46"/>
        <v>0</v>
      </c>
      <c r="J991">
        <f t="shared" si="47"/>
        <v>0</v>
      </c>
    </row>
    <row r="992" spans="1:10" hidden="1" x14ac:dyDescent="0.3">
      <c r="A992">
        <v>381</v>
      </c>
      <c r="B992" t="str">
        <v>ESPINDOLA RAUL RAMON</v>
      </c>
      <c r="C992" s="6">
        <v>0</v>
      </c>
      <c r="D992" s="6">
        <v>0</v>
      </c>
      <c r="E992" t="str">
        <v>Dólar Matba Rofex</v>
      </c>
      <c r="F992" t="str">
        <v xml:space="preserve"> U$S MR</v>
      </c>
      <c r="G992" t="str">
        <f>IFERROR(VLOOKUP(A992,'Clientes CBOT'!B:E,4,0),B992)</f>
        <v>ESPINDOLA RAUL RAMON</v>
      </c>
      <c r="H992" t="str">
        <f t="shared" si="45"/>
        <v>usd linked</v>
      </c>
      <c r="I992" s="6">
        <f t="shared" si="46"/>
        <v>0</v>
      </c>
      <c r="J992">
        <f t="shared" si="47"/>
        <v>0</v>
      </c>
    </row>
    <row r="993" spans="1:10" hidden="1" x14ac:dyDescent="0.3">
      <c r="A993">
        <v>511</v>
      </c>
      <c r="B993" t="str">
        <v>RURAL CERES SA</v>
      </c>
      <c r="C993" s="6">
        <v>0</v>
      </c>
      <c r="D993" s="6">
        <v>206627.77</v>
      </c>
      <c r="E993" t="str">
        <v>Dólar Matba Rofex</v>
      </c>
      <c r="F993" t="str">
        <v xml:space="preserve"> U$S MR</v>
      </c>
      <c r="G993" t="str">
        <f>IFERROR(VLOOKUP(A993,'Clientes CBOT'!B:E,4,0),B993)</f>
        <v>RURAL CERES SA</v>
      </c>
      <c r="H993" t="str">
        <f t="shared" si="45"/>
        <v>usd linked</v>
      </c>
      <c r="I993" s="6">
        <f t="shared" si="46"/>
        <v>0</v>
      </c>
      <c r="J993">
        <f t="shared" si="47"/>
        <v>206627.77</v>
      </c>
    </row>
    <row r="994" spans="1:10" hidden="1" x14ac:dyDescent="0.3">
      <c r="A994">
        <v>517</v>
      </c>
      <c r="B994" t="str">
        <v>LEON RABEY E HIJOS SRL</v>
      </c>
      <c r="C994" s="6">
        <v>0</v>
      </c>
      <c r="D994" s="6">
        <v>0</v>
      </c>
      <c r="E994" t="str">
        <v>Dólar Matba Rofex</v>
      </c>
      <c r="F994" t="str">
        <v xml:space="preserve"> U$S MR</v>
      </c>
      <c r="G994" t="str">
        <f>IFERROR(VLOOKUP(A994,'Clientes CBOT'!B:E,4,0),B994)</f>
        <v>LEON RABEY E HIJOS SRL</v>
      </c>
      <c r="H994" t="str">
        <f t="shared" si="45"/>
        <v>usd linked</v>
      </c>
      <c r="I994" s="6">
        <f t="shared" si="46"/>
        <v>0</v>
      </c>
      <c r="J994">
        <f t="shared" si="47"/>
        <v>0</v>
      </c>
    </row>
    <row r="995" spans="1:10" hidden="1" x14ac:dyDescent="0.3">
      <c r="A995">
        <v>1014</v>
      </c>
      <c r="B995" t="str">
        <v>BVSA SD ST PYMES FCI ABIERTO PYME</v>
      </c>
      <c r="C995" s="6">
        <v>0</v>
      </c>
      <c r="D995" s="6">
        <v>0</v>
      </c>
      <c r="E995" t="str">
        <v>Pesos</v>
      </c>
      <c r="F995" t="str">
        <v xml:space="preserve"> $</v>
      </c>
      <c r="G995" t="str">
        <f>IFERROR(VLOOKUP(A995,'Clientes CBOT'!B:E,4,0),B995)</f>
        <v>BVSA SD ST PYMES FCI ABIERTO PYME</v>
      </c>
      <c r="H995" t="str">
        <f t="shared" si="45"/>
        <v>Ars</v>
      </c>
      <c r="I995" s="6">
        <f t="shared" si="46"/>
        <v>0</v>
      </c>
      <c r="J995">
        <f t="shared" si="47"/>
        <v>0</v>
      </c>
    </row>
    <row r="996" spans="1:10" hidden="1" x14ac:dyDescent="0.3">
      <c r="A996">
        <v>437</v>
      </c>
      <c r="B996" t="str">
        <v>LALLI MIGUEL ANGEL</v>
      </c>
      <c r="C996" s="6">
        <v>0</v>
      </c>
      <c r="D996" s="6">
        <v>0</v>
      </c>
      <c r="E996" t="str">
        <v>Pesos</v>
      </c>
      <c r="F996" t="str">
        <v xml:space="preserve"> $</v>
      </c>
      <c r="G996" t="str">
        <f>IFERROR(VLOOKUP(A996,'Clientes CBOT'!B:E,4,0),B996)</f>
        <v>LALLI MIGUEL ANGEL</v>
      </c>
      <c r="H996" t="str">
        <f t="shared" si="45"/>
        <v>Ars</v>
      </c>
      <c r="I996" s="6">
        <f t="shared" si="46"/>
        <v>0</v>
      </c>
      <c r="J996">
        <f t="shared" si="47"/>
        <v>0</v>
      </c>
    </row>
    <row r="997" spans="1:10" hidden="1" x14ac:dyDescent="0.3">
      <c r="A997">
        <v>1015</v>
      </c>
      <c r="B997" t="str">
        <v>BVSA SD SMSV RENTA EN PESOS FCI</v>
      </c>
      <c r="C997" s="6">
        <v>0.18</v>
      </c>
      <c r="D997" s="6">
        <v>0</v>
      </c>
      <c r="E997" t="str">
        <v>Pesos</v>
      </c>
      <c r="F997" t="str">
        <v xml:space="preserve"> $</v>
      </c>
      <c r="G997" t="str">
        <f>IFERROR(VLOOKUP(A997,'Clientes CBOT'!B:E,4,0),B997)</f>
        <v>BVSA SD SMSV RENTA EN PESOS FCI</v>
      </c>
      <c r="H997" t="str">
        <f t="shared" si="45"/>
        <v>Ars</v>
      </c>
      <c r="I997" s="6">
        <f t="shared" si="46"/>
        <v>0.18</v>
      </c>
      <c r="J997">
        <f t="shared" si="47"/>
        <v>0</v>
      </c>
    </row>
    <row r="998" spans="1:10" hidden="1" x14ac:dyDescent="0.3">
      <c r="A998">
        <v>382</v>
      </c>
      <c r="B998" t="str">
        <v>BEARZOTTI GABRIEL CRISTIAN</v>
      </c>
      <c r="C998" s="6">
        <v>107.95</v>
      </c>
      <c r="D998" s="6">
        <v>0</v>
      </c>
      <c r="E998" t="str">
        <v>Pesos</v>
      </c>
      <c r="F998" t="str">
        <v xml:space="preserve"> $</v>
      </c>
      <c r="G998" t="str">
        <f>IFERROR(VLOOKUP(A998,'Clientes CBOT'!B:E,4,0),B998)</f>
        <v>BEARZOTTI GABRIEL CRISTIAN</v>
      </c>
      <c r="H998" t="str">
        <f t="shared" si="45"/>
        <v>Ars</v>
      </c>
      <c r="I998" s="6">
        <f t="shared" si="46"/>
        <v>107.95</v>
      </c>
      <c r="J998">
        <f t="shared" si="47"/>
        <v>0</v>
      </c>
    </row>
    <row r="999" spans="1:10" hidden="1" x14ac:dyDescent="0.3">
      <c r="A999">
        <v>418</v>
      </c>
      <c r="B999" t="str">
        <v>PEREZ BRUGIAFREDDO ALEXIS</v>
      </c>
      <c r="C999" s="6">
        <v>0</v>
      </c>
      <c r="D999" s="6">
        <v>0</v>
      </c>
      <c r="E999" t="str">
        <v>Pesos</v>
      </c>
      <c r="F999" t="str">
        <v xml:space="preserve"> $</v>
      </c>
      <c r="G999" t="str">
        <f>IFERROR(VLOOKUP(A999,'Clientes CBOT'!B:E,4,0),B999)</f>
        <v>PEREZ BRUGIAFREDDO ALEXIS</v>
      </c>
      <c r="H999" t="str">
        <f t="shared" si="45"/>
        <v>Ars</v>
      </c>
      <c r="I999" s="6">
        <f t="shared" si="46"/>
        <v>0</v>
      </c>
      <c r="J999">
        <f t="shared" si="47"/>
        <v>0</v>
      </c>
    </row>
    <row r="1000" spans="1:10" hidden="1" x14ac:dyDescent="0.3">
      <c r="A1000">
        <v>382</v>
      </c>
      <c r="B1000" t="str">
        <v>BEARZOTTI GABRIEL CRISTIAN</v>
      </c>
      <c r="C1000" s="6">
        <v>0</v>
      </c>
      <c r="D1000" s="6">
        <v>0</v>
      </c>
      <c r="E1000" t="str">
        <v xml:space="preserve">Dólar </v>
      </c>
      <c r="F1000" t="str">
        <v xml:space="preserve"> U$S</v>
      </c>
      <c r="G1000" t="str">
        <f>IFERROR(VLOOKUP(A1000,'Clientes CBOT'!B:E,4,0),B1000)</f>
        <v>BEARZOTTI GABRIEL CRISTIAN</v>
      </c>
      <c r="H1000" t="str">
        <f t="shared" si="45"/>
        <v>Dólar</v>
      </c>
      <c r="I1000" s="6">
        <f t="shared" si="46"/>
        <v>0</v>
      </c>
      <c r="J1000">
        <f t="shared" si="47"/>
        <v>0</v>
      </c>
    </row>
    <row r="1001" spans="1:10" hidden="1" x14ac:dyDescent="0.3">
      <c r="A1001">
        <v>1015</v>
      </c>
      <c r="B1001" t="str">
        <v>BVSA SD SMSV RENTA EN PESOS FCI</v>
      </c>
      <c r="C1001" s="6">
        <v>0</v>
      </c>
      <c r="D1001" s="6">
        <v>0</v>
      </c>
      <c r="E1001" t="str">
        <v>Dólar Matba Rofex</v>
      </c>
      <c r="F1001" t="str">
        <v xml:space="preserve"> U$S MR</v>
      </c>
      <c r="G1001" t="str">
        <f>IFERROR(VLOOKUP(A1001,'Clientes CBOT'!B:E,4,0),B1001)</f>
        <v>BVSA SD SMSV RENTA EN PESOS FCI</v>
      </c>
      <c r="H1001" t="str">
        <f t="shared" si="45"/>
        <v>usd linked</v>
      </c>
      <c r="I1001" s="6">
        <f t="shared" si="46"/>
        <v>0</v>
      </c>
      <c r="J1001">
        <f t="shared" si="47"/>
        <v>0</v>
      </c>
    </row>
    <row r="1002" spans="1:10" hidden="1" x14ac:dyDescent="0.3">
      <c r="A1002">
        <v>437</v>
      </c>
      <c r="B1002" t="str">
        <v>LALLI MIGUEL ANGEL</v>
      </c>
      <c r="C1002" s="6">
        <v>0</v>
      </c>
      <c r="D1002" s="6">
        <v>0</v>
      </c>
      <c r="E1002" t="str">
        <v>Dólar Matba Rofex</v>
      </c>
      <c r="F1002" t="str">
        <v xml:space="preserve"> U$S MR</v>
      </c>
      <c r="G1002" t="str">
        <f>IFERROR(VLOOKUP(A1002,'Clientes CBOT'!B:E,4,0),B1002)</f>
        <v>LALLI MIGUEL ANGEL</v>
      </c>
      <c r="H1002" t="str">
        <f t="shared" si="45"/>
        <v>usd linked</v>
      </c>
      <c r="I1002" s="6">
        <f t="shared" si="46"/>
        <v>0</v>
      </c>
      <c r="J1002">
        <f t="shared" si="47"/>
        <v>0</v>
      </c>
    </row>
    <row r="1003" spans="1:10" hidden="1" x14ac:dyDescent="0.3">
      <c r="A1003">
        <v>1014</v>
      </c>
      <c r="B1003" t="str">
        <v>BVSA SD ST PYMES FCI ABIERTO PYME</v>
      </c>
      <c r="C1003" s="6">
        <v>0</v>
      </c>
      <c r="D1003" s="6">
        <v>0</v>
      </c>
      <c r="E1003" t="str">
        <v>Dólar Matba Rofex</v>
      </c>
      <c r="F1003" t="str">
        <v xml:space="preserve"> U$S MR</v>
      </c>
      <c r="G1003" t="str">
        <f>IFERROR(VLOOKUP(A1003,'Clientes CBOT'!B:E,4,0),B1003)</f>
        <v>BVSA SD ST PYMES FCI ABIERTO PYME</v>
      </c>
      <c r="H1003" t="str">
        <f t="shared" si="45"/>
        <v>usd linked</v>
      </c>
      <c r="I1003" s="6">
        <f t="shared" si="46"/>
        <v>0</v>
      </c>
      <c r="J1003">
        <f t="shared" si="47"/>
        <v>0</v>
      </c>
    </row>
    <row r="1004" spans="1:10" hidden="1" x14ac:dyDescent="0.3">
      <c r="A1004">
        <v>418</v>
      </c>
      <c r="B1004" t="str">
        <v>PEREZ BRUGIAFREDDO ALEXIS</v>
      </c>
      <c r="C1004" s="6">
        <v>0</v>
      </c>
      <c r="D1004" s="6">
        <v>0</v>
      </c>
      <c r="E1004" t="str">
        <v>Dólar Matba Rofex</v>
      </c>
      <c r="F1004" t="str">
        <v xml:space="preserve"> U$S MR</v>
      </c>
      <c r="G1004" t="str">
        <f>IFERROR(VLOOKUP(A1004,'Clientes CBOT'!B:E,4,0),B1004)</f>
        <v>PEREZ BRUGIAFREDDO ALEXIS</v>
      </c>
      <c r="H1004" t="str">
        <f t="shared" si="45"/>
        <v>usd linked</v>
      </c>
      <c r="I1004" s="6">
        <f t="shared" si="46"/>
        <v>0</v>
      </c>
      <c r="J1004">
        <f t="shared" si="47"/>
        <v>0</v>
      </c>
    </row>
    <row r="1005" spans="1:10" x14ac:dyDescent="0.3">
      <c r="A1005">
        <v>268</v>
      </c>
      <c r="B1005" t="str">
        <v>COLOMBATTO BERNARDO VALENTIN</v>
      </c>
      <c r="C1005" s="6">
        <v>-10014665.74</v>
      </c>
      <c r="D1005" s="6">
        <v>0</v>
      </c>
      <c r="E1005" t="str">
        <v>Pesos</v>
      </c>
      <c r="F1005" t="str">
        <v xml:space="preserve"> $</v>
      </c>
      <c r="G1005" t="str">
        <f>IFERROR(VLOOKUP(A1005,'Clientes CBOT'!B:E,4,0),B1005)</f>
        <v>COLOMBATTO BERNARDO VALENTIN</v>
      </c>
      <c r="H1005" t="str">
        <f t="shared" si="45"/>
        <v>Ars</v>
      </c>
      <c r="I1005" s="6">
        <f t="shared" si="46"/>
        <v>-10014665.74</v>
      </c>
      <c r="J1005">
        <f t="shared" si="47"/>
        <v>0</v>
      </c>
    </row>
    <row r="1006" spans="1:10" x14ac:dyDescent="0.3">
      <c r="A1006">
        <v>268</v>
      </c>
      <c r="B1006" t="str">
        <v>COLOMBATTO BERNARDO VALENTIN</v>
      </c>
      <c r="C1006" s="6">
        <v>81.72</v>
      </c>
      <c r="D1006" s="6">
        <v>0</v>
      </c>
      <c r="E1006" t="str">
        <v xml:space="preserve">Dólar </v>
      </c>
      <c r="F1006" t="str">
        <v xml:space="preserve"> U$S</v>
      </c>
      <c r="G1006" t="str">
        <f>IFERROR(VLOOKUP(A1006,'Clientes CBOT'!B:E,4,0),B1006)</f>
        <v>COLOMBATTO BERNARDO VALENTIN</v>
      </c>
      <c r="H1006" t="str">
        <f t="shared" si="45"/>
        <v>Dólar</v>
      </c>
      <c r="I1006" s="6">
        <f t="shared" si="46"/>
        <v>81.72</v>
      </c>
      <c r="J1006">
        <f t="shared" si="47"/>
        <v>0</v>
      </c>
    </row>
    <row r="1007" spans="1:10" x14ac:dyDescent="0.3">
      <c r="A1007">
        <v>202</v>
      </c>
      <c r="B1007" t="str">
        <v>COFCO INTERNATIONAL ARGENTINA SA</v>
      </c>
      <c r="C1007" s="6">
        <v>-129405.5</v>
      </c>
      <c r="D1007" s="6">
        <v>0</v>
      </c>
      <c r="E1007" t="str">
        <v>Pesos</v>
      </c>
      <c r="F1007" t="str">
        <v xml:space="preserve"> $</v>
      </c>
      <c r="G1007" t="str">
        <f>IFERROR(VLOOKUP(A1007,'Clientes CBOT'!B:E,4,0),B1007)</f>
        <v>COFCO INTERNATIONAL ARGENTINA SA</v>
      </c>
      <c r="H1007" t="str">
        <f t="shared" si="45"/>
        <v>Ars</v>
      </c>
      <c r="I1007" s="6">
        <f t="shared" si="46"/>
        <v>-129405.5</v>
      </c>
      <c r="J1007">
        <f t="shared" si="47"/>
        <v>0</v>
      </c>
    </row>
    <row r="1008" spans="1:10" hidden="1" x14ac:dyDescent="0.3">
      <c r="A1008">
        <v>202</v>
      </c>
      <c r="B1008" t="str">
        <v>COFCO INTERNATIONAL ARGENTINA SA</v>
      </c>
      <c r="C1008" s="6">
        <v>-425</v>
      </c>
      <c r="D1008" s="6">
        <v>0</v>
      </c>
      <c r="E1008" t="str">
        <v>Dólar Matba Rofex</v>
      </c>
      <c r="F1008" t="str">
        <v xml:space="preserve"> U$S MR</v>
      </c>
      <c r="G1008" t="str">
        <f>IFERROR(VLOOKUP(A1008,'Clientes CBOT'!B:E,4,0),B1008)</f>
        <v>COFCO INTERNATIONAL ARGENTINA SA</v>
      </c>
      <c r="H1008" t="str">
        <f t="shared" si="45"/>
        <v>usd linked</v>
      </c>
      <c r="I1008" s="6">
        <f t="shared" si="46"/>
        <v>-425</v>
      </c>
      <c r="J1008">
        <f t="shared" si="47"/>
        <v>0</v>
      </c>
    </row>
    <row r="1009" spans="1:10" hidden="1" x14ac:dyDescent="0.3">
      <c r="A1009">
        <v>496</v>
      </c>
      <c r="B1009" t="str">
        <v>GARCIA JOSE LUIS</v>
      </c>
      <c r="C1009" s="6">
        <v>0</v>
      </c>
      <c r="D1009" s="6">
        <v>0</v>
      </c>
      <c r="E1009" t="str">
        <v>Pesos</v>
      </c>
      <c r="F1009" t="str">
        <v xml:space="preserve"> $</v>
      </c>
      <c r="G1009" t="str">
        <f>IFERROR(VLOOKUP(A1009,'Clientes CBOT'!B:E,4,0),B1009)</f>
        <v>GARCIA JOSE LUIS</v>
      </c>
      <c r="H1009" t="str">
        <f t="shared" si="45"/>
        <v>Ars</v>
      </c>
      <c r="I1009" s="6">
        <f t="shared" si="46"/>
        <v>0</v>
      </c>
      <c r="J1009">
        <f t="shared" si="47"/>
        <v>0</v>
      </c>
    </row>
    <row r="1010" spans="1:10" hidden="1" x14ac:dyDescent="0.3">
      <c r="A1010">
        <v>496</v>
      </c>
      <c r="B1010" t="str">
        <v>GARCIA JOSE LUIS</v>
      </c>
      <c r="C1010" s="6">
        <v>0</v>
      </c>
      <c r="D1010" s="6">
        <v>0</v>
      </c>
      <c r="E1010" t="str">
        <v xml:space="preserve">Dólar </v>
      </c>
      <c r="F1010" t="str">
        <v xml:space="preserve"> U$S</v>
      </c>
      <c r="G1010" t="str">
        <f>IFERROR(VLOOKUP(A1010,'Clientes CBOT'!B:E,4,0),B1010)</f>
        <v>GARCIA JOSE LUIS</v>
      </c>
      <c r="H1010" t="str">
        <f t="shared" si="45"/>
        <v>Dólar</v>
      </c>
      <c r="I1010" s="6">
        <f t="shared" si="46"/>
        <v>0</v>
      </c>
      <c r="J1010">
        <f t="shared" si="47"/>
        <v>0</v>
      </c>
    </row>
    <row r="1011" spans="1:10" hidden="1" x14ac:dyDescent="0.3">
      <c r="A1011">
        <v>507</v>
      </c>
      <c r="B1011" t="str">
        <v>OBRING SA</v>
      </c>
      <c r="C1011" s="6">
        <v>0</v>
      </c>
      <c r="D1011" s="6">
        <v>0.01</v>
      </c>
      <c r="E1011" t="str">
        <v>Pesos</v>
      </c>
      <c r="F1011" t="str">
        <v xml:space="preserve"> $</v>
      </c>
      <c r="G1011" t="str">
        <f>IFERROR(VLOOKUP(A1011,'Clientes CBOT'!B:E,4,0),B1011)</f>
        <v>OBRING SA</v>
      </c>
      <c r="H1011" t="str">
        <f t="shared" si="45"/>
        <v>Ars</v>
      </c>
      <c r="I1011" s="6">
        <f t="shared" si="46"/>
        <v>0</v>
      </c>
      <c r="J1011">
        <f t="shared" si="47"/>
        <v>0.01</v>
      </c>
    </row>
    <row r="1012" spans="1:10" hidden="1" x14ac:dyDescent="0.3">
      <c r="A1012">
        <v>519</v>
      </c>
      <c r="B1012" t="str">
        <v>FOGANTE GERMAN ARIEL</v>
      </c>
      <c r="C1012" s="6">
        <v>-3132.63</v>
      </c>
      <c r="D1012" s="6">
        <v>0</v>
      </c>
      <c r="E1012" t="str">
        <v>Pesos</v>
      </c>
      <c r="F1012" t="str">
        <v xml:space="preserve"> $</v>
      </c>
      <c r="G1012" t="str">
        <f>IFERROR(VLOOKUP(A1012,'Clientes CBOT'!B:E,4,0),B1012)</f>
        <v>FOGANTE GERMAN ARIEL</v>
      </c>
      <c r="H1012" t="str">
        <f t="shared" si="45"/>
        <v>Ars</v>
      </c>
      <c r="I1012" s="6">
        <f t="shared" si="46"/>
        <v>-3132.63</v>
      </c>
      <c r="J1012">
        <f t="shared" si="47"/>
        <v>0</v>
      </c>
    </row>
    <row r="1013" spans="1:10" hidden="1" x14ac:dyDescent="0.3">
      <c r="A1013">
        <v>541</v>
      </c>
      <c r="B1013" t="str">
        <v>PELAYO AGRONOMIA SA</v>
      </c>
      <c r="C1013" s="6">
        <v>0</v>
      </c>
      <c r="D1013" s="6">
        <v>0</v>
      </c>
      <c r="E1013" t="str">
        <v>Pesos</v>
      </c>
      <c r="F1013" t="str">
        <v xml:space="preserve"> $</v>
      </c>
      <c r="G1013" t="str">
        <f>IFERROR(VLOOKUP(A1013,'Clientes CBOT'!B:E,4,0),B1013)</f>
        <v>PELAYO AGRONOMIA SA</v>
      </c>
      <c r="H1013" t="str">
        <f t="shared" si="45"/>
        <v>Ars</v>
      </c>
      <c r="I1013" s="6">
        <f t="shared" si="46"/>
        <v>0</v>
      </c>
      <c r="J1013">
        <f t="shared" si="47"/>
        <v>0</v>
      </c>
    </row>
    <row r="1014" spans="1:10" hidden="1" x14ac:dyDescent="0.3">
      <c r="A1014">
        <v>535</v>
      </c>
      <c r="B1014" t="str">
        <v>GIMBATTI FERNANDO DIEGO</v>
      </c>
      <c r="C1014" s="6">
        <v>0</v>
      </c>
      <c r="D1014" s="6">
        <v>0</v>
      </c>
      <c r="E1014" t="str">
        <v>Pesos</v>
      </c>
      <c r="F1014" t="str">
        <v xml:space="preserve"> $</v>
      </c>
      <c r="G1014" t="str">
        <f>IFERROR(VLOOKUP(A1014,'Clientes CBOT'!B:E,4,0),B1014)</f>
        <v>GIMBATTI FERNANDO DIEGO</v>
      </c>
      <c r="H1014" t="str">
        <f t="shared" si="45"/>
        <v>Ars</v>
      </c>
      <c r="I1014" s="6">
        <f t="shared" si="46"/>
        <v>0</v>
      </c>
      <c r="J1014">
        <f t="shared" si="47"/>
        <v>0</v>
      </c>
    </row>
    <row r="1015" spans="1:10" hidden="1" x14ac:dyDescent="0.3">
      <c r="A1015">
        <v>543</v>
      </c>
      <c r="B1015" t="str">
        <v>GALLEANO GUSTAVO EDUARDO</v>
      </c>
      <c r="C1015" s="6">
        <v>-364517.22</v>
      </c>
      <c r="D1015" s="6">
        <v>-0.01</v>
      </c>
      <c r="E1015" t="str">
        <v>Pesos</v>
      </c>
      <c r="F1015" t="str">
        <v xml:space="preserve"> $</v>
      </c>
      <c r="G1015" t="str">
        <f>IFERROR(VLOOKUP(A1015,'Clientes CBOT'!B:E,4,0),B1015)</f>
        <v>GALLEANO GUSTAVO EDUARDO</v>
      </c>
      <c r="H1015" t="str">
        <f t="shared" si="45"/>
        <v>Ars</v>
      </c>
      <c r="I1015" s="6">
        <f t="shared" si="46"/>
        <v>-364517.22</v>
      </c>
      <c r="J1015">
        <f t="shared" si="47"/>
        <v>-0.01</v>
      </c>
    </row>
    <row r="1016" spans="1:10" hidden="1" x14ac:dyDescent="0.3">
      <c r="A1016">
        <v>545</v>
      </c>
      <c r="B1016" t="str">
        <v>ELORZA AGRO SRL</v>
      </c>
      <c r="C1016" s="6">
        <v>2576148.7799999998</v>
      </c>
      <c r="D1016" s="6">
        <v>-0.01</v>
      </c>
      <c r="E1016" t="str">
        <v>Pesos</v>
      </c>
      <c r="F1016" t="str">
        <v xml:space="preserve"> $</v>
      </c>
      <c r="G1016" t="str">
        <f>IFERROR(VLOOKUP(A1016,'Clientes CBOT'!B:E,4,0),B1016)</f>
        <v>ELORZA AGRO SRL</v>
      </c>
      <c r="H1016" t="str">
        <f t="shared" si="45"/>
        <v>Ars</v>
      </c>
      <c r="I1016" s="6">
        <f t="shared" si="46"/>
        <v>2576148.7799999998</v>
      </c>
      <c r="J1016">
        <f t="shared" si="47"/>
        <v>-0.01</v>
      </c>
    </row>
    <row r="1017" spans="1:10" hidden="1" x14ac:dyDescent="0.3">
      <c r="A1017">
        <v>520</v>
      </c>
      <c r="B1017" t="str">
        <v>MANIAGRO SA</v>
      </c>
      <c r="C1017" s="6">
        <v>-758.24</v>
      </c>
      <c r="D1017" s="6">
        <v>0</v>
      </c>
      <c r="E1017" t="str">
        <v>Pesos</v>
      </c>
      <c r="F1017" t="str">
        <v xml:space="preserve"> $</v>
      </c>
      <c r="G1017" t="str">
        <f>IFERROR(VLOOKUP(A1017,'Clientes CBOT'!B:E,4,0),B1017)</f>
        <v>MANIAGRO SA</v>
      </c>
      <c r="H1017" t="str">
        <f t="shared" si="45"/>
        <v>Ars</v>
      </c>
      <c r="I1017" s="6">
        <f t="shared" si="46"/>
        <v>-758.24</v>
      </c>
      <c r="J1017">
        <f t="shared" si="47"/>
        <v>0</v>
      </c>
    </row>
    <row r="1018" spans="1:10" hidden="1" x14ac:dyDescent="0.3">
      <c r="A1018">
        <v>6004</v>
      </c>
      <c r="B1018" t="str">
        <v>BEARZOTTI DELFINA</v>
      </c>
      <c r="C1018" s="6">
        <v>0</v>
      </c>
      <c r="D1018" s="6">
        <v>0</v>
      </c>
      <c r="E1018" t="str">
        <v>Pesos</v>
      </c>
      <c r="F1018" t="str">
        <v xml:space="preserve"> $</v>
      </c>
      <c r="G1018" t="str">
        <f>IFERROR(VLOOKUP(A1018,'Clientes CBOT'!B:E,4,0),B1018)</f>
        <v>BEARZOTTI DELFINA</v>
      </c>
      <c r="H1018" t="str">
        <f t="shared" si="45"/>
        <v>Ars</v>
      </c>
      <c r="I1018" s="6">
        <f t="shared" si="46"/>
        <v>0</v>
      </c>
      <c r="J1018">
        <f t="shared" si="47"/>
        <v>0</v>
      </c>
    </row>
    <row r="1019" spans="1:10" hidden="1" x14ac:dyDescent="0.3">
      <c r="A1019">
        <v>551</v>
      </c>
      <c r="B1019" t="str">
        <v>PROLIP SRL</v>
      </c>
      <c r="C1019" s="6">
        <v>-4391.26</v>
      </c>
      <c r="D1019" s="6">
        <v>0</v>
      </c>
      <c r="E1019" t="str">
        <v>Pesos</v>
      </c>
      <c r="F1019" t="str">
        <v xml:space="preserve"> $</v>
      </c>
      <c r="G1019" t="str">
        <f>IFERROR(VLOOKUP(A1019,'Clientes CBOT'!B:E,4,0),B1019)</f>
        <v>PROLIP SRL</v>
      </c>
      <c r="H1019" t="str">
        <f t="shared" si="45"/>
        <v>Ars</v>
      </c>
      <c r="I1019" s="6">
        <f t="shared" si="46"/>
        <v>-4391.26</v>
      </c>
      <c r="J1019">
        <f t="shared" si="47"/>
        <v>0</v>
      </c>
    </row>
    <row r="1020" spans="1:10" hidden="1" x14ac:dyDescent="0.3">
      <c r="A1020">
        <v>307</v>
      </c>
      <c r="B1020" t="str">
        <v>R J GAGLIARDO S A</v>
      </c>
      <c r="C1020" s="6">
        <v>0</v>
      </c>
      <c r="D1020" s="6">
        <v>0.19</v>
      </c>
      <c r="E1020" t="str">
        <v>Pesos</v>
      </c>
      <c r="F1020" t="str">
        <v xml:space="preserve"> $</v>
      </c>
      <c r="G1020" t="str">
        <f>IFERROR(VLOOKUP(A1020,'Clientes CBOT'!B:E,4,0),B1020)</f>
        <v>R J GAGLIARDO S A</v>
      </c>
      <c r="H1020" t="str">
        <f t="shared" si="45"/>
        <v>Ars</v>
      </c>
      <c r="I1020" s="6">
        <f t="shared" si="46"/>
        <v>0</v>
      </c>
      <c r="J1020">
        <f t="shared" si="47"/>
        <v>0.19</v>
      </c>
    </row>
    <row r="1021" spans="1:10" hidden="1" x14ac:dyDescent="0.3">
      <c r="A1021">
        <v>372</v>
      </c>
      <c r="B1021" t="str">
        <v>COOPERATIVA DE TAMBEROS LA TORDILLA LTDA</v>
      </c>
      <c r="C1021" s="6">
        <v>0</v>
      </c>
      <c r="D1021" s="6">
        <v>49066560</v>
      </c>
      <c r="E1021" t="str">
        <v>Pesos</v>
      </c>
      <c r="F1021" t="str">
        <v xml:space="preserve"> $</v>
      </c>
      <c r="G1021" t="str">
        <f>IFERROR(VLOOKUP(A1021,'Clientes CBOT'!B:E,4,0),B1021)</f>
        <v>COOPERATIVA DE TAMBEROS LA TORDILLA LTDA</v>
      </c>
      <c r="H1021" t="str">
        <f t="shared" si="45"/>
        <v>Ars</v>
      </c>
      <c r="I1021" s="6">
        <f t="shared" si="46"/>
        <v>0</v>
      </c>
      <c r="J1021">
        <f t="shared" si="47"/>
        <v>49066560</v>
      </c>
    </row>
    <row r="1022" spans="1:10" hidden="1" x14ac:dyDescent="0.3">
      <c r="A1022">
        <v>6004</v>
      </c>
      <c r="B1022" t="str">
        <v>BEARZOTTI DELFINA</v>
      </c>
      <c r="C1022" s="6">
        <v>1.05</v>
      </c>
      <c r="D1022" s="6">
        <v>0</v>
      </c>
      <c r="E1022" t="str">
        <v xml:space="preserve">Dólar </v>
      </c>
      <c r="F1022" t="str">
        <v xml:space="preserve"> U$S</v>
      </c>
      <c r="G1022" t="str">
        <f>IFERROR(VLOOKUP(A1022,'Clientes CBOT'!B:E,4,0),B1022)</f>
        <v>BEARZOTTI DELFINA</v>
      </c>
      <c r="H1022" t="str">
        <f t="shared" si="45"/>
        <v>Dólar</v>
      </c>
      <c r="I1022" s="6">
        <f t="shared" si="46"/>
        <v>1.05</v>
      </c>
      <c r="J1022">
        <f t="shared" si="47"/>
        <v>0</v>
      </c>
    </row>
    <row r="1023" spans="1:10" hidden="1" x14ac:dyDescent="0.3">
      <c r="A1023">
        <v>543</v>
      </c>
      <c r="B1023" t="str">
        <v>GALLEANO GUSTAVO EDUARDO</v>
      </c>
      <c r="C1023" s="6">
        <v>14444.73</v>
      </c>
      <c r="D1023" s="6">
        <v>0</v>
      </c>
      <c r="E1023" t="str">
        <v xml:space="preserve">Dólar </v>
      </c>
      <c r="F1023" t="str">
        <v xml:space="preserve"> U$S</v>
      </c>
      <c r="G1023" t="str">
        <f>IFERROR(VLOOKUP(A1023,'Clientes CBOT'!B:E,4,0),B1023)</f>
        <v>GALLEANO GUSTAVO EDUARDO</v>
      </c>
      <c r="H1023" t="str">
        <f t="shared" si="45"/>
        <v>Dólar</v>
      </c>
      <c r="I1023" s="6">
        <f t="shared" si="46"/>
        <v>14444.73</v>
      </c>
      <c r="J1023">
        <f t="shared" si="47"/>
        <v>0</v>
      </c>
    </row>
    <row r="1024" spans="1:10" hidden="1" x14ac:dyDescent="0.3">
      <c r="A1024">
        <v>535</v>
      </c>
      <c r="B1024" t="str">
        <v>GIMBATTI FERNANDO DIEGO</v>
      </c>
      <c r="C1024" s="6">
        <v>0</v>
      </c>
      <c r="D1024" s="6">
        <v>0</v>
      </c>
      <c r="E1024" t="str">
        <v xml:space="preserve">Dólar </v>
      </c>
      <c r="F1024" t="str">
        <v xml:space="preserve"> U$S</v>
      </c>
      <c r="G1024" t="str">
        <f>IFERROR(VLOOKUP(A1024,'Clientes CBOT'!B:E,4,0),B1024)</f>
        <v>GIMBATTI FERNANDO DIEGO</v>
      </c>
      <c r="H1024" t="str">
        <f t="shared" si="45"/>
        <v>Dólar</v>
      </c>
      <c r="I1024" s="6">
        <f t="shared" si="46"/>
        <v>0</v>
      </c>
      <c r="J1024">
        <f t="shared" si="47"/>
        <v>0</v>
      </c>
    </row>
    <row r="1025" spans="1:10" hidden="1" x14ac:dyDescent="0.3">
      <c r="A1025">
        <v>535</v>
      </c>
      <c r="B1025" t="str">
        <v>GIMBATTI FERNANDO DIEGO</v>
      </c>
      <c r="C1025" s="6">
        <v>0.39</v>
      </c>
      <c r="D1025" s="6">
        <v>0</v>
      </c>
      <c r="E1025" t="str">
        <v>Dólar Cable</v>
      </c>
      <c r="F1025" t="str">
        <v xml:space="preserve"> U$S TT</v>
      </c>
      <c r="G1025" t="str">
        <f>IFERROR(VLOOKUP(A1025,'Clientes CBOT'!B:E,4,0),B1025)</f>
        <v>GIMBATTI FERNANDO DIEGO</v>
      </c>
      <c r="H1025" t="str">
        <f t="shared" si="45"/>
        <v>Hard</v>
      </c>
      <c r="I1025" s="6">
        <f t="shared" si="46"/>
        <v>0.39</v>
      </c>
      <c r="J1025">
        <f t="shared" si="47"/>
        <v>0</v>
      </c>
    </row>
    <row r="1026" spans="1:10" hidden="1" x14ac:dyDescent="0.3">
      <c r="A1026">
        <v>543</v>
      </c>
      <c r="B1026" t="str">
        <v>GALLEANO GUSTAVO EDUARDO</v>
      </c>
      <c r="C1026" s="6">
        <v>0.92</v>
      </c>
      <c r="D1026" s="6">
        <v>0</v>
      </c>
      <c r="E1026" t="str">
        <v>Dólar Cable</v>
      </c>
      <c r="F1026" t="str">
        <v xml:space="preserve"> U$S TT</v>
      </c>
      <c r="G1026" t="str">
        <f>IFERROR(VLOOKUP(A1026,'Clientes CBOT'!B:E,4,0),B1026)</f>
        <v>GALLEANO GUSTAVO EDUARDO</v>
      </c>
      <c r="H1026" t="str">
        <f t="shared" si="45"/>
        <v>Hard</v>
      </c>
      <c r="I1026" s="6">
        <f t="shared" si="46"/>
        <v>0.92</v>
      </c>
      <c r="J1026">
        <f t="shared" si="47"/>
        <v>0</v>
      </c>
    </row>
    <row r="1027" spans="1:10" hidden="1" x14ac:dyDescent="0.3">
      <c r="A1027">
        <v>519</v>
      </c>
      <c r="B1027" t="str">
        <v>FOGANTE GERMAN ARIEL</v>
      </c>
      <c r="C1027" s="6">
        <v>0.04</v>
      </c>
      <c r="D1027" s="6">
        <v>0</v>
      </c>
      <c r="E1027" t="str">
        <v>Dólar Cable</v>
      </c>
      <c r="F1027" t="str">
        <v xml:space="preserve"> U$S TT</v>
      </c>
      <c r="G1027" t="str">
        <f>IFERROR(VLOOKUP(A1027,'Clientes CBOT'!B:E,4,0),B1027)</f>
        <v>FOGANTE GERMAN ARIEL</v>
      </c>
      <c r="H1027" t="str">
        <f t="shared" si="45"/>
        <v>Hard</v>
      </c>
      <c r="I1027" s="6">
        <f t="shared" si="46"/>
        <v>0.04</v>
      </c>
      <c r="J1027">
        <f t="shared" si="47"/>
        <v>0</v>
      </c>
    </row>
    <row r="1028" spans="1:10" hidden="1" x14ac:dyDescent="0.3">
      <c r="A1028">
        <v>545</v>
      </c>
      <c r="B1028" t="str">
        <v>ELORZA AGRO SRL</v>
      </c>
      <c r="C1028" s="6">
        <v>0</v>
      </c>
      <c r="D1028" s="6">
        <v>0</v>
      </c>
      <c r="E1028" t="str">
        <v>Dólar Matba Rofex</v>
      </c>
      <c r="F1028" t="str">
        <v xml:space="preserve"> U$S MR</v>
      </c>
      <c r="G1028" t="str">
        <f>IFERROR(VLOOKUP(A1028,'Clientes CBOT'!B:E,4,0),B1028)</f>
        <v>ELORZA AGRO SRL</v>
      </c>
      <c r="H1028" t="str">
        <f t="shared" si="45"/>
        <v>usd linked</v>
      </c>
      <c r="I1028" s="6">
        <f t="shared" si="46"/>
        <v>0</v>
      </c>
      <c r="J1028">
        <f t="shared" si="47"/>
        <v>0</v>
      </c>
    </row>
    <row r="1029" spans="1:10" hidden="1" x14ac:dyDescent="0.3">
      <c r="A1029">
        <v>546</v>
      </c>
      <c r="B1029" t="str">
        <v>SANTA MORENA SA</v>
      </c>
      <c r="C1029" s="6">
        <v>0</v>
      </c>
      <c r="D1029" s="6">
        <v>0</v>
      </c>
      <c r="E1029" t="str">
        <v>Pesos</v>
      </c>
      <c r="F1029" t="str">
        <v xml:space="preserve"> $</v>
      </c>
      <c r="G1029" t="str">
        <f>IFERROR(VLOOKUP(A1029,'Clientes CBOT'!B:E,4,0),B1029)</f>
        <v>SANTA MORENA SA</v>
      </c>
      <c r="H1029" t="str">
        <f t="shared" ref="H1029:H1092" si="48">IF(E1029="pesos","Ars",IF(E1029="Dólar Matba Rofex","usd linked",IF(F1029=" U$S TT","Hard","Dólar")))</f>
        <v>Ars</v>
      </c>
      <c r="I1029" s="6">
        <f t="shared" ref="I1029:I1092" si="49">IF(H1029="ars",C1029/$J$1,IF(H1029="Hard",C1029*$J$2/$J$1,C1029))</f>
        <v>0</v>
      </c>
      <c r="J1029">
        <f t="shared" ref="J1029:J1065" si="50">IF(H1029="ars",D1029/$J$1,IF(H1029="hard",D1029*$J$2/$J$1,D1029))</f>
        <v>0</v>
      </c>
    </row>
    <row r="1030" spans="1:10" hidden="1" x14ac:dyDescent="0.3">
      <c r="A1030">
        <v>153</v>
      </c>
      <c r="B1030" t="str">
        <v>CAIO BIBILONI Y CIA S.R.L.</v>
      </c>
      <c r="C1030" s="6">
        <v>0.63</v>
      </c>
      <c r="D1030" s="6">
        <v>0</v>
      </c>
      <c r="E1030" t="str">
        <v>Pesos</v>
      </c>
      <c r="F1030" t="str">
        <v xml:space="preserve"> $</v>
      </c>
      <c r="G1030" t="str">
        <f>IFERROR(VLOOKUP(A1030,'Clientes CBOT'!B:E,4,0),B1030)</f>
        <v>CAIO BIBILONI Y CIA S.R.L.</v>
      </c>
      <c r="H1030" t="str">
        <f t="shared" si="48"/>
        <v>Ars</v>
      </c>
      <c r="I1030" s="6">
        <f t="shared" si="49"/>
        <v>0.63</v>
      </c>
      <c r="J1030">
        <f t="shared" si="50"/>
        <v>0</v>
      </c>
    </row>
    <row r="1031" spans="1:10" hidden="1" x14ac:dyDescent="0.3">
      <c r="A1031">
        <v>508</v>
      </c>
      <c r="B1031" t="str">
        <v>FIDEICOMISO BENEVENTO</v>
      </c>
      <c r="C1031" s="6">
        <v>-0.24</v>
      </c>
      <c r="D1031" s="6">
        <v>0</v>
      </c>
      <c r="E1031" t="str">
        <v>Pesos</v>
      </c>
      <c r="F1031" t="str">
        <v xml:space="preserve"> $</v>
      </c>
      <c r="G1031" t="str">
        <f>IFERROR(VLOOKUP(A1031,'Clientes CBOT'!B:E,4,0),B1031)</f>
        <v>FIDEICOMISO BENEVENTO</v>
      </c>
      <c r="H1031" t="str">
        <f t="shared" si="48"/>
        <v>Ars</v>
      </c>
      <c r="I1031" s="6">
        <f t="shared" si="49"/>
        <v>-0.24</v>
      </c>
      <c r="J1031">
        <f t="shared" si="50"/>
        <v>0</v>
      </c>
    </row>
    <row r="1032" spans="1:10" hidden="1" x14ac:dyDescent="0.3">
      <c r="A1032">
        <v>510</v>
      </c>
      <c r="B1032" t="str">
        <v>FIORDANI CAROLA</v>
      </c>
      <c r="C1032" s="6">
        <v>0</v>
      </c>
      <c r="D1032" s="6">
        <v>0</v>
      </c>
      <c r="E1032" t="str">
        <v>Pesos</v>
      </c>
      <c r="F1032" t="str">
        <v xml:space="preserve"> $</v>
      </c>
      <c r="G1032" t="str">
        <f>IFERROR(VLOOKUP(A1032,'Clientes CBOT'!B:E,4,0),B1032)</f>
        <v>FIORDANI CAROLA</v>
      </c>
      <c r="H1032" t="str">
        <f t="shared" si="48"/>
        <v>Ars</v>
      </c>
      <c r="I1032" s="6">
        <f t="shared" si="49"/>
        <v>0</v>
      </c>
      <c r="J1032">
        <f t="shared" si="50"/>
        <v>0</v>
      </c>
    </row>
    <row r="1033" spans="1:10" hidden="1" x14ac:dyDescent="0.3">
      <c r="A1033">
        <v>505</v>
      </c>
      <c r="B1033" t="str">
        <v>GUAZZARONI GRECO SA</v>
      </c>
      <c r="C1033" s="6">
        <v>-6134.13</v>
      </c>
      <c r="D1033" s="6">
        <v>0</v>
      </c>
      <c r="E1033" t="str">
        <v>Pesos</v>
      </c>
      <c r="F1033" t="str">
        <v xml:space="preserve"> $</v>
      </c>
      <c r="G1033" t="str">
        <f>IFERROR(VLOOKUP(A1033,'Clientes CBOT'!B:E,4,0),B1033)</f>
        <v>GUAZZARONI GRECO SA</v>
      </c>
      <c r="H1033" t="str">
        <f t="shared" si="48"/>
        <v>Ars</v>
      </c>
      <c r="I1033" s="6">
        <f t="shared" si="49"/>
        <v>-6134.13</v>
      </c>
      <c r="J1033">
        <f t="shared" si="50"/>
        <v>0</v>
      </c>
    </row>
    <row r="1034" spans="1:10" hidden="1" x14ac:dyDescent="0.3">
      <c r="A1034">
        <v>106</v>
      </c>
      <c r="B1034" t="str">
        <v>CEREALISTA MOLDES SA</v>
      </c>
      <c r="C1034" s="6">
        <v>-129026784.33</v>
      </c>
      <c r="D1034" s="6">
        <v>0</v>
      </c>
      <c r="E1034" t="str">
        <v>Pesos</v>
      </c>
      <c r="F1034" t="str">
        <v xml:space="preserve"> $</v>
      </c>
      <c r="G1034" t="str">
        <f>IFERROR(VLOOKUP(A1034,'Clientes CBOT'!B:E,4,0),B1034)</f>
        <v>CEREALISTA MOLDES SA</v>
      </c>
      <c r="H1034" t="str">
        <f t="shared" si="48"/>
        <v>Ars</v>
      </c>
      <c r="I1034" s="6">
        <f t="shared" si="49"/>
        <v>-129026784.33</v>
      </c>
      <c r="J1034">
        <f t="shared" si="50"/>
        <v>0</v>
      </c>
    </row>
    <row r="1035" spans="1:10" hidden="1" x14ac:dyDescent="0.3">
      <c r="A1035">
        <v>70</v>
      </c>
      <c r="B1035" t="str">
        <v>VG SA</v>
      </c>
      <c r="C1035" s="6">
        <v>0</v>
      </c>
      <c r="D1035" s="6">
        <v>0</v>
      </c>
      <c r="E1035" t="str">
        <v>Pesos</v>
      </c>
      <c r="F1035" t="str">
        <v xml:space="preserve"> $</v>
      </c>
      <c r="G1035" t="str">
        <f>IFERROR(VLOOKUP(A1035,'Clientes CBOT'!B:E,4,0),B1035)</f>
        <v>VG SA</v>
      </c>
      <c r="H1035" t="str">
        <f t="shared" si="48"/>
        <v>Ars</v>
      </c>
      <c r="I1035" s="6">
        <f t="shared" si="49"/>
        <v>0</v>
      </c>
      <c r="J1035">
        <f t="shared" si="50"/>
        <v>0</v>
      </c>
    </row>
    <row r="1036" spans="1:10" hidden="1" x14ac:dyDescent="0.3">
      <c r="A1036">
        <v>463</v>
      </c>
      <c r="B1036" t="str">
        <v>RUBIO AGUIRRE MANUEL JULIÁN</v>
      </c>
      <c r="C1036" s="6">
        <v>-710.98</v>
      </c>
      <c r="D1036" s="6">
        <v>0</v>
      </c>
      <c r="E1036" t="str">
        <v>Pesos</v>
      </c>
      <c r="F1036" t="str">
        <v xml:space="preserve"> $</v>
      </c>
      <c r="G1036" t="str">
        <f>IFERROR(VLOOKUP(A1036,'Clientes CBOT'!B:E,4,0),B1036)</f>
        <v>RUBIO AGUIRRE MANUEL JULIÁN</v>
      </c>
      <c r="H1036" t="str">
        <f t="shared" si="48"/>
        <v>Ars</v>
      </c>
      <c r="I1036" s="6">
        <f t="shared" si="49"/>
        <v>-710.98</v>
      </c>
      <c r="J1036">
        <f t="shared" si="50"/>
        <v>0</v>
      </c>
    </row>
    <row r="1037" spans="1:10" hidden="1" x14ac:dyDescent="0.3">
      <c r="A1037">
        <v>487</v>
      </c>
      <c r="B1037" t="str">
        <v>ACOPIO BALCARCE SA</v>
      </c>
      <c r="C1037" s="6">
        <v>-2191.58</v>
      </c>
      <c r="D1037" s="6">
        <v>0</v>
      </c>
      <c r="E1037" t="str">
        <v>Pesos</v>
      </c>
      <c r="F1037" t="str">
        <v xml:space="preserve"> $</v>
      </c>
      <c r="G1037" t="str">
        <f>IFERROR(VLOOKUP(A1037,'Clientes CBOT'!B:E,4,0),B1037)</f>
        <v>ACOPIO BALCARCE SA</v>
      </c>
      <c r="H1037" t="str">
        <f t="shared" si="48"/>
        <v>Ars</v>
      </c>
      <c r="I1037" s="6">
        <f t="shared" si="49"/>
        <v>-2191.58</v>
      </c>
      <c r="J1037">
        <f t="shared" si="50"/>
        <v>0</v>
      </c>
    </row>
    <row r="1038" spans="1:10" hidden="1" x14ac:dyDescent="0.3">
      <c r="A1038">
        <v>20</v>
      </c>
      <c r="B1038" t="str">
        <v>CUSILLOS SRL</v>
      </c>
      <c r="C1038" s="6">
        <v>0</v>
      </c>
      <c r="D1038" s="6">
        <v>-0.01</v>
      </c>
      <c r="E1038" t="str">
        <v>Pesos</v>
      </c>
      <c r="F1038" t="str">
        <v xml:space="preserve"> $</v>
      </c>
      <c r="G1038" t="str">
        <f>IFERROR(VLOOKUP(A1038,'Clientes CBOT'!B:E,4,0),B1038)</f>
        <v>CUSILLOS SRL</v>
      </c>
      <c r="H1038" t="str">
        <f t="shared" si="48"/>
        <v>Ars</v>
      </c>
      <c r="I1038" s="6">
        <f t="shared" si="49"/>
        <v>0</v>
      </c>
      <c r="J1038">
        <f t="shared" si="50"/>
        <v>-0.01</v>
      </c>
    </row>
    <row r="1039" spans="1:10" hidden="1" x14ac:dyDescent="0.3">
      <c r="A1039">
        <v>83</v>
      </c>
      <c r="B1039" t="str">
        <v>AGRO URANGA SA</v>
      </c>
      <c r="C1039" s="6">
        <v>8.69</v>
      </c>
      <c r="D1039" s="6">
        <v>0</v>
      </c>
      <c r="E1039" t="str">
        <v>Pesos</v>
      </c>
      <c r="F1039" t="str">
        <v xml:space="preserve"> $</v>
      </c>
      <c r="G1039" t="str">
        <f>IFERROR(VLOOKUP(A1039,'Clientes CBOT'!B:E,4,0),B1039)</f>
        <v>AGRO URANGA SA</v>
      </c>
      <c r="H1039" t="str">
        <f t="shared" si="48"/>
        <v>Ars</v>
      </c>
      <c r="I1039" s="6">
        <f t="shared" si="49"/>
        <v>8.69</v>
      </c>
      <c r="J1039">
        <f t="shared" si="50"/>
        <v>0</v>
      </c>
    </row>
    <row r="1040" spans="1:10" hidden="1" x14ac:dyDescent="0.3">
      <c r="A1040">
        <v>24</v>
      </c>
      <c r="B1040" t="str">
        <v>DON OSVALDO SA</v>
      </c>
      <c r="C1040" s="6">
        <v>1508466.63</v>
      </c>
      <c r="D1040" s="6">
        <v>0.05</v>
      </c>
      <c r="E1040" t="str">
        <v>Pesos</v>
      </c>
      <c r="F1040" t="str">
        <v xml:space="preserve"> $</v>
      </c>
      <c r="G1040" t="str">
        <f>IFERROR(VLOOKUP(A1040,'Clientes CBOT'!B:E,4,0),B1040)</f>
        <v>DON OSVALDO SA</v>
      </c>
      <c r="H1040" t="str">
        <f t="shared" si="48"/>
        <v>Ars</v>
      </c>
      <c r="I1040" s="6">
        <f t="shared" si="49"/>
        <v>1508466.63</v>
      </c>
      <c r="J1040">
        <f t="shared" si="50"/>
        <v>0.05</v>
      </c>
    </row>
    <row r="1041" spans="1:10" hidden="1" x14ac:dyDescent="0.3">
      <c r="A1041">
        <v>38</v>
      </c>
      <c r="B1041" t="str">
        <v>GAGLIARDO AGRICOLA GANADERA S.A.</v>
      </c>
      <c r="C1041" s="6">
        <v>-1885000</v>
      </c>
      <c r="D1041" s="6">
        <v>126000001.78</v>
      </c>
      <c r="E1041" t="str">
        <v>Pesos</v>
      </c>
      <c r="F1041" t="str">
        <v xml:space="preserve"> $</v>
      </c>
      <c r="G1041" t="str">
        <f>IFERROR(VLOOKUP(A1041,'Clientes CBOT'!B:E,4,0),B1041)</f>
        <v>GAGLIARDO AGRICOLA GANADERA S.A.</v>
      </c>
      <c r="H1041" t="str">
        <f t="shared" si="48"/>
        <v>Ars</v>
      </c>
      <c r="I1041" s="6">
        <f t="shared" si="49"/>
        <v>-1885000</v>
      </c>
      <c r="J1041">
        <f t="shared" si="50"/>
        <v>126000001.78</v>
      </c>
    </row>
    <row r="1042" spans="1:10" hidden="1" x14ac:dyDescent="0.3">
      <c r="A1042">
        <v>554</v>
      </c>
      <c r="B1042" t="str">
        <v>DOMINGO R Y NESTOR SCIOLI SA</v>
      </c>
      <c r="C1042" s="6">
        <v>402898358.26999998</v>
      </c>
      <c r="D1042" s="6">
        <v>0</v>
      </c>
      <c r="E1042" t="str">
        <v>Pesos</v>
      </c>
      <c r="F1042" t="str">
        <v xml:space="preserve"> $</v>
      </c>
      <c r="G1042" t="str">
        <f>IFERROR(VLOOKUP(A1042,'Clientes CBOT'!B:E,4,0),B1042)</f>
        <v>DOMINGO R Y NESTOR SCIOLI SA</v>
      </c>
      <c r="H1042" t="str">
        <f t="shared" si="48"/>
        <v>Ars</v>
      </c>
      <c r="I1042" s="6">
        <f t="shared" si="49"/>
        <v>402898358.26999998</v>
      </c>
      <c r="J1042">
        <f t="shared" si="50"/>
        <v>0</v>
      </c>
    </row>
    <row r="1043" spans="1:10" hidden="1" x14ac:dyDescent="0.3">
      <c r="A1043">
        <v>9000</v>
      </c>
      <c r="B1043" t="str">
        <v>SOUTHERN SEEDS PRODUCTION SA (CERA)</v>
      </c>
      <c r="C1043" s="6">
        <v>-17854.169999999998</v>
      </c>
      <c r="D1043" s="6">
        <v>0</v>
      </c>
      <c r="E1043" t="str">
        <v>Pesos</v>
      </c>
      <c r="F1043" t="str">
        <v xml:space="preserve"> $</v>
      </c>
      <c r="G1043" t="str">
        <f>IFERROR(VLOOKUP(A1043,'Clientes CBOT'!B:E,4,0),B1043)</f>
        <v>SOUTHERN SEEDS PRODUCTION SA (CERA)</v>
      </c>
      <c r="H1043" t="str">
        <f t="shared" si="48"/>
        <v>Ars</v>
      </c>
      <c r="I1043" s="6">
        <f t="shared" si="49"/>
        <v>-17854.169999999998</v>
      </c>
      <c r="J1043">
        <f t="shared" si="50"/>
        <v>0</v>
      </c>
    </row>
    <row r="1044" spans="1:10" hidden="1" x14ac:dyDescent="0.3">
      <c r="A1044">
        <v>6014</v>
      </c>
      <c r="B1044" t="str">
        <v>AVANZAR  S. A.</v>
      </c>
      <c r="C1044" s="6">
        <v>5168.87</v>
      </c>
      <c r="D1044" s="6">
        <v>0</v>
      </c>
      <c r="E1044" t="str">
        <v>Pesos</v>
      </c>
      <c r="F1044" t="str">
        <v xml:space="preserve"> $</v>
      </c>
      <c r="G1044" t="str">
        <f>IFERROR(VLOOKUP(A1044,'Clientes CBOT'!B:E,4,0),B1044)</f>
        <v>AVANZAR  S. A.</v>
      </c>
      <c r="H1044" t="str">
        <f t="shared" si="48"/>
        <v>Ars</v>
      </c>
      <c r="I1044" s="6">
        <f t="shared" si="49"/>
        <v>5168.87</v>
      </c>
      <c r="J1044">
        <f t="shared" si="50"/>
        <v>0</v>
      </c>
    </row>
    <row r="1045" spans="1:10" hidden="1" x14ac:dyDescent="0.3">
      <c r="A1045">
        <v>6009</v>
      </c>
      <c r="B1045" t="str">
        <v>BUFI JORGE DOMINGO</v>
      </c>
      <c r="C1045" s="6">
        <v>21423.599999999999</v>
      </c>
      <c r="D1045" s="6">
        <v>0</v>
      </c>
      <c r="E1045" t="str">
        <v>Pesos</v>
      </c>
      <c r="F1045" t="str">
        <v xml:space="preserve"> $</v>
      </c>
      <c r="G1045" t="str">
        <f>IFERROR(VLOOKUP(A1045,'Clientes CBOT'!B:E,4,0),B1045)</f>
        <v>BUFI JORGE DOMINGO</v>
      </c>
      <c r="H1045" t="str">
        <f t="shared" si="48"/>
        <v>Ars</v>
      </c>
      <c r="I1045" s="6">
        <f t="shared" si="49"/>
        <v>21423.599999999999</v>
      </c>
      <c r="J1045">
        <f t="shared" si="50"/>
        <v>0</v>
      </c>
    </row>
    <row r="1046" spans="1:10" hidden="1" x14ac:dyDescent="0.3">
      <c r="A1046">
        <v>6011</v>
      </c>
      <c r="B1046" t="str">
        <v>AGROPECUARIA CARPEDIEM S.A</v>
      </c>
      <c r="C1046" s="6">
        <v>-162797280.74000001</v>
      </c>
      <c r="D1046" s="6">
        <v>0</v>
      </c>
      <c r="E1046" t="str">
        <v>Pesos</v>
      </c>
      <c r="F1046" t="str">
        <v xml:space="preserve"> $</v>
      </c>
      <c r="G1046" t="str">
        <f>IFERROR(VLOOKUP(A1046,'Clientes CBOT'!B:E,4,0),B1046)</f>
        <v>AGROPECUARIA CARPEDIEM S.A</v>
      </c>
      <c r="H1046" t="str">
        <f t="shared" si="48"/>
        <v>Ars</v>
      </c>
      <c r="I1046" s="6">
        <f t="shared" si="49"/>
        <v>-162797280.74000001</v>
      </c>
      <c r="J1046">
        <f t="shared" si="50"/>
        <v>0</v>
      </c>
    </row>
    <row r="1047" spans="1:10" hidden="1" x14ac:dyDescent="0.3">
      <c r="A1047">
        <v>6013</v>
      </c>
      <c r="B1047" t="str">
        <v>SOUTHERN SEEDS PRODUCTION S.A.</v>
      </c>
      <c r="C1047" s="6">
        <v>-1013623410.11</v>
      </c>
      <c r="D1047" s="6">
        <v>0</v>
      </c>
      <c r="E1047" t="str">
        <v>Pesos</v>
      </c>
      <c r="F1047" t="str">
        <v xml:space="preserve"> $</v>
      </c>
      <c r="G1047" t="str">
        <f>IFERROR(VLOOKUP(A1047,'Clientes CBOT'!B:E,4,0),B1047)</f>
        <v>SOUTHERN SEEDS PRODUCTION S.A.</v>
      </c>
      <c r="H1047" t="str">
        <f t="shared" si="48"/>
        <v>Ars</v>
      </c>
      <c r="I1047" s="6">
        <f t="shared" si="49"/>
        <v>-1013623410.11</v>
      </c>
      <c r="J1047">
        <f t="shared" si="50"/>
        <v>0</v>
      </c>
    </row>
    <row r="1048" spans="1:10" hidden="1" x14ac:dyDescent="0.3">
      <c r="A1048">
        <v>6048</v>
      </c>
      <c r="B1048" t="str">
        <v>MARTINEZ MARCELO DANIEL</v>
      </c>
      <c r="C1048" s="6">
        <v>0</v>
      </c>
      <c r="D1048" s="6">
        <v>0</v>
      </c>
      <c r="E1048" t="str">
        <v>Pesos</v>
      </c>
      <c r="F1048" t="str">
        <v xml:space="preserve"> $</v>
      </c>
      <c r="G1048" t="str">
        <f>IFERROR(VLOOKUP(A1048,'Clientes CBOT'!B:E,4,0),B1048)</f>
        <v>MARTINEZ MARCELO DANIEL</v>
      </c>
      <c r="H1048" t="str">
        <f t="shared" si="48"/>
        <v>Ars</v>
      </c>
      <c r="I1048" s="6">
        <f t="shared" si="49"/>
        <v>0</v>
      </c>
      <c r="J1048">
        <f t="shared" si="50"/>
        <v>0</v>
      </c>
    </row>
    <row r="1049" spans="1:10" hidden="1" x14ac:dyDescent="0.3">
      <c r="A1049">
        <v>6054</v>
      </c>
      <c r="B1049" t="str">
        <v>RATTO OSCAR EDUARDO, LOSINNO BEATRIZ NORMA</v>
      </c>
      <c r="C1049" s="6">
        <v>129819.79</v>
      </c>
      <c r="D1049" s="6">
        <v>0</v>
      </c>
      <c r="E1049" t="str">
        <v>Pesos</v>
      </c>
      <c r="F1049" t="str">
        <v xml:space="preserve"> $</v>
      </c>
      <c r="G1049">
        <f>IFERROR(VLOOKUP(A1049,'Clientes CBOT'!B:E,4,0),B1049)</f>
        <v>13009</v>
      </c>
      <c r="H1049" t="str">
        <f t="shared" si="48"/>
        <v>Ars</v>
      </c>
      <c r="I1049" s="6">
        <f t="shared" si="49"/>
        <v>129819.79</v>
      </c>
      <c r="J1049">
        <f t="shared" si="50"/>
        <v>0</v>
      </c>
    </row>
    <row r="1050" spans="1:10" hidden="1" x14ac:dyDescent="0.3">
      <c r="A1050">
        <v>6051</v>
      </c>
      <c r="B1050" t="str">
        <v>COOPERATIVA AGRICOLA GANADERA Y DE SERVICIOS PUBLICOS ARANGUREN LTDA. (COOPAR)</v>
      </c>
      <c r="C1050" s="6">
        <v>-656727714.64999998</v>
      </c>
      <c r="D1050" s="6">
        <v>0</v>
      </c>
      <c r="E1050" t="str">
        <v>Pesos</v>
      </c>
      <c r="F1050" t="str">
        <v xml:space="preserve"> $</v>
      </c>
      <c r="G1050" t="str">
        <f>IFERROR(VLOOKUP(A1050,'Clientes CBOT'!B:E,4,0),B1050)</f>
        <v>COOPERATIVA AGRICOLA GANADERA Y DE SERVICIOS PUBLICOS ARANGUREN LTDA. (COOPAR)</v>
      </c>
      <c r="H1050" t="str">
        <f t="shared" si="48"/>
        <v>Ars</v>
      </c>
      <c r="I1050" s="6">
        <f t="shared" si="49"/>
        <v>-656727714.64999998</v>
      </c>
      <c r="J1050">
        <f t="shared" si="50"/>
        <v>0</v>
      </c>
    </row>
    <row r="1051" spans="1:10" hidden="1" x14ac:dyDescent="0.3">
      <c r="A1051">
        <v>9001</v>
      </c>
      <c r="B1051" t="str">
        <v>AGROPECUARIA CARPEDIEM SA (CERA)</v>
      </c>
      <c r="C1051" s="6">
        <v>-6813.76</v>
      </c>
      <c r="D1051" s="6">
        <v>0</v>
      </c>
      <c r="E1051" t="str">
        <v>Pesos</v>
      </c>
      <c r="F1051" t="str">
        <v xml:space="preserve"> $</v>
      </c>
      <c r="G1051" t="str">
        <f>IFERROR(VLOOKUP(A1051,'Clientes CBOT'!B:E,4,0),B1051)</f>
        <v>AGROPECUARIA CARPEDIEM SA (CERA)</v>
      </c>
      <c r="H1051" t="str">
        <f t="shared" si="48"/>
        <v>Ars</v>
      </c>
      <c r="I1051" s="6">
        <f t="shared" si="49"/>
        <v>-6813.76</v>
      </c>
      <c r="J1051">
        <f t="shared" si="50"/>
        <v>0</v>
      </c>
    </row>
    <row r="1052" spans="1:10" hidden="1" x14ac:dyDescent="0.3">
      <c r="A1052">
        <v>6033</v>
      </c>
      <c r="B1052" t="str">
        <v>PERONI JUAN CARLOS</v>
      </c>
      <c r="C1052" s="6">
        <v>-41639.89</v>
      </c>
      <c r="D1052" s="6">
        <v>0</v>
      </c>
      <c r="E1052" t="str">
        <v>Pesos</v>
      </c>
      <c r="F1052" t="str">
        <v xml:space="preserve"> $</v>
      </c>
      <c r="G1052" t="str">
        <f>IFERROR(VLOOKUP(A1052,'Clientes CBOT'!B:E,4,0),B1052)</f>
        <v>PERONI JUAN CARLOS</v>
      </c>
      <c r="H1052" t="str">
        <f t="shared" si="48"/>
        <v>Ars</v>
      </c>
      <c r="I1052" s="6">
        <f t="shared" si="49"/>
        <v>-41639.89</v>
      </c>
      <c r="J1052">
        <f t="shared" si="50"/>
        <v>0</v>
      </c>
    </row>
    <row r="1053" spans="1:10" hidden="1" x14ac:dyDescent="0.3">
      <c r="A1053">
        <v>185</v>
      </c>
      <c r="B1053" t="str">
        <v>CEREALISTA MOLDES SA</v>
      </c>
      <c r="C1053" s="6">
        <v>29026784.329999998</v>
      </c>
      <c r="D1053" s="6">
        <v>0</v>
      </c>
      <c r="E1053" t="str">
        <v>Pesos</v>
      </c>
      <c r="F1053" t="str">
        <v xml:space="preserve"> $</v>
      </c>
      <c r="G1053" t="str">
        <f>IFERROR(VLOOKUP(A1053,'Clientes CBOT'!B:E,4,0),B1053)</f>
        <v>CEREALISTA MOLDES SA</v>
      </c>
      <c r="H1053" t="str">
        <f t="shared" si="48"/>
        <v>Ars</v>
      </c>
      <c r="I1053" s="6">
        <f t="shared" si="49"/>
        <v>29026784.329999998</v>
      </c>
      <c r="J1053">
        <f t="shared" si="50"/>
        <v>0</v>
      </c>
    </row>
    <row r="1054" spans="1:10" hidden="1" x14ac:dyDescent="0.3">
      <c r="A1054">
        <v>379</v>
      </c>
      <c r="B1054" t="str">
        <v>S.L.AGRO NECOCHEA SRL</v>
      </c>
      <c r="C1054" s="6">
        <v>15256575.859999999</v>
      </c>
      <c r="D1054" s="6">
        <v>0.02</v>
      </c>
      <c r="E1054" t="str">
        <v>Pesos</v>
      </c>
      <c r="F1054" t="str">
        <v xml:space="preserve"> $</v>
      </c>
      <c r="G1054" t="str">
        <f>IFERROR(VLOOKUP(A1054,'Clientes CBOT'!B:E,4,0),B1054)</f>
        <v>S.L.AGRO NECOCHEA SRL</v>
      </c>
      <c r="H1054" t="str">
        <f t="shared" si="48"/>
        <v>Ars</v>
      </c>
      <c r="I1054" s="6">
        <f t="shared" si="49"/>
        <v>15256575.859999999</v>
      </c>
      <c r="J1054">
        <f t="shared" si="50"/>
        <v>0.02</v>
      </c>
    </row>
    <row r="1055" spans="1:10" hidden="1" x14ac:dyDescent="0.3">
      <c r="A1055">
        <v>415</v>
      </c>
      <c r="B1055" t="str">
        <v>DON ISIDRO SA</v>
      </c>
      <c r="C1055" s="6">
        <v>0</v>
      </c>
      <c r="D1055" s="6">
        <v>0</v>
      </c>
      <c r="E1055" t="str">
        <v>Pesos</v>
      </c>
      <c r="F1055" t="str">
        <v xml:space="preserve"> $</v>
      </c>
      <c r="G1055" t="str">
        <f>IFERROR(VLOOKUP(A1055,'Clientes CBOT'!B:E,4,0),B1055)</f>
        <v>DON ISIDRO SA</v>
      </c>
      <c r="H1055" t="str">
        <f t="shared" si="48"/>
        <v>Ars</v>
      </c>
      <c r="I1055" s="6">
        <f t="shared" si="49"/>
        <v>0</v>
      </c>
      <c r="J1055">
        <f t="shared" si="50"/>
        <v>0</v>
      </c>
    </row>
    <row r="1056" spans="1:10" hidden="1" x14ac:dyDescent="0.3">
      <c r="A1056">
        <v>363</v>
      </c>
      <c r="B1056" t="str">
        <v>AGROLAM SA</v>
      </c>
      <c r="C1056" s="6">
        <v>0</v>
      </c>
      <c r="D1056" s="6">
        <v>0.03</v>
      </c>
      <c r="E1056" t="str">
        <v>Pesos</v>
      </c>
      <c r="F1056" t="str">
        <v xml:space="preserve"> $</v>
      </c>
      <c r="G1056" t="str">
        <f>IFERROR(VLOOKUP(A1056,'Clientes CBOT'!B:E,4,0),B1056)</f>
        <v>AGROLAM SA</v>
      </c>
      <c r="H1056" t="str">
        <f t="shared" si="48"/>
        <v>Ars</v>
      </c>
      <c r="I1056" s="6">
        <f t="shared" si="49"/>
        <v>0</v>
      </c>
      <c r="J1056">
        <f t="shared" si="50"/>
        <v>0.03</v>
      </c>
    </row>
    <row r="1057" spans="1:10" hidden="1" x14ac:dyDescent="0.3">
      <c r="A1057">
        <v>6094</v>
      </c>
      <c r="B1057" t="str">
        <v>GAVIÑA GOMEZ VALENTIN</v>
      </c>
      <c r="C1057" s="6">
        <v>-2939.02</v>
      </c>
      <c r="D1057" s="6">
        <v>0</v>
      </c>
      <c r="E1057" t="str">
        <v>Pesos</v>
      </c>
      <c r="F1057" t="str">
        <v xml:space="preserve"> $</v>
      </c>
      <c r="G1057" t="str">
        <f>IFERROR(VLOOKUP(A1057,'Clientes CBOT'!B:E,4,0),B1057)</f>
        <v>GAVIÑA GOMEZ VALENTIN</v>
      </c>
      <c r="H1057" t="str">
        <f t="shared" si="48"/>
        <v>Ars</v>
      </c>
      <c r="I1057" s="6">
        <f t="shared" si="49"/>
        <v>-2939.02</v>
      </c>
      <c r="J1057">
        <f t="shared" si="50"/>
        <v>0</v>
      </c>
    </row>
    <row r="1058" spans="1:10" hidden="1" x14ac:dyDescent="0.3">
      <c r="A1058">
        <v>287</v>
      </c>
      <c r="B1058" t="str">
        <v>AGROPECUARIA SUR SA</v>
      </c>
      <c r="C1058" s="6">
        <v>-645417561.41999996</v>
      </c>
      <c r="D1058" s="6">
        <v>9343749.9800000004</v>
      </c>
      <c r="E1058" t="str">
        <v>Pesos</v>
      </c>
      <c r="F1058" t="str">
        <v xml:space="preserve"> $</v>
      </c>
      <c r="G1058" t="str">
        <f>IFERROR(VLOOKUP(A1058,'Clientes CBOT'!B:E,4,0),B1058)</f>
        <v>AGROPECUARIA SUR SA</v>
      </c>
      <c r="H1058" t="str">
        <f t="shared" si="48"/>
        <v>Ars</v>
      </c>
      <c r="I1058" s="6">
        <f t="shared" si="49"/>
        <v>-645417561.41999996</v>
      </c>
      <c r="J1058">
        <f t="shared" si="50"/>
        <v>9343749.9800000004</v>
      </c>
    </row>
    <row r="1059" spans="1:10" hidden="1" x14ac:dyDescent="0.3">
      <c r="A1059">
        <v>6079</v>
      </c>
      <c r="B1059" t="str">
        <v>SEMILLERA FUERTES S A</v>
      </c>
      <c r="C1059" s="6">
        <v>-586215.6</v>
      </c>
      <c r="D1059" s="6">
        <v>0</v>
      </c>
      <c r="E1059" t="str">
        <v>Pesos</v>
      </c>
      <c r="F1059" t="str">
        <v xml:space="preserve"> $</v>
      </c>
      <c r="G1059" t="str">
        <f>IFERROR(VLOOKUP(A1059,'Clientes CBOT'!B:E,4,0),B1059)</f>
        <v>SEMILLERA FUERTES S A</v>
      </c>
      <c r="H1059" t="str">
        <f t="shared" si="48"/>
        <v>Ars</v>
      </c>
      <c r="I1059" s="6">
        <f t="shared" si="49"/>
        <v>-586215.6</v>
      </c>
      <c r="J1059">
        <f t="shared" si="50"/>
        <v>0</v>
      </c>
    </row>
    <row r="1060" spans="1:10" hidden="1" x14ac:dyDescent="0.3">
      <c r="A1060">
        <v>6084</v>
      </c>
      <c r="B1060" t="str">
        <v>LAS LAGUNAS Y ASOCIADOS SA</v>
      </c>
      <c r="C1060" s="6">
        <v>-45955.41</v>
      </c>
      <c r="D1060" s="6">
        <v>0</v>
      </c>
      <c r="E1060" t="str">
        <v>Pesos</v>
      </c>
      <c r="F1060" t="str">
        <v xml:space="preserve"> $</v>
      </c>
      <c r="G1060" t="str">
        <f>IFERROR(VLOOKUP(A1060,'Clientes CBOT'!B:E,4,0),B1060)</f>
        <v>LAS LAGUNAS Y ASOCIADOS SA</v>
      </c>
      <c r="H1060" t="str">
        <f t="shared" si="48"/>
        <v>Ars</v>
      </c>
      <c r="I1060" s="6">
        <f t="shared" si="49"/>
        <v>-45955.41</v>
      </c>
      <c r="J1060">
        <f t="shared" si="50"/>
        <v>0</v>
      </c>
    </row>
    <row r="1061" spans="1:10" x14ac:dyDescent="0.3">
      <c r="A1061">
        <v>6079</v>
      </c>
      <c r="B1061" t="str">
        <v>SEMILLERA FUERTES S A</v>
      </c>
      <c r="C1061" s="6">
        <v>0</v>
      </c>
      <c r="D1061" s="6">
        <v>0</v>
      </c>
      <c r="E1061" t="str">
        <v xml:space="preserve">Dólar </v>
      </c>
      <c r="F1061" t="str">
        <v xml:space="preserve"> U$S</v>
      </c>
      <c r="G1061" t="str">
        <f>IFERROR(VLOOKUP(A1061,'Clientes CBOT'!B:E,4,0),B1061)</f>
        <v>SEMILLERA FUERTES S A</v>
      </c>
      <c r="H1061" t="str">
        <f t="shared" si="48"/>
        <v>Dólar</v>
      </c>
      <c r="I1061" s="6">
        <f t="shared" si="49"/>
        <v>0</v>
      </c>
      <c r="J1061">
        <f t="shared" si="50"/>
        <v>0</v>
      </c>
    </row>
    <row r="1062" spans="1:10" x14ac:dyDescent="0.3">
      <c r="A1062">
        <v>287</v>
      </c>
      <c r="B1062" t="str">
        <v>AGROPECUARIA SUR SA</v>
      </c>
      <c r="C1062" s="6">
        <v>1064.4000000000001</v>
      </c>
      <c r="D1062" s="6">
        <v>1604.01</v>
      </c>
      <c r="E1062" t="str">
        <v xml:space="preserve">Dólar </v>
      </c>
      <c r="F1062" t="str">
        <v xml:space="preserve"> U$S</v>
      </c>
      <c r="G1062" t="str">
        <f>IFERROR(VLOOKUP(A1062,'Clientes CBOT'!B:E,4,0),B1062)</f>
        <v>AGROPECUARIA SUR SA</v>
      </c>
      <c r="H1062" t="str">
        <f t="shared" si="48"/>
        <v>Dólar</v>
      </c>
      <c r="I1062" s="6">
        <f t="shared" si="49"/>
        <v>1064.4000000000001</v>
      </c>
      <c r="J1062">
        <f t="shared" si="50"/>
        <v>1604.01</v>
      </c>
    </row>
    <row r="1063" spans="1:10" x14ac:dyDescent="0.3">
      <c r="A1063">
        <v>6094</v>
      </c>
      <c r="B1063" t="str">
        <v>GAVIÑA GOMEZ VALENTIN</v>
      </c>
      <c r="C1063" s="6">
        <v>19906.72</v>
      </c>
      <c r="D1063" s="6">
        <v>0</v>
      </c>
      <c r="E1063" t="str">
        <v xml:space="preserve">Dólar </v>
      </c>
      <c r="F1063" t="str">
        <v xml:space="preserve"> U$S</v>
      </c>
      <c r="G1063" t="str">
        <f>IFERROR(VLOOKUP(A1063,'Clientes CBOT'!B:E,4,0),B1063)</f>
        <v>GAVIÑA GOMEZ VALENTIN</v>
      </c>
      <c r="H1063" t="str">
        <f t="shared" si="48"/>
        <v>Dólar</v>
      </c>
      <c r="I1063" s="6">
        <f t="shared" si="49"/>
        <v>19906.72</v>
      </c>
      <c r="J1063">
        <f t="shared" si="50"/>
        <v>0</v>
      </c>
    </row>
    <row r="1064" spans="1:10" x14ac:dyDescent="0.3">
      <c r="A1064">
        <v>415</v>
      </c>
      <c r="B1064" t="str">
        <v>DON ISIDRO SA</v>
      </c>
      <c r="C1064" s="6">
        <v>0.8</v>
      </c>
      <c r="D1064" s="6">
        <v>0</v>
      </c>
      <c r="E1064" t="str">
        <v xml:space="preserve">Dólar </v>
      </c>
      <c r="F1064" t="str">
        <v xml:space="preserve"> U$S</v>
      </c>
      <c r="G1064" t="str">
        <f>IFERROR(VLOOKUP(A1064,'Clientes CBOT'!B:E,4,0),B1064)</f>
        <v>DON ISIDRO SA</v>
      </c>
      <c r="H1064" t="str">
        <f t="shared" si="48"/>
        <v>Dólar</v>
      </c>
      <c r="I1064" s="6">
        <f t="shared" si="49"/>
        <v>0.8</v>
      </c>
      <c r="J1064">
        <f t="shared" si="50"/>
        <v>0</v>
      </c>
    </row>
    <row r="1065" spans="1:10" x14ac:dyDescent="0.3">
      <c r="A1065">
        <v>379</v>
      </c>
      <c r="B1065" t="str">
        <v>S.L.AGRO NECOCHEA SRL</v>
      </c>
      <c r="C1065" s="6">
        <v>45504.55</v>
      </c>
      <c r="D1065" s="6">
        <v>0</v>
      </c>
      <c r="E1065" t="str">
        <v xml:space="preserve">Dólar </v>
      </c>
      <c r="F1065" t="str">
        <v xml:space="preserve"> U$S</v>
      </c>
      <c r="G1065" t="str">
        <f>IFERROR(VLOOKUP(A1065,'Clientes CBOT'!B:E,4,0),B1065)</f>
        <v>S.L.AGRO NECOCHEA SRL</v>
      </c>
      <c r="H1065" t="str">
        <f t="shared" si="48"/>
        <v>Dólar</v>
      </c>
      <c r="I1065" s="6">
        <f t="shared" si="49"/>
        <v>45504.55</v>
      </c>
      <c r="J1065">
        <f t="shared" si="50"/>
        <v>0</v>
      </c>
    </row>
    <row r="1066" spans="1:10" x14ac:dyDescent="0.3">
      <c r="A1066">
        <v>185</v>
      </c>
      <c r="B1066" t="str">
        <v>CEREALISTA MOLDES SA</v>
      </c>
      <c r="C1066" s="6">
        <v>0</v>
      </c>
      <c r="D1066" s="6">
        <v>0</v>
      </c>
      <c r="E1066" t="str">
        <v xml:space="preserve">Dólar </v>
      </c>
      <c r="F1066" t="str">
        <v xml:space="preserve"> U$S</v>
      </c>
      <c r="G1066" t="str">
        <f>IFERROR(VLOOKUP(A1066,'Clientes CBOT'!B:E,4,0),B1066)</f>
        <v>CEREALISTA MOLDES SA</v>
      </c>
      <c r="H1066" t="str">
        <f t="shared" si="48"/>
        <v>Dólar</v>
      </c>
      <c r="I1066" s="6">
        <f t="shared" si="49"/>
        <v>0</v>
      </c>
      <c r="J1066">
        <f t="shared" ref="J1066:J1084" si="51">IF(H1066="ars",D1066/$J$1,IF(H1066="hard",D1066*$J$2/$J$1,D1066))</f>
        <v>0</v>
      </c>
    </row>
    <row r="1067" spans="1:10" hidden="1" x14ac:dyDescent="0.3">
      <c r="A1067">
        <v>6033</v>
      </c>
      <c r="B1067" t="str">
        <v>PERONI JUAN CARLOS</v>
      </c>
      <c r="C1067" s="6">
        <v>480.68</v>
      </c>
      <c r="D1067" s="6">
        <v>0</v>
      </c>
      <c r="E1067" t="str">
        <v xml:space="preserve">Dólar </v>
      </c>
      <c r="F1067" t="str">
        <v xml:space="preserve"> U$S</v>
      </c>
      <c r="G1067" t="str">
        <f>IFERROR(VLOOKUP(A1067,'Clientes CBOT'!B:E,4,0),B1067)</f>
        <v>PERONI JUAN CARLOS</v>
      </c>
      <c r="H1067" t="str">
        <f t="shared" si="48"/>
        <v>Dólar</v>
      </c>
      <c r="I1067" s="6">
        <f t="shared" si="49"/>
        <v>480.68</v>
      </c>
      <c r="J1067">
        <f t="shared" si="51"/>
        <v>0</v>
      </c>
    </row>
    <row r="1068" spans="1:10" hidden="1" x14ac:dyDescent="0.3">
      <c r="A1068">
        <v>9001</v>
      </c>
      <c r="B1068" t="str">
        <v>AGROPECUARIA CARPEDIEM SA (CERA)</v>
      </c>
      <c r="C1068" s="6">
        <v>0</v>
      </c>
      <c r="D1068" s="6">
        <v>0</v>
      </c>
      <c r="E1068" t="str">
        <v xml:space="preserve">Dólar </v>
      </c>
      <c r="F1068" t="str">
        <v xml:space="preserve"> U$S</v>
      </c>
      <c r="G1068" t="str">
        <f>IFERROR(VLOOKUP(A1068,'Clientes CBOT'!B:E,4,0),B1068)</f>
        <v>AGROPECUARIA CARPEDIEM SA (CERA)</v>
      </c>
      <c r="H1068" t="str">
        <f t="shared" si="48"/>
        <v>Dólar</v>
      </c>
      <c r="I1068" s="6">
        <f t="shared" si="49"/>
        <v>0</v>
      </c>
      <c r="J1068">
        <f t="shared" si="51"/>
        <v>0</v>
      </c>
    </row>
    <row r="1069" spans="1:10" hidden="1" x14ac:dyDescent="0.3">
      <c r="A1069">
        <v>6051</v>
      </c>
      <c r="B1069" t="str">
        <v>COOPERATIVA AGRICOLA GANADERA Y DE SERVICIOS PUBLICOS ARANGUREN LTDA. (COOPAR)</v>
      </c>
      <c r="C1069" s="6">
        <v>200.33</v>
      </c>
      <c r="D1069" s="6">
        <v>0</v>
      </c>
      <c r="E1069" t="str">
        <v xml:space="preserve">Dólar </v>
      </c>
      <c r="F1069" t="str">
        <v xml:space="preserve"> U$S</v>
      </c>
      <c r="G1069" t="str">
        <f>IFERROR(VLOOKUP(A1069,'Clientes CBOT'!B:E,4,0),B1069)</f>
        <v>COOPERATIVA AGRICOLA GANADERA Y DE SERVICIOS PUBLICOS ARANGUREN LTDA. (COOPAR)</v>
      </c>
      <c r="H1069" t="str">
        <f t="shared" si="48"/>
        <v>Dólar</v>
      </c>
      <c r="I1069" s="6">
        <f t="shared" si="49"/>
        <v>200.33</v>
      </c>
      <c r="J1069">
        <f t="shared" si="51"/>
        <v>0</v>
      </c>
    </row>
    <row r="1070" spans="1:10" hidden="1" x14ac:dyDescent="0.3">
      <c r="A1070">
        <v>6013</v>
      </c>
      <c r="B1070" t="str">
        <v>SOUTHERN SEEDS PRODUCTION S.A.</v>
      </c>
      <c r="C1070" s="6">
        <v>0</v>
      </c>
      <c r="D1070" s="6">
        <v>0</v>
      </c>
      <c r="E1070" t="str">
        <v xml:space="preserve">Dólar </v>
      </c>
      <c r="F1070" t="str">
        <v xml:space="preserve"> U$S</v>
      </c>
      <c r="G1070" t="str">
        <f>IFERROR(VLOOKUP(A1070,'Clientes CBOT'!B:E,4,0),B1070)</f>
        <v>SOUTHERN SEEDS PRODUCTION S.A.</v>
      </c>
      <c r="H1070" t="str">
        <f t="shared" si="48"/>
        <v>Dólar</v>
      </c>
      <c r="I1070" s="6">
        <f t="shared" si="49"/>
        <v>0</v>
      </c>
      <c r="J1070">
        <f t="shared" si="51"/>
        <v>0</v>
      </c>
    </row>
    <row r="1071" spans="1:10" hidden="1" x14ac:dyDescent="0.3">
      <c r="A1071">
        <v>6011</v>
      </c>
      <c r="B1071" t="str">
        <v>AGROPECUARIA CARPEDIEM S.A</v>
      </c>
      <c r="C1071" s="6">
        <v>3728.59</v>
      </c>
      <c r="D1071" s="6">
        <v>0</v>
      </c>
      <c r="E1071" t="str">
        <v xml:space="preserve">Dólar </v>
      </c>
      <c r="F1071" t="str">
        <v xml:space="preserve"> U$S</v>
      </c>
      <c r="G1071" t="str">
        <f>IFERROR(VLOOKUP(A1071,'Clientes CBOT'!B:E,4,0),B1071)</f>
        <v>AGROPECUARIA CARPEDIEM S.A</v>
      </c>
      <c r="H1071" t="str">
        <f t="shared" si="48"/>
        <v>Dólar</v>
      </c>
      <c r="I1071" s="6">
        <f t="shared" si="49"/>
        <v>3728.59</v>
      </c>
      <c r="J1071">
        <f t="shared" si="51"/>
        <v>0</v>
      </c>
    </row>
    <row r="1072" spans="1:10" hidden="1" x14ac:dyDescent="0.3">
      <c r="A1072">
        <v>6009</v>
      </c>
      <c r="B1072" t="str">
        <v>BUFI JORGE DOMINGO</v>
      </c>
      <c r="C1072" s="6">
        <v>35.380000000000003</v>
      </c>
      <c r="D1072" s="6">
        <v>0</v>
      </c>
      <c r="E1072" t="str">
        <v xml:space="preserve">Dólar </v>
      </c>
      <c r="F1072" t="str">
        <v xml:space="preserve"> U$S</v>
      </c>
      <c r="G1072" t="str">
        <f>IFERROR(VLOOKUP(A1072,'Clientes CBOT'!B:E,4,0),B1072)</f>
        <v>BUFI JORGE DOMINGO</v>
      </c>
      <c r="H1072" t="str">
        <f t="shared" si="48"/>
        <v>Dólar</v>
      </c>
      <c r="I1072" s="6">
        <f t="shared" si="49"/>
        <v>35.380000000000003</v>
      </c>
      <c r="J1072">
        <f t="shared" si="51"/>
        <v>0</v>
      </c>
    </row>
    <row r="1073" spans="1:10" hidden="1" x14ac:dyDescent="0.3">
      <c r="A1073">
        <v>9000</v>
      </c>
      <c r="B1073" t="str">
        <v>SOUTHERN SEEDS PRODUCTION SA (CERA)</v>
      </c>
      <c r="C1073" s="6">
        <v>0</v>
      </c>
      <c r="D1073" s="6">
        <v>0</v>
      </c>
      <c r="E1073" t="str">
        <v xml:space="preserve">Dólar </v>
      </c>
      <c r="F1073" t="str">
        <v xml:space="preserve"> U$S</v>
      </c>
      <c r="G1073" t="str">
        <f>IFERROR(VLOOKUP(A1073,'Clientes CBOT'!B:E,4,0),B1073)</f>
        <v>SOUTHERN SEEDS PRODUCTION SA (CERA)</v>
      </c>
      <c r="H1073" t="str">
        <f t="shared" si="48"/>
        <v>Dólar</v>
      </c>
      <c r="I1073" s="6">
        <f t="shared" si="49"/>
        <v>0</v>
      </c>
      <c r="J1073">
        <f t="shared" si="51"/>
        <v>0</v>
      </c>
    </row>
    <row r="1074" spans="1:10" hidden="1" x14ac:dyDescent="0.3">
      <c r="A1074">
        <v>554</v>
      </c>
      <c r="B1074" t="str">
        <v>DOMINGO R Y NESTOR SCIOLI SA</v>
      </c>
      <c r="C1074" s="6">
        <v>0.48</v>
      </c>
      <c r="D1074" s="6">
        <v>0</v>
      </c>
      <c r="E1074" t="str">
        <v xml:space="preserve">Dólar </v>
      </c>
      <c r="F1074" t="str">
        <v xml:space="preserve"> U$S</v>
      </c>
      <c r="G1074" t="str">
        <f>IFERROR(VLOOKUP(A1074,'Clientes CBOT'!B:E,4,0),B1074)</f>
        <v>DOMINGO R Y NESTOR SCIOLI SA</v>
      </c>
      <c r="H1074" t="str">
        <f t="shared" si="48"/>
        <v>Dólar</v>
      </c>
      <c r="I1074" s="6">
        <f t="shared" si="49"/>
        <v>0.48</v>
      </c>
      <c r="J1074">
        <f t="shared" si="51"/>
        <v>0</v>
      </c>
    </row>
    <row r="1075" spans="1:10" hidden="1" x14ac:dyDescent="0.3">
      <c r="A1075">
        <v>24</v>
      </c>
      <c r="B1075" t="str">
        <v>DON OSVALDO SA</v>
      </c>
      <c r="C1075" s="6">
        <v>0</v>
      </c>
      <c r="D1075" s="6">
        <v>0</v>
      </c>
      <c r="E1075" t="str">
        <v xml:space="preserve">Dólar </v>
      </c>
      <c r="F1075" t="str">
        <v xml:space="preserve"> U$S</v>
      </c>
      <c r="G1075" t="str">
        <f>IFERROR(VLOOKUP(A1075,'Clientes CBOT'!B:E,4,0),B1075)</f>
        <v>DON OSVALDO SA</v>
      </c>
      <c r="H1075" t="str">
        <f t="shared" si="48"/>
        <v>Dólar</v>
      </c>
      <c r="I1075" s="6">
        <f t="shared" si="49"/>
        <v>0</v>
      </c>
      <c r="J1075">
        <f t="shared" si="51"/>
        <v>0</v>
      </c>
    </row>
    <row r="1076" spans="1:10" hidden="1" x14ac:dyDescent="0.3">
      <c r="A1076">
        <v>20</v>
      </c>
      <c r="B1076" t="str">
        <v>CUSILLOS SRL</v>
      </c>
      <c r="C1076" s="6">
        <v>3613.43</v>
      </c>
      <c r="D1076" s="6">
        <v>0</v>
      </c>
      <c r="E1076" t="str">
        <v xml:space="preserve">Dólar </v>
      </c>
      <c r="F1076" t="str">
        <v xml:space="preserve"> U$S</v>
      </c>
      <c r="G1076" t="str">
        <f>IFERROR(VLOOKUP(A1076,'Clientes CBOT'!B:E,4,0),B1076)</f>
        <v>CUSILLOS SRL</v>
      </c>
      <c r="H1076" t="str">
        <f t="shared" si="48"/>
        <v>Dólar</v>
      </c>
      <c r="I1076" s="6">
        <f t="shared" si="49"/>
        <v>3613.43</v>
      </c>
      <c r="J1076">
        <f t="shared" si="51"/>
        <v>0</v>
      </c>
    </row>
    <row r="1077" spans="1:10" hidden="1" x14ac:dyDescent="0.3">
      <c r="A1077">
        <v>487</v>
      </c>
      <c r="B1077" t="str">
        <v>ACOPIO BALCARCE SA</v>
      </c>
      <c r="C1077" s="6">
        <v>0.25</v>
      </c>
      <c r="D1077" s="6">
        <v>0</v>
      </c>
      <c r="E1077" t="str">
        <v xml:space="preserve">Dólar </v>
      </c>
      <c r="F1077" t="str">
        <v xml:space="preserve"> U$S</v>
      </c>
      <c r="G1077" t="str">
        <f>IFERROR(VLOOKUP(A1077,'Clientes CBOT'!B:E,4,0),B1077)</f>
        <v>ACOPIO BALCARCE SA</v>
      </c>
      <c r="H1077" t="str">
        <f t="shared" si="48"/>
        <v>Dólar</v>
      </c>
      <c r="I1077" s="6">
        <f t="shared" si="49"/>
        <v>0.25</v>
      </c>
      <c r="J1077">
        <f t="shared" si="51"/>
        <v>0</v>
      </c>
    </row>
    <row r="1078" spans="1:10" hidden="1" x14ac:dyDescent="0.3">
      <c r="A1078">
        <v>463</v>
      </c>
      <c r="B1078" t="str">
        <v>RUBIO AGUIRRE MANUEL JULIÁN</v>
      </c>
      <c r="C1078" s="6">
        <v>0</v>
      </c>
      <c r="D1078" s="6">
        <v>0</v>
      </c>
      <c r="E1078" t="str">
        <v xml:space="preserve">Dólar </v>
      </c>
      <c r="F1078" t="str">
        <v xml:space="preserve"> U$S</v>
      </c>
      <c r="G1078" t="str">
        <f>IFERROR(VLOOKUP(A1078,'Clientes CBOT'!B:E,4,0),B1078)</f>
        <v>RUBIO AGUIRRE MANUEL JULIÁN</v>
      </c>
      <c r="H1078" t="str">
        <f t="shared" si="48"/>
        <v>Dólar</v>
      </c>
      <c r="I1078" s="6">
        <f t="shared" si="49"/>
        <v>0</v>
      </c>
      <c r="J1078">
        <f t="shared" si="51"/>
        <v>0</v>
      </c>
    </row>
    <row r="1079" spans="1:10" hidden="1" x14ac:dyDescent="0.3">
      <c r="A1079">
        <v>70</v>
      </c>
      <c r="B1079" t="str">
        <v>VG SA</v>
      </c>
      <c r="C1079" s="6">
        <v>0</v>
      </c>
      <c r="D1079" s="6">
        <v>0</v>
      </c>
      <c r="E1079" t="str">
        <v xml:space="preserve">Dólar </v>
      </c>
      <c r="F1079" t="str">
        <v xml:space="preserve"> U$S</v>
      </c>
      <c r="G1079" t="str">
        <f>IFERROR(VLOOKUP(A1079,'Clientes CBOT'!B:E,4,0),B1079)</f>
        <v>VG SA</v>
      </c>
      <c r="H1079" t="str">
        <f t="shared" si="48"/>
        <v>Dólar</v>
      </c>
      <c r="I1079" s="6">
        <f t="shared" si="49"/>
        <v>0</v>
      </c>
      <c r="J1079">
        <f t="shared" si="51"/>
        <v>0</v>
      </c>
    </row>
    <row r="1080" spans="1:10" hidden="1" x14ac:dyDescent="0.3">
      <c r="A1080">
        <v>106</v>
      </c>
      <c r="B1080" t="str">
        <v>CEREALISTA MOLDES SA</v>
      </c>
      <c r="C1080" s="6">
        <v>0.17</v>
      </c>
      <c r="D1080" s="6">
        <v>0</v>
      </c>
      <c r="E1080" t="str">
        <v xml:space="preserve">Dólar </v>
      </c>
      <c r="F1080" t="str">
        <v xml:space="preserve"> U$S</v>
      </c>
      <c r="G1080" t="str">
        <f>IFERROR(VLOOKUP(A1080,'Clientes CBOT'!B:E,4,0),B1080)</f>
        <v>CEREALISTA MOLDES SA</v>
      </c>
      <c r="H1080" t="str">
        <f t="shared" si="48"/>
        <v>Dólar</v>
      </c>
      <c r="I1080" s="6">
        <f t="shared" si="49"/>
        <v>0.17</v>
      </c>
      <c r="J1080">
        <f t="shared" si="51"/>
        <v>0</v>
      </c>
    </row>
    <row r="1081" spans="1:10" hidden="1" x14ac:dyDescent="0.3">
      <c r="A1081">
        <v>510</v>
      </c>
      <c r="B1081" t="str">
        <v>FIORDANI CAROLA</v>
      </c>
      <c r="C1081" s="6">
        <v>0</v>
      </c>
      <c r="D1081" s="6">
        <v>0</v>
      </c>
      <c r="E1081" t="str">
        <v xml:space="preserve">Dólar </v>
      </c>
      <c r="F1081" t="str">
        <v xml:space="preserve"> U$S</v>
      </c>
      <c r="G1081" t="str">
        <f>IFERROR(VLOOKUP(A1081,'Clientes CBOT'!B:E,4,0),B1081)</f>
        <v>FIORDANI CAROLA</v>
      </c>
      <c r="H1081" t="str">
        <f t="shared" si="48"/>
        <v>Dólar</v>
      </c>
      <c r="I1081" s="6">
        <f t="shared" si="49"/>
        <v>0</v>
      </c>
      <c r="J1081">
        <f t="shared" si="51"/>
        <v>0</v>
      </c>
    </row>
    <row r="1082" spans="1:10" hidden="1" x14ac:dyDescent="0.3">
      <c r="A1082">
        <v>153</v>
      </c>
      <c r="B1082" t="str">
        <v>CAIO BIBILONI Y CIA S.R.L.</v>
      </c>
      <c r="C1082" s="6">
        <v>91.94</v>
      </c>
      <c r="D1082" s="6">
        <v>0</v>
      </c>
      <c r="E1082" t="str">
        <v xml:space="preserve">Dólar </v>
      </c>
      <c r="F1082" t="str">
        <v xml:space="preserve"> U$S</v>
      </c>
      <c r="G1082" t="str">
        <f>IFERROR(VLOOKUP(A1082,'Clientes CBOT'!B:E,4,0),B1082)</f>
        <v>CAIO BIBILONI Y CIA S.R.L.</v>
      </c>
      <c r="H1082" t="str">
        <f t="shared" si="48"/>
        <v>Dólar</v>
      </c>
      <c r="I1082" s="6">
        <f t="shared" si="49"/>
        <v>91.94</v>
      </c>
      <c r="J1082">
        <f t="shared" si="51"/>
        <v>0</v>
      </c>
    </row>
    <row r="1083" spans="1:10" hidden="1" x14ac:dyDescent="0.3">
      <c r="A1083">
        <v>20</v>
      </c>
      <c r="B1083" t="str">
        <v>CUSILLOS SRL</v>
      </c>
      <c r="C1083" s="6">
        <v>3.64</v>
      </c>
      <c r="D1083" s="6">
        <v>0</v>
      </c>
      <c r="E1083" t="str">
        <v>Dólar Cable</v>
      </c>
      <c r="F1083" t="str">
        <v xml:space="preserve"> U$S TT</v>
      </c>
      <c r="G1083" t="str">
        <f>IFERROR(VLOOKUP(A1083,'Clientes CBOT'!B:E,4,0),B1083)</f>
        <v>CUSILLOS SRL</v>
      </c>
      <c r="H1083" t="str">
        <f t="shared" si="48"/>
        <v>Hard</v>
      </c>
      <c r="I1083" s="6">
        <f t="shared" si="49"/>
        <v>3.64</v>
      </c>
      <c r="J1083">
        <f t="shared" si="51"/>
        <v>0</v>
      </c>
    </row>
    <row r="1084" spans="1:10" hidden="1" x14ac:dyDescent="0.3">
      <c r="A1084">
        <v>83</v>
      </c>
      <c r="B1084" t="str">
        <v>AGRO URANGA SA</v>
      </c>
      <c r="C1084" s="6">
        <v>0</v>
      </c>
      <c r="D1084" s="6">
        <v>0</v>
      </c>
      <c r="E1084" t="str">
        <v>Dólar Cable</v>
      </c>
      <c r="F1084" t="str">
        <v xml:space="preserve"> U$S TT</v>
      </c>
      <c r="G1084" t="str">
        <f>IFERROR(VLOOKUP(A1084,'Clientes CBOT'!B:E,4,0),B1084)</f>
        <v>AGRO URANGA SA</v>
      </c>
      <c r="H1084" t="str">
        <f t="shared" si="48"/>
        <v>Hard</v>
      </c>
      <c r="I1084" s="6">
        <f t="shared" si="49"/>
        <v>0</v>
      </c>
      <c r="J1084">
        <f t="shared" si="51"/>
        <v>0</v>
      </c>
    </row>
    <row r="1085" spans="1:10" hidden="1" x14ac:dyDescent="0.3">
      <c r="A1085">
        <v>24</v>
      </c>
      <c r="B1085" t="str">
        <v>DON OSVALDO SA</v>
      </c>
      <c r="C1085" s="6">
        <v>26.69</v>
      </c>
      <c r="D1085" s="6">
        <v>0</v>
      </c>
      <c r="E1085" t="str">
        <v>Dólar Cable</v>
      </c>
      <c r="F1085" t="str">
        <v xml:space="preserve"> U$S TT</v>
      </c>
      <c r="G1085" t="str">
        <f>IFERROR(VLOOKUP(A1085,'Clientes CBOT'!B:E,4,0),B1085)</f>
        <v>DON OSVALDO SA</v>
      </c>
      <c r="H1085" t="str">
        <f t="shared" si="48"/>
        <v>Hard</v>
      </c>
      <c r="I1085" s="6">
        <f t="shared" si="49"/>
        <v>26.69</v>
      </c>
      <c r="J1085">
        <f t="shared" ref="J1085:J1148" si="52">IF(H1085="ars",D1085/$J$1,IF(H1085="hard",D1085*$J$2/$J$1,D1085))</f>
        <v>0</v>
      </c>
    </row>
    <row r="1086" spans="1:10" hidden="1" x14ac:dyDescent="0.3">
      <c r="A1086">
        <v>6009</v>
      </c>
      <c r="B1086" t="str">
        <v>BUFI JORGE DOMINGO</v>
      </c>
      <c r="C1086" s="6">
        <v>3.5</v>
      </c>
      <c r="D1086" s="6">
        <v>0</v>
      </c>
      <c r="E1086" t="str">
        <v>Dólar Cable</v>
      </c>
      <c r="F1086" t="str">
        <v xml:space="preserve"> U$S TT</v>
      </c>
      <c r="G1086" t="str">
        <f>IFERROR(VLOOKUP(A1086,'Clientes CBOT'!B:E,4,0),B1086)</f>
        <v>BUFI JORGE DOMINGO</v>
      </c>
      <c r="H1086" t="str">
        <f t="shared" si="48"/>
        <v>Hard</v>
      </c>
      <c r="I1086" s="6">
        <f t="shared" si="49"/>
        <v>3.5</v>
      </c>
      <c r="J1086">
        <f t="shared" si="52"/>
        <v>0</v>
      </c>
    </row>
    <row r="1087" spans="1:10" hidden="1" x14ac:dyDescent="0.3">
      <c r="A1087">
        <v>6054</v>
      </c>
      <c r="B1087" t="str">
        <v>RATTO OSCAR EDUARDO, LOSINNO BEATRIZ NORMA</v>
      </c>
      <c r="C1087" s="6">
        <v>44323.82</v>
      </c>
      <c r="D1087" s="6">
        <v>51607.5</v>
      </c>
      <c r="E1087" t="str">
        <v>Dólar Cable</v>
      </c>
      <c r="F1087" t="str">
        <v xml:space="preserve"> U$S TT</v>
      </c>
      <c r="G1087">
        <f>IFERROR(VLOOKUP(A1087,'Clientes CBOT'!B:E,4,0),B1087)</f>
        <v>13009</v>
      </c>
      <c r="H1087" t="str">
        <f t="shared" si="48"/>
        <v>Hard</v>
      </c>
      <c r="I1087" s="6">
        <f t="shared" si="49"/>
        <v>44323.82</v>
      </c>
      <c r="J1087">
        <f t="shared" si="52"/>
        <v>51607.5</v>
      </c>
    </row>
    <row r="1088" spans="1:10" hidden="1" x14ac:dyDescent="0.3">
      <c r="A1088">
        <v>287</v>
      </c>
      <c r="B1088" t="str">
        <v>AGROPECUARIA SUR SA</v>
      </c>
      <c r="C1088" s="6">
        <v>196.5</v>
      </c>
      <c r="D1088" s="6">
        <v>0</v>
      </c>
      <c r="E1088" t="str">
        <v>Dólar Cable</v>
      </c>
      <c r="F1088" t="str">
        <v xml:space="preserve"> U$S TT</v>
      </c>
      <c r="G1088" t="str">
        <f>IFERROR(VLOOKUP(A1088,'Clientes CBOT'!B:E,4,0),B1088)</f>
        <v>AGROPECUARIA SUR SA</v>
      </c>
      <c r="H1088" t="str">
        <f t="shared" si="48"/>
        <v>Hard</v>
      </c>
      <c r="I1088" s="6">
        <f t="shared" si="49"/>
        <v>196.5</v>
      </c>
      <c r="J1088">
        <f t="shared" si="52"/>
        <v>0</v>
      </c>
    </row>
    <row r="1089" spans="1:10" hidden="1" x14ac:dyDescent="0.3">
      <c r="A1089">
        <v>287</v>
      </c>
      <c r="B1089" t="str">
        <v>AGROPECUARIA SUR SA</v>
      </c>
      <c r="C1089" s="6">
        <v>0</v>
      </c>
      <c r="D1089" s="6">
        <v>0</v>
      </c>
      <c r="E1089" t="str">
        <v>Dólar Matba Rofex</v>
      </c>
      <c r="F1089" t="str">
        <v xml:space="preserve"> U$S MR</v>
      </c>
      <c r="G1089" t="str">
        <f>IFERROR(VLOOKUP(A1089,'Clientes CBOT'!B:E,4,0),B1089)</f>
        <v>AGROPECUARIA SUR SA</v>
      </c>
      <c r="H1089" t="str">
        <f t="shared" si="48"/>
        <v>usd linked</v>
      </c>
      <c r="I1089" s="6">
        <f t="shared" si="49"/>
        <v>0</v>
      </c>
      <c r="J1089">
        <f t="shared" si="52"/>
        <v>0</v>
      </c>
    </row>
    <row r="1090" spans="1:10" hidden="1" x14ac:dyDescent="0.3">
      <c r="A1090">
        <v>6084</v>
      </c>
      <c r="B1090" t="str">
        <v>LAS LAGUNAS Y ASOCIADOS SA</v>
      </c>
      <c r="C1090" s="6">
        <v>0</v>
      </c>
      <c r="D1090" s="6">
        <v>0</v>
      </c>
      <c r="E1090" t="str">
        <v>Dólar Matba Rofex</v>
      </c>
      <c r="F1090" t="str">
        <v xml:space="preserve"> U$S MR</v>
      </c>
      <c r="G1090" t="str">
        <f>IFERROR(VLOOKUP(A1090,'Clientes CBOT'!B:E,4,0),B1090)</f>
        <v>LAS LAGUNAS Y ASOCIADOS SA</v>
      </c>
      <c r="H1090" t="str">
        <f t="shared" si="48"/>
        <v>usd linked</v>
      </c>
      <c r="I1090" s="6">
        <f t="shared" si="49"/>
        <v>0</v>
      </c>
      <c r="J1090">
        <f t="shared" si="52"/>
        <v>0</v>
      </c>
    </row>
    <row r="1091" spans="1:10" hidden="1" x14ac:dyDescent="0.3">
      <c r="A1091">
        <v>415</v>
      </c>
      <c r="B1091" t="str">
        <v>DON ISIDRO SA</v>
      </c>
      <c r="C1091" s="6">
        <v>0</v>
      </c>
      <c r="D1091" s="6">
        <v>0</v>
      </c>
      <c r="E1091" t="str">
        <v>Dólar Matba Rofex</v>
      </c>
      <c r="F1091" t="str">
        <v xml:space="preserve"> U$S MR</v>
      </c>
      <c r="G1091" t="str">
        <f>IFERROR(VLOOKUP(A1091,'Clientes CBOT'!B:E,4,0),B1091)</f>
        <v>DON ISIDRO SA</v>
      </c>
      <c r="H1091" t="str">
        <f t="shared" si="48"/>
        <v>usd linked</v>
      </c>
      <c r="I1091" s="6">
        <f t="shared" si="49"/>
        <v>0</v>
      </c>
      <c r="J1091">
        <f t="shared" si="52"/>
        <v>0</v>
      </c>
    </row>
    <row r="1092" spans="1:10" hidden="1" x14ac:dyDescent="0.3">
      <c r="A1092">
        <v>363</v>
      </c>
      <c r="B1092" t="str">
        <v>AGROLAM SA</v>
      </c>
      <c r="C1092" s="6">
        <v>0</v>
      </c>
      <c r="D1092" s="6">
        <v>0</v>
      </c>
      <c r="E1092" t="str">
        <v>Dólar Matba Rofex</v>
      </c>
      <c r="F1092" t="str">
        <v xml:space="preserve"> U$S MR</v>
      </c>
      <c r="G1092" t="str">
        <f>IFERROR(VLOOKUP(A1092,'Clientes CBOT'!B:E,4,0),B1092)</f>
        <v>AGROLAM SA</v>
      </c>
      <c r="H1092" t="str">
        <f t="shared" si="48"/>
        <v>usd linked</v>
      </c>
      <c r="I1092" s="6">
        <f t="shared" si="49"/>
        <v>0</v>
      </c>
      <c r="J1092">
        <f t="shared" si="52"/>
        <v>0</v>
      </c>
    </row>
    <row r="1093" spans="1:10" hidden="1" x14ac:dyDescent="0.3">
      <c r="A1093">
        <v>6013</v>
      </c>
      <c r="B1093" t="str">
        <v>SOUTHERN SEEDS PRODUCTION S.A.</v>
      </c>
      <c r="C1093" s="6">
        <v>-0.01</v>
      </c>
      <c r="D1093" s="6">
        <v>0</v>
      </c>
      <c r="E1093" t="str">
        <v>Dólar Matba Rofex</v>
      </c>
      <c r="F1093" t="str">
        <v xml:space="preserve"> U$S MR</v>
      </c>
      <c r="G1093" t="str">
        <f>IFERROR(VLOOKUP(A1093,'Clientes CBOT'!B:E,4,0),B1093)</f>
        <v>SOUTHERN SEEDS PRODUCTION S.A.</v>
      </c>
      <c r="H1093" t="str">
        <f t="shared" ref="H1093:H1156" si="53">IF(E1093="pesos","Ars",IF(E1093="Dólar Matba Rofex","usd linked",IF(F1093=" U$S TT","Hard","Dólar")))</f>
        <v>usd linked</v>
      </c>
      <c r="I1093" s="6">
        <f t="shared" ref="I1093:I1156" si="54">IF(H1093="ars",C1093/$J$1,IF(H1093="Hard",C1093*$J$2/$J$1,C1093))</f>
        <v>-0.01</v>
      </c>
      <c r="J1093">
        <f t="shared" si="52"/>
        <v>0</v>
      </c>
    </row>
    <row r="1094" spans="1:10" hidden="1" x14ac:dyDescent="0.3">
      <c r="A1094">
        <v>6014</v>
      </c>
      <c r="B1094" t="str">
        <v>AVANZAR  S. A.</v>
      </c>
      <c r="C1094" s="6">
        <v>0</v>
      </c>
      <c r="D1094" s="6">
        <v>0</v>
      </c>
      <c r="E1094" t="str">
        <v>Dólar Matba Rofex</v>
      </c>
      <c r="F1094" t="str">
        <v xml:space="preserve"> U$S MR</v>
      </c>
      <c r="G1094" t="str">
        <f>IFERROR(VLOOKUP(A1094,'Clientes CBOT'!B:E,4,0),B1094)</f>
        <v>AVANZAR  S. A.</v>
      </c>
      <c r="H1094" t="str">
        <f t="shared" si="53"/>
        <v>usd linked</v>
      </c>
      <c r="I1094" s="6">
        <f t="shared" si="54"/>
        <v>0</v>
      </c>
      <c r="J1094">
        <f t="shared" si="52"/>
        <v>0</v>
      </c>
    </row>
    <row r="1095" spans="1:10" hidden="1" x14ac:dyDescent="0.3">
      <c r="A1095">
        <v>554</v>
      </c>
      <c r="B1095" t="str">
        <v>DOMINGO R Y NESTOR SCIOLI SA</v>
      </c>
      <c r="C1095" s="6">
        <v>0</v>
      </c>
      <c r="D1095" s="6">
        <v>0</v>
      </c>
      <c r="E1095" t="str">
        <v>Dólar Matba Rofex</v>
      </c>
      <c r="F1095" t="str">
        <v xml:space="preserve"> U$S MR</v>
      </c>
      <c r="G1095" t="str">
        <f>IFERROR(VLOOKUP(A1095,'Clientes CBOT'!B:E,4,0),B1095)</f>
        <v>DOMINGO R Y NESTOR SCIOLI SA</v>
      </c>
      <c r="H1095" t="str">
        <f t="shared" si="53"/>
        <v>usd linked</v>
      </c>
      <c r="I1095" s="6">
        <f t="shared" si="54"/>
        <v>0</v>
      </c>
      <c r="J1095">
        <f t="shared" si="52"/>
        <v>0</v>
      </c>
    </row>
    <row r="1096" spans="1:10" hidden="1" x14ac:dyDescent="0.3">
      <c r="A1096">
        <v>185</v>
      </c>
      <c r="B1096" t="str">
        <v>CEREALISTA MOLDES SA</v>
      </c>
      <c r="C1096" s="6">
        <v>12625.24</v>
      </c>
      <c r="D1096" s="6">
        <v>0</v>
      </c>
      <c r="E1096" t="str">
        <v>Dólar Matba Rofex</v>
      </c>
      <c r="F1096" t="str">
        <v xml:space="preserve"> U$S MR</v>
      </c>
      <c r="G1096" t="str">
        <f>IFERROR(VLOOKUP(A1096,'Clientes CBOT'!B:E,4,0),B1096)</f>
        <v>CEREALISTA MOLDES SA</v>
      </c>
      <c r="H1096" t="str">
        <f t="shared" si="53"/>
        <v>usd linked</v>
      </c>
      <c r="I1096" s="6">
        <f t="shared" si="54"/>
        <v>12625.24</v>
      </c>
      <c r="J1096">
        <f t="shared" si="52"/>
        <v>0</v>
      </c>
    </row>
    <row r="1097" spans="1:10" hidden="1" x14ac:dyDescent="0.3">
      <c r="A1097">
        <v>24</v>
      </c>
      <c r="B1097" t="str">
        <v>DON OSVALDO SA</v>
      </c>
      <c r="C1097" s="6">
        <v>0</v>
      </c>
      <c r="D1097" s="6">
        <v>0</v>
      </c>
      <c r="E1097" t="str">
        <v>Dólar Matba Rofex</v>
      </c>
      <c r="F1097" t="str">
        <v xml:space="preserve"> U$S MR</v>
      </c>
      <c r="G1097" t="str">
        <f>IFERROR(VLOOKUP(A1097,'Clientes CBOT'!B:E,4,0),B1097)</f>
        <v>DON OSVALDO SA</v>
      </c>
      <c r="H1097" t="str">
        <f t="shared" si="53"/>
        <v>usd linked</v>
      </c>
      <c r="I1097" s="6">
        <f t="shared" si="54"/>
        <v>0</v>
      </c>
      <c r="J1097">
        <f t="shared" si="52"/>
        <v>0</v>
      </c>
    </row>
    <row r="1098" spans="1:10" hidden="1" x14ac:dyDescent="0.3">
      <c r="A1098">
        <v>83</v>
      </c>
      <c r="B1098" t="str">
        <v>AGRO URANGA SA</v>
      </c>
      <c r="C1098" s="6">
        <v>-16889.91</v>
      </c>
      <c r="D1098" s="6">
        <v>37148.080000000002</v>
      </c>
      <c r="E1098" t="str">
        <v>Dólar Matba Rofex</v>
      </c>
      <c r="F1098" t="str">
        <v xml:space="preserve"> U$S MR</v>
      </c>
      <c r="G1098" t="str">
        <f>IFERROR(VLOOKUP(A1098,'Clientes CBOT'!B:E,4,0),B1098)</f>
        <v>AGRO URANGA SA</v>
      </c>
      <c r="H1098" t="str">
        <f t="shared" si="53"/>
        <v>usd linked</v>
      </c>
      <c r="I1098" s="6">
        <f t="shared" si="54"/>
        <v>-16889.91</v>
      </c>
      <c r="J1098">
        <f t="shared" si="52"/>
        <v>37148.080000000002</v>
      </c>
    </row>
    <row r="1099" spans="1:10" hidden="1" x14ac:dyDescent="0.3">
      <c r="A1099">
        <v>20</v>
      </c>
      <c r="B1099" t="str">
        <v>CUSILLOS SRL</v>
      </c>
      <c r="C1099" s="6">
        <v>0</v>
      </c>
      <c r="D1099" s="6">
        <v>0</v>
      </c>
      <c r="E1099" t="str">
        <v>Dólar Matba Rofex</v>
      </c>
      <c r="F1099" t="str">
        <v xml:space="preserve"> U$S MR</v>
      </c>
      <c r="G1099" t="str">
        <f>IFERROR(VLOOKUP(A1099,'Clientes CBOT'!B:E,4,0),B1099)</f>
        <v>CUSILLOS SRL</v>
      </c>
      <c r="H1099" t="str">
        <f t="shared" si="53"/>
        <v>usd linked</v>
      </c>
      <c r="I1099" s="6">
        <f t="shared" si="54"/>
        <v>0</v>
      </c>
      <c r="J1099">
        <f t="shared" si="52"/>
        <v>0</v>
      </c>
    </row>
    <row r="1100" spans="1:10" hidden="1" x14ac:dyDescent="0.3">
      <c r="A1100">
        <v>38</v>
      </c>
      <c r="B1100" t="str">
        <v>GAGLIARDO AGRICOLA GANADERA S.A.</v>
      </c>
      <c r="C1100" s="6">
        <v>0</v>
      </c>
      <c r="D1100" s="6">
        <v>0</v>
      </c>
      <c r="E1100" t="str">
        <v>Dólar Matba Rofex</v>
      </c>
      <c r="F1100" t="str">
        <v xml:space="preserve"> U$S MR</v>
      </c>
      <c r="G1100" t="str">
        <f>IFERROR(VLOOKUP(A1100,'Clientes CBOT'!B:E,4,0),B1100)</f>
        <v>GAGLIARDO AGRICOLA GANADERA S.A.</v>
      </c>
      <c r="H1100" t="str">
        <f t="shared" si="53"/>
        <v>usd linked</v>
      </c>
      <c r="I1100" s="6">
        <f t="shared" si="54"/>
        <v>0</v>
      </c>
      <c r="J1100">
        <f t="shared" si="52"/>
        <v>0</v>
      </c>
    </row>
    <row r="1101" spans="1:10" hidden="1" x14ac:dyDescent="0.3">
      <c r="A1101">
        <v>153</v>
      </c>
      <c r="B1101" t="str">
        <v>CAIO BIBILONI Y CIA S.R.L.</v>
      </c>
      <c r="C1101" s="6">
        <v>0</v>
      </c>
      <c r="D1101" s="6">
        <v>5074.04</v>
      </c>
      <c r="E1101" t="str">
        <v>Dólar Matba Rofex</v>
      </c>
      <c r="F1101" t="str">
        <v xml:space="preserve"> U$S MR</v>
      </c>
      <c r="G1101" t="str">
        <f>IFERROR(VLOOKUP(A1101,'Clientes CBOT'!B:E,4,0),B1101)</f>
        <v>CAIO BIBILONI Y CIA S.R.L.</v>
      </c>
      <c r="H1101" t="str">
        <f t="shared" si="53"/>
        <v>usd linked</v>
      </c>
      <c r="I1101" s="6">
        <f t="shared" si="54"/>
        <v>0</v>
      </c>
      <c r="J1101">
        <f t="shared" si="52"/>
        <v>5074.04</v>
      </c>
    </row>
    <row r="1102" spans="1:10" hidden="1" x14ac:dyDescent="0.3">
      <c r="A1102">
        <v>546</v>
      </c>
      <c r="B1102" t="str">
        <v>SANTA MORENA SA</v>
      </c>
      <c r="C1102" s="6">
        <v>0</v>
      </c>
      <c r="D1102" s="6">
        <v>0</v>
      </c>
      <c r="E1102" t="str">
        <v>Dólar Matba Rofex</v>
      </c>
      <c r="F1102" t="str">
        <v xml:space="preserve"> U$S MR</v>
      </c>
      <c r="G1102" t="str">
        <f>IFERROR(VLOOKUP(A1102,'Clientes CBOT'!B:E,4,0),B1102)</f>
        <v>SANTA MORENA SA</v>
      </c>
      <c r="H1102" t="str">
        <f t="shared" si="53"/>
        <v>usd linked</v>
      </c>
      <c r="I1102" s="6">
        <f t="shared" si="54"/>
        <v>0</v>
      </c>
      <c r="J1102">
        <f t="shared" si="52"/>
        <v>0</v>
      </c>
    </row>
    <row r="1103" spans="1:10" hidden="1" x14ac:dyDescent="0.3">
      <c r="A1103">
        <v>510</v>
      </c>
      <c r="B1103" t="str">
        <v>FIORDANI CAROLA</v>
      </c>
      <c r="C1103" s="6">
        <v>0</v>
      </c>
      <c r="D1103" s="6">
        <v>0</v>
      </c>
      <c r="E1103" t="str">
        <v>Dólar Matba Rofex</v>
      </c>
      <c r="F1103" t="str">
        <v xml:space="preserve"> U$S MR</v>
      </c>
      <c r="G1103" t="str">
        <f>IFERROR(VLOOKUP(A1103,'Clientes CBOT'!B:E,4,0),B1103)</f>
        <v>FIORDANI CAROLA</v>
      </c>
      <c r="H1103" t="str">
        <f t="shared" si="53"/>
        <v>usd linked</v>
      </c>
      <c r="I1103" s="6">
        <f t="shared" si="54"/>
        <v>0</v>
      </c>
      <c r="J1103">
        <f t="shared" si="52"/>
        <v>0</v>
      </c>
    </row>
    <row r="1104" spans="1:10" hidden="1" x14ac:dyDescent="0.3">
      <c r="A1104">
        <v>505</v>
      </c>
      <c r="B1104" t="str">
        <v>GUAZZARONI GRECO SA</v>
      </c>
      <c r="C1104" s="6">
        <v>0</v>
      </c>
      <c r="D1104" s="6">
        <v>0</v>
      </c>
      <c r="E1104" t="str">
        <v>Dólar Matba Rofex</v>
      </c>
      <c r="F1104" t="str">
        <v xml:space="preserve"> U$S MR</v>
      </c>
      <c r="G1104" t="str">
        <f>IFERROR(VLOOKUP(A1104,'Clientes CBOT'!B:E,4,0),B1104)</f>
        <v>GUAZZARONI GRECO SA</v>
      </c>
      <c r="H1104" t="str">
        <f t="shared" si="53"/>
        <v>usd linked</v>
      </c>
      <c r="I1104" s="6">
        <f t="shared" si="54"/>
        <v>0</v>
      </c>
      <c r="J1104">
        <f t="shared" si="52"/>
        <v>0</v>
      </c>
    </row>
    <row r="1105" spans="1:10" hidden="1" x14ac:dyDescent="0.3">
      <c r="A1105">
        <v>106</v>
      </c>
      <c r="B1105" t="str">
        <v>CEREALISTA MOLDES SA</v>
      </c>
      <c r="C1105" s="6">
        <v>-12625.24</v>
      </c>
      <c r="D1105" s="6">
        <v>6636.45</v>
      </c>
      <c r="E1105" t="str">
        <v>Dólar Matba Rofex</v>
      </c>
      <c r="F1105" t="str">
        <v xml:space="preserve"> U$S MR</v>
      </c>
      <c r="G1105" t="str">
        <f>IFERROR(VLOOKUP(A1105,'Clientes CBOT'!B:E,4,0),B1105)</f>
        <v>CEREALISTA MOLDES SA</v>
      </c>
      <c r="H1105" t="str">
        <f t="shared" si="53"/>
        <v>usd linked</v>
      </c>
      <c r="I1105" s="6">
        <f t="shared" si="54"/>
        <v>-12625.24</v>
      </c>
      <c r="J1105">
        <f t="shared" si="52"/>
        <v>6636.45</v>
      </c>
    </row>
    <row r="1106" spans="1:10" hidden="1" x14ac:dyDescent="0.3">
      <c r="A1106">
        <v>70</v>
      </c>
      <c r="B1106" t="str">
        <v>VG SA</v>
      </c>
      <c r="C1106" s="6">
        <v>0</v>
      </c>
      <c r="D1106" s="6">
        <v>0</v>
      </c>
      <c r="E1106" t="str">
        <v>Dólar Matba Rofex</v>
      </c>
      <c r="F1106" t="str">
        <v xml:space="preserve"> U$S MR</v>
      </c>
      <c r="G1106" t="str">
        <f>IFERROR(VLOOKUP(A1106,'Clientes CBOT'!B:E,4,0),B1106)</f>
        <v>VG SA</v>
      </c>
      <c r="H1106" t="str">
        <f t="shared" si="53"/>
        <v>usd linked</v>
      </c>
      <c r="I1106" s="6">
        <f t="shared" si="54"/>
        <v>0</v>
      </c>
      <c r="J1106">
        <f t="shared" si="52"/>
        <v>0</v>
      </c>
    </row>
    <row r="1107" spans="1:10" hidden="1" x14ac:dyDescent="0.3">
      <c r="A1107">
        <v>491</v>
      </c>
      <c r="B1107" t="str">
        <v>BINDU SRL</v>
      </c>
      <c r="C1107" s="6">
        <v>0.3</v>
      </c>
      <c r="D1107" s="6">
        <v>-0.03</v>
      </c>
      <c r="E1107" t="str">
        <v>Pesos</v>
      </c>
      <c r="F1107" t="str">
        <v xml:space="preserve"> $</v>
      </c>
      <c r="G1107" t="str">
        <f>IFERROR(VLOOKUP(A1107,'Clientes CBOT'!B:E,4,0),B1107)</f>
        <v>BINDU SRL</v>
      </c>
      <c r="H1107" t="str">
        <f t="shared" si="53"/>
        <v>Ars</v>
      </c>
      <c r="I1107" s="6">
        <f t="shared" si="54"/>
        <v>0.3</v>
      </c>
      <c r="J1107">
        <f t="shared" si="52"/>
        <v>-0.03</v>
      </c>
    </row>
    <row r="1108" spans="1:10" hidden="1" x14ac:dyDescent="0.3">
      <c r="A1108">
        <v>544</v>
      </c>
      <c r="B1108" t="str">
        <v>MENTUCCI RAFAEL DARIO</v>
      </c>
      <c r="C1108" s="6">
        <v>0</v>
      </c>
      <c r="D1108" s="6">
        <v>0</v>
      </c>
      <c r="E1108" t="str">
        <v>Pesos</v>
      </c>
      <c r="F1108" t="str">
        <v xml:space="preserve"> $</v>
      </c>
      <c r="G1108" t="str">
        <f>IFERROR(VLOOKUP(A1108,'Clientes CBOT'!B:E,4,0),B1108)</f>
        <v>MENTUCCI RAFAEL DARIO</v>
      </c>
      <c r="H1108" t="str">
        <f t="shared" si="53"/>
        <v>Ars</v>
      </c>
      <c r="I1108" s="6">
        <f t="shared" si="54"/>
        <v>0</v>
      </c>
      <c r="J1108">
        <f t="shared" si="52"/>
        <v>0</v>
      </c>
    </row>
    <row r="1109" spans="1:10" hidden="1" x14ac:dyDescent="0.3">
      <c r="A1109">
        <v>537</v>
      </c>
      <c r="B1109" t="str">
        <v>AGROTORRESI SA</v>
      </c>
      <c r="C1109" s="6">
        <v>0</v>
      </c>
      <c r="D1109" s="6">
        <v>0</v>
      </c>
      <c r="E1109" t="str">
        <v>Pesos</v>
      </c>
      <c r="F1109" t="str">
        <v xml:space="preserve"> $</v>
      </c>
      <c r="G1109" t="str">
        <f>IFERROR(VLOOKUP(A1109,'Clientes CBOT'!B:E,4,0),B1109)</f>
        <v>AGROTORRESI SA</v>
      </c>
      <c r="H1109" t="str">
        <f t="shared" si="53"/>
        <v>Ars</v>
      </c>
      <c r="I1109" s="6">
        <f t="shared" si="54"/>
        <v>0</v>
      </c>
      <c r="J1109">
        <f t="shared" si="52"/>
        <v>0</v>
      </c>
    </row>
    <row r="1110" spans="1:10" x14ac:dyDescent="0.3">
      <c r="A1110">
        <v>534</v>
      </c>
      <c r="B1110" t="str">
        <v>ESTANCIA LA CARRETA SA</v>
      </c>
      <c r="C1110" s="6">
        <v>0</v>
      </c>
      <c r="D1110" s="6">
        <v>0</v>
      </c>
      <c r="E1110" t="str">
        <v>Pesos</v>
      </c>
      <c r="F1110" t="str">
        <v xml:space="preserve"> $</v>
      </c>
      <c r="G1110" t="str">
        <f>IFERROR(VLOOKUP(A1110,'Clientes CBOT'!B:E,4,0),B1110)</f>
        <v>ESTANCIA LA CARRETA SA</v>
      </c>
      <c r="H1110" t="str">
        <f t="shared" si="53"/>
        <v>Ars</v>
      </c>
      <c r="I1110" s="6">
        <f t="shared" si="54"/>
        <v>0</v>
      </c>
      <c r="J1110">
        <f t="shared" si="52"/>
        <v>0</v>
      </c>
    </row>
    <row r="1111" spans="1:10" hidden="1" x14ac:dyDescent="0.3">
      <c r="A1111">
        <v>529</v>
      </c>
      <c r="B1111" t="str">
        <v>FRIGORIFICO ENTRERRIANO DE PRODUCTORES AVICOLAS SA</v>
      </c>
      <c r="C1111" s="6">
        <v>-78083.600000000006</v>
      </c>
      <c r="D1111" s="6">
        <v>0</v>
      </c>
      <c r="E1111" t="str">
        <v>Pesos</v>
      </c>
      <c r="F1111" t="str">
        <v xml:space="preserve"> $</v>
      </c>
      <c r="G1111" t="str">
        <f>IFERROR(VLOOKUP(A1111,'Clientes CBOT'!B:E,4,0),B1111)</f>
        <v>FRIGORIFICO ENTRERRIANO DE PRODUCTORES AVICOLAS SA</v>
      </c>
      <c r="H1111" t="str">
        <f t="shared" si="53"/>
        <v>Ars</v>
      </c>
      <c r="I1111" s="6">
        <f t="shared" si="54"/>
        <v>-78083.600000000006</v>
      </c>
      <c r="J1111">
        <f t="shared" si="52"/>
        <v>0</v>
      </c>
    </row>
    <row r="1112" spans="1:10" hidden="1" x14ac:dyDescent="0.3">
      <c r="A1112">
        <v>170</v>
      </c>
      <c r="B1112" t="str">
        <v>AGROIDEAS S A</v>
      </c>
      <c r="C1112" s="6">
        <v>1124081.8799999999</v>
      </c>
      <c r="D1112" s="6">
        <v>0</v>
      </c>
      <c r="E1112" t="str">
        <v>Pesos</v>
      </c>
      <c r="F1112" t="str">
        <v xml:space="preserve"> $</v>
      </c>
      <c r="G1112" t="str">
        <f>IFERROR(VLOOKUP(A1112,'Clientes CBOT'!B:E,4,0),B1112)</f>
        <v>AGROIDEAS S A</v>
      </c>
      <c r="H1112" t="str">
        <f t="shared" si="53"/>
        <v>Ars</v>
      </c>
      <c r="I1112" s="6">
        <f t="shared" si="54"/>
        <v>1124081.8799999999</v>
      </c>
      <c r="J1112">
        <f t="shared" si="52"/>
        <v>0</v>
      </c>
    </row>
    <row r="1113" spans="1:10" hidden="1" x14ac:dyDescent="0.3">
      <c r="A1113">
        <v>456</v>
      </c>
      <c r="B1113" t="str">
        <v>AGL SA</v>
      </c>
      <c r="C1113" s="6">
        <v>3524.55</v>
      </c>
      <c r="D1113" s="6">
        <v>0</v>
      </c>
      <c r="E1113" t="str">
        <v>Pesos</v>
      </c>
      <c r="F1113" t="str">
        <v xml:space="preserve"> $</v>
      </c>
      <c r="G1113" t="str">
        <f>IFERROR(VLOOKUP(A1113,'Clientes CBOT'!B:E,4,0),B1113)</f>
        <v>AGL SA</v>
      </c>
      <c r="H1113" t="str">
        <f t="shared" si="53"/>
        <v>Ars</v>
      </c>
      <c r="I1113" s="6">
        <f t="shared" si="54"/>
        <v>3524.55</v>
      </c>
      <c r="J1113">
        <f t="shared" si="52"/>
        <v>0</v>
      </c>
    </row>
    <row r="1114" spans="1:10" hidden="1" x14ac:dyDescent="0.3">
      <c r="A1114">
        <v>17</v>
      </c>
      <c r="B1114" t="str">
        <v>CONO SA</v>
      </c>
      <c r="C1114" s="6">
        <v>-71.790000000000006</v>
      </c>
      <c r="D1114" s="6">
        <v>0</v>
      </c>
      <c r="E1114" t="str">
        <v>Pesos</v>
      </c>
      <c r="F1114" t="str">
        <v xml:space="preserve"> $</v>
      </c>
      <c r="G1114" t="str">
        <f>IFERROR(VLOOKUP(A1114,'Clientes CBOT'!B:E,4,0),B1114)</f>
        <v>CONO SA</v>
      </c>
      <c r="H1114" t="str">
        <f t="shared" si="53"/>
        <v>Ars</v>
      </c>
      <c r="I1114" s="6">
        <f t="shared" si="54"/>
        <v>-71.790000000000006</v>
      </c>
      <c r="J1114">
        <f t="shared" si="52"/>
        <v>0</v>
      </c>
    </row>
    <row r="1115" spans="1:10" hidden="1" x14ac:dyDescent="0.3">
      <c r="A1115">
        <v>241</v>
      </c>
      <c r="B1115" t="str">
        <v>BERTOSSI DIEGO RUBEN</v>
      </c>
      <c r="C1115" s="6">
        <v>0</v>
      </c>
      <c r="D1115" s="6">
        <v>0</v>
      </c>
      <c r="E1115" t="str">
        <v>Pesos</v>
      </c>
      <c r="F1115" t="str">
        <v xml:space="preserve"> $</v>
      </c>
      <c r="G1115" t="str">
        <f>IFERROR(VLOOKUP(A1115,'Clientes CBOT'!B:E,4,0),B1115)</f>
        <v>BERTOSSI DIEGO RUBEN</v>
      </c>
      <c r="H1115" t="str">
        <f t="shared" si="53"/>
        <v>Ars</v>
      </c>
      <c r="I1115" s="6">
        <f t="shared" si="54"/>
        <v>0</v>
      </c>
      <c r="J1115">
        <f t="shared" si="52"/>
        <v>0</v>
      </c>
    </row>
    <row r="1116" spans="1:10" hidden="1" x14ac:dyDescent="0.3">
      <c r="A1116">
        <v>248</v>
      </c>
      <c r="B1116" t="str">
        <v>ESTABLECIMIENTO DON AVELINO SRL</v>
      </c>
      <c r="C1116" s="6">
        <v>-50454.63</v>
      </c>
      <c r="D1116" s="6">
        <v>0</v>
      </c>
      <c r="E1116" t="str">
        <v>Pesos</v>
      </c>
      <c r="F1116" t="str">
        <v xml:space="preserve"> $</v>
      </c>
      <c r="G1116" t="str">
        <f>IFERROR(VLOOKUP(A1116,'Clientes CBOT'!B:E,4,0),B1116)</f>
        <v>ESTABLECIMIENTO DON AVELINO SRL</v>
      </c>
      <c r="H1116" t="str">
        <f t="shared" si="53"/>
        <v>Ars</v>
      </c>
      <c r="I1116" s="6">
        <f t="shared" si="54"/>
        <v>-50454.63</v>
      </c>
      <c r="J1116">
        <f t="shared" si="52"/>
        <v>0</v>
      </c>
    </row>
    <row r="1117" spans="1:10" hidden="1" x14ac:dyDescent="0.3">
      <c r="A1117">
        <v>565</v>
      </c>
      <c r="B1117" t="str">
        <v>METALFOR SA</v>
      </c>
      <c r="C1117" s="6">
        <v>49135.18</v>
      </c>
      <c r="D1117" s="6">
        <v>0</v>
      </c>
      <c r="E1117" t="str">
        <v>Pesos</v>
      </c>
      <c r="F1117" t="str">
        <v xml:space="preserve"> $</v>
      </c>
      <c r="G1117" t="str">
        <f>IFERROR(VLOOKUP(A1117,'Clientes CBOT'!B:E,4,0),B1117)</f>
        <v>METALFOR SA</v>
      </c>
      <c r="H1117" t="str">
        <f t="shared" si="53"/>
        <v>Ars</v>
      </c>
      <c r="I1117" s="6">
        <f t="shared" si="54"/>
        <v>49135.18</v>
      </c>
      <c r="J1117">
        <f t="shared" si="52"/>
        <v>0</v>
      </c>
    </row>
    <row r="1118" spans="1:10" hidden="1" x14ac:dyDescent="0.3">
      <c r="A1118">
        <v>6006</v>
      </c>
      <c r="B1118" t="str">
        <v>LUNALAND S.R.L.</v>
      </c>
      <c r="C1118" s="6">
        <v>0</v>
      </c>
      <c r="D1118" s="6">
        <v>0</v>
      </c>
      <c r="E1118" t="str">
        <v>Pesos</v>
      </c>
      <c r="F1118" t="str">
        <v xml:space="preserve"> $</v>
      </c>
      <c r="G1118" t="str">
        <f>IFERROR(VLOOKUP(A1118,'Clientes CBOT'!B:E,4,0),B1118)</f>
        <v>LUNALAND S.R.L.</v>
      </c>
      <c r="H1118" t="str">
        <f t="shared" si="53"/>
        <v>Ars</v>
      </c>
      <c r="I1118" s="6">
        <f t="shared" si="54"/>
        <v>0</v>
      </c>
      <c r="J1118">
        <f t="shared" si="52"/>
        <v>0</v>
      </c>
    </row>
    <row r="1119" spans="1:10" hidden="1" x14ac:dyDescent="0.3">
      <c r="A1119">
        <v>6055</v>
      </c>
      <c r="B1119" t="str">
        <v>BRIACCHI MARTINA BETIANA</v>
      </c>
      <c r="C1119" s="6">
        <v>0</v>
      </c>
      <c r="D1119" s="6">
        <v>0</v>
      </c>
      <c r="E1119" t="str">
        <v>Pesos</v>
      </c>
      <c r="F1119" t="str">
        <v xml:space="preserve"> $</v>
      </c>
      <c r="G1119" t="str">
        <f>IFERROR(VLOOKUP(A1119,'Clientes CBOT'!B:E,4,0),B1119)</f>
        <v>BRIACCHI MARTINA BETIANA</v>
      </c>
      <c r="H1119" t="str">
        <f t="shared" si="53"/>
        <v>Ars</v>
      </c>
      <c r="I1119" s="6">
        <f t="shared" si="54"/>
        <v>0</v>
      </c>
      <c r="J1119">
        <f t="shared" si="52"/>
        <v>0</v>
      </c>
    </row>
    <row r="1120" spans="1:10" hidden="1" x14ac:dyDescent="0.3">
      <c r="A1120">
        <v>573</v>
      </c>
      <c r="B1120" t="str">
        <v>LARROQUE CEREALES SRL</v>
      </c>
      <c r="C1120" s="6">
        <v>799999.85</v>
      </c>
      <c r="D1120" s="6">
        <v>0</v>
      </c>
      <c r="E1120" t="str">
        <v>Pesos</v>
      </c>
      <c r="F1120" t="str">
        <v xml:space="preserve"> $</v>
      </c>
      <c r="G1120" t="str">
        <f>IFERROR(VLOOKUP(A1120,'Clientes CBOT'!B:E,4,0),B1120)</f>
        <v>LARROQUE CEREALES SRL</v>
      </c>
      <c r="H1120" t="str">
        <f t="shared" si="53"/>
        <v>Ars</v>
      </c>
      <c r="I1120" s="6">
        <f t="shared" si="54"/>
        <v>799999.85</v>
      </c>
      <c r="J1120">
        <f t="shared" si="52"/>
        <v>0</v>
      </c>
    </row>
    <row r="1121" spans="1:10" hidden="1" x14ac:dyDescent="0.3">
      <c r="A1121">
        <v>6070</v>
      </c>
      <c r="B1121" t="str">
        <v>TROPFEN S. A.</v>
      </c>
      <c r="C1121" s="6">
        <v>0</v>
      </c>
      <c r="D1121" s="6">
        <v>0</v>
      </c>
      <c r="E1121" t="str">
        <v>Pesos</v>
      </c>
      <c r="F1121" t="str">
        <v xml:space="preserve"> $</v>
      </c>
      <c r="G1121" t="str">
        <f>IFERROR(VLOOKUP(A1121,'Clientes CBOT'!B:E,4,0),B1121)</f>
        <v>TROPFEN S. A.</v>
      </c>
      <c r="H1121" t="str">
        <f t="shared" si="53"/>
        <v>Ars</v>
      </c>
      <c r="I1121" s="6">
        <f t="shared" si="54"/>
        <v>0</v>
      </c>
      <c r="J1121">
        <f t="shared" si="52"/>
        <v>0</v>
      </c>
    </row>
    <row r="1122" spans="1:10" hidden="1" x14ac:dyDescent="0.3">
      <c r="A1122">
        <v>6037</v>
      </c>
      <c r="B1122" t="str">
        <v>ZORZON MARCELO</v>
      </c>
      <c r="C1122" s="6">
        <v>-112041.19</v>
      </c>
      <c r="D1122" s="6">
        <v>0</v>
      </c>
      <c r="E1122" t="str">
        <v>Pesos</v>
      </c>
      <c r="F1122" t="str">
        <v xml:space="preserve"> $</v>
      </c>
      <c r="G1122" t="str">
        <f>IFERROR(VLOOKUP(A1122,'Clientes CBOT'!B:E,4,0),B1122)</f>
        <v>ZORZON MARCELO</v>
      </c>
      <c r="H1122" t="str">
        <f t="shared" si="53"/>
        <v>Ars</v>
      </c>
      <c r="I1122" s="6">
        <f t="shared" si="54"/>
        <v>-112041.19</v>
      </c>
      <c r="J1122">
        <f t="shared" si="52"/>
        <v>0</v>
      </c>
    </row>
    <row r="1123" spans="1:10" hidden="1" x14ac:dyDescent="0.3">
      <c r="A1123">
        <v>6042</v>
      </c>
      <c r="B1123" t="str">
        <v>BRUERA Y SUSMAN S.R.L.</v>
      </c>
      <c r="C1123" s="6">
        <v>-7329.24</v>
      </c>
      <c r="D1123" s="6">
        <v>0</v>
      </c>
      <c r="E1123" t="str">
        <v>Pesos</v>
      </c>
      <c r="F1123" t="str">
        <v xml:space="preserve"> $</v>
      </c>
      <c r="G1123" t="str">
        <f>IFERROR(VLOOKUP(A1123,'Clientes CBOT'!B:E,4,0),B1123)</f>
        <v>BRUERA Y SUSMAN S.R.L.</v>
      </c>
      <c r="H1123" t="str">
        <f t="shared" si="53"/>
        <v>Ars</v>
      </c>
      <c r="I1123" s="6">
        <f t="shared" si="54"/>
        <v>-7329.24</v>
      </c>
      <c r="J1123">
        <f t="shared" si="52"/>
        <v>0</v>
      </c>
    </row>
    <row r="1124" spans="1:10" hidden="1" x14ac:dyDescent="0.3">
      <c r="A1124">
        <v>349</v>
      </c>
      <c r="B1124" t="str">
        <v>ACOPIO AREQUITO SA</v>
      </c>
      <c r="C1124" s="6">
        <v>-387266103.31</v>
      </c>
      <c r="D1124" s="6">
        <v>7.0000000000000007E-2</v>
      </c>
      <c r="E1124" t="str">
        <v>Pesos</v>
      </c>
      <c r="F1124" t="str">
        <v xml:space="preserve"> $</v>
      </c>
      <c r="G1124" t="str">
        <f>IFERROR(VLOOKUP(A1124,'Clientes CBOT'!B:E,4,0),B1124)</f>
        <v>ACOPIO AREQUITO SA</v>
      </c>
      <c r="H1124" t="str">
        <f t="shared" si="53"/>
        <v>Ars</v>
      </c>
      <c r="I1124" s="6">
        <f t="shared" si="54"/>
        <v>-387266103.31</v>
      </c>
      <c r="J1124">
        <f t="shared" si="52"/>
        <v>7.0000000000000007E-2</v>
      </c>
    </row>
    <row r="1125" spans="1:10" x14ac:dyDescent="0.3">
      <c r="A1125">
        <v>283</v>
      </c>
      <c r="B1125" t="str">
        <v>MASSOUD JORGE ELIAS</v>
      </c>
      <c r="C1125" s="6">
        <v>-127799.14</v>
      </c>
      <c r="D1125" s="6">
        <v>0</v>
      </c>
      <c r="E1125" t="str">
        <v>Pesos</v>
      </c>
      <c r="F1125" t="str">
        <v xml:space="preserve"> $</v>
      </c>
      <c r="G1125">
        <f>IFERROR(VLOOKUP(A1125,'Clientes CBOT'!B:E,4,0),B1125)</f>
        <v>13005</v>
      </c>
      <c r="H1125" t="str">
        <f t="shared" si="53"/>
        <v>Ars</v>
      </c>
      <c r="I1125" s="6">
        <f t="shared" si="54"/>
        <v>-127799.14</v>
      </c>
      <c r="J1125">
        <f t="shared" si="52"/>
        <v>0</v>
      </c>
    </row>
    <row r="1126" spans="1:10" hidden="1" x14ac:dyDescent="0.3">
      <c r="A1126">
        <v>349</v>
      </c>
      <c r="B1126" t="str">
        <v>ACOPIO AREQUITO SA</v>
      </c>
      <c r="C1126" s="6">
        <v>1.19</v>
      </c>
      <c r="D1126" s="6">
        <v>0</v>
      </c>
      <c r="E1126" t="str">
        <v xml:space="preserve">Dólar </v>
      </c>
      <c r="F1126" t="str">
        <v xml:space="preserve"> U$S</v>
      </c>
      <c r="G1126" t="str">
        <f>IFERROR(VLOOKUP(A1126,'Clientes CBOT'!B:E,4,0),B1126)</f>
        <v>ACOPIO AREQUITO SA</v>
      </c>
      <c r="H1126" t="str">
        <f t="shared" si="53"/>
        <v>Dólar</v>
      </c>
      <c r="I1126" s="6">
        <f t="shared" si="54"/>
        <v>1.19</v>
      </c>
      <c r="J1126">
        <f t="shared" si="52"/>
        <v>0</v>
      </c>
    </row>
    <row r="1127" spans="1:10" hidden="1" x14ac:dyDescent="0.3">
      <c r="A1127">
        <v>6042</v>
      </c>
      <c r="B1127" t="str">
        <v>BRUERA Y SUSMAN S.R.L.</v>
      </c>
      <c r="C1127" s="6">
        <v>34.619999999999997</v>
      </c>
      <c r="D1127" s="6">
        <v>0</v>
      </c>
      <c r="E1127" t="str">
        <v xml:space="preserve">Dólar </v>
      </c>
      <c r="F1127" t="str">
        <v xml:space="preserve"> U$S</v>
      </c>
      <c r="G1127" t="str">
        <f>IFERROR(VLOOKUP(A1127,'Clientes CBOT'!B:E,4,0),B1127)</f>
        <v>BRUERA Y SUSMAN S.R.L.</v>
      </c>
      <c r="H1127" t="str">
        <f t="shared" si="53"/>
        <v>Dólar</v>
      </c>
      <c r="I1127" s="6">
        <f t="shared" si="54"/>
        <v>34.619999999999997</v>
      </c>
      <c r="J1127">
        <f t="shared" si="52"/>
        <v>0</v>
      </c>
    </row>
    <row r="1128" spans="1:10" hidden="1" x14ac:dyDescent="0.3">
      <c r="A1128">
        <v>6037</v>
      </c>
      <c r="B1128" t="str">
        <v>ZORZON MARCELO</v>
      </c>
      <c r="C1128" s="6">
        <v>7.0000000000000007E-2</v>
      </c>
      <c r="D1128" s="6">
        <v>0</v>
      </c>
      <c r="E1128" t="str">
        <v xml:space="preserve">Dólar </v>
      </c>
      <c r="F1128" t="str">
        <v xml:space="preserve"> U$S</v>
      </c>
      <c r="G1128" t="str">
        <f>IFERROR(VLOOKUP(A1128,'Clientes CBOT'!B:E,4,0),B1128)</f>
        <v>ZORZON MARCELO</v>
      </c>
      <c r="H1128" t="str">
        <f t="shared" si="53"/>
        <v>Dólar</v>
      </c>
      <c r="I1128" s="6">
        <f t="shared" si="54"/>
        <v>7.0000000000000007E-2</v>
      </c>
      <c r="J1128">
        <f t="shared" si="52"/>
        <v>0</v>
      </c>
    </row>
    <row r="1129" spans="1:10" hidden="1" x14ac:dyDescent="0.3">
      <c r="A1129">
        <v>6055</v>
      </c>
      <c r="B1129" t="str">
        <v>BRIACCHI MARTINA BETIANA</v>
      </c>
      <c r="C1129" s="6">
        <v>0.94</v>
      </c>
      <c r="D1129" s="6">
        <v>0</v>
      </c>
      <c r="E1129" t="str">
        <v xml:space="preserve">Dólar </v>
      </c>
      <c r="F1129" t="str">
        <v xml:space="preserve"> U$S</v>
      </c>
      <c r="G1129" t="str">
        <f>IFERROR(VLOOKUP(A1129,'Clientes CBOT'!B:E,4,0),B1129)</f>
        <v>BRIACCHI MARTINA BETIANA</v>
      </c>
      <c r="H1129" t="str">
        <f t="shared" si="53"/>
        <v>Dólar</v>
      </c>
      <c r="I1129" s="6">
        <f t="shared" si="54"/>
        <v>0.94</v>
      </c>
      <c r="J1129">
        <f t="shared" si="52"/>
        <v>0</v>
      </c>
    </row>
    <row r="1130" spans="1:10" hidden="1" x14ac:dyDescent="0.3">
      <c r="A1130">
        <v>6006</v>
      </c>
      <c r="B1130" t="str">
        <v>LUNALAND S.R.L.</v>
      </c>
      <c r="C1130" s="6">
        <v>0</v>
      </c>
      <c r="D1130" s="6">
        <v>0</v>
      </c>
      <c r="E1130" t="str">
        <v xml:space="preserve">Dólar </v>
      </c>
      <c r="F1130" t="str">
        <v xml:space="preserve"> U$S</v>
      </c>
      <c r="G1130" t="str">
        <f>IFERROR(VLOOKUP(A1130,'Clientes CBOT'!B:E,4,0),B1130)</f>
        <v>LUNALAND S.R.L.</v>
      </c>
      <c r="H1130" t="str">
        <f t="shared" si="53"/>
        <v>Dólar</v>
      </c>
      <c r="I1130" s="6">
        <f t="shared" si="54"/>
        <v>0</v>
      </c>
      <c r="J1130">
        <f t="shared" si="52"/>
        <v>0</v>
      </c>
    </row>
    <row r="1131" spans="1:10" hidden="1" x14ac:dyDescent="0.3">
      <c r="A1131">
        <v>241</v>
      </c>
      <c r="B1131" t="str">
        <v>BERTOSSI DIEGO RUBEN</v>
      </c>
      <c r="C1131" s="6">
        <v>0</v>
      </c>
      <c r="D1131" s="6">
        <v>0</v>
      </c>
      <c r="E1131" t="str">
        <v xml:space="preserve">Dólar </v>
      </c>
      <c r="F1131" t="str">
        <v xml:space="preserve"> U$S</v>
      </c>
      <c r="G1131" t="str">
        <f>IFERROR(VLOOKUP(A1131,'Clientes CBOT'!B:E,4,0),B1131)</f>
        <v>BERTOSSI DIEGO RUBEN</v>
      </c>
      <c r="H1131" t="str">
        <f t="shared" si="53"/>
        <v>Dólar</v>
      </c>
      <c r="I1131" s="6">
        <f t="shared" si="54"/>
        <v>0</v>
      </c>
      <c r="J1131">
        <f t="shared" si="52"/>
        <v>0</v>
      </c>
    </row>
    <row r="1132" spans="1:10" hidden="1" x14ac:dyDescent="0.3">
      <c r="A1132">
        <v>170</v>
      </c>
      <c r="B1132" t="str">
        <v>AGROIDEAS S A</v>
      </c>
      <c r="C1132" s="6">
        <v>0</v>
      </c>
      <c r="D1132" s="6">
        <v>0</v>
      </c>
      <c r="E1132" t="str">
        <v xml:space="preserve">Dólar </v>
      </c>
      <c r="F1132" t="str">
        <v xml:space="preserve"> U$S</v>
      </c>
      <c r="G1132" t="str">
        <f>IFERROR(VLOOKUP(A1132,'Clientes CBOT'!B:E,4,0),B1132)</f>
        <v>AGROIDEAS S A</v>
      </c>
      <c r="H1132" t="str">
        <f t="shared" si="53"/>
        <v>Dólar</v>
      </c>
      <c r="I1132" s="6">
        <f t="shared" si="54"/>
        <v>0</v>
      </c>
      <c r="J1132">
        <f t="shared" si="52"/>
        <v>0</v>
      </c>
    </row>
    <row r="1133" spans="1:10" hidden="1" x14ac:dyDescent="0.3">
      <c r="A1133">
        <v>544</v>
      </c>
      <c r="B1133" t="str">
        <v>MENTUCCI RAFAEL DARIO</v>
      </c>
      <c r="C1133" s="6">
        <v>0</v>
      </c>
      <c r="D1133" s="6">
        <v>0</v>
      </c>
      <c r="E1133" t="str">
        <v xml:space="preserve">Dólar </v>
      </c>
      <c r="F1133" t="str">
        <v xml:space="preserve"> U$S</v>
      </c>
      <c r="G1133" t="str">
        <f>IFERROR(VLOOKUP(A1133,'Clientes CBOT'!B:E,4,0),B1133)</f>
        <v>MENTUCCI RAFAEL DARIO</v>
      </c>
      <c r="H1133" t="str">
        <f t="shared" si="53"/>
        <v>Dólar</v>
      </c>
      <c r="I1133" s="6">
        <f t="shared" si="54"/>
        <v>0</v>
      </c>
      <c r="J1133">
        <f t="shared" si="52"/>
        <v>0</v>
      </c>
    </row>
    <row r="1134" spans="1:10" hidden="1" x14ac:dyDescent="0.3">
      <c r="A1134">
        <v>491</v>
      </c>
      <c r="B1134" t="str">
        <v>BINDU SRL</v>
      </c>
      <c r="C1134" s="6">
        <v>2250.37</v>
      </c>
      <c r="D1134" s="6">
        <v>0</v>
      </c>
      <c r="E1134" t="str">
        <v xml:space="preserve">Dólar </v>
      </c>
      <c r="F1134" t="str">
        <v xml:space="preserve"> U$S</v>
      </c>
      <c r="G1134" t="str">
        <f>IFERROR(VLOOKUP(A1134,'Clientes CBOT'!B:E,4,0),B1134)</f>
        <v>BINDU SRL</v>
      </c>
      <c r="H1134" t="str">
        <f t="shared" si="53"/>
        <v>Dólar</v>
      </c>
      <c r="I1134" s="6">
        <f t="shared" si="54"/>
        <v>2250.37</v>
      </c>
      <c r="J1134">
        <f t="shared" si="52"/>
        <v>0</v>
      </c>
    </row>
    <row r="1135" spans="1:10" hidden="1" x14ac:dyDescent="0.3">
      <c r="A1135">
        <v>283</v>
      </c>
      <c r="B1135" t="str">
        <v>MASSOUD JORGE ELIAS</v>
      </c>
      <c r="C1135" s="6">
        <v>5126.7</v>
      </c>
      <c r="D1135" s="6">
        <v>0</v>
      </c>
      <c r="E1135" t="str">
        <v>Dólar Cable</v>
      </c>
      <c r="F1135" t="str">
        <v xml:space="preserve"> U$S TT</v>
      </c>
      <c r="G1135">
        <f>IFERROR(VLOOKUP(A1135,'Clientes CBOT'!B:E,4,0),B1135)</f>
        <v>13005</v>
      </c>
      <c r="H1135" t="str">
        <f t="shared" si="53"/>
        <v>Hard</v>
      </c>
      <c r="I1135" s="6">
        <f t="shared" si="54"/>
        <v>5126.7</v>
      </c>
      <c r="J1135">
        <f t="shared" si="52"/>
        <v>0</v>
      </c>
    </row>
    <row r="1136" spans="1:10" hidden="1" x14ac:dyDescent="0.3">
      <c r="A1136">
        <v>349</v>
      </c>
      <c r="B1136" t="str">
        <v>ACOPIO AREQUITO SA</v>
      </c>
      <c r="C1136" s="6">
        <v>-350</v>
      </c>
      <c r="D1136" s="6">
        <v>0</v>
      </c>
      <c r="E1136" t="str">
        <v>Dólar Matba Rofex</v>
      </c>
      <c r="F1136" t="str">
        <v xml:space="preserve"> U$S MR</v>
      </c>
      <c r="G1136" t="str">
        <f>IFERROR(VLOOKUP(A1136,'Clientes CBOT'!B:E,4,0),B1136)</f>
        <v>ACOPIO AREQUITO SA</v>
      </c>
      <c r="H1136" t="str">
        <f t="shared" si="53"/>
        <v>usd linked</v>
      </c>
      <c r="I1136" s="6">
        <f t="shared" si="54"/>
        <v>-350</v>
      </c>
      <c r="J1136">
        <f t="shared" si="52"/>
        <v>0</v>
      </c>
    </row>
    <row r="1137" spans="1:10" hidden="1" x14ac:dyDescent="0.3">
      <c r="A1137">
        <v>241</v>
      </c>
      <c r="B1137" t="str">
        <v>BERTOSSI DIEGO RUBEN</v>
      </c>
      <c r="C1137" s="6">
        <v>0</v>
      </c>
      <c r="D1137" s="6">
        <v>0</v>
      </c>
      <c r="E1137" t="str">
        <v>Dólar Matba Rofex</v>
      </c>
      <c r="F1137" t="str">
        <v xml:space="preserve"> U$S MR</v>
      </c>
      <c r="G1137" t="str">
        <f>IFERROR(VLOOKUP(A1137,'Clientes CBOT'!B:E,4,0),B1137)</f>
        <v>BERTOSSI DIEGO RUBEN</v>
      </c>
      <c r="H1137" t="str">
        <f t="shared" si="53"/>
        <v>usd linked</v>
      </c>
      <c r="I1137" s="6">
        <f t="shared" si="54"/>
        <v>0</v>
      </c>
      <c r="J1137">
        <f t="shared" si="52"/>
        <v>0</v>
      </c>
    </row>
    <row r="1138" spans="1:10" hidden="1" x14ac:dyDescent="0.3">
      <c r="A1138">
        <v>248</v>
      </c>
      <c r="B1138" t="str">
        <v>ESTABLECIMIENTO DON AVELINO SRL</v>
      </c>
      <c r="C1138" s="6">
        <v>-19170.37</v>
      </c>
      <c r="D1138" s="6">
        <v>0</v>
      </c>
      <c r="E1138" t="str">
        <v>Dólar Matba Rofex</v>
      </c>
      <c r="F1138" t="str">
        <v xml:space="preserve"> U$S MR</v>
      </c>
      <c r="G1138" t="str">
        <f>IFERROR(VLOOKUP(A1138,'Clientes CBOT'!B:E,4,0),B1138)</f>
        <v>ESTABLECIMIENTO DON AVELINO SRL</v>
      </c>
      <c r="H1138" t="str">
        <f t="shared" si="53"/>
        <v>usd linked</v>
      </c>
      <c r="I1138" s="6">
        <f t="shared" si="54"/>
        <v>-19170.37</v>
      </c>
      <c r="J1138">
        <f t="shared" si="52"/>
        <v>0</v>
      </c>
    </row>
    <row r="1139" spans="1:10" hidden="1" x14ac:dyDescent="0.3">
      <c r="A1139">
        <v>6037</v>
      </c>
      <c r="B1139" t="str">
        <v>ZORZON MARCELO</v>
      </c>
      <c r="C1139" s="6">
        <v>-4400</v>
      </c>
      <c r="D1139" s="6">
        <v>0</v>
      </c>
      <c r="E1139" t="str">
        <v>Dólar Matba Rofex</v>
      </c>
      <c r="F1139" t="str">
        <v xml:space="preserve"> U$S MR</v>
      </c>
      <c r="G1139" t="str">
        <f>IFERROR(VLOOKUP(A1139,'Clientes CBOT'!B:E,4,0),B1139)</f>
        <v>ZORZON MARCELO</v>
      </c>
      <c r="H1139" t="str">
        <f t="shared" si="53"/>
        <v>usd linked</v>
      </c>
      <c r="I1139" s="6">
        <f t="shared" si="54"/>
        <v>-4400</v>
      </c>
      <c r="J1139">
        <f t="shared" si="52"/>
        <v>0</v>
      </c>
    </row>
    <row r="1140" spans="1:10" hidden="1" x14ac:dyDescent="0.3">
      <c r="A1140">
        <v>6042</v>
      </c>
      <c r="B1140" t="str">
        <v>BRUERA Y SUSMAN S.R.L.</v>
      </c>
      <c r="C1140" s="6">
        <v>0</v>
      </c>
      <c r="D1140" s="6">
        <v>0</v>
      </c>
      <c r="E1140" t="str">
        <v>Dólar Matba Rofex</v>
      </c>
      <c r="F1140" t="str">
        <v xml:space="preserve"> U$S MR</v>
      </c>
      <c r="G1140" t="str">
        <f>IFERROR(VLOOKUP(A1140,'Clientes CBOT'!B:E,4,0),B1140)</f>
        <v>BRUERA Y SUSMAN S.R.L.</v>
      </c>
      <c r="H1140" t="str">
        <f t="shared" si="53"/>
        <v>usd linked</v>
      </c>
      <c r="I1140" s="6">
        <f t="shared" si="54"/>
        <v>0</v>
      </c>
      <c r="J1140">
        <f t="shared" si="52"/>
        <v>0</v>
      </c>
    </row>
    <row r="1141" spans="1:10" hidden="1" x14ac:dyDescent="0.3">
      <c r="A1141">
        <v>491</v>
      </c>
      <c r="B1141" t="str">
        <v>BINDU SRL</v>
      </c>
      <c r="C1141" s="6">
        <v>0</v>
      </c>
      <c r="D1141" s="6">
        <v>0</v>
      </c>
      <c r="E1141" t="str">
        <v>Dólar Matba Rofex</v>
      </c>
      <c r="F1141" t="str">
        <v xml:space="preserve"> U$S MR</v>
      </c>
      <c r="G1141" t="str">
        <f>IFERROR(VLOOKUP(A1141,'Clientes CBOT'!B:E,4,0),B1141)</f>
        <v>BINDU SRL</v>
      </c>
      <c r="H1141" t="str">
        <f t="shared" si="53"/>
        <v>usd linked</v>
      </c>
      <c r="I1141" s="6">
        <f t="shared" si="54"/>
        <v>0</v>
      </c>
      <c r="J1141">
        <f t="shared" si="52"/>
        <v>0</v>
      </c>
    </row>
    <row r="1142" spans="1:10" hidden="1" x14ac:dyDescent="0.3">
      <c r="A1142">
        <v>537</v>
      </c>
      <c r="B1142" t="str">
        <v>AGROTORRESI SA</v>
      </c>
      <c r="C1142" s="6">
        <v>0</v>
      </c>
      <c r="D1142" s="6">
        <v>0</v>
      </c>
      <c r="E1142" t="str">
        <v>Dólar Matba Rofex</v>
      </c>
      <c r="F1142" t="str">
        <v xml:space="preserve"> U$S MR</v>
      </c>
      <c r="G1142" t="str">
        <f>IFERROR(VLOOKUP(A1142,'Clientes CBOT'!B:E,4,0),B1142)</f>
        <v>AGROTORRESI SA</v>
      </c>
      <c r="H1142" t="str">
        <f t="shared" si="53"/>
        <v>usd linked</v>
      </c>
      <c r="I1142" s="6">
        <f t="shared" si="54"/>
        <v>0</v>
      </c>
      <c r="J1142">
        <f t="shared" si="52"/>
        <v>0</v>
      </c>
    </row>
    <row r="1143" spans="1:10" hidden="1" x14ac:dyDescent="0.3">
      <c r="A1143">
        <v>534</v>
      </c>
      <c r="B1143" t="str">
        <v>ESTANCIA LA CARRETA SA</v>
      </c>
      <c r="C1143" s="6">
        <v>0</v>
      </c>
      <c r="D1143" s="6">
        <v>0</v>
      </c>
      <c r="E1143" t="str">
        <v>Dólar Matba Rofex</v>
      </c>
      <c r="F1143" t="str">
        <v xml:space="preserve"> U$S MR</v>
      </c>
      <c r="G1143" t="str">
        <f>IFERROR(VLOOKUP(A1143,'Clientes CBOT'!B:E,4,0),B1143)</f>
        <v>ESTANCIA LA CARRETA SA</v>
      </c>
      <c r="H1143" t="str">
        <f t="shared" si="53"/>
        <v>usd linked</v>
      </c>
      <c r="I1143" s="6">
        <f t="shared" si="54"/>
        <v>0</v>
      </c>
      <c r="J1143">
        <f t="shared" si="52"/>
        <v>0</v>
      </c>
    </row>
    <row r="1144" spans="1:10" hidden="1" x14ac:dyDescent="0.3">
      <c r="A1144">
        <v>170</v>
      </c>
      <c r="B1144" t="str">
        <v>AGROIDEAS S A</v>
      </c>
      <c r="C1144" s="6">
        <v>0</v>
      </c>
      <c r="D1144" s="6">
        <v>5687.48</v>
      </c>
      <c r="E1144" t="str">
        <v>Dólar Matba Rofex</v>
      </c>
      <c r="F1144" t="str">
        <v xml:space="preserve"> U$S MR</v>
      </c>
      <c r="G1144" t="str">
        <f>IFERROR(VLOOKUP(A1144,'Clientes CBOT'!B:E,4,0),B1144)</f>
        <v>AGROIDEAS S A</v>
      </c>
      <c r="H1144" t="str">
        <f t="shared" si="53"/>
        <v>usd linked</v>
      </c>
      <c r="I1144" s="6">
        <f t="shared" si="54"/>
        <v>0</v>
      </c>
      <c r="J1144">
        <f t="shared" si="52"/>
        <v>5687.48</v>
      </c>
    </row>
    <row r="1145" spans="1:10" hidden="1" x14ac:dyDescent="0.3">
      <c r="A1145">
        <v>17</v>
      </c>
      <c r="B1145" t="str">
        <v>CONO SA</v>
      </c>
      <c r="C1145" s="6">
        <v>0</v>
      </c>
      <c r="D1145" s="6">
        <v>0</v>
      </c>
      <c r="E1145" t="str">
        <v>Dólar Matba Rofex</v>
      </c>
      <c r="F1145" t="str">
        <v xml:space="preserve"> U$S MR</v>
      </c>
      <c r="G1145" t="str">
        <f>IFERROR(VLOOKUP(A1145,'Clientes CBOT'!B:E,4,0),B1145)</f>
        <v>CONO SA</v>
      </c>
      <c r="H1145" t="str">
        <f t="shared" si="53"/>
        <v>usd linked</v>
      </c>
      <c r="I1145" s="6">
        <f t="shared" si="54"/>
        <v>0</v>
      </c>
      <c r="J1145">
        <f t="shared" si="52"/>
        <v>0</v>
      </c>
    </row>
    <row r="1146" spans="1:10" hidden="1" x14ac:dyDescent="0.3">
      <c r="A1146">
        <v>456</v>
      </c>
      <c r="B1146" t="str">
        <v>AGL SA</v>
      </c>
      <c r="C1146" s="6">
        <v>0</v>
      </c>
      <c r="D1146" s="6">
        <v>0</v>
      </c>
      <c r="E1146" t="str">
        <v>Dólar Matba Rofex</v>
      </c>
      <c r="F1146" t="str">
        <v xml:space="preserve"> U$S MR</v>
      </c>
      <c r="G1146" t="str">
        <f>IFERROR(VLOOKUP(A1146,'Clientes CBOT'!B:E,4,0),B1146)</f>
        <v>AGL SA</v>
      </c>
      <c r="H1146" t="str">
        <f t="shared" si="53"/>
        <v>usd linked</v>
      </c>
      <c r="I1146" s="6">
        <f t="shared" si="54"/>
        <v>0</v>
      </c>
      <c r="J1146">
        <f t="shared" si="52"/>
        <v>0</v>
      </c>
    </row>
    <row r="1147" spans="1:10" hidden="1" x14ac:dyDescent="0.3">
      <c r="A1147">
        <v>555</v>
      </c>
      <c r="B1147" t="str">
        <v>FULL AGRO SA</v>
      </c>
      <c r="C1147" s="6">
        <v>0.17</v>
      </c>
      <c r="D1147" s="6">
        <v>0</v>
      </c>
      <c r="E1147" t="str">
        <v>Pesos</v>
      </c>
      <c r="F1147" t="str">
        <v xml:space="preserve"> $</v>
      </c>
      <c r="G1147" t="str">
        <f>IFERROR(VLOOKUP(A1147,'Clientes CBOT'!B:E,4,0),B1147)</f>
        <v>FULL AGRO SA</v>
      </c>
      <c r="H1147" t="str">
        <f t="shared" si="53"/>
        <v>Ars</v>
      </c>
      <c r="I1147" s="6">
        <f t="shared" si="54"/>
        <v>0.17</v>
      </c>
      <c r="J1147">
        <f t="shared" si="52"/>
        <v>0</v>
      </c>
    </row>
    <row r="1148" spans="1:10" hidden="1" x14ac:dyDescent="0.3">
      <c r="A1148">
        <v>556</v>
      </c>
      <c r="B1148" t="str">
        <v>BIOCERES SA</v>
      </c>
      <c r="C1148" s="6">
        <v>336.44</v>
      </c>
      <c r="D1148" s="6">
        <v>0</v>
      </c>
      <c r="E1148" t="str">
        <v>Pesos</v>
      </c>
      <c r="F1148" t="str">
        <v xml:space="preserve"> $</v>
      </c>
      <c r="G1148" t="str">
        <f>IFERROR(VLOOKUP(A1148,'Clientes CBOT'!B:E,4,0),B1148)</f>
        <v>BIOCERES SA</v>
      </c>
      <c r="H1148" t="str">
        <f t="shared" si="53"/>
        <v>Ars</v>
      </c>
      <c r="I1148" s="6">
        <f t="shared" si="54"/>
        <v>336.44</v>
      </c>
      <c r="J1148">
        <f t="shared" si="52"/>
        <v>0</v>
      </c>
    </row>
    <row r="1149" spans="1:10" hidden="1" x14ac:dyDescent="0.3">
      <c r="A1149">
        <v>558</v>
      </c>
      <c r="B1149" t="str">
        <v>AGROPECUARIA RIO DEL VALLE SA</v>
      </c>
      <c r="C1149" s="6">
        <v>-0.3</v>
      </c>
      <c r="D1149" s="6">
        <v>0</v>
      </c>
      <c r="E1149" t="str">
        <v>Pesos</v>
      </c>
      <c r="F1149" t="str">
        <v xml:space="preserve"> $</v>
      </c>
      <c r="G1149" t="str">
        <f>IFERROR(VLOOKUP(A1149,'Clientes CBOT'!B:E,4,0),B1149)</f>
        <v>AGROPECUARIA RIO DEL VALLE SA</v>
      </c>
      <c r="H1149" t="str">
        <f t="shared" si="53"/>
        <v>Ars</v>
      </c>
      <c r="I1149" s="6">
        <f t="shared" si="54"/>
        <v>-0.3</v>
      </c>
      <c r="J1149">
        <f t="shared" ref="J1149:J1212" si="55">IF(H1149="ars",D1149/$J$1,IF(H1149="hard",D1149*$J$2/$J$1,D1149))</f>
        <v>0</v>
      </c>
    </row>
    <row r="1150" spans="1:10" hidden="1" x14ac:dyDescent="0.3">
      <c r="A1150">
        <v>556</v>
      </c>
      <c r="B1150" t="str">
        <v>BIOCERES SA</v>
      </c>
      <c r="C1150" s="6">
        <v>-25.88</v>
      </c>
      <c r="D1150" s="6">
        <v>0</v>
      </c>
      <c r="E1150" t="str">
        <v>Dólar Cable</v>
      </c>
      <c r="F1150" t="str">
        <v xml:space="preserve"> U$S TT</v>
      </c>
      <c r="G1150" t="str">
        <f>IFERROR(VLOOKUP(A1150,'Clientes CBOT'!B:E,4,0),B1150)</f>
        <v>BIOCERES SA</v>
      </c>
      <c r="H1150" t="str">
        <f t="shared" si="53"/>
        <v>Hard</v>
      </c>
      <c r="I1150" s="6">
        <f t="shared" si="54"/>
        <v>-25.88</v>
      </c>
      <c r="J1150">
        <f t="shared" si="55"/>
        <v>0</v>
      </c>
    </row>
    <row r="1151" spans="1:10" hidden="1" x14ac:dyDescent="0.3">
      <c r="A1151">
        <v>556</v>
      </c>
      <c r="B1151" t="str">
        <v>BIOCERES SA</v>
      </c>
      <c r="C1151" s="6">
        <v>0</v>
      </c>
      <c r="D1151" s="6">
        <v>0</v>
      </c>
      <c r="E1151" t="str">
        <v>Dólar Matba Rofex</v>
      </c>
      <c r="F1151" t="str">
        <v xml:space="preserve"> U$S MR</v>
      </c>
      <c r="G1151" t="str">
        <f>IFERROR(VLOOKUP(A1151,'Clientes CBOT'!B:E,4,0),B1151)</f>
        <v>BIOCERES SA</v>
      </c>
      <c r="H1151" t="str">
        <f t="shared" si="53"/>
        <v>usd linked</v>
      </c>
      <c r="I1151" s="6">
        <f t="shared" si="54"/>
        <v>0</v>
      </c>
      <c r="J1151">
        <f t="shared" si="55"/>
        <v>0</v>
      </c>
    </row>
    <row r="1152" spans="1:10" hidden="1" x14ac:dyDescent="0.3">
      <c r="A1152">
        <v>558</v>
      </c>
      <c r="B1152" t="str">
        <v>AGROPECUARIA RIO DEL VALLE SA</v>
      </c>
      <c r="C1152" s="6">
        <v>-1.01</v>
      </c>
      <c r="D1152" s="6">
        <v>0</v>
      </c>
      <c r="E1152" t="str">
        <v>Dólar Matba Rofex</v>
      </c>
      <c r="F1152" t="str">
        <v xml:space="preserve"> U$S MR</v>
      </c>
      <c r="G1152" t="str">
        <f>IFERROR(VLOOKUP(A1152,'Clientes CBOT'!B:E,4,0),B1152)</f>
        <v>AGROPECUARIA RIO DEL VALLE SA</v>
      </c>
      <c r="H1152" t="str">
        <f t="shared" si="53"/>
        <v>usd linked</v>
      </c>
      <c r="I1152" s="6">
        <f t="shared" si="54"/>
        <v>-1.01</v>
      </c>
      <c r="J1152">
        <f t="shared" si="55"/>
        <v>0</v>
      </c>
    </row>
    <row r="1153" spans="1:10" hidden="1" x14ac:dyDescent="0.3">
      <c r="A1153">
        <v>550</v>
      </c>
      <c r="B1153" t="str">
        <v>REALICO AGROSOLUCIONES SRL</v>
      </c>
      <c r="C1153" s="6">
        <v>-954.15</v>
      </c>
      <c r="D1153" s="6">
        <v>0</v>
      </c>
      <c r="E1153" t="str">
        <v>Pesos</v>
      </c>
      <c r="F1153" t="str">
        <v xml:space="preserve"> $</v>
      </c>
      <c r="G1153" t="str">
        <f>IFERROR(VLOOKUP(A1153,'Clientes CBOT'!B:E,4,0),B1153)</f>
        <v>REALICO AGROSOLUCIONES SRL</v>
      </c>
      <c r="H1153" t="str">
        <f t="shared" si="53"/>
        <v>Ars</v>
      </c>
      <c r="I1153" s="6">
        <f t="shared" si="54"/>
        <v>-954.15</v>
      </c>
      <c r="J1153">
        <f t="shared" si="55"/>
        <v>0</v>
      </c>
    </row>
    <row r="1154" spans="1:10" hidden="1" x14ac:dyDescent="0.3">
      <c r="A1154">
        <v>557</v>
      </c>
      <c r="B1154" t="str">
        <v>GAVIGLIO COMERCIAL SA</v>
      </c>
      <c r="C1154" s="6">
        <v>0.23</v>
      </c>
      <c r="D1154" s="6">
        <v>0</v>
      </c>
      <c r="E1154" t="str">
        <v>Pesos</v>
      </c>
      <c r="F1154" t="str">
        <v xml:space="preserve"> $</v>
      </c>
      <c r="G1154" t="str">
        <f>IFERROR(VLOOKUP(A1154,'Clientes CBOT'!B:E,4,0),B1154)</f>
        <v>GAVIGLIO COMERCIAL SA</v>
      </c>
      <c r="H1154" t="str">
        <f t="shared" si="53"/>
        <v>Ars</v>
      </c>
      <c r="I1154" s="6">
        <f t="shared" si="54"/>
        <v>0.23</v>
      </c>
      <c r="J1154">
        <f t="shared" si="55"/>
        <v>0</v>
      </c>
    </row>
    <row r="1155" spans="1:10" hidden="1" x14ac:dyDescent="0.3">
      <c r="A1155">
        <v>6015</v>
      </c>
      <c r="B1155" t="str">
        <v>SCORZIELLO Y GALELLA S.A.</v>
      </c>
      <c r="C1155" s="6">
        <v>0</v>
      </c>
      <c r="D1155" s="6">
        <v>0</v>
      </c>
      <c r="E1155" t="str">
        <v>Pesos</v>
      </c>
      <c r="F1155" t="str">
        <v xml:space="preserve"> $</v>
      </c>
      <c r="G1155" t="str">
        <f>IFERROR(VLOOKUP(A1155,'Clientes CBOT'!B:E,4,0),B1155)</f>
        <v>SCORZIELLO Y GALELLA S.A.</v>
      </c>
      <c r="H1155" t="str">
        <f t="shared" si="53"/>
        <v>Ars</v>
      </c>
      <c r="I1155" s="6">
        <f t="shared" si="54"/>
        <v>0</v>
      </c>
      <c r="J1155">
        <f t="shared" si="55"/>
        <v>0</v>
      </c>
    </row>
    <row r="1156" spans="1:10" hidden="1" x14ac:dyDescent="0.3">
      <c r="A1156">
        <v>6038</v>
      </c>
      <c r="B1156" t="str">
        <v>OPIMUS AGRO S.A.</v>
      </c>
      <c r="C1156" s="6">
        <v>0.12</v>
      </c>
      <c r="D1156" s="6">
        <v>0</v>
      </c>
      <c r="E1156" t="str">
        <v>Pesos</v>
      </c>
      <c r="F1156" t="str">
        <v xml:space="preserve"> $</v>
      </c>
      <c r="G1156" t="str">
        <f>IFERROR(VLOOKUP(A1156,'Clientes CBOT'!B:E,4,0),B1156)</f>
        <v>OPIMUS AGRO S.A.</v>
      </c>
      <c r="H1156" t="str">
        <f t="shared" si="53"/>
        <v>Ars</v>
      </c>
      <c r="I1156" s="6">
        <f t="shared" si="54"/>
        <v>0.12</v>
      </c>
      <c r="J1156">
        <f t="shared" si="55"/>
        <v>0</v>
      </c>
    </row>
    <row r="1157" spans="1:10" hidden="1" x14ac:dyDescent="0.3">
      <c r="A1157">
        <v>6031</v>
      </c>
      <c r="B1157" t="str">
        <v>AGRICOM DEPETRIS S.A.</v>
      </c>
      <c r="C1157" s="6">
        <v>0.97</v>
      </c>
      <c r="D1157" s="6">
        <v>0</v>
      </c>
      <c r="E1157" t="str">
        <v>Pesos</v>
      </c>
      <c r="F1157" t="str">
        <v xml:space="preserve"> $</v>
      </c>
      <c r="G1157" t="str">
        <f>IFERROR(VLOOKUP(A1157,'Clientes CBOT'!B:E,4,0),B1157)</f>
        <v>AGRICOM DEPETRIS S.A.</v>
      </c>
      <c r="H1157" t="str">
        <f t="shared" ref="H1157:H1220" si="56">IF(E1157="pesos","Ars",IF(E1157="Dólar Matba Rofex","usd linked",IF(F1157=" U$S TT","Hard","Dólar")))</f>
        <v>Ars</v>
      </c>
      <c r="I1157" s="6">
        <f t="shared" ref="I1157:I1220" si="57">IF(H1157="ars",C1157/$J$1,IF(H1157="Hard",C1157*$J$2/$J$1,C1157))</f>
        <v>0.97</v>
      </c>
      <c r="J1157">
        <f t="shared" si="55"/>
        <v>0</v>
      </c>
    </row>
    <row r="1158" spans="1:10" hidden="1" x14ac:dyDescent="0.3">
      <c r="A1158">
        <v>6025</v>
      </c>
      <c r="B1158" t="str">
        <v>ALBRECHT AGROPECUARIA S.R.L.</v>
      </c>
      <c r="C1158" s="6">
        <v>0</v>
      </c>
      <c r="D1158" s="6">
        <v>0</v>
      </c>
      <c r="E1158" t="str">
        <v>Pesos</v>
      </c>
      <c r="F1158" t="str">
        <v xml:space="preserve"> $</v>
      </c>
      <c r="G1158" t="str">
        <f>IFERROR(VLOOKUP(A1158,'Clientes CBOT'!B:E,4,0),B1158)</f>
        <v>ALBRECHT AGROPECUARIA S.R.L.</v>
      </c>
      <c r="H1158" t="str">
        <f t="shared" si="56"/>
        <v>Ars</v>
      </c>
      <c r="I1158" s="6">
        <f t="shared" si="57"/>
        <v>0</v>
      </c>
      <c r="J1158">
        <f t="shared" si="55"/>
        <v>0</v>
      </c>
    </row>
    <row r="1159" spans="1:10" hidden="1" x14ac:dyDescent="0.3">
      <c r="A1159">
        <v>6047</v>
      </c>
      <c r="B1159" t="str">
        <v>RIBOLDI NORBERTO y RIBOLDI JAVIER OMAR</v>
      </c>
      <c r="C1159" s="6">
        <v>3400000</v>
      </c>
      <c r="D1159" s="6">
        <v>0</v>
      </c>
      <c r="E1159" t="str">
        <v>Pesos</v>
      </c>
      <c r="F1159" t="str">
        <v xml:space="preserve"> $</v>
      </c>
      <c r="G1159" t="str">
        <f>IFERROR(VLOOKUP(A1159,'Clientes CBOT'!B:E,4,0),B1159)</f>
        <v>RIBOLDI NORBERTO y RIBOLDI JAVIER OMAR</v>
      </c>
      <c r="H1159" t="str">
        <f t="shared" si="56"/>
        <v>Ars</v>
      </c>
      <c r="I1159" s="6">
        <f t="shared" si="57"/>
        <v>3400000</v>
      </c>
      <c r="J1159">
        <f t="shared" si="55"/>
        <v>0</v>
      </c>
    </row>
    <row r="1160" spans="1:10" hidden="1" x14ac:dyDescent="0.3">
      <c r="A1160">
        <v>260</v>
      </c>
      <c r="B1160" t="str">
        <v>Centro Agropecuario Modelo S.A.</v>
      </c>
      <c r="C1160" s="6">
        <v>0</v>
      </c>
      <c r="D1160" s="6">
        <v>0.01</v>
      </c>
      <c r="E1160" t="str">
        <v>Pesos</v>
      </c>
      <c r="F1160" t="str">
        <v xml:space="preserve"> $</v>
      </c>
      <c r="G1160" t="str">
        <f>IFERROR(VLOOKUP(A1160,'Clientes CBOT'!B:E,4,0),B1160)</f>
        <v>Centro Agropecuario Modelo S.A.</v>
      </c>
      <c r="H1160" t="str">
        <f t="shared" si="56"/>
        <v>Ars</v>
      </c>
      <c r="I1160" s="6">
        <f t="shared" si="57"/>
        <v>0</v>
      </c>
      <c r="J1160">
        <f t="shared" si="55"/>
        <v>0.01</v>
      </c>
    </row>
    <row r="1161" spans="1:10" hidden="1" x14ac:dyDescent="0.3">
      <c r="A1161">
        <v>186</v>
      </c>
      <c r="B1161" t="str">
        <v>CERROS SERVICIOS AGRICOLAS S.A.</v>
      </c>
      <c r="C1161" s="6">
        <v>-660888.27</v>
      </c>
      <c r="D1161" s="6">
        <v>0</v>
      </c>
      <c r="E1161" t="str">
        <v>Pesos</v>
      </c>
      <c r="F1161" t="str">
        <v xml:space="preserve"> $</v>
      </c>
      <c r="G1161" t="str">
        <f>IFERROR(VLOOKUP(A1161,'Clientes CBOT'!B:E,4,0),B1161)</f>
        <v>CERROS SERVICIOS AGRICOLAS S.A.</v>
      </c>
      <c r="H1161" t="str">
        <f t="shared" si="56"/>
        <v>Ars</v>
      </c>
      <c r="I1161" s="6">
        <f t="shared" si="57"/>
        <v>-660888.27</v>
      </c>
      <c r="J1161">
        <f t="shared" si="55"/>
        <v>0</v>
      </c>
    </row>
    <row r="1162" spans="1:10" hidden="1" x14ac:dyDescent="0.3">
      <c r="A1162">
        <v>183</v>
      </c>
      <c r="B1162" t="str">
        <v>BUNGE ARGENTINA SA</v>
      </c>
      <c r="C1162" s="6">
        <v>-14256999.130000001</v>
      </c>
      <c r="D1162" s="6">
        <v>0</v>
      </c>
      <c r="E1162" t="str">
        <v>Pesos</v>
      </c>
      <c r="F1162" t="str">
        <v xml:space="preserve"> $</v>
      </c>
      <c r="G1162" t="str">
        <f>IFERROR(VLOOKUP(A1162,'Clientes CBOT'!B:E,4,0),B1162)</f>
        <v>BUNGE ARGENTINA SA</v>
      </c>
      <c r="H1162" t="str">
        <f t="shared" si="56"/>
        <v>Ars</v>
      </c>
      <c r="I1162" s="6">
        <f t="shared" si="57"/>
        <v>-14256999.130000001</v>
      </c>
      <c r="J1162">
        <f t="shared" si="55"/>
        <v>0</v>
      </c>
    </row>
    <row r="1163" spans="1:10" hidden="1" x14ac:dyDescent="0.3">
      <c r="A1163">
        <v>182</v>
      </c>
      <c r="B1163" t="str">
        <v>BUNGE ARGENTINA SA</v>
      </c>
      <c r="C1163" s="6">
        <v>-3391178.5</v>
      </c>
      <c r="D1163" s="6">
        <v>0</v>
      </c>
      <c r="E1163" t="str">
        <v>Pesos</v>
      </c>
      <c r="F1163" t="str">
        <v xml:space="preserve"> $</v>
      </c>
      <c r="G1163" t="str">
        <f>IFERROR(VLOOKUP(A1163,'Clientes CBOT'!B:E,4,0),B1163)</f>
        <v>BUNGE ARGENTINA SA</v>
      </c>
      <c r="H1163" t="str">
        <f t="shared" si="56"/>
        <v>Ars</v>
      </c>
      <c r="I1163" s="6">
        <f t="shared" si="57"/>
        <v>-3391178.5</v>
      </c>
      <c r="J1163">
        <f t="shared" si="55"/>
        <v>0</v>
      </c>
    </row>
    <row r="1164" spans="1:10" hidden="1" x14ac:dyDescent="0.3">
      <c r="A1164">
        <v>188</v>
      </c>
      <c r="B1164" t="str">
        <v>CERROS SERVICIOS AGRICOLAS S.A.</v>
      </c>
      <c r="C1164" s="6">
        <v>-9143103.7899999991</v>
      </c>
      <c r="D1164" s="6">
        <v>0</v>
      </c>
      <c r="E1164" t="str">
        <v>Pesos</v>
      </c>
      <c r="F1164" t="str">
        <v xml:space="preserve"> $</v>
      </c>
      <c r="G1164" t="str">
        <f>IFERROR(VLOOKUP(A1164,'Clientes CBOT'!B:E,4,0),B1164)</f>
        <v>CERROS SERVICIOS AGRICOLAS S.A.</v>
      </c>
      <c r="H1164" t="str">
        <f t="shared" si="56"/>
        <v>Ars</v>
      </c>
      <c r="I1164" s="6">
        <f t="shared" si="57"/>
        <v>-9143103.7899999991</v>
      </c>
      <c r="J1164">
        <f t="shared" si="55"/>
        <v>0</v>
      </c>
    </row>
    <row r="1165" spans="1:10" hidden="1" x14ac:dyDescent="0.3">
      <c r="A1165">
        <v>184</v>
      </c>
      <c r="B1165" t="str">
        <v>BUNGE ARGENTINA SA</v>
      </c>
      <c r="C1165" s="6">
        <v>2996658.09</v>
      </c>
      <c r="D1165" s="6">
        <v>0</v>
      </c>
      <c r="E1165" t="str">
        <v>Pesos</v>
      </c>
      <c r="F1165" t="str">
        <v xml:space="preserve"> $</v>
      </c>
      <c r="G1165" t="str">
        <f>IFERROR(VLOOKUP(A1165,'Clientes CBOT'!B:E,4,0),B1165)</f>
        <v>BUNGE ARGENTINA SA</v>
      </c>
      <c r="H1165" t="str">
        <f t="shared" si="56"/>
        <v>Ars</v>
      </c>
      <c r="I1165" s="6">
        <f t="shared" si="57"/>
        <v>2996658.09</v>
      </c>
      <c r="J1165">
        <f t="shared" si="55"/>
        <v>0</v>
      </c>
    </row>
    <row r="1166" spans="1:10" hidden="1" x14ac:dyDescent="0.3">
      <c r="A1166">
        <v>187</v>
      </c>
      <c r="B1166" t="str">
        <v>CERROS SERVICIOS AGRICOLAS S.A.</v>
      </c>
      <c r="C1166" s="6">
        <v>-5081048.18</v>
      </c>
      <c r="D1166" s="6">
        <v>0</v>
      </c>
      <c r="E1166" t="str">
        <v>Pesos</v>
      </c>
      <c r="F1166" t="str">
        <v xml:space="preserve"> $</v>
      </c>
      <c r="G1166" t="str">
        <f>IFERROR(VLOOKUP(A1166,'Clientes CBOT'!B:E,4,0),B1166)</f>
        <v>CERROS SERVICIOS AGRICOLAS S.A.</v>
      </c>
      <c r="H1166" t="str">
        <f t="shared" si="56"/>
        <v>Ars</v>
      </c>
      <c r="I1166" s="6">
        <f t="shared" si="57"/>
        <v>-5081048.18</v>
      </c>
      <c r="J1166">
        <f t="shared" si="55"/>
        <v>0</v>
      </c>
    </row>
    <row r="1167" spans="1:10" hidden="1" x14ac:dyDescent="0.3">
      <c r="A1167">
        <v>6092</v>
      </c>
      <c r="B1167" t="str">
        <v>TOLVAS SA</v>
      </c>
      <c r="C1167" s="6">
        <v>-8254000</v>
      </c>
      <c r="D1167" s="6">
        <v>0</v>
      </c>
      <c r="E1167" t="str">
        <v>Pesos</v>
      </c>
      <c r="F1167" t="str">
        <v xml:space="preserve"> $</v>
      </c>
      <c r="G1167" t="str">
        <f>IFERROR(VLOOKUP(A1167,'Clientes CBOT'!B:E,4,0),B1167)</f>
        <v>TOLVAS SA</v>
      </c>
      <c r="H1167" t="str">
        <f t="shared" si="56"/>
        <v>Ars</v>
      </c>
      <c r="I1167" s="6">
        <f t="shared" si="57"/>
        <v>-8254000</v>
      </c>
      <c r="J1167">
        <f t="shared" si="55"/>
        <v>0</v>
      </c>
    </row>
    <row r="1168" spans="1:10" hidden="1" x14ac:dyDescent="0.3">
      <c r="A1168">
        <v>6093</v>
      </c>
      <c r="B1168" t="str">
        <v>ETCHEVERRY MARTIN ENRIQUE</v>
      </c>
      <c r="C1168" s="6">
        <v>-16576576.9</v>
      </c>
      <c r="D1168" s="6">
        <v>0</v>
      </c>
      <c r="E1168" t="str">
        <v>Pesos</v>
      </c>
      <c r="F1168" t="str">
        <v xml:space="preserve"> $</v>
      </c>
      <c r="G1168" t="str">
        <f>IFERROR(VLOOKUP(A1168,'Clientes CBOT'!B:E,4,0),B1168)</f>
        <v>ETCHEVERRY MARTIN ENRIQUE</v>
      </c>
      <c r="H1168" t="str">
        <f t="shared" si="56"/>
        <v>Ars</v>
      </c>
      <c r="I1168" s="6">
        <f t="shared" si="57"/>
        <v>-16576576.9</v>
      </c>
      <c r="J1168">
        <f t="shared" si="55"/>
        <v>0</v>
      </c>
    </row>
    <row r="1169" spans="1:10" hidden="1" x14ac:dyDescent="0.3">
      <c r="A1169">
        <v>12</v>
      </c>
      <c r="B1169" t="str">
        <v>BUNGE ARGENTINA SA</v>
      </c>
      <c r="C1169" s="6">
        <v>17307637.760000002</v>
      </c>
      <c r="D1169" s="6">
        <v>-0.01</v>
      </c>
      <c r="E1169" t="str">
        <v>Pesos</v>
      </c>
      <c r="F1169" t="str">
        <v xml:space="preserve"> $</v>
      </c>
      <c r="G1169" t="str">
        <f>IFERROR(VLOOKUP(A1169,'Clientes CBOT'!B:E,4,0),B1169)</f>
        <v>BUNGE ARGENTINA SA</v>
      </c>
      <c r="H1169" t="str">
        <f t="shared" si="56"/>
        <v>Ars</v>
      </c>
      <c r="I1169" s="6">
        <f t="shared" si="57"/>
        <v>17307637.760000002</v>
      </c>
      <c r="J1169">
        <f t="shared" si="55"/>
        <v>-0.01</v>
      </c>
    </row>
    <row r="1170" spans="1:10" hidden="1" x14ac:dyDescent="0.3">
      <c r="A1170">
        <v>15</v>
      </c>
      <c r="B1170" t="str">
        <v>CERROS SERVICIOS AGRICOLAS S.A.</v>
      </c>
      <c r="C1170" s="6">
        <v>-52932828.939999998</v>
      </c>
      <c r="D1170" s="6">
        <v>0</v>
      </c>
      <c r="E1170" t="str">
        <v>Pesos</v>
      </c>
      <c r="F1170" t="str">
        <v xml:space="preserve"> $</v>
      </c>
      <c r="G1170" t="str">
        <f>IFERROR(VLOOKUP(A1170,'Clientes CBOT'!B:E,4,0),B1170)</f>
        <v>CERROS SERVICIOS AGRICOLAS S.A.</v>
      </c>
      <c r="H1170" t="str">
        <f t="shared" si="56"/>
        <v>Ars</v>
      </c>
      <c r="I1170" s="6">
        <f t="shared" si="57"/>
        <v>-52932828.939999998</v>
      </c>
      <c r="J1170">
        <f t="shared" si="55"/>
        <v>0</v>
      </c>
    </row>
    <row r="1171" spans="1:10" hidden="1" x14ac:dyDescent="0.3">
      <c r="A1171">
        <v>84</v>
      </c>
      <c r="B1171" t="str">
        <v>AGROTECNOLOGIA Y SERVICIOS SA</v>
      </c>
      <c r="C1171" s="6">
        <v>-1731165.59</v>
      </c>
      <c r="D1171" s="6">
        <v>0</v>
      </c>
      <c r="E1171" t="str">
        <v>Pesos</v>
      </c>
      <c r="F1171" t="str">
        <v xml:space="preserve"> $</v>
      </c>
      <c r="G1171" t="str">
        <f>IFERROR(VLOOKUP(A1171,'Clientes CBOT'!B:E,4,0),B1171)</f>
        <v>AGROTECNOLOGIA Y SERVICIOS SA</v>
      </c>
      <c r="H1171" t="str">
        <f t="shared" si="56"/>
        <v>Ars</v>
      </c>
      <c r="I1171" s="6">
        <f t="shared" si="57"/>
        <v>-1731165.59</v>
      </c>
      <c r="J1171">
        <f t="shared" si="55"/>
        <v>0</v>
      </c>
    </row>
    <row r="1172" spans="1:10" hidden="1" x14ac:dyDescent="0.3">
      <c r="A1172">
        <v>25</v>
      </c>
      <c r="B1172" t="str">
        <v>DON PONCIANO SA</v>
      </c>
      <c r="C1172" s="6">
        <v>0</v>
      </c>
      <c r="D1172" s="6">
        <v>0</v>
      </c>
      <c r="E1172" t="str">
        <v>Pesos</v>
      </c>
      <c r="F1172" t="str">
        <v xml:space="preserve"> $</v>
      </c>
      <c r="G1172" t="str">
        <f>IFERROR(VLOOKUP(A1172,'Clientes CBOT'!B:E,4,0),B1172)</f>
        <v>DON PONCIANO SA</v>
      </c>
      <c r="H1172" t="str">
        <f t="shared" si="56"/>
        <v>Ars</v>
      </c>
      <c r="I1172" s="6">
        <f t="shared" si="57"/>
        <v>0</v>
      </c>
      <c r="J1172">
        <f t="shared" si="55"/>
        <v>0</v>
      </c>
    </row>
    <row r="1173" spans="1:10" hidden="1" x14ac:dyDescent="0.3">
      <c r="A1173">
        <v>113</v>
      </c>
      <c r="B1173" t="str">
        <v>BASF ARGENTINA SA</v>
      </c>
      <c r="C1173" s="6">
        <v>106.92</v>
      </c>
      <c r="D1173" s="6">
        <v>0</v>
      </c>
      <c r="E1173" t="str">
        <v>Pesos</v>
      </c>
      <c r="F1173" t="str">
        <v xml:space="preserve"> $</v>
      </c>
      <c r="G1173" t="str">
        <f>IFERROR(VLOOKUP(A1173,'Clientes CBOT'!B:E,4,0),B1173)</f>
        <v>BASF ARGENTINA SA</v>
      </c>
      <c r="H1173" t="str">
        <f t="shared" si="56"/>
        <v>Ars</v>
      </c>
      <c r="I1173" s="6">
        <f t="shared" si="57"/>
        <v>106.92</v>
      </c>
      <c r="J1173">
        <f t="shared" si="55"/>
        <v>0</v>
      </c>
    </row>
    <row r="1174" spans="1:10" hidden="1" x14ac:dyDescent="0.3">
      <c r="A1174">
        <v>547</v>
      </c>
      <c r="B1174" t="str">
        <v>DEL FABRO HNOS Y CIA SA</v>
      </c>
      <c r="C1174" s="6">
        <v>0</v>
      </c>
      <c r="D1174" s="6">
        <v>0</v>
      </c>
      <c r="E1174" t="str">
        <v>Pesos</v>
      </c>
      <c r="F1174" t="str">
        <v xml:space="preserve"> $</v>
      </c>
      <c r="G1174" t="str">
        <f>IFERROR(VLOOKUP(A1174,'Clientes CBOT'!B:E,4,0),B1174)</f>
        <v>DEL FABRO HNOS Y CIA SA</v>
      </c>
      <c r="H1174" t="str">
        <f t="shared" si="56"/>
        <v>Ars</v>
      </c>
      <c r="I1174" s="6">
        <f t="shared" si="57"/>
        <v>0</v>
      </c>
      <c r="J1174">
        <f t="shared" si="55"/>
        <v>0</v>
      </c>
    </row>
    <row r="1175" spans="1:10" hidden="1" x14ac:dyDescent="0.3">
      <c r="A1175">
        <v>500</v>
      </c>
      <c r="B1175" t="str">
        <v>BUNGE ARGENTINA SA</v>
      </c>
      <c r="C1175" s="6">
        <v>-2656167.4500000002</v>
      </c>
      <c r="D1175" s="6">
        <v>0</v>
      </c>
      <c r="E1175" t="str">
        <v>Pesos</v>
      </c>
      <c r="F1175" t="str">
        <v xml:space="preserve"> $</v>
      </c>
      <c r="G1175" t="str">
        <f>IFERROR(VLOOKUP(A1175,'Clientes CBOT'!B:E,4,0),B1175)</f>
        <v>BUNGE ARGENTINA SA</v>
      </c>
      <c r="H1175" t="str">
        <f t="shared" si="56"/>
        <v>Ars</v>
      </c>
      <c r="I1175" s="6">
        <f t="shared" si="57"/>
        <v>-2656167.4500000002</v>
      </c>
      <c r="J1175">
        <f t="shared" si="55"/>
        <v>0</v>
      </c>
    </row>
    <row r="1176" spans="1:10" hidden="1" x14ac:dyDescent="0.3">
      <c r="A1176">
        <v>503</v>
      </c>
      <c r="B1176" t="str">
        <v>RURALCO SOLUCIONES SA</v>
      </c>
      <c r="C1176" s="6">
        <v>0</v>
      </c>
      <c r="D1176" s="6">
        <v>-0.03</v>
      </c>
      <c r="E1176" t="str">
        <v>Pesos</v>
      </c>
      <c r="F1176" t="str">
        <v xml:space="preserve"> $</v>
      </c>
      <c r="G1176" t="str">
        <f>IFERROR(VLOOKUP(A1176,'Clientes CBOT'!B:E,4,0),B1176)</f>
        <v>RURALCO SOLUCIONES SA</v>
      </c>
      <c r="H1176" t="str">
        <f t="shared" si="56"/>
        <v>Ars</v>
      </c>
      <c r="I1176" s="6">
        <f t="shared" si="57"/>
        <v>0</v>
      </c>
      <c r="J1176">
        <f t="shared" si="55"/>
        <v>-0.03</v>
      </c>
    </row>
    <row r="1177" spans="1:10" hidden="1" x14ac:dyDescent="0.3">
      <c r="A1177">
        <v>103</v>
      </c>
      <c r="B1177" t="str">
        <v>ADECO AGROPECUARIA SA</v>
      </c>
      <c r="C1177" s="6">
        <v>1486.23</v>
      </c>
      <c r="D1177" s="6">
        <v>0</v>
      </c>
      <c r="E1177" t="str">
        <v>Pesos</v>
      </c>
      <c r="F1177" t="str">
        <v xml:space="preserve"> $</v>
      </c>
      <c r="G1177" t="str">
        <f>IFERROR(VLOOKUP(A1177,'Clientes CBOT'!B:E,4,0),B1177)</f>
        <v>ADECO AGROPECUARIA SA</v>
      </c>
      <c r="H1177" t="str">
        <f t="shared" si="56"/>
        <v>Ars</v>
      </c>
      <c r="I1177" s="6">
        <f t="shared" si="57"/>
        <v>1486.23</v>
      </c>
      <c r="J1177">
        <f t="shared" si="55"/>
        <v>0</v>
      </c>
    </row>
    <row r="1178" spans="1:10" hidden="1" x14ac:dyDescent="0.3">
      <c r="A1178">
        <v>103</v>
      </c>
      <c r="B1178" t="str">
        <v>ADECO AGROPECUARIA SA</v>
      </c>
      <c r="C1178" s="6">
        <v>0</v>
      </c>
      <c r="D1178" s="6">
        <v>0</v>
      </c>
      <c r="E1178" t="str">
        <v xml:space="preserve">Dólar </v>
      </c>
      <c r="F1178" t="str">
        <v xml:space="preserve"> U$S</v>
      </c>
      <c r="G1178" t="str">
        <f>IFERROR(VLOOKUP(A1178,'Clientes CBOT'!B:E,4,0),B1178)</f>
        <v>ADECO AGROPECUARIA SA</v>
      </c>
      <c r="H1178" t="str">
        <f t="shared" si="56"/>
        <v>Dólar</v>
      </c>
      <c r="I1178" s="6">
        <f t="shared" si="57"/>
        <v>0</v>
      </c>
      <c r="J1178">
        <f t="shared" si="55"/>
        <v>0</v>
      </c>
    </row>
    <row r="1179" spans="1:10" hidden="1" x14ac:dyDescent="0.3">
      <c r="A1179">
        <v>503</v>
      </c>
      <c r="B1179" t="str">
        <v>RURALCO SOLUCIONES SA</v>
      </c>
      <c r="C1179" s="6">
        <v>0.69</v>
      </c>
      <c r="D1179" s="6">
        <v>0</v>
      </c>
      <c r="E1179" t="str">
        <v xml:space="preserve">Dólar </v>
      </c>
      <c r="F1179" t="str">
        <v xml:space="preserve"> U$S</v>
      </c>
      <c r="G1179" t="str">
        <f>IFERROR(VLOOKUP(A1179,'Clientes CBOT'!B:E,4,0),B1179)</f>
        <v>RURALCO SOLUCIONES SA</v>
      </c>
      <c r="H1179" t="str">
        <f t="shared" si="56"/>
        <v>Dólar</v>
      </c>
      <c r="I1179" s="6">
        <f t="shared" si="57"/>
        <v>0.69</v>
      </c>
      <c r="J1179">
        <f t="shared" si="55"/>
        <v>0</v>
      </c>
    </row>
    <row r="1180" spans="1:10" hidden="1" x14ac:dyDescent="0.3">
      <c r="A1180">
        <v>547</v>
      </c>
      <c r="B1180" t="str">
        <v>DEL FABRO HNOS Y CIA SA</v>
      </c>
      <c r="C1180" s="6">
        <v>2545.14</v>
      </c>
      <c r="D1180" s="6">
        <v>-0.01</v>
      </c>
      <c r="E1180" t="str">
        <v xml:space="preserve">Dólar </v>
      </c>
      <c r="F1180" t="str">
        <v xml:space="preserve"> U$S</v>
      </c>
      <c r="G1180" t="str">
        <f>IFERROR(VLOOKUP(A1180,'Clientes CBOT'!B:E,4,0),B1180)</f>
        <v>DEL FABRO HNOS Y CIA SA</v>
      </c>
      <c r="H1180" t="str">
        <f t="shared" si="56"/>
        <v>Dólar</v>
      </c>
      <c r="I1180" s="6">
        <f t="shared" si="57"/>
        <v>2545.14</v>
      </c>
      <c r="J1180">
        <f t="shared" si="55"/>
        <v>-0.01</v>
      </c>
    </row>
    <row r="1181" spans="1:10" hidden="1" x14ac:dyDescent="0.3">
      <c r="A1181">
        <v>84</v>
      </c>
      <c r="B1181" t="str">
        <v>AGROTECNOLOGIA Y SERVICIOS SA</v>
      </c>
      <c r="C1181" s="6">
        <v>0</v>
      </c>
      <c r="D1181" s="6">
        <v>0</v>
      </c>
      <c r="E1181" t="str">
        <v xml:space="preserve">Dólar </v>
      </c>
      <c r="F1181" t="str">
        <v xml:space="preserve"> U$S</v>
      </c>
      <c r="G1181" t="str">
        <f>IFERROR(VLOOKUP(A1181,'Clientes CBOT'!B:E,4,0),B1181)</f>
        <v>AGROTECNOLOGIA Y SERVICIOS SA</v>
      </c>
      <c r="H1181" t="str">
        <f t="shared" si="56"/>
        <v>Dólar</v>
      </c>
      <c r="I1181" s="6">
        <f t="shared" si="57"/>
        <v>0</v>
      </c>
      <c r="J1181">
        <f t="shared" si="55"/>
        <v>0</v>
      </c>
    </row>
    <row r="1182" spans="1:10" hidden="1" x14ac:dyDescent="0.3">
      <c r="A1182">
        <v>15</v>
      </c>
      <c r="B1182" t="str">
        <v>CERROS SERVICIOS AGRICOLAS S.A.</v>
      </c>
      <c r="C1182" s="6">
        <v>0</v>
      </c>
      <c r="D1182" s="6">
        <v>0</v>
      </c>
      <c r="E1182" t="str">
        <v xml:space="preserve">Dólar </v>
      </c>
      <c r="F1182" t="str">
        <v xml:space="preserve"> U$S</v>
      </c>
      <c r="G1182" t="str">
        <f>IFERROR(VLOOKUP(A1182,'Clientes CBOT'!B:E,4,0),B1182)</f>
        <v>CERROS SERVICIOS AGRICOLAS S.A.</v>
      </c>
      <c r="H1182" t="str">
        <f t="shared" si="56"/>
        <v>Dólar</v>
      </c>
      <c r="I1182" s="6">
        <f t="shared" si="57"/>
        <v>0</v>
      </c>
      <c r="J1182">
        <f t="shared" si="55"/>
        <v>0</v>
      </c>
    </row>
    <row r="1183" spans="1:10" hidden="1" x14ac:dyDescent="0.3">
      <c r="A1183">
        <v>6031</v>
      </c>
      <c r="B1183" t="str">
        <v>AGRICOM DEPETRIS S.A.</v>
      </c>
      <c r="C1183" s="6">
        <v>9712.0400000000009</v>
      </c>
      <c r="D1183" s="6">
        <v>0</v>
      </c>
      <c r="E1183" t="str">
        <v xml:space="preserve">Dólar </v>
      </c>
      <c r="F1183" t="str">
        <v xml:space="preserve"> U$S</v>
      </c>
      <c r="G1183" t="str">
        <f>IFERROR(VLOOKUP(A1183,'Clientes CBOT'!B:E,4,0),B1183)</f>
        <v>AGRICOM DEPETRIS S.A.</v>
      </c>
      <c r="H1183" t="str">
        <f t="shared" si="56"/>
        <v>Dólar</v>
      </c>
      <c r="I1183" s="6">
        <f t="shared" si="57"/>
        <v>9712.0400000000009</v>
      </c>
      <c r="J1183">
        <f t="shared" si="55"/>
        <v>0</v>
      </c>
    </row>
    <row r="1184" spans="1:10" hidden="1" x14ac:dyDescent="0.3">
      <c r="A1184">
        <v>6038</v>
      </c>
      <c r="B1184" t="str">
        <v>OPIMUS AGRO S.A.</v>
      </c>
      <c r="C1184" s="6">
        <v>917.49</v>
      </c>
      <c r="D1184" s="6">
        <v>0</v>
      </c>
      <c r="E1184" t="str">
        <v xml:space="preserve">Dólar </v>
      </c>
      <c r="F1184" t="str">
        <v xml:space="preserve"> U$S</v>
      </c>
      <c r="G1184" t="str">
        <f>IFERROR(VLOOKUP(A1184,'Clientes CBOT'!B:E,4,0),B1184)</f>
        <v>OPIMUS AGRO S.A.</v>
      </c>
      <c r="H1184" t="str">
        <f t="shared" si="56"/>
        <v>Dólar</v>
      </c>
      <c r="I1184" s="6">
        <f t="shared" si="57"/>
        <v>917.49</v>
      </c>
      <c r="J1184">
        <f t="shared" si="55"/>
        <v>0</v>
      </c>
    </row>
    <row r="1185" spans="1:10" hidden="1" x14ac:dyDescent="0.3">
      <c r="A1185">
        <v>6031</v>
      </c>
      <c r="B1185" t="str">
        <v>AGRICOM DEPETRIS S.A.</v>
      </c>
      <c r="C1185" s="6">
        <v>3860</v>
      </c>
      <c r="D1185" s="6">
        <v>635.91</v>
      </c>
      <c r="E1185" t="str">
        <v>Dólar Matba Rofex</v>
      </c>
      <c r="F1185" t="str">
        <v xml:space="preserve"> U$S MR</v>
      </c>
      <c r="G1185" t="str">
        <f>IFERROR(VLOOKUP(A1185,'Clientes CBOT'!B:E,4,0),B1185)</f>
        <v>AGRICOM DEPETRIS S.A.</v>
      </c>
      <c r="H1185" t="str">
        <f t="shared" si="56"/>
        <v>usd linked</v>
      </c>
      <c r="I1185" s="6">
        <f t="shared" si="57"/>
        <v>3860</v>
      </c>
      <c r="J1185">
        <f t="shared" si="55"/>
        <v>635.91</v>
      </c>
    </row>
    <row r="1186" spans="1:10" hidden="1" x14ac:dyDescent="0.3">
      <c r="A1186">
        <v>187</v>
      </c>
      <c r="B1186" t="str">
        <v>CERROS SERVICIOS AGRICOLAS S.A.</v>
      </c>
      <c r="C1186" s="6">
        <v>-403017.57</v>
      </c>
      <c r="D1186" s="6">
        <v>0</v>
      </c>
      <c r="E1186" t="str">
        <v>Dólar Matba Rofex</v>
      </c>
      <c r="F1186" t="str">
        <v xml:space="preserve"> U$S MR</v>
      </c>
      <c r="G1186" t="str">
        <f>IFERROR(VLOOKUP(A1186,'Clientes CBOT'!B:E,4,0),B1186)</f>
        <v>CERROS SERVICIOS AGRICOLAS S.A.</v>
      </c>
      <c r="H1186" t="str">
        <f t="shared" si="56"/>
        <v>usd linked</v>
      </c>
      <c r="I1186" s="6">
        <f t="shared" si="57"/>
        <v>-403017.57</v>
      </c>
      <c r="J1186">
        <f t="shared" si="55"/>
        <v>0</v>
      </c>
    </row>
    <row r="1187" spans="1:10" hidden="1" x14ac:dyDescent="0.3">
      <c r="A1187">
        <v>184</v>
      </c>
      <c r="B1187" t="str">
        <v>BUNGE ARGENTINA SA</v>
      </c>
      <c r="C1187" s="6">
        <v>3614791.31</v>
      </c>
      <c r="D1187" s="6">
        <v>0</v>
      </c>
      <c r="E1187" t="str">
        <v>Dólar Matba Rofex</v>
      </c>
      <c r="F1187" t="str">
        <v xml:space="preserve"> U$S MR</v>
      </c>
      <c r="G1187" t="str">
        <f>IFERROR(VLOOKUP(A1187,'Clientes CBOT'!B:E,4,0),B1187)</f>
        <v>BUNGE ARGENTINA SA</v>
      </c>
      <c r="H1187" t="str">
        <f t="shared" si="56"/>
        <v>usd linked</v>
      </c>
      <c r="I1187" s="6">
        <f t="shared" si="57"/>
        <v>3614791.31</v>
      </c>
      <c r="J1187">
        <f t="shared" si="55"/>
        <v>0</v>
      </c>
    </row>
    <row r="1188" spans="1:10" hidden="1" x14ac:dyDescent="0.3">
      <c r="A1188">
        <v>188</v>
      </c>
      <c r="B1188" t="str">
        <v>CERROS SERVICIOS AGRICOLAS S.A.</v>
      </c>
      <c r="C1188" s="6">
        <v>206039.29</v>
      </c>
      <c r="D1188" s="6">
        <v>0</v>
      </c>
      <c r="E1188" t="str">
        <v>Dólar Matba Rofex</v>
      </c>
      <c r="F1188" t="str">
        <v xml:space="preserve"> U$S MR</v>
      </c>
      <c r="G1188" t="str">
        <f>IFERROR(VLOOKUP(A1188,'Clientes CBOT'!B:E,4,0),B1188)</f>
        <v>CERROS SERVICIOS AGRICOLAS S.A.</v>
      </c>
      <c r="H1188" t="str">
        <f t="shared" si="56"/>
        <v>usd linked</v>
      </c>
      <c r="I1188" s="6">
        <f t="shared" si="57"/>
        <v>206039.29</v>
      </c>
      <c r="J1188">
        <f t="shared" si="55"/>
        <v>0</v>
      </c>
    </row>
    <row r="1189" spans="1:10" x14ac:dyDescent="0.3">
      <c r="A1189">
        <v>182</v>
      </c>
      <c r="B1189" t="str">
        <v>BUNGE ARGENTINA SA</v>
      </c>
      <c r="C1189" s="6">
        <v>-1619375.5</v>
      </c>
      <c r="D1189" s="6">
        <v>0</v>
      </c>
      <c r="E1189" t="str">
        <v>Dólar Matba Rofex</v>
      </c>
      <c r="F1189" t="str">
        <v xml:space="preserve"> U$S MR</v>
      </c>
      <c r="G1189" t="str">
        <f>IFERROR(VLOOKUP(A1189,'Clientes CBOT'!B:E,4,0),B1189)</f>
        <v>BUNGE ARGENTINA SA</v>
      </c>
      <c r="H1189" t="str">
        <f t="shared" si="56"/>
        <v>usd linked</v>
      </c>
      <c r="I1189" s="6">
        <f t="shared" si="57"/>
        <v>-1619375.5</v>
      </c>
      <c r="J1189">
        <f t="shared" si="55"/>
        <v>0</v>
      </c>
    </row>
    <row r="1190" spans="1:10" x14ac:dyDescent="0.3">
      <c r="A1190">
        <v>183</v>
      </c>
      <c r="B1190" t="str">
        <v>BUNGE ARGENTINA SA</v>
      </c>
      <c r="C1190" s="6">
        <v>-402268.38</v>
      </c>
      <c r="D1190" s="6">
        <v>0</v>
      </c>
      <c r="E1190" t="str">
        <v>Dólar Matba Rofex</v>
      </c>
      <c r="F1190" t="str">
        <v xml:space="preserve"> U$S MR</v>
      </c>
      <c r="G1190" t="str">
        <f>IFERROR(VLOOKUP(A1190,'Clientes CBOT'!B:E,4,0),B1190)</f>
        <v>BUNGE ARGENTINA SA</v>
      </c>
      <c r="H1190" t="str">
        <f t="shared" si="56"/>
        <v>usd linked</v>
      </c>
      <c r="I1190" s="6">
        <f t="shared" si="57"/>
        <v>-402268.38</v>
      </c>
      <c r="J1190">
        <f t="shared" si="55"/>
        <v>0</v>
      </c>
    </row>
    <row r="1191" spans="1:10" x14ac:dyDescent="0.3">
      <c r="A1191">
        <v>186</v>
      </c>
      <c r="B1191" t="str">
        <v>CERROS SERVICIOS AGRICOLAS S.A.</v>
      </c>
      <c r="C1191" s="6">
        <v>-101703.84</v>
      </c>
      <c r="D1191" s="6">
        <v>0</v>
      </c>
      <c r="E1191" t="str">
        <v>Dólar Matba Rofex</v>
      </c>
      <c r="F1191" t="str">
        <v xml:space="preserve"> U$S MR</v>
      </c>
      <c r="G1191" t="str">
        <f>IFERROR(VLOOKUP(A1191,'Clientes CBOT'!B:E,4,0),B1191)</f>
        <v>CERROS SERVICIOS AGRICOLAS S.A.</v>
      </c>
      <c r="H1191" t="str">
        <f t="shared" si="56"/>
        <v>usd linked</v>
      </c>
      <c r="I1191" s="6">
        <f t="shared" si="57"/>
        <v>-101703.84</v>
      </c>
      <c r="J1191">
        <f t="shared" si="55"/>
        <v>0</v>
      </c>
    </row>
    <row r="1192" spans="1:10" hidden="1" x14ac:dyDescent="0.3">
      <c r="A1192">
        <v>260</v>
      </c>
      <c r="B1192" t="str">
        <v>Centro Agropecuario Modelo S.A.</v>
      </c>
      <c r="C1192" s="6">
        <v>0</v>
      </c>
      <c r="D1192" s="6">
        <v>0</v>
      </c>
      <c r="E1192" t="str">
        <v>Dólar Matba Rofex</v>
      </c>
      <c r="F1192" t="str">
        <v xml:space="preserve"> U$S MR</v>
      </c>
      <c r="G1192" t="str">
        <f>IFERROR(VLOOKUP(A1192,'Clientes CBOT'!B:E,4,0),B1192)</f>
        <v>Centro Agropecuario Modelo S.A.</v>
      </c>
      <c r="H1192" t="str">
        <f t="shared" si="56"/>
        <v>usd linked</v>
      </c>
      <c r="I1192" s="6">
        <f t="shared" si="57"/>
        <v>0</v>
      </c>
      <c r="J1192">
        <f t="shared" si="55"/>
        <v>0</v>
      </c>
    </row>
    <row r="1193" spans="1:10" hidden="1" x14ac:dyDescent="0.3">
      <c r="A1193">
        <v>15</v>
      </c>
      <c r="B1193" t="str">
        <v>CERROS SERVICIOS AGRICOLAS S.A.</v>
      </c>
      <c r="C1193" s="6">
        <v>296333.58</v>
      </c>
      <c r="D1193" s="6">
        <v>33216.99</v>
      </c>
      <c r="E1193" t="str">
        <v>Dólar Matba Rofex</v>
      </c>
      <c r="F1193" t="str">
        <v xml:space="preserve"> U$S MR</v>
      </c>
      <c r="G1193" t="str">
        <f>IFERROR(VLOOKUP(A1193,'Clientes CBOT'!B:E,4,0),B1193)</f>
        <v>CERROS SERVICIOS AGRICOLAS S.A.</v>
      </c>
      <c r="H1193" t="str">
        <f t="shared" si="56"/>
        <v>usd linked</v>
      </c>
      <c r="I1193" s="6">
        <f t="shared" si="57"/>
        <v>296333.58</v>
      </c>
      <c r="J1193">
        <f t="shared" si="55"/>
        <v>33216.99</v>
      </c>
    </row>
    <row r="1194" spans="1:10" hidden="1" x14ac:dyDescent="0.3">
      <c r="A1194">
        <v>12</v>
      </c>
      <c r="B1194" t="str">
        <v>BUNGE ARGENTINA SA</v>
      </c>
      <c r="C1194" s="6">
        <v>-1526318.12</v>
      </c>
      <c r="D1194" s="6">
        <v>1997739.21</v>
      </c>
      <c r="E1194" t="str">
        <v>Dólar Matba Rofex</v>
      </c>
      <c r="F1194" t="str">
        <v xml:space="preserve"> U$S MR</v>
      </c>
      <c r="G1194" t="str">
        <f>IFERROR(VLOOKUP(A1194,'Clientes CBOT'!B:E,4,0),B1194)</f>
        <v>BUNGE ARGENTINA SA</v>
      </c>
      <c r="H1194" t="str">
        <f t="shared" si="56"/>
        <v>usd linked</v>
      </c>
      <c r="I1194" s="6">
        <f t="shared" si="57"/>
        <v>-1526318.12</v>
      </c>
      <c r="J1194">
        <f t="shared" si="55"/>
        <v>1997739.21</v>
      </c>
    </row>
    <row r="1195" spans="1:10" hidden="1" x14ac:dyDescent="0.3">
      <c r="A1195">
        <v>84</v>
      </c>
      <c r="B1195" t="str">
        <v>AGROTECNOLOGIA Y SERVICIOS SA</v>
      </c>
      <c r="C1195" s="6">
        <v>414000</v>
      </c>
      <c r="D1195" s="6">
        <v>222020.16</v>
      </c>
      <c r="E1195" t="str">
        <v>Dólar Matba Rofex</v>
      </c>
      <c r="F1195" t="str">
        <v xml:space="preserve"> U$S MR</v>
      </c>
      <c r="G1195" t="str">
        <f>IFERROR(VLOOKUP(A1195,'Clientes CBOT'!B:E,4,0),B1195)</f>
        <v>AGROTECNOLOGIA Y SERVICIOS SA</v>
      </c>
      <c r="H1195" t="str">
        <f t="shared" si="56"/>
        <v>usd linked</v>
      </c>
      <c r="I1195" s="6">
        <f t="shared" si="57"/>
        <v>414000</v>
      </c>
      <c r="J1195">
        <f t="shared" si="55"/>
        <v>222020.16</v>
      </c>
    </row>
    <row r="1196" spans="1:10" hidden="1" x14ac:dyDescent="0.3">
      <c r="A1196">
        <v>25</v>
      </c>
      <c r="B1196" t="str">
        <v>DON PONCIANO SA</v>
      </c>
      <c r="C1196" s="6">
        <v>-0.01</v>
      </c>
      <c r="D1196" s="6">
        <v>0</v>
      </c>
      <c r="E1196" t="str">
        <v>Dólar Matba Rofex</v>
      </c>
      <c r="F1196" t="str">
        <v xml:space="preserve"> U$S MR</v>
      </c>
      <c r="G1196" t="str">
        <f>IFERROR(VLOOKUP(A1196,'Clientes CBOT'!B:E,4,0),B1196)</f>
        <v>DON PONCIANO SA</v>
      </c>
      <c r="H1196" t="str">
        <f t="shared" si="56"/>
        <v>usd linked</v>
      </c>
      <c r="I1196" s="6">
        <f t="shared" si="57"/>
        <v>-0.01</v>
      </c>
      <c r="J1196">
        <f t="shared" si="55"/>
        <v>0</v>
      </c>
    </row>
    <row r="1197" spans="1:10" hidden="1" x14ac:dyDescent="0.3">
      <c r="A1197">
        <v>113</v>
      </c>
      <c r="B1197" t="str">
        <v>BASF ARGENTINA SA</v>
      </c>
      <c r="C1197" s="6">
        <v>0</v>
      </c>
      <c r="D1197" s="6">
        <v>0</v>
      </c>
      <c r="E1197" t="str">
        <v>Dólar Matba Rofex</v>
      </c>
      <c r="F1197" t="str">
        <v xml:space="preserve"> U$S MR</v>
      </c>
      <c r="G1197" t="str">
        <f>IFERROR(VLOOKUP(A1197,'Clientes CBOT'!B:E,4,0),B1197)</f>
        <v>BASF ARGENTINA SA</v>
      </c>
      <c r="H1197" t="str">
        <f t="shared" si="56"/>
        <v>usd linked</v>
      </c>
      <c r="I1197" s="6">
        <f t="shared" si="57"/>
        <v>0</v>
      </c>
      <c r="J1197">
        <f t="shared" si="55"/>
        <v>0</v>
      </c>
    </row>
    <row r="1198" spans="1:10" hidden="1" x14ac:dyDescent="0.3">
      <c r="A1198">
        <v>500</v>
      </c>
      <c r="B1198" t="str">
        <v>BUNGE ARGENTINA SA</v>
      </c>
      <c r="C1198" s="6">
        <v>-66829.31</v>
      </c>
      <c r="D1198" s="6">
        <v>0</v>
      </c>
      <c r="E1198" t="str">
        <v>Dólar Matba Rofex</v>
      </c>
      <c r="F1198" t="str">
        <v xml:space="preserve"> U$S MR</v>
      </c>
      <c r="G1198" t="str">
        <f>IFERROR(VLOOKUP(A1198,'Clientes CBOT'!B:E,4,0),B1198)</f>
        <v>BUNGE ARGENTINA SA</v>
      </c>
      <c r="H1198" t="str">
        <f t="shared" si="56"/>
        <v>usd linked</v>
      </c>
      <c r="I1198" s="6">
        <f t="shared" si="57"/>
        <v>-66829.31</v>
      </c>
      <c r="J1198">
        <f t="shared" si="55"/>
        <v>0</v>
      </c>
    </row>
    <row r="1199" spans="1:10" hidden="1" x14ac:dyDescent="0.3">
      <c r="A1199">
        <v>103</v>
      </c>
      <c r="B1199" t="str">
        <v>ADECO AGROPECUARIA SA</v>
      </c>
      <c r="C1199" s="6">
        <v>56097.89</v>
      </c>
      <c r="D1199" s="6">
        <v>112500</v>
      </c>
      <c r="E1199" t="str">
        <v>Dólar Matba Rofex</v>
      </c>
      <c r="F1199" t="str">
        <v xml:space="preserve"> U$S MR</v>
      </c>
      <c r="G1199" t="str">
        <f>IFERROR(VLOOKUP(A1199,'Clientes CBOT'!B:E,4,0),B1199)</f>
        <v>ADECO AGROPECUARIA SA</v>
      </c>
      <c r="H1199" t="str">
        <f t="shared" si="56"/>
        <v>usd linked</v>
      </c>
      <c r="I1199" s="6">
        <f t="shared" si="57"/>
        <v>56097.89</v>
      </c>
      <c r="J1199">
        <f t="shared" si="55"/>
        <v>112500</v>
      </c>
    </row>
    <row r="1200" spans="1:10" hidden="1" x14ac:dyDescent="0.3">
      <c r="A1200">
        <v>492</v>
      </c>
      <c r="B1200" t="str">
        <v>TRUCAGRO SRL</v>
      </c>
      <c r="C1200" s="6">
        <v>0</v>
      </c>
      <c r="D1200" s="6">
        <v>-0.01</v>
      </c>
      <c r="E1200" t="str">
        <v>Pesos</v>
      </c>
      <c r="F1200" t="str">
        <v xml:space="preserve"> $</v>
      </c>
      <c r="G1200" t="str">
        <f>IFERROR(VLOOKUP(A1200,'Clientes CBOT'!B:E,4,0),B1200)</f>
        <v>TRUCAGRO SRL</v>
      </c>
      <c r="H1200" t="str">
        <f t="shared" si="56"/>
        <v>Ars</v>
      </c>
      <c r="I1200" s="6">
        <f t="shared" si="57"/>
        <v>0</v>
      </c>
      <c r="J1200">
        <f t="shared" si="55"/>
        <v>-0.01</v>
      </c>
    </row>
    <row r="1201" spans="1:10" hidden="1" x14ac:dyDescent="0.3">
      <c r="A1201">
        <v>471</v>
      </c>
      <c r="B1201" t="str">
        <v>DON ENRIQUE SRL</v>
      </c>
      <c r="C1201" s="6">
        <v>14428.34</v>
      </c>
      <c r="D1201" s="6">
        <v>0</v>
      </c>
      <c r="E1201" t="str">
        <v>Pesos</v>
      </c>
      <c r="F1201" t="str">
        <v xml:space="preserve"> $</v>
      </c>
      <c r="G1201" t="str">
        <f>IFERROR(VLOOKUP(A1201,'Clientes CBOT'!B:E,4,0),B1201)</f>
        <v>DON ENRIQUE SRL</v>
      </c>
      <c r="H1201" t="str">
        <f t="shared" si="56"/>
        <v>Ars</v>
      </c>
      <c r="I1201" s="6">
        <f t="shared" si="57"/>
        <v>14428.34</v>
      </c>
      <c r="J1201">
        <f t="shared" si="55"/>
        <v>0</v>
      </c>
    </row>
    <row r="1202" spans="1:10" hidden="1" x14ac:dyDescent="0.3">
      <c r="A1202">
        <v>1037</v>
      </c>
      <c r="B1202" t="str">
        <v>BCSA SD MAX COBERTURA FCI</v>
      </c>
      <c r="C1202" s="6">
        <v>0</v>
      </c>
      <c r="D1202" s="6">
        <v>0</v>
      </c>
      <c r="E1202" t="str">
        <v>Pesos</v>
      </c>
      <c r="F1202" t="str">
        <v xml:space="preserve"> $</v>
      </c>
      <c r="G1202" t="str">
        <f>IFERROR(VLOOKUP(A1202,'Clientes CBOT'!B:E,4,0),B1202)</f>
        <v>BCSA SD MAX COBERTURA FCI</v>
      </c>
      <c r="H1202" t="str">
        <f t="shared" si="56"/>
        <v>Ars</v>
      </c>
      <c r="I1202" s="6">
        <f t="shared" si="57"/>
        <v>0</v>
      </c>
      <c r="J1202">
        <f t="shared" si="55"/>
        <v>0</v>
      </c>
    </row>
    <row r="1203" spans="1:10" hidden="1" x14ac:dyDescent="0.3">
      <c r="A1203">
        <v>6028</v>
      </c>
      <c r="B1203" t="str">
        <v>PONZIO GUILLERMO DANIEL</v>
      </c>
      <c r="C1203" s="6">
        <v>-132763.74</v>
      </c>
      <c r="D1203" s="6">
        <v>0</v>
      </c>
      <c r="E1203" t="str">
        <v>Pesos</v>
      </c>
      <c r="F1203" t="str">
        <v xml:space="preserve"> $</v>
      </c>
      <c r="G1203" t="str">
        <f>IFERROR(VLOOKUP(A1203,'Clientes CBOT'!B:E,4,0),B1203)</f>
        <v>PONZIO GUILLERMO DANIEL</v>
      </c>
      <c r="H1203" t="str">
        <f t="shared" si="56"/>
        <v>Ars</v>
      </c>
      <c r="I1203" s="6">
        <f t="shared" si="57"/>
        <v>-132763.74</v>
      </c>
      <c r="J1203">
        <f t="shared" si="55"/>
        <v>0</v>
      </c>
    </row>
    <row r="1204" spans="1:10" hidden="1" x14ac:dyDescent="0.3">
      <c r="A1204">
        <v>6029</v>
      </c>
      <c r="B1204" t="str">
        <v>SOCIEDAD ANONIMA DE CUATRO</v>
      </c>
      <c r="C1204" s="6">
        <v>28809433.289999999</v>
      </c>
      <c r="D1204" s="6">
        <v>0</v>
      </c>
      <c r="E1204" t="str">
        <v>Pesos</v>
      </c>
      <c r="F1204" t="str">
        <v xml:space="preserve"> $</v>
      </c>
      <c r="G1204" t="str">
        <f>IFERROR(VLOOKUP(A1204,'Clientes CBOT'!B:E,4,0),B1204)</f>
        <v>SOCIEDAD ANONIMA DE CUATRO</v>
      </c>
      <c r="H1204" t="str">
        <f t="shared" si="56"/>
        <v>Ars</v>
      </c>
      <c r="I1204" s="6">
        <f t="shared" si="57"/>
        <v>28809433.289999999</v>
      </c>
      <c r="J1204">
        <f t="shared" si="55"/>
        <v>0</v>
      </c>
    </row>
    <row r="1205" spans="1:10" hidden="1" x14ac:dyDescent="0.3">
      <c r="A1205">
        <v>6061</v>
      </c>
      <c r="B1205" t="str">
        <v>RAUL JOSE BATET S.R.L.</v>
      </c>
      <c r="C1205" s="6">
        <v>-5617399.1100000003</v>
      </c>
      <c r="D1205" s="6">
        <v>0</v>
      </c>
      <c r="E1205" t="str">
        <v>Pesos</v>
      </c>
      <c r="F1205" t="str">
        <v xml:space="preserve"> $</v>
      </c>
      <c r="G1205" t="str">
        <f>IFERROR(VLOOKUP(A1205,'Clientes CBOT'!B:E,4,0),B1205)</f>
        <v>RAUL JOSE BATET S.R.L.</v>
      </c>
      <c r="H1205" t="str">
        <f t="shared" si="56"/>
        <v>Ars</v>
      </c>
      <c r="I1205" s="6">
        <f t="shared" si="57"/>
        <v>-5617399.1100000003</v>
      </c>
      <c r="J1205">
        <f t="shared" si="55"/>
        <v>0</v>
      </c>
    </row>
    <row r="1206" spans="1:10" hidden="1" x14ac:dyDescent="0.3">
      <c r="A1206">
        <v>6071</v>
      </c>
      <c r="B1206" t="str">
        <v>SERVICIOS Y COMBUSTIBLES S.R.L.</v>
      </c>
      <c r="C1206" s="6">
        <v>0</v>
      </c>
      <c r="D1206" s="6">
        <v>0</v>
      </c>
      <c r="E1206" t="str">
        <v>Pesos</v>
      </c>
      <c r="F1206" t="str">
        <v xml:space="preserve"> $</v>
      </c>
      <c r="G1206" t="str">
        <f>IFERROR(VLOOKUP(A1206,'Clientes CBOT'!B:E,4,0),B1206)</f>
        <v>SERVICIOS Y COMBUSTIBLES S.R.L.</v>
      </c>
      <c r="H1206" t="str">
        <f t="shared" si="56"/>
        <v>Ars</v>
      </c>
      <c r="I1206" s="6">
        <f t="shared" si="57"/>
        <v>0</v>
      </c>
      <c r="J1206">
        <f t="shared" si="55"/>
        <v>0</v>
      </c>
    </row>
    <row r="1207" spans="1:10" hidden="1" x14ac:dyDescent="0.3">
      <c r="A1207">
        <v>6019</v>
      </c>
      <c r="B1207" t="str">
        <v>AGROFY PAY S. A. U.</v>
      </c>
      <c r="C1207" s="6">
        <v>0.13</v>
      </c>
      <c r="D1207" s="6">
        <v>0</v>
      </c>
      <c r="E1207" t="str">
        <v>Pesos</v>
      </c>
      <c r="F1207" t="str">
        <v xml:space="preserve"> $</v>
      </c>
      <c r="G1207" t="str">
        <f>IFERROR(VLOOKUP(A1207,'Clientes CBOT'!B:E,4,0),B1207)</f>
        <v>AGROFY PAY S. A. U.</v>
      </c>
      <c r="H1207" t="str">
        <f t="shared" si="56"/>
        <v>Ars</v>
      </c>
      <c r="I1207" s="6">
        <f t="shared" si="57"/>
        <v>0.13</v>
      </c>
      <c r="J1207">
        <f t="shared" si="55"/>
        <v>0</v>
      </c>
    </row>
    <row r="1208" spans="1:10" hidden="1" x14ac:dyDescent="0.3">
      <c r="A1208">
        <v>1035</v>
      </c>
      <c r="B1208" t="str">
        <v>BCSA SD MAX DINAMICO I FCI</v>
      </c>
      <c r="C1208" s="6">
        <v>0</v>
      </c>
      <c r="D1208" s="6">
        <v>0</v>
      </c>
      <c r="E1208" t="str">
        <v>Pesos</v>
      </c>
      <c r="F1208" t="str">
        <v xml:space="preserve"> $</v>
      </c>
      <c r="G1208" t="str">
        <f>IFERROR(VLOOKUP(A1208,'Clientes CBOT'!B:E,4,0),B1208)</f>
        <v>BCSA SD MAX DINAMICO I FCI</v>
      </c>
      <c r="H1208" t="str">
        <f t="shared" si="56"/>
        <v>Ars</v>
      </c>
      <c r="I1208" s="6">
        <f t="shared" si="57"/>
        <v>0</v>
      </c>
      <c r="J1208">
        <f t="shared" si="55"/>
        <v>0</v>
      </c>
    </row>
    <row r="1209" spans="1:10" hidden="1" x14ac:dyDescent="0.3">
      <c r="A1209">
        <v>416</v>
      </c>
      <c r="B1209" t="str">
        <v>DON OSVALDO Y ASOCIADOS SRL</v>
      </c>
      <c r="C1209" s="6">
        <v>53314470.829999998</v>
      </c>
      <c r="D1209" s="6">
        <v>-0.03</v>
      </c>
      <c r="E1209" t="str">
        <v>Pesos</v>
      </c>
      <c r="F1209" t="str">
        <v xml:space="preserve"> $</v>
      </c>
      <c r="G1209" t="str">
        <f>IFERROR(VLOOKUP(A1209,'Clientes CBOT'!B:E,4,0),B1209)</f>
        <v>DON OSVALDO Y ASOCIADOS SRL</v>
      </c>
      <c r="H1209" t="str">
        <f t="shared" si="56"/>
        <v>Ars</v>
      </c>
      <c r="I1209" s="6">
        <f t="shared" si="57"/>
        <v>53314470.829999998</v>
      </c>
      <c r="J1209">
        <f t="shared" si="55"/>
        <v>-0.03</v>
      </c>
    </row>
    <row r="1210" spans="1:10" hidden="1" x14ac:dyDescent="0.3">
      <c r="A1210">
        <v>416</v>
      </c>
      <c r="B1210" t="str">
        <v>DON OSVALDO Y ASOCIADOS SRL</v>
      </c>
      <c r="C1210" s="6">
        <v>103.44</v>
      </c>
      <c r="D1210" s="6">
        <v>0</v>
      </c>
      <c r="E1210" t="str">
        <v xml:space="preserve">Dólar </v>
      </c>
      <c r="F1210" t="str">
        <v xml:space="preserve"> U$S</v>
      </c>
      <c r="G1210" t="str">
        <f>IFERROR(VLOOKUP(A1210,'Clientes CBOT'!B:E,4,0),B1210)</f>
        <v>DON OSVALDO Y ASOCIADOS SRL</v>
      </c>
      <c r="H1210" t="str">
        <f t="shared" si="56"/>
        <v>Dólar</v>
      </c>
      <c r="I1210" s="6">
        <f t="shared" si="57"/>
        <v>103.44</v>
      </c>
      <c r="J1210">
        <f t="shared" si="55"/>
        <v>0</v>
      </c>
    </row>
    <row r="1211" spans="1:10" hidden="1" x14ac:dyDescent="0.3">
      <c r="A1211">
        <v>6019</v>
      </c>
      <c r="B1211" t="str">
        <v>AGROFY PAY S. A. U.</v>
      </c>
      <c r="C1211" s="6">
        <v>47.17</v>
      </c>
      <c r="D1211" s="6">
        <v>0</v>
      </c>
      <c r="E1211" t="str">
        <v xml:space="preserve">Dólar </v>
      </c>
      <c r="F1211" t="str">
        <v xml:space="preserve"> U$S</v>
      </c>
      <c r="G1211" t="str">
        <f>IFERROR(VLOOKUP(A1211,'Clientes CBOT'!B:E,4,0),B1211)</f>
        <v>AGROFY PAY S. A. U.</v>
      </c>
      <c r="H1211" t="str">
        <f t="shared" si="56"/>
        <v>Dólar</v>
      </c>
      <c r="I1211" s="6">
        <f t="shared" si="57"/>
        <v>47.17</v>
      </c>
      <c r="J1211">
        <f t="shared" si="55"/>
        <v>0</v>
      </c>
    </row>
    <row r="1212" spans="1:10" hidden="1" x14ac:dyDescent="0.3">
      <c r="A1212">
        <v>6029</v>
      </c>
      <c r="B1212" t="str">
        <v>SOCIEDAD ANONIMA DE CUATRO</v>
      </c>
      <c r="C1212" s="6">
        <v>732.3</v>
      </c>
      <c r="D1212" s="6">
        <v>0</v>
      </c>
      <c r="E1212" t="str">
        <v xml:space="preserve">Dólar </v>
      </c>
      <c r="F1212" t="str">
        <v xml:space="preserve"> U$S</v>
      </c>
      <c r="G1212" t="str">
        <f>IFERROR(VLOOKUP(A1212,'Clientes CBOT'!B:E,4,0),B1212)</f>
        <v>SOCIEDAD ANONIMA DE CUATRO</v>
      </c>
      <c r="H1212" t="str">
        <f t="shared" si="56"/>
        <v>Dólar</v>
      </c>
      <c r="I1212" s="6">
        <f t="shared" si="57"/>
        <v>732.3</v>
      </c>
      <c r="J1212">
        <f t="shared" si="55"/>
        <v>0</v>
      </c>
    </row>
    <row r="1213" spans="1:10" hidden="1" x14ac:dyDescent="0.3">
      <c r="A1213">
        <v>6028</v>
      </c>
      <c r="B1213" t="str">
        <v>PONZIO GUILLERMO DANIEL</v>
      </c>
      <c r="C1213" s="6">
        <v>1886.88</v>
      </c>
      <c r="D1213" s="6">
        <v>0</v>
      </c>
      <c r="E1213" t="str">
        <v xml:space="preserve">Dólar </v>
      </c>
      <c r="F1213" t="str">
        <v xml:space="preserve"> U$S</v>
      </c>
      <c r="G1213" t="str">
        <f>IFERROR(VLOOKUP(A1213,'Clientes CBOT'!B:E,4,0),B1213)</f>
        <v>PONZIO GUILLERMO DANIEL</v>
      </c>
      <c r="H1213" t="str">
        <f t="shared" si="56"/>
        <v>Dólar</v>
      </c>
      <c r="I1213" s="6">
        <f t="shared" si="57"/>
        <v>1886.88</v>
      </c>
      <c r="J1213">
        <f t="shared" ref="J1213:J1214" si="58">IF(H1213="ars",D1213/$J$1,IF(H1213="hard",D1213*$J$2/$J$1,D1213))</f>
        <v>0</v>
      </c>
    </row>
    <row r="1214" spans="1:10" hidden="1" x14ac:dyDescent="0.3">
      <c r="A1214">
        <v>492</v>
      </c>
      <c r="B1214" t="str">
        <v>TRUCAGRO SRL</v>
      </c>
      <c r="C1214" s="6">
        <v>646.83000000000004</v>
      </c>
      <c r="D1214" s="6">
        <v>0</v>
      </c>
      <c r="E1214" t="str">
        <v xml:space="preserve">Dólar </v>
      </c>
      <c r="F1214" t="str">
        <v xml:space="preserve"> U$S</v>
      </c>
      <c r="G1214" t="str">
        <f>IFERROR(VLOOKUP(A1214,'Clientes CBOT'!B:E,4,0),B1214)</f>
        <v>TRUCAGRO SRL</v>
      </c>
      <c r="H1214" t="str">
        <f t="shared" si="56"/>
        <v>Dólar</v>
      </c>
      <c r="I1214" s="6">
        <f t="shared" si="57"/>
        <v>646.83000000000004</v>
      </c>
      <c r="J1214">
        <f t="shared" si="58"/>
        <v>0</v>
      </c>
    </row>
    <row r="1215" spans="1:10" hidden="1" x14ac:dyDescent="0.3">
      <c r="A1215">
        <v>492</v>
      </c>
      <c r="B1215" t="str">
        <v>TRUCAGRO SRL</v>
      </c>
      <c r="C1215" s="6">
        <v>46.19</v>
      </c>
      <c r="D1215" s="6">
        <v>0</v>
      </c>
      <c r="E1215" t="str">
        <v>Dólar Cable</v>
      </c>
      <c r="F1215" t="str">
        <v xml:space="preserve"> U$S TT</v>
      </c>
      <c r="G1215" t="str">
        <f>IFERROR(VLOOKUP(A1215,'Clientes CBOT'!B:E,4,0),B1215)</f>
        <v>TRUCAGRO SRL</v>
      </c>
      <c r="H1215" t="str">
        <f t="shared" si="56"/>
        <v>Hard</v>
      </c>
      <c r="I1215" s="6">
        <f t="shared" si="57"/>
        <v>46.19</v>
      </c>
      <c r="J1215">
        <f t="shared" ref="J1215:J1216" si="59">IF(H1215="ars",D1215/$J$1,IF(H1215="hard",D1215*$J$2/$J$1,D1215))</f>
        <v>0</v>
      </c>
    </row>
    <row r="1216" spans="1:10" hidden="1" x14ac:dyDescent="0.3">
      <c r="A1216">
        <v>6028</v>
      </c>
      <c r="B1216" t="str">
        <v>PONZIO GUILLERMO DANIEL</v>
      </c>
      <c r="C1216" s="6">
        <v>237.43</v>
      </c>
      <c r="D1216" s="6">
        <v>0</v>
      </c>
      <c r="E1216" t="str">
        <v>Dólar Cable</v>
      </c>
      <c r="F1216" t="str">
        <v xml:space="preserve"> U$S TT</v>
      </c>
      <c r="G1216" t="str">
        <f>IFERROR(VLOOKUP(A1216,'Clientes CBOT'!B:E,4,0),B1216)</f>
        <v>PONZIO GUILLERMO DANIEL</v>
      </c>
      <c r="H1216" t="str">
        <f t="shared" si="56"/>
        <v>Hard</v>
      </c>
      <c r="I1216" s="6">
        <f t="shared" si="57"/>
        <v>237.43</v>
      </c>
      <c r="J1216">
        <f t="shared" si="59"/>
        <v>0</v>
      </c>
    </row>
    <row r="1217" spans="1:10" hidden="1" x14ac:dyDescent="0.3">
      <c r="A1217">
        <v>6029</v>
      </c>
      <c r="B1217" t="str">
        <v>SOCIEDAD ANONIMA DE CUATRO</v>
      </c>
      <c r="C1217" s="6">
        <v>237.43</v>
      </c>
      <c r="D1217" s="6">
        <v>0</v>
      </c>
      <c r="E1217" t="str">
        <v>Dólar Cable</v>
      </c>
      <c r="F1217" t="str">
        <v xml:space="preserve"> U$S TT</v>
      </c>
      <c r="G1217" t="str">
        <f>IFERROR(VLOOKUP(A1217,'Clientes CBOT'!B:E,4,0),B1217)</f>
        <v>SOCIEDAD ANONIMA DE CUATRO</v>
      </c>
      <c r="H1217" t="str">
        <f t="shared" si="56"/>
        <v>Hard</v>
      </c>
      <c r="I1217" s="6">
        <f t="shared" si="57"/>
        <v>237.43</v>
      </c>
      <c r="J1217">
        <f t="shared" ref="J1217:J1218" si="60">IF(H1217="ars",D1217/$J$1,IF(H1217="hard",D1217*$J$2/$J$1,D1217))</f>
        <v>0</v>
      </c>
    </row>
    <row r="1218" spans="1:10" hidden="1" x14ac:dyDescent="0.3">
      <c r="A1218">
        <v>492</v>
      </c>
      <c r="B1218" t="str">
        <v>TRUCAGRO SRL</v>
      </c>
      <c r="C1218" s="6">
        <v>0</v>
      </c>
      <c r="D1218" s="6">
        <v>0</v>
      </c>
      <c r="E1218" t="str">
        <v>Dólar Matba Rofex</v>
      </c>
      <c r="F1218" t="str">
        <v xml:space="preserve"> U$S MR</v>
      </c>
      <c r="G1218" t="str">
        <f>IFERROR(VLOOKUP(A1218,'Clientes CBOT'!B:E,4,0),B1218)</f>
        <v>TRUCAGRO SRL</v>
      </c>
      <c r="H1218" t="str">
        <f t="shared" si="56"/>
        <v>usd linked</v>
      </c>
      <c r="I1218" s="6">
        <f t="shared" si="57"/>
        <v>0</v>
      </c>
      <c r="J1218">
        <f t="shared" si="60"/>
        <v>0</v>
      </c>
    </row>
    <row r="1219" spans="1:10" x14ac:dyDescent="0.3">
      <c r="A1219">
        <v>416</v>
      </c>
      <c r="B1219" t="str">
        <v>DON OSVALDO Y ASOCIADOS SRL</v>
      </c>
      <c r="C1219" s="6">
        <v>1100</v>
      </c>
      <c r="D1219" s="6">
        <v>929.45</v>
      </c>
      <c r="E1219" t="str">
        <v>Dólar Matba Rofex</v>
      </c>
      <c r="F1219" t="str">
        <v xml:space="preserve"> U$S MR</v>
      </c>
      <c r="G1219" t="str">
        <f>IFERROR(VLOOKUP(A1219,'Clientes CBOT'!B:E,4,0),B1219)</f>
        <v>DON OSVALDO Y ASOCIADOS SRL</v>
      </c>
      <c r="H1219" t="str">
        <f t="shared" si="56"/>
        <v>usd linked</v>
      </c>
      <c r="I1219" s="6">
        <f t="shared" si="57"/>
        <v>1100</v>
      </c>
      <c r="J1219">
        <f t="shared" ref="J1219:J1282" si="61">IF(H1219="ars",D1219/$J$1,IF(H1219="hard",D1219*$J$2/$J$1,D1219))</f>
        <v>929.45</v>
      </c>
    </row>
    <row r="1220" spans="1:10" x14ac:dyDescent="0.3">
      <c r="A1220">
        <v>149</v>
      </c>
      <c r="B1220" t="str">
        <v>M.H. CEREALES S.R.L.</v>
      </c>
      <c r="C1220" s="6">
        <v>0</v>
      </c>
      <c r="D1220" s="6">
        <v>0</v>
      </c>
      <c r="E1220" t="str">
        <v>Pesos</v>
      </c>
      <c r="F1220" t="str">
        <v xml:space="preserve"> $</v>
      </c>
      <c r="G1220" t="str">
        <f>IFERROR(VLOOKUP(A1220,'Clientes CBOT'!B:E,4,0),B1220)</f>
        <v>M.H. CEREALES S.R.L.</v>
      </c>
      <c r="H1220" t="str">
        <f t="shared" si="56"/>
        <v>Ars</v>
      </c>
      <c r="I1220" s="6">
        <f t="shared" si="57"/>
        <v>0</v>
      </c>
      <c r="J1220">
        <f t="shared" si="61"/>
        <v>0</v>
      </c>
    </row>
    <row r="1221" spans="1:10" x14ac:dyDescent="0.3">
      <c r="A1221">
        <v>138</v>
      </c>
      <c r="B1221" t="str">
        <v>CAMPO FERTIL SRL</v>
      </c>
      <c r="C1221" s="6">
        <v>90870</v>
      </c>
      <c r="D1221" s="6">
        <v>0</v>
      </c>
      <c r="E1221" t="str">
        <v>Pesos</v>
      </c>
      <c r="F1221" t="str">
        <v xml:space="preserve"> $</v>
      </c>
      <c r="G1221" t="str">
        <f>IFERROR(VLOOKUP(A1221,'Clientes CBOT'!B:E,4,0),B1221)</f>
        <v>CAMPO FERTIL SRL</v>
      </c>
      <c r="H1221" t="str">
        <f t="shared" ref="H1221:H1284" si="62">IF(E1221="pesos","Ars",IF(E1221="Dólar Matba Rofex","usd linked",IF(F1221=" U$S TT","Hard","Dólar")))</f>
        <v>Ars</v>
      </c>
      <c r="I1221" s="6">
        <f t="shared" ref="I1221:I1284" si="63">IF(H1221="ars",C1221/$J$1,IF(H1221="Hard",C1221*$J$2/$J$1,C1221))</f>
        <v>90870</v>
      </c>
      <c r="J1221">
        <f t="shared" si="61"/>
        <v>0</v>
      </c>
    </row>
    <row r="1222" spans="1:10" hidden="1" x14ac:dyDescent="0.3">
      <c r="A1222">
        <v>6034</v>
      </c>
      <c r="B1222" t="str">
        <v>HECTOR VIDAL Y ASOC S R L</v>
      </c>
      <c r="C1222" s="6">
        <v>0</v>
      </c>
      <c r="D1222" s="6">
        <v>0</v>
      </c>
      <c r="E1222" t="str">
        <v>Pesos</v>
      </c>
      <c r="F1222" t="str">
        <v xml:space="preserve"> $</v>
      </c>
      <c r="G1222" t="str">
        <f>IFERROR(VLOOKUP(A1222,'Clientes CBOT'!B:E,4,0),B1222)</f>
        <v>HECTOR VIDAL Y ASOC S R L</v>
      </c>
      <c r="H1222" t="str">
        <f t="shared" si="62"/>
        <v>Ars</v>
      </c>
      <c r="I1222" s="6">
        <f t="shared" si="63"/>
        <v>0</v>
      </c>
      <c r="J1222">
        <f t="shared" si="61"/>
        <v>0</v>
      </c>
    </row>
    <row r="1223" spans="1:10" hidden="1" x14ac:dyDescent="0.3">
      <c r="A1223">
        <v>6036</v>
      </c>
      <c r="B1223" t="str">
        <v>SOLUCIONES ALDEBARAN AGRO SRL</v>
      </c>
      <c r="C1223" s="6">
        <v>0</v>
      </c>
      <c r="D1223" s="6">
        <v>0</v>
      </c>
      <c r="E1223" t="str">
        <v>Pesos</v>
      </c>
      <c r="F1223" t="str">
        <v xml:space="preserve"> $</v>
      </c>
      <c r="G1223" t="str">
        <f>IFERROR(VLOOKUP(A1223,'Clientes CBOT'!B:E,4,0),B1223)</f>
        <v>SOLUCIONES ALDEBARAN AGRO SRL</v>
      </c>
      <c r="H1223" t="str">
        <f t="shared" si="62"/>
        <v>Ars</v>
      </c>
      <c r="I1223" s="6">
        <f t="shared" si="63"/>
        <v>0</v>
      </c>
      <c r="J1223">
        <f t="shared" si="61"/>
        <v>0</v>
      </c>
    </row>
    <row r="1224" spans="1:10" hidden="1" x14ac:dyDescent="0.3">
      <c r="A1224">
        <v>315</v>
      </c>
      <c r="B1224" t="str">
        <v>AGROSERVICIOS HUMBOLDT SA</v>
      </c>
      <c r="C1224" s="6">
        <v>0</v>
      </c>
      <c r="D1224" s="6">
        <v>0.11</v>
      </c>
      <c r="E1224" t="str">
        <v>Pesos</v>
      </c>
      <c r="F1224" t="str">
        <v xml:space="preserve"> $</v>
      </c>
      <c r="G1224" t="str">
        <f>IFERROR(VLOOKUP(A1224,'Clientes CBOT'!B:E,4,0),B1224)</f>
        <v>AGROSERVICIOS HUMBOLDT SA</v>
      </c>
      <c r="H1224" t="str">
        <f t="shared" si="62"/>
        <v>Ars</v>
      </c>
      <c r="I1224" s="6">
        <f t="shared" si="63"/>
        <v>0</v>
      </c>
      <c r="J1224">
        <f t="shared" si="61"/>
        <v>0.11</v>
      </c>
    </row>
    <row r="1225" spans="1:10" hidden="1" x14ac:dyDescent="0.3">
      <c r="A1225">
        <v>328</v>
      </c>
      <c r="B1225" t="str">
        <v>CHIAMBRETTO DANIEL ARGENTINO Y SCHNEIDER GERARDO LUIS SH</v>
      </c>
      <c r="C1225" s="6">
        <v>-20359.04</v>
      </c>
      <c r="D1225" s="6">
        <v>-7.0000000000000007E-2</v>
      </c>
      <c r="E1225" t="str">
        <v>Pesos</v>
      </c>
      <c r="F1225" t="str">
        <v xml:space="preserve"> $</v>
      </c>
      <c r="G1225" t="str">
        <f>IFERROR(VLOOKUP(A1225,'Clientes CBOT'!B:E,4,0),B1225)</f>
        <v>CHIAMBRETTO DANIEL ARGENTINO Y SCHNEIDER GERARDO LUIS SH</v>
      </c>
      <c r="H1225" t="str">
        <f t="shared" si="62"/>
        <v>Ars</v>
      </c>
      <c r="I1225" s="6">
        <f t="shared" si="63"/>
        <v>-20359.04</v>
      </c>
      <c r="J1225">
        <f t="shared" si="61"/>
        <v>-7.0000000000000007E-2</v>
      </c>
    </row>
    <row r="1226" spans="1:10" hidden="1" x14ac:dyDescent="0.3">
      <c r="A1226">
        <v>399</v>
      </c>
      <c r="B1226" t="str">
        <v>BIOLATO CEREALES SC</v>
      </c>
      <c r="C1226" s="6">
        <v>-3347868.05</v>
      </c>
      <c r="D1226" s="6">
        <v>0.01</v>
      </c>
      <c r="E1226" t="str">
        <v>Pesos</v>
      </c>
      <c r="F1226" t="str">
        <v xml:space="preserve"> $</v>
      </c>
      <c r="G1226" t="str">
        <f>IFERROR(VLOOKUP(A1226,'Clientes CBOT'!B:E,4,0),B1226)</f>
        <v>BIOLATO CEREALES SC</v>
      </c>
      <c r="H1226" t="str">
        <f t="shared" si="62"/>
        <v>Ars</v>
      </c>
      <c r="I1226" s="6">
        <f t="shared" si="63"/>
        <v>-3347868.05</v>
      </c>
      <c r="J1226">
        <f t="shared" si="61"/>
        <v>0.01</v>
      </c>
    </row>
    <row r="1227" spans="1:10" hidden="1" x14ac:dyDescent="0.3">
      <c r="A1227">
        <v>6036</v>
      </c>
      <c r="B1227" t="str">
        <v>SOLUCIONES ALDEBARAN AGRO SRL</v>
      </c>
      <c r="C1227" s="6">
        <v>0</v>
      </c>
      <c r="D1227" s="6">
        <v>0</v>
      </c>
      <c r="E1227" t="str">
        <v xml:space="preserve">Dólar </v>
      </c>
      <c r="F1227" t="str">
        <v xml:space="preserve"> U$S</v>
      </c>
      <c r="G1227" t="str">
        <f>IFERROR(VLOOKUP(A1227,'Clientes CBOT'!B:E,4,0),B1227)</f>
        <v>SOLUCIONES ALDEBARAN AGRO SRL</v>
      </c>
      <c r="H1227" t="str">
        <f t="shared" si="62"/>
        <v>Dólar</v>
      </c>
      <c r="I1227" s="6">
        <f t="shared" si="63"/>
        <v>0</v>
      </c>
      <c r="J1227">
        <f t="shared" si="61"/>
        <v>0</v>
      </c>
    </row>
    <row r="1228" spans="1:10" hidden="1" x14ac:dyDescent="0.3">
      <c r="A1228">
        <v>149</v>
      </c>
      <c r="B1228" t="str">
        <v>M.H. CEREALES S.R.L.</v>
      </c>
      <c r="C1228" s="6">
        <v>0</v>
      </c>
      <c r="D1228" s="6">
        <v>0</v>
      </c>
      <c r="E1228" t="str">
        <v xml:space="preserve">Dólar </v>
      </c>
      <c r="F1228" t="str">
        <v xml:space="preserve"> U$S</v>
      </c>
      <c r="G1228" t="str">
        <f>IFERROR(VLOOKUP(A1228,'Clientes CBOT'!B:E,4,0),B1228)</f>
        <v>M.H. CEREALES S.R.L.</v>
      </c>
      <c r="H1228" t="str">
        <f t="shared" si="62"/>
        <v>Dólar</v>
      </c>
      <c r="I1228" s="6">
        <f t="shared" si="63"/>
        <v>0</v>
      </c>
      <c r="J1228">
        <f t="shared" si="61"/>
        <v>0</v>
      </c>
    </row>
    <row r="1229" spans="1:10" hidden="1" x14ac:dyDescent="0.3">
      <c r="A1229">
        <v>149</v>
      </c>
      <c r="B1229" t="str">
        <v>M.H. CEREALES S.R.L.</v>
      </c>
      <c r="C1229" s="6">
        <v>0</v>
      </c>
      <c r="D1229" s="6">
        <v>0</v>
      </c>
      <c r="E1229" t="str">
        <v>Dólar Matba Rofex</v>
      </c>
      <c r="F1229" t="str">
        <v xml:space="preserve"> U$S MR</v>
      </c>
      <c r="G1229" t="str">
        <f>IFERROR(VLOOKUP(A1229,'Clientes CBOT'!B:E,4,0),B1229)</f>
        <v>M.H. CEREALES S.R.L.</v>
      </c>
      <c r="H1229" t="str">
        <f t="shared" si="62"/>
        <v>usd linked</v>
      </c>
      <c r="I1229" s="6">
        <f t="shared" si="63"/>
        <v>0</v>
      </c>
      <c r="J1229">
        <f t="shared" si="61"/>
        <v>0</v>
      </c>
    </row>
    <row r="1230" spans="1:10" hidden="1" x14ac:dyDescent="0.3">
      <c r="A1230">
        <v>399</v>
      </c>
      <c r="B1230" t="str">
        <v>BIOLATO CEREALES SC</v>
      </c>
      <c r="C1230" s="6">
        <v>0</v>
      </c>
      <c r="D1230" s="6">
        <v>0</v>
      </c>
      <c r="E1230" t="str">
        <v>Dólar Matba Rofex</v>
      </c>
      <c r="F1230" t="str">
        <v xml:space="preserve"> U$S MR</v>
      </c>
      <c r="G1230" t="str">
        <f>IFERROR(VLOOKUP(A1230,'Clientes CBOT'!B:E,4,0),B1230)</f>
        <v>BIOLATO CEREALES SC</v>
      </c>
      <c r="H1230" t="str">
        <f t="shared" si="62"/>
        <v>usd linked</v>
      </c>
      <c r="I1230" s="6">
        <f t="shared" si="63"/>
        <v>0</v>
      </c>
      <c r="J1230">
        <f t="shared" si="61"/>
        <v>0</v>
      </c>
    </row>
    <row r="1231" spans="1:10" hidden="1" x14ac:dyDescent="0.3">
      <c r="A1231">
        <v>277</v>
      </c>
      <c r="B1231" t="str">
        <v>ALESSO AGRO SA</v>
      </c>
      <c r="C1231" s="6">
        <v>0</v>
      </c>
      <c r="D1231" s="6">
        <v>0</v>
      </c>
      <c r="E1231" t="str">
        <v>Pesos</v>
      </c>
      <c r="F1231" t="str">
        <v xml:space="preserve"> $</v>
      </c>
      <c r="G1231" t="str">
        <f>IFERROR(VLOOKUP(A1231,'Clientes CBOT'!B:E,4,0),B1231)</f>
        <v>ALESSO AGRO SA</v>
      </c>
      <c r="H1231" t="str">
        <f t="shared" si="62"/>
        <v>Ars</v>
      </c>
      <c r="I1231" s="6">
        <f t="shared" si="63"/>
        <v>0</v>
      </c>
      <c r="J1231">
        <f t="shared" si="61"/>
        <v>0</v>
      </c>
    </row>
    <row r="1232" spans="1:10" hidden="1" x14ac:dyDescent="0.3">
      <c r="A1232">
        <v>6044</v>
      </c>
      <c r="B1232" t="str">
        <v>AMAGGI ARGENTINA S.A.</v>
      </c>
      <c r="C1232" s="6">
        <v>0</v>
      </c>
      <c r="D1232" s="6">
        <v>0</v>
      </c>
      <c r="E1232" t="str">
        <v>Pesos</v>
      </c>
      <c r="F1232" t="str">
        <v xml:space="preserve"> $</v>
      </c>
      <c r="G1232" t="str">
        <f>IFERROR(VLOOKUP(A1232,'Clientes CBOT'!B:E,4,0),B1232)</f>
        <v>AMAGGI ARGENTINA S.A.</v>
      </c>
      <c r="H1232" t="str">
        <f t="shared" si="62"/>
        <v>Ars</v>
      </c>
      <c r="I1232" s="6">
        <f t="shared" si="63"/>
        <v>0</v>
      </c>
      <c r="J1232">
        <f t="shared" si="61"/>
        <v>0</v>
      </c>
    </row>
    <row r="1233" spans="1:10" hidden="1" x14ac:dyDescent="0.3">
      <c r="A1233">
        <v>6062</v>
      </c>
      <c r="B1233" t="str">
        <v>ALLEGRO S.A.</v>
      </c>
      <c r="C1233" s="6">
        <v>0</v>
      </c>
      <c r="D1233" s="6">
        <v>0</v>
      </c>
      <c r="E1233" t="str">
        <v>Pesos</v>
      </c>
      <c r="F1233" t="str">
        <v xml:space="preserve"> $</v>
      </c>
      <c r="G1233" t="str">
        <f>IFERROR(VLOOKUP(A1233,'Clientes CBOT'!B:E,4,0),B1233)</f>
        <v>ALLEGRO S.A.</v>
      </c>
      <c r="H1233" t="str">
        <f t="shared" si="62"/>
        <v>Ars</v>
      </c>
      <c r="I1233" s="6">
        <f t="shared" si="63"/>
        <v>0</v>
      </c>
      <c r="J1233">
        <f t="shared" si="61"/>
        <v>0</v>
      </c>
    </row>
    <row r="1234" spans="1:10" hidden="1" x14ac:dyDescent="0.3">
      <c r="A1234">
        <v>6056</v>
      </c>
      <c r="B1234" t="str">
        <v>SUCESION DE MARANI ANTONIO JUAN</v>
      </c>
      <c r="C1234" s="6">
        <v>0</v>
      </c>
      <c r="D1234" s="6">
        <v>0</v>
      </c>
      <c r="E1234" t="str">
        <v>Pesos</v>
      </c>
      <c r="F1234" t="str">
        <v xml:space="preserve"> $</v>
      </c>
      <c r="G1234" t="str">
        <f>IFERROR(VLOOKUP(A1234,'Clientes CBOT'!B:E,4,0),B1234)</f>
        <v>SUCESION DE MARANI ANTONIO JUAN</v>
      </c>
      <c r="H1234" t="str">
        <f t="shared" si="62"/>
        <v>Ars</v>
      </c>
      <c r="I1234" s="6">
        <f t="shared" si="63"/>
        <v>0</v>
      </c>
      <c r="J1234">
        <f t="shared" si="61"/>
        <v>0</v>
      </c>
    </row>
    <row r="1235" spans="1:10" hidden="1" x14ac:dyDescent="0.3">
      <c r="A1235">
        <v>6052</v>
      </c>
      <c r="B1235" t="str">
        <v>MARANI CHIARA MARIA</v>
      </c>
      <c r="C1235" s="6">
        <v>-1340.88</v>
      </c>
      <c r="D1235" s="6">
        <v>0</v>
      </c>
      <c r="E1235" t="str">
        <v>Pesos</v>
      </c>
      <c r="F1235" t="str">
        <v xml:space="preserve"> $</v>
      </c>
      <c r="G1235" t="str">
        <f>IFERROR(VLOOKUP(A1235,'Clientes CBOT'!B:E,4,0),B1235)</f>
        <v>MARANI CHIARA MARIA</v>
      </c>
      <c r="H1235" t="str">
        <f t="shared" si="62"/>
        <v>Ars</v>
      </c>
      <c r="I1235" s="6">
        <f t="shared" si="63"/>
        <v>-1340.88</v>
      </c>
      <c r="J1235">
        <f t="shared" si="61"/>
        <v>0</v>
      </c>
    </row>
    <row r="1236" spans="1:10" hidden="1" x14ac:dyDescent="0.3">
      <c r="A1236">
        <v>6017</v>
      </c>
      <c r="B1236" t="str">
        <v>DON ITALO S.A.</v>
      </c>
      <c r="C1236" s="6">
        <v>0</v>
      </c>
      <c r="D1236" s="6">
        <v>30000000</v>
      </c>
      <c r="E1236" t="str">
        <v>Pesos</v>
      </c>
      <c r="F1236" t="str">
        <v xml:space="preserve"> $</v>
      </c>
      <c r="G1236" t="str">
        <f>IFERROR(VLOOKUP(A1236,'Clientes CBOT'!B:E,4,0),B1236)</f>
        <v>DON ITALO S.A.</v>
      </c>
      <c r="H1236" t="str">
        <f t="shared" si="62"/>
        <v>Ars</v>
      </c>
      <c r="I1236" s="6">
        <f t="shared" si="63"/>
        <v>0</v>
      </c>
      <c r="J1236">
        <f t="shared" si="61"/>
        <v>30000000</v>
      </c>
    </row>
    <row r="1237" spans="1:10" hidden="1" x14ac:dyDescent="0.3">
      <c r="A1237">
        <v>6022</v>
      </c>
      <c r="B1237" t="str">
        <v>SEMENTERAS &amp; CEREALES SA</v>
      </c>
      <c r="C1237" s="6">
        <v>-4308.38</v>
      </c>
      <c r="D1237" s="6">
        <v>0</v>
      </c>
      <c r="E1237" t="str">
        <v>Pesos</v>
      </c>
      <c r="F1237" t="str">
        <v xml:space="preserve"> $</v>
      </c>
      <c r="G1237" t="str">
        <f>IFERROR(VLOOKUP(A1237,'Clientes CBOT'!B:E,4,0),B1237)</f>
        <v>SEMENTERAS &amp; CEREALES SA</v>
      </c>
      <c r="H1237" t="str">
        <f t="shared" si="62"/>
        <v>Ars</v>
      </c>
      <c r="I1237" s="6">
        <f t="shared" si="63"/>
        <v>-4308.38</v>
      </c>
      <c r="J1237">
        <f t="shared" si="61"/>
        <v>0</v>
      </c>
    </row>
    <row r="1238" spans="1:10" hidden="1" x14ac:dyDescent="0.3">
      <c r="A1238">
        <v>6074</v>
      </c>
      <c r="B1238" t="str">
        <v>CEREALERA RIO II S.A.</v>
      </c>
      <c r="C1238" s="6">
        <v>0</v>
      </c>
      <c r="D1238" s="6">
        <v>0</v>
      </c>
      <c r="E1238" t="str">
        <v>Pesos</v>
      </c>
      <c r="F1238" t="str">
        <v xml:space="preserve"> $</v>
      </c>
      <c r="G1238" t="str">
        <f>IFERROR(VLOOKUP(A1238,'Clientes CBOT'!B:E,4,0),B1238)</f>
        <v>CEREALERA RIO II S.A.</v>
      </c>
      <c r="H1238" t="str">
        <f t="shared" si="62"/>
        <v>Ars</v>
      </c>
      <c r="I1238" s="6">
        <f t="shared" si="63"/>
        <v>0</v>
      </c>
      <c r="J1238">
        <f t="shared" si="61"/>
        <v>0</v>
      </c>
    </row>
    <row r="1239" spans="1:10" hidden="1" x14ac:dyDescent="0.3">
      <c r="A1239">
        <v>87</v>
      </c>
      <c r="B1239" t="str">
        <v>AMAUTA AGRO S.A.</v>
      </c>
      <c r="C1239" s="6">
        <v>-494784999.74000001</v>
      </c>
      <c r="D1239" s="6">
        <v>0.87</v>
      </c>
      <c r="E1239" t="str">
        <v>Pesos</v>
      </c>
      <c r="F1239" t="str">
        <v xml:space="preserve"> $</v>
      </c>
      <c r="G1239" t="str">
        <f>IFERROR(VLOOKUP(A1239,'Clientes CBOT'!B:E,4,0),B1239)</f>
        <v>AMAUTA AGRO S.A.</v>
      </c>
      <c r="H1239" t="str">
        <f t="shared" si="62"/>
        <v>Ars</v>
      </c>
      <c r="I1239" s="6">
        <f t="shared" si="63"/>
        <v>-494784999.74000001</v>
      </c>
      <c r="J1239">
        <f t="shared" si="61"/>
        <v>0.87</v>
      </c>
    </row>
    <row r="1240" spans="1:10" hidden="1" x14ac:dyDescent="0.3">
      <c r="A1240">
        <v>87</v>
      </c>
      <c r="B1240" t="str">
        <v>AMAUTA AGRO S.A.</v>
      </c>
      <c r="C1240" s="6">
        <v>2062.16</v>
      </c>
      <c r="D1240" s="6">
        <v>0</v>
      </c>
      <c r="E1240" t="str">
        <v xml:space="preserve">Dólar </v>
      </c>
      <c r="F1240" t="str">
        <v xml:space="preserve"> U$S</v>
      </c>
      <c r="G1240" t="str">
        <f>IFERROR(VLOOKUP(A1240,'Clientes CBOT'!B:E,4,0),B1240)</f>
        <v>AMAUTA AGRO S.A.</v>
      </c>
      <c r="H1240" t="str">
        <f t="shared" si="62"/>
        <v>Dólar</v>
      </c>
      <c r="I1240" s="6">
        <f t="shared" si="63"/>
        <v>2062.16</v>
      </c>
      <c r="J1240">
        <f t="shared" si="61"/>
        <v>0</v>
      </c>
    </row>
    <row r="1241" spans="1:10" hidden="1" x14ac:dyDescent="0.3">
      <c r="A1241">
        <v>6074</v>
      </c>
      <c r="B1241" t="str">
        <v>CEREALERA RIO II S.A.</v>
      </c>
      <c r="C1241" s="6">
        <v>39.36</v>
      </c>
      <c r="D1241" s="6">
        <v>0</v>
      </c>
      <c r="E1241" t="str">
        <v xml:space="preserve">Dólar </v>
      </c>
      <c r="F1241" t="str">
        <v xml:space="preserve"> U$S</v>
      </c>
      <c r="G1241" t="str">
        <f>IFERROR(VLOOKUP(A1241,'Clientes CBOT'!B:E,4,0),B1241)</f>
        <v>CEREALERA RIO II S.A.</v>
      </c>
      <c r="H1241" t="str">
        <f t="shared" si="62"/>
        <v>Dólar</v>
      </c>
      <c r="I1241" s="6">
        <f t="shared" si="63"/>
        <v>39.36</v>
      </c>
      <c r="J1241">
        <f t="shared" si="61"/>
        <v>0</v>
      </c>
    </row>
    <row r="1242" spans="1:10" hidden="1" x14ac:dyDescent="0.3">
      <c r="A1242">
        <v>6022</v>
      </c>
      <c r="B1242" t="str">
        <v>SEMENTERAS &amp; CEREALES SA</v>
      </c>
      <c r="C1242" s="6">
        <v>1567.17</v>
      </c>
      <c r="D1242" s="6">
        <v>0</v>
      </c>
      <c r="E1242" t="str">
        <v xml:space="preserve">Dólar </v>
      </c>
      <c r="F1242" t="str">
        <v xml:space="preserve"> U$S</v>
      </c>
      <c r="G1242" t="str">
        <f>IFERROR(VLOOKUP(A1242,'Clientes CBOT'!B:E,4,0),B1242)</f>
        <v>SEMENTERAS &amp; CEREALES SA</v>
      </c>
      <c r="H1242" t="str">
        <f t="shared" si="62"/>
        <v>Dólar</v>
      </c>
      <c r="I1242" s="6">
        <f t="shared" si="63"/>
        <v>1567.17</v>
      </c>
      <c r="J1242">
        <f t="shared" si="61"/>
        <v>0</v>
      </c>
    </row>
    <row r="1243" spans="1:10" hidden="1" x14ac:dyDescent="0.3">
      <c r="A1243">
        <v>6017</v>
      </c>
      <c r="B1243" t="str">
        <v>DON ITALO S.A.</v>
      </c>
      <c r="C1243" s="6">
        <v>214.74</v>
      </c>
      <c r="D1243" s="6">
        <v>0</v>
      </c>
      <c r="E1243" t="str">
        <v xml:space="preserve">Dólar </v>
      </c>
      <c r="F1243" t="str">
        <v xml:space="preserve"> U$S</v>
      </c>
      <c r="G1243" t="str">
        <f>IFERROR(VLOOKUP(A1243,'Clientes CBOT'!B:E,4,0),B1243)</f>
        <v>DON ITALO S.A.</v>
      </c>
      <c r="H1243" t="str">
        <f t="shared" si="62"/>
        <v>Dólar</v>
      </c>
      <c r="I1243" s="6">
        <f t="shared" si="63"/>
        <v>214.74</v>
      </c>
      <c r="J1243">
        <f t="shared" si="61"/>
        <v>0</v>
      </c>
    </row>
    <row r="1244" spans="1:10" hidden="1" x14ac:dyDescent="0.3">
      <c r="A1244">
        <v>6052</v>
      </c>
      <c r="B1244" t="str">
        <v>MARANI CHIARA MARIA</v>
      </c>
      <c r="C1244" s="6">
        <v>-2.35</v>
      </c>
      <c r="D1244" s="6">
        <v>0</v>
      </c>
      <c r="E1244" t="str">
        <v xml:space="preserve">Dólar </v>
      </c>
      <c r="F1244" t="str">
        <v xml:space="preserve"> U$S</v>
      </c>
      <c r="G1244" t="str">
        <f>IFERROR(VLOOKUP(A1244,'Clientes CBOT'!B:E,4,0),B1244)</f>
        <v>MARANI CHIARA MARIA</v>
      </c>
      <c r="H1244" t="str">
        <f t="shared" si="62"/>
        <v>Dólar</v>
      </c>
      <c r="I1244" s="6">
        <f t="shared" si="63"/>
        <v>-2.35</v>
      </c>
      <c r="J1244">
        <f t="shared" si="61"/>
        <v>0</v>
      </c>
    </row>
    <row r="1245" spans="1:10" hidden="1" x14ac:dyDescent="0.3">
      <c r="A1245">
        <v>6017</v>
      </c>
      <c r="B1245" t="str">
        <v>DON ITALO S.A.</v>
      </c>
      <c r="C1245" s="6">
        <v>207.36</v>
      </c>
      <c r="D1245" s="6">
        <v>0</v>
      </c>
      <c r="E1245" t="str">
        <v>Dólar Cable</v>
      </c>
      <c r="F1245" t="str">
        <v xml:space="preserve"> U$S TT</v>
      </c>
      <c r="G1245" t="str">
        <f>IFERROR(VLOOKUP(A1245,'Clientes CBOT'!B:E,4,0),B1245)</f>
        <v>DON ITALO S.A.</v>
      </c>
      <c r="H1245" t="str">
        <f t="shared" si="62"/>
        <v>Hard</v>
      </c>
      <c r="I1245" s="6">
        <f t="shared" si="63"/>
        <v>207.36</v>
      </c>
      <c r="J1245">
        <f t="shared" si="61"/>
        <v>0</v>
      </c>
    </row>
    <row r="1246" spans="1:10" hidden="1" x14ac:dyDescent="0.3">
      <c r="A1246">
        <v>6022</v>
      </c>
      <c r="B1246" t="str">
        <v>SEMENTERAS &amp; CEREALES SA</v>
      </c>
      <c r="C1246" s="6">
        <v>736.13</v>
      </c>
      <c r="D1246" s="6">
        <v>0</v>
      </c>
      <c r="E1246" t="str">
        <v>Dólar Cable</v>
      </c>
      <c r="F1246" t="str">
        <v xml:space="preserve"> U$S TT</v>
      </c>
      <c r="G1246" t="str">
        <f>IFERROR(VLOOKUP(A1246,'Clientes CBOT'!B:E,4,0),B1246)</f>
        <v>SEMENTERAS &amp; CEREALES SA</v>
      </c>
      <c r="H1246" t="str">
        <f t="shared" si="62"/>
        <v>Hard</v>
      </c>
      <c r="I1246" s="6">
        <f t="shared" si="63"/>
        <v>736.13</v>
      </c>
      <c r="J1246">
        <f t="shared" si="61"/>
        <v>0</v>
      </c>
    </row>
    <row r="1247" spans="1:10" hidden="1" x14ac:dyDescent="0.3">
      <c r="A1247">
        <v>87</v>
      </c>
      <c r="B1247" t="str">
        <v>AMAUTA AGRO S.A.</v>
      </c>
      <c r="C1247" s="6">
        <v>0.3</v>
      </c>
      <c r="D1247" s="6">
        <v>0</v>
      </c>
      <c r="E1247" t="str">
        <v>Dólar Cable</v>
      </c>
      <c r="F1247" t="str">
        <v xml:space="preserve"> U$S TT</v>
      </c>
      <c r="G1247" t="str">
        <f>IFERROR(VLOOKUP(A1247,'Clientes CBOT'!B:E,4,0),B1247)</f>
        <v>AMAUTA AGRO S.A.</v>
      </c>
      <c r="H1247" t="str">
        <f t="shared" si="62"/>
        <v>Hard</v>
      </c>
      <c r="I1247" s="6">
        <f t="shared" si="63"/>
        <v>0.3</v>
      </c>
      <c r="J1247">
        <f t="shared" si="61"/>
        <v>0</v>
      </c>
    </row>
    <row r="1248" spans="1:10" hidden="1" x14ac:dyDescent="0.3">
      <c r="A1248">
        <v>87</v>
      </c>
      <c r="B1248" t="str">
        <v>AMAUTA AGRO S.A.</v>
      </c>
      <c r="C1248" s="6">
        <v>0</v>
      </c>
      <c r="D1248" s="6">
        <v>0</v>
      </c>
      <c r="E1248" t="str">
        <v>Dólar Matba Rofex</v>
      </c>
      <c r="F1248" t="str">
        <v xml:space="preserve"> U$S MR</v>
      </c>
      <c r="G1248" t="str">
        <f>IFERROR(VLOOKUP(A1248,'Clientes CBOT'!B:E,4,0),B1248)</f>
        <v>AMAUTA AGRO S.A.</v>
      </c>
      <c r="H1248" t="str">
        <f t="shared" si="62"/>
        <v>usd linked</v>
      </c>
      <c r="I1248" s="6">
        <f t="shared" si="63"/>
        <v>0</v>
      </c>
      <c r="J1248">
        <f t="shared" si="61"/>
        <v>0</v>
      </c>
    </row>
    <row r="1249" spans="1:10" hidden="1" x14ac:dyDescent="0.3">
      <c r="A1249">
        <v>277</v>
      </c>
      <c r="B1249" t="str">
        <v>ALESSO AGRO SA</v>
      </c>
      <c r="C1249" s="6">
        <v>0</v>
      </c>
      <c r="D1249" s="6">
        <v>0</v>
      </c>
      <c r="E1249" t="str">
        <v>Dólar Matba Rofex</v>
      </c>
      <c r="F1249" t="str">
        <v xml:space="preserve"> U$S MR</v>
      </c>
      <c r="G1249" t="str">
        <f>IFERROR(VLOOKUP(A1249,'Clientes CBOT'!B:E,4,0),B1249)</f>
        <v>ALESSO AGRO SA</v>
      </c>
      <c r="H1249" t="str">
        <f t="shared" si="62"/>
        <v>usd linked</v>
      </c>
      <c r="I1249" s="6">
        <f t="shared" si="63"/>
        <v>0</v>
      </c>
      <c r="J1249">
        <f t="shared" si="61"/>
        <v>0</v>
      </c>
    </row>
    <row r="1250" spans="1:10" hidden="1" x14ac:dyDescent="0.3">
      <c r="A1250">
        <v>6086</v>
      </c>
      <c r="B1250" t="str">
        <v>TURAGLIO CEREALES S.R.L.</v>
      </c>
      <c r="C1250" s="6">
        <v>-28074.91</v>
      </c>
      <c r="D1250" s="6">
        <v>0</v>
      </c>
      <c r="E1250" t="str">
        <v>Pesos</v>
      </c>
      <c r="F1250" t="str">
        <v xml:space="preserve"> $</v>
      </c>
      <c r="G1250" t="str">
        <f>IFERROR(VLOOKUP(A1250,'Clientes CBOT'!B:E,4,0),B1250)</f>
        <v>TURAGLIO CEREALES S.R.L.</v>
      </c>
      <c r="H1250" t="str">
        <f t="shared" si="62"/>
        <v>Ars</v>
      </c>
      <c r="I1250" s="6">
        <f t="shared" si="63"/>
        <v>-28074.91</v>
      </c>
      <c r="J1250">
        <f t="shared" si="61"/>
        <v>0</v>
      </c>
    </row>
    <row r="1251" spans="1:10" hidden="1" x14ac:dyDescent="0.3">
      <c r="A1251">
        <v>6087</v>
      </c>
      <c r="B1251" t="str">
        <v>Perez Claudio Daniel</v>
      </c>
      <c r="C1251" s="6">
        <v>-40.97</v>
      </c>
      <c r="D1251" s="6">
        <v>0</v>
      </c>
      <c r="E1251" t="str">
        <v>Pesos</v>
      </c>
      <c r="F1251" t="str">
        <v xml:space="preserve"> $</v>
      </c>
      <c r="G1251" t="str">
        <f>IFERROR(VLOOKUP(A1251,'Clientes CBOT'!B:E,4,0),B1251)</f>
        <v>Perez Claudio Daniel</v>
      </c>
      <c r="H1251" t="str">
        <f t="shared" si="62"/>
        <v>Ars</v>
      </c>
      <c r="I1251" s="6">
        <f t="shared" si="63"/>
        <v>-40.97</v>
      </c>
      <c r="J1251">
        <f t="shared" si="61"/>
        <v>0</v>
      </c>
    </row>
    <row r="1252" spans="1:10" hidden="1" x14ac:dyDescent="0.3">
      <c r="A1252">
        <v>6080</v>
      </c>
      <c r="B1252" t="str">
        <v>LA DELFINA S.R.L.</v>
      </c>
      <c r="C1252" s="6">
        <v>-1771.95</v>
      </c>
      <c r="D1252" s="6">
        <v>0</v>
      </c>
      <c r="E1252" t="str">
        <v>Pesos</v>
      </c>
      <c r="F1252" t="str">
        <v xml:space="preserve"> $</v>
      </c>
      <c r="G1252" t="str">
        <f>IFERROR(VLOOKUP(A1252,'Clientes CBOT'!B:E,4,0),B1252)</f>
        <v>LA DELFINA S.R.L.</v>
      </c>
      <c r="H1252" t="str">
        <f t="shared" si="62"/>
        <v>Ars</v>
      </c>
      <c r="I1252" s="6">
        <f t="shared" si="63"/>
        <v>-1771.95</v>
      </c>
      <c r="J1252">
        <f t="shared" si="61"/>
        <v>0</v>
      </c>
    </row>
    <row r="1253" spans="1:10" hidden="1" x14ac:dyDescent="0.3">
      <c r="A1253">
        <v>336</v>
      </c>
      <c r="B1253" t="str">
        <v>CLAUDIO PEREZ CEREALES SA</v>
      </c>
      <c r="C1253" s="6">
        <v>1630.4</v>
      </c>
      <c r="D1253" s="6">
        <v>0</v>
      </c>
      <c r="E1253" t="str">
        <v>Pesos</v>
      </c>
      <c r="F1253" t="str">
        <v xml:space="preserve"> $</v>
      </c>
      <c r="G1253" t="str">
        <f>IFERROR(VLOOKUP(A1253,'Clientes CBOT'!B:E,4,0),B1253)</f>
        <v>CLAUDIO PEREZ CEREALES SA</v>
      </c>
      <c r="H1253" t="str">
        <f t="shared" si="62"/>
        <v>Ars</v>
      </c>
      <c r="I1253" s="6">
        <f t="shared" si="63"/>
        <v>1630.4</v>
      </c>
      <c r="J1253">
        <f t="shared" si="61"/>
        <v>0</v>
      </c>
    </row>
    <row r="1254" spans="1:10" hidden="1" x14ac:dyDescent="0.3">
      <c r="A1254">
        <v>6050</v>
      </c>
      <c r="B1254" t="str">
        <v>FOGLIA NESTOR EDUARDO</v>
      </c>
      <c r="C1254" s="6">
        <v>-1185000</v>
      </c>
      <c r="D1254" s="6">
        <v>0</v>
      </c>
      <c r="E1254" t="str">
        <v>Pesos</v>
      </c>
      <c r="F1254" t="str">
        <v xml:space="preserve"> $</v>
      </c>
      <c r="G1254" t="str">
        <f>IFERROR(VLOOKUP(A1254,'Clientes CBOT'!B:E,4,0),B1254)</f>
        <v>FOGLIA NESTOR EDUARDO</v>
      </c>
      <c r="H1254" t="str">
        <f t="shared" si="62"/>
        <v>Ars</v>
      </c>
      <c r="I1254" s="6">
        <f t="shared" si="63"/>
        <v>-1185000</v>
      </c>
      <c r="J1254">
        <f t="shared" si="61"/>
        <v>0</v>
      </c>
    </row>
    <row r="1255" spans="1:10" hidden="1" x14ac:dyDescent="0.3">
      <c r="A1255">
        <v>6065</v>
      </c>
      <c r="B1255" t="str">
        <v>NICOLA AGRO S.A.</v>
      </c>
      <c r="C1255" s="6">
        <v>0.36</v>
      </c>
      <c r="D1255" s="6">
        <v>0</v>
      </c>
      <c r="E1255" t="str">
        <v>Pesos</v>
      </c>
      <c r="F1255" t="str">
        <v xml:space="preserve"> $</v>
      </c>
      <c r="G1255" t="str">
        <f>IFERROR(VLOOKUP(A1255,'Clientes CBOT'!B:E,4,0),B1255)</f>
        <v>NICOLA AGRO S.A.</v>
      </c>
      <c r="H1255" t="str">
        <f t="shared" si="62"/>
        <v>Ars</v>
      </c>
      <c r="I1255" s="6">
        <f t="shared" si="63"/>
        <v>0.36</v>
      </c>
      <c r="J1255">
        <f t="shared" si="61"/>
        <v>0</v>
      </c>
    </row>
    <row r="1256" spans="1:10" hidden="1" x14ac:dyDescent="0.3">
      <c r="A1256">
        <v>439</v>
      </c>
      <c r="B1256" t="str">
        <v>ZONA RURAL SRL</v>
      </c>
      <c r="C1256" s="6">
        <v>-5037.66</v>
      </c>
      <c r="D1256" s="6">
        <v>0</v>
      </c>
      <c r="E1256" t="str">
        <v>Pesos</v>
      </c>
      <c r="F1256" t="str">
        <v xml:space="preserve"> $</v>
      </c>
      <c r="G1256" t="str">
        <f>IFERROR(VLOOKUP(A1256,'Clientes CBOT'!B:E,4,0),B1256)</f>
        <v>ZONA RURAL SRL</v>
      </c>
      <c r="H1256" t="str">
        <f t="shared" si="62"/>
        <v>Ars</v>
      </c>
      <c r="I1256" s="6">
        <f t="shared" si="63"/>
        <v>-5037.66</v>
      </c>
      <c r="J1256">
        <f t="shared" si="61"/>
        <v>0</v>
      </c>
    </row>
    <row r="1257" spans="1:10" hidden="1" x14ac:dyDescent="0.3">
      <c r="A1257">
        <v>118</v>
      </c>
      <c r="B1257" t="str">
        <v>PLANISFERIO SAU</v>
      </c>
      <c r="C1257" s="6">
        <v>-0.03</v>
      </c>
      <c r="D1257" s="6">
        <v>0</v>
      </c>
      <c r="E1257" t="str">
        <v>Pesos</v>
      </c>
      <c r="F1257" t="str">
        <v xml:space="preserve"> $</v>
      </c>
      <c r="G1257" t="str">
        <f>IFERROR(VLOOKUP(A1257,'Clientes CBOT'!B:E,4,0),B1257)</f>
        <v>PLANISFERIO SAU</v>
      </c>
      <c r="H1257" t="str">
        <f t="shared" si="62"/>
        <v>Ars</v>
      </c>
      <c r="I1257" s="6">
        <f t="shared" si="63"/>
        <v>-0.03</v>
      </c>
      <c r="J1257">
        <f t="shared" si="61"/>
        <v>0</v>
      </c>
    </row>
    <row r="1258" spans="1:10" hidden="1" x14ac:dyDescent="0.3">
      <c r="A1258">
        <v>118</v>
      </c>
      <c r="B1258" t="str">
        <v>PLANISFERIO SAU</v>
      </c>
      <c r="C1258" s="6">
        <v>0</v>
      </c>
      <c r="D1258" s="6">
        <v>0</v>
      </c>
      <c r="E1258" t="str">
        <v xml:space="preserve">Dólar </v>
      </c>
      <c r="F1258" t="str">
        <v xml:space="preserve"> U$S</v>
      </c>
      <c r="G1258" t="str">
        <f>IFERROR(VLOOKUP(A1258,'Clientes CBOT'!B:E,4,0),B1258)</f>
        <v>PLANISFERIO SAU</v>
      </c>
      <c r="H1258" t="str">
        <f t="shared" si="62"/>
        <v>Dólar</v>
      </c>
      <c r="I1258" s="6">
        <f t="shared" si="63"/>
        <v>0</v>
      </c>
      <c r="J1258">
        <f t="shared" si="61"/>
        <v>0</v>
      </c>
    </row>
    <row r="1259" spans="1:10" hidden="1" x14ac:dyDescent="0.3">
      <c r="A1259">
        <v>439</v>
      </c>
      <c r="B1259" t="str">
        <v>ZONA RURAL SRL</v>
      </c>
      <c r="C1259" s="6">
        <v>0</v>
      </c>
      <c r="D1259" s="6">
        <v>0</v>
      </c>
      <c r="E1259" t="str">
        <v xml:space="preserve">Dólar </v>
      </c>
      <c r="F1259" t="str">
        <v xml:space="preserve"> U$S</v>
      </c>
      <c r="G1259" t="str">
        <f>IFERROR(VLOOKUP(A1259,'Clientes CBOT'!B:E,4,0),B1259)</f>
        <v>ZONA RURAL SRL</v>
      </c>
      <c r="H1259" t="str">
        <f t="shared" si="62"/>
        <v>Dólar</v>
      </c>
      <c r="I1259" s="6">
        <f t="shared" si="63"/>
        <v>0</v>
      </c>
      <c r="J1259">
        <f t="shared" si="61"/>
        <v>0</v>
      </c>
    </row>
    <row r="1260" spans="1:10" hidden="1" x14ac:dyDescent="0.3">
      <c r="A1260">
        <v>6050</v>
      </c>
      <c r="B1260" t="str">
        <v>FOGLIA NESTOR EDUARDO</v>
      </c>
      <c r="C1260" s="6">
        <v>1657.18</v>
      </c>
      <c r="D1260" s="6">
        <v>0</v>
      </c>
      <c r="E1260" t="str">
        <v xml:space="preserve">Dólar </v>
      </c>
      <c r="F1260" t="str">
        <v xml:space="preserve"> U$S</v>
      </c>
      <c r="G1260" t="str">
        <f>IFERROR(VLOOKUP(A1260,'Clientes CBOT'!B:E,4,0),B1260)</f>
        <v>FOGLIA NESTOR EDUARDO</v>
      </c>
      <c r="H1260" t="str">
        <f t="shared" si="62"/>
        <v>Dólar</v>
      </c>
      <c r="I1260" s="6">
        <f t="shared" si="63"/>
        <v>1657.18</v>
      </c>
      <c r="J1260">
        <f t="shared" si="61"/>
        <v>0</v>
      </c>
    </row>
    <row r="1261" spans="1:10" hidden="1" x14ac:dyDescent="0.3">
      <c r="A1261">
        <v>336</v>
      </c>
      <c r="B1261" t="str">
        <v>CLAUDIO PEREZ CEREALES SA</v>
      </c>
      <c r="C1261" s="6">
        <v>0</v>
      </c>
      <c r="D1261" s="6">
        <v>0</v>
      </c>
      <c r="E1261" t="str">
        <v xml:space="preserve">Dólar </v>
      </c>
      <c r="F1261" t="str">
        <v xml:space="preserve"> U$S</v>
      </c>
      <c r="G1261" t="str">
        <f>IFERROR(VLOOKUP(A1261,'Clientes CBOT'!B:E,4,0),B1261)</f>
        <v>CLAUDIO PEREZ CEREALES SA</v>
      </c>
      <c r="H1261" t="str">
        <f t="shared" si="62"/>
        <v>Dólar</v>
      </c>
      <c r="I1261" s="6">
        <f t="shared" si="63"/>
        <v>0</v>
      </c>
      <c r="J1261">
        <f t="shared" si="61"/>
        <v>0</v>
      </c>
    </row>
    <row r="1262" spans="1:10" hidden="1" x14ac:dyDescent="0.3">
      <c r="A1262">
        <v>6087</v>
      </c>
      <c r="B1262" t="str">
        <v>Perez Claudio Daniel</v>
      </c>
      <c r="C1262" s="6">
        <v>6.16</v>
      </c>
      <c r="D1262" s="6">
        <v>0</v>
      </c>
      <c r="E1262" t="str">
        <v xml:space="preserve">Dólar </v>
      </c>
      <c r="F1262" t="str">
        <v xml:space="preserve"> U$S</v>
      </c>
      <c r="G1262" t="str">
        <f>IFERROR(VLOOKUP(A1262,'Clientes CBOT'!B:E,4,0),B1262)</f>
        <v>Perez Claudio Daniel</v>
      </c>
      <c r="H1262" t="str">
        <f t="shared" si="62"/>
        <v>Dólar</v>
      </c>
      <c r="I1262" s="6">
        <f t="shared" si="63"/>
        <v>6.16</v>
      </c>
      <c r="J1262">
        <f t="shared" si="61"/>
        <v>0</v>
      </c>
    </row>
    <row r="1263" spans="1:10" hidden="1" x14ac:dyDescent="0.3">
      <c r="A1263">
        <v>336</v>
      </c>
      <c r="B1263" t="str">
        <v>CLAUDIO PEREZ CEREALES SA</v>
      </c>
      <c r="C1263" s="6">
        <v>0</v>
      </c>
      <c r="D1263" s="6">
        <v>0</v>
      </c>
      <c r="E1263" t="str">
        <v>Dólar Matba Rofex</v>
      </c>
      <c r="F1263" t="str">
        <v xml:space="preserve"> U$S MR</v>
      </c>
      <c r="G1263" t="str">
        <f>IFERROR(VLOOKUP(A1263,'Clientes CBOT'!B:E,4,0),B1263)</f>
        <v>CLAUDIO PEREZ CEREALES SA</v>
      </c>
      <c r="H1263" t="str">
        <f t="shared" si="62"/>
        <v>usd linked</v>
      </c>
      <c r="I1263" s="6">
        <f t="shared" si="63"/>
        <v>0</v>
      </c>
      <c r="J1263">
        <f t="shared" si="61"/>
        <v>0</v>
      </c>
    </row>
    <row r="1264" spans="1:10" hidden="1" x14ac:dyDescent="0.3">
      <c r="A1264">
        <v>6050</v>
      </c>
      <c r="B1264" t="str">
        <v>FOGLIA NESTOR EDUARDO</v>
      </c>
      <c r="C1264" s="6">
        <v>0</v>
      </c>
      <c r="D1264" s="6">
        <v>0</v>
      </c>
      <c r="E1264" t="str">
        <v>Dólar Matba Rofex</v>
      </c>
      <c r="F1264" t="str">
        <v xml:space="preserve"> U$S MR</v>
      </c>
      <c r="G1264" t="str">
        <f>IFERROR(VLOOKUP(A1264,'Clientes CBOT'!B:E,4,0),B1264)</f>
        <v>FOGLIA NESTOR EDUARDO</v>
      </c>
      <c r="H1264" t="str">
        <f t="shared" si="62"/>
        <v>usd linked</v>
      </c>
      <c r="I1264" s="6">
        <f t="shared" si="63"/>
        <v>0</v>
      </c>
      <c r="J1264">
        <f t="shared" si="61"/>
        <v>0</v>
      </c>
    </row>
    <row r="1265" spans="1:10" hidden="1" x14ac:dyDescent="0.3">
      <c r="A1265">
        <v>6065</v>
      </c>
      <c r="B1265" t="str">
        <v>NICOLA AGRO S.A.</v>
      </c>
      <c r="C1265" s="6">
        <v>-123.46</v>
      </c>
      <c r="D1265" s="6">
        <v>2618.61</v>
      </c>
      <c r="E1265" t="str">
        <v>Dólar Matba Rofex</v>
      </c>
      <c r="F1265" t="str">
        <v xml:space="preserve"> U$S MR</v>
      </c>
      <c r="G1265" t="str">
        <f>IFERROR(VLOOKUP(A1265,'Clientes CBOT'!B:E,4,0),B1265)</f>
        <v>NICOLA AGRO S.A.</v>
      </c>
      <c r="H1265" t="str">
        <f t="shared" si="62"/>
        <v>usd linked</v>
      </c>
      <c r="I1265" s="6">
        <f t="shared" si="63"/>
        <v>-123.46</v>
      </c>
      <c r="J1265">
        <f t="shared" si="61"/>
        <v>2618.61</v>
      </c>
    </row>
    <row r="1266" spans="1:10" hidden="1" x14ac:dyDescent="0.3">
      <c r="A1266">
        <v>6082</v>
      </c>
      <c r="B1266" t="str">
        <v>Zanetti Santino Mirko, Zanetti Mirko Pablo Leonel</v>
      </c>
      <c r="C1266" s="6">
        <v>-733045.58</v>
      </c>
      <c r="D1266" s="6">
        <v>0</v>
      </c>
      <c r="E1266" t="str">
        <v>Pesos</v>
      </c>
      <c r="F1266" t="str">
        <v xml:space="preserve"> $</v>
      </c>
      <c r="G1266" t="str">
        <f>IFERROR(VLOOKUP(A1266,'Clientes CBOT'!B:E,4,0),B1266)</f>
        <v>Zanetti Santino Mirko, Zanetti Mirko Pablo Leonel</v>
      </c>
      <c r="H1266" t="str">
        <f t="shared" si="62"/>
        <v>Ars</v>
      </c>
      <c r="I1266" s="6">
        <f t="shared" si="63"/>
        <v>-733045.58</v>
      </c>
      <c r="J1266">
        <f t="shared" si="61"/>
        <v>0</v>
      </c>
    </row>
    <row r="1267" spans="1:10" hidden="1" x14ac:dyDescent="0.3">
      <c r="A1267">
        <v>6083</v>
      </c>
      <c r="B1267" t="str">
        <v>De Sogos Francisco</v>
      </c>
      <c r="C1267" s="6">
        <v>109488.27</v>
      </c>
      <c r="D1267" s="6">
        <v>0</v>
      </c>
      <c r="E1267" t="str">
        <v>Pesos</v>
      </c>
      <c r="F1267" t="str">
        <v xml:space="preserve"> $</v>
      </c>
      <c r="G1267" t="str">
        <f>IFERROR(VLOOKUP(A1267,'Clientes CBOT'!B:E,4,0),B1267)</f>
        <v>De Sogos Francisco</v>
      </c>
      <c r="H1267" t="str">
        <f t="shared" si="62"/>
        <v>Ars</v>
      </c>
      <c r="I1267" s="6">
        <f t="shared" si="63"/>
        <v>109488.27</v>
      </c>
      <c r="J1267">
        <f t="shared" si="61"/>
        <v>0</v>
      </c>
    </row>
    <row r="1268" spans="1:10" hidden="1" x14ac:dyDescent="0.3">
      <c r="A1268">
        <v>6081</v>
      </c>
      <c r="B1268" t="str">
        <v>Irastorza Ignacio</v>
      </c>
      <c r="C1268" s="6">
        <v>1185493.2</v>
      </c>
      <c r="D1268" s="6">
        <v>0</v>
      </c>
      <c r="E1268" t="str">
        <v>Pesos</v>
      </c>
      <c r="F1268" t="str">
        <v xml:space="preserve"> $</v>
      </c>
      <c r="G1268" t="str">
        <f>IFERROR(VLOOKUP(A1268,'Clientes CBOT'!B:E,4,0),B1268)</f>
        <v>Irastorza Ignacio</v>
      </c>
      <c r="H1268" t="str">
        <f t="shared" si="62"/>
        <v>Ars</v>
      </c>
      <c r="I1268" s="6">
        <f t="shared" si="63"/>
        <v>1185493.2</v>
      </c>
      <c r="J1268">
        <f t="shared" si="61"/>
        <v>0</v>
      </c>
    </row>
    <row r="1269" spans="1:10" hidden="1" x14ac:dyDescent="0.3">
      <c r="A1269">
        <v>6081</v>
      </c>
      <c r="B1269" t="str">
        <v>Irastorza Ignacio</v>
      </c>
      <c r="C1269" s="6">
        <v>0</v>
      </c>
      <c r="D1269" s="6">
        <v>0</v>
      </c>
      <c r="E1269" t="str">
        <v>Dólar Matba Rofex</v>
      </c>
      <c r="F1269" t="str">
        <v xml:space="preserve"> U$S MR</v>
      </c>
      <c r="G1269" t="str">
        <f>IFERROR(VLOOKUP(A1269,'Clientes CBOT'!B:E,4,0),B1269)</f>
        <v>Irastorza Ignacio</v>
      </c>
      <c r="H1269" t="str">
        <f t="shared" si="62"/>
        <v>usd linked</v>
      </c>
      <c r="I1269" s="6">
        <f t="shared" si="63"/>
        <v>0</v>
      </c>
      <c r="J1269">
        <f t="shared" si="61"/>
        <v>0</v>
      </c>
    </row>
    <row r="1270" spans="1:10" hidden="1" x14ac:dyDescent="0.3">
      <c r="A1270">
        <v>6083</v>
      </c>
      <c r="B1270" t="str">
        <v>De Sogos Francisco</v>
      </c>
      <c r="C1270" s="6">
        <v>0</v>
      </c>
      <c r="D1270" s="6">
        <v>0</v>
      </c>
      <c r="E1270" t="str">
        <v>Dólar Matba Rofex</v>
      </c>
      <c r="F1270" t="str">
        <v xml:space="preserve"> U$S MR</v>
      </c>
      <c r="G1270" t="str">
        <f>IFERROR(VLOOKUP(A1270,'Clientes CBOT'!B:E,4,0),B1270)</f>
        <v>De Sogos Francisco</v>
      </c>
      <c r="H1270" t="str">
        <f t="shared" si="62"/>
        <v>usd linked</v>
      </c>
      <c r="I1270" s="6">
        <f t="shared" si="63"/>
        <v>0</v>
      </c>
      <c r="J1270">
        <f t="shared" si="61"/>
        <v>0</v>
      </c>
    </row>
    <row r="1271" spans="1:10" hidden="1" x14ac:dyDescent="0.3">
      <c r="A1271">
        <v>6082</v>
      </c>
      <c r="B1271" t="str">
        <v>Zanetti Santino Mirko, Zanetti Mirko Pablo Leonel</v>
      </c>
      <c r="C1271" s="6">
        <v>0</v>
      </c>
      <c r="D1271" s="6">
        <v>0</v>
      </c>
      <c r="E1271" t="str">
        <v>Dólar Matba Rofex</v>
      </c>
      <c r="F1271" t="str">
        <v xml:space="preserve"> U$S MR</v>
      </c>
      <c r="G1271" t="str">
        <f>IFERROR(VLOOKUP(A1271,'Clientes CBOT'!B:E,4,0),B1271)</f>
        <v>Zanetti Santino Mirko, Zanetti Mirko Pablo Leonel</v>
      </c>
      <c r="H1271" t="str">
        <f t="shared" si="62"/>
        <v>usd linked</v>
      </c>
      <c r="I1271" s="6">
        <f t="shared" si="63"/>
        <v>0</v>
      </c>
      <c r="J1271">
        <f t="shared" si="61"/>
        <v>0</v>
      </c>
    </row>
    <row r="1272" spans="1:10" hidden="1" x14ac:dyDescent="0.3">
      <c r="A1272">
        <v>6088</v>
      </c>
      <c r="B1272" t="str">
        <v>SANTO DOMINGO S.R.L.</v>
      </c>
      <c r="C1272" s="6">
        <v>-510000</v>
      </c>
      <c r="D1272" s="6">
        <v>0</v>
      </c>
      <c r="E1272" t="str">
        <v>Pesos</v>
      </c>
      <c r="F1272" t="str">
        <v xml:space="preserve"> $</v>
      </c>
      <c r="G1272" t="str">
        <f>IFERROR(VLOOKUP(A1272,'Clientes CBOT'!B:E,4,0),B1272)</f>
        <v>SANTO DOMINGO S.R.L.</v>
      </c>
      <c r="H1272" t="str">
        <f t="shared" si="62"/>
        <v>Ars</v>
      </c>
      <c r="I1272" s="6">
        <f t="shared" si="63"/>
        <v>-510000</v>
      </c>
      <c r="J1272">
        <f t="shared" si="61"/>
        <v>0</v>
      </c>
    </row>
    <row r="1273" spans="1:10" hidden="1" x14ac:dyDescent="0.3">
      <c r="A1273">
        <v>6078</v>
      </c>
      <c r="B1273" t="str">
        <v>KERUBE S.A.</v>
      </c>
      <c r="C1273" s="6">
        <v>5.98</v>
      </c>
      <c r="D1273" s="6">
        <v>0</v>
      </c>
      <c r="E1273" t="str">
        <v>Pesos</v>
      </c>
      <c r="F1273" t="str">
        <v xml:space="preserve"> $</v>
      </c>
      <c r="G1273" t="str">
        <f>IFERROR(VLOOKUP(A1273,'Clientes CBOT'!B:E,4,0),B1273)</f>
        <v>KERUBE S.A.</v>
      </c>
      <c r="H1273" t="str">
        <f t="shared" si="62"/>
        <v>Ars</v>
      </c>
      <c r="I1273" s="6">
        <f t="shared" si="63"/>
        <v>5.98</v>
      </c>
      <c r="J1273">
        <f t="shared" si="61"/>
        <v>0</v>
      </c>
    </row>
    <row r="1274" spans="1:10" hidden="1" x14ac:dyDescent="0.3">
      <c r="A1274">
        <v>6060</v>
      </c>
      <c r="B1274" t="str">
        <v>PROSPERAR S.A.</v>
      </c>
      <c r="C1274" s="6">
        <v>30576443.609999999</v>
      </c>
      <c r="D1274" s="6">
        <v>0</v>
      </c>
      <c r="E1274" t="str">
        <v>Pesos</v>
      </c>
      <c r="F1274" t="str">
        <v xml:space="preserve"> $</v>
      </c>
      <c r="G1274" t="str">
        <f>IFERROR(VLOOKUP(A1274,'Clientes CBOT'!B:E,4,0),B1274)</f>
        <v>PROSPERAR S.A.</v>
      </c>
      <c r="H1274" t="str">
        <f t="shared" si="62"/>
        <v>Ars</v>
      </c>
      <c r="I1274" s="6">
        <f t="shared" si="63"/>
        <v>30576443.609999999</v>
      </c>
      <c r="J1274">
        <f t="shared" si="61"/>
        <v>0</v>
      </c>
    </row>
    <row r="1275" spans="1:10" hidden="1" x14ac:dyDescent="0.3">
      <c r="A1275">
        <v>9007</v>
      </c>
      <c r="B1275" t="str">
        <v>AHUMADA FACUNDO (CERA)</v>
      </c>
      <c r="C1275" s="6">
        <v>-6407.8</v>
      </c>
      <c r="D1275" s="6">
        <v>0</v>
      </c>
      <c r="E1275" t="str">
        <v>Pesos</v>
      </c>
      <c r="F1275" t="str">
        <v xml:space="preserve"> $</v>
      </c>
      <c r="G1275" t="str">
        <f>IFERROR(VLOOKUP(A1275,'Clientes CBOT'!B:E,4,0),B1275)</f>
        <v>AHUMADA FACUNDO (CERA)</v>
      </c>
      <c r="H1275" t="str">
        <f t="shared" si="62"/>
        <v>Ars</v>
      </c>
      <c r="I1275" s="6">
        <f t="shared" si="63"/>
        <v>-6407.8</v>
      </c>
      <c r="J1275">
        <f t="shared" si="61"/>
        <v>0</v>
      </c>
    </row>
    <row r="1276" spans="1:10" hidden="1" x14ac:dyDescent="0.3">
      <c r="A1276">
        <v>9006</v>
      </c>
      <c r="B1276" t="str">
        <v>NOYA PATRICIA DEL VALLE (CERA)</v>
      </c>
      <c r="C1276" s="6">
        <v>-67326.25</v>
      </c>
      <c r="D1276" s="6">
        <v>0</v>
      </c>
      <c r="E1276" t="str">
        <v>Pesos</v>
      </c>
      <c r="F1276" t="str">
        <v xml:space="preserve"> $</v>
      </c>
      <c r="G1276" t="str">
        <f>IFERROR(VLOOKUP(A1276,'Clientes CBOT'!B:E,4,0),B1276)</f>
        <v>NOYA PATRICIA DEL VALLE (CERA)</v>
      </c>
      <c r="H1276" t="str">
        <f t="shared" si="62"/>
        <v>Ars</v>
      </c>
      <c r="I1276" s="6">
        <f t="shared" si="63"/>
        <v>-67326.25</v>
      </c>
      <c r="J1276">
        <f t="shared" si="61"/>
        <v>0</v>
      </c>
    </row>
    <row r="1277" spans="1:10" hidden="1" x14ac:dyDescent="0.3">
      <c r="A1277">
        <v>6075</v>
      </c>
      <c r="B1277" t="str">
        <v>ARGENETICS SEMILLAS S. A.</v>
      </c>
      <c r="C1277" s="6">
        <v>0</v>
      </c>
      <c r="D1277" s="6">
        <v>0</v>
      </c>
      <c r="E1277" t="str">
        <v>Pesos</v>
      </c>
      <c r="F1277" t="str">
        <v xml:space="preserve"> $</v>
      </c>
      <c r="G1277" t="str">
        <f>IFERROR(VLOOKUP(A1277,'Clientes CBOT'!B:E,4,0),B1277)</f>
        <v>ARGENETICS SEMILLAS S. A.</v>
      </c>
      <c r="H1277" t="str">
        <f t="shared" si="62"/>
        <v>Ars</v>
      </c>
      <c r="I1277" s="6">
        <f t="shared" si="63"/>
        <v>0</v>
      </c>
      <c r="J1277">
        <f t="shared" si="61"/>
        <v>0</v>
      </c>
    </row>
    <row r="1278" spans="1:10" hidden="1" x14ac:dyDescent="0.3">
      <c r="A1278">
        <v>9006</v>
      </c>
      <c r="B1278" t="str">
        <v>NOYA PATRICIA DEL VALLE (CERA)</v>
      </c>
      <c r="C1278" s="6">
        <v>9.0299999999999994</v>
      </c>
      <c r="D1278" s="6">
        <v>0</v>
      </c>
      <c r="E1278" t="str">
        <v xml:space="preserve">Dólar </v>
      </c>
      <c r="F1278" t="str">
        <v xml:space="preserve"> U$S</v>
      </c>
      <c r="G1278" t="str">
        <f>IFERROR(VLOOKUP(A1278,'Clientes CBOT'!B:E,4,0),B1278)</f>
        <v>NOYA PATRICIA DEL VALLE (CERA)</v>
      </c>
      <c r="H1278" t="str">
        <f t="shared" si="62"/>
        <v>Dólar</v>
      </c>
      <c r="I1278" s="6">
        <f t="shared" si="63"/>
        <v>9.0299999999999994</v>
      </c>
      <c r="J1278">
        <f t="shared" si="61"/>
        <v>0</v>
      </c>
    </row>
    <row r="1279" spans="1:10" hidden="1" x14ac:dyDescent="0.3">
      <c r="A1279">
        <v>9007</v>
      </c>
      <c r="B1279" t="str">
        <v>AHUMADA FACUNDO (CERA)</v>
      </c>
      <c r="C1279" s="6">
        <v>6.7</v>
      </c>
      <c r="D1279" s="6">
        <v>0</v>
      </c>
      <c r="E1279" t="str">
        <v xml:space="preserve">Dólar </v>
      </c>
      <c r="F1279" t="str">
        <v xml:space="preserve"> U$S</v>
      </c>
      <c r="G1279" t="str">
        <f>IFERROR(VLOOKUP(A1279,'Clientes CBOT'!B:E,4,0),B1279)</f>
        <v>AHUMADA FACUNDO (CERA)</v>
      </c>
      <c r="H1279" t="str">
        <f t="shared" si="62"/>
        <v>Dólar</v>
      </c>
      <c r="I1279" s="6">
        <f t="shared" si="63"/>
        <v>6.7</v>
      </c>
      <c r="J1279">
        <f t="shared" si="61"/>
        <v>0</v>
      </c>
    </row>
    <row r="1280" spans="1:10" hidden="1" x14ac:dyDescent="0.3">
      <c r="A1280">
        <v>6078</v>
      </c>
      <c r="B1280" t="str">
        <v>KERUBE S.A.</v>
      </c>
      <c r="C1280" s="6">
        <v>-26838.63</v>
      </c>
      <c r="D1280" s="6">
        <v>0</v>
      </c>
      <c r="E1280" t="str">
        <v>Dólar Matba Rofex</v>
      </c>
      <c r="F1280" t="str">
        <v xml:space="preserve"> U$S MR</v>
      </c>
      <c r="G1280" t="str">
        <f>IFERROR(VLOOKUP(A1280,'Clientes CBOT'!B:E,4,0),B1280)</f>
        <v>KERUBE S.A.</v>
      </c>
      <c r="H1280" t="str">
        <f t="shared" si="62"/>
        <v>usd linked</v>
      </c>
      <c r="I1280" s="6">
        <f t="shared" si="63"/>
        <v>-26838.63</v>
      </c>
      <c r="J1280">
        <f t="shared" si="61"/>
        <v>0</v>
      </c>
    </row>
    <row r="1281" spans="1:10" hidden="1" x14ac:dyDescent="0.3">
      <c r="A1281">
        <v>6088</v>
      </c>
      <c r="B1281" t="str">
        <v>SANTO DOMINGO S.R.L.</v>
      </c>
      <c r="C1281" s="6">
        <v>-170</v>
      </c>
      <c r="D1281" s="6">
        <v>0</v>
      </c>
      <c r="E1281" t="str">
        <v>Dólar Matba Rofex</v>
      </c>
      <c r="F1281" t="str">
        <v xml:space="preserve"> U$S MR</v>
      </c>
      <c r="G1281" t="str">
        <f>IFERROR(VLOOKUP(A1281,'Clientes CBOT'!B:E,4,0),B1281)</f>
        <v>SANTO DOMINGO S.R.L.</v>
      </c>
      <c r="H1281" t="str">
        <f t="shared" si="62"/>
        <v>usd linked</v>
      </c>
      <c r="I1281" s="6">
        <f t="shared" si="63"/>
        <v>-170</v>
      </c>
      <c r="J1281">
        <f t="shared" si="61"/>
        <v>0</v>
      </c>
    </row>
    <row r="1282" spans="1:10" hidden="1" x14ac:dyDescent="0.3">
      <c r="G1282">
        <f>IFERROR(VLOOKUP(A1282,'Clientes CBOT'!B:E,4,0),B1282)</f>
        <v>0</v>
      </c>
      <c r="H1282" t="str">
        <f t="shared" si="62"/>
        <v>Dólar</v>
      </c>
      <c r="I1282" s="6">
        <f t="shared" si="63"/>
        <v>0</v>
      </c>
      <c r="J1282">
        <f t="shared" si="61"/>
        <v>0</v>
      </c>
    </row>
    <row r="1283" spans="1:10" hidden="1" x14ac:dyDescent="0.3">
      <c r="G1283">
        <f>IFERROR(VLOOKUP(A1283,'Clientes CBOT'!B:E,4,0),B1283)</f>
        <v>0</v>
      </c>
      <c r="H1283" t="str">
        <f t="shared" si="62"/>
        <v>Dólar</v>
      </c>
      <c r="I1283" s="6">
        <f t="shared" si="63"/>
        <v>0</v>
      </c>
      <c r="J1283">
        <f t="shared" ref="J1283:J1299" si="64">IF(H1283="ars",D1283/$J$1,IF(H1283="hard",D1283*$J$2/$J$1,D1283))</f>
        <v>0</v>
      </c>
    </row>
    <row r="1284" spans="1:10" hidden="1" x14ac:dyDescent="0.3">
      <c r="G1284">
        <f>IFERROR(VLOOKUP(A1284,'Clientes CBOT'!B:E,4,0),B1284)</f>
        <v>0</v>
      </c>
      <c r="H1284" t="str">
        <f t="shared" si="62"/>
        <v>Dólar</v>
      </c>
      <c r="I1284" s="6">
        <f t="shared" si="63"/>
        <v>0</v>
      </c>
      <c r="J1284">
        <f t="shared" si="64"/>
        <v>0</v>
      </c>
    </row>
    <row r="1285" spans="1:10" hidden="1" x14ac:dyDescent="0.3">
      <c r="G1285">
        <f>IFERROR(VLOOKUP(A1285,'Clientes CBOT'!B:E,4,0),B1285)</f>
        <v>0</v>
      </c>
      <c r="H1285" t="str">
        <f t="shared" ref="H1285:H1348" si="65">IF(E1285="pesos","Ars",IF(E1285="Dólar Matba Rofex","usd linked",IF(F1285=" U$S TT","Hard","Dólar")))</f>
        <v>Dólar</v>
      </c>
      <c r="I1285" s="6">
        <f t="shared" ref="I1285:I1348" si="66">IF(H1285="ars",C1285/$J$1,IF(H1285="Hard",C1285*$J$2/$J$1,C1285))</f>
        <v>0</v>
      </c>
      <c r="J1285">
        <f t="shared" si="64"/>
        <v>0</v>
      </c>
    </row>
    <row r="1286" spans="1:10" hidden="1" x14ac:dyDescent="0.3">
      <c r="G1286">
        <f>IFERROR(VLOOKUP(A1286,'Clientes CBOT'!B:E,4,0),B1286)</f>
        <v>0</v>
      </c>
      <c r="H1286" t="str">
        <f t="shared" si="65"/>
        <v>Dólar</v>
      </c>
      <c r="I1286" s="6">
        <f t="shared" si="66"/>
        <v>0</v>
      </c>
      <c r="J1286">
        <f t="shared" si="64"/>
        <v>0</v>
      </c>
    </row>
    <row r="1287" spans="1:10" hidden="1" x14ac:dyDescent="0.3">
      <c r="G1287">
        <f>IFERROR(VLOOKUP(A1287,'Clientes CBOT'!B:E,4,0),B1287)</f>
        <v>0</v>
      </c>
      <c r="H1287" t="str">
        <f t="shared" si="65"/>
        <v>Dólar</v>
      </c>
      <c r="I1287" s="6">
        <f t="shared" si="66"/>
        <v>0</v>
      </c>
      <c r="J1287">
        <f t="shared" si="64"/>
        <v>0</v>
      </c>
    </row>
    <row r="1288" spans="1:10" hidden="1" x14ac:dyDescent="0.3">
      <c r="G1288">
        <f>IFERROR(VLOOKUP(A1288,'Clientes CBOT'!B:E,4,0),B1288)</f>
        <v>0</v>
      </c>
      <c r="H1288" t="str">
        <f t="shared" si="65"/>
        <v>Dólar</v>
      </c>
      <c r="I1288" s="6">
        <f t="shared" si="66"/>
        <v>0</v>
      </c>
      <c r="J1288">
        <f t="shared" si="64"/>
        <v>0</v>
      </c>
    </row>
    <row r="1289" spans="1:10" hidden="1" x14ac:dyDescent="0.3">
      <c r="G1289">
        <f>IFERROR(VLOOKUP(A1289,'Clientes CBOT'!B:E,4,0),B1289)</f>
        <v>0</v>
      </c>
      <c r="H1289" t="str">
        <f t="shared" si="65"/>
        <v>Dólar</v>
      </c>
      <c r="I1289" s="6">
        <f t="shared" si="66"/>
        <v>0</v>
      </c>
      <c r="J1289">
        <f t="shared" si="64"/>
        <v>0</v>
      </c>
    </row>
    <row r="1290" spans="1:10" hidden="1" x14ac:dyDescent="0.3">
      <c r="G1290">
        <f>IFERROR(VLOOKUP(A1290,'Clientes CBOT'!B:E,4,0),B1290)</f>
        <v>0</v>
      </c>
      <c r="H1290" t="str">
        <f t="shared" si="65"/>
        <v>Dólar</v>
      </c>
      <c r="I1290" s="6">
        <f t="shared" si="66"/>
        <v>0</v>
      </c>
      <c r="J1290">
        <f t="shared" si="64"/>
        <v>0</v>
      </c>
    </row>
    <row r="1291" spans="1:10" hidden="1" x14ac:dyDescent="0.3">
      <c r="G1291">
        <f>IFERROR(VLOOKUP(A1291,'Clientes CBOT'!B:E,4,0),B1291)</f>
        <v>0</v>
      </c>
      <c r="H1291" t="str">
        <f t="shared" si="65"/>
        <v>Dólar</v>
      </c>
      <c r="I1291" s="6">
        <f t="shared" si="66"/>
        <v>0</v>
      </c>
      <c r="J1291">
        <f t="shared" si="64"/>
        <v>0</v>
      </c>
    </row>
    <row r="1292" spans="1:10" hidden="1" x14ac:dyDescent="0.3">
      <c r="G1292">
        <f>IFERROR(VLOOKUP(A1292,'Clientes CBOT'!B:E,4,0),B1292)</f>
        <v>0</v>
      </c>
      <c r="H1292" t="str">
        <f t="shared" si="65"/>
        <v>Dólar</v>
      </c>
      <c r="I1292" s="6">
        <f t="shared" si="66"/>
        <v>0</v>
      </c>
      <c r="J1292">
        <f t="shared" si="64"/>
        <v>0</v>
      </c>
    </row>
    <row r="1293" spans="1:10" hidden="1" x14ac:dyDescent="0.3">
      <c r="G1293">
        <f>IFERROR(VLOOKUP(A1293,'Clientes CBOT'!B:E,4,0),B1293)</f>
        <v>0</v>
      </c>
      <c r="H1293" t="str">
        <f t="shared" si="65"/>
        <v>Dólar</v>
      </c>
      <c r="I1293" s="6">
        <f t="shared" si="66"/>
        <v>0</v>
      </c>
      <c r="J1293">
        <f t="shared" si="64"/>
        <v>0</v>
      </c>
    </row>
    <row r="1294" spans="1:10" hidden="1" x14ac:dyDescent="0.3">
      <c r="G1294">
        <f>IFERROR(VLOOKUP(A1294,'Clientes CBOT'!B:E,4,0),B1294)</f>
        <v>0</v>
      </c>
      <c r="H1294" t="str">
        <f t="shared" si="65"/>
        <v>Dólar</v>
      </c>
      <c r="I1294" s="6">
        <f t="shared" si="66"/>
        <v>0</v>
      </c>
      <c r="J1294">
        <f t="shared" si="64"/>
        <v>0</v>
      </c>
    </row>
    <row r="1295" spans="1:10" hidden="1" x14ac:dyDescent="0.3">
      <c r="G1295">
        <f>IFERROR(VLOOKUP(A1295,'Clientes CBOT'!B:E,4,0),B1295)</f>
        <v>0</v>
      </c>
      <c r="H1295" t="str">
        <f t="shared" si="65"/>
        <v>Dólar</v>
      </c>
      <c r="I1295" s="6">
        <f t="shared" si="66"/>
        <v>0</v>
      </c>
      <c r="J1295">
        <f t="shared" si="64"/>
        <v>0</v>
      </c>
    </row>
    <row r="1296" spans="1:10" hidden="1" x14ac:dyDescent="0.3">
      <c r="G1296">
        <f>IFERROR(VLOOKUP(A1296,'Clientes CBOT'!B:E,4,0),B1296)</f>
        <v>0</v>
      </c>
      <c r="H1296" t="str">
        <f t="shared" si="65"/>
        <v>Dólar</v>
      </c>
      <c r="I1296" s="6">
        <f t="shared" si="66"/>
        <v>0</v>
      </c>
      <c r="J1296">
        <f t="shared" si="64"/>
        <v>0</v>
      </c>
    </row>
    <row r="1297" spans="7:10" hidden="1" x14ac:dyDescent="0.3">
      <c r="G1297">
        <f>IFERROR(VLOOKUP(A1297,'Clientes CBOT'!B:E,4,0),B1297)</f>
        <v>0</v>
      </c>
      <c r="H1297" t="str">
        <f t="shared" si="65"/>
        <v>Dólar</v>
      </c>
      <c r="I1297" s="6">
        <f t="shared" si="66"/>
        <v>0</v>
      </c>
      <c r="J1297">
        <f t="shared" si="64"/>
        <v>0</v>
      </c>
    </row>
    <row r="1298" spans="7:10" hidden="1" x14ac:dyDescent="0.3">
      <c r="G1298">
        <f>IFERROR(VLOOKUP(A1298,'Clientes CBOT'!B:E,4,0),B1298)</f>
        <v>0</v>
      </c>
      <c r="H1298" t="str">
        <f t="shared" si="65"/>
        <v>Dólar</v>
      </c>
      <c r="I1298" s="6">
        <f t="shared" si="66"/>
        <v>0</v>
      </c>
      <c r="J1298">
        <f t="shared" si="64"/>
        <v>0</v>
      </c>
    </row>
    <row r="1299" spans="7:10" hidden="1" x14ac:dyDescent="0.3">
      <c r="G1299">
        <f>IFERROR(VLOOKUP(A1299,'Clientes CBOT'!B:E,4,0),B1299)</f>
        <v>0</v>
      </c>
      <c r="H1299" t="str">
        <f t="shared" si="65"/>
        <v>Dólar</v>
      </c>
      <c r="I1299" s="6">
        <f t="shared" si="66"/>
        <v>0</v>
      </c>
      <c r="J1299">
        <f t="shared" si="64"/>
        <v>0</v>
      </c>
    </row>
    <row r="1300" spans="7:10" x14ac:dyDescent="0.3">
      <c r="G1300">
        <f>IFERROR(VLOOKUP(A1300,'Clientes CBOT'!B:E,4,0),B1300)</f>
        <v>0</v>
      </c>
      <c r="H1300" t="str">
        <f t="shared" si="65"/>
        <v>Dólar</v>
      </c>
      <c r="I1300" s="6">
        <f t="shared" si="66"/>
        <v>0</v>
      </c>
      <c r="J1300">
        <f t="shared" ref="J1300:J1363" si="67">IF(H1300="ars",D1300/$J$1,IF(H1300="hard",D1300*$J$2/$J$1,D1300))</f>
        <v>0</v>
      </c>
    </row>
    <row r="1301" spans="7:10" x14ac:dyDescent="0.3">
      <c r="G1301">
        <f>IFERROR(VLOOKUP(A1301,'Clientes CBOT'!B:E,4,0),B1301)</f>
        <v>0</v>
      </c>
      <c r="H1301" t="str">
        <f t="shared" si="65"/>
        <v>Dólar</v>
      </c>
      <c r="I1301" s="6">
        <f t="shared" si="66"/>
        <v>0</v>
      </c>
      <c r="J1301">
        <f t="shared" si="67"/>
        <v>0</v>
      </c>
    </row>
    <row r="1302" spans="7:10" x14ac:dyDescent="0.3">
      <c r="G1302">
        <f>IFERROR(VLOOKUP(A1302,'Clientes CBOT'!B:E,4,0),B1302)</f>
        <v>0</v>
      </c>
      <c r="H1302" t="str">
        <f t="shared" si="65"/>
        <v>Dólar</v>
      </c>
      <c r="I1302" s="6">
        <f t="shared" si="66"/>
        <v>0</v>
      </c>
      <c r="J1302">
        <f t="shared" si="67"/>
        <v>0</v>
      </c>
    </row>
    <row r="1303" spans="7:10" x14ac:dyDescent="0.3">
      <c r="G1303">
        <f>IFERROR(VLOOKUP(A1303,'Clientes CBOT'!B:E,4,0),B1303)</f>
        <v>0</v>
      </c>
      <c r="H1303" t="str">
        <f t="shared" si="65"/>
        <v>Dólar</v>
      </c>
      <c r="I1303" s="6">
        <f t="shared" si="66"/>
        <v>0</v>
      </c>
      <c r="J1303">
        <f t="shared" si="67"/>
        <v>0</v>
      </c>
    </row>
    <row r="1304" spans="7:10" x14ac:dyDescent="0.3">
      <c r="G1304">
        <f>IFERROR(VLOOKUP(A1304,'Clientes CBOT'!B:E,4,0),B1304)</f>
        <v>0</v>
      </c>
      <c r="H1304" t="str">
        <f t="shared" si="65"/>
        <v>Dólar</v>
      </c>
      <c r="I1304" s="6">
        <f t="shared" si="66"/>
        <v>0</v>
      </c>
      <c r="J1304">
        <f t="shared" si="67"/>
        <v>0</v>
      </c>
    </row>
    <row r="1305" spans="7:10" x14ac:dyDescent="0.3">
      <c r="G1305">
        <f>IFERROR(VLOOKUP(A1305,'Clientes CBOT'!B:E,4,0),B1305)</f>
        <v>0</v>
      </c>
      <c r="H1305" t="str">
        <f t="shared" si="65"/>
        <v>Dólar</v>
      </c>
      <c r="I1305" s="6">
        <f t="shared" si="66"/>
        <v>0</v>
      </c>
      <c r="J1305">
        <f t="shared" si="67"/>
        <v>0</v>
      </c>
    </row>
    <row r="1306" spans="7:10" x14ac:dyDescent="0.3">
      <c r="G1306">
        <f>IFERROR(VLOOKUP(A1306,'Clientes CBOT'!B:E,4,0),B1306)</f>
        <v>0</v>
      </c>
      <c r="H1306" t="str">
        <f t="shared" si="65"/>
        <v>Dólar</v>
      </c>
      <c r="I1306" s="6">
        <f t="shared" si="66"/>
        <v>0</v>
      </c>
      <c r="J1306">
        <f t="shared" si="67"/>
        <v>0</v>
      </c>
    </row>
    <row r="1307" spans="7:10" x14ac:dyDescent="0.3">
      <c r="G1307">
        <f>IFERROR(VLOOKUP(A1307,'Clientes CBOT'!B:E,4,0),B1307)</f>
        <v>0</v>
      </c>
      <c r="H1307" t="str">
        <f t="shared" si="65"/>
        <v>Dólar</v>
      </c>
      <c r="I1307" s="6">
        <f t="shared" si="66"/>
        <v>0</v>
      </c>
      <c r="J1307">
        <f t="shared" si="67"/>
        <v>0</v>
      </c>
    </row>
    <row r="1308" spans="7:10" x14ac:dyDescent="0.3">
      <c r="G1308">
        <f>IFERROR(VLOOKUP(A1308,'Clientes CBOT'!B:E,4,0),B1308)</f>
        <v>0</v>
      </c>
      <c r="H1308" t="str">
        <f t="shared" si="65"/>
        <v>Dólar</v>
      </c>
      <c r="I1308" s="6">
        <f t="shared" si="66"/>
        <v>0</v>
      </c>
      <c r="J1308">
        <f t="shared" si="67"/>
        <v>0</v>
      </c>
    </row>
    <row r="1309" spans="7:10" x14ac:dyDescent="0.3">
      <c r="G1309">
        <f>IFERROR(VLOOKUP(A1309,'Clientes CBOT'!B:E,4,0),B1309)</f>
        <v>0</v>
      </c>
      <c r="H1309" t="str">
        <f t="shared" si="65"/>
        <v>Dólar</v>
      </c>
      <c r="I1309" s="6">
        <f t="shared" si="66"/>
        <v>0</v>
      </c>
      <c r="J1309">
        <f t="shared" si="67"/>
        <v>0</v>
      </c>
    </row>
    <row r="1310" spans="7:10" x14ac:dyDescent="0.3">
      <c r="G1310">
        <f>IFERROR(VLOOKUP(A1310,'Clientes CBOT'!B:E,4,0),B1310)</f>
        <v>0</v>
      </c>
      <c r="H1310" t="str">
        <f t="shared" si="65"/>
        <v>Dólar</v>
      </c>
      <c r="I1310" s="6">
        <f t="shared" si="66"/>
        <v>0</v>
      </c>
      <c r="J1310">
        <f t="shared" si="67"/>
        <v>0</v>
      </c>
    </row>
    <row r="1311" spans="7:10" x14ac:dyDescent="0.3">
      <c r="G1311">
        <f>IFERROR(VLOOKUP(A1311,'Clientes CBOT'!B:E,4,0),B1311)</f>
        <v>0</v>
      </c>
      <c r="H1311" t="str">
        <f t="shared" si="65"/>
        <v>Dólar</v>
      </c>
      <c r="I1311" s="6">
        <f t="shared" si="66"/>
        <v>0</v>
      </c>
      <c r="J1311">
        <f t="shared" si="67"/>
        <v>0</v>
      </c>
    </row>
    <row r="1312" spans="7:10" x14ac:dyDescent="0.3">
      <c r="G1312">
        <f>IFERROR(VLOOKUP(A1312,'Clientes CBOT'!B:E,4,0),B1312)</f>
        <v>0</v>
      </c>
      <c r="H1312" t="str">
        <f t="shared" si="65"/>
        <v>Dólar</v>
      </c>
      <c r="I1312" s="6">
        <f t="shared" si="66"/>
        <v>0</v>
      </c>
      <c r="J1312">
        <f t="shared" si="67"/>
        <v>0</v>
      </c>
    </row>
    <row r="1313" spans="7:10" x14ac:dyDescent="0.3">
      <c r="G1313">
        <f>IFERROR(VLOOKUP(A1313,'Clientes CBOT'!B:E,4,0),B1313)</f>
        <v>0</v>
      </c>
      <c r="H1313" t="str">
        <f t="shared" si="65"/>
        <v>Dólar</v>
      </c>
      <c r="I1313" s="6">
        <f t="shared" si="66"/>
        <v>0</v>
      </c>
      <c r="J1313">
        <f t="shared" si="67"/>
        <v>0</v>
      </c>
    </row>
    <row r="1314" spans="7:10" x14ac:dyDescent="0.3">
      <c r="G1314">
        <f>IFERROR(VLOOKUP(A1314,'Clientes CBOT'!B:E,4,0),B1314)</f>
        <v>0</v>
      </c>
      <c r="H1314" t="str">
        <f t="shared" si="65"/>
        <v>Dólar</v>
      </c>
      <c r="I1314" s="6">
        <f t="shared" si="66"/>
        <v>0</v>
      </c>
      <c r="J1314">
        <f t="shared" si="67"/>
        <v>0</v>
      </c>
    </row>
    <row r="1315" spans="7:10" x14ac:dyDescent="0.3">
      <c r="G1315">
        <f>IFERROR(VLOOKUP(A1315,'Clientes CBOT'!B:E,4,0),B1315)</f>
        <v>0</v>
      </c>
      <c r="H1315" t="str">
        <f t="shared" si="65"/>
        <v>Dólar</v>
      </c>
      <c r="I1315" s="6">
        <f t="shared" si="66"/>
        <v>0</v>
      </c>
      <c r="J1315">
        <f t="shared" si="67"/>
        <v>0</v>
      </c>
    </row>
    <row r="1316" spans="7:10" x14ac:dyDescent="0.3">
      <c r="G1316">
        <f>IFERROR(VLOOKUP(A1316,'Clientes CBOT'!B:E,4,0),B1316)</f>
        <v>0</v>
      </c>
      <c r="H1316" t="str">
        <f t="shared" si="65"/>
        <v>Dólar</v>
      </c>
      <c r="I1316" s="6">
        <f t="shared" si="66"/>
        <v>0</v>
      </c>
      <c r="J1316">
        <f t="shared" si="67"/>
        <v>0</v>
      </c>
    </row>
    <row r="1317" spans="7:10" x14ac:dyDescent="0.3">
      <c r="G1317">
        <f>IFERROR(VLOOKUP(A1317,'Clientes CBOT'!B:E,4,0),B1317)</f>
        <v>0</v>
      </c>
      <c r="H1317" t="str">
        <f t="shared" si="65"/>
        <v>Dólar</v>
      </c>
      <c r="I1317" s="6">
        <f t="shared" si="66"/>
        <v>0</v>
      </c>
      <c r="J1317">
        <f t="shared" si="67"/>
        <v>0</v>
      </c>
    </row>
    <row r="1318" spans="7:10" x14ac:dyDescent="0.3">
      <c r="G1318">
        <f>IFERROR(VLOOKUP(A1318,'Clientes CBOT'!B:E,4,0),B1318)</f>
        <v>0</v>
      </c>
      <c r="H1318" t="str">
        <f t="shared" si="65"/>
        <v>Dólar</v>
      </c>
      <c r="I1318" s="6">
        <f t="shared" si="66"/>
        <v>0</v>
      </c>
      <c r="J1318">
        <f t="shared" si="67"/>
        <v>0</v>
      </c>
    </row>
    <row r="1319" spans="7:10" x14ac:dyDescent="0.3">
      <c r="G1319">
        <f>IFERROR(VLOOKUP(A1319,'Clientes CBOT'!B:E,4,0),B1319)</f>
        <v>0</v>
      </c>
      <c r="H1319" t="str">
        <f t="shared" si="65"/>
        <v>Dólar</v>
      </c>
      <c r="I1319" s="6">
        <f t="shared" si="66"/>
        <v>0</v>
      </c>
      <c r="J1319">
        <f t="shared" si="67"/>
        <v>0</v>
      </c>
    </row>
    <row r="1320" spans="7:10" x14ac:dyDescent="0.3">
      <c r="G1320">
        <f>IFERROR(VLOOKUP(A1320,'Clientes CBOT'!B:E,4,0),B1320)</f>
        <v>0</v>
      </c>
      <c r="H1320" t="str">
        <f t="shared" si="65"/>
        <v>Dólar</v>
      </c>
      <c r="I1320" s="6">
        <f t="shared" si="66"/>
        <v>0</v>
      </c>
      <c r="J1320">
        <f t="shared" si="67"/>
        <v>0</v>
      </c>
    </row>
    <row r="1321" spans="7:10" x14ac:dyDescent="0.3">
      <c r="G1321">
        <f>IFERROR(VLOOKUP(A1321,'Clientes CBOT'!B:E,4,0),B1321)</f>
        <v>0</v>
      </c>
      <c r="H1321" t="str">
        <f t="shared" si="65"/>
        <v>Dólar</v>
      </c>
      <c r="I1321" s="6">
        <f t="shared" si="66"/>
        <v>0</v>
      </c>
      <c r="J1321">
        <f t="shared" si="67"/>
        <v>0</v>
      </c>
    </row>
    <row r="1322" spans="7:10" x14ac:dyDescent="0.3">
      <c r="G1322">
        <f>IFERROR(VLOOKUP(A1322,'Clientes CBOT'!B:E,4,0),B1322)</f>
        <v>0</v>
      </c>
      <c r="H1322" t="str">
        <f t="shared" si="65"/>
        <v>Dólar</v>
      </c>
      <c r="I1322" s="6">
        <f t="shared" si="66"/>
        <v>0</v>
      </c>
      <c r="J1322">
        <f t="shared" si="67"/>
        <v>0</v>
      </c>
    </row>
    <row r="1323" spans="7:10" x14ac:dyDescent="0.3">
      <c r="G1323">
        <f>IFERROR(VLOOKUP(A1323,'Clientes CBOT'!B:E,4,0),B1323)</f>
        <v>0</v>
      </c>
      <c r="H1323" t="str">
        <f t="shared" si="65"/>
        <v>Dólar</v>
      </c>
      <c r="I1323" s="6">
        <f t="shared" si="66"/>
        <v>0</v>
      </c>
      <c r="J1323">
        <f t="shared" si="67"/>
        <v>0</v>
      </c>
    </row>
    <row r="1324" spans="7:10" x14ac:dyDescent="0.3">
      <c r="G1324">
        <f>IFERROR(VLOOKUP(A1324,'Clientes CBOT'!B:E,4,0),B1324)</f>
        <v>0</v>
      </c>
      <c r="H1324" t="str">
        <f t="shared" si="65"/>
        <v>Dólar</v>
      </c>
      <c r="I1324" s="6">
        <f t="shared" si="66"/>
        <v>0</v>
      </c>
      <c r="J1324">
        <f t="shared" si="67"/>
        <v>0</v>
      </c>
    </row>
    <row r="1325" spans="7:10" x14ac:dyDescent="0.3">
      <c r="G1325">
        <f>IFERROR(VLOOKUP(A1325,'Clientes CBOT'!B:E,4,0),B1325)</f>
        <v>0</v>
      </c>
      <c r="H1325" t="str">
        <f t="shared" si="65"/>
        <v>Dólar</v>
      </c>
      <c r="I1325" s="6">
        <f t="shared" si="66"/>
        <v>0</v>
      </c>
      <c r="J1325">
        <f t="shared" si="67"/>
        <v>0</v>
      </c>
    </row>
    <row r="1326" spans="7:10" x14ac:dyDescent="0.3">
      <c r="G1326">
        <f>IFERROR(VLOOKUP(A1326,'Clientes CBOT'!B:E,4,0),B1326)</f>
        <v>0</v>
      </c>
      <c r="H1326" t="str">
        <f t="shared" si="65"/>
        <v>Dólar</v>
      </c>
      <c r="I1326" s="6">
        <f t="shared" si="66"/>
        <v>0</v>
      </c>
      <c r="J1326">
        <f t="shared" si="67"/>
        <v>0</v>
      </c>
    </row>
    <row r="1327" spans="7:10" x14ac:dyDescent="0.3">
      <c r="G1327">
        <f>IFERROR(VLOOKUP(A1327,'Clientes CBOT'!B:E,4,0),B1327)</f>
        <v>0</v>
      </c>
      <c r="H1327" t="str">
        <f t="shared" si="65"/>
        <v>Dólar</v>
      </c>
      <c r="I1327" s="6">
        <f t="shared" si="66"/>
        <v>0</v>
      </c>
      <c r="J1327">
        <f t="shared" si="67"/>
        <v>0</v>
      </c>
    </row>
    <row r="1328" spans="7:10" x14ac:dyDescent="0.3">
      <c r="G1328">
        <f>IFERROR(VLOOKUP(A1328,'Clientes CBOT'!B:E,4,0),B1328)</f>
        <v>0</v>
      </c>
      <c r="H1328" t="str">
        <f t="shared" si="65"/>
        <v>Dólar</v>
      </c>
      <c r="I1328" s="6">
        <f t="shared" si="66"/>
        <v>0</v>
      </c>
      <c r="J1328">
        <f t="shared" si="67"/>
        <v>0</v>
      </c>
    </row>
    <row r="1329" spans="7:10" x14ac:dyDescent="0.3">
      <c r="G1329">
        <f>IFERROR(VLOOKUP(A1329,'Clientes CBOT'!B:E,4,0),B1329)</f>
        <v>0</v>
      </c>
      <c r="H1329" t="str">
        <f t="shared" si="65"/>
        <v>Dólar</v>
      </c>
      <c r="I1329" s="6">
        <f t="shared" si="66"/>
        <v>0</v>
      </c>
      <c r="J1329">
        <f t="shared" si="67"/>
        <v>0</v>
      </c>
    </row>
    <row r="1330" spans="7:10" x14ac:dyDescent="0.3">
      <c r="G1330">
        <f>IFERROR(VLOOKUP(A1330,'Clientes CBOT'!B:E,4,0),B1330)</f>
        <v>0</v>
      </c>
      <c r="H1330" t="str">
        <f t="shared" si="65"/>
        <v>Dólar</v>
      </c>
      <c r="I1330" s="6">
        <f t="shared" si="66"/>
        <v>0</v>
      </c>
      <c r="J1330">
        <f t="shared" si="67"/>
        <v>0</v>
      </c>
    </row>
    <row r="1331" spans="7:10" x14ac:dyDescent="0.3">
      <c r="G1331">
        <f>IFERROR(VLOOKUP(A1331,'Clientes CBOT'!B:E,4,0),B1331)</f>
        <v>0</v>
      </c>
      <c r="H1331" t="str">
        <f t="shared" si="65"/>
        <v>Dólar</v>
      </c>
      <c r="I1331" s="6">
        <f t="shared" si="66"/>
        <v>0</v>
      </c>
      <c r="J1331">
        <f t="shared" si="67"/>
        <v>0</v>
      </c>
    </row>
    <row r="1332" spans="7:10" x14ac:dyDescent="0.3">
      <c r="G1332">
        <f>IFERROR(VLOOKUP(A1332,'Clientes CBOT'!B:E,4,0),B1332)</f>
        <v>0</v>
      </c>
      <c r="H1332" t="str">
        <f t="shared" si="65"/>
        <v>Dólar</v>
      </c>
      <c r="I1332" s="6">
        <f t="shared" si="66"/>
        <v>0</v>
      </c>
      <c r="J1332">
        <f t="shared" si="67"/>
        <v>0</v>
      </c>
    </row>
    <row r="1333" spans="7:10" x14ac:dyDescent="0.3">
      <c r="G1333">
        <f>IFERROR(VLOOKUP(A1333,'Clientes CBOT'!B:E,4,0),B1333)</f>
        <v>0</v>
      </c>
      <c r="H1333" t="str">
        <f t="shared" si="65"/>
        <v>Dólar</v>
      </c>
      <c r="I1333" s="6">
        <f t="shared" si="66"/>
        <v>0</v>
      </c>
      <c r="J1333">
        <f t="shared" si="67"/>
        <v>0</v>
      </c>
    </row>
    <row r="1334" spans="7:10" x14ac:dyDescent="0.3">
      <c r="G1334">
        <f>IFERROR(VLOOKUP(A1334,'Clientes CBOT'!B:E,4,0),B1334)</f>
        <v>0</v>
      </c>
      <c r="H1334" t="str">
        <f t="shared" si="65"/>
        <v>Dólar</v>
      </c>
      <c r="I1334" s="6">
        <f t="shared" si="66"/>
        <v>0</v>
      </c>
      <c r="J1334">
        <f t="shared" si="67"/>
        <v>0</v>
      </c>
    </row>
    <row r="1335" spans="7:10" x14ac:dyDescent="0.3">
      <c r="G1335">
        <f>IFERROR(VLOOKUP(A1335,'Clientes CBOT'!B:E,4,0),B1335)</f>
        <v>0</v>
      </c>
      <c r="H1335" t="str">
        <f t="shared" si="65"/>
        <v>Dólar</v>
      </c>
      <c r="I1335" s="6">
        <f t="shared" si="66"/>
        <v>0</v>
      </c>
      <c r="J1335">
        <f t="shared" si="67"/>
        <v>0</v>
      </c>
    </row>
    <row r="1336" spans="7:10" x14ac:dyDescent="0.3">
      <c r="G1336">
        <f>IFERROR(VLOOKUP(A1336,'Clientes CBOT'!B:E,4,0),B1336)</f>
        <v>0</v>
      </c>
      <c r="H1336" t="str">
        <f t="shared" si="65"/>
        <v>Dólar</v>
      </c>
      <c r="I1336" s="6">
        <f t="shared" si="66"/>
        <v>0</v>
      </c>
      <c r="J1336">
        <f t="shared" si="67"/>
        <v>0</v>
      </c>
    </row>
    <row r="1337" spans="7:10" x14ac:dyDescent="0.3">
      <c r="G1337">
        <f>IFERROR(VLOOKUP(A1337,'Clientes CBOT'!B:E,4,0),B1337)</f>
        <v>0</v>
      </c>
      <c r="H1337" t="str">
        <f t="shared" si="65"/>
        <v>Dólar</v>
      </c>
      <c r="I1337" s="6">
        <f t="shared" si="66"/>
        <v>0</v>
      </c>
      <c r="J1337">
        <f t="shared" si="67"/>
        <v>0</v>
      </c>
    </row>
    <row r="1338" spans="7:10" x14ac:dyDescent="0.3">
      <c r="G1338">
        <f>IFERROR(VLOOKUP(A1338,'Clientes CBOT'!B:E,4,0),B1338)</f>
        <v>0</v>
      </c>
      <c r="H1338" t="str">
        <f t="shared" si="65"/>
        <v>Dólar</v>
      </c>
      <c r="I1338" s="6">
        <f t="shared" si="66"/>
        <v>0</v>
      </c>
      <c r="J1338">
        <f t="shared" si="67"/>
        <v>0</v>
      </c>
    </row>
    <row r="1339" spans="7:10" x14ac:dyDescent="0.3">
      <c r="G1339">
        <f>IFERROR(VLOOKUP(A1339,'Clientes CBOT'!B:E,4,0),B1339)</f>
        <v>0</v>
      </c>
      <c r="H1339" t="str">
        <f t="shared" si="65"/>
        <v>Dólar</v>
      </c>
      <c r="I1339" s="6">
        <f t="shared" si="66"/>
        <v>0</v>
      </c>
      <c r="J1339">
        <f t="shared" si="67"/>
        <v>0</v>
      </c>
    </row>
    <row r="1340" spans="7:10" x14ac:dyDescent="0.3">
      <c r="G1340">
        <f>IFERROR(VLOOKUP(A1340,'Clientes CBOT'!B:E,4,0),B1340)</f>
        <v>0</v>
      </c>
      <c r="H1340" t="str">
        <f t="shared" si="65"/>
        <v>Dólar</v>
      </c>
      <c r="I1340" s="6">
        <f t="shared" si="66"/>
        <v>0</v>
      </c>
      <c r="J1340">
        <f t="shared" si="67"/>
        <v>0</v>
      </c>
    </row>
    <row r="1341" spans="7:10" x14ac:dyDescent="0.3">
      <c r="G1341">
        <f>IFERROR(VLOOKUP(A1341,'Clientes CBOT'!B:E,4,0),B1341)</f>
        <v>0</v>
      </c>
      <c r="H1341" t="str">
        <f t="shared" si="65"/>
        <v>Dólar</v>
      </c>
      <c r="I1341" s="6">
        <f t="shared" si="66"/>
        <v>0</v>
      </c>
      <c r="J1341">
        <f t="shared" si="67"/>
        <v>0</v>
      </c>
    </row>
    <row r="1342" spans="7:10" x14ac:dyDescent="0.3">
      <c r="G1342">
        <f>IFERROR(VLOOKUP(A1342,'Clientes CBOT'!B:E,4,0),B1342)</f>
        <v>0</v>
      </c>
      <c r="H1342" t="str">
        <f t="shared" si="65"/>
        <v>Dólar</v>
      </c>
      <c r="I1342" s="6">
        <f t="shared" si="66"/>
        <v>0</v>
      </c>
      <c r="J1342">
        <f t="shared" si="67"/>
        <v>0</v>
      </c>
    </row>
    <row r="1343" spans="7:10" x14ac:dyDescent="0.3">
      <c r="G1343">
        <f>IFERROR(VLOOKUP(A1343,'Clientes CBOT'!B:E,4,0),B1343)</f>
        <v>0</v>
      </c>
      <c r="H1343" t="str">
        <f t="shared" si="65"/>
        <v>Dólar</v>
      </c>
      <c r="I1343" s="6">
        <f t="shared" si="66"/>
        <v>0</v>
      </c>
      <c r="J1343">
        <f t="shared" si="67"/>
        <v>0</v>
      </c>
    </row>
    <row r="1344" spans="7:10" x14ac:dyDescent="0.3">
      <c r="G1344">
        <f>IFERROR(VLOOKUP(A1344,'Clientes CBOT'!B:E,4,0),B1344)</f>
        <v>0</v>
      </c>
      <c r="H1344" t="str">
        <f t="shared" si="65"/>
        <v>Dólar</v>
      </c>
      <c r="I1344" s="6">
        <f t="shared" si="66"/>
        <v>0</v>
      </c>
      <c r="J1344">
        <f t="shared" si="67"/>
        <v>0</v>
      </c>
    </row>
    <row r="1345" spans="7:10" x14ac:dyDescent="0.3">
      <c r="G1345">
        <f>IFERROR(VLOOKUP(A1345,'Clientes CBOT'!B:E,4,0),B1345)</f>
        <v>0</v>
      </c>
      <c r="H1345" t="str">
        <f t="shared" si="65"/>
        <v>Dólar</v>
      </c>
      <c r="I1345" s="6">
        <f t="shared" si="66"/>
        <v>0</v>
      </c>
      <c r="J1345">
        <f t="shared" si="67"/>
        <v>0</v>
      </c>
    </row>
    <row r="1346" spans="7:10" x14ac:dyDescent="0.3">
      <c r="G1346">
        <f>IFERROR(VLOOKUP(A1346,'Clientes CBOT'!B:E,4,0),B1346)</f>
        <v>0</v>
      </c>
      <c r="H1346" t="str">
        <f t="shared" si="65"/>
        <v>Dólar</v>
      </c>
      <c r="I1346" s="6">
        <f t="shared" si="66"/>
        <v>0</v>
      </c>
      <c r="J1346">
        <f t="shared" si="67"/>
        <v>0</v>
      </c>
    </row>
    <row r="1347" spans="7:10" x14ac:dyDescent="0.3">
      <c r="G1347">
        <f>IFERROR(VLOOKUP(A1347,'Clientes CBOT'!B:E,4,0),B1347)</f>
        <v>0</v>
      </c>
      <c r="H1347" t="str">
        <f t="shared" si="65"/>
        <v>Dólar</v>
      </c>
      <c r="I1347" s="6">
        <f t="shared" si="66"/>
        <v>0</v>
      </c>
      <c r="J1347">
        <f t="shared" si="67"/>
        <v>0</v>
      </c>
    </row>
    <row r="1348" spans="7:10" x14ac:dyDescent="0.3">
      <c r="G1348">
        <f>IFERROR(VLOOKUP(A1348,'Clientes CBOT'!B:E,4,0),B1348)</f>
        <v>0</v>
      </c>
      <c r="H1348" t="str">
        <f t="shared" si="65"/>
        <v>Dólar</v>
      </c>
      <c r="I1348" s="6">
        <f t="shared" si="66"/>
        <v>0</v>
      </c>
      <c r="J1348">
        <f t="shared" si="67"/>
        <v>0</v>
      </c>
    </row>
    <row r="1349" spans="7:10" x14ac:dyDescent="0.3">
      <c r="G1349">
        <f>IFERROR(VLOOKUP(A1349,'Clientes CBOT'!B:E,4,0),B1349)</f>
        <v>0</v>
      </c>
      <c r="H1349" t="str">
        <f t="shared" ref="H1349:H1412" si="68">IF(E1349="pesos","Ars",IF(E1349="Dólar Matba Rofex","usd linked",IF(F1349=" U$S TT","Hard","Dólar")))</f>
        <v>Dólar</v>
      </c>
      <c r="I1349" s="6">
        <f t="shared" ref="I1349:I1412" si="69">IF(H1349="ars",C1349/$J$1,IF(H1349="Hard",C1349*$J$2/$J$1,C1349))</f>
        <v>0</v>
      </c>
      <c r="J1349">
        <f t="shared" si="67"/>
        <v>0</v>
      </c>
    </row>
    <row r="1350" spans="7:10" x14ac:dyDescent="0.3">
      <c r="G1350">
        <f>IFERROR(VLOOKUP(A1350,'Clientes CBOT'!B:E,4,0),B1350)</f>
        <v>0</v>
      </c>
      <c r="H1350" t="str">
        <f t="shared" si="68"/>
        <v>Dólar</v>
      </c>
      <c r="I1350" s="6">
        <f t="shared" si="69"/>
        <v>0</v>
      </c>
      <c r="J1350">
        <f t="shared" si="67"/>
        <v>0</v>
      </c>
    </row>
    <row r="1351" spans="7:10" x14ac:dyDescent="0.3">
      <c r="G1351">
        <f>IFERROR(VLOOKUP(A1351,'Clientes CBOT'!B:E,4,0),B1351)</f>
        <v>0</v>
      </c>
      <c r="H1351" t="str">
        <f t="shared" si="68"/>
        <v>Dólar</v>
      </c>
      <c r="I1351" s="6">
        <f t="shared" si="69"/>
        <v>0</v>
      </c>
      <c r="J1351">
        <f t="shared" si="67"/>
        <v>0</v>
      </c>
    </row>
    <row r="1352" spans="7:10" x14ac:dyDescent="0.3">
      <c r="G1352">
        <f>IFERROR(VLOOKUP(A1352,'Clientes CBOT'!B:E,4,0),B1352)</f>
        <v>0</v>
      </c>
      <c r="H1352" t="str">
        <f t="shared" si="68"/>
        <v>Dólar</v>
      </c>
      <c r="I1352" s="6">
        <f t="shared" si="69"/>
        <v>0</v>
      </c>
      <c r="J1352">
        <f t="shared" si="67"/>
        <v>0</v>
      </c>
    </row>
    <row r="1353" spans="7:10" x14ac:dyDescent="0.3">
      <c r="G1353">
        <f>IFERROR(VLOOKUP(A1353,'Clientes CBOT'!B:E,4,0),B1353)</f>
        <v>0</v>
      </c>
      <c r="H1353" t="str">
        <f t="shared" si="68"/>
        <v>Dólar</v>
      </c>
      <c r="I1353" s="6">
        <f t="shared" si="69"/>
        <v>0</v>
      </c>
      <c r="J1353">
        <f t="shared" si="67"/>
        <v>0</v>
      </c>
    </row>
    <row r="1354" spans="7:10" x14ac:dyDescent="0.3">
      <c r="G1354">
        <f>IFERROR(VLOOKUP(A1354,'Clientes CBOT'!B:E,4,0),B1354)</f>
        <v>0</v>
      </c>
      <c r="H1354" t="str">
        <f t="shared" si="68"/>
        <v>Dólar</v>
      </c>
      <c r="I1354" s="6">
        <f t="shared" si="69"/>
        <v>0</v>
      </c>
      <c r="J1354">
        <f t="shared" si="67"/>
        <v>0</v>
      </c>
    </row>
    <row r="1355" spans="7:10" x14ac:dyDescent="0.3">
      <c r="G1355">
        <f>IFERROR(VLOOKUP(A1355,'Clientes CBOT'!B:E,4,0),B1355)</f>
        <v>0</v>
      </c>
      <c r="H1355" t="str">
        <f t="shared" si="68"/>
        <v>Dólar</v>
      </c>
      <c r="I1355" s="6">
        <f t="shared" si="69"/>
        <v>0</v>
      </c>
      <c r="J1355">
        <f t="shared" si="67"/>
        <v>0</v>
      </c>
    </row>
    <row r="1356" spans="7:10" x14ac:dyDescent="0.3">
      <c r="G1356">
        <f>IFERROR(VLOOKUP(A1356,'Clientes CBOT'!B:E,4,0),B1356)</f>
        <v>0</v>
      </c>
      <c r="H1356" t="str">
        <f t="shared" si="68"/>
        <v>Dólar</v>
      </c>
      <c r="I1356" s="6">
        <f t="shared" si="69"/>
        <v>0</v>
      </c>
      <c r="J1356">
        <f t="shared" si="67"/>
        <v>0</v>
      </c>
    </row>
    <row r="1357" spans="7:10" x14ac:dyDescent="0.3">
      <c r="G1357">
        <f>IFERROR(VLOOKUP(A1357,'Clientes CBOT'!B:E,4,0),B1357)</f>
        <v>0</v>
      </c>
      <c r="H1357" t="str">
        <f t="shared" si="68"/>
        <v>Dólar</v>
      </c>
      <c r="I1357" s="6">
        <f t="shared" si="69"/>
        <v>0</v>
      </c>
      <c r="J1357">
        <f t="shared" si="67"/>
        <v>0</v>
      </c>
    </row>
    <row r="1358" spans="7:10" x14ac:dyDescent="0.3">
      <c r="G1358">
        <f>IFERROR(VLOOKUP(A1358,'Clientes CBOT'!B:E,4,0),B1358)</f>
        <v>0</v>
      </c>
      <c r="H1358" t="str">
        <f t="shared" si="68"/>
        <v>Dólar</v>
      </c>
      <c r="I1358" s="6">
        <f t="shared" si="69"/>
        <v>0</v>
      </c>
      <c r="J1358">
        <f t="shared" si="67"/>
        <v>0</v>
      </c>
    </row>
    <row r="1359" spans="7:10" x14ac:dyDescent="0.3">
      <c r="G1359">
        <f>IFERROR(VLOOKUP(A1359,'Clientes CBOT'!B:E,4,0),B1359)</f>
        <v>0</v>
      </c>
      <c r="H1359" t="str">
        <f t="shared" si="68"/>
        <v>Dólar</v>
      </c>
      <c r="I1359" s="6">
        <f t="shared" si="69"/>
        <v>0</v>
      </c>
      <c r="J1359">
        <f t="shared" si="67"/>
        <v>0</v>
      </c>
    </row>
    <row r="1360" spans="7:10" x14ac:dyDescent="0.3">
      <c r="G1360">
        <f>IFERROR(VLOOKUP(A1360,'Clientes CBOT'!B:E,4,0),B1360)</f>
        <v>0</v>
      </c>
      <c r="H1360" t="str">
        <f t="shared" si="68"/>
        <v>Dólar</v>
      </c>
      <c r="I1360" s="6">
        <f t="shared" si="69"/>
        <v>0</v>
      </c>
      <c r="J1360">
        <f t="shared" si="67"/>
        <v>0</v>
      </c>
    </row>
    <row r="1361" spans="7:10" x14ac:dyDescent="0.3">
      <c r="G1361">
        <f>IFERROR(VLOOKUP(A1361,'Clientes CBOT'!B:E,4,0),B1361)</f>
        <v>0</v>
      </c>
      <c r="H1361" t="str">
        <f t="shared" si="68"/>
        <v>Dólar</v>
      </c>
      <c r="I1361" s="6">
        <f t="shared" si="69"/>
        <v>0</v>
      </c>
      <c r="J1361">
        <f t="shared" si="67"/>
        <v>0</v>
      </c>
    </row>
    <row r="1362" spans="7:10" x14ac:dyDescent="0.3">
      <c r="G1362">
        <f>IFERROR(VLOOKUP(A1362,'Clientes CBOT'!B:E,4,0),B1362)</f>
        <v>0</v>
      </c>
      <c r="H1362" t="str">
        <f t="shared" si="68"/>
        <v>Dólar</v>
      </c>
      <c r="I1362" s="6">
        <f t="shared" si="69"/>
        <v>0</v>
      </c>
      <c r="J1362">
        <f t="shared" si="67"/>
        <v>0</v>
      </c>
    </row>
    <row r="1363" spans="7:10" x14ac:dyDescent="0.3">
      <c r="G1363">
        <f>IFERROR(VLOOKUP(A1363,'Clientes CBOT'!B:E,4,0),B1363)</f>
        <v>0</v>
      </c>
      <c r="H1363" t="str">
        <f t="shared" si="68"/>
        <v>Dólar</v>
      </c>
      <c r="I1363" s="6">
        <f t="shared" si="69"/>
        <v>0</v>
      </c>
      <c r="J1363">
        <f t="shared" si="67"/>
        <v>0</v>
      </c>
    </row>
    <row r="1364" spans="7:10" x14ac:dyDescent="0.3">
      <c r="G1364">
        <f>IFERROR(VLOOKUP(A1364,'Clientes CBOT'!B:E,4,0),B1364)</f>
        <v>0</v>
      </c>
      <c r="H1364" t="str">
        <f t="shared" si="68"/>
        <v>Dólar</v>
      </c>
      <c r="I1364" s="6">
        <f t="shared" si="69"/>
        <v>0</v>
      </c>
      <c r="J1364">
        <f t="shared" ref="J1364:J1427" si="70">IF(H1364="ars",D1364/$J$1,IF(H1364="hard",D1364*$J$2/$J$1,D1364))</f>
        <v>0</v>
      </c>
    </row>
    <row r="1365" spans="7:10" x14ac:dyDescent="0.3">
      <c r="G1365">
        <f>IFERROR(VLOOKUP(A1365,'Clientes CBOT'!B:E,4,0),B1365)</f>
        <v>0</v>
      </c>
      <c r="H1365" t="str">
        <f t="shared" si="68"/>
        <v>Dólar</v>
      </c>
      <c r="I1365" s="6">
        <f t="shared" si="69"/>
        <v>0</v>
      </c>
      <c r="J1365">
        <f t="shared" si="70"/>
        <v>0</v>
      </c>
    </row>
    <row r="1366" spans="7:10" x14ac:dyDescent="0.3">
      <c r="G1366">
        <f>IFERROR(VLOOKUP(A1366,'Clientes CBOT'!B:E,4,0),B1366)</f>
        <v>0</v>
      </c>
      <c r="H1366" t="str">
        <f t="shared" si="68"/>
        <v>Dólar</v>
      </c>
      <c r="I1366" s="6">
        <f t="shared" si="69"/>
        <v>0</v>
      </c>
      <c r="J1366">
        <f t="shared" si="70"/>
        <v>0</v>
      </c>
    </row>
    <row r="1367" spans="7:10" x14ac:dyDescent="0.3">
      <c r="G1367">
        <f>IFERROR(VLOOKUP(A1367,'Clientes CBOT'!B:E,4,0),B1367)</f>
        <v>0</v>
      </c>
      <c r="H1367" t="str">
        <f t="shared" si="68"/>
        <v>Dólar</v>
      </c>
      <c r="I1367" s="6">
        <f t="shared" si="69"/>
        <v>0</v>
      </c>
      <c r="J1367">
        <f t="shared" si="70"/>
        <v>0</v>
      </c>
    </row>
    <row r="1368" spans="7:10" x14ac:dyDescent="0.3">
      <c r="G1368">
        <f>IFERROR(VLOOKUP(A1368,'Clientes CBOT'!B:E,4,0),B1368)</f>
        <v>0</v>
      </c>
      <c r="H1368" t="str">
        <f t="shared" si="68"/>
        <v>Dólar</v>
      </c>
      <c r="I1368" s="6">
        <f t="shared" si="69"/>
        <v>0</v>
      </c>
      <c r="J1368">
        <f t="shared" si="70"/>
        <v>0</v>
      </c>
    </row>
    <row r="1369" spans="7:10" x14ac:dyDescent="0.3">
      <c r="G1369">
        <f>IFERROR(VLOOKUP(A1369,'Clientes CBOT'!B:E,4,0),B1369)</f>
        <v>0</v>
      </c>
      <c r="H1369" t="str">
        <f t="shared" si="68"/>
        <v>Dólar</v>
      </c>
      <c r="I1369" s="6">
        <f t="shared" si="69"/>
        <v>0</v>
      </c>
      <c r="J1369">
        <f t="shared" si="70"/>
        <v>0</v>
      </c>
    </row>
    <row r="1370" spans="7:10" x14ac:dyDescent="0.3">
      <c r="G1370">
        <f>IFERROR(VLOOKUP(A1370,'Clientes CBOT'!B:E,4,0),B1370)</f>
        <v>0</v>
      </c>
      <c r="H1370" t="str">
        <f t="shared" si="68"/>
        <v>Dólar</v>
      </c>
      <c r="I1370" s="6">
        <f t="shared" si="69"/>
        <v>0</v>
      </c>
      <c r="J1370">
        <f t="shared" si="70"/>
        <v>0</v>
      </c>
    </row>
    <row r="1371" spans="7:10" x14ac:dyDescent="0.3">
      <c r="G1371">
        <f>IFERROR(VLOOKUP(A1371,'Clientes CBOT'!B:E,4,0),B1371)</f>
        <v>0</v>
      </c>
      <c r="H1371" t="str">
        <f t="shared" si="68"/>
        <v>Dólar</v>
      </c>
      <c r="I1371" s="6">
        <f t="shared" si="69"/>
        <v>0</v>
      </c>
      <c r="J1371">
        <f t="shared" si="70"/>
        <v>0</v>
      </c>
    </row>
    <row r="1372" spans="7:10" x14ac:dyDescent="0.3">
      <c r="G1372">
        <f>IFERROR(VLOOKUP(A1372,'Clientes CBOT'!B:E,4,0),B1372)</f>
        <v>0</v>
      </c>
      <c r="H1372" t="str">
        <f t="shared" si="68"/>
        <v>Dólar</v>
      </c>
      <c r="I1372" s="6">
        <f t="shared" si="69"/>
        <v>0</v>
      </c>
      <c r="J1372">
        <f t="shared" si="70"/>
        <v>0</v>
      </c>
    </row>
    <row r="1373" spans="7:10" x14ac:dyDescent="0.3">
      <c r="G1373">
        <f>IFERROR(VLOOKUP(A1373,'Clientes CBOT'!B:E,4,0),B1373)</f>
        <v>0</v>
      </c>
      <c r="H1373" t="str">
        <f t="shared" si="68"/>
        <v>Dólar</v>
      </c>
      <c r="I1373" s="6">
        <f t="shared" si="69"/>
        <v>0</v>
      </c>
      <c r="J1373">
        <f t="shared" si="70"/>
        <v>0</v>
      </c>
    </row>
    <row r="1374" spans="7:10" x14ac:dyDescent="0.3">
      <c r="G1374">
        <f>IFERROR(VLOOKUP(A1374,'Clientes CBOT'!B:E,4,0),B1374)</f>
        <v>0</v>
      </c>
      <c r="H1374" t="str">
        <f t="shared" si="68"/>
        <v>Dólar</v>
      </c>
      <c r="I1374" s="6">
        <f t="shared" si="69"/>
        <v>0</v>
      </c>
      <c r="J1374">
        <f t="shared" si="70"/>
        <v>0</v>
      </c>
    </row>
    <row r="1375" spans="7:10" x14ac:dyDescent="0.3">
      <c r="G1375">
        <f>IFERROR(VLOOKUP(A1375,'Clientes CBOT'!B:E,4,0),B1375)</f>
        <v>0</v>
      </c>
      <c r="H1375" t="str">
        <f t="shared" si="68"/>
        <v>Dólar</v>
      </c>
      <c r="I1375" s="6">
        <f t="shared" si="69"/>
        <v>0</v>
      </c>
      <c r="J1375">
        <f t="shared" si="70"/>
        <v>0</v>
      </c>
    </row>
    <row r="1376" spans="7:10" x14ac:dyDescent="0.3">
      <c r="G1376">
        <f>IFERROR(VLOOKUP(A1376,'Clientes CBOT'!B:E,4,0),B1376)</f>
        <v>0</v>
      </c>
      <c r="H1376" t="str">
        <f t="shared" si="68"/>
        <v>Dólar</v>
      </c>
      <c r="I1376" s="6">
        <f t="shared" si="69"/>
        <v>0</v>
      </c>
      <c r="J1376">
        <f t="shared" si="70"/>
        <v>0</v>
      </c>
    </row>
    <row r="1377" spans="7:10" x14ac:dyDescent="0.3">
      <c r="G1377">
        <f>IFERROR(VLOOKUP(A1377,'Clientes CBOT'!B:E,4,0),B1377)</f>
        <v>0</v>
      </c>
      <c r="H1377" t="str">
        <f t="shared" si="68"/>
        <v>Dólar</v>
      </c>
      <c r="I1377" s="6">
        <f t="shared" si="69"/>
        <v>0</v>
      </c>
      <c r="J1377">
        <f t="shared" si="70"/>
        <v>0</v>
      </c>
    </row>
    <row r="1378" spans="7:10" x14ac:dyDescent="0.3">
      <c r="G1378">
        <f>IFERROR(VLOOKUP(A1378,'Clientes CBOT'!B:E,4,0),B1378)</f>
        <v>0</v>
      </c>
      <c r="H1378" t="str">
        <f t="shared" si="68"/>
        <v>Dólar</v>
      </c>
      <c r="I1378" s="6">
        <f t="shared" si="69"/>
        <v>0</v>
      </c>
      <c r="J1378">
        <f t="shared" si="70"/>
        <v>0</v>
      </c>
    </row>
    <row r="1379" spans="7:10" x14ac:dyDescent="0.3">
      <c r="G1379">
        <f>IFERROR(VLOOKUP(A1379,'Clientes CBOT'!B:E,4,0),B1379)</f>
        <v>0</v>
      </c>
      <c r="H1379" t="str">
        <f t="shared" si="68"/>
        <v>Dólar</v>
      </c>
      <c r="I1379" s="6">
        <f t="shared" si="69"/>
        <v>0</v>
      </c>
      <c r="J1379">
        <f t="shared" si="70"/>
        <v>0</v>
      </c>
    </row>
    <row r="1380" spans="7:10" x14ac:dyDescent="0.3">
      <c r="G1380">
        <f>IFERROR(VLOOKUP(A1380,'Clientes CBOT'!B:E,4,0),B1380)</f>
        <v>0</v>
      </c>
      <c r="H1380" t="str">
        <f t="shared" si="68"/>
        <v>Dólar</v>
      </c>
      <c r="I1380" s="6">
        <f t="shared" si="69"/>
        <v>0</v>
      </c>
      <c r="J1380">
        <f t="shared" si="70"/>
        <v>0</v>
      </c>
    </row>
    <row r="1381" spans="7:10" x14ac:dyDescent="0.3">
      <c r="G1381">
        <f>IFERROR(VLOOKUP(A1381,'Clientes CBOT'!B:E,4,0),B1381)</f>
        <v>0</v>
      </c>
      <c r="H1381" t="str">
        <f t="shared" si="68"/>
        <v>Dólar</v>
      </c>
      <c r="I1381" s="6">
        <f t="shared" si="69"/>
        <v>0</v>
      </c>
      <c r="J1381">
        <f t="shared" si="70"/>
        <v>0</v>
      </c>
    </row>
    <row r="1382" spans="7:10" x14ac:dyDescent="0.3">
      <c r="G1382">
        <f>IFERROR(VLOOKUP(A1382,'Clientes CBOT'!B:E,4,0),B1382)</f>
        <v>0</v>
      </c>
      <c r="H1382" t="str">
        <f t="shared" si="68"/>
        <v>Dólar</v>
      </c>
      <c r="I1382" s="6">
        <f t="shared" si="69"/>
        <v>0</v>
      </c>
      <c r="J1382">
        <f t="shared" si="70"/>
        <v>0</v>
      </c>
    </row>
    <row r="1383" spans="7:10" x14ac:dyDescent="0.3">
      <c r="G1383">
        <f>IFERROR(VLOOKUP(A1383,'Clientes CBOT'!B:E,4,0),B1383)</f>
        <v>0</v>
      </c>
      <c r="H1383" t="str">
        <f t="shared" si="68"/>
        <v>Dólar</v>
      </c>
      <c r="I1383" s="6">
        <f t="shared" si="69"/>
        <v>0</v>
      </c>
      <c r="J1383">
        <f t="shared" si="70"/>
        <v>0</v>
      </c>
    </row>
    <row r="1384" spans="7:10" x14ac:dyDescent="0.3">
      <c r="G1384">
        <f>IFERROR(VLOOKUP(A1384,'Clientes CBOT'!B:E,4,0),B1384)</f>
        <v>0</v>
      </c>
      <c r="H1384" t="str">
        <f t="shared" si="68"/>
        <v>Dólar</v>
      </c>
      <c r="I1384" s="6">
        <f t="shared" si="69"/>
        <v>0</v>
      </c>
      <c r="J1384">
        <f t="shared" si="70"/>
        <v>0</v>
      </c>
    </row>
    <row r="1385" spans="7:10" x14ac:dyDescent="0.3">
      <c r="G1385">
        <f>IFERROR(VLOOKUP(A1385,'Clientes CBOT'!B:E,4,0),B1385)</f>
        <v>0</v>
      </c>
      <c r="H1385" t="str">
        <f t="shared" si="68"/>
        <v>Dólar</v>
      </c>
      <c r="I1385" s="6">
        <f t="shared" si="69"/>
        <v>0</v>
      </c>
      <c r="J1385">
        <f t="shared" si="70"/>
        <v>0</v>
      </c>
    </row>
    <row r="1386" spans="7:10" x14ac:dyDescent="0.3">
      <c r="G1386">
        <f>IFERROR(VLOOKUP(A1386,'Clientes CBOT'!B:E,4,0),B1386)</f>
        <v>0</v>
      </c>
      <c r="H1386" t="str">
        <f t="shared" si="68"/>
        <v>Dólar</v>
      </c>
      <c r="I1386" s="6">
        <f t="shared" si="69"/>
        <v>0</v>
      </c>
      <c r="J1386">
        <f t="shared" si="70"/>
        <v>0</v>
      </c>
    </row>
    <row r="1387" spans="7:10" x14ac:dyDescent="0.3">
      <c r="G1387">
        <f>IFERROR(VLOOKUP(A1387,'Clientes CBOT'!B:E,4,0),B1387)</f>
        <v>0</v>
      </c>
      <c r="H1387" t="str">
        <f t="shared" si="68"/>
        <v>Dólar</v>
      </c>
      <c r="I1387" s="6">
        <f t="shared" si="69"/>
        <v>0</v>
      </c>
      <c r="J1387">
        <f t="shared" si="70"/>
        <v>0</v>
      </c>
    </row>
    <row r="1388" spans="7:10" x14ac:dyDescent="0.3">
      <c r="G1388">
        <f>IFERROR(VLOOKUP(A1388,'Clientes CBOT'!B:E,4,0),B1388)</f>
        <v>0</v>
      </c>
      <c r="H1388" t="str">
        <f t="shared" si="68"/>
        <v>Dólar</v>
      </c>
      <c r="I1388" s="6">
        <f t="shared" si="69"/>
        <v>0</v>
      </c>
      <c r="J1388">
        <f t="shared" si="70"/>
        <v>0</v>
      </c>
    </row>
    <row r="1389" spans="7:10" x14ac:dyDescent="0.3">
      <c r="G1389">
        <f>IFERROR(VLOOKUP(A1389,'Clientes CBOT'!B:E,4,0),B1389)</f>
        <v>0</v>
      </c>
      <c r="H1389" t="str">
        <f t="shared" si="68"/>
        <v>Dólar</v>
      </c>
      <c r="I1389" s="6">
        <f t="shared" si="69"/>
        <v>0</v>
      </c>
      <c r="J1389">
        <f t="shared" si="70"/>
        <v>0</v>
      </c>
    </row>
    <row r="1390" spans="7:10" x14ac:dyDescent="0.3">
      <c r="G1390">
        <f>IFERROR(VLOOKUP(A1390,'Clientes CBOT'!B:E,4,0),B1390)</f>
        <v>0</v>
      </c>
      <c r="H1390" t="str">
        <f t="shared" si="68"/>
        <v>Dólar</v>
      </c>
      <c r="I1390" s="6">
        <f t="shared" si="69"/>
        <v>0</v>
      </c>
      <c r="J1390">
        <f t="shared" si="70"/>
        <v>0</v>
      </c>
    </row>
    <row r="1391" spans="7:10" x14ac:dyDescent="0.3">
      <c r="G1391">
        <f>IFERROR(VLOOKUP(A1391,'Clientes CBOT'!B:E,4,0),B1391)</f>
        <v>0</v>
      </c>
      <c r="H1391" t="str">
        <f t="shared" si="68"/>
        <v>Dólar</v>
      </c>
      <c r="I1391" s="6">
        <f t="shared" si="69"/>
        <v>0</v>
      </c>
      <c r="J1391">
        <f t="shared" si="70"/>
        <v>0</v>
      </c>
    </row>
    <row r="1392" spans="7:10" x14ac:dyDescent="0.3">
      <c r="G1392">
        <f>IFERROR(VLOOKUP(A1392,'Clientes CBOT'!B:E,4,0),B1392)</f>
        <v>0</v>
      </c>
      <c r="H1392" t="str">
        <f t="shared" si="68"/>
        <v>Dólar</v>
      </c>
      <c r="I1392" s="6">
        <f t="shared" si="69"/>
        <v>0</v>
      </c>
      <c r="J1392">
        <f t="shared" si="70"/>
        <v>0</v>
      </c>
    </row>
    <row r="1393" spans="7:10" x14ac:dyDescent="0.3">
      <c r="G1393">
        <f>IFERROR(VLOOKUP(A1393,'Clientes CBOT'!B:E,4,0),B1393)</f>
        <v>0</v>
      </c>
      <c r="H1393" t="str">
        <f t="shared" si="68"/>
        <v>Dólar</v>
      </c>
      <c r="I1393" s="6">
        <f t="shared" si="69"/>
        <v>0</v>
      </c>
      <c r="J1393">
        <f t="shared" si="70"/>
        <v>0</v>
      </c>
    </row>
    <row r="1394" spans="7:10" x14ac:dyDescent="0.3">
      <c r="G1394">
        <f>IFERROR(VLOOKUP(A1394,'Clientes CBOT'!B:E,4,0),B1394)</f>
        <v>0</v>
      </c>
      <c r="H1394" t="str">
        <f t="shared" si="68"/>
        <v>Dólar</v>
      </c>
      <c r="I1394" s="6">
        <f t="shared" si="69"/>
        <v>0</v>
      </c>
      <c r="J1394">
        <f t="shared" si="70"/>
        <v>0</v>
      </c>
    </row>
    <row r="1395" spans="7:10" x14ac:dyDescent="0.3">
      <c r="G1395">
        <f>IFERROR(VLOOKUP(A1395,'Clientes CBOT'!B:E,4,0),B1395)</f>
        <v>0</v>
      </c>
      <c r="H1395" t="str">
        <f t="shared" si="68"/>
        <v>Dólar</v>
      </c>
      <c r="I1395" s="6">
        <f t="shared" si="69"/>
        <v>0</v>
      </c>
      <c r="J1395">
        <f t="shared" si="70"/>
        <v>0</v>
      </c>
    </row>
    <row r="1396" spans="7:10" x14ac:dyDescent="0.3">
      <c r="G1396">
        <f>IFERROR(VLOOKUP(A1396,'Clientes CBOT'!B:E,4,0),B1396)</f>
        <v>0</v>
      </c>
      <c r="H1396" t="str">
        <f t="shared" si="68"/>
        <v>Dólar</v>
      </c>
      <c r="I1396" s="6">
        <f t="shared" si="69"/>
        <v>0</v>
      </c>
      <c r="J1396">
        <f t="shared" si="70"/>
        <v>0</v>
      </c>
    </row>
    <row r="1397" spans="7:10" x14ac:dyDescent="0.3">
      <c r="G1397">
        <f>IFERROR(VLOOKUP(A1397,'Clientes CBOT'!B:E,4,0),B1397)</f>
        <v>0</v>
      </c>
      <c r="H1397" t="str">
        <f t="shared" si="68"/>
        <v>Dólar</v>
      </c>
      <c r="I1397" s="6">
        <f t="shared" si="69"/>
        <v>0</v>
      </c>
      <c r="J1397">
        <f t="shared" si="70"/>
        <v>0</v>
      </c>
    </row>
    <row r="1398" spans="7:10" x14ac:dyDescent="0.3">
      <c r="G1398">
        <f>IFERROR(VLOOKUP(A1398,'Clientes CBOT'!B:E,4,0),B1398)</f>
        <v>0</v>
      </c>
      <c r="H1398" t="str">
        <f t="shared" si="68"/>
        <v>Dólar</v>
      </c>
      <c r="I1398" s="6">
        <f t="shared" si="69"/>
        <v>0</v>
      </c>
      <c r="J1398">
        <f t="shared" si="70"/>
        <v>0</v>
      </c>
    </row>
    <row r="1399" spans="7:10" x14ac:dyDescent="0.3">
      <c r="G1399">
        <f>IFERROR(VLOOKUP(A1399,'Clientes CBOT'!B:E,4,0),B1399)</f>
        <v>0</v>
      </c>
      <c r="H1399" t="str">
        <f t="shared" si="68"/>
        <v>Dólar</v>
      </c>
      <c r="I1399" s="6">
        <f t="shared" si="69"/>
        <v>0</v>
      </c>
      <c r="J1399">
        <f t="shared" si="70"/>
        <v>0</v>
      </c>
    </row>
    <row r="1400" spans="7:10" x14ac:dyDescent="0.3">
      <c r="G1400">
        <f>IFERROR(VLOOKUP(A1400,'Clientes CBOT'!B:E,4,0),B1400)</f>
        <v>0</v>
      </c>
      <c r="H1400" t="str">
        <f t="shared" si="68"/>
        <v>Dólar</v>
      </c>
      <c r="I1400" s="6">
        <f t="shared" si="69"/>
        <v>0</v>
      </c>
      <c r="J1400">
        <f t="shared" si="70"/>
        <v>0</v>
      </c>
    </row>
    <row r="1401" spans="7:10" x14ac:dyDescent="0.3">
      <c r="G1401">
        <f>IFERROR(VLOOKUP(A1401,'Clientes CBOT'!B:E,4,0),B1401)</f>
        <v>0</v>
      </c>
      <c r="H1401" t="str">
        <f t="shared" si="68"/>
        <v>Dólar</v>
      </c>
      <c r="I1401" s="6">
        <f t="shared" si="69"/>
        <v>0</v>
      </c>
      <c r="J1401">
        <f t="shared" si="70"/>
        <v>0</v>
      </c>
    </row>
    <row r="1402" spans="7:10" x14ac:dyDescent="0.3">
      <c r="G1402">
        <f>IFERROR(VLOOKUP(A1402,'Clientes CBOT'!B:E,4,0),B1402)</f>
        <v>0</v>
      </c>
      <c r="H1402" t="str">
        <f t="shared" si="68"/>
        <v>Dólar</v>
      </c>
      <c r="I1402" s="6">
        <f t="shared" si="69"/>
        <v>0</v>
      </c>
      <c r="J1402">
        <f t="shared" si="70"/>
        <v>0</v>
      </c>
    </row>
    <row r="1403" spans="7:10" x14ac:dyDescent="0.3">
      <c r="G1403">
        <f>IFERROR(VLOOKUP(A1403,'Clientes CBOT'!B:E,4,0),B1403)</f>
        <v>0</v>
      </c>
      <c r="H1403" t="str">
        <f t="shared" si="68"/>
        <v>Dólar</v>
      </c>
      <c r="I1403" s="6">
        <f t="shared" si="69"/>
        <v>0</v>
      </c>
      <c r="J1403">
        <f t="shared" si="70"/>
        <v>0</v>
      </c>
    </row>
    <row r="1404" spans="7:10" x14ac:dyDescent="0.3">
      <c r="G1404">
        <f>IFERROR(VLOOKUP(A1404,'Clientes CBOT'!B:E,4,0),B1404)</f>
        <v>0</v>
      </c>
      <c r="H1404" t="str">
        <f t="shared" si="68"/>
        <v>Dólar</v>
      </c>
      <c r="I1404" s="6">
        <f t="shared" si="69"/>
        <v>0</v>
      </c>
      <c r="J1404">
        <f t="shared" si="70"/>
        <v>0</v>
      </c>
    </row>
    <row r="1405" spans="7:10" x14ac:dyDescent="0.3">
      <c r="G1405">
        <f>IFERROR(VLOOKUP(A1405,'Clientes CBOT'!B:E,4,0),B1405)</f>
        <v>0</v>
      </c>
      <c r="H1405" t="str">
        <f t="shared" si="68"/>
        <v>Dólar</v>
      </c>
      <c r="I1405" s="6">
        <f t="shared" si="69"/>
        <v>0</v>
      </c>
      <c r="J1405">
        <f t="shared" si="70"/>
        <v>0</v>
      </c>
    </row>
    <row r="1406" spans="7:10" x14ac:dyDescent="0.3">
      <c r="G1406">
        <f>IFERROR(VLOOKUP(A1406,'Clientes CBOT'!B:E,4,0),B1406)</f>
        <v>0</v>
      </c>
      <c r="H1406" t="str">
        <f t="shared" si="68"/>
        <v>Dólar</v>
      </c>
      <c r="I1406" s="6">
        <f t="shared" si="69"/>
        <v>0</v>
      </c>
      <c r="J1406">
        <f t="shared" si="70"/>
        <v>0</v>
      </c>
    </row>
    <row r="1407" spans="7:10" x14ac:dyDescent="0.3">
      <c r="G1407">
        <f>IFERROR(VLOOKUP(A1407,'Clientes CBOT'!B:E,4,0),B1407)</f>
        <v>0</v>
      </c>
      <c r="H1407" t="str">
        <f t="shared" si="68"/>
        <v>Dólar</v>
      </c>
      <c r="I1407" s="6">
        <f t="shared" si="69"/>
        <v>0</v>
      </c>
      <c r="J1407">
        <f t="shared" si="70"/>
        <v>0</v>
      </c>
    </row>
    <row r="1408" spans="7:10" x14ac:dyDescent="0.3">
      <c r="G1408">
        <f>IFERROR(VLOOKUP(A1408,'Clientes CBOT'!B:E,4,0),B1408)</f>
        <v>0</v>
      </c>
      <c r="H1408" t="str">
        <f t="shared" si="68"/>
        <v>Dólar</v>
      </c>
      <c r="I1408" s="6">
        <f t="shared" si="69"/>
        <v>0</v>
      </c>
      <c r="J1408">
        <f t="shared" si="70"/>
        <v>0</v>
      </c>
    </row>
    <row r="1409" spans="7:10" x14ac:dyDescent="0.3">
      <c r="G1409">
        <f>IFERROR(VLOOKUP(A1409,'Clientes CBOT'!B:E,4,0),B1409)</f>
        <v>0</v>
      </c>
      <c r="H1409" t="str">
        <f t="shared" si="68"/>
        <v>Dólar</v>
      </c>
      <c r="I1409" s="6">
        <f t="shared" si="69"/>
        <v>0</v>
      </c>
      <c r="J1409">
        <f t="shared" si="70"/>
        <v>0</v>
      </c>
    </row>
    <row r="1410" spans="7:10" x14ac:dyDescent="0.3">
      <c r="G1410">
        <f>IFERROR(VLOOKUP(A1410,'Clientes CBOT'!B:E,4,0),B1410)</f>
        <v>0</v>
      </c>
      <c r="H1410" t="str">
        <f t="shared" si="68"/>
        <v>Dólar</v>
      </c>
      <c r="I1410" s="6">
        <f t="shared" si="69"/>
        <v>0</v>
      </c>
      <c r="J1410">
        <f t="shared" si="70"/>
        <v>0</v>
      </c>
    </row>
    <row r="1411" spans="7:10" x14ac:dyDescent="0.3">
      <c r="G1411">
        <f>IFERROR(VLOOKUP(A1411,'Clientes CBOT'!B:E,4,0),B1411)</f>
        <v>0</v>
      </c>
      <c r="H1411" t="str">
        <f t="shared" si="68"/>
        <v>Dólar</v>
      </c>
      <c r="I1411" s="6">
        <f t="shared" si="69"/>
        <v>0</v>
      </c>
      <c r="J1411">
        <f t="shared" si="70"/>
        <v>0</v>
      </c>
    </row>
    <row r="1412" spans="7:10" x14ac:dyDescent="0.3">
      <c r="G1412">
        <f>IFERROR(VLOOKUP(A1412,'Clientes CBOT'!B:E,4,0),B1412)</f>
        <v>0</v>
      </c>
      <c r="H1412" t="str">
        <f t="shared" si="68"/>
        <v>Dólar</v>
      </c>
      <c r="I1412" s="6">
        <f t="shared" si="69"/>
        <v>0</v>
      </c>
      <c r="J1412">
        <f t="shared" si="70"/>
        <v>0</v>
      </c>
    </row>
    <row r="1413" spans="7:10" x14ac:dyDescent="0.3">
      <c r="G1413">
        <f>IFERROR(VLOOKUP(A1413,'Clientes CBOT'!B:E,4,0),B1413)</f>
        <v>0</v>
      </c>
      <c r="H1413" t="str">
        <f t="shared" ref="H1413:H1476" si="71">IF(E1413="pesos","Ars",IF(E1413="Dólar Matba Rofex","usd linked",IF(F1413=" U$S TT","Hard","Dólar")))</f>
        <v>Dólar</v>
      </c>
      <c r="I1413" s="6">
        <f t="shared" ref="I1413:I1476" si="72">IF(H1413="ars",C1413/$J$1,IF(H1413="Hard",C1413*$J$2/$J$1,C1413))</f>
        <v>0</v>
      </c>
      <c r="J1413">
        <f t="shared" si="70"/>
        <v>0</v>
      </c>
    </row>
    <row r="1414" spans="7:10" x14ac:dyDescent="0.3">
      <c r="G1414">
        <f>IFERROR(VLOOKUP(A1414,'Clientes CBOT'!B:E,4,0),B1414)</f>
        <v>0</v>
      </c>
      <c r="H1414" t="str">
        <f t="shared" si="71"/>
        <v>Dólar</v>
      </c>
      <c r="I1414" s="6">
        <f t="shared" si="72"/>
        <v>0</v>
      </c>
      <c r="J1414">
        <f t="shared" si="70"/>
        <v>0</v>
      </c>
    </row>
    <row r="1415" spans="7:10" x14ac:dyDescent="0.3">
      <c r="G1415">
        <f>IFERROR(VLOOKUP(A1415,'Clientes CBOT'!B:E,4,0),B1415)</f>
        <v>0</v>
      </c>
      <c r="H1415" t="str">
        <f t="shared" si="71"/>
        <v>Dólar</v>
      </c>
      <c r="I1415" s="6">
        <f t="shared" si="72"/>
        <v>0</v>
      </c>
      <c r="J1415">
        <f t="shared" si="70"/>
        <v>0</v>
      </c>
    </row>
    <row r="1416" spans="7:10" x14ac:dyDescent="0.3">
      <c r="G1416">
        <f>IFERROR(VLOOKUP(A1416,'Clientes CBOT'!B:E,4,0),B1416)</f>
        <v>0</v>
      </c>
      <c r="H1416" t="str">
        <f t="shared" si="71"/>
        <v>Dólar</v>
      </c>
      <c r="I1416" s="6">
        <f t="shared" si="72"/>
        <v>0</v>
      </c>
      <c r="J1416">
        <f t="shared" si="70"/>
        <v>0</v>
      </c>
    </row>
    <row r="1417" spans="7:10" x14ac:dyDescent="0.3">
      <c r="G1417">
        <f>IFERROR(VLOOKUP(A1417,'Clientes CBOT'!B:E,4,0),B1417)</f>
        <v>0</v>
      </c>
      <c r="H1417" t="str">
        <f t="shared" si="71"/>
        <v>Dólar</v>
      </c>
      <c r="I1417" s="6">
        <f t="shared" si="72"/>
        <v>0</v>
      </c>
      <c r="J1417">
        <f t="shared" si="70"/>
        <v>0</v>
      </c>
    </row>
    <row r="1418" spans="7:10" x14ac:dyDescent="0.3">
      <c r="G1418">
        <f>IFERROR(VLOOKUP(A1418,'Clientes CBOT'!B:E,4,0),B1418)</f>
        <v>0</v>
      </c>
      <c r="H1418" t="str">
        <f t="shared" si="71"/>
        <v>Dólar</v>
      </c>
      <c r="I1418" s="6">
        <f t="shared" si="72"/>
        <v>0</v>
      </c>
      <c r="J1418">
        <f t="shared" si="70"/>
        <v>0</v>
      </c>
    </row>
    <row r="1419" spans="7:10" x14ac:dyDescent="0.3">
      <c r="G1419">
        <f>IFERROR(VLOOKUP(A1419,'Clientes CBOT'!B:E,4,0),B1419)</f>
        <v>0</v>
      </c>
      <c r="H1419" t="str">
        <f t="shared" si="71"/>
        <v>Dólar</v>
      </c>
      <c r="I1419" s="6">
        <f t="shared" si="72"/>
        <v>0</v>
      </c>
      <c r="J1419">
        <f t="shared" si="70"/>
        <v>0</v>
      </c>
    </row>
    <row r="1420" spans="7:10" x14ac:dyDescent="0.3">
      <c r="G1420">
        <f>IFERROR(VLOOKUP(A1420,'Clientes CBOT'!B:E,4,0),B1420)</f>
        <v>0</v>
      </c>
      <c r="H1420" t="str">
        <f t="shared" si="71"/>
        <v>Dólar</v>
      </c>
      <c r="I1420" s="6">
        <f t="shared" si="72"/>
        <v>0</v>
      </c>
      <c r="J1420">
        <f t="shared" si="70"/>
        <v>0</v>
      </c>
    </row>
    <row r="1421" spans="7:10" x14ac:dyDescent="0.3">
      <c r="G1421">
        <f>IFERROR(VLOOKUP(A1421,'Clientes CBOT'!B:E,4,0),B1421)</f>
        <v>0</v>
      </c>
      <c r="H1421" t="str">
        <f t="shared" si="71"/>
        <v>Dólar</v>
      </c>
      <c r="I1421" s="6">
        <f t="shared" si="72"/>
        <v>0</v>
      </c>
      <c r="J1421">
        <f t="shared" si="70"/>
        <v>0</v>
      </c>
    </row>
    <row r="1422" spans="7:10" x14ac:dyDescent="0.3">
      <c r="G1422">
        <f>IFERROR(VLOOKUP(A1422,'Clientes CBOT'!B:E,4,0),B1422)</f>
        <v>0</v>
      </c>
      <c r="H1422" t="str">
        <f t="shared" si="71"/>
        <v>Dólar</v>
      </c>
      <c r="I1422" s="6">
        <f t="shared" si="72"/>
        <v>0</v>
      </c>
      <c r="J1422">
        <f t="shared" si="70"/>
        <v>0</v>
      </c>
    </row>
    <row r="1423" spans="7:10" x14ac:dyDescent="0.3">
      <c r="G1423">
        <f>IFERROR(VLOOKUP(A1423,'Clientes CBOT'!B:E,4,0),B1423)</f>
        <v>0</v>
      </c>
      <c r="H1423" t="str">
        <f t="shared" si="71"/>
        <v>Dólar</v>
      </c>
      <c r="I1423" s="6">
        <f t="shared" si="72"/>
        <v>0</v>
      </c>
      <c r="J1423">
        <f t="shared" si="70"/>
        <v>0</v>
      </c>
    </row>
    <row r="1424" spans="7:10" x14ac:dyDescent="0.3">
      <c r="G1424">
        <f>IFERROR(VLOOKUP(A1424,'Clientes CBOT'!B:E,4,0),B1424)</f>
        <v>0</v>
      </c>
      <c r="H1424" t="str">
        <f t="shared" si="71"/>
        <v>Dólar</v>
      </c>
      <c r="I1424" s="6">
        <f t="shared" si="72"/>
        <v>0</v>
      </c>
      <c r="J1424">
        <f t="shared" si="70"/>
        <v>0</v>
      </c>
    </row>
    <row r="1425" spans="7:10" x14ac:dyDescent="0.3">
      <c r="G1425">
        <f>IFERROR(VLOOKUP(A1425,'Clientes CBOT'!B:E,4,0),B1425)</f>
        <v>0</v>
      </c>
      <c r="H1425" t="str">
        <f t="shared" si="71"/>
        <v>Dólar</v>
      </c>
      <c r="I1425" s="6">
        <f t="shared" si="72"/>
        <v>0</v>
      </c>
      <c r="J1425">
        <f t="shared" si="70"/>
        <v>0</v>
      </c>
    </row>
    <row r="1426" spans="7:10" x14ac:dyDescent="0.3">
      <c r="G1426">
        <f>IFERROR(VLOOKUP(A1426,'Clientes CBOT'!B:E,4,0),B1426)</f>
        <v>0</v>
      </c>
      <c r="H1426" t="str">
        <f t="shared" si="71"/>
        <v>Dólar</v>
      </c>
      <c r="I1426" s="6">
        <f t="shared" si="72"/>
        <v>0</v>
      </c>
      <c r="J1426">
        <f t="shared" si="70"/>
        <v>0</v>
      </c>
    </row>
    <row r="1427" spans="7:10" x14ac:dyDescent="0.3">
      <c r="G1427">
        <f>IFERROR(VLOOKUP(A1427,'Clientes CBOT'!B:E,4,0),B1427)</f>
        <v>0</v>
      </c>
      <c r="H1427" t="str">
        <f t="shared" si="71"/>
        <v>Dólar</v>
      </c>
      <c r="I1427" s="6">
        <f t="shared" si="72"/>
        <v>0</v>
      </c>
      <c r="J1427">
        <f t="shared" si="70"/>
        <v>0</v>
      </c>
    </row>
    <row r="1428" spans="7:10" x14ac:dyDescent="0.3">
      <c r="G1428">
        <f>IFERROR(VLOOKUP(A1428,'Clientes CBOT'!B:E,4,0),B1428)</f>
        <v>0</v>
      </c>
      <c r="H1428" t="str">
        <f t="shared" si="71"/>
        <v>Dólar</v>
      </c>
      <c r="I1428" s="6">
        <f t="shared" si="72"/>
        <v>0</v>
      </c>
      <c r="J1428">
        <f t="shared" ref="J1428:J1491" si="73">IF(H1428="ars",D1428/$J$1,IF(H1428="hard",D1428*$J$2/$J$1,D1428))</f>
        <v>0</v>
      </c>
    </row>
    <row r="1429" spans="7:10" x14ac:dyDescent="0.3">
      <c r="G1429">
        <f>IFERROR(VLOOKUP(A1429,'Clientes CBOT'!B:E,4,0),B1429)</f>
        <v>0</v>
      </c>
      <c r="H1429" t="str">
        <f t="shared" si="71"/>
        <v>Dólar</v>
      </c>
      <c r="I1429" s="6">
        <f t="shared" si="72"/>
        <v>0</v>
      </c>
      <c r="J1429">
        <f t="shared" si="73"/>
        <v>0</v>
      </c>
    </row>
    <row r="1430" spans="7:10" x14ac:dyDescent="0.3">
      <c r="G1430">
        <f>IFERROR(VLOOKUP(A1430,'Clientes CBOT'!B:E,4,0),B1430)</f>
        <v>0</v>
      </c>
      <c r="H1430" t="str">
        <f t="shared" si="71"/>
        <v>Dólar</v>
      </c>
      <c r="I1430" s="6">
        <f t="shared" si="72"/>
        <v>0</v>
      </c>
      <c r="J1430">
        <f t="shared" si="73"/>
        <v>0</v>
      </c>
    </row>
    <row r="1431" spans="7:10" x14ac:dyDescent="0.3">
      <c r="G1431">
        <f>IFERROR(VLOOKUP(A1431,'Clientes CBOT'!B:E,4,0),B1431)</f>
        <v>0</v>
      </c>
      <c r="H1431" t="str">
        <f t="shared" si="71"/>
        <v>Dólar</v>
      </c>
      <c r="I1431" s="6">
        <f t="shared" si="72"/>
        <v>0</v>
      </c>
      <c r="J1431">
        <f t="shared" si="73"/>
        <v>0</v>
      </c>
    </row>
    <row r="1432" spans="7:10" x14ac:dyDescent="0.3">
      <c r="G1432">
        <f>IFERROR(VLOOKUP(A1432,'Clientes CBOT'!B:E,4,0),B1432)</f>
        <v>0</v>
      </c>
      <c r="H1432" t="str">
        <f t="shared" si="71"/>
        <v>Dólar</v>
      </c>
      <c r="I1432" s="6">
        <f t="shared" si="72"/>
        <v>0</v>
      </c>
      <c r="J1432">
        <f t="shared" si="73"/>
        <v>0</v>
      </c>
    </row>
    <row r="1433" spans="7:10" x14ac:dyDescent="0.3">
      <c r="G1433">
        <f>IFERROR(VLOOKUP(A1433,'Clientes CBOT'!B:E,4,0),B1433)</f>
        <v>0</v>
      </c>
      <c r="H1433" t="str">
        <f t="shared" si="71"/>
        <v>Dólar</v>
      </c>
      <c r="I1433" s="6">
        <f t="shared" si="72"/>
        <v>0</v>
      </c>
      <c r="J1433">
        <f t="shared" si="73"/>
        <v>0</v>
      </c>
    </row>
    <row r="1434" spans="7:10" x14ac:dyDescent="0.3">
      <c r="G1434">
        <f>IFERROR(VLOOKUP(A1434,'Clientes CBOT'!B:E,4,0),B1434)</f>
        <v>0</v>
      </c>
      <c r="H1434" t="str">
        <f t="shared" si="71"/>
        <v>Dólar</v>
      </c>
      <c r="I1434" s="6">
        <f t="shared" si="72"/>
        <v>0</v>
      </c>
      <c r="J1434">
        <f t="shared" si="73"/>
        <v>0</v>
      </c>
    </row>
    <row r="1435" spans="7:10" x14ac:dyDescent="0.3">
      <c r="G1435">
        <f>IFERROR(VLOOKUP(A1435,'Clientes CBOT'!B:E,4,0),B1435)</f>
        <v>0</v>
      </c>
      <c r="H1435" t="str">
        <f t="shared" si="71"/>
        <v>Dólar</v>
      </c>
      <c r="I1435" s="6">
        <f t="shared" si="72"/>
        <v>0</v>
      </c>
      <c r="J1435">
        <f t="shared" si="73"/>
        <v>0</v>
      </c>
    </row>
    <row r="1436" spans="7:10" x14ac:dyDescent="0.3">
      <c r="G1436">
        <f>IFERROR(VLOOKUP(A1436,'Clientes CBOT'!B:E,4,0),B1436)</f>
        <v>0</v>
      </c>
      <c r="H1436" t="str">
        <f t="shared" si="71"/>
        <v>Dólar</v>
      </c>
      <c r="I1436" s="6">
        <f t="shared" si="72"/>
        <v>0</v>
      </c>
      <c r="J1436">
        <f t="shared" si="73"/>
        <v>0</v>
      </c>
    </row>
    <row r="1437" spans="7:10" x14ac:dyDescent="0.3">
      <c r="G1437">
        <f>IFERROR(VLOOKUP(A1437,'Clientes CBOT'!B:E,4,0),B1437)</f>
        <v>0</v>
      </c>
      <c r="H1437" t="str">
        <f t="shared" si="71"/>
        <v>Dólar</v>
      </c>
      <c r="I1437" s="6">
        <f t="shared" si="72"/>
        <v>0</v>
      </c>
      <c r="J1437">
        <f t="shared" si="73"/>
        <v>0</v>
      </c>
    </row>
    <row r="1438" spans="7:10" x14ac:dyDescent="0.3">
      <c r="G1438">
        <f>IFERROR(VLOOKUP(A1438,'Clientes CBOT'!B:E,4,0),B1438)</f>
        <v>0</v>
      </c>
      <c r="H1438" t="str">
        <f t="shared" si="71"/>
        <v>Dólar</v>
      </c>
      <c r="I1438" s="6">
        <f t="shared" si="72"/>
        <v>0</v>
      </c>
      <c r="J1438">
        <f t="shared" si="73"/>
        <v>0</v>
      </c>
    </row>
    <row r="1439" spans="7:10" x14ac:dyDescent="0.3">
      <c r="G1439">
        <f>IFERROR(VLOOKUP(A1439,'Clientes CBOT'!B:E,4,0),B1439)</f>
        <v>0</v>
      </c>
      <c r="H1439" t="str">
        <f t="shared" si="71"/>
        <v>Dólar</v>
      </c>
      <c r="I1439" s="6">
        <f t="shared" si="72"/>
        <v>0</v>
      </c>
      <c r="J1439">
        <f t="shared" si="73"/>
        <v>0</v>
      </c>
    </row>
    <row r="1440" spans="7:10" x14ac:dyDescent="0.3">
      <c r="G1440">
        <f>IFERROR(VLOOKUP(A1440,'Clientes CBOT'!B:E,4,0),B1440)</f>
        <v>0</v>
      </c>
      <c r="H1440" t="str">
        <f t="shared" si="71"/>
        <v>Dólar</v>
      </c>
      <c r="I1440" s="6">
        <f t="shared" si="72"/>
        <v>0</v>
      </c>
      <c r="J1440">
        <f t="shared" si="73"/>
        <v>0</v>
      </c>
    </row>
    <row r="1441" spans="7:10" x14ac:dyDescent="0.3">
      <c r="G1441">
        <f>IFERROR(VLOOKUP(A1441,'Clientes CBOT'!B:E,4,0),B1441)</f>
        <v>0</v>
      </c>
      <c r="H1441" t="str">
        <f t="shared" si="71"/>
        <v>Dólar</v>
      </c>
      <c r="I1441" s="6">
        <f t="shared" si="72"/>
        <v>0</v>
      </c>
      <c r="J1441">
        <f t="shared" si="73"/>
        <v>0</v>
      </c>
    </row>
    <row r="1442" spans="7:10" x14ac:dyDescent="0.3">
      <c r="G1442">
        <f>IFERROR(VLOOKUP(A1442,'Clientes CBOT'!B:E,4,0),B1442)</f>
        <v>0</v>
      </c>
      <c r="H1442" t="str">
        <f t="shared" si="71"/>
        <v>Dólar</v>
      </c>
      <c r="I1442" s="6">
        <f t="shared" si="72"/>
        <v>0</v>
      </c>
      <c r="J1442">
        <f t="shared" si="73"/>
        <v>0</v>
      </c>
    </row>
    <row r="1443" spans="7:10" x14ac:dyDescent="0.3">
      <c r="G1443">
        <f>IFERROR(VLOOKUP(A1443,'Clientes CBOT'!B:E,4,0),B1443)</f>
        <v>0</v>
      </c>
      <c r="H1443" t="str">
        <f t="shared" si="71"/>
        <v>Dólar</v>
      </c>
      <c r="I1443" s="6">
        <f t="shared" si="72"/>
        <v>0</v>
      </c>
      <c r="J1443">
        <f t="shared" si="73"/>
        <v>0</v>
      </c>
    </row>
    <row r="1444" spans="7:10" x14ac:dyDescent="0.3">
      <c r="G1444">
        <f>IFERROR(VLOOKUP(A1444,'Clientes CBOT'!B:E,4,0),B1444)</f>
        <v>0</v>
      </c>
      <c r="H1444" t="str">
        <f t="shared" si="71"/>
        <v>Dólar</v>
      </c>
      <c r="I1444" s="6">
        <f t="shared" si="72"/>
        <v>0</v>
      </c>
      <c r="J1444">
        <f t="shared" si="73"/>
        <v>0</v>
      </c>
    </row>
    <row r="1445" spans="7:10" x14ac:dyDescent="0.3">
      <c r="G1445">
        <f>IFERROR(VLOOKUP(A1445,'Clientes CBOT'!B:E,4,0),B1445)</f>
        <v>0</v>
      </c>
      <c r="H1445" t="str">
        <f t="shared" si="71"/>
        <v>Dólar</v>
      </c>
      <c r="I1445" s="6">
        <f t="shared" si="72"/>
        <v>0</v>
      </c>
      <c r="J1445">
        <f t="shared" si="73"/>
        <v>0</v>
      </c>
    </row>
    <row r="1446" spans="7:10" x14ac:dyDescent="0.3">
      <c r="G1446">
        <f>IFERROR(VLOOKUP(A1446,'Clientes CBOT'!B:E,4,0),B1446)</f>
        <v>0</v>
      </c>
      <c r="H1446" t="str">
        <f t="shared" si="71"/>
        <v>Dólar</v>
      </c>
      <c r="I1446" s="6">
        <f t="shared" si="72"/>
        <v>0</v>
      </c>
      <c r="J1446">
        <f t="shared" si="73"/>
        <v>0</v>
      </c>
    </row>
    <row r="1447" spans="7:10" x14ac:dyDescent="0.3">
      <c r="G1447">
        <f>IFERROR(VLOOKUP(A1447,'Clientes CBOT'!B:E,4,0),B1447)</f>
        <v>0</v>
      </c>
      <c r="H1447" t="str">
        <f t="shared" si="71"/>
        <v>Dólar</v>
      </c>
      <c r="I1447" s="6">
        <f t="shared" si="72"/>
        <v>0</v>
      </c>
      <c r="J1447">
        <f t="shared" si="73"/>
        <v>0</v>
      </c>
    </row>
    <row r="1448" spans="7:10" x14ac:dyDescent="0.3">
      <c r="G1448">
        <f>IFERROR(VLOOKUP(A1448,'Clientes CBOT'!B:E,4,0),B1448)</f>
        <v>0</v>
      </c>
      <c r="H1448" t="str">
        <f t="shared" si="71"/>
        <v>Dólar</v>
      </c>
      <c r="I1448" s="6">
        <f t="shared" si="72"/>
        <v>0</v>
      </c>
      <c r="J1448">
        <f t="shared" si="73"/>
        <v>0</v>
      </c>
    </row>
    <row r="1449" spans="7:10" x14ac:dyDescent="0.3">
      <c r="G1449">
        <f>IFERROR(VLOOKUP(A1449,'Clientes CBOT'!B:E,4,0),B1449)</f>
        <v>0</v>
      </c>
      <c r="H1449" t="str">
        <f t="shared" si="71"/>
        <v>Dólar</v>
      </c>
      <c r="I1449" s="6">
        <f t="shared" si="72"/>
        <v>0</v>
      </c>
      <c r="J1449">
        <f t="shared" si="73"/>
        <v>0</v>
      </c>
    </row>
    <row r="1450" spans="7:10" x14ac:dyDescent="0.3">
      <c r="G1450">
        <f>IFERROR(VLOOKUP(A1450,'Clientes CBOT'!B:E,4,0),B1450)</f>
        <v>0</v>
      </c>
      <c r="H1450" t="str">
        <f t="shared" si="71"/>
        <v>Dólar</v>
      </c>
      <c r="I1450" s="6">
        <f t="shared" si="72"/>
        <v>0</v>
      </c>
      <c r="J1450">
        <f t="shared" si="73"/>
        <v>0</v>
      </c>
    </row>
    <row r="1451" spans="7:10" x14ac:dyDescent="0.3">
      <c r="G1451">
        <f>IFERROR(VLOOKUP(A1451,'Clientes CBOT'!B:E,4,0),B1451)</f>
        <v>0</v>
      </c>
      <c r="H1451" t="str">
        <f t="shared" si="71"/>
        <v>Dólar</v>
      </c>
      <c r="I1451" s="6">
        <f t="shared" si="72"/>
        <v>0</v>
      </c>
      <c r="J1451">
        <f t="shared" si="73"/>
        <v>0</v>
      </c>
    </row>
    <row r="1452" spans="7:10" x14ac:dyDescent="0.3">
      <c r="G1452">
        <f>IFERROR(VLOOKUP(A1452,'Clientes CBOT'!B:E,4,0),B1452)</f>
        <v>0</v>
      </c>
      <c r="H1452" t="str">
        <f t="shared" si="71"/>
        <v>Dólar</v>
      </c>
      <c r="I1452" s="6">
        <f t="shared" si="72"/>
        <v>0</v>
      </c>
      <c r="J1452">
        <f t="shared" si="73"/>
        <v>0</v>
      </c>
    </row>
    <row r="1453" spans="7:10" x14ac:dyDescent="0.3">
      <c r="G1453">
        <f>IFERROR(VLOOKUP(A1453,'Clientes CBOT'!B:E,4,0),B1453)</f>
        <v>0</v>
      </c>
      <c r="H1453" t="str">
        <f t="shared" si="71"/>
        <v>Dólar</v>
      </c>
      <c r="I1453" s="6">
        <f t="shared" si="72"/>
        <v>0</v>
      </c>
      <c r="J1453">
        <f t="shared" si="73"/>
        <v>0</v>
      </c>
    </row>
    <row r="1454" spans="7:10" x14ac:dyDescent="0.3">
      <c r="G1454">
        <f>IFERROR(VLOOKUP(A1454,'Clientes CBOT'!B:E,4,0),B1454)</f>
        <v>0</v>
      </c>
      <c r="H1454" t="str">
        <f t="shared" si="71"/>
        <v>Dólar</v>
      </c>
      <c r="I1454" s="6">
        <f t="shared" si="72"/>
        <v>0</v>
      </c>
      <c r="J1454">
        <f t="shared" si="73"/>
        <v>0</v>
      </c>
    </row>
    <row r="1455" spans="7:10" x14ac:dyDescent="0.3">
      <c r="G1455">
        <f>IFERROR(VLOOKUP(A1455,'Clientes CBOT'!B:E,4,0),B1455)</f>
        <v>0</v>
      </c>
      <c r="H1455" t="str">
        <f t="shared" si="71"/>
        <v>Dólar</v>
      </c>
      <c r="I1455" s="6">
        <f t="shared" si="72"/>
        <v>0</v>
      </c>
      <c r="J1455">
        <f t="shared" si="73"/>
        <v>0</v>
      </c>
    </row>
    <row r="1456" spans="7:10" x14ac:dyDescent="0.3">
      <c r="G1456">
        <f>IFERROR(VLOOKUP(A1456,'Clientes CBOT'!B:E,4,0),B1456)</f>
        <v>0</v>
      </c>
      <c r="H1456" t="str">
        <f t="shared" si="71"/>
        <v>Dólar</v>
      </c>
      <c r="I1456" s="6">
        <f t="shared" si="72"/>
        <v>0</v>
      </c>
      <c r="J1456">
        <f t="shared" si="73"/>
        <v>0</v>
      </c>
    </row>
    <row r="1457" spans="7:10" x14ac:dyDescent="0.3">
      <c r="G1457">
        <f>IFERROR(VLOOKUP(A1457,'Clientes CBOT'!B:E,4,0),B1457)</f>
        <v>0</v>
      </c>
      <c r="H1457" t="str">
        <f t="shared" si="71"/>
        <v>Dólar</v>
      </c>
      <c r="I1457" s="6">
        <f t="shared" si="72"/>
        <v>0</v>
      </c>
      <c r="J1457">
        <f t="shared" si="73"/>
        <v>0</v>
      </c>
    </row>
    <row r="1458" spans="7:10" x14ac:dyDescent="0.3">
      <c r="G1458">
        <f>IFERROR(VLOOKUP(A1458,'Clientes CBOT'!B:E,4,0),B1458)</f>
        <v>0</v>
      </c>
      <c r="H1458" t="str">
        <f t="shared" si="71"/>
        <v>Dólar</v>
      </c>
      <c r="I1458" s="6">
        <f t="shared" si="72"/>
        <v>0</v>
      </c>
      <c r="J1458">
        <f t="shared" si="73"/>
        <v>0</v>
      </c>
    </row>
    <row r="1459" spans="7:10" x14ac:dyDescent="0.3">
      <c r="G1459">
        <f>IFERROR(VLOOKUP(A1459,'Clientes CBOT'!B:E,4,0),B1459)</f>
        <v>0</v>
      </c>
      <c r="H1459" t="str">
        <f t="shared" si="71"/>
        <v>Dólar</v>
      </c>
      <c r="I1459" s="6">
        <f t="shared" si="72"/>
        <v>0</v>
      </c>
      <c r="J1459">
        <f t="shared" si="73"/>
        <v>0</v>
      </c>
    </row>
    <row r="1460" spans="7:10" x14ac:dyDescent="0.3">
      <c r="G1460">
        <f>IFERROR(VLOOKUP(A1460,'Clientes CBOT'!B:E,4,0),B1460)</f>
        <v>0</v>
      </c>
      <c r="H1460" t="str">
        <f t="shared" si="71"/>
        <v>Dólar</v>
      </c>
      <c r="I1460" s="6">
        <f t="shared" si="72"/>
        <v>0</v>
      </c>
      <c r="J1460">
        <f t="shared" si="73"/>
        <v>0</v>
      </c>
    </row>
    <row r="1461" spans="7:10" x14ac:dyDescent="0.3">
      <c r="G1461">
        <f>IFERROR(VLOOKUP(A1461,'Clientes CBOT'!B:E,4,0),B1461)</f>
        <v>0</v>
      </c>
      <c r="H1461" t="str">
        <f t="shared" si="71"/>
        <v>Dólar</v>
      </c>
      <c r="I1461" s="6">
        <f t="shared" si="72"/>
        <v>0</v>
      </c>
      <c r="J1461">
        <f t="shared" si="73"/>
        <v>0</v>
      </c>
    </row>
    <row r="1462" spans="7:10" x14ac:dyDescent="0.3">
      <c r="G1462">
        <f>IFERROR(VLOOKUP(A1462,'Clientes CBOT'!B:E,4,0),B1462)</f>
        <v>0</v>
      </c>
      <c r="H1462" t="str">
        <f t="shared" si="71"/>
        <v>Dólar</v>
      </c>
      <c r="I1462" s="6">
        <f t="shared" si="72"/>
        <v>0</v>
      </c>
      <c r="J1462">
        <f t="shared" si="73"/>
        <v>0</v>
      </c>
    </row>
    <row r="1463" spans="7:10" x14ac:dyDescent="0.3">
      <c r="G1463">
        <f>IFERROR(VLOOKUP(A1463,'Clientes CBOT'!B:E,4,0),B1463)</f>
        <v>0</v>
      </c>
      <c r="H1463" t="str">
        <f t="shared" si="71"/>
        <v>Dólar</v>
      </c>
      <c r="I1463" s="6">
        <f t="shared" si="72"/>
        <v>0</v>
      </c>
      <c r="J1463">
        <f t="shared" si="73"/>
        <v>0</v>
      </c>
    </row>
    <row r="1464" spans="7:10" x14ac:dyDescent="0.3">
      <c r="G1464">
        <f>IFERROR(VLOOKUP(A1464,'Clientes CBOT'!B:E,4,0),B1464)</f>
        <v>0</v>
      </c>
      <c r="H1464" t="str">
        <f t="shared" si="71"/>
        <v>Dólar</v>
      </c>
      <c r="I1464" s="6">
        <f t="shared" si="72"/>
        <v>0</v>
      </c>
      <c r="J1464">
        <f t="shared" si="73"/>
        <v>0</v>
      </c>
    </row>
    <row r="1465" spans="7:10" x14ac:dyDescent="0.3">
      <c r="G1465">
        <f>IFERROR(VLOOKUP(A1465,'Clientes CBOT'!B:E,4,0),B1465)</f>
        <v>0</v>
      </c>
      <c r="H1465" t="str">
        <f t="shared" si="71"/>
        <v>Dólar</v>
      </c>
      <c r="I1465" s="6">
        <f t="shared" si="72"/>
        <v>0</v>
      </c>
      <c r="J1465">
        <f t="shared" si="73"/>
        <v>0</v>
      </c>
    </row>
    <row r="1466" spans="7:10" x14ac:dyDescent="0.3">
      <c r="G1466">
        <f>IFERROR(VLOOKUP(A1466,'Clientes CBOT'!B:E,4,0),B1466)</f>
        <v>0</v>
      </c>
      <c r="H1466" t="str">
        <f t="shared" si="71"/>
        <v>Dólar</v>
      </c>
      <c r="I1466" s="6">
        <f t="shared" si="72"/>
        <v>0</v>
      </c>
      <c r="J1466">
        <f t="shared" si="73"/>
        <v>0</v>
      </c>
    </row>
    <row r="1467" spans="7:10" x14ac:dyDescent="0.3">
      <c r="G1467">
        <f>IFERROR(VLOOKUP(A1467,'Clientes CBOT'!B:E,4,0),B1467)</f>
        <v>0</v>
      </c>
      <c r="H1467" t="str">
        <f t="shared" si="71"/>
        <v>Dólar</v>
      </c>
      <c r="I1467" s="6">
        <f t="shared" si="72"/>
        <v>0</v>
      </c>
      <c r="J1467">
        <f t="shared" si="73"/>
        <v>0</v>
      </c>
    </row>
    <row r="1468" spans="7:10" x14ac:dyDescent="0.3">
      <c r="G1468">
        <f>IFERROR(VLOOKUP(A1468,'Clientes CBOT'!B:E,4,0),B1468)</f>
        <v>0</v>
      </c>
      <c r="H1468" t="str">
        <f t="shared" si="71"/>
        <v>Dólar</v>
      </c>
      <c r="I1468" s="6">
        <f t="shared" si="72"/>
        <v>0</v>
      </c>
      <c r="J1468">
        <f t="shared" si="73"/>
        <v>0</v>
      </c>
    </row>
    <row r="1469" spans="7:10" x14ac:dyDescent="0.3">
      <c r="G1469">
        <f>IFERROR(VLOOKUP(A1469,'Clientes CBOT'!B:E,4,0),B1469)</f>
        <v>0</v>
      </c>
      <c r="H1469" t="str">
        <f t="shared" si="71"/>
        <v>Dólar</v>
      </c>
      <c r="I1469" s="6">
        <f t="shared" si="72"/>
        <v>0</v>
      </c>
      <c r="J1469">
        <f t="shared" si="73"/>
        <v>0</v>
      </c>
    </row>
    <row r="1470" spans="7:10" x14ac:dyDescent="0.3">
      <c r="G1470">
        <f>IFERROR(VLOOKUP(A1470,'Clientes CBOT'!B:E,4,0),B1470)</f>
        <v>0</v>
      </c>
      <c r="H1470" t="str">
        <f t="shared" si="71"/>
        <v>Dólar</v>
      </c>
      <c r="I1470" s="6">
        <f t="shared" si="72"/>
        <v>0</v>
      </c>
      <c r="J1470">
        <f t="shared" si="73"/>
        <v>0</v>
      </c>
    </row>
    <row r="1471" spans="7:10" x14ac:dyDescent="0.3">
      <c r="G1471">
        <f>IFERROR(VLOOKUP(A1471,'Clientes CBOT'!B:E,4,0),B1471)</f>
        <v>0</v>
      </c>
      <c r="H1471" t="str">
        <f t="shared" si="71"/>
        <v>Dólar</v>
      </c>
      <c r="I1471" s="6">
        <f t="shared" si="72"/>
        <v>0</v>
      </c>
      <c r="J1471">
        <f t="shared" si="73"/>
        <v>0</v>
      </c>
    </row>
    <row r="1472" spans="7:10" x14ac:dyDescent="0.3">
      <c r="G1472">
        <f>IFERROR(VLOOKUP(A1472,'Clientes CBOT'!B:E,4,0),B1472)</f>
        <v>0</v>
      </c>
      <c r="H1472" t="str">
        <f t="shared" si="71"/>
        <v>Dólar</v>
      </c>
      <c r="I1472" s="6">
        <f t="shared" si="72"/>
        <v>0</v>
      </c>
      <c r="J1472">
        <f t="shared" si="73"/>
        <v>0</v>
      </c>
    </row>
    <row r="1473" spans="7:10" x14ac:dyDescent="0.3">
      <c r="G1473">
        <f>IFERROR(VLOOKUP(A1473,'Clientes CBOT'!B:E,4,0),B1473)</f>
        <v>0</v>
      </c>
      <c r="H1473" t="str">
        <f t="shared" si="71"/>
        <v>Dólar</v>
      </c>
      <c r="I1473" s="6">
        <f t="shared" si="72"/>
        <v>0</v>
      </c>
      <c r="J1473">
        <f t="shared" si="73"/>
        <v>0</v>
      </c>
    </row>
    <row r="1474" spans="7:10" x14ac:dyDescent="0.3">
      <c r="G1474">
        <f>IFERROR(VLOOKUP(A1474,'Clientes CBOT'!B:E,4,0),B1474)</f>
        <v>0</v>
      </c>
      <c r="H1474" t="str">
        <f t="shared" si="71"/>
        <v>Dólar</v>
      </c>
      <c r="I1474" s="6">
        <f t="shared" si="72"/>
        <v>0</v>
      </c>
      <c r="J1474">
        <f t="shared" si="73"/>
        <v>0</v>
      </c>
    </row>
    <row r="1475" spans="7:10" x14ac:dyDescent="0.3">
      <c r="G1475">
        <f>IFERROR(VLOOKUP(A1475,'Clientes CBOT'!B:E,4,0),B1475)</f>
        <v>0</v>
      </c>
      <c r="H1475" t="str">
        <f t="shared" si="71"/>
        <v>Dólar</v>
      </c>
      <c r="I1475" s="6">
        <f t="shared" si="72"/>
        <v>0</v>
      </c>
      <c r="J1475">
        <f t="shared" si="73"/>
        <v>0</v>
      </c>
    </row>
    <row r="1476" spans="7:10" x14ac:dyDescent="0.3">
      <c r="G1476">
        <f>IFERROR(VLOOKUP(A1476,'Clientes CBOT'!B:E,4,0),B1476)</f>
        <v>0</v>
      </c>
      <c r="H1476" t="str">
        <f t="shared" si="71"/>
        <v>Dólar</v>
      </c>
      <c r="I1476" s="6">
        <f t="shared" si="72"/>
        <v>0</v>
      </c>
      <c r="J1476">
        <f t="shared" si="73"/>
        <v>0</v>
      </c>
    </row>
    <row r="1477" spans="7:10" x14ac:dyDescent="0.3">
      <c r="G1477">
        <f>IFERROR(VLOOKUP(A1477,'Clientes CBOT'!B:E,4,0),B1477)</f>
        <v>0</v>
      </c>
      <c r="H1477" t="str">
        <f t="shared" ref="H1477:H1540" si="74">IF(E1477="pesos","Ars",IF(E1477="Dólar Matba Rofex","usd linked",IF(F1477=" U$S TT","Hard","Dólar")))</f>
        <v>Dólar</v>
      </c>
      <c r="I1477" s="6">
        <f t="shared" ref="I1477:I1540" si="75">IF(H1477="ars",C1477/$J$1,IF(H1477="Hard",C1477*$J$2/$J$1,C1477))</f>
        <v>0</v>
      </c>
      <c r="J1477">
        <f t="shared" si="73"/>
        <v>0</v>
      </c>
    </row>
    <row r="1478" spans="7:10" x14ac:dyDescent="0.3">
      <c r="G1478">
        <f>IFERROR(VLOOKUP(A1478,'Clientes CBOT'!B:E,4,0),B1478)</f>
        <v>0</v>
      </c>
      <c r="H1478" t="str">
        <f t="shared" si="74"/>
        <v>Dólar</v>
      </c>
      <c r="I1478" s="6">
        <f t="shared" si="75"/>
        <v>0</v>
      </c>
      <c r="J1478">
        <f t="shared" si="73"/>
        <v>0</v>
      </c>
    </row>
    <row r="1479" spans="7:10" x14ac:dyDescent="0.3">
      <c r="G1479">
        <f>IFERROR(VLOOKUP(A1479,'Clientes CBOT'!B:E,4,0),B1479)</f>
        <v>0</v>
      </c>
      <c r="H1479" t="str">
        <f t="shared" si="74"/>
        <v>Dólar</v>
      </c>
      <c r="I1479" s="6">
        <f t="shared" si="75"/>
        <v>0</v>
      </c>
      <c r="J1479">
        <f t="shared" si="73"/>
        <v>0</v>
      </c>
    </row>
    <row r="1480" spans="7:10" x14ac:dyDescent="0.3">
      <c r="G1480">
        <f>IFERROR(VLOOKUP(A1480,'Clientes CBOT'!B:E,4,0),B1480)</f>
        <v>0</v>
      </c>
      <c r="H1480" t="str">
        <f t="shared" si="74"/>
        <v>Dólar</v>
      </c>
      <c r="I1480" s="6">
        <f t="shared" si="75"/>
        <v>0</v>
      </c>
      <c r="J1480">
        <f t="shared" si="73"/>
        <v>0</v>
      </c>
    </row>
    <row r="1481" spans="7:10" x14ac:dyDescent="0.3">
      <c r="G1481">
        <f>IFERROR(VLOOKUP(A1481,'Clientes CBOT'!B:E,4,0),B1481)</f>
        <v>0</v>
      </c>
      <c r="H1481" t="str">
        <f t="shared" si="74"/>
        <v>Dólar</v>
      </c>
      <c r="I1481" s="6">
        <f t="shared" si="75"/>
        <v>0</v>
      </c>
      <c r="J1481">
        <f t="shared" si="73"/>
        <v>0</v>
      </c>
    </row>
    <row r="1482" spans="7:10" x14ac:dyDescent="0.3">
      <c r="G1482">
        <f>IFERROR(VLOOKUP(A1482,'Clientes CBOT'!B:E,4,0),B1482)</f>
        <v>0</v>
      </c>
      <c r="H1482" t="str">
        <f t="shared" si="74"/>
        <v>Dólar</v>
      </c>
      <c r="I1482" s="6">
        <f t="shared" si="75"/>
        <v>0</v>
      </c>
      <c r="J1482">
        <f t="shared" si="73"/>
        <v>0</v>
      </c>
    </row>
    <row r="1483" spans="7:10" x14ac:dyDescent="0.3">
      <c r="G1483">
        <f>IFERROR(VLOOKUP(A1483,'Clientes CBOT'!B:E,4,0),B1483)</f>
        <v>0</v>
      </c>
      <c r="H1483" t="str">
        <f t="shared" si="74"/>
        <v>Dólar</v>
      </c>
      <c r="I1483" s="6">
        <f t="shared" si="75"/>
        <v>0</v>
      </c>
      <c r="J1483">
        <f t="shared" si="73"/>
        <v>0</v>
      </c>
    </row>
    <row r="1484" spans="7:10" x14ac:dyDescent="0.3">
      <c r="G1484">
        <f>IFERROR(VLOOKUP(A1484,'Clientes CBOT'!B:E,4,0),B1484)</f>
        <v>0</v>
      </c>
      <c r="H1484" t="str">
        <f t="shared" si="74"/>
        <v>Dólar</v>
      </c>
      <c r="I1484" s="6">
        <f t="shared" si="75"/>
        <v>0</v>
      </c>
      <c r="J1484">
        <f t="shared" si="73"/>
        <v>0</v>
      </c>
    </row>
    <row r="1485" spans="7:10" x14ac:dyDescent="0.3">
      <c r="G1485">
        <f>IFERROR(VLOOKUP(A1485,'Clientes CBOT'!B:E,4,0),B1485)</f>
        <v>0</v>
      </c>
      <c r="H1485" t="str">
        <f t="shared" si="74"/>
        <v>Dólar</v>
      </c>
      <c r="I1485" s="6">
        <f t="shared" si="75"/>
        <v>0</v>
      </c>
      <c r="J1485">
        <f t="shared" si="73"/>
        <v>0</v>
      </c>
    </row>
    <row r="1486" spans="7:10" x14ac:dyDescent="0.3">
      <c r="G1486">
        <f>IFERROR(VLOOKUP(A1486,'Clientes CBOT'!B:E,4,0),B1486)</f>
        <v>0</v>
      </c>
      <c r="H1486" t="str">
        <f t="shared" si="74"/>
        <v>Dólar</v>
      </c>
      <c r="I1486" s="6">
        <f t="shared" si="75"/>
        <v>0</v>
      </c>
      <c r="J1486">
        <f t="shared" si="73"/>
        <v>0</v>
      </c>
    </row>
    <row r="1487" spans="7:10" x14ac:dyDescent="0.3">
      <c r="G1487">
        <f>IFERROR(VLOOKUP(A1487,'Clientes CBOT'!B:E,4,0),B1487)</f>
        <v>0</v>
      </c>
      <c r="H1487" t="str">
        <f t="shared" si="74"/>
        <v>Dólar</v>
      </c>
      <c r="I1487" s="6">
        <f t="shared" si="75"/>
        <v>0</v>
      </c>
      <c r="J1487">
        <f t="shared" si="73"/>
        <v>0</v>
      </c>
    </row>
    <row r="1488" spans="7:10" x14ac:dyDescent="0.3">
      <c r="G1488">
        <f>IFERROR(VLOOKUP(A1488,'Clientes CBOT'!B:E,4,0),B1488)</f>
        <v>0</v>
      </c>
      <c r="H1488" t="str">
        <f t="shared" si="74"/>
        <v>Dólar</v>
      </c>
      <c r="I1488" s="6">
        <f t="shared" si="75"/>
        <v>0</v>
      </c>
      <c r="J1488">
        <f t="shared" si="73"/>
        <v>0</v>
      </c>
    </row>
    <row r="1489" spans="7:10" x14ac:dyDescent="0.3">
      <c r="G1489">
        <f>IFERROR(VLOOKUP(A1489,'Clientes CBOT'!B:E,4,0),B1489)</f>
        <v>0</v>
      </c>
      <c r="H1489" t="str">
        <f t="shared" si="74"/>
        <v>Dólar</v>
      </c>
      <c r="I1489" s="6">
        <f t="shared" si="75"/>
        <v>0</v>
      </c>
      <c r="J1489">
        <f t="shared" si="73"/>
        <v>0</v>
      </c>
    </row>
    <row r="1490" spans="7:10" x14ac:dyDescent="0.3">
      <c r="G1490">
        <f>IFERROR(VLOOKUP(A1490,'Clientes CBOT'!B:E,4,0),B1490)</f>
        <v>0</v>
      </c>
      <c r="H1490" t="str">
        <f t="shared" si="74"/>
        <v>Dólar</v>
      </c>
      <c r="I1490" s="6">
        <f t="shared" si="75"/>
        <v>0</v>
      </c>
      <c r="J1490">
        <f t="shared" si="73"/>
        <v>0</v>
      </c>
    </row>
    <row r="1491" spans="7:10" x14ac:dyDescent="0.3">
      <c r="G1491">
        <f>IFERROR(VLOOKUP(A1491,'Clientes CBOT'!B:E,4,0),B1491)</f>
        <v>0</v>
      </c>
      <c r="H1491" t="str">
        <f t="shared" si="74"/>
        <v>Dólar</v>
      </c>
      <c r="I1491" s="6">
        <f t="shared" si="75"/>
        <v>0</v>
      </c>
      <c r="J1491">
        <f t="shared" si="73"/>
        <v>0</v>
      </c>
    </row>
    <row r="1492" spans="7:10" x14ac:dyDescent="0.3">
      <c r="G1492">
        <f>IFERROR(VLOOKUP(A1492,'Clientes CBOT'!B:E,4,0),B1492)</f>
        <v>0</v>
      </c>
      <c r="H1492" t="str">
        <f t="shared" si="74"/>
        <v>Dólar</v>
      </c>
      <c r="I1492" s="6">
        <f t="shared" si="75"/>
        <v>0</v>
      </c>
      <c r="J1492">
        <f t="shared" ref="J1492:J1555" si="76">IF(H1492="ars",D1492/$J$1,IF(H1492="hard",D1492*$J$2/$J$1,D1492))</f>
        <v>0</v>
      </c>
    </row>
    <row r="1493" spans="7:10" x14ac:dyDescent="0.3">
      <c r="G1493">
        <f>IFERROR(VLOOKUP(A1493,'Clientes CBOT'!B:E,4,0),B1493)</f>
        <v>0</v>
      </c>
      <c r="H1493" t="str">
        <f t="shared" si="74"/>
        <v>Dólar</v>
      </c>
      <c r="I1493" s="6">
        <f t="shared" si="75"/>
        <v>0</v>
      </c>
      <c r="J1493">
        <f t="shared" si="76"/>
        <v>0</v>
      </c>
    </row>
    <row r="1494" spans="7:10" x14ac:dyDescent="0.3">
      <c r="G1494">
        <f>IFERROR(VLOOKUP(A1494,'Clientes CBOT'!B:E,4,0),B1494)</f>
        <v>0</v>
      </c>
      <c r="H1494" t="str">
        <f t="shared" si="74"/>
        <v>Dólar</v>
      </c>
      <c r="I1494" s="6">
        <f t="shared" si="75"/>
        <v>0</v>
      </c>
      <c r="J1494">
        <f t="shared" si="76"/>
        <v>0</v>
      </c>
    </row>
    <row r="1495" spans="7:10" x14ac:dyDescent="0.3">
      <c r="G1495">
        <f>IFERROR(VLOOKUP(A1495,'Clientes CBOT'!B:E,4,0),B1495)</f>
        <v>0</v>
      </c>
      <c r="H1495" t="str">
        <f t="shared" si="74"/>
        <v>Dólar</v>
      </c>
      <c r="I1495" s="6">
        <f t="shared" si="75"/>
        <v>0</v>
      </c>
      <c r="J1495">
        <f t="shared" si="76"/>
        <v>0</v>
      </c>
    </row>
    <row r="1496" spans="7:10" x14ac:dyDescent="0.3">
      <c r="G1496">
        <f>IFERROR(VLOOKUP(A1496,'Clientes CBOT'!B:E,4,0),B1496)</f>
        <v>0</v>
      </c>
      <c r="H1496" t="str">
        <f t="shared" si="74"/>
        <v>Dólar</v>
      </c>
      <c r="I1496" s="6">
        <f t="shared" si="75"/>
        <v>0</v>
      </c>
      <c r="J1496">
        <f t="shared" si="76"/>
        <v>0</v>
      </c>
    </row>
    <row r="1497" spans="7:10" x14ac:dyDescent="0.3">
      <c r="G1497">
        <f>IFERROR(VLOOKUP(A1497,'Clientes CBOT'!B:E,4,0),B1497)</f>
        <v>0</v>
      </c>
      <c r="H1497" t="str">
        <f t="shared" si="74"/>
        <v>Dólar</v>
      </c>
      <c r="I1497" s="6">
        <f t="shared" si="75"/>
        <v>0</v>
      </c>
      <c r="J1497">
        <f t="shared" si="76"/>
        <v>0</v>
      </c>
    </row>
    <row r="1498" spans="7:10" x14ac:dyDescent="0.3">
      <c r="G1498">
        <f>IFERROR(VLOOKUP(A1498,'Clientes CBOT'!B:E,4,0),B1498)</f>
        <v>0</v>
      </c>
      <c r="H1498" t="str">
        <f t="shared" si="74"/>
        <v>Dólar</v>
      </c>
      <c r="I1498" s="6">
        <f t="shared" si="75"/>
        <v>0</v>
      </c>
      <c r="J1498">
        <f t="shared" si="76"/>
        <v>0</v>
      </c>
    </row>
    <row r="1499" spans="7:10" x14ac:dyDescent="0.3">
      <c r="G1499">
        <f>IFERROR(VLOOKUP(A1499,'Clientes CBOT'!B:E,4,0),B1499)</f>
        <v>0</v>
      </c>
      <c r="H1499" t="str">
        <f t="shared" si="74"/>
        <v>Dólar</v>
      </c>
      <c r="I1499" s="6">
        <f t="shared" si="75"/>
        <v>0</v>
      </c>
      <c r="J1499">
        <f t="shared" si="76"/>
        <v>0</v>
      </c>
    </row>
    <row r="1500" spans="7:10" x14ac:dyDescent="0.3">
      <c r="G1500">
        <f>IFERROR(VLOOKUP(A1500,'Clientes CBOT'!B:E,4,0),B1500)</f>
        <v>0</v>
      </c>
      <c r="H1500" t="str">
        <f t="shared" si="74"/>
        <v>Dólar</v>
      </c>
      <c r="I1500" s="6">
        <f t="shared" si="75"/>
        <v>0</v>
      </c>
      <c r="J1500">
        <f t="shared" si="76"/>
        <v>0</v>
      </c>
    </row>
    <row r="1501" spans="7:10" x14ac:dyDescent="0.3">
      <c r="G1501">
        <f>IFERROR(VLOOKUP(A1501,'Clientes CBOT'!B:E,4,0),B1501)</f>
        <v>0</v>
      </c>
      <c r="H1501" t="str">
        <f t="shared" si="74"/>
        <v>Dólar</v>
      </c>
      <c r="I1501" s="6">
        <f t="shared" si="75"/>
        <v>0</v>
      </c>
      <c r="J1501">
        <f t="shared" si="76"/>
        <v>0</v>
      </c>
    </row>
    <row r="1502" spans="7:10" x14ac:dyDescent="0.3">
      <c r="G1502">
        <f>IFERROR(VLOOKUP(A1502,'Clientes CBOT'!B:E,4,0),B1502)</f>
        <v>0</v>
      </c>
      <c r="H1502" t="str">
        <f t="shared" si="74"/>
        <v>Dólar</v>
      </c>
      <c r="I1502" s="6">
        <f t="shared" si="75"/>
        <v>0</v>
      </c>
      <c r="J1502">
        <f t="shared" si="76"/>
        <v>0</v>
      </c>
    </row>
    <row r="1503" spans="7:10" x14ac:dyDescent="0.3">
      <c r="G1503">
        <f>IFERROR(VLOOKUP(A1503,'Clientes CBOT'!B:E,4,0),B1503)</f>
        <v>0</v>
      </c>
      <c r="H1503" t="str">
        <f t="shared" si="74"/>
        <v>Dólar</v>
      </c>
      <c r="I1503" s="6">
        <f t="shared" si="75"/>
        <v>0</v>
      </c>
      <c r="J1503">
        <f t="shared" si="76"/>
        <v>0</v>
      </c>
    </row>
    <row r="1504" spans="7:10" x14ac:dyDescent="0.3">
      <c r="G1504">
        <f>IFERROR(VLOOKUP(A1504,'Clientes CBOT'!B:E,4,0),B1504)</f>
        <v>0</v>
      </c>
      <c r="H1504" t="str">
        <f t="shared" si="74"/>
        <v>Dólar</v>
      </c>
      <c r="I1504" s="6">
        <f t="shared" si="75"/>
        <v>0</v>
      </c>
      <c r="J1504">
        <f t="shared" si="76"/>
        <v>0</v>
      </c>
    </row>
    <row r="1505" spans="7:10" x14ac:dyDescent="0.3">
      <c r="G1505">
        <f>IFERROR(VLOOKUP(A1505,'Clientes CBOT'!B:E,4,0),B1505)</f>
        <v>0</v>
      </c>
      <c r="H1505" t="str">
        <f t="shared" si="74"/>
        <v>Dólar</v>
      </c>
      <c r="I1505" s="6">
        <f t="shared" si="75"/>
        <v>0</v>
      </c>
      <c r="J1505">
        <f t="shared" si="76"/>
        <v>0</v>
      </c>
    </row>
    <row r="1506" spans="7:10" x14ac:dyDescent="0.3">
      <c r="G1506">
        <f>IFERROR(VLOOKUP(A1506,'Clientes CBOT'!B:E,4,0),B1506)</f>
        <v>0</v>
      </c>
      <c r="H1506" t="str">
        <f t="shared" si="74"/>
        <v>Dólar</v>
      </c>
      <c r="I1506" s="6">
        <f t="shared" si="75"/>
        <v>0</v>
      </c>
      <c r="J1506">
        <f t="shared" si="76"/>
        <v>0</v>
      </c>
    </row>
    <row r="1507" spans="7:10" x14ac:dyDescent="0.3">
      <c r="G1507">
        <f>IFERROR(VLOOKUP(A1507,'Clientes CBOT'!B:E,4,0),B1507)</f>
        <v>0</v>
      </c>
      <c r="H1507" t="str">
        <f t="shared" si="74"/>
        <v>Dólar</v>
      </c>
      <c r="I1507" s="6">
        <f t="shared" si="75"/>
        <v>0</v>
      </c>
      <c r="J1507">
        <f t="shared" si="76"/>
        <v>0</v>
      </c>
    </row>
    <row r="1508" spans="7:10" x14ac:dyDescent="0.3">
      <c r="G1508">
        <f>IFERROR(VLOOKUP(A1508,'Clientes CBOT'!B:E,4,0),B1508)</f>
        <v>0</v>
      </c>
      <c r="H1508" t="str">
        <f t="shared" si="74"/>
        <v>Dólar</v>
      </c>
      <c r="I1508" s="6">
        <f t="shared" si="75"/>
        <v>0</v>
      </c>
      <c r="J1508">
        <f t="shared" si="76"/>
        <v>0</v>
      </c>
    </row>
    <row r="1509" spans="7:10" x14ac:dyDescent="0.3">
      <c r="G1509">
        <f>IFERROR(VLOOKUP(A1509,'Clientes CBOT'!B:E,4,0),B1509)</f>
        <v>0</v>
      </c>
      <c r="H1509" t="str">
        <f t="shared" si="74"/>
        <v>Dólar</v>
      </c>
      <c r="I1509" s="6">
        <f t="shared" si="75"/>
        <v>0</v>
      </c>
      <c r="J1509">
        <f t="shared" si="76"/>
        <v>0</v>
      </c>
    </row>
    <row r="1510" spans="7:10" x14ac:dyDescent="0.3">
      <c r="G1510">
        <f>IFERROR(VLOOKUP(A1510,'Clientes CBOT'!B:E,4,0),B1510)</f>
        <v>0</v>
      </c>
      <c r="H1510" t="str">
        <f t="shared" si="74"/>
        <v>Dólar</v>
      </c>
      <c r="I1510" s="6">
        <f t="shared" si="75"/>
        <v>0</v>
      </c>
      <c r="J1510">
        <f t="shared" si="76"/>
        <v>0</v>
      </c>
    </row>
    <row r="1511" spans="7:10" x14ac:dyDescent="0.3">
      <c r="G1511">
        <f>IFERROR(VLOOKUP(A1511,'Clientes CBOT'!B:E,4,0),B1511)</f>
        <v>0</v>
      </c>
      <c r="H1511" t="str">
        <f t="shared" si="74"/>
        <v>Dólar</v>
      </c>
      <c r="I1511" s="6">
        <f t="shared" si="75"/>
        <v>0</v>
      </c>
      <c r="J1511">
        <f t="shared" si="76"/>
        <v>0</v>
      </c>
    </row>
    <row r="1512" spans="7:10" x14ac:dyDescent="0.3">
      <c r="G1512">
        <f>IFERROR(VLOOKUP(A1512,'Clientes CBOT'!B:E,4,0),B1512)</f>
        <v>0</v>
      </c>
      <c r="H1512" t="str">
        <f t="shared" si="74"/>
        <v>Dólar</v>
      </c>
      <c r="I1512" s="6">
        <f t="shared" si="75"/>
        <v>0</v>
      </c>
      <c r="J1512">
        <f t="shared" si="76"/>
        <v>0</v>
      </c>
    </row>
    <row r="1513" spans="7:10" x14ac:dyDescent="0.3">
      <c r="G1513">
        <f>IFERROR(VLOOKUP(A1513,'Clientes CBOT'!B:E,4,0),B1513)</f>
        <v>0</v>
      </c>
      <c r="H1513" t="str">
        <f t="shared" si="74"/>
        <v>Dólar</v>
      </c>
      <c r="I1513" s="6">
        <f t="shared" si="75"/>
        <v>0</v>
      </c>
      <c r="J1513">
        <f t="shared" si="76"/>
        <v>0</v>
      </c>
    </row>
    <row r="1514" spans="7:10" x14ac:dyDescent="0.3">
      <c r="G1514">
        <f>IFERROR(VLOOKUP(A1514,'Clientes CBOT'!B:E,4,0),B1514)</f>
        <v>0</v>
      </c>
      <c r="H1514" t="str">
        <f t="shared" si="74"/>
        <v>Dólar</v>
      </c>
      <c r="I1514" s="6">
        <f t="shared" si="75"/>
        <v>0</v>
      </c>
      <c r="J1514">
        <f t="shared" si="76"/>
        <v>0</v>
      </c>
    </row>
    <row r="1515" spans="7:10" x14ac:dyDescent="0.3">
      <c r="G1515">
        <f>IFERROR(VLOOKUP(A1515,'Clientes CBOT'!B:E,4,0),B1515)</f>
        <v>0</v>
      </c>
      <c r="H1515" t="str">
        <f t="shared" si="74"/>
        <v>Dólar</v>
      </c>
      <c r="I1515" s="6">
        <f t="shared" si="75"/>
        <v>0</v>
      </c>
      <c r="J1515">
        <f t="shared" si="76"/>
        <v>0</v>
      </c>
    </row>
    <row r="1516" spans="7:10" x14ac:dyDescent="0.3">
      <c r="G1516">
        <f>IFERROR(VLOOKUP(A1516,'Clientes CBOT'!B:E,4,0),B1516)</f>
        <v>0</v>
      </c>
      <c r="H1516" t="str">
        <f t="shared" si="74"/>
        <v>Dólar</v>
      </c>
      <c r="I1516" s="6">
        <f t="shared" si="75"/>
        <v>0</v>
      </c>
      <c r="J1516">
        <f t="shared" si="76"/>
        <v>0</v>
      </c>
    </row>
    <row r="1517" spans="7:10" x14ac:dyDescent="0.3">
      <c r="G1517">
        <f>IFERROR(VLOOKUP(A1517,'Clientes CBOT'!B:E,4,0),B1517)</f>
        <v>0</v>
      </c>
      <c r="H1517" t="str">
        <f t="shared" si="74"/>
        <v>Dólar</v>
      </c>
      <c r="I1517" s="6">
        <f t="shared" si="75"/>
        <v>0</v>
      </c>
      <c r="J1517">
        <f t="shared" si="76"/>
        <v>0</v>
      </c>
    </row>
    <row r="1518" spans="7:10" x14ac:dyDescent="0.3">
      <c r="G1518">
        <f>IFERROR(VLOOKUP(A1518,'Clientes CBOT'!B:E,4,0),B1518)</f>
        <v>0</v>
      </c>
      <c r="H1518" t="str">
        <f t="shared" si="74"/>
        <v>Dólar</v>
      </c>
      <c r="I1518" s="6">
        <f t="shared" si="75"/>
        <v>0</v>
      </c>
      <c r="J1518">
        <f t="shared" si="76"/>
        <v>0</v>
      </c>
    </row>
    <row r="1519" spans="7:10" x14ac:dyDescent="0.3">
      <c r="G1519">
        <f>IFERROR(VLOOKUP(A1519,'Clientes CBOT'!B:E,4,0),B1519)</f>
        <v>0</v>
      </c>
      <c r="H1519" t="str">
        <f t="shared" si="74"/>
        <v>Dólar</v>
      </c>
      <c r="I1519" s="6">
        <f t="shared" si="75"/>
        <v>0</v>
      </c>
      <c r="J1519">
        <f t="shared" si="76"/>
        <v>0</v>
      </c>
    </row>
    <row r="1520" spans="7:10" x14ac:dyDescent="0.3">
      <c r="G1520">
        <f>IFERROR(VLOOKUP(A1520,'Clientes CBOT'!B:E,4,0),B1520)</f>
        <v>0</v>
      </c>
      <c r="H1520" t="str">
        <f t="shared" si="74"/>
        <v>Dólar</v>
      </c>
      <c r="I1520" s="6">
        <f t="shared" si="75"/>
        <v>0</v>
      </c>
      <c r="J1520">
        <f t="shared" si="76"/>
        <v>0</v>
      </c>
    </row>
    <row r="1521" spans="7:10" x14ac:dyDescent="0.3">
      <c r="G1521">
        <f>IFERROR(VLOOKUP(A1521,'Clientes CBOT'!B:E,4,0),B1521)</f>
        <v>0</v>
      </c>
      <c r="H1521" t="str">
        <f t="shared" si="74"/>
        <v>Dólar</v>
      </c>
      <c r="I1521" s="6">
        <f t="shared" si="75"/>
        <v>0</v>
      </c>
      <c r="J1521">
        <f t="shared" si="76"/>
        <v>0</v>
      </c>
    </row>
    <row r="1522" spans="7:10" x14ac:dyDescent="0.3">
      <c r="G1522">
        <f>IFERROR(VLOOKUP(A1522,'Clientes CBOT'!B:E,4,0),B1522)</f>
        <v>0</v>
      </c>
      <c r="H1522" t="str">
        <f t="shared" si="74"/>
        <v>Dólar</v>
      </c>
      <c r="I1522" s="6">
        <f t="shared" si="75"/>
        <v>0</v>
      </c>
      <c r="J1522">
        <f t="shared" si="76"/>
        <v>0</v>
      </c>
    </row>
    <row r="1523" spans="7:10" x14ac:dyDescent="0.3">
      <c r="G1523">
        <f>IFERROR(VLOOKUP(A1523,'Clientes CBOT'!B:E,4,0),B1523)</f>
        <v>0</v>
      </c>
      <c r="H1523" t="str">
        <f t="shared" si="74"/>
        <v>Dólar</v>
      </c>
      <c r="I1523" s="6">
        <f t="shared" si="75"/>
        <v>0</v>
      </c>
      <c r="J1523">
        <f t="shared" si="76"/>
        <v>0</v>
      </c>
    </row>
    <row r="1524" spans="7:10" x14ac:dyDescent="0.3">
      <c r="G1524">
        <f>IFERROR(VLOOKUP(A1524,'Clientes CBOT'!B:E,4,0),B1524)</f>
        <v>0</v>
      </c>
      <c r="H1524" t="str">
        <f t="shared" si="74"/>
        <v>Dólar</v>
      </c>
      <c r="I1524" s="6">
        <f t="shared" si="75"/>
        <v>0</v>
      </c>
      <c r="J1524">
        <f t="shared" si="76"/>
        <v>0</v>
      </c>
    </row>
    <row r="1525" spans="7:10" x14ac:dyDescent="0.3">
      <c r="G1525">
        <f>IFERROR(VLOOKUP(A1525,'Clientes CBOT'!B:E,4,0),B1525)</f>
        <v>0</v>
      </c>
      <c r="H1525" t="str">
        <f t="shared" si="74"/>
        <v>Dólar</v>
      </c>
      <c r="I1525" s="6">
        <f t="shared" si="75"/>
        <v>0</v>
      </c>
      <c r="J1525">
        <f t="shared" si="76"/>
        <v>0</v>
      </c>
    </row>
    <row r="1526" spans="7:10" x14ac:dyDescent="0.3">
      <c r="G1526">
        <f>IFERROR(VLOOKUP(A1526,'Clientes CBOT'!B:E,4,0),B1526)</f>
        <v>0</v>
      </c>
      <c r="H1526" t="str">
        <f t="shared" si="74"/>
        <v>Dólar</v>
      </c>
      <c r="I1526" s="6">
        <f t="shared" si="75"/>
        <v>0</v>
      </c>
      <c r="J1526">
        <f t="shared" si="76"/>
        <v>0</v>
      </c>
    </row>
    <row r="1527" spans="7:10" x14ac:dyDescent="0.3">
      <c r="G1527">
        <f>IFERROR(VLOOKUP(A1527,'Clientes CBOT'!B:E,4,0),B1527)</f>
        <v>0</v>
      </c>
      <c r="H1527" t="str">
        <f t="shared" si="74"/>
        <v>Dólar</v>
      </c>
      <c r="I1527" s="6">
        <f t="shared" si="75"/>
        <v>0</v>
      </c>
      <c r="J1527">
        <f t="shared" si="76"/>
        <v>0</v>
      </c>
    </row>
    <row r="1528" spans="7:10" x14ac:dyDescent="0.3">
      <c r="G1528">
        <f>IFERROR(VLOOKUP(A1528,'Clientes CBOT'!B:E,4,0),B1528)</f>
        <v>0</v>
      </c>
      <c r="H1528" t="str">
        <f t="shared" si="74"/>
        <v>Dólar</v>
      </c>
      <c r="I1528" s="6">
        <f t="shared" si="75"/>
        <v>0</v>
      </c>
      <c r="J1528">
        <f t="shared" si="76"/>
        <v>0</v>
      </c>
    </row>
    <row r="1529" spans="7:10" x14ac:dyDescent="0.3">
      <c r="G1529">
        <f>IFERROR(VLOOKUP(A1529,'Clientes CBOT'!B:E,4,0),B1529)</f>
        <v>0</v>
      </c>
      <c r="H1529" t="str">
        <f t="shared" si="74"/>
        <v>Dólar</v>
      </c>
      <c r="I1529" s="6">
        <f t="shared" si="75"/>
        <v>0</v>
      </c>
      <c r="J1529">
        <f t="shared" si="76"/>
        <v>0</v>
      </c>
    </row>
    <row r="1530" spans="7:10" x14ac:dyDescent="0.3">
      <c r="G1530">
        <f>IFERROR(VLOOKUP(A1530,'Clientes CBOT'!B:E,4,0),B1530)</f>
        <v>0</v>
      </c>
      <c r="H1530" t="str">
        <f t="shared" si="74"/>
        <v>Dólar</v>
      </c>
      <c r="I1530" s="6">
        <f t="shared" si="75"/>
        <v>0</v>
      </c>
      <c r="J1530">
        <f t="shared" si="76"/>
        <v>0</v>
      </c>
    </row>
    <row r="1531" spans="7:10" x14ac:dyDescent="0.3">
      <c r="G1531">
        <f>IFERROR(VLOOKUP(A1531,'Clientes CBOT'!B:E,4,0),B1531)</f>
        <v>0</v>
      </c>
      <c r="H1531" t="str">
        <f t="shared" si="74"/>
        <v>Dólar</v>
      </c>
      <c r="I1531" s="6">
        <f t="shared" si="75"/>
        <v>0</v>
      </c>
      <c r="J1531">
        <f t="shared" si="76"/>
        <v>0</v>
      </c>
    </row>
    <row r="1532" spans="7:10" x14ac:dyDescent="0.3">
      <c r="G1532">
        <f>IFERROR(VLOOKUP(A1532,'Clientes CBOT'!B:E,4,0),B1532)</f>
        <v>0</v>
      </c>
      <c r="H1532" t="str">
        <f t="shared" si="74"/>
        <v>Dólar</v>
      </c>
      <c r="I1532" s="6">
        <f t="shared" si="75"/>
        <v>0</v>
      </c>
      <c r="J1532">
        <f t="shared" si="76"/>
        <v>0</v>
      </c>
    </row>
    <row r="1533" spans="7:10" x14ac:dyDescent="0.3">
      <c r="G1533">
        <f>IFERROR(VLOOKUP(A1533,'Clientes CBOT'!B:E,4,0),B1533)</f>
        <v>0</v>
      </c>
      <c r="H1533" t="str">
        <f t="shared" si="74"/>
        <v>Dólar</v>
      </c>
      <c r="I1533" s="6">
        <f t="shared" si="75"/>
        <v>0</v>
      </c>
      <c r="J1533">
        <f t="shared" si="76"/>
        <v>0</v>
      </c>
    </row>
    <row r="1534" spans="7:10" x14ac:dyDescent="0.3">
      <c r="G1534">
        <f>IFERROR(VLOOKUP(A1534,'Clientes CBOT'!B:E,4,0),B1534)</f>
        <v>0</v>
      </c>
      <c r="H1534" t="str">
        <f t="shared" si="74"/>
        <v>Dólar</v>
      </c>
      <c r="I1534" s="6">
        <f t="shared" si="75"/>
        <v>0</v>
      </c>
      <c r="J1534">
        <f t="shared" si="76"/>
        <v>0</v>
      </c>
    </row>
    <row r="1535" spans="7:10" x14ac:dyDescent="0.3">
      <c r="G1535">
        <f>IFERROR(VLOOKUP(A1535,'Clientes CBOT'!B:E,4,0),B1535)</f>
        <v>0</v>
      </c>
      <c r="H1535" t="str">
        <f t="shared" si="74"/>
        <v>Dólar</v>
      </c>
      <c r="I1535" s="6">
        <f t="shared" si="75"/>
        <v>0</v>
      </c>
      <c r="J1535">
        <f t="shared" si="76"/>
        <v>0</v>
      </c>
    </row>
    <row r="1536" spans="7:10" x14ac:dyDescent="0.3">
      <c r="G1536">
        <f>IFERROR(VLOOKUP(A1536,'Clientes CBOT'!B:E,4,0),B1536)</f>
        <v>0</v>
      </c>
      <c r="H1536" t="str">
        <f t="shared" si="74"/>
        <v>Dólar</v>
      </c>
      <c r="I1536" s="6">
        <f t="shared" si="75"/>
        <v>0</v>
      </c>
      <c r="J1536">
        <f t="shared" si="76"/>
        <v>0</v>
      </c>
    </row>
    <row r="1537" spans="7:10" x14ac:dyDescent="0.3">
      <c r="G1537">
        <f>IFERROR(VLOOKUP(A1537,'Clientes CBOT'!B:E,4,0),B1537)</f>
        <v>0</v>
      </c>
      <c r="H1537" t="str">
        <f t="shared" si="74"/>
        <v>Dólar</v>
      </c>
      <c r="I1537" s="6">
        <f t="shared" si="75"/>
        <v>0</v>
      </c>
      <c r="J1537">
        <f t="shared" si="76"/>
        <v>0</v>
      </c>
    </row>
    <row r="1538" spans="7:10" x14ac:dyDescent="0.3">
      <c r="G1538">
        <f>IFERROR(VLOOKUP(A1538,'Clientes CBOT'!B:E,4,0),B1538)</f>
        <v>0</v>
      </c>
      <c r="H1538" t="str">
        <f t="shared" si="74"/>
        <v>Dólar</v>
      </c>
      <c r="I1538" s="6">
        <f t="shared" si="75"/>
        <v>0</v>
      </c>
      <c r="J1538">
        <f t="shared" si="76"/>
        <v>0</v>
      </c>
    </row>
    <row r="1539" spans="7:10" x14ac:dyDescent="0.3">
      <c r="G1539">
        <f>IFERROR(VLOOKUP(A1539,'Clientes CBOT'!B:E,4,0),B1539)</f>
        <v>0</v>
      </c>
      <c r="H1539" t="str">
        <f t="shared" si="74"/>
        <v>Dólar</v>
      </c>
      <c r="I1539" s="6">
        <f t="shared" si="75"/>
        <v>0</v>
      </c>
      <c r="J1539">
        <f t="shared" si="76"/>
        <v>0</v>
      </c>
    </row>
    <row r="1540" spans="7:10" x14ac:dyDescent="0.3">
      <c r="G1540">
        <f>IFERROR(VLOOKUP(A1540,'Clientes CBOT'!B:E,4,0),B1540)</f>
        <v>0</v>
      </c>
      <c r="H1540" t="str">
        <f t="shared" si="74"/>
        <v>Dólar</v>
      </c>
      <c r="I1540" s="6">
        <f t="shared" si="75"/>
        <v>0</v>
      </c>
      <c r="J1540">
        <f t="shared" si="76"/>
        <v>0</v>
      </c>
    </row>
    <row r="1541" spans="7:10" x14ac:dyDescent="0.3">
      <c r="G1541">
        <f>IFERROR(VLOOKUP(A1541,'Clientes CBOT'!B:E,4,0),B1541)</f>
        <v>0</v>
      </c>
      <c r="H1541" t="str">
        <f t="shared" ref="H1541:H1604" si="77">IF(E1541="pesos","Ars",IF(E1541="Dólar Matba Rofex","usd linked",IF(F1541=" U$S TT","Hard","Dólar")))</f>
        <v>Dólar</v>
      </c>
      <c r="I1541" s="6">
        <f t="shared" ref="I1541:I1604" si="78">IF(H1541="ars",C1541/$J$1,IF(H1541="Hard",C1541*$J$2/$J$1,C1541))</f>
        <v>0</v>
      </c>
      <c r="J1541">
        <f t="shared" si="76"/>
        <v>0</v>
      </c>
    </row>
    <row r="1542" spans="7:10" x14ac:dyDescent="0.3">
      <c r="G1542">
        <f>IFERROR(VLOOKUP(A1542,'Clientes CBOT'!B:E,4,0),B1542)</f>
        <v>0</v>
      </c>
      <c r="H1542" t="str">
        <f t="shared" si="77"/>
        <v>Dólar</v>
      </c>
      <c r="I1542" s="6">
        <f t="shared" si="78"/>
        <v>0</v>
      </c>
      <c r="J1542">
        <f t="shared" si="76"/>
        <v>0</v>
      </c>
    </row>
    <row r="1543" spans="7:10" x14ac:dyDescent="0.3">
      <c r="G1543">
        <f>IFERROR(VLOOKUP(A1543,'Clientes CBOT'!B:E,4,0),B1543)</f>
        <v>0</v>
      </c>
      <c r="H1543" t="str">
        <f t="shared" si="77"/>
        <v>Dólar</v>
      </c>
      <c r="I1543" s="6">
        <f t="shared" si="78"/>
        <v>0</v>
      </c>
      <c r="J1543">
        <f t="shared" si="76"/>
        <v>0</v>
      </c>
    </row>
    <row r="1544" spans="7:10" x14ac:dyDescent="0.3">
      <c r="G1544">
        <f>IFERROR(VLOOKUP(A1544,'Clientes CBOT'!B:E,4,0),B1544)</f>
        <v>0</v>
      </c>
      <c r="H1544" t="str">
        <f t="shared" si="77"/>
        <v>Dólar</v>
      </c>
      <c r="I1544" s="6">
        <f t="shared" si="78"/>
        <v>0</v>
      </c>
      <c r="J1544">
        <f t="shared" si="76"/>
        <v>0</v>
      </c>
    </row>
    <row r="1545" spans="7:10" x14ac:dyDescent="0.3">
      <c r="G1545">
        <f>IFERROR(VLOOKUP(A1545,'Clientes CBOT'!B:E,4,0),B1545)</f>
        <v>0</v>
      </c>
      <c r="H1545" t="str">
        <f t="shared" si="77"/>
        <v>Dólar</v>
      </c>
      <c r="I1545" s="6">
        <f t="shared" si="78"/>
        <v>0</v>
      </c>
      <c r="J1545">
        <f t="shared" si="76"/>
        <v>0</v>
      </c>
    </row>
    <row r="1546" spans="7:10" x14ac:dyDescent="0.3">
      <c r="G1546">
        <f>IFERROR(VLOOKUP(A1546,'Clientes CBOT'!B:E,4,0),B1546)</f>
        <v>0</v>
      </c>
      <c r="H1546" t="str">
        <f t="shared" si="77"/>
        <v>Dólar</v>
      </c>
      <c r="I1546" s="6">
        <f t="shared" si="78"/>
        <v>0</v>
      </c>
      <c r="J1546">
        <f t="shared" si="76"/>
        <v>0</v>
      </c>
    </row>
    <row r="1547" spans="7:10" x14ac:dyDescent="0.3">
      <c r="G1547">
        <f>IFERROR(VLOOKUP(A1547,'Clientes CBOT'!B:E,4,0),B1547)</f>
        <v>0</v>
      </c>
      <c r="H1547" t="str">
        <f t="shared" si="77"/>
        <v>Dólar</v>
      </c>
      <c r="I1547" s="6">
        <f t="shared" si="78"/>
        <v>0</v>
      </c>
      <c r="J1547">
        <f t="shared" si="76"/>
        <v>0</v>
      </c>
    </row>
    <row r="1548" spans="7:10" x14ac:dyDescent="0.3">
      <c r="G1548">
        <f>IFERROR(VLOOKUP(A1548,'Clientes CBOT'!B:E,4,0),B1548)</f>
        <v>0</v>
      </c>
      <c r="H1548" t="str">
        <f t="shared" si="77"/>
        <v>Dólar</v>
      </c>
      <c r="I1548" s="6">
        <f t="shared" si="78"/>
        <v>0</v>
      </c>
      <c r="J1548">
        <f t="shared" si="76"/>
        <v>0</v>
      </c>
    </row>
    <row r="1549" spans="7:10" x14ac:dyDescent="0.3">
      <c r="G1549">
        <f>IFERROR(VLOOKUP(A1549,'Clientes CBOT'!B:E,4,0),B1549)</f>
        <v>0</v>
      </c>
      <c r="H1549" t="str">
        <f t="shared" si="77"/>
        <v>Dólar</v>
      </c>
      <c r="I1549" s="6">
        <f t="shared" si="78"/>
        <v>0</v>
      </c>
      <c r="J1549">
        <f t="shared" si="76"/>
        <v>0</v>
      </c>
    </row>
    <row r="1550" spans="7:10" x14ac:dyDescent="0.3">
      <c r="G1550">
        <f>IFERROR(VLOOKUP(A1550,'Clientes CBOT'!B:E,4,0),B1550)</f>
        <v>0</v>
      </c>
      <c r="H1550" t="str">
        <f t="shared" si="77"/>
        <v>Dólar</v>
      </c>
      <c r="I1550" s="6">
        <f t="shared" si="78"/>
        <v>0</v>
      </c>
      <c r="J1550">
        <f t="shared" si="76"/>
        <v>0</v>
      </c>
    </row>
    <row r="1551" spans="7:10" x14ac:dyDescent="0.3">
      <c r="G1551">
        <f>IFERROR(VLOOKUP(A1551,'Clientes CBOT'!B:E,4,0),B1551)</f>
        <v>0</v>
      </c>
      <c r="H1551" t="str">
        <f t="shared" si="77"/>
        <v>Dólar</v>
      </c>
      <c r="I1551" s="6">
        <f t="shared" si="78"/>
        <v>0</v>
      </c>
      <c r="J1551">
        <f t="shared" si="76"/>
        <v>0</v>
      </c>
    </row>
    <row r="1552" spans="7:10" x14ac:dyDescent="0.3">
      <c r="G1552">
        <f>IFERROR(VLOOKUP(A1552,'Clientes CBOT'!B:E,4,0),B1552)</f>
        <v>0</v>
      </c>
      <c r="H1552" t="str">
        <f t="shared" si="77"/>
        <v>Dólar</v>
      </c>
      <c r="I1552" s="6">
        <f t="shared" si="78"/>
        <v>0</v>
      </c>
      <c r="J1552">
        <f t="shared" si="76"/>
        <v>0</v>
      </c>
    </row>
    <row r="1553" spans="7:10" x14ac:dyDescent="0.3">
      <c r="G1553">
        <f>IFERROR(VLOOKUP(A1553,'Clientes CBOT'!B:E,4,0),B1553)</f>
        <v>0</v>
      </c>
      <c r="H1553" t="str">
        <f t="shared" si="77"/>
        <v>Dólar</v>
      </c>
      <c r="I1553" s="6">
        <f t="shared" si="78"/>
        <v>0</v>
      </c>
      <c r="J1553">
        <f t="shared" si="76"/>
        <v>0</v>
      </c>
    </row>
    <row r="1554" spans="7:10" x14ac:dyDescent="0.3">
      <c r="G1554">
        <f>IFERROR(VLOOKUP(A1554,'Clientes CBOT'!B:E,4,0),B1554)</f>
        <v>0</v>
      </c>
      <c r="H1554" t="str">
        <f t="shared" si="77"/>
        <v>Dólar</v>
      </c>
      <c r="I1554" s="6">
        <f t="shared" si="78"/>
        <v>0</v>
      </c>
      <c r="J1554">
        <f t="shared" si="76"/>
        <v>0</v>
      </c>
    </row>
    <row r="1555" spans="7:10" x14ac:dyDescent="0.3">
      <c r="G1555">
        <f>IFERROR(VLOOKUP(A1555,'Clientes CBOT'!B:E,4,0),B1555)</f>
        <v>0</v>
      </c>
      <c r="H1555" t="str">
        <f t="shared" si="77"/>
        <v>Dólar</v>
      </c>
      <c r="I1555" s="6">
        <f t="shared" si="78"/>
        <v>0</v>
      </c>
      <c r="J1555">
        <f t="shared" si="76"/>
        <v>0</v>
      </c>
    </row>
    <row r="1556" spans="7:10" x14ac:dyDescent="0.3">
      <c r="G1556">
        <f>IFERROR(VLOOKUP(A1556,'Clientes CBOT'!B:E,4,0),B1556)</f>
        <v>0</v>
      </c>
      <c r="H1556" t="str">
        <f t="shared" si="77"/>
        <v>Dólar</v>
      </c>
      <c r="I1556" s="6">
        <f t="shared" si="78"/>
        <v>0</v>
      </c>
      <c r="J1556">
        <f t="shared" ref="J1556:J1619" si="79">IF(H1556="ars",D1556/$J$1,IF(H1556="hard",D1556*$J$2/$J$1,D1556))</f>
        <v>0</v>
      </c>
    </row>
    <row r="1557" spans="7:10" x14ac:dyDescent="0.3">
      <c r="G1557">
        <f>IFERROR(VLOOKUP(A1557,'Clientes CBOT'!B:E,4,0),B1557)</f>
        <v>0</v>
      </c>
      <c r="H1557" t="str">
        <f t="shared" si="77"/>
        <v>Dólar</v>
      </c>
      <c r="I1557" s="6">
        <f t="shared" si="78"/>
        <v>0</v>
      </c>
      <c r="J1557">
        <f t="shared" si="79"/>
        <v>0</v>
      </c>
    </row>
    <row r="1558" spans="7:10" x14ac:dyDescent="0.3">
      <c r="G1558">
        <f>IFERROR(VLOOKUP(A1558,'Clientes CBOT'!B:E,4,0),B1558)</f>
        <v>0</v>
      </c>
      <c r="H1558" t="str">
        <f t="shared" si="77"/>
        <v>Dólar</v>
      </c>
      <c r="I1558" s="6">
        <f t="shared" si="78"/>
        <v>0</v>
      </c>
      <c r="J1558">
        <f t="shared" si="79"/>
        <v>0</v>
      </c>
    </row>
    <row r="1559" spans="7:10" x14ac:dyDescent="0.3">
      <c r="G1559">
        <f>IFERROR(VLOOKUP(A1559,'Clientes CBOT'!B:E,4,0),B1559)</f>
        <v>0</v>
      </c>
      <c r="H1559" t="str">
        <f t="shared" si="77"/>
        <v>Dólar</v>
      </c>
      <c r="I1559" s="6">
        <f t="shared" si="78"/>
        <v>0</v>
      </c>
      <c r="J1559">
        <f t="shared" si="79"/>
        <v>0</v>
      </c>
    </row>
    <row r="1560" spans="7:10" x14ac:dyDescent="0.3">
      <c r="G1560">
        <f>IFERROR(VLOOKUP(A1560,'Clientes CBOT'!B:E,4,0),B1560)</f>
        <v>0</v>
      </c>
      <c r="H1560" t="str">
        <f t="shared" si="77"/>
        <v>Dólar</v>
      </c>
      <c r="I1560" s="6">
        <f t="shared" si="78"/>
        <v>0</v>
      </c>
      <c r="J1560">
        <f t="shared" si="79"/>
        <v>0</v>
      </c>
    </row>
    <row r="1561" spans="7:10" x14ac:dyDescent="0.3">
      <c r="G1561">
        <f>IFERROR(VLOOKUP(A1561,'Clientes CBOT'!B:E,4,0),B1561)</f>
        <v>0</v>
      </c>
      <c r="H1561" t="str">
        <f t="shared" si="77"/>
        <v>Dólar</v>
      </c>
      <c r="I1561" s="6">
        <f t="shared" si="78"/>
        <v>0</v>
      </c>
      <c r="J1561">
        <f t="shared" si="79"/>
        <v>0</v>
      </c>
    </row>
    <row r="1562" spans="7:10" x14ac:dyDescent="0.3">
      <c r="G1562">
        <f>IFERROR(VLOOKUP(A1562,'Clientes CBOT'!B:E,4,0),B1562)</f>
        <v>0</v>
      </c>
      <c r="H1562" t="str">
        <f t="shared" si="77"/>
        <v>Dólar</v>
      </c>
      <c r="I1562" s="6">
        <f t="shared" si="78"/>
        <v>0</v>
      </c>
      <c r="J1562">
        <f t="shared" si="79"/>
        <v>0</v>
      </c>
    </row>
    <row r="1563" spans="7:10" x14ac:dyDescent="0.3">
      <c r="G1563">
        <f>IFERROR(VLOOKUP(A1563,'Clientes CBOT'!B:E,4,0),B1563)</f>
        <v>0</v>
      </c>
      <c r="H1563" t="str">
        <f t="shared" si="77"/>
        <v>Dólar</v>
      </c>
      <c r="I1563" s="6">
        <f t="shared" si="78"/>
        <v>0</v>
      </c>
      <c r="J1563">
        <f t="shared" si="79"/>
        <v>0</v>
      </c>
    </row>
    <row r="1564" spans="7:10" x14ac:dyDescent="0.3">
      <c r="G1564">
        <f>IFERROR(VLOOKUP(A1564,'Clientes CBOT'!B:E,4,0),B1564)</f>
        <v>0</v>
      </c>
      <c r="H1564" t="str">
        <f t="shared" si="77"/>
        <v>Dólar</v>
      </c>
      <c r="I1564" s="6">
        <f t="shared" si="78"/>
        <v>0</v>
      </c>
      <c r="J1564">
        <f t="shared" si="79"/>
        <v>0</v>
      </c>
    </row>
    <row r="1565" spans="7:10" x14ac:dyDescent="0.3">
      <c r="G1565">
        <f>IFERROR(VLOOKUP(A1565,'Clientes CBOT'!B:E,4,0),B1565)</f>
        <v>0</v>
      </c>
      <c r="H1565" t="str">
        <f t="shared" si="77"/>
        <v>Dólar</v>
      </c>
      <c r="I1565" s="6">
        <f t="shared" si="78"/>
        <v>0</v>
      </c>
      <c r="J1565">
        <f t="shared" si="79"/>
        <v>0</v>
      </c>
    </row>
    <row r="1566" spans="7:10" x14ac:dyDescent="0.3">
      <c r="G1566">
        <f>IFERROR(VLOOKUP(A1566,'Clientes CBOT'!B:E,4,0),B1566)</f>
        <v>0</v>
      </c>
      <c r="H1566" t="str">
        <f t="shared" si="77"/>
        <v>Dólar</v>
      </c>
      <c r="I1566" s="6">
        <f t="shared" si="78"/>
        <v>0</v>
      </c>
      <c r="J1566">
        <f t="shared" si="79"/>
        <v>0</v>
      </c>
    </row>
    <row r="1567" spans="7:10" x14ac:dyDescent="0.3">
      <c r="G1567">
        <f>IFERROR(VLOOKUP(A1567,'Clientes CBOT'!B:E,4,0),B1567)</f>
        <v>0</v>
      </c>
      <c r="H1567" t="str">
        <f t="shared" si="77"/>
        <v>Dólar</v>
      </c>
      <c r="I1567" s="6">
        <f t="shared" si="78"/>
        <v>0</v>
      </c>
      <c r="J1567">
        <f t="shared" si="79"/>
        <v>0</v>
      </c>
    </row>
    <row r="1568" spans="7:10" x14ac:dyDescent="0.3">
      <c r="G1568">
        <f>IFERROR(VLOOKUP(A1568,'Clientes CBOT'!B:E,4,0),B1568)</f>
        <v>0</v>
      </c>
      <c r="H1568" t="str">
        <f t="shared" si="77"/>
        <v>Dólar</v>
      </c>
      <c r="I1568" s="6">
        <f t="shared" si="78"/>
        <v>0</v>
      </c>
      <c r="J1568">
        <f t="shared" si="79"/>
        <v>0</v>
      </c>
    </row>
    <row r="1569" spans="7:10" x14ac:dyDescent="0.3">
      <c r="G1569">
        <f>IFERROR(VLOOKUP(A1569,'Clientes CBOT'!B:E,4,0),B1569)</f>
        <v>0</v>
      </c>
      <c r="H1569" t="str">
        <f t="shared" si="77"/>
        <v>Dólar</v>
      </c>
      <c r="I1569" s="6">
        <f t="shared" si="78"/>
        <v>0</v>
      </c>
      <c r="J1569">
        <f t="shared" si="79"/>
        <v>0</v>
      </c>
    </row>
    <row r="1570" spans="7:10" x14ac:dyDescent="0.3">
      <c r="G1570">
        <f>IFERROR(VLOOKUP(A1570,'Clientes CBOT'!B:E,4,0),B1570)</f>
        <v>0</v>
      </c>
      <c r="H1570" t="str">
        <f t="shared" si="77"/>
        <v>Dólar</v>
      </c>
      <c r="I1570" s="6">
        <f t="shared" si="78"/>
        <v>0</v>
      </c>
      <c r="J1570">
        <f t="shared" si="79"/>
        <v>0</v>
      </c>
    </row>
    <row r="1571" spans="7:10" x14ac:dyDescent="0.3">
      <c r="G1571">
        <f>IFERROR(VLOOKUP(A1571,'Clientes CBOT'!B:E,4,0),B1571)</f>
        <v>0</v>
      </c>
      <c r="H1571" t="str">
        <f t="shared" si="77"/>
        <v>Dólar</v>
      </c>
      <c r="I1571" s="6">
        <f t="shared" si="78"/>
        <v>0</v>
      </c>
      <c r="J1571">
        <f t="shared" si="79"/>
        <v>0</v>
      </c>
    </row>
    <row r="1572" spans="7:10" x14ac:dyDescent="0.3">
      <c r="G1572">
        <f>IFERROR(VLOOKUP(A1572,'Clientes CBOT'!B:E,4,0),B1572)</f>
        <v>0</v>
      </c>
      <c r="H1572" t="str">
        <f t="shared" si="77"/>
        <v>Dólar</v>
      </c>
      <c r="I1572" s="6">
        <f t="shared" si="78"/>
        <v>0</v>
      </c>
      <c r="J1572">
        <f t="shared" si="79"/>
        <v>0</v>
      </c>
    </row>
    <row r="1573" spans="7:10" x14ac:dyDescent="0.3">
      <c r="G1573">
        <f>IFERROR(VLOOKUP(A1573,'Clientes CBOT'!B:E,4,0),B1573)</f>
        <v>0</v>
      </c>
      <c r="H1573" t="str">
        <f t="shared" si="77"/>
        <v>Dólar</v>
      </c>
      <c r="I1573" s="6">
        <f t="shared" si="78"/>
        <v>0</v>
      </c>
      <c r="J1573">
        <f t="shared" si="79"/>
        <v>0</v>
      </c>
    </row>
    <row r="1574" spans="7:10" x14ac:dyDescent="0.3">
      <c r="G1574">
        <f>IFERROR(VLOOKUP(A1574,'Clientes CBOT'!B:E,4,0),B1574)</f>
        <v>0</v>
      </c>
      <c r="H1574" t="str">
        <f t="shared" si="77"/>
        <v>Dólar</v>
      </c>
      <c r="I1574" s="6">
        <f t="shared" si="78"/>
        <v>0</v>
      </c>
      <c r="J1574">
        <f t="shared" si="79"/>
        <v>0</v>
      </c>
    </row>
    <row r="1575" spans="7:10" x14ac:dyDescent="0.3">
      <c r="G1575">
        <f>IFERROR(VLOOKUP(A1575,'Clientes CBOT'!B:E,4,0),B1575)</f>
        <v>0</v>
      </c>
      <c r="H1575" t="str">
        <f t="shared" si="77"/>
        <v>Dólar</v>
      </c>
      <c r="I1575" s="6">
        <f t="shared" si="78"/>
        <v>0</v>
      </c>
      <c r="J1575">
        <f t="shared" si="79"/>
        <v>0</v>
      </c>
    </row>
    <row r="1576" spans="7:10" x14ac:dyDescent="0.3">
      <c r="G1576">
        <f>IFERROR(VLOOKUP(A1576,'Clientes CBOT'!B:E,4,0),B1576)</f>
        <v>0</v>
      </c>
      <c r="H1576" t="str">
        <f t="shared" si="77"/>
        <v>Dólar</v>
      </c>
      <c r="I1576" s="6">
        <f t="shared" si="78"/>
        <v>0</v>
      </c>
      <c r="J1576">
        <f t="shared" si="79"/>
        <v>0</v>
      </c>
    </row>
    <row r="1577" spans="7:10" x14ac:dyDescent="0.3">
      <c r="G1577">
        <f>IFERROR(VLOOKUP(A1577,'Clientes CBOT'!B:E,4,0),B1577)</f>
        <v>0</v>
      </c>
      <c r="H1577" t="str">
        <f t="shared" si="77"/>
        <v>Dólar</v>
      </c>
      <c r="I1577" s="6">
        <f t="shared" si="78"/>
        <v>0</v>
      </c>
      <c r="J1577">
        <f t="shared" si="79"/>
        <v>0</v>
      </c>
    </row>
    <row r="1578" spans="7:10" x14ac:dyDescent="0.3">
      <c r="G1578">
        <f>IFERROR(VLOOKUP(A1578,'Clientes CBOT'!B:E,4,0),B1578)</f>
        <v>0</v>
      </c>
      <c r="H1578" t="str">
        <f t="shared" si="77"/>
        <v>Dólar</v>
      </c>
      <c r="I1578" s="6">
        <f t="shared" si="78"/>
        <v>0</v>
      </c>
      <c r="J1578">
        <f t="shared" si="79"/>
        <v>0</v>
      </c>
    </row>
    <row r="1579" spans="7:10" x14ac:dyDescent="0.3">
      <c r="G1579">
        <f>IFERROR(VLOOKUP(A1579,'Clientes CBOT'!B:E,4,0),B1579)</f>
        <v>0</v>
      </c>
      <c r="H1579" t="str">
        <f t="shared" si="77"/>
        <v>Dólar</v>
      </c>
      <c r="I1579" s="6">
        <f t="shared" si="78"/>
        <v>0</v>
      </c>
      <c r="J1579">
        <f t="shared" si="79"/>
        <v>0</v>
      </c>
    </row>
    <row r="1580" spans="7:10" x14ac:dyDescent="0.3">
      <c r="G1580">
        <f>IFERROR(VLOOKUP(A1580,'Clientes CBOT'!B:E,4,0),B1580)</f>
        <v>0</v>
      </c>
      <c r="H1580" t="str">
        <f t="shared" si="77"/>
        <v>Dólar</v>
      </c>
      <c r="I1580" s="6">
        <f t="shared" si="78"/>
        <v>0</v>
      </c>
      <c r="J1580">
        <f t="shared" si="79"/>
        <v>0</v>
      </c>
    </row>
    <row r="1581" spans="7:10" x14ac:dyDescent="0.3">
      <c r="G1581">
        <f>IFERROR(VLOOKUP(A1581,'Clientes CBOT'!B:E,4,0),B1581)</f>
        <v>0</v>
      </c>
      <c r="H1581" t="str">
        <f t="shared" si="77"/>
        <v>Dólar</v>
      </c>
      <c r="I1581" s="6">
        <f t="shared" si="78"/>
        <v>0</v>
      </c>
      <c r="J1581">
        <f t="shared" si="79"/>
        <v>0</v>
      </c>
    </row>
    <row r="1582" spans="7:10" x14ac:dyDescent="0.3">
      <c r="G1582">
        <f>IFERROR(VLOOKUP(A1582,'Clientes CBOT'!B:E,4,0),B1582)</f>
        <v>0</v>
      </c>
      <c r="H1582" t="str">
        <f t="shared" si="77"/>
        <v>Dólar</v>
      </c>
      <c r="I1582" s="6">
        <f t="shared" si="78"/>
        <v>0</v>
      </c>
      <c r="J1582">
        <f t="shared" si="79"/>
        <v>0</v>
      </c>
    </row>
    <row r="1583" spans="7:10" x14ac:dyDescent="0.3">
      <c r="G1583">
        <f>IFERROR(VLOOKUP(A1583,'Clientes CBOT'!B:E,4,0),B1583)</f>
        <v>0</v>
      </c>
      <c r="H1583" t="str">
        <f t="shared" si="77"/>
        <v>Dólar</v>
      </c>
      <c r="I1583" s="6">
        <f t="shared" si="78"/>
        <v>0</v>
      </c>
      <c r="J1583">
        <f t="shared" si="79"/>
        <v>0</v>
      </c>
    </row>
    <row r="1584" spans="7:10" x14ac:dyDescent="0.3">
      <c r="G1584">
        <f>IFERROR(VLOOKUP(A1584,'Clientes CBOT'!B:E,4,0),B1584)</f>
        <v>0</v>
      </c>
      <c r="H1584" t="str">
        <f t="shared" si="77"/>
        <v>Dólar</v>
      </c>
      <c r="I1584" s="6">
        <f t="shared" si="78"/>
        <v>0</v>
      </c>
      <c r="J1584">
        <f t="shared" si="79"/>
        <v>0</v>
      </c>
    </row>
    <row r="1585" spans="7:10" x14ac:dyDescent="0.3">
      <c r="G1585">
        <f>IFERROR(VLOOKUP(A1585,'Clientes CBOT'!B:E,4,0),B1585)</f>
        <v>0</v>
      </c>
      <c r="H1585" t="str">
        <f t="shared" si="77"/>
        <v>Dólar</v>
      </c>
      <c r="I1585" s="6">
        <f t="shared" si="78"/>
        <v>0</v>
      </c>
      <c r="J1585">
        <f t="shared" si="79"/>
        <v>0</v>
      </c>
    </row>
    <row r="1586" spans="7:10" x14ac:dyDescent="0.3">
      <c r="G1586">
        <f>IFERROR(VLOOKUP(A1586,'Clientes CBOT'!B:E,4,0),B1586)</f>
        <v>0</v>
      </c>
      <c r="H1586" t="str">
        <f t="shared" si="77"/>
        <v>Dólar</v>
      </c>
      <c r="I1586" s="6">
        <f t="shared" si="78"/>
        <v>0</v>
      </c>
      <c r="J1586">
        <f t="shared" si="79"/>
        <v>0</v>
      </c>
    </row>
    <row r="1587" spans="7:10" x14ac:dyDescent="0.3">
      <c r="G1587">
        <f>IFERROR(VLOOKUP(A1587,'Clientes CBOT'!B:E,4,0),B1587)</f>
        <v>0</v>
      </c>
      <c r="H1587" t="str">
        <f t="shared" si="77"/>
        <v>Dólar</v>
      </c>
      <c r="I1587" s="6">
        <f t="shared" si="78"/>
        <v>0</v>
      </c>
      <c r="J1587">
        <f t="shared" si="79"/>
        <v>0</v>
      </c>
    </row>
    <row r="1588" spans="7:10" x14ac:dyDescent="0.3">
      <c r="G1588">
        <f>IFERROR(VLOOKUP(A1588,'Clientes CBOT'!B:E,4,0),B1588)</f>
        <v>0</v>
      </c>
      <c r="H1588" t="str">
        <f t="shared" si="77"/>
        <v>Dólar</v>
      </c>
      <c r="I1588" s="6">
        <f t="shared" si="78"/>
        <v>0</v>
      </c>
      <c r="J1588">
        <f t="shared" si="79"/>
        <v>0</v>
      </c>
    </row>
    <row r="1589" spans="7:10" x14ac:dyDescent="0.3">
      <c r="G1589">
        <f>IFERROR(VLOOKUP(A1589,'Clientes CBOT'!B:E,4,0),B1589)</f>
        <v>0</v>
      </c>
      <c r="H1589" t="str">
        <f t="shared" si="77"/>
        <v>Dólar</v>
      </c>
      <c r="I1589" s="6">
        <f t="shared" si="78"/>
        <v>0</v>
      </c>
      <c r="J1589">
        <f t="shared" si="79"/>
        <v>0</v>
      </c>
    </row>
    <row r="1590" spans="7:10" x14ac:dyDescent="0.3">
      <c r="G1590">
        <f>IFERROR(VLOOKUP(A1590,'Clientes CBOT'!B:E,4,0),B1590)</f>
        <v>0</v>
      </c>
      <c r="H1590" t="str">
        <f t="shared" si="77"/>
        <v>Dólar</v>
      </c>
      <c r="I1590" s="6">
        <f t="shared" si="78"/>
        <v>0</v>
      </c>
      <c r="J1590">
        <f t="shared" si="79"/>
        <v>0</v>
      </c>
    </row>
    <row r="1591" spans="7:10" x14ac:dyDescent="0.3">
      <c r="G1591">
        <f>IFERROR(VLOOKUP(A1591,'Clientes CBOT'!B:E,4,0),B1591)</f>
        <v>0</v>
      </c>
      <c r="H1591" t="str">
        <f t="shared" si="77"/>
        <v>Dólar</v>
      </c>
      <c r="I1591" s="6">
        <f t="shared" si="78"/>
        <v>0</v>
      </c>
      <c r="J1591">
        <f t="shared" si="79"/>
        <v>0</v>
      </c>
    </row>
    <row r="1592" spans="7:10" x14ac:dyDescent="0.3">
      <c r="G1592">
        <f>IFERROR(VLOOKUP(A1592,'Clientes CBOT'!B:E,4,0),B1592)</f>
        <v>0</v>
      </c>
      <c r="H1592" t="str">
        <f t="shared" si="77"/>
        <v>Dólar</v>
      </c>
      <c r="I1592" s="6">
        <f t="shared" si="78"/>
        <v>0</v>
      </c>
      <c r="J1592">
        <f t="shared" si="79"/>
        <v>0</v>
      </c>
    </row>
    <row r="1593" spans="7:10" x14ac:dyDescent="0.3">
      <c r="G1593">
        <f>IFERROR(VLOOKUP(A1593,'Clientes CBOT'!B:E,4,0),B1593)</f>
        <v>0</v>
      </c>
      <c r="H1593" t="str">
        <f t="shared" si="77"/>
        <v>Dólar</v>
      </c>
      <c r="I1593" s="6">
        <f t="shared" si="78"/>
        <v>0</v>
      </c>
      <c r="J1593">
        <f t="shared" si="79"/>
        <v>0</v>
      </c>
    </row>
    <row r="1594" spans="7:10" x14ac:dyDescent="0.3">
      <c r="G1594">
        <f>IFERROR(VLOOKUP(A1594,'Clientes CBOT'!B:E,4,0),B1594)</f>
        <v>0</v>
      </c>
      <c r="H1594" t="str">
        <f t="shared" si="77"/>
        <v>Dólar</v>
      </c>
      <c r="I1594" s="6">
        <f t="shared" si="78"/>
        <v>0</v>
      </c>
      <c r="J1594">
        <f t="shared" si="79"/>
        <v>0</v>
      </c>
    </row>
    <row r="1595" spans="7:10" x14ac:dyDescent="0.3">
      <c r="G1595">
        <f>IFERROR(VLOOKUP(A1595,'Clientes CBOT'!B:E,4,0),B1595)</f>
        <v>0</v>
      </c>
      <c r="H1595" t="str">
        <f t="shared" si="77"/>
        <v>Dólar</v>
      </c>
      <c r="I1595" s="6">
        <f t="shared" si="78"/>
        <v>0</v>
      </c>
      <c r="J1595">
        <f t="shared" si="79"/>
        <v>0</v>
      </c>
    </row>
    <row r="1596" spans="7:10" x14ac:dyDescent="0.3">
      <c r="G1596">
        <f>IFERROR(VLOOKUP(A1596,'Clientes CBOT'!B:E,4,0),B1596)</f>
        <v>0</v>
      </c>
      <c r="H1596" t="str">
        <f t="shared" si="77"/>
        <v>Dólar</v>
      </c>
      <c r="I1596" s="6">
        <f t="shared" si="78"/>
        <v>0</v>
      </c>
      <c r="J1596">
        <f t="shared" si="79"/>
        <v>0</v>
      </c>
    </row>
    <row r="1597" spans="7:10" x14ac:dyDescent="0.3">
      <c r="G1597">
        <f>IFERROR(VLOOKUP(A1597,'Clientes CBOT'!B:E,4,0),B1597)</f>
        <v>0</v>
      </c>
      <c r="H1597" t="str">
        <f t="shared" si="77"/>
        <v>Dólar</v>
      </c>
      <c r="I1597" s="6">
        <f t="shared" si="78"/>
        <v>0</v>
      </c>
      <c r="J1597">
        <f t="shared" si="79"/>
        <v>0</v>
      </c>
    </row>
    <row r="1598" spans="7:10" x14ac:dyDescent="0.3">
      <c r="G1598">
        <f>IFERROR(VLOOKUP(A1598,'Clientes CBOT'!B:E,4,0),B1598)</f>
        <v>0</v>
      </c>
      <c r="H1598" t="str">
        <f t="shared" si="77"/>
        <v>Dólar</v>
      </c>
      <c r="I1598" s="6">
        <f t="shared" si="78"/>
        <v>0</v>
      </c>
      <c r="J1598">
        <f t="shared" si="79"/>
        <v>0</v>
      </c>
    </row>
    <row r="1599" spans="7:10" x14ac:dyDescent="0.3">
      <c r="G1599">
        <f>IFERROR(VLOOKUP(A1599,'Clientes CBOT'!B:E,4,0),B1599)</f>
        <v>0</v>
      </c>
      <c r="H1599" t="str">
        <f t="shared" si="77"/>
        <v>Dólar</v>
      </c>
      <c r="I1599" s="6">
        <f t="shared" si="78"/>
        <v>0</v>
      </c>
      <c r="J1599">
        <f t="shared" si="79"/>
        <v>0</v>
      </c>
    </row>
    <row r="1600" spans="7:10" x14ac:dyDescent="0.3">
      <c r="G1600">
        <f>IFERROR(VLOOKUP(A1600,'Clientes CBOT'!B:E,4,0),B1600)</f>
        <v>0</v>
      </c>
      <c r="H1600" t="str">
        <f t="shared" si="77"/>
        <v>Dólar</v>
      </c>
      <c r="I1600" s="6">
        <f t="shared" si="78"/>
        <v>0</v>
      </c>
      <c r="J1600">
        <f t="shared" si="79"/>
        <v>0</v>
      </c>
    </row>
    <row r="1601" spans="7:10" x14ac:dyDescent="0.3">
      <c r="G1601">
        <f>IFERROR(VLOOKUP(A1601,'Clientes CBOT'!B:E,4,0),B1601)</f>
        <v>0</v>
      </c>
      <c r="H1601" t="str">
        <f t="shared" si="77"/>
        <v>Dólar</v>
      </c>
      <c r="I1601" s="6">
        <f t="shared" si="78"/>
        <v>0</v>
      </c>
      <c r="J1601">
        <f t="shared" si="79"/>
        <v>0</v>
      </c>
    </row>
    <row r="1602" spans="7:10" x14ac:dyDescent="0.3">
      <c r="G1602">
        <f>IFERROR(VLOOKUP(A1602,'Clientes CBOT'!B:E,4,0),B1602)</f>
        <v>0</v>
      </c>
      <c r="H1602" t="str">
        <f t="shared" si="77"/>
        <v>Dólar</v>
      </c>
      <c r="I1602" s="6">
        <f t="shared" si="78"/>
        <v>0</v>
      </c>
      <c r="J1602">
        <f t="shared" si="79"/>
        <v>0</v>
      </c>
    </row>
    <row r="1603" spans="7:10" x14ac:dyDescent="0.3">
      <c r="G1603">
        <f>IFERROR(VLOOKUP(A1603,'Clientes CBOT'!B:E,4,0),B1603)</f>
        <v>0</v>
      </c>
      <c r="H1603" t="str">
        <f t="shared" si="77"/>
        <v>Dólar</v>
      </c>
      <c r="I1603" s="6">
        <f t="shared" si="78"/>
        <v>0</v>
      </c>
      <c r="J1603">
        <f t="shared" si="79"/>
        <v>0</v>
      </c>
    </row>
    <row r="1604" spans="7:10" x14ac:dyDescent="0.3">
      <c r="G1604">
        <f>IFERROR(VLOOKUP(A1604,'Clientes CBOT'!B:E,4,0),B1604)</f>
        <v>0</v>
      </c>
      <c r="H1604" t="str">
        <f t="shared" si="77"/>
        <v>Dólar</v>
      </c>
      <c r="I1604" s="6">
        <f t="shared" si="78"/>
        <v>0</v>
      </c>
      <c r="J1604">
        <f t="shared" si="79"/>
        <v>0</v>
      </c>
    </row>
    <row r="1605" spans="7:10" x14ac:dyDescent="0.3">
      <c r="G1605">
        <f>IFERROR(VLOOKUP(A1605,'Clientes CBOT'!B:E,4,0),B1605)</f>
        <v>0</v>
      </c>
      <c r="H1605" t="str">
        <f t="shared" ref="H1605:H1668" si="80">IF(E1605="pesos","Ars",IF(E1605="Dólar Matba Rofex","usd linked",IF(F1605=" U$S TT","Hard","Dólar")))</f>
        <v>Dólar</v>
      </c>
      <c r="I1605" s="6">
        <f t="shared" ref="I1605:I1668" si="81">IF(H1605="ars",C1605/$J$1,IF(H1605="Hard",C1605*$J$2/$J$1,C1605))</f>
        <v>0</v>
      </c>
      <c r="J1605">
        <f t="shared" si="79"/>
        <v>0</v>
      </c>
    </row>
    <row r="1606" spans="7:10" x14ac:dyDescent="0.3">
      <c r="G1606">
        <f>IFERROR(VLOOKUP(A1606,'Clientes CBOT'!B:E,4,0),B1606)</f>
        <v>0</v>
      </c>
      <c r="H1606" t="str">
        <f t="shared" si="80"/>
        <v>Dólar</v>
      </c>
      <c r="I1606" s="6">
        <f t="shared" si="81"/>
        <v>0</v>
      </c>
      <c r="J1606">
        <f t="shared" si="79"/>
        <v>0</v>
      </c>
    </row>
    <row r="1607" spans="7:10" x14ac:dyDescent="0.3">
      <c r="G1607">
        <f>IFERROR(VLOOKUP(A1607,'Clientes CBOT'!B:E,4,0),B1607)</f>
        <v>0</v>
      </c>
      <c r="H1607" t="str">
        <f t="shared" si="80"/>
        <v>Dólar</v>
      </c>
      <c r="I1607" s="6">
        <f t="shared" si="81"/>
        <v>0</v>
      </c>
      <c r="J1607">
        <f t="shared" si="79"/>
        <v>0</v>
      </c>
    </row>
    <row r="1608" spans="7:10" x14ac:dyDescent="0.3">
      <c r="G1608">
        <f>IFERROR(VLOOKUP(A1608,'Clientes CBOT'!B:E,4,0),B1608)</f>
        <v>0</v>
      </c>
      <c r="H1608" t="str">
        <f t="shared" si="80"/>
        <v>Dólar</v>
      </c>
      <c r="I1608" s="6">
        <f t="shared" si="81"/>
        <v>0</v>
      </c>
      <c r="J1608">
        <f t="shared" si="79"/>
        <v>0</v>
      </c>
    </row>
    <row r="1609" spans="7:10" x14ac:dyDescent="0.3">
      <c r="G1609">
        <f>IFERROR(VLOOKUP(A1609,'Clientes CBOT'!B:E,4,0),B1609)</f>
        <v>0</v>
      </c>
      <c r="H1609" t="str">
        <f t="shared" si="80"/>
        <v>Dólar</v>
      </c>
      <c r="I1609" s="6">
        <f t="shared" si="81"/>
        <v>0</v>
      </c>
      <c r="J1609">
        <f t="shared" si="79"/>
        <v>0</v>
      </c>
    </row>
    <row r="1610" spans="7:10" x14ac:dyDescent="0.3">
      <c r="G1610">
        <f>IFERROR(VLOOKUP(A1610,'Clientes CBOT'!B:E,4,0),B1610)</f>
        <v>0</v>
      </c>
      <c r="H1610" t="str">
        <f t="shared" si="80"/>
        <v>Dólar</v>
      </c>
      <c r="I1610" s="6">
        <f t="shared" si="81"/>
        <v>0</v>
      </c>
      <c r="J1610">
        <f t="shared" si="79"/>
        <v>0</v>
      </c>
    </row>
    <row r="1611" spans="7:10" x14ac:dyDescent="0.3">
      <c r="G1611">
        <f>IFERROR(VLOOKUP(A1611,'Clientes CBOT'!B:E,4,0),B1611)</f>
        <v>0</v>
      </c>
      <c r="H1611" t="str">
        <f t="shared" si="80"/>
        <v>Dólar</v>
      </c>
      <c r="I1611" s="6">
        <f t="shared" si="81"/>
        <v>0</v>
      </c>
      <c r="J1611">
        <f t="shared" si="79"/>
        <v>0</v>
      </c>
    </row>
    <row r="1612" spans="7:10" x14ac:dyDescent="0.3">
      <c r="G1612">
        <f>IFERROR(VLOOKUP(A1612,'Clientes CBOT'!B:E,4,0),B1612)</f>
        <v>0</v>
      </c>
      <c r="H1612" t="str">
        <f t="shared" si="80"/>
        <v>Dólar</v>
      </c>
      <c r="I1612" s="6">
        <f t="shared" si="81"/>
        <v>0</v>
      </c>
      <c r="J1612">
        <f t="shared" si="79"/>
        <v>0</v>
      </c>
    </row>
    <row r="1613" spans="7:10" x14ac:dyDescent="0.3">
      <c r="G1613">
        <f>IFERROR(VLOOKUP(A1613,'Clientes CBOT'!B:E,4,0),B1613)</f>
        <v>0</v>
      </c>
      <c r="H1613" t="str">
        <f t="shared" si="80"/>
        <v>Dólar</v>
      </c>
      <c r="I1613" s="6">
        <f t="shared" si="81"/>
        <v>0</v>
      </c>
      <c r="J1613">
        <f t="shared" si="79"/>
        <v>0</v>
      </c>
    </row>
    <row r="1614" spans="7:10" x14ac:dyDescent="0.3">
      <c r="G1614">
        <f>IFERROR(VLOOKUP(A1614,'Clientes CBOT'!B:E,4,0),B1614)</f>
        <v>0</v>
      </c>
      <c r="H1614" t="str">
        <f t="shared" si="80"/>
        <v>Dólar</v>
      </c>
      <c r="I1614" s="6">
        <f t="shared" si="81"/>
        <v>0</v>
      </c>
      <c r="J1614">
        <f t="shared" si="79"/>
        <v>0</v>
      </c>
    </row>
    <row r="1615" spans="7:10" x14ac:dyDescent="0.3">
      <c r="G1615">
        <f>IFERROR(VLOOKUP(A1615,'Clientes CBOT'!B:E,4,0),B1615)</f>
        <v>0</v>
      </c>
      <c r="H1615" t="str">
        <f t="shared" si="80"/>
        <v>Dólar</v>
      </c>
      <c r="I1615" s="6">
        <f t="shared" si="81"/>
        <v>0</v>
      </c>
      <c r="J1615">
        <f t="shared" si="79"/>
        <v>0</v>
      </c>
    </row>
    <row r="1616" spans="7:10" x14ac:dyDescent="0.3">
      <c r="G1616">
        <f>IFERROR(VLOOKUP(A1616,'Clientes CBOT'!B:E,4,0),B1616)</f>
        <v>0</v>
      </c>
      <c r="H1616" t="str">
        <f t="shared" si="80"/>
        <v>Dólar</v>
      </c>
      <c r="I1616" s="6">
        <f t="shared" si="81"/>
        <v>0</v>
      </c>
      <c r="J1616">
        <f t="shared" si="79"/>
        <v>0</v>
      </c>
    </row>
    <row r="1617" spans="7:10" x14ac:dyDescent="0.3">
      <c r="G1617">
        <f>IFERROR(VLOOKUP(A1617,'Clientes CBOT'!B:E,4,0),B1617)</f>
        <v>0</v>
      </c>
      <c r="H1617" t="str">
        <f t="shared" si="80"/>
        <v>Dólar</v>
      </c>
      <c r="I1617" s="6">
        <f t="shared" si="81"/>
        <v>0</v>
      </c>
      <c r="J1617">
        <f t="shared" si="79"/>
        <v>0</v>
      </c>
    </row>
    <row r="1618" spans="7:10" x14ac:dyDescent="0.3">
      <c r="G1618">
        <f>IFERROR(VLOOKUP(A1618,'Clientes CBOT'!B:E,4,0),B1618)</f>
        <v>0</v>
      </c>
      <c r="H1618" t="str">
        <f t="shared" si="80"/>
        <v>Dólar</v>
      </c>
      <c r="I1618" s="6">
        <f t="shared" si="81"/>
        <v>0</v>
      </c>
      <c r="J1618">
        <f t="shared" si="79"/>
        <v>0</v>
      </c>
    </row>
    <row r="1619" spans="7:10" x14ac:dyDescent="0.3">
      <c r="G1619">
        <f>IFERROR(VLOOKUP(A1619,'Clientes CBOT'!B:E,4,0),B1619)</f>
        <v>0</v>
      </c>
      <c r="H1619" t="str">
        <f t="shared" si="80"/>
        <v>Dólar</v>
      </c>
      <c r="I1619" s="6">
        <f t="shared" si="81"/>
        <v>0</v>
      </c>
      <c r="J1619">
        <f t="shared" si="79"/>
        <v>0</v>
      </c>
    </row>
    <row r="1620" spans="7:10" x14ac:dyDescent="0.3">
      <c r="G1620">
        <f>IFERROR(VLOOKUP(A1620,'Clientes CBOT'!B:E,4,0),B1620)</f>
        <v>0</v>
      </c>
      <c r="H1620" t="str">
        <f t="shared" si="80"/>
        <v>Dólar</v>
      </c>
      <c r="I1620" s="6">
        <f t="shared" si="81"/>
        <v>0</v>
      </c>
      <c r="J1620">
        <f t="shared" ref="J1620:J1683" si="82">IF(H1620="ars",D1620/$J$1,IF(H1620="hard",D1620*$J$2/$J$1,D1620))</f>
        <v>0</v>
      </c>
    </row>
    <row r="1621" spans="7:10" x14ac:dyDescent="0.3">
      <c r="G1621">
        <f>IFERROR(VLOOKUP(A1621,'Clientes CBOT'!B:E,4,0),B1621)</f>
        <v>0</v>
      </c>
      <c r="H1621" t="str">
        <f t="shared" si="80"/>
        <v>Dólar</v>
      </c>
      <c r="I1621" s="6">
        <f t="shared" si="81"/>
        <v>0</v>
      </c>
      <c r="J1621">
        <f t="shared" si="82"/>
        <v>0</v>
      </c>
    </row>
    <row r="1622" spans="7:10" x14ac:dyDescent="0.3">
      <c r="G1622">
        <f>IFERROR(VLOOKUP(A1622,'Clientes CBOT'!B:E,4,0),B1622)</f>
        <v>0</v>
      </c>
      <c r="H1622" t="str">
        <f t="shared" si="80"/>
        <v>Dólar</v>
      </c>
      <c r="I1622" s="6">
        <f t="shared" si="81"/>
        <v>0</v>
      </c>
      <c r="J1622">
        <f t="shared" si="82"/>
        <v>0</v>
      </c>
    </row>
    <row r="1623" spans="7:10" x14ac:dyDescent="0.3">
      <c r="G1623">
        <f>IFERROR(VLOOKUP(A1623,'Clientes CBOT'!B:E,4,0),B1623)</f>
        <v>0</v>
      </c>
      <c r="H1623" t="str">
        <f t="shared" si="80"/>
        <v>Dólar</v>
      </c>
      <c r="I1623" s="6">
        <f t="shared" si="81"/>
        <v>0</v>
      </c>
      <c r="J1623">
        <f t="shared" si="82"/>
        <v>0</v>
      </c>
    </row>
    <row r="1624" spans="7:10" x14ac:dyDescent="0.3">
      <c r="G1624">
        <f>IFERROR(VLOOKUP(A1624,'Clientes CBOT'!B:E,4,0),B1624)</f>
        <v>0</v>
      </c>
      <c r="H1624" t="str">
        <f t="shared" si="80"/>
        <v>Dólar</v>
      </c>
      <c r="I1624" s="6">
        <f t="shared" si="81"/>
        <v>0</v>
      </c>
      <c r="J1624">
        <f t="shared" si="82"/>
        <v>0</v>
      </c>
    </row>
    <row r="1625" spans="7:10" x14ac:dyDescent="0.3">
      <c r="G1625">
        <f>IFERROR(VLOOKUP(A1625,'Clientes CBOT'!B:E,4,0),B1625)</f>
        <v>0</v>
      </c>
      <c r="H1625" t="str">
        <f t="shared" si="80"/>
        <v>Dólar</v>
      </c>
      <c r="I1625" s="6">
        <f t="shared" si="81"/>
        <v>0</v>
      </c>
      <c r="J1625">
        <f t="shared" si="82"/>
        <v>0</v>
      </c>
    </row>
    <row r="1626" spans="7:10" x14ac:dyDescent="0.3">
      <c r="G1626">
        <f>IFERROR(VLOOKUP(A1626,'Clientes CBOT'!B:E,4,0),B1626)</f>
        <v>0</v>
      </c>
      <c r="H1626" t="str">
        <f t="shared" si="80"/>
        <v>Dólar</v>
      </c>
      <c r="I1626" s="6">
        <f t="shared" si="81"/>
        <v>0</v>
      </c>
      <c r="J1626">
        <f t="shared" si="82"/>
        <v>0</v>
      </c>
    </row>
    <row r="1627" spans="7:10" x14ac:dyDescent="0.3">
      <c r="G1627">
        <f>IFERROR(VLOOKUP(A1627,'Clientes CBOT'!B:E,4,0),B1627)</f>
        <v>0</v>
      </c>
      <c r="H1627" t="str">
        <f t="shared" si="80"/>
        <v>Dólar</v>
      </c>
      <c r="I1627" s="6">
        <f t="shared" si="81"/>
        <v>0</v>
      </c>
      <c r="J1627">
        <f t="shared" si="82"/>
        <v>0</v>
      </c>
    </row>
    <row r="1628" spans="7:10" x14ac:dyDescent="0.3">
      <c r="G1628">
        <f>IFERROR(VLOOKUP(A1628,'Clientes CBOT'!B:E,4,0),B1628)</f>
        <v>0</v>
      </c>
      <c r="H1628" t="str">
        <f t="shared" si="80"/>
        <v>Dólar</v>
      </c>
      <c r="I1628" s="6">
        <f t="shared" si="81"/>
        <v>0</v>
      </c>
      <c r="J1628">
        <f t="shared" si="82"/>
        <v>0</v>
      </c>
    </row>
    <row r="1629" spans="7:10" x14ac:dyDescent="0.3">
      <c r="G1629">
        <f>IFERROR(VLOOKUP(A1629,'Clientes CBOT'!B:E,4,0),B1629)</f>
        <v>0</v>
      </c>
      <c r="H1629" t="str">
        <f t="shared" si="80"/>
        <v>Dólar</v>
      </c>
      <c r="I1629" s="6">
        <f t="shared" si="81"/>
        <v>0</v>
      </c>
      <c r="J1629">
        <f t="shared" si="82"/>
        <v>0</v>
      </c>
    </row>
    <row r="1630" spans="7:10" x14ac:dyDescent="0.3">
      <c r="G1630">
        <f>IFERROR(VLOOKUP(A1630,'Clientes CBOT'!B:E,4,0),B1630)</f>
        <v>0</v>
      </c>
      <c r="H1630" t="str">
        <f t="shared" si="80"/>
        <v>Dólar</v>
      </c>
      <c r="I1630" s="6">
        <f t="shared" si="81"/>
        <v>0</v>
      </c>
      <c r="J1630">
        <f t="shared" si="82"/>
        <v>0</v>
      </c>
    </row>
    <row r="1631" spans="7:10" x14ac:dyDescent="0.3">
      <c r="G1631">
        <f>IFERROR(VLOOKUP(A1631,'Clientes CBOT'!B:E,4,0),B1631)</f>
        <v>0</v>
      </c>
      <c r="H1631" t="str">
        <f t="shared" si="80"/>
        <v>Dólar</v>
      </c>
      <c r="I1631" s="6">
        <f t="shared" si="81"/>
        <v>0</v>
      </c>
      <c r="J1631">
        <f t="shared" si="82"/>
        <v>0</v>
      </c>
    </row>
    <row r="1632" spans="7:10" x14ac:dyDescent="0.3">
      <c r="G1632">
        <f>IFERROR(VLOOKUP(A1632,'Clientes CBOT'!B:E,4,0),B1632)</f>
        <v>0</v>
      </c>
      <c r="H1632" t="str">
        <f t="shared" si="80"/>
        <v>Dólar</v>
      </c>
      <c r="I1632" s="6">
        <f t="shared" si="81"/>
        <v>0</v>
      </c>
      <c r="J1632">
        <f t="shared" si="82"/>
        <v>0</v>
      </c>
    </row>
    <row r="1633" spans="7:10" x14ac:dyDescent="0.3">
      <c r="G1633">
        <f>IFERROR(VLOOKUP(A1633,'Clientes CBOT'!B:E,4,0),B1633)</f>
        <v>0</v>
      </c>
      <c r="H1633" t="str">
        <f t="shared" si="80"/>
        <v>Dólar</v>
      </c>
      <c r="I1633" s="6">
        <f t="shared" si="81"/>
        <v>0</v>
      </c>
      <c r="J1633">
        <f t="shared" si="82"/>
        <v>0</v>
      </c>
    </row>
    <row r="1634" spans="7:10" x14ac:dyDescent="0.3">
      <c r="G1634">
        <f>IFERROR(VLOOKUP(A1634,'Clientes CBOT'!B:E,4,0),B1634)</f>
        <v>0</v>
      </c>
      <c r="H1634" t="str">
        <f t="shared" si="80"/>
        <v>Dólar</v>
      </c>
      <c r="I1634" s="6">
        <f t="shared" si="81"/>
        <v>0</v>
      </c>
      <c r="J1634">
        <f t="shared" si="82"/>
        <v>0</v>
      </c>
    </row>
    <row r="1635" spans="7:10" x14ac:dyDescent="0.3">
      <c r="G1635">
        <f>IFERROR(VLOOKUP(A1635,'Clientes CBOT'!B:E,4,0),B1635)</f>
        <v>0</v>
      </c>
      <c r="H1635" t="str">
        <f t="shared" si="80"/>
        <v>Dólar</v>
      </c>
      <c r="I1635" s="6">
        <f t="shared" si="81"/>
        <v>0</v>
      </c>
      <c r="J1635">
        <f t="shared" si="82"/>
        <v>0</v>
      </c>
    </row>
    <row r="1636" spans="7:10" x14ac:dyDescent="0.3">
      <c r="G1636">
        <f>IFERROR(VLOOKUP(A1636,'Clientes CBOT'!B:E,4,0),B1636)</f>
        <v>0</v>
      </c>
      <c r="H1636" t="str">
        <f t="shared" si="80"/>
        <v>Dólar</v>
      </c>
      <c r="I1636" s="6">
        <f t="shared" si="81"/>
        <v>0</v>
      </c>
      <c r="J1636">
        <f t="shared" si="82"/>
        <v>0</v>
      </c>
    </row>
    <row r="1637" spans="7:10" x14ac:dyDescent="0.3">
      <c r="G1637">
        <f>IFERROR(VLOOKUP(A1637,'Clientes CBOT'!B:E,4,0),B1637)</f>
        <v>0</v>
      </c>
      <c r="H1637" t="str">
        <f t="shared" si="80"/>
        <v>Dólar</v>
      </c>
      <c r="I1637" s="6">
        <f t="shared" si="81"/>
        <v>0</v>
      </c>
      <c r="J1637">
        <f t="shared" si="82"/>
        <v>0</v>
      </c>
    </row>
    <row r="1638" spans="7:10" x14ac:dyDescent="0.3">
      <c r="G1638">
        <f>IFERROR(VLOOKUP(A1638,'Clientes CBOT'!B:E,4,0),B1638)</f>
        <v>0</v>
      </c>
      <c r="H1638" t="str">
        <f t="shared" si="80"/>
        <v>Dólar</v>
      </c>
      <c r="I1638" s="6">
        <f t="shared" si="81"/>
        <v>0</v>
      </c>
      <c r="J1638">
        <f t="shared" si="82"/>
        <v>0</v>
      </c>
    </row>
    <row r="1639" spans="7:10" x14ac:dyDescent="0.3">
      <c r="G1639">
        <f>IFERROR(VLOOKUP(A1639,'Clientes CBOT'!B:E,4,0),B1639)</f>
        <v>0</v>
      </c>
      <c r="H1639" t="str">
        <f t="shared" si="80"/>
        <v>Dólar</v>
      </c>
      <c r="I1639" s="6">
        <f t="shared" si="81"/>
        <v>0</v>
      </c>
      <c r="J1639">
        <f t="shared" si="82"/>
        <v>0</v>
      </c>
    </row>
    <row r="1640" spans="7:10" x14ac:dyDescent="0.3">
      <c r="G1640">
        <f>IFERROR(VLOOKUP(A1640,'Clientes CBOT'!B:E,4,0),B1640)</f>
        <v>0</v>
      </c>
      <c r="H1640" t="str">
        <f t="shared" si="80"/>
        <v>Dólar</v>
      </c>
      <c r="I1640" s="6">
        <f t="shared" si="81"/>
        <v>0</v>
      </c>
      <c r="J1640">
        <f t="shared" si="82"/>
        <v>0</v>
      </c>
    </row>
    <row r="1641" spans="7:10" x14ac:dyDescent="0.3">
      <c r="G1641">
        <f>IFERROR(VLOOKUP(A1641,'Clientes CBOT'!B:E,4,0),B1641)</f>
        <v>0</v>
      </c>
      <c r="H1641" t="str">
        <f t="shared" si="80"/>
        <v>Dólar</v>
      </c>
      <c r="I1641" s="6">
        <f t="shared" si="81"/>
        <v>0</v>
      </c>
      <c r="J1641">
        <f t="shared" si="82"/>
        <v>0</v>
      </c>
    </row>
    <row r="1642" spans="7:10" x14ac:dyDescent="0.3">
      <c r="G1642">
        <f>IFERROR(VLOOKUP(A1642,'Clientes CBOT'!B:E,4,0),B1642)</f>
        <v>0</v>
      </c>
      <c r="H1642" t="str">
        <f t="shared" si="80"/>
        <v>Dólar</v>
      </c>
      <c r="I1642" s="6">
        <f t="shared" si="81"/>
        <v>0</v>
      </c>
      <c r="J1642">
        <f t="shared" si="82"/>
        <v>0</v>
      </c>
    </row>
    <row r="1643" spans="7:10" x14ac:dyDescent="0.3">
      <c r="G1643">
        <f>IFERROR(VLOOKUP(A1643,'Clientes CBOT'!B:E,4,0),B1643)</f>
        <v>0</v>
      </c>
      <c r="H1643" t="str">
        <f t="shared" si="80"/>
        <v>Dólar</v>
      </c>
      <c r="I1643" s="6">
        <f t="shared" si="81"/>
        <v>0</v>
      </c>
      <c r="J1643">
        <f t="shared" si="82"/>
        <v>0</v>
      </c>
    </row>
    <row r="1644" spans="7:10" x14ac:dyDescent="0.3">
      <c r="G1644">
        <f>IFERROR(VLOOKUP(A1644,'Clientes CBOT'!B:E,4,0),B1644)</f>
        <v>0</v>
      </c>
      <c r="H1644" t="str">
        <f t="shared" si="80"/>
        <v>Dólar</v>
      </c>
      <c r="I1644" s="6">
        <f t="shared" si="81"/>
        <v>0</v>
      </c>
      <c r="J1644">
        <f t="shared" si="82"/>
        <v>0</v>
      </c>
    </row>
    <row r="1645" spans="7:10" x14ac:dyDescent="0.3">
      <c r="G1645">
        <f>IFERROR(VLOOKUP(A1645,'Clientes CBOT'!B:E,4,0),B1645)</f>
        <v>0</v>
      </c>
      <c r="H1645" t="str">
        <f t="shared" si="80"/>
        <v>Dólar</v>
      </c>
      <c r="I1645" s="6">
        <f t="shared" si="81"/>
        <v>0</v>
      </c>
      <c r="J1645">
        <f t="shared" si="82"/>
        <v>0</v>
      </c>
    </row>
    <row r="1646" spans="7:10" x14ac:dyDescent="0.3">
      <c r="G1646">
        <f>IFERROR(VLOOKUP(A1646,'Clientes CBOT'!B:E,4,0),B1646)</f>
        <v>0</v>
      </c>
      <c r="H1646" t="str">
        <f t="shared" si="80"/>
        <v>Dólar</v>
      </c>
      <c r="I1646" s="6">
        <f t="shared" si="81"/>
        <v>0</v>
      </c>
      <c r="J1646">
        <f t="shared" si="82"/>
        <v>0</v>
      </c>
    </row>
    <row r="1647" spans="7:10" x14ac:dyDescent="0.3">
      <c r="G1647">
        <f>IFERROR(VLOOKUP(A1647,'Clientes CBOT'!B:E,4,0),B1647)</f>
        <v>0</v>
      </c>
      <c r="H1647" t="str">
        <f t="shared" si="80"/>
        <v>Dólar</v>
      </c>
      <c r="I1647" s="6">
        <f t="shared" si="81"/>
        <v>0</v>
      </c>
      <c r="J1647">
        <f t="shared" si="82"/>
        <v>0</v>
      </c>
    </row>
    <row r="1648" spans="7:10" x14ac:dyDescent="0.3">
      <c r="G1648">
        <f>IFERROR(VLOOKUP(A1648,'Clientes CBOT'!B:E,4,0),B1648)</f>
        <v>0</v>
      </c>
      <c r="H1648" t="str">
        <f t="shared" si="80"/>
        <v>Dólar</v>
      </c>
      <c r="I1648" s="6">
        <f t="shared" si="81"/>
        <v>0</v>
      </c>
      <c r="J1648">
        <f t="shared" si="82"/>
        <v>0</v>
      </c>
    </row>
    <row r="1649" spans="7:10" x14ac:dyDescent="0.3">
      <c r="G1649">
        <f>IFERROR(VLOOKUP(A1649,'Clientes CBOT'!B:E,4,0),B1649)</f>
        <v>0</v>
      </c>
      <c r="H1649" t="str">
        <f t="shared" si="80"/>
        <v>Dólar</v>
      </c>
      <c r="I1649" s="6">
        <f t="shared" si="81"/>
        <v>0</v>
      </c>
      <c r="J1649">
        <f t="shared" si="82"/>
        <v>0</v>
      </c>
    </row>
    <row r="1650" spans="7:10" x14ac:dyDescent="0.3">
      <c r="G1650">
        <f>IFERROR(VLOOKUP(A1650,'Clientes CBOT'!B:E,4,0),B1650)</f>
        <v>0</v>
      </c>
      <c r="H1650" t="str">
        <f t="shared" si="80"/>
        <v>Dólar</v>
      </c>
      <c r="I1650" s="6">
        <f t="shared" si="81"/>
        <v>0</v>
      </c>
      <c r="J1650">
        <f t="shared" si="82"/>
        <v>0</v>
      </c>
    </row>
    <row r="1651" spans="7:10" x14ac:dyDescent="0.3">
      <c r="G1651">
        <f>IFERROR(VLOOKUP(A1651,'Clientes CBOT'!B:E,4,0),B1651)</f>
        <v>0</v>
      </c>
      <c r="H1651" t="str">
        <f t="shared" si="80"/>
        <v>Dólar</v>
      </c>
      <c r="I1651" s="6">
        <f t="shared" si="81"/>
        <v>0</v>
      </c>
      <c r="J1651">
        <f t="shared" si="82"/>
        <v>0</v>
      </c>
    </row>
    <row r="1652" spans="7:10" x14ac:dyDescent="0.3">
      <c r="G1652">
        <f>IFERROR(VLOOKUP(A1652,'Clientes CBOT'!B:E,4,0),B1652)</f>
        <v>0</v>
      </c>
      <c r="H1652" t="str">
        <f t="shared" si="80"/>
        <v>Dólar</v>
      </c>
      <c r="I1652" s="6">
        <f t="shared" si="81"/>
        <v>0</v>
      </c>
      <c r="J1652">
        <f t="shared" si="82"/>
        <v>0</v>
      </c>
    </row>
    <row r="1653" spans="7:10" x14ac:dyDescent="0.3">
      <c r="G1653">
        <f>IFERROR(VLOOKUP(A1653,'Clientes CBOT'!B:E,4,0),B1653)</f>
        <v>0</v>
      </c>
      <c r="H1653" t="str">
        <f t="shared" si="80"/>
        <v>Dólar</v>
      </c>
      <c r="I1653" s="6">
        <f t="shared" si="81"/>
        <v>0</v>
      </c>
      <c r="J1653">
        <f t="shared" si="82"/>
        <v>0</v>
      </c>
    </row>
    <row r="1654" spans="7:10" x14ac:dyDescent="0.3">
      <c r="G1654">
        <f>IFERROR(VLOOKUP(A1654,'Clientes CBOT'!B:E,4,0),B1654)</f>
        <v>0</v>
      </c>
      <c r="H1654" t="str">
        <f t="shared" si="80"/>
        <v>Dólar</v>
      </c>
      <c r="I1654" s="6">
        <f t="shared" si="81"/>
        <v>0</v>
      </c>
      <c r="J1654">
        <f t="shared" si="82"/>
        <v>0</v>
      </c>
    </row>
    <row r="1655" spans="7:10" x14ac:dyDescent="0.3">
      <c r="G1655">
        <f>IFERROR(VLOOKUP(A1655,'Clientes CBOT'!B:E,4,0),B1655)</f>
        <v>0</v>
      </c>
      <c r="H1655" t="str">
        <f t="shared" si="80"/>
        <v>Dólar</v>
      </c>
      <c r="I1655" s="6">
        <f t="shared" si="81"/>
        <v>0</v>
      </c>
      <c r="J1655">
        <f t="shared" si="82"/>
        <v>0</v>
      </c>
    </row>
    <row r="1656" spans="7:10" x14ac:dyDescent="0.3">
      <c r="G1656">
        <f>IFERROR(VLOOKUP(A1656,'Clientes CBOT'!B:E,4,0),B1656)</f>
        <v>0</v>
      </c>
      <c r="H1656" t="str">
        <f t="shared" si="80"/>
        <v>Dólar</v>
      </c>
      <c r="I1656" s="6">
        <f t="shared" si="81"/>
        <v>0</v>
      </c>
      <c r="J1656">
        <f t="shared" si="82"/>
        <v>0</v>
      </c>
    </row>
    <row r="1657" spans="7:10" x14ac:dyDescent="0.3">
      <c r="G1657">
        <f>IFERROR(VLOOKUP(A1657,'Clientes CBOT'!B:E,4,0),B1657)</f>
        <v>0</v>
      </c>
      <c r="H1657" t="str">
        <f t="shared" si="80"/>
        <v>Dólar</v>
      </c>
      <c r="I1657" s="6">
        <f t="shared" si="81"/>
        <v>0</v>
      </c>
      <c r="J1657">
        <f t="shared" si="82"/>
        <v>0</v>
      </c>
    </row>
    <row r="1658" spans="7:10" x14ac:dyDescent="0.3">
      <c r="G1658">
        <f>IFERROR(VLOOKUP(A1658,'Clientes CBOT'!B:E,4,0),B1658)</f>
        <v>0</v>
      </c>
      <c r="H1658" t="str">
        <f t="shared" si="80"/>
        <v>Dólar</v>
      </c>
      <c r="I1658" s="6">
        <f t="shared" si="81"/>
        <v>0</v>
      </c>
      <c r="J1658">
        <f t="shared" si="82"/>
        <v>0</v>
      </c>
    </row>
    <row r="1659" spans="7:10" x14ac:dyDescent="0.3">
      <c r="G1659">
        <f>IFERROR(VLOOKUP(A1659,'Clientes CBOT'!B:E,4,0),B1659)</f>
        <v>0</v>
      </c>
      <c r="H1659" t="str">
        <f t="shared" si="80"/>
        <v>Dólar</v>
      </c>
      <c r="I1659" s="6">
        <f t="shared" si="81"/>
        <v>0</v>
      </c>
      <c r="J1659">
        <f t="shared" si="82"/>
        <v>0</v>
      </c>
    </row>
    <row r="1660" spans="7:10" x14ac:dyDescent="0.3">
      <c r="G1660">
        <f>IFERROR(VLOOKUP(A1660,'Clientes CBOT'!B:E,4,0),B1660)</f>
        <v>0</v>
      </c>
      <c r="H1660" t="str">
        <f t="shared" si="80"/>
        <v>Dólar</v>
      </c>
      <c r="I1660" s="6">
        <f t="shared" si="81"/>
        <v>0</v>
      </c>
      <c r="J1660">
        <f t="shared" si="82"/>
        <v>0</v>
      </c>
    </row>
    <row r="1661" spans="7:10" x14ac:dyDescent="0.3">
      <c r="G1661">
        <f>IFERROR(VLOOKUP(A1661,'Clientes CBOT'!B:E,4,0),B1661)</f>
        <v>0</v>
      </c>
      <c r="H1661" t="str">
        <f t="shared" si="80"/>
        <v>Dólar</v>
      </c>
      <c r="I1661" s="6">
        <f t="shared" si="81"/>
        <v>0</v>
      </c>
      <c r="J1661">
        <f t="shared" si="82"/>
        <v>0</v>
      </c>
    </row>
    <row r="1662" spans="7:10" x14ac:dyDescent="0.3">
      <c r="G1662">
        <f>IFERROR(VLOOKUP(A1662,'Clientes CBOT'!B:E,4,0),B1662)</f>
        <v>0</v>
      </c>
      <c r="H1662" t="str">
        <f t="shared" si="80"/>
        <v>Dólar</v>
      </c>
      <c r="I1662" s="6">
        <f t="shared" si="81"/>
        <v>0</v>
      </c>
      <c r="J1662">
        <f t="shared" si="82"/>
        <v>0</v>
      </c>
    </row>
    <row r="1663" spans="7:10" x14ac:dyDescent="0.3">
      <c r="G1663">
        <f>IFERROR(VLOOKUP(A1663,'Clientes CBOT'!B:E,4,0),B1663)</f>
        <v>0</v>
      </c>
      <c r="H1663" t="str">
        <f t="shared" si="80"/>
        <v>Dólar</v>
      </c>
      <c r="I1663" s="6">
        <f t="shared" si="81"/>
        <v>0</v>
      </c>
      <c r="J1663">
        <f t="shared" si="82"/>
        <v>0</v>
      </c>
    </row>
    <row r="1664" spans="7:10" x14ac:dyDescent="0.3">
      <c r="G1664">
        <f>IFERROR(VLOOKUP(A1664,'Clientes CBOT'!B:E,4,0),B1664)</f>
        <v>0</v>
      </c>
      <c r="H1664" t="str">
        <f t="shared" si="80"/>
        <v>Dólar</v>
      </c>
      <c r="I1664" s="6">
        <f t="shared" si="81"/>
        <v>0</v>
      </c>
      <c r="J1664">
        <f t="shared" si="82"/>
        <v>0</v>
      </c>
    </row>
    <row r="1665" spans="7:10" x14ac:dyDescent="0.3">
      <c r="G1665">
        <f>IFERROR(VLOOKUP(A1665,'Clientes CBOT'!B:E,4,0),B1665)</f>
        <v>0</v>
      </c>
      <c r="H1665" t="str">
        <f t="shared" si="80"/>
        <v>Dólar</v>
      </c>
      <c r="I1665" s="6">
        <f t="shared" si="81"/>
        <v>0</v>
      </c>
      <c r="J1665">
        <f t="shared" si="82"/>
        <v>0</v>
      </c>
    </row>
    <row r="1666" spans="7:10" x14ac:dyDescent="0.3">
      <c r="G1666">
        <f>IFERROR(VLOOKUP(A1666,'Clientes CBOT'!B:E,4,0),B1666)</f>
        <v>0</v>
      </c>
      <c r="H1666" t="str">
        <f t="shared" si="80"/>
        <v>Dólar</v>
      </c>
      <c r="I1666" s="6">
        <f t="shared" si="81"/>
        <v>0</v>
      </c>
      <c r="J1666">
        <f t="shared" si="82"/>
        <v>0</v>
      </c>
    </row>
    <row r="1667" spans="7:10" x14ac:dyDescent="0.3">
      <c r="G1667">
        <f>IFERROR(VLOOKUP(A1667,'Clientes CBOT'!B:E,4,0),B1667)</f>
        <v>0</v>
      </c>
      <c r="H1667" t="str">
        <f t="shared" si="80"/>
        <v>Dólar</v>
      </c>
      <c r="I1667" s="6">
        <f t="shared" si="81"/>
        <v>0</v>
      </c>
      <c r="J1667">
        <f t="shared" si="82"/>
        <v>0</v>
      </c>
    </row>
    <row r="1668" spans="7:10" x14ac:dyDescent="0.3">
      <c r="G1668">
        <f>IFERROR(VLOOKUP(A1668,'Clientes CBOT'!B:E,4,0),B1668)</f>
        <v>0</v>
      </c>
      <c r="H1668" t="str">
        <f t="shared" si="80"/>
        <v>Dólar</v>
      </c>
      <c r="I1668" s="6">
        <f t="shared" si="81"/>
        <v>0</v>
      </c>
      <c r="J1668">
        <f t="shared" si="82"/>
        <v>0</v>
      </c>
    </row>
    <row r="1669" spans="7:10" x14ac:dyDescent="0.3">
      <c r="G1669">
        <f>IFERROR(VLOOKUP(A1669,'Clientes CBOT'!B:E,4,0),B1669)</f>
        <v>0</v>
      </c>
      <c r="H1669" t="str">
        <f t="shared" ref="H1669:H1732" si="83">IF(E1669="pesos","Ars",IF(E1669="Dólar Matba Rofex","usd linked",IF(F1669=" U$S TT","Hard","Dólar")))</f>
        <v>Dólar</v>
      </c>
      <c r="I1669" s="6">
        <f t="shared" ref="I1669:I1732" si="84">IF(H1669="ars",C1669/$J$1,IF(H1669="Hard",C1669*$J$2/$J$1,C1669))</f>
        <v>0</v>
      </c>
      <c r="J1669">
        <f t="shared" si="82"/>
        <v>0</v>
      </c>
    </row>
    <row r="1670" spans="7:10" x14ac:dyDescent="0.3">
      <c r="G1670">
        <f>IFERROR(VLOOKUP(A1670,'Clientes CBOT'!B:E,4,0),B1670)</f>
        <v>0</v>
      </c>
      <c r="H1670" t="str">
        <f t="shared" si="83"/>
        <v>Dólar</v>
      </c>
      <c r="I1670" s="6">
        <f t="shared" si="84"/>
        <v>0</v>
      </c>
      <c r="J1670">
        <f t="shared" si="82"/>
        <v>0</v>
      </c>
    </row>
    <row r="1671" spans="7:10" x14ac:dyDescent="0.3">
      <c r="G1671">
        <f>IFERROR(VLOOKUP(A1671,'Clientes CBOT'!B:E,4,0),B1671)</f>
        <v>0</v>
      </c>
      <c r="H1671" t="str">
        <f t="shared" si="83"/>
        <v>Dólar</v>
      </c>
      <c r="I1671" s="6">
        <f t="shared" si="84"/>
        <v>0</v>
      </c>
      <c r="J1671">
        <f t="shared" si="82"/>
        <v>0</v>
      </c>
    </row>
    <row r="1672" spans="7:10" x14ac:dyDescent="0.3">
      <c r="G1672">
        <f>IFERROR(VLOOKUP(A1672,'Clientes CBOT'!B:E,4,0),B1672)</f>
        <v>0</v>
      </c>
      <c r="H1672" t="str">
        <f t="shared" si="83"/>
        <v>Dólar</v>
      </c>
      <c r="I1672" s="6">
        <f t="shared" si="84"/>
        <v>0</v>
      </c>
      <c r="J1672">
        <f t="shared" si="82"/>
        <v>0</v>
      </c>
    </row>
    <row r="1673" spans="7:10" x14ac:dyDescent="0.3">
      <c r="G1673">
        <f>IFERROR(VLOOKUP(A1673,'Clientes CBOT'!B:E,4,0),B1673)</f>
        <v>0</v>
      </c>
      <c r="H1673" t="str">
        <f t="shared" si="83"/>
        <v>Dólar</v>
      </c>
      <c r="I1673" s="6">
        <f t="shared" si="84"/>
        <v>0</v>
      </c>
      <c r="J1673">
        <f t="shared" si="82"/>
        <v>0</v>
      </c>
    </row>
    <row r="1674" spans="7:10" x14ac:dyDescent="0.3">
      <c r="G1674">
        <f>IFERROR(VLOOKUP(A1674,'Clientes CBOT'!B:E,4,0),B1674)</f>
        <v>0</v>
      </c>
      <c r="H1674" t="str">
        <f t="shared" si="83"/>
        <v>Dólar</v>
      </c>
      <c r="I1674" s="6">
        <f t="shared" si="84"/>
        <v>0</v>
      </c>
      <c r="J1674">
        <f t="shared" si="82"/>
        <v>0</v>
      </c>
    </row>
    <row r="1675" spans="7:10" x14ac:dyDescent="0.3">
      <c r="G1675">
        <f>IFERROR(VLOOKUP(A1675,'Clientes CBOT'!B:E,4,0),B1675)</f>
        <v>0</v>
      </c>
      <c r="H1675" t="str">
        <f t="shared" si="83"/>
        <v>Dólar</v>
      </c>
      <c r="I1675" s="6">
        <f t="shared" si="84"/>
        <v>0</v>
      </c>
      <c r="J1675">
        <f t="shared" si="82"/>
        <v>0</v>
      </c>
    </row>
    <row r="1676" spans="7:10" x14ac:dyDescent="0.3">
      <c r="G1676">
        <f>IFERROR(VLOOKUP(A1676,'Clientes CBOT'!B:E,4,0),B1676)</f>
        <v>0</v>
      </c>
      <c r="H1676" t="str">
        <f t="shared" si="83"/>
        <v>Dólar</v>
      </c>
      <c r="I1676" s="6">
        <f t="shared" si="84"/>
        <v>0</v>
      </c>
      <c r="J1676">
        <f t="shared" si="82"/>
        <v>0</v>
      </c>
    </row>
    <row r="1677" spans="7:10" x14ac:dyDescent="0.3">
      <c r="G1677">
        <f>IFERROR(VLOOKUP(A1677,'Clientes CBOT'!B:E,4,0),B1677)</f>
        <v>0</v>
      </c>
      <c r="H1677" t="str">
        <f t="shared" si="83"/>
        <v>Dólar</v>
      </c>
      <c r="I1677" s="6">
        <f t="shared" si="84"/>
        <v>0</v>
      </c>
      <c r="J1677">
        <f t="shared" si="82"/>
        <v>0</v>
      </c>
    </row>
    <row r="1678" spans="7:10" x14ac:dyDescent="0.3">
      <c r="G1678">
        <f>IFERROR(VLOOKUP(A1678,'Clientes CBOT'!B:E,4,0),B1678)</f>
        <v>0</v>
      </c>
      <c r="H1678" t="str">
        <f t="shared" si="83"/>
        <v>Dólar</v>
      </c>
      <c r="I1678" s="6">
        <f t="shared" si="84"/>
        <v>0</v>
      </c>
      <c r="J1678">
        <f t="shared" si="82"/>
        <v>0</v>
      </c>
    </row>
    <row r="1679" spans="7:10" x14ac:dyDescent="0.3">
      <c r="G1679">
        <f>IFERROR(VLOOKUP(A1679,'Clientes CBOT'!B:E,4,0),B1679)</f>
        <v>0</v>
      </c>
      <c r="H1679" t="str">
        <f t="shared" si="83"/>
        <v>Dólar</v>
      </c>
      <c r="I1679" s="6">
        <f t="shared" si="84"/>
        <v>0</v>
      </c>
      <c r="J1679">
        <f t="shared" si="82"/>
        <v>0</v>
      </c>
    </row>
    <row r="1680" spans="7:10" x14ac:dyDescent="0.3">
      <c r="G1680">
        <f>IFERROR(VLOOKUP(A1680,'Clientes CBOT'!B:E,4,0),B1680)</f>
        <v>0</v>
      </c>
      <c r="H1680" t="str">
        <f t="shared" si="83"/>
        <v>Dólar</v>
      </c>
      <c r="I1680" s="6">
        <f t="shared" si="84"/>
        <v>0</v>
      </c>
      <c r="J1680">
        <f t="shared" si="82"/>
        <v>0</v>
      </c>
    </row>
    <row r="1681" spans="7:10" x14ac:dyDescent="0.3">
      <c r="G1681">
        <f>IFERROR(VLOOKUP(A1681,'Clientes CBOT'!B:E,4,0),B1681)</f>
        <v>0</v>
      </c>
      <c r="H1681" t="str">
        <f t="shared" si="83"/>
        <v>Dólar</v>
      </c>
      <c r="I1681" s="6">
        <f t="shared" si="84"/>
        <v>0</v>
      </c>
      <c r="J1681">
        <f t="shared" si="82"/>
        <v>0</v>
      </c>
    </row>
    <row r="1682" spans="7:10" x14ac:dyDescent="0.3">
      <c r="G1682">
        <f>IFERROR(VLOOKUP(A1682,'Clientes CBOT'!B:E,4,0),B1682)</f>
        <v>0</v>
      </c>
      <c r="H1682" t="str">
        <f t="shared" si="83"/>
        <v>Dólar</v>
      </c>
      <c r="I1682" s="6">
        <f t="shared" si="84"/>
        <v>0</v>
      </c>
      <c r="J1682">
        <f t="shared" si="82"/>
        <v>0</v>
      </c>
    </row>
    <row r="1683" spans="7:10" x14ac:dyDescent="0.3">
      <c r="G1683">
        <f>IFERROR(VLOOKUP(A1683,'Clientes CBOT'!B:E,4,0),B1683)</f>
        <v>0</v>
      </c>
      <c r="H1683" t="str">
        <f t="shared" si="83"/>
        <v>Dólar</v>
      </c>
      <c r="I1683" s="6">
        <f t="shared" si="84"/>
        <v>0</v>
      </c>
      <c r="J1683">
        <f t="shared" si="82"/>
        <v>0</v>
      </c>
    </row>
    <row r="1684" spans="7:10" x14ac:dyDescent="0.3">
      <c r="G1684">
        <f>IFERROR(VLOOKUP(A1684,'Clientes CBOT'!B:E,4,0),B1684)</f>
        <v>0</v>
      </c>
      <c r="H1684" t="str">
        <f t="shared" si="83"/>
        <v>Dólar</v>
      </c>
      <c r="I1684" s="6">
        <f t="shared" si="84"/>
        <v>0</v>
      </c>
      <c r="J1684">
        <f t="shared" ref="J1684:J1747" si="85">IF(H1684="ars",D1684/$J$1,IF(H1684="hard",D1684*$J$2/$J$1,D1684))</f>
        <v>0</v>
      </c>
    </row>
    <row r="1685" spans="7:10" x14ac:dyDescent="0.3">
      <c r="G1685">
        <f>IFERROR(VLOOKUP(A1685,'Clientes CBOT'!B:E,4,0),B1685)</f>
        <v>0</v>
      </c>
      <c r="H1685" t="str">
        <f t="shared" si="83"/>
        <v>Dólar</v>
      </c>
      <c r="I1685" s="6">
        <f t="shared" si="84"/>
        <v>0</v>
      </c>
      <c r="J1685">
        <f t="shared" si="85"/>
        <v>0</v>
      </c>
    </row>
    <row r="1686" spans="7:10" x14ac:dyDescent="0.3">
      <c r="G1686">
        <f>IFERROR(VLOOKUP(A1686,'Clientes CBOT'!B:E,4,0),B1686)</f>
        <v>0</v>
      </c>
      <c r="H1686" t="str">
        <f t="shared" si="83"/>
        <v>Dólar</v>
      </c>
      <c r="I1686" s="6">
        <f t="shared" si="84"/>
        <v>0</v>
      </c>
      <c r="J1686">
        <f t="shared" si="85"/>
        <v>0</v>
      </c>
    </row>
    <row r="1687" spans="7:10" x14ac:dyDescent="0.3">
      <c r="G1687">
        <f>IFERROR(VLOOKUP(A1687,'Clientes CBOT'!B:E,4,0),B1687)</f>
        <v>0</v>
      </c>
      <c r="H1687" t="str">
        <f t="shared" si="83"/>
        <v>Dólar</v>
      </c>
      <c r="I1687" s="6">
        <f t="shared" si="84"/>
        <v>0</v>
      </c>
      <c r="J1687">
        <f t="shared" si="85"/>
        <v>0</v>
      </c>
    </row>
    <row r="1688" spans="7:10" x14ac:dyDescent="0.3">
      <c r="G1688">
        <f>IFERROR(VLOOKUP(A1688,'Clientes CBOT'!B:E,4,0),B1688)</f>
        <v>0</v>
      </c>
      <c r="H1688" t="str">
        <f t="shared" si="83"/>
        <v>Dólar</v>
      </c>
      <c r="I1688" s="6">
        <f t="shared" si="84"/>
        <v>0</v>
      </c>
      <c r="J1688">
        <f t="shared" si="85"/>
        <v>0</v>
      </c>
    </row>
    <row r="1689" spans="7:10" x14ac:dyDescent="0.3">
      <c r="G1689">
        <f>IFERROR(VLOOKUP(A1689,'Clientes CBOT'!B:E,4,0),B1689)</f>
        <v>0</v>
      </c>
      <c r="H1689" t="str">
        <f t="shared" si="83"/>
        <v>Dólar</v>
      </c>
      <c r="I1689" s="6">
        <f t="shared" si="84"/>
        <v>0</v>
      </c>
      <c r="J1689">
        <f t="shared" si="85"/>
        <v>0</v>
      </c>
    </row>
    <row r="1690" spans="7:10" x14ac:dyDescent="0.3">
      <c r="G1690">
        <f>IFERROR(VLOOKUP(A1690,'Clientes CBOT'!B:E,4,0),B1690)</f>
        <v>0</v>
      </c>
      <c r="H1690" t="str">
        <f t="shared" si="83"/>
        <v>Dólar</v>
      </c>
      <c r="I1690" s="6">
        <f t="shared" si="84"/>
        <v>0</v>
      </c>
      <c r="J1690">
        <f t="shared" si="85"/>
        <v>0</v>
      </c>
    </row>
    <row r="1691" spans="7:10" x14ac:dyDescent="0.3">
      <c r="G1691">
        <f>IFERROR(VLOOKUP(A1691,'Clientes CBOT'!B:E,4,0),B1691)</f>
        <v>0</v>
      </c>
      <c r="H1691" t="str">
        <f t="shared" si="83"/>
        <v>Dólar</v>
      </c>
      <c r="I1691" s="6">
        <f t="shared" si="84"/>
        <v>0</v>
      </c>
      <c r="J1691">
        <f t="shared" si="85"/>
        <v>0</v>
      </c>
    </row>
    <row r="1692" spans="7:10" x14ac:dyDescent="0.3">
      <c r="G1692">
        <f>IFERROR(VLOOKUP(A1692,'Clientes CBOT'!B:E,4,0),B1692)</f>
        <v>0</v>
      </c>
      <c r="H1692" t="str">
        <f t="shared" si="83"/>
        <v>Dólar</v>
      </c>
      <c r="I1692" s="6">
        <f t="shared" si="84"/>
        <v>0</v>
      </c>
      <c r="J1692">
        <f t="shared" si="85"/>
        <v>0</v>
      </c>
    </row>
    <row r="1693" spans="7:10" x14ac:dyDescent="0.3">
      <c r="G1693">
        <f>IFERROR(VLOOKUP(A1693,'Clientes CBOT'!B:E,4,0),B1693)</f>
        <v>0</v>
      </c>
      <c r="H1693" t="str">
        <f t="shared" si="83"/>
        <v>Dólar</v>
      </c>
      <c r="I1693" s="6">
        <f t="shared" si="84"/>
        <v>0</v>
      </c>
      <c r="J1693">
        <f t="shared" si="85"/>
        <v>0</v>
      </c>
    </row>
    <row r="1694" spans="7:10" x14ac:dyDescent="0.3">
      <c r="G1694">
        <f>IFERROR(VLOOKUP(A1694,'Clientes CBOT'!B:E,4,0),B1694)</f>
        <v>0</v>
      </c>
      <c r="H1694" t="str">
        <f t="shared" si="83"/>
        <v>Dólar</v>
      </c>
      <c r="I1694" s="6">
        <f t="shared" si="84"/>
        <v>0</v>
      </c>
      <c r="J1694">
        <f t="shared" si="85"/>
        <v>0</v>
      </c>
    </row>
    <row r="1695" spans="7:10" x14ac:dyDescent="0.3">
      <c r="G1695">
        <f>IFERROR(VLOOKUP(A1695,'Clientes CBOT'!B:E,4,0),B1695)</f>
        <v>0</v>
      </c>
      <c r="H1695" t="str">
        <f t="shared" si="83"/>
        <v>Dólar</v>
      </c>
      <c r="I1695" s="6">
        <f t="shared" si="84"/>
        <v>0</v>
      </c>
      <c r="J1695">
        <f t="shared" si="85"/>
        <v>0</v>
      </c>
    </row>
    <row r="1696" spans="7:10" x14ac:dyDescent="0.3">
      <c r="G1696">
        <f>IFERROR(VLOOKUP(A1696,'Clientes CBOT'!B:E,4,0),B1696)</f>
        <v>0</v>
      </c>
      <c r="H1696" t="str">
        <f t="shared" si="83"/>
        <v>Dólar</v>
      </c>
      <c r="I1696" s="6">
        <f t="shared" si="84"/>
        <v>0</v>
      </c>
      <c r="J1696">
        <f t="shared" si="85"/>
        <v>0</v>
      </c>
    </row>
    <row r="1697" spans="7:10" x14ac:dyDescent="0.3">
      <c r="G1697">
        <f>IFERROR(VLOOKUP(A1697,'Clientes CBOT'!B:E,4,0),B1697)</f>
        <v>0</v>
      </c>
      <c r="H1697" t="str">
        <f t="shared" si="83"/>
        <v>Dólar</v>
      </c>
      <c r="I1697" s="6">
        <f t="shared" si="84"/>
        <v>0</v>
      </c>
      <c r="J1697">
        <f t="shared" si="85"/>
        <v>0</v>
      </c>
    </row>
    <row r="1698" spans="7:10" x14ac:dyDescent="0.3">
      <c r="G1698">
        <f>IFERROR(VLOOKUP(A1698,'Clientes CBOT'!B:E,4,0),B1698)</f>
        <v>0</v>
      </c>
      <c r="H1698" t="str">
        <f t="shared" si="83"/>
        <v>Dólar</v>
      </c>
      <c r="I1698" s="6">
        <f t="shared" si="84"/>
        <v>0</v>
      </c>
      <c r="J1698">
        <f t="shared" si="85"/>
        <v>0</v>
      </c>
    </row>
    <row r="1699" spans="7:10" x14ac:dyDescent="0.3">
      <c r="G1699">
        <f>IFERROR(VLOOKUP(A1699,'Clientes CBOT'!B:E,4,0),B1699)</f>
        <v>0</v>
      </c>
      <c r="H1699" t="str">
        <f t="shared" si="83"/>
        <v>Dólar</v>
      </c>
      <c r="I1699" s="6">
        <f t="shared" si="84"/>
        <v>0</v>
      </c>
      <c r="J1699">
        <f t="shared" si="85"/>
        <v>0</v>
      </c>
    </row>
    <row r="1700" spans="7:10" x14ac:dyDescent="0.3">
      <c r="G1700">
        <f>IFERROR(VLOOKUP(A1700,'Clientes CBOT'!B:E,4,0),B1700)</f>
        <v>0</v>
      </c>
      <c r="H1700" t="str">
        <f t="shared" si="83"/>
        <v>Dólar</v>
      </c>
      <c r="I1700" s="6">
        <f t="shared" si="84"/>
        <v>0</v>
      </c>
      <c r="J1700">
        <f t="shared" si="85"/>
        <v>0</v>
      </c>
    </row>
    <row r="1701" spans="7:10" x14ac:dyDescent="0.3">
      <c r="G1701">
        <f>IFERROR(VLOOKUP(A1701,'Clientes CBOT'!B:E,4,0),B1701)</f>
        <v>0</v>
      </c>
      <c r="H1701" t="str">
        <f t="shared" si="83"/>
        <v>Dólar</v>
      </c>
      <c r="I1701" s="6">
        <f t="shared" si="84"/>
        <v>0</v>
      </c>
      <c r="J1701">
        <f t="shared" si="85"/>
        <v>0</v>
      </c>
    </row>
    <row r="1702" spans="7:10" x14ac:dyDescent="0.3">
      <c r="G1702">
        <f>IFERROR(VLOOKUP(A1702,'Clientes CBOT'!B:E,4,0),B1702)</f>
        <v>0</v>
      </c>
      <c r="H1702" t="str">
        <f t="shared" si="83"/>
        <v>Dólar</v>
      </c>
      <c r="I1702" s="6">
        <f t="shared" si="84"/>
        <v>0</v>
      </c>
      <c r="J1702">
        <f t="shared" si="85"/>
        <v>0</v>
      </c>
    </row>
    <row r="1703" spans="7:10" x14ac:dyDescent="0.3">
      <c r="G1703">
        <f>IFERROR(VLOOKUP(A1703,'Clientes CBOT'!B:E,4,0),B1703)</f>
        <v>0</v>
      </c>
      <c r="H1703" t="str">
        <f t="shared" si="83"/>
        <v>Dólar</v>
      </c>
      <c r="I1703" s="6">
        <f t="shared" si="84"/>
        <v>0</v>
      </c>
      <c r="J1703">
        <f t="shared" si="85"/>
        <v>0</v>
      </c>
    </row>
    <row r="1704" spans="7:10" x14ac:dyDescent="0.3">
      <c r="G1704">
        <f>IFERROR(VLOOKUP(A1704,'Clientes CBOT'!B:E,4,0),B1704)</f>
        <v>0</v>
      </c>
      <c r="H1704" t="str">
        <f t="shared" si="83"/>
        <v>Dólar</v>
      </c>
      <c r="I1704" s="6">
        <f t="shared" si="84"/>
        <v>0</v>
      </c>
      <c r="J1704">
        <f t="shared" si="85"/>
        <v>0</v>
      </c>
    </row>
    <row r="1705" spans="7:10" x14ac:dyDescent="0.3">
      <c r="G1705">
        <f>IFERROR(VLOOKUP(A1705,'Clientes CBOT'!B:E,4,0),B1705)</f>
        <v>0</v>
      </c>
      <c r="H1705" t="str">
        <f t="shared" si="83"/>
        <v>Dólar</v>
      </c>
      <c r="I1705" s="6">
        <f t="shared" si="84"/>
        <v>0</v>
      </c>
      <c r="J1705">
        <f t="shared" si="85"/>
        <v>0</v>
      </c>
    </row>
    <row r="1706" spans="7:10" x14ac:dyDescent="0.3">
      <c r="G1706">
        <f>IFERROR(VLOOKUP(A1706,'Clientes CBOT'!B:E,4,0),B1706)</f>
        <v>0</v>
      </c>
      <c r="H1706" t="str">
        <f t="shared" si="83"/>
        <v>Dólar</v>
      </c>
      <c r="I1706" s="6">
        <f t="shared" si="84"/>
        <v>0</v>
      </c>
      <c r="J1706">
        <f t="shared" si="85"/>
        <v>0</v>
      </c>
    </row>
    <row r="1707" spans="7:10" x14ac:dyDescent="0.3">
      <c r="G1707">
        <f>IFERROR(VLOOKUP(A1707,'Clientes CBOT'!B:E,4,0),B1707)</f>
        <v>0</v>
      </c>
      <c r="H1707" t="str">
        <f t="shared" si="83"/>
        <v>Dólar</v>
      </c>
      <c r="I1707" s="6">
        <f t="shared" si="84"/>
        <v>0</v>
      </c>
      <c r="J1707">
        <f t="shared" si="85"/>
        <v>0</v>
      </c>
    </row>
    <row r="1708" spans="7:10" x14ac:dyDescent="0.3">
      <c r="G1708">
        <f>IFERROR(VLOOKUP(A1708,'Clientes CBOT'!B:E,4,0),B1708)</f>
        <v>0</v>
      </c>
      <c r="H1708" t="str">
        <f t="shared" si="83"/>
        <v>Dólar</v>
      </c>
      <c r="I1708" s="6">
        <f t="shared" si="84"/>
        <v>0</v>
      </c>
      <c r="J1708">
        <f t="shared" si="85"/>
        <v>0</v>
      </c>
    </row>
    <row r="1709" spans="7:10" x14ac:dyDescent="0.3">
      <c r="G1709">
        <f>IFERROR(VLOOKUP(A1709,'Clientes CBOT'!B:E,4,0),B1709)</f>
        <v>0</v>
      </c>
      <c r="H1709" t="str">
        <f t="shared" si="83"/>
        <v>Dólar</v>
      </c>
      <c r="I1709" s="6">
        <f t="shared" si="84"/>
        <v>0</v>
      </c>
      <c r="J1709">
        <f t="shared" si="85"/>
        <v>0</v>
      </c>
    </row>
    <row r="1710" spans="7:10" x14ac:dyDescent="0.3">
      <c r="G1710">
        <f>IFERROR(VLOOKUP(A1710,'Clientes CBOT'!B:E,4,0),B1710)</f>
        <v>0</v>
      </c>
      <c r="H1710" t="str">
        <f t="shared" si="83"/>
        <v>Dólar</v>
      </c>
      <c r="I1710" s="6">
        <f t="shared" si="84"/>
        <v>0</v>
      </c>
      <c r="J1710">
        <f t="shared" si="85"/>
        <v>0</v>
      </c>
    </row>
    <row r="1711" spans="7:10" x14ac:dyDescent="0.3">
      <c r="G1711">
        <f>IFERROR(VLOOKUP(A1711,'Clientes CBOT'!B:E,4,0),B1711)</f>
        <v>0</v>
      </c>
      <c r="H1711" t="str">
        <f t="shared" si="83"/>
        <v>Dólar</v>
      </c>
      <c r="I1711" s="6">
        <f t="shared" si="84"/>
        <v>0</v>
      </c>
      <c r="J1711">
        <f t="shared" si="85"/>
        <v>0</v>
      </c>
    </row>
    <row r="1712" spans="7:10" x14ac:dyDescent="0.3">
      <c r="G1712">
        <f>IFERROR(VLOOKUP(A1712,'Clientes CBOT'!B:E,4,0),B1712)</f>
        <v>0</v>
      </c>
      <c r="H1712" t="str">
        <f t="shared" si="83"/>
        <v>Dólar</v>
      </c>
      <c r="I1712" s="6">
        <f t="shared" si="84"/>
        <v>0</v>
      </c>
      <c r="J1712">
        <f t="shared" si="85"/>
        <v>0</v>
      </c>
    </row>
    <row r="1713" spans="7:10" x14ac:dyDescent="0.3">
      <c r="G1713">
        <f>IFERROR(VLOOKUP(A1713,'Clientes CBOT'!B:E,4,0),B1713)</f>
        <v>0</v>
      </c>
      <c r="H1713" t="str">
        <f t="shared" si="83"/>
        <v>Dólar</v>
      </c>
      <c r="I1713" s="6">
        <f t="shared" si="84"/>
        <v>0</v>
      </c>
      <c r="J1713">
        <f t="shared" si="85"/>
        <v>0</v>
      </c>
    </row>
    <row r="1714" spans="7:10" x14ac:dyDescent="0.3">
      <c r="G1714">
        <f>IFERROR(VLOOKUP(A1714,'Clientes CBOT'!B:E,4,0),B1714)</f>
        <v>0</v>
      </c>
      <c r="H1714" t="str">
        <f t="shared" si="83"/>
        <v>Dólar</v>
      </c>
      <c r="I1714" s="6">
        <f t="shared" si="84"/>
        <v>0</v>
      </c>
      <c r="J1714">
        <f t="shared" si="85"/>
        <v>0</v>
      </c>
    </row>
    <row r="1715" spans="7:10" x14ac:dyDescent="0.3">
      <c r="G1715">
        <f>IFERROR(VLOOKUP(A1715,'Clientes CBOT'!B:E,4,0),B1715)</f>
        <v>0</v>
      </c>
      <c r="H1715" t="str">
        <f t="shared" si="83"/>
        <v>Dólar</v>
      </c>
      <c r="I1715" s="6">
        <f t="shared" si="84"/>
        <v>0</v>
      </c>
      <c r="J1715">
        <f t="shared" si="85"/>
        <v>0</v>
      </c>
    </row>
    <row r="1716" spans="7:10" x14ac:dyDescent="0.3">
      <c r="G1716">
        <f>IFERROR(VLOOKUP(A1716,'Clientes CBOT'!B:E,4,0),B1716)</f>
        <v>0</v>
      </c>
      <c r="H1716" t="str">
        <f t="shared" si="83"/>
        <v>Dólar</v>
      </c>
      <c r="I1716" s="6">
        <f t="shared" si="84"/>
        <v>0</v>
      </c>
      <c r="J1716">
        <f t="shared" si="85"/>
        <v>0</v>
      </c>
    </row>
    <row r="1717" spans="7:10" x14ac:dyDescent="0.3">
      <c r="G1717">
        <f>IFERROR(VLOOKUP(A1717,'Clientes CBOT'!B:E,4,0),B1717)</f>
        <v>0</v>
      </c>
      <c r="H1717" t="str">
        <f t="shared" si="83"/>
        <v>Dólar</v>
      </c>
      <c r="I1717" s="6">
        <f t="shared" si="84"/>
        <v>0</v>
      </c>
      <c r="J1717">
        <f t="shared" si="85"/>
        <v>0</v>
      </c>
    </row>
    <row r="1718" spans="7:10" x14ac:dyDescent="0.3">
      <c r="G1718">
        <f>IFERROR(VLOOKUP(A1718,'Clientes CBOT'!B:E,4,0),B1718)</f>
        <v>0</v>
      </c>
      <c r="H1718" t="str">
        <f t="shared" si="83"/>
        <v>Dólar</v>
      </c>
      <c r="I1718" s="6">
        <f t="shared" si="84"/>
        <v>0</v>
      </c>
      <c r="J1718">
        <f t="shared" si="85"/>
        <v>0</v>
      </c>
    </row>
    <row r="1719" spans="7:10" x14ac:dyDescent="0.3">
      <c r="G1719">
        <f>IFERROR(VLOOKUP(A1719,'Clientes CBOT'!B:E,4,0),B1719)</f>
        <v>0</v>
      </c>
      <c r="H1719" t="str">
        <f t="shared" si="83"/>
        <v>Dólar</v>
      </c>
      <c r="I1719" s="6">
        <f t="shared" si="84"/>
        <v>0</v>
      </c>
      <c r="J1719">
        <f t="shared" si="85"/>
        <v>0</v>
      </c>
    </row>
    <row r="1720" spans="7:10" x14ac:dyDescent="0.3">
      <c r="G1720">
        <f>IFERROR(VLOOKUP(A1720,'Clientes CBOT'!B:E,4,0),B1720)</f>
        <v>0</v>
      </c>
      <c r="H1720" t="str">
        <f t="shared" si="83"/>
        <v>Dólar</v>
      </c>
      <c r="I1720" s="6">
        <f t="shared" si="84"/>
        <v>0</v>
      </c>
      <c r="J1720">
        <f t="shared" si="85"/>
        <v>0</v>
      </c>
    </row>
    <row r="1721" spans="7:10" x14ac:dyDescent="0.3">
      <c r="G1721">
        <f>IFERROR(VLOOKUP(A1721,'Clientes CBOT'!B:E,4,0),B1721)</f>
        <v>0</v>
      </c>
      <c r="H1721" t="str">
        <f t="shared" si="83"/>
        <v>Dólar</v>
      </c>
      <c r="I1721" s="6">
        <f t="shared" si="84"/>
        <v>0</v>
      </c>
      <c r="J1721">
        <f t="shared" si="85"/>
        <v>0</v>
      </c>
    </row>
    <row r="1722" spans="7:10" x14ac:dyDescent="0.3">
      <c r="G1722">
        <f>IFERROR(VLOOKUP(A1722,'Clientes CBOT'!B:E,4,0),B1722)</f>
        <v>0</v>
      </c>
      <c r="H1722" t="str">
        <f t="shared" si="83"/>
        <v>Dólar</v>
      </c>
      <c r="I1722" s="6">
        <f t="shared" si="84"/>
        <v>0</v>
      </c>
      <c r="J1722">
        <f t="shared" si="85"/>
        <v>0</v>
      </c>
    </row>
    <row r="1723" spans="7:10" x14ac:dyDescent="0.3">
      <c r="G1723">
        <f>IFERROR(VLOOKUP(A1723,'Clientes CBOT'!B:E,4,0),B1723)</f>
        <v>0</v>
      </c>
      <c r="H1723" t="str">
        <f t="shared" si="83"/>
        <v>Dólar</v>
      </c>
      <c r="I1723" s="6">
        <f t="shared" si="84"/>
        <v>0</v>
      </c>
      <c r="J1723">
        <f t="shared" si="85"/>
        <v>0</v>
      </c>
    </row>
    <row r="1724" spans="7:10" x14ac:dyDescent="0.3">
      <c r="G1724">
        <f>IFERROR(VLOOKUP(A1724,'Clientes CBOT'!B:E,4,0),B1724)</f>
        <v>0</v>
      </c>
      <c r="H1724" t="str">
        <f t="shared" si="83"/>
        <v>Dólar</v>
      </c>
      <c r="I1724" s="6">
        <f t="shared" si="84"/>
        <v>0</v>
      </c>
      <c r="J1724">
        <f t="shared" si="85"/>
        <v>0</v>
      </c>
    </row>
    <row r="1725" spans="7:10" x14ac:dyDescent="0.3">
      <c r="G1725">
        <f>IFERROR(VLOOKUP(A1725,'Clientes CBOT'!B:E,4,0),B1725)</f>
        <v>0</v>
      </c>
      <c r="H1725" t="str">
        <f t="shared" si="83"/>
        <v>Dólar</v>
      </c>
      <c r="I1725" s="6">
        <f t="shared" si="84"/>
        <v>0</v>
      </c>
      <c r="J1725">
        <f t="shared" si="85"/>
        <v>0</v>
      </c>
    </row>
    <row r="1726" spans="7:10" x14ac:dyDescent="0.3">
      <c r="G1726">
        <f>IFERROR(VLOOKUP(A1726,'Clientes CBOT'!B:E,4,0),B1726)</f>
        <v>0</v>
      </c>
      <c r="H1726" t="str">
        <f t="shared" si="83"/>
        <v>Dólar</v>
      </c>
      <c r="I1726" s="6">
        <f t="shared" si="84"/>
        <v>0</v>
      </c>
      <c r="J1726">
        <f t="shared" si="85"/>
        <v>0</v>
      </c>
    </row>
    <row r="1727" spans="7:10" x14ac:dyDescent="0.3">
      <c r="G1727">
        <f>IFERROR(VLOOKUP(A1727,'Clientes CBOT'!B:E,4,0),B1727)</f>
        <v>0</v>
      </c>
      <c r="H1727" t="str">
        <f t="shared" si="83"/>
        <v>Dólar</v>
      </c>
      <c r="I1727" s="6">
        <f t="shared" si="84"/>
        <v>0</v>
      </c>
      <c r="J1727">
        <f t="shared" si="85"/>
        <v>0</v>
      </c>
    </row>
    <row r="1728" spans="7:10" x14ac:dyDescent="0.3">
      <c r="G1728">
        <f>IFERROR(VLOOKUP(A1728,'Clientes CBOT'!B:E,4,0),B1728)</f>
        <v>0</v>
      </c>
      <c r="H1728" t="str">
        <f t="shared" si="83"/>
        <v>Dólar</v>
      </c>
      <c r="I1728" s="6">
        <f t="shared" si="84"/>
        <v>0</v>
      </c>
      <c r="J1728">
        <f t="shared" si="85"/>
        <v>0</v>
      </c>
    </row>
    <row r="1729" spans="7:10" x14ac:dyDescent="0.3">
      <c r="G1729">
        <f>IFERROR(VLOOKUP(A1729,'Clientes CBOT'!B:E,4,0),B1729)</f>
        <v>0</v>
      </c>
      <c r="H1729" t="str">
        <f t="shared" si="83"/>
        <v>Dólar</v>
      </c>
      <c r="I1729" s="6">
        <f t="shared" si="84"/>
        <v>0</v>
      </c>
      <c r="J1729">
        <f t="shared" si="85"/>
        <v>0</v>
      </c>
    </row>
    <row r="1730" spans="7:10" x14ac:dyDescent="0.3">
      <c r="G1730">
        <f>IFERROR(VLOOKUP(A1730,'Clientes CBOT'!B:E,4,0),B1730)</f>
        <v>0</v>
      </c>
      <c r="H1730" t="str">
        <f t="shared" si="83"/>
        <v>Dólar</v>
      </c>
      <c r="I1730" s="6">
        <f t="shared" si="84"/>
        <v>0</v>
      </c>
      <c r="J1730">
        <f t="shared" si="85"/>
        <v>0</v>
      </c>
    </row>
    <row r="1731" spans="7:10" x14ac:dyDescent="0.3">
      <c r="G1731">
        <f>IFERROR(VLOOKUP(A1731,'Clientes CBOT'!B:E,4,0),B1731)</f>
        <v>0</v>
      </c>
      <c r="H1731" t="str">
        <f t="shared" si="83"/>
        <v>Dólar</v>
      </c>
      <c r="I1731" s="6">
        <f t="shared" si="84"/>
        <v>0</v>
      </c>
      <c r="J1731">
        <f t="shared" si="85"/>
        <v>0</v>
      </c>
    </row>
    <row r="1732" spans="7:10" x14ac:dyDescent="0.3">
      <c r="G1732">
        <f>IFERROR(VLOOKUP(A1732,'Clientes CBOT'!B:E,4,0),B1732)</f>
        <v>0</v>
      </c>
      <c r="H1732" t="str">
        <f t="shared" si="83"/>
        <v>Dólar</v>
      </c>
      <c r="I1732" s="6">
        <f t="shared" si="84"/>
        <v>0</v>
      </c>
      <c r="J1732">
        <f t="shared" si="85"/>
        <v>0</v>
      </c>
    </row>
    <row r="1733" spans="7:10" x14ac:dyDescent="0.3">
      <c r="G1733">
        <f>IFERROR(VLOOKUP(A1733,'Clientes CBOT'!B:E,4,0),B1733)</f>
        <v>0</v>
      </c>
      <c r="H1733" t="str">
        <f t="shared" ref="H1733:H1796" si="86">IF(E1733="pesos","Ars",IF(E1733="Dólar Matba Rofex","usd linked",IF(F1733=" U$S TT","Hard","Dólar")))</f>
        <v>Dólar</v>
      </c>
      <c r="I1733" s="6">
        <f t="shared" ref="I1733:I1796" si="87">IF(H1733="ars",C1733/$J$1,IF(H1733="Hard",C1733*$J$2/$J$1,C1733))</f>
        <v>0</v>
      </c>
      <c r="J1733">
        <f t="shared" si="85"/>
        <v>0</v>
      </c>
    </row>
    <row r="1734" spans="7:10" x14ac:dyDescent="0.3">
      <c r="G1734">
        <f>IFERROR(VLOOKUP(A1734,'Clientes CBOT'!B:E,4,0),B1734)</f>
        <v>0</v>
      </c>
      <c r="H1734" t="str">
        <f t="shared" si="86"/>
        <v>Dólar</v>
      </c>
      <c r="I1734" s="6">
        <f t="shared" si="87"/>
        <v>0</v>
      </c>
      <c r="J1734">
        <f t="shared" si="85"/>
        <v>0</v>
      </c>
    </row>
    <row r="1735" spans="7:10" x14ac:dyDescent="0.3">
      <c r="G1735">
        <f>IFERROR(VLOOKUP(A1735,'Clientes CBOT'!B:E,4,0),B1735)</f>
        <v>0</v>
      </c>
      <c r="H1735" t="str">
        <f t="shared" si="86"/>
        <v>Dólar</v>
      </c>
      <c r="I1735" s="6">
        <f t="shared" si="87"/>
        <v>0</v>
      </c>
      <c r="J1735">
        <f t="shared" si="85"/>
        <v>0</v>
      </c>
    </row>
    <row r="1736" spans="7:10" x14ac:dyDescent="0.3">
      <c r="G1736">
        <f>IFERROR(VLOOKUP(A1736,'Clientes CBOT'!B:E,4,0),B1736)</f>
        <v>0</v>
      </c>
      <c r="H1736" t="str">
        <f t="shared" si="86"/>
        <v>Dólar</v>
      </c>
      <c r="I1736" s="6">
        <f t="shared" si="87"/>
        <v>0</v>
      </c>
      <c r="J1736">
        <f t="shared" si="85"/>
        <v>0</v>
      </c>
    </row>
    <row r="1737" spans="7:10" x14ac:dyDescent="0.3">
      <c r="G1737">
        <f>IFERROR(VLOOKUP(A1737,'Clientes CBOT'!B:E,4,0),B1737)</f>
        <v>0</v>
      </c>
      <c r="H1737" t="str">
        <f t="shared" si="86"/>
        <v>Dólar</v>
      </c>
      <c r="I1737" s="6">
        <f t="shared" si="87"/>
        <v>0</v>
      </c>
      <c r="J1737">
        <f t="shared" si="85"/>
        <v>0</v>
      </c>
    </row>
    <row r="1738" spans="7:10" x14ac:dyDescent="0.3">
      <c r="G1738">
        <f>IFERROR(VLOOKUP(A1738,'Clientes CBOT'!B:E,4,0),B1738)</f>
        <v>0</v>
      </c>
      <c r="H1738" t="str">
        <f t="shared" si="86"/>
        <v>Dólar</v>
      </c>
      <c r="I1738" s="6">
        <f t="shared" si="87"/>
        <v>0</v>
      </c>
      <c r="J1738">
        <f t="shared" si="85"/>
        <v>0</v>
      </c>
    </row>
    <row r="1739" spans="7:10" x14ac:dyDescent="0.3">
      <c r="G1739">
        <f>IFERROR(VLOOKUP(A1739,'Clientes CBOT'!B:E,4,0),B1739)</f>
        <v>0</v>
      </c>
      <c r="H1739" t="str">
        <f t="shared" si="86"/>
        <v>Dólar</v>
      </c>
      <c r="I1739" s="6">
        <f t="shared" si="87"/>
        <v>0</v>
      </c>
      <c r="J1739">
        <f t="shared" si="85"/>
        <v>0</v>
      </c>
    </row>
    <row r="1740" spans="7:10" x14ac:dyDescent="0.3">
      <c r="G1740">
        <f>IFERROR(VLOOKUP(A1740,'Clientes CBOT'!B:E,4,0),B1740)</f>
        <v>0</v>
      </c>
      <c r="H1740" t="str">
        <f t="shared" si="86"/>
        <v>Dólar</v>
      </c>
      <c r="I1740" s="6">
        <f t="shared" si="87"/>
        <v>0</v>
      </c>
      <c r="J1740">
        <f t="shared" si="85"/>
        <v>0</v>
      </c>
    </row>
    <row r="1741" spans="7:10" x14ac:dyDescent="0.3">
      <c r="G1741">
        <f>IFERROR(VLOOKUP(A1741,'Clientes CBOT'!B:E,4,0),B1741)</f>
        <v>0</v>
      </c>
      <c r="H1741" t="str">
        <f t="shared" si="86"/>
        <v>Dólar</v>
      </c>
      <c r="I1741" s="6">
        <f t="shared" si="87"/>
        <v>0</v>
      </c>
      <c r="J1741">
        <f t="shared" si="85"/>
        <v>0</v>
      </c>
    </row>
    <row r="1742" spans="7:10" x14ac:dyDescent="0.3">
      <c r="G1742">
        <f>IFERROR(VLOOKUP(A1742,'Clientes CBOT'!B:E,4,0),B1742)</f>
        <v>0</v>
      </c>
      <c r="H1742" t="str">
        <f t="shared" si="86"/>
        <v>Dólar</v>
      </c>
      <c r="I1742" s="6">
        <f t="shared" si="87"/>
        <v>0</v>
      </c>
      <c r="J1742">
        <f t="shared" si="85"/>
        <v>0</v>
      </c>
    </row>
    <row r="1743" spans="7:10" x14ac:dyDescent="0.3">
      <c r="G1743">
        <f>IFERROR(VLOOKUP(A1743,'Clientes CBOT'!B:E,4,0),B1743)</f>
        <v>0</v>
      </c>
      <c r="H1743" t="str">
        <f t="shared" si="86"/>
        <v>Dólar</v>
      </c>
      <c r="I1743" s="6">
        <f t="shared" si="87"/>
        <v>0</v>
      </c>
      <c r="J1743">
        <f t="shared" si="85"/>
        <v>0</v>
      </c>
    </row>
    <row r="1744" spans="7:10" x14ac:dyDescent="0.3">
      <c r="G1744">
        <f>IFERROR(VLOOKUP(A1744,'Clientes CBOT'!B:E,4,0),B1744)</f>
        <v>0</v>
      </c>
      <c r="H1744" t="str">
        <f t="shared" si="86"/>
        <v>Dólar</v>
      </c>
      <c r="I1744" s="6">
        <f t="shared" si="87"/>
        <v>0</v>
      </c>
      <c r="J1744">
        <f t="shared" si="85"/>
        <v>0</v>
      </c>
    </row>
    <row r="1745" spans="7:10" x14ac:dyDescent="0.3">
      <c r="G1745">
        <f>IFERROR(VLOOKUP(A1745,'Clientes CBOT'!B:E,4,0),B1745)</f>
        <v>0</v>
      </c>
      <c r="H1745" t="str">
        <f t="shared" si="86"/>
        <v>Dólar</v>
      </c>
      <c r="I1745" s="6">
        <f t="shared" si="87"/>
        <v>0</v>
      </c>
      <c r="J1745">
        <f t="shared" si="85"/>
        <v>0</v>
      </c>
    </row>
    <row r="1746" spans="7:10" x14ac:dyDescent="0.3">
      <c r="G1746">
        <f>IFERROR(VLOOKUP(A1746,'Clientes CBOT'!B:E,4,0),B1746)</f>
        <v>0</v>
      </c>
      <c r="H1746" t="str">
        <f t="shared" si="86"/>
        <v>Dólar</v>
      </c>
      <c r="I1746" s="6">
        <f t="shared" si="87"/>
        <v>0</v>
      </c>
      <c r="J1746">
        <f t="shared" si="85"/>
        <v>0</v>
      </c>
    </row>
    <row r="1747" spans="7:10" x14ac:dyDescent="0.3">
      <c r="G1747">
        <f>IFERROR(VLOOKUP(A1747,'Clientes CBOT'!B:E,4,0),B1747)</f>
        <v>0</v>
      </c>
      <c r="H1747" t="str">
        <f t="shared" si="86"/>
        <v>Dólar</v>
      </c>
      <c r="I1747" s="6">
        <f t="shared" si="87"/>
        <v>0</v>
      </c>
      <c r="J1747">
        <f t="shared" si="85"/>
        <v>0</v>
      </c>
    </row>
    <row r="1748" spans="7:10" x14ac:dyDescent="0.3">
      <c r="G1748">
        <f>IFERROR(VLOOKUP(A1748,'Clientes CBOT'!B:E,4,0),B1748)</f>
        <v>0</v>
      </c>
      <c r="H1748" t="str">
        <f t="shared" si="86"/>
        <v>Dólar</v>
      </c>
      <c r="I1748" s="6">
        <f t="shared" si="87"/>
        <v>0</v>
      </c>
      <c r="J1748">
        <f t="shared" ref="J1748:J1811" si="88">IF(H1748="ars",D1748/$J$1,IF(H1748="hard",D1748*$J$2/$J$1,D1748))</f>
        <v>0</v>
      </c>
    </row>
    <row r="1749" spans="7:10" x14ac:dyDescent="0.3">
      <c r="G1749">
        <f>IFERROR(VLOOKUP(A1749,'Clientes CBOT'!B:E,4,0),B1749)</f>
        <v>0</v>
      </c>
      <c r="H1749" t="str">
        <f t="shared" si="86"/>
        <v>Dólar</v>
      </c>
      <c r="I1749" s="6">
        <f t="shared" si="87"/>
        <v>0</v>
      </c>
      <c r="J1749">
        <f t="shared" si="88"/>
        <v>0</v>
      </c>
    </row>
    <row r="1750" spans="7:10" x14ac:dyDescent="0.3">
      <c r="G1750">
        <f>IFERROR(VLOOKUP(A1750,'Clientes CBOT'!B:E,4,0),B1750)</f>
        <v>0</v>
      </c>
      <c r="H1750" t="str">
        <f t="shared" si="86"/>
        <v>Dólar</v>
      </c>
      <c r="I1750" s="6">
        <f t="shared" si="87"/>
        <v>0</v>
      </c>
      <c r="J1750">
        <f t="shared" si="88"/>
        <v>0</v>
      </c>
    </row>
    <row r="1751" spans="7:10" x14ac:dyDescent="0.3">
      <c r="G1751">
        <f>IFERROR(VLOOKUP(A1751,'Clientes CBOT'!B:E,4,0),B1751)</f>
        <v>0</v>
      </c>
      <c r="H1751" t="str">
        <f t="shared" si="86"/>
        <v>Dólar</v>
      </c>
      <c r="I1751" s="6">
        <f t="shared" si="87"/>
        <v>0</v>
      </c>
      <c r="J1751">
        <f t="shared" si="88"/>
        <v>0</v>
      </c>
    </row>
    <row r="1752" spans="7:10" x14ac:dyDescent="0.3">
      <c r="G1752">
        <f>IFERROR(VLOOKUP(A1752,'Clientes CBOT'!B:E,4,0),B1752)</f>
        <v>0</v>
      </c>
      <c r="H1752" t="str">
        <f t="shared" si="86"/>
        <v>Dólar</v>
      </c>
      <c r="I1752" s="6">
        <f t="shared" si="87"/>
        <v>0</v>
      </c>
      <c r="J1752">
        <f t="shared" si="88"/>
        <v>0</v>
      </c>
    </row>
    <row r="1753" spans="7:10" x14ac:dyDescent="0.3">
      <c r="G1753">
        <f>IFERROR(VLOOKUP(A1753,'Clientes CBOT'!B:E,4,0),B1753)</f>
        <v>0</v>
      </c>
      <c r="H1753" t="str">
        <f t="shared" si="86"/>
        <v>Dólar</v>
      </c>
      <c r="I1753" s="6">
        <f t="shared" si="87"/>
        <v>0</v>
      </c>
      <c r="J1753">
        <f t="shared" si="88"/>
        <v>0</v>
      </c>
    </row>
    <row r="1754" spans="7:10" x14ac:dyDescent="0.3">
      <c r="G1754">
        <f>IFERROR(VLOOKUP(A1754,'Clientes CBOT'!B:E,4,0),B1754)</f>
        <v>0</v>
      </c>
      <c r="H1754" t="str">
        <f t="shared" si="86"/>
        <v>Dólar</v>
      </c>
      <c r="I1754" s="6">
        <f t="shared" si="87"/>
        <v>0</v>
      </c>
      <c r="J1754">
        <f t="shared" si="88"/>
        <v>0</v>
      </c>
    </row>
    <row r="1755" spans="7:10" x14ac:dyDescent="0.3">
      <c r="G1755">
        <f>IFERROR(VLOOKUP(A1755,'Clientes CBOT'!B:E,4,0),B1755)</f>
        <v>0</v>
      </c>
      <c r="H1755" t="str">
        <f t="shared" si="86"/>
        <v>Dólar</v>
      </c>
      <c r="I1755" s="6">
        <f t="shared" si="87"/>
        <v>0</v>
      </c>
      <c r="J1755">
        <f t="shared" si="88"/>
        <v>0</v>
      </c>
    </row>
    <row r="1756" spans="7:10" x14ac:dyDescent="0.3">
      <c r="G1756">
        <f>IFERROR(VLOOKUP(A1756,'Clientes CBOT'!B:E,4,0),B1756)</f>
        <v>0</v>
      </c>
      <c r="H1756" t="str">
        <f t="shared" si="86"/>
        <v>Dólar</v>
      </c>
      <c r="I1756" s="6">
        <f t="shared" si="87"/>
        <v>0</v>
      </c>
      <c r="J1756">
        <f t="shared" si="88"/>
        <v>0</v>
      </c>
    </row>
    <row r="1757" spans="7:10" x14ac:dyDescent="0.3">
      <c r="G1757">
        <f>IFERROR(VLOOKUP(A1757,'Clientes CBOT'!B:E,4,0),B1757)</f>
        <v>0</v>
      </c>
      <c r="H1757" t="str">
        <f t="shared" si="86"/>
        <v>Dólar</v>
      </c>
      <c r="I1757" s="6">
        <f t="shared" si="87"/>
        <v>0</v>
      </c>
      <c r="J1757">
        <f t="shared" si="88"/>
        <v>0</v>
      </c>
    </row>
    <row r="1758" spans="7:10" x14ac:dyDescent="0.3">
      <c r="G1758">
        <f>IFERROR(VLOOKUP(A1758,'Clientes CBOT'!B:E,4,0),B1758)</f>
        <v>0</v>
      </c>
      <c r="H1758" t="str">
        <f t="shared" si="86"/>
        <v>Dólar</v>
      </c>
      <c r="I1758" s="6">
        <f t="shared" si="87"/>
        <v>0</v>
      </c>
      <c r="J1758">
        <f t="shared" si="88"/>
        <v>0</v>
      </c>
    </row>
    <row r="1759" spans="7:10" x14ac:dyDescent="0.3">
      <c r="G1759">
        <f>IFERROR(VLOOKUP(A1759,'Clientes CBOT'!B:E,4,0),B1759)</f>
        <v>0</v>
      </c>
      <c r="H1759" t="str">
        <f t="shared" si="86"/>
        <v>Dólar</v>
      </c>
      <c r="I1759" s="6">
        <f t="shared" si="87"/>
        <v>0</v>
      </c>
      <c r="J1759">
        <f t="shared" si="88"/>
        <v>0</v>
      </c>
    </row>
    <row r="1760" spans="7:10" x14ac:dyDescent="0.3">
      <c r="G1760">
        <f>IFERROR(VLOOKUP(A1760,'Clientes CBOT'!B:E,4,0),B1760)</f>
        <v>0</v>
      </c>
      <c r="H1760" t="str">
        <f t="shared" si="86"/>
        <v>Dólar</v>
      </c>
      <c r="I1760" s="6">
        <f t="shared" si="87"/>
        <v>0</v>
      </c>
      <c r="J1760">
        <f t="shared" si="88"/>
        <v>0</v>
      </c>
    </row>
    <row r="1761" spans="7:10" x14ac:dyDescent="0.3">
      <c r="G1761">
        <f>IFERROR(VLOOKUP(A1761,'Clientes CBOT'!B:E,4,0),B1761)</f>
        <v>0</v>
      </c>
      <c r="H1761" t="str">
        <f t="shared" si="86"/>
        <v>Dólar</v>
      </c>
      <c r="I1761" s="6">
        <f t="shared" si="87"/>
        <v>0</v>
      </c>
      <c r="J1761">
        <f t="shared" si="88"/>
        <v>0</v>
      </c>
    </row>
    <row r="1762" spans="7:10" x14ac:dyDescent="0.3">
      <c r="G1762">
        <f>IFERROR(VLOOKUP(A1762,'Clientes CBOT'!B:E,4,0),B1762)</f>
        <v>0</v>
      </c>
      <c r="H1762" t="str">
        <f t="shared" si="86"/>
        <v>Dólar</v>
      </c>
      <c r="I1762" s="6">
        <f t="shared" si="87"/>
        <v>0</v>
      </c>
      <c r="J1762">
        <f t="shared" si="88"/>
        <v>0</v>
      </c>
    </row>
    <row r="1763" spans="7:10" x14ac:dyDescent="0.3">
      <c r="G1763">
        <f>IFERROR(VLOOKUP(A1763,'Clientes CBOT'!B:E,4,0),B1763)</f>
        <v>0</v>
      </c>
      <c r="H1763" t="str">
        <f t="shared" si="86"/>
        <v>Dólar</v>
      </c>
      <c r="I1763" s="6">
        <f t="shared" si="87"/>
        <v>0</v>
      </c>
      <c r="J1763">
        <f t="shared" si="88"/>
        <v>0</v>
      </c>
    </row>
    <row r="1764" spans="7:10" x14ac:dyDescent="0.3">
      <c r="G1764">
        <f>IFERROR(VLOOKUP(A1764,'Clientes CBOT'!B:E,4,0),B1764)</f>
        <v>0</v>
      </c>
      <c r="H1764" t="str">
        <f t="shared" si="86"/>
        <v>Dólar</v>
      </c>
      <c r="I1764" s="6">
        <f t="shared" si="87"/>
        <v>0</v>
      </c>
      <c r="J1764">
        <f t="shared" si="88"/>
        <v>0</v>
      </c>
    </row>
    <row r="1765" spans="7:10" x14ac:dyDescent="0.3">
      <c r="G1765">
        <f>IFERROR(VLOOKUP(A1765,'Clientes CBOT'!B:E,4,0),B1765)</f>
        <v>0</v>
      </c>
      <c r="H1765" t="str">
        <f t="shared" si="86"/>
        <v>Dólar</v>
      </c>
      <c r="I1765" s="6">
        <f t="shared" si="87"/>
        <v>0</v>
      </c>
      <c r="J1765">
        <f t="shared" si="88"/>
        <v>0</v>
      </c>
    </row>
    <row r="1766" spans="7:10" x14ac:dyDescent="0.3">
      <c r="G1766">
        <f>IFERROR(VLOOKUP(A1766,'Clientes CBOT'!B:E,4,0),B1766)</f>
        <v>0</v>
      </c>
      <c r="H1766" t="str">
        <f t="shared" si="86"/>
        <v>Dólar</v>
      </c>
      <c r="I1766" s="6">
        <f t="shared" si="87"/>
        <v>0</v>
      </c>
      <c r="J1766">
        <f t="shared" si="88"/>
        <v>0</v>
      </c>
    </row>
    <row r="1767" spans="7:10" x14ac:dyDescent="0.3">
      <c r="G1767">
        <f>IFERROR(VLOOKUP(A1767,'Clientes CBOT'!B:E,4,0),B1767)</f>
        <v>0</v>
      </c>
      <c r="H1767" t="str">
        <f t="shared" si="86"/>
        <v>Dólar</v>
      </c>
      <c r="I1767" s="6">
        <f t="shared" si="87"/>
        <v>0</v>
      </c>
      <c r="J1767">
        <f t="shared" si="88"/>
        <v>0</v>
      </c>
    </row>
    <row r="1768" spans="7:10" x14ac:dyDescent="0.3">
      <c r="G1768">
        <f>IFERROR(VLOOKUP(A1768,'Clientes CBOT'!B:E,4,0),B1768)</f>
        <v>0</v>
      </c>
      <c r="H1768" t="str">
        <f t="shared" si="86"/>
        <v>Dólar</v>
      </c>
      <c r="I1768" s="6">
        <f t="shared" si="87"/>
        <v>0</v>
      </c>
      <c r="J1768">
        <f t="shared" si="88"/>
        <v>0</v>
      </c>
    </row>
    <row r="1769" spans="7:10" x14ac:dyDescent="0.3">
      <c r="G1769">
        <f>IFERROR(VLOOKUP(A1769,'Clientes CBOT'!B:E,4,0),B1769)</f>
        <v>0</v>
      </c>
      <c r="H1769" t="str">
        <f t="shared" si="86"/>
        <v>Dólar</v>
      </c>
      <c r="I1769" s="6">
        <f t="shared" si="87"/>
        <v>0</v>
      </c>
      <c r="J1769">
        <f t="shared" si="88"/>
        <v>0</v>
      </c>
    </row>
    <row r="1770" spans="7:10" x14ac:dyDescent="0.3">
      <c r="G1770">
        <f>IFERROR(VLOOKUP(A1770,'Clientes CBOT'!B:E,4,0),B1770)</f>
        <v>0</v>
      </c>
      <c r="H1770" t="str">
        <f t="shared" si="86"/>
        <v>Dólar</v>
      </c>
      <c r="I1770" s="6">
        <f t="shared" si="87"/>
        <v>0</v>
      </c>
      <c r="J1770">
        <f t="shared" si="88"/>
        <v>0</v>
      </c>
    </row>
    <row r="1771" spans="7:10" x14ac:dyDescent="0.3">
      <c r="G1771">
        <f>IFERROR(VLOOKUP(A1771,'Clientes CBOT'!B:E,4,0),B1771)</f>
        <v>0</v>
      </c>
      <c r="H1771" t="str">
        <f t="shared" si="86"/>
        <v>Dólar</v>
      </c>
      <c r="I1771" s="6">
        <f t="shared" si="87"/>
        <v>0</v>
      </c>
      <c r="J1771">
        <f t="shared" si="88"/>
        <v>0</v>
      </c>
    </row>
    <row r="1772" spans="7:10" x14ac:dyDescent="0.3">
      <c r="G1772">
        <f>IFERROR(VLOOKUP(A1772,'Clientes CBOT'!B:E,4,0),B1772)</f>
        <v>0</v>
      </c>
      <c r="H1772" t="str">
        <f t="shared" si="86"/>
        <v>Dólar</v>
      </c>
      <c r="I1772" s="6">
        <f t="shared" si="87"/>
        <v>0</v>
      </c>
      <c r="J1772">
        <f t="shared" si="88"/>
        <v>0</v>
      </c>
    </row>
    <row r="1773" spans="7:10" x14ac:dyDescent="0.3">
      <c r="G1773">
        <f>IFERROR(VLOOKUP(A1773,'Clientes CBOT'!B:E,4,0),B1773)</f>
        <v>0</v>
      </c>
      <c r="H1773" t="str">
        <f t="shared" si="86"/>
        <v>Dólar</v>
      </c>
      <c r="I1773" s="6">
        <f t="shared" si="87"/>
        <v>0</v>
      </c>
      <c r="J1773">
        <f t="shared" si="88"/>
        <v>0</v>
      </c>
    </row>
    <row r="1774" spans="7:10" x14ac:dyDescent="0.3">
      <c r="G1774">
        <f>IFERROR(VLOOKUP(A1774,'Clientes CBOT'!B:E,4,0),B1774)</f>
        <v>0</v>
      </c>
      <c r="H1774" t="str">
        <f t="shared" si="86"/>
        <v>Dólar</v>
      </c>
      <c r="I1774" s="6">
        <f t="shared" si="87"/>
        <v>0</v>
      </c>
      <c r="J1774">
        <f t="shared" si="88"/>
        <v>0</v>
      </c>
    </row>
    <row r="1775" spans="7:10" x14ac:dyDescent="0.3">
      <c r="G1775">
        <f>IFERROR(VLOOKUP(A1775,'Clientes CBOT'!B:E,4,0),B1775)</f>
        <v>0</v>
      </c>
      <c r="H1775" t="str">
        <f t="shared" si="86"/>
        <v>Dólar</v>
      </c>
      <c r="I1775" s="6">
        <f t="shared" si="87"/>
        <v>0</v>
      </c>
      <c r="J1775">
        <f t="shared" si="88"/>
        <v>0</v>
      </c>
    </row>
    <row r="1776" spans="7:10" x14ac:dyDescent="0.3">
      <c r="G1776">
        <f>IFERROR(VLOOKUP(A1776,'Clientes CBOT'!B:E,4,0),B1776)</f>
        <v>0</v>
      </c>
      <c r="H1776" t="str">
        <f t="shared" si="86"/>
        <v>Dólar</v>
      </c>
      <c r="I1776" s="6">
        <f t="shared" si="87"/>
        <v>0</v>
      </c>
      <c r="J1776">
        <f t="shared" si="88"/>
        <v>0</v>
      </c>
    </row>
    <row r="1777" spans="7:10" x14ac:dyDescent="0.3">
      <c r="G1777">
        <f>IFERROR(VLOOKUP(A1777,'Clientes CBOT'!B:E,4,0),B1777)</f>
        <v>0</v>
      </c>
      <c r="H1777" t="str">
        <f t="shared" si="86"/>
        <v>Dólar</v>
      </c>
      <c r="I1777" s="6">
        <f t="shared" si="87"/>
        <v>0</v>
      </c>
      <c r="J1777">
        <f t="shared" si="88"/>
        <v>0</v>
      </c>
    </row>
    <row r="1778" spans="7:10" x14ac:dyDescent="0.3">
      <c r="G1778">
        <f>IFERROR(VLOOKUP(A1778,'Clientes CBOT'!B:E,4,0),B1778)</f>
        <v>0</v>
      </c>
      <c r="H1778" t="str">
        <f t="shared" si="86"/>
        <v>Dólar</v>
      </c>
      <c r="I1778" s="6">
        <f t="shared" si="87"/>
        <v>0</v>
      </c>
      <c r="J1778">
        <f t="shared" si="88"/>
        <v>0</v>
      </c>
    </row>
    <row r="1779" spans="7:10" x14ac:dyDescent="0.3">
      <c r="G1779">
        <f>IFERROR(VLOOKUP(A1779,'Clientes CBOT'!B:E,4,0),B1779)</f>
        <v>0</v>
      </c>
      <c r="H1779" t="str">
        <f t="shared" si="86"/>
        <v>Dólar</v>
      </c>
      <c r="I1779" s="6">
        <f t="shared" si="87"/>
        <v>0</v>
      </c>
      <c r="J1779">
        <f t="shared" si="88"/>
        <v>0</v>
      </c>
    </row>
    <row r="1780" spans="7:10" x14ac:dyDescent="0.3">
      <c r="G1780">
        <f>IFERROR(VLOOKUP(A1780,'Clientes CBOT'!B:E,4,0),B1780)</f>
        <v>0</v>
      </c>
      <c r="H1780" t="str">
        <f t="shared" si="86"/>
        <v>Dólar</v>
      </c>
      <c r="I1780" s="6">
        <f t="shared" si="87"/>
        <v>0</v>
      </c>
      <c r="J1780">
        <f t="shared" si="88"/>
        <v>0</v>
      </c>
    </row>
    <row r="1781" spans="7:10" x14ac:dyDescent="0.3">
      <c r="G1781">
        <f>IFERROR(VLOOKUP(A1781,'Clientes CBOT'!B:E,4,0),B1781)</f>
        <v>0</v>
      </c>
      <c r="H1781" t="str">
        <f t="shared" si="86"/>
        <v>Dólar</v>
      </c>
      <c r="I1781" s="6">
        <f t="shared" si="87"/>
        <v>0</v>
      </c>
      <c r="J1781">
        <f t="shared" si="88"/>
        <v>0</v>
      </c>
    </row>
    <row r="1782" spans="7:10" x14ac:dyDescent="0.3">
      <c r="G1782">
        <f>IFERROR(VLOOKUP(A1782,'Clientes CBOT'!B:E,4,0),B1782)</f>
        <v>0</v>
      </c>
      <c r="H1782" t="str">
        <f t="shared" si="86"/>
        <v>Dólar</v>
      </c>
      <c r="I1782" s="6">
        <f t="shared" si="87"/>
        <v>0</v>
      </c>
      <c r="J1782">
        <f t="shared" si="88"/>
        <v>0</v>
      </c>
    </row>
    <row r="1783" spans="7:10" x14ac:dyDescent="0.3">
      <c r="G1783">
        <f>IFERROR(VLOOKUP(A1783,'Clientes CBOT'!B:E,4,0),B1783)</f>
        <v>0</v>
      </c>
      <c r="H1783" t="str">
        <f t="shared" si="86"/>
        <v>Dólar</v>
      </c>
      <c r="I1783" s="6">
        <f t="shared" si="87"/>
        <v>0</v>
      </c>
      <c r="J1783">
        <f t="shared" si="88"/>
        <v>0</v>
      </c>
    </row>
    <row r="1784" spans="7:10" x14ac:dyDescent="0.3">
      <c r="G1784">
        <f>IFERROR(VLOOKUP(A1784,'Clientes CBOT'!B:E,4,0),B1784)</f>
        <v>0</v>
      </c>
      <c r="H1784" t="str">
        <f t="shared" si="86"/>
        <v>Dólar</v>
      </c>
      <c r="I1784" s="6">
        <f t="shared" si="87"/>
        <v>0</v>
      </c>
      <c r="J1784">
        <f t="shared" si="88"/>
        <v>0</v>
      </c>
    </row>
    <row r="1785" spans="7:10" x14ac:dyDescent="0.3">
      <c r="G1785">
        <f>IFERROR(VLOOKUP(A1785,'Clientes CBOT'!B:E,4,0),B1785)</f>
        <v>0</v>
      </c>
      <c r="H1785" t="str">
        <f t="shared" si="86"/>
        <v>Dólar</v>
      </c>
      <c r="I1785" s="6">
        <f t="shared" si="87"/>
        <v>0</v>
      </c>
      <c r="J1785">
        <f t="shared" si="88"/>
        <v>0</v>
      </c>
    </row>
    <row r="1786" spans="7:10" x14ac:dyDescent="0.3">
      <c r="G1786">
        <f>IFERROR(VLOOKUP(A1786,'Clientes CBOT'!B:E,4,0),B1786)</f>
        <v>0</v>
      </c>
      <c r="H1786" t="str">
        <f t="shared" si="86"/>
        <v>Dólar</v>
      </c>
      <c r="I1786" s="6">
        <f t="shared" si="87"/>
        <v>0</v>
      </c>
      <c r="J1786">
        <f t="shared" si="88"/>
        <v>0</v>
      </c>
    </row>
    <row r="1787" spans="7:10" x14ac:dyDescent="0.3">
      <c r="G1787">
        <f>IFERROR(VLOOKUP(A1787,'Clientes CBOT'!B:E,4,0),B1787)</f>
        <v>0</v>
      </c>
      <c r="H1787" t="str">
        <f t="shared" si="86"/>
        <v>Dólar</v>
      </c>
      <c r="I1787" s="6">
        <f t="shared" si="87"/>
        <v>0</v>
      </c>
      <c r="J1787">
        <f t="shared" si="88"/>
        <v>0</v>
      </c>
    </row>
    <row r="1788" spans="7:10" x14ac:dyDescent="0.3">
      <c r="G1788">
        <f>IFERROR(VLOOKUP(A1788,'Clientes CBOT'!B:E,4,0),B1788)</f>
        <v>0</v>
      </c>
      <c r="H1788" t="str">
        <f t="shared" si="86"/>
        <v>Dólar</v>
      </c>
      <c r="I1788" s="6">
        <f t="shared" si="87"/>
        <v>0</v>
      </c>
      <c r="J1788">
        <f t="shared" si="88"/>
        <v>0</v>
      </c>
    </row>
    <row r="1789" spans="7:10" x14ac:dyDescent="0.3">
      <c r="G1789">
        <f>IFERROR(VLOOKUP(A1789,'Clientes CBOT'!B:E,4,0),B1789)</f>
        <v>0</v>
      </c>
      <c r="H1789" t="str">
        <f t="shared" si="86"/>
        <v>Dólar</v>
      </c>
      <c r="I1789" s="6">
        <f t="shared" si="87"/>
        <v>0</v>
      </c>
      <c r="J1789">
        <f t="shared" si="88"/>
        <v>0</v>
      </c>
    </row>
    <row r="1790" spans="7:10" x14ac:dyDescent="0.3">
      <c r="G1790">
        <f>IFERROR(VLOOKUP(A1790,'Clientes CBOT'!B:E,4,0),B1790)</f>
        <v>0</v>
      </c>
      <c r="H1790" t="str">
        <f t="shared" si="86"/>
        <v>Dólar</v>
      </c>
      <c r="I1790" s="6">
        <f t="shared" si="87"/>
        <v>0</v>
      </c>
      <c r="J1790">
        <f t="shared" si="88"/>
        <v>0</v>
      </c>
    </row>
    <row r="1791" spans="7:10" x14ac:dyDescent="0.3">
      <c r="G1791">
        <f>IFERROR(VLOOKUP(A1791,'Clientes CBOT'!B:E,4,0),B1791)</f>
        <v>0</v>
      </c>
      <c r="H1791" t="str">
        <f t="shared" si="86"/>
        <v>Dólar</v>
      </c>
      <c r="I1791" s="6">
        <f t="shared" si="87"/>
        <v>0</v>
      </c>
      <c r="J1791">
        <f t="shared" si="88"/>
        <v>0</v>
      </c>
    </row>
    <row r="1792" spans="7:10" x14ac:dyDescent="0.3">
      <c r="G1792">
        <f>IFERROR(VLOOKUP(A1792,'Clientes CBOT'!B:E,4,0),B1792)</f>
        <v>0</v>
      </c>
      <c r="H1792" t="str">
        <f t="shared" si="86"/>
        <v>Dólar</v>
      </c>
      <c r="I1792" s="6">
        <f t="shared" si="87"/>
        <v>0</v>
      </c>
      <c r="J1792">
        <f t="shared" si="88"/>
        <v>0</v>
      </c>
    </row>
    <row r="1793" spans="7:10" x14ac:dyDescent="0.3">
      <c r="G1793">
        <f>IFERROR(VLOOKUP(A1793,'Clientes CBOT'!B:E,4,0),B1793)</f>
        <v>0</v>
      </c>
      <c r="H1793" t="str">
        <f t="shared" si="86"/>
        <v>Dólar</v>
      </c>
      <c r="I1793" s="6">
        <f t="shared" si="87"/>
        <v>0</v>
      </c>
      <c r="J1793">
        <f t="shared" si="88"/>
        <v>0</v>
      </c>
    </row>
    <row r="1794" spans="7:10" x14ac:dyDescent="0.3">
      <c r="G1794">
        <f>IFERROR(VLOOKUP(A1794,'Clientes CBOT'!B:E,4,0),B1794)</f>
        <v>0</v>
      </c>
      <c r="H1794" t="str">
        <f t="shared" si="86"/>
        <v>Dólar</v>
      </c>
      <c r="I1794" s="6">
        <f t="shared" si="87"/>
        <v>0</v>
      </c>
      <c r="J1794">
        <f t="shared" si="88"/>
        <v>0</v>
      </c>
    </row>
    <row r="1795" spans="7:10" x14ac:dyDescent="0.3">
      <c r="G1795">
        <f>IFERROR(VLOOKUP(A1795,'Clientes CBOT'!B:E,4,0),B1795)</f>
        <v>0</v>
      </c>
      <c r="H1795" t="str">
        <f t="shared" si="86"/>
        <v>Dólar</v>
      </c>
      <c r="I1795" s="6">
        <f t="shared" si="87"/>
        <v>0</v>
      </c>
      <c r="J1795">
        <f t="shared" si="88"/>
        <v>0</v>
      </c>
    </row>
    <row r="1796" spans="7:10" x14ac:dyDescent="0.3">
      <c r="G1796">
        <f>IFERROR(VLOOKUP(A1796,'Clientes CBOT'!B:E,4,0),B1796)</f>
        <v>0</v>
      </c>
      <c r="H1796" t="str">
        <f t="shared" si="86"/>
        <v>Dólar</v>
      </c>
      <c r="I1796" s="6">
        <f t="shared" si="87"/>
        <v>0</v>
      </c>
      <c r="J1796">
        <f t="shared" si="88"/>
        <v>0</v>
      </c>
    </row>
    <row r="1797" spans="7:10" x14ac:dyDescent="0.3">
      <c r="G1797">
        <f>IFERROR(VLOOKUP(A1797,'Clientes CBOT'!B:E,4,0),B1797)</f>
        <v>0</v>
      </c>
      <c r="H1797" t="str">
        <f t="shared" ref="H1797:H1860" si="89">IF(E1797="pesos","Ars",IF(E1797="Dólar Matba Rofex","usd linked",IF(F1797=" U$S TT","Hard","Dólar")))</f>
        <v>Dólar</v>
      </c>
      <c r="I1797" s="6">
        <f t="shared" ref="I1797:I1860" si="90">IF(H1797="ars",C1797/$J$1,IF(H1797="Hard",C1797*$J$2/$J$1,C1797))</f>
        <v>0</v>
      </c>
      <c r="J1797">
        <f t="shared" si="88"/>
        <v>0</v>
      </c>
    </row>
    <row r="1798" spans="7:10" x14ac:dyDescent="0.3">
      <c r="G1798">
        <f>IFERROR(VLOOKUP(A1798,'Clientes CBOT'!B:E,4,0),B1798)</f>
        <v>0</v>
      </c>
      <c r="H1798" t="str">
        <f t="shared" si="89"/>
        <v>Dólar</v>
      </c>
      <c r="I1798" s="6">
        <f t="shared" si="90"/>
        <v>0</v>
      </c>
      <c r="J1798">
        <f t="shared" si="88"/>
        <v>0</v>
      </c>
    </row>
    <row r="1799" spans="7:10" x14ac:dyDescent="0.3">
      <c r="G1799">
        <f>IFERROR(VLOOKUP(A1799,'Clientes CBOT'!B:E,4,0),B1799)</f>
        <v>0</v>
      </c>
      <c r="H1799" t="str">
        <f t="shared" si="89"/>
        <v>Dólar</v>
      </c>
      <c r="I1799" s="6">
        <f t="shared" si="90"/>
        <v>0</v>
      </c>
      <c r="J1799">
        <f t="shared" si="88"/>
        <v>0</v>
      </c>
    </row>
    <row r="1800" spans="7:10" x14ac:dyDescent="0.3">
      <c r="G1800">
        <f>IFERROR(VLOOKUP(A1800,'Clientes CBOT'!B:E,4,0),B1800)</f>
        <v>0</v>
      </c>
      <c r="H1800" t="str">
        <f t="shared" si="89"/>
        <v>Dólar</v>
      </c>
      <c r="I1800" s="6">
        <f t="shared" si="90"/>
        <v>0</v>
      </c>
      <c r="J1800">
        <f t="shared" si="88"/>
        <v>0</v>
      </c>
    </row>
    <row r="1801" spans="7:10" x14ac:dyDescent="0.3">
      <c r="G1801">
        <f>IFERROR(VLOOKUP(A1801,'Clientes CBOT'!B:E,4,0),B1801)</f>
        <v>0</v>
      </c>
      <c r="H1801" t="str">
        <f t="shared" si="89"/>
        <v>Dólar</v>
      </c>
      <c r="I1801" s="6">
        <f t="shared" si="90"/>
        <v>0</v>
      </c>
      <c r="J1801">
        <f t="shared" si="88"/>
        <v>0</v>
      </c>
    </row>
    <row r="1802" spans="7:10" x14ac:dyDescent="0.3">
      <c r="G1802">
        <f>IFERROR(VLOOKUP(A1802,'Clientes CBOT'!B:E,4,0),B1802)</f>
        <v>0</v>
      </c>
      <c r="H1802" t="str">
        <f t="shared" si="89"/>
        <v>Dólar</v>
      </c>
      <c r="I1802" s="6">
        <f t="shared" si="90"/>
        <v>0</v>
      </c>
      <c r="J1802">
        <f t="shared" si="88"/>
        <v>0</v>
      </c>
    </row>
    <row r="1803" spans="7:10" x14ac:dyDescent="0.3">
      <c r="G1803">
        <f>IFERROR(VLOOKUP(A1803,'Clientes CBOT'!B:E,4,0),B1803)</f>
        <v>0</v>
      </c>
      <c r="H1803" t="str">
        <f t="shared" si="89"/>
        <v>Dólar</v>
      </c>
      <c r="I1803" s="6">
        <f t="shared" si="90"/>
        <v>0</v>
      </c>
      <c r="J1803">
        <f t="shared" si="88"/>
        <v>0</v>
      </c>
    </row>
    <row r="1804" spans="7:10" x14ac:dyDescent="0.3">
      <c r="G1804">
        <f>IFERROR(VLOOKUP(A1804,'Clientes CBOT'!B:E,4,0),B1804)</f>
        <v>0</v>
      </c>
      <c r="H1804" t="str">
        <f t="shared" si="89"/>
        <v>Dólar</v>
      </c>
      <c r="I1804" s="6">
        <f t="shared" si="90"/>
        <v>0</v>
      </c>
      <c r="J1804">
        <f t="shared" si="88"/>
        <v>0</v>
      </c>
    </row>
    <row r="1805" spans="7:10" x14ac:dyDescent="0.3">
      <c r="G1805">
        <f>IFERROR(VLOOKUP(A1805,'Clientes CBOT'!B:E,4,0),B1805)</f>
        <v>0</v>
      </c>
      <c r="H1805" t="str">
        <f t="shared" si="89"/>
        <v>Dólar</v>
      </c>
      <c r="I1805" s="6">
        <f t="shared" si="90"/>
        <v>0</v>
      </c>
      <c r="J1805">
        <f t="shared" si="88"/>
        <v>0</v>
      </c>
    </row>
    <row r="1806" spans="7:10" x14ac:dyDescent="0.3">
      <c r="G1806">
        <f>IFERROR(VLOOKUP(A1806,'Clientes CBOT'!B:E,4,0),B1806)</f>
        <v>0</v>
      </c>
      <c r="H1806" t="str">
        <f t="shared" si="89"/>
        <v>Dólar</v>
      </c>
      <c r="I1806" s="6">
        <f t="shared" si="90"/>
        <v>0</v>
      </c>
      <c r="J1806">
        <f t="shared" si="88"/>
        <v>0</v>
      </c>
    </row>
    <row r="1807" spans="7:10" x14ac:dyDescent="0.3">
      <c r="G1807">
        <f>IFERROR(VLOOKUP(A1807,'Clientes CBOT'!B:E,4,0),B1807)</f>
        <v>0</v>
      </c>
      <c r="H1807" t="str">
        <f t="shared" si="89"/>
        <v>Dólar</v>
      </c>
      <c r="I1807" s="6">
        <f t="shared" si="90"/>
        <v>0</v>
      </c>
      <c r="J1807">
        <f t="shared" si="88"/>
        <v>0</v>
      </c>
    </row>
    <row r="1808" spans="7:10" x14ac:dyDescent="0.3">
      <c r="G1808">
        <f>IFERROR(VLOOKUP(A1808,'Clientes CBOT'!B:E,4,0),B1808)</f>
        <v>0</v>
      </c>
      <c r="H1808" t="str">
        <f t="shared" si="89"/>
        <v>Dólar</v>
      </c>
      <c r="I1808" s="6">
        <f t="shared" si="90"/>
        <v>0</v>
      </c>
      <c r="J1808">
        <f t="shared" si="88"/>
        <v>0</v>
      </c>
    </row>
    <row r="1809" spans="7:10" x14ac:dyDescent="0.3">
      <c r="G1809">
        <f>IFERROR(VLOOKUP(A1809,'Clientes CBOT'!B:E,4,0),B1809)</f>
        <v>0</v>
      </c>
      <c r="H1809" t="str">
        <f t="shared" si="89"/>
        <v>Dólar</v>
      </c>
      <c r="I1809" s="6">
        <f t="shared" si="90"/>
        <v>0</v>
      </c>
      <c r="J1809">
        <f t="shared" si="88"/>
        <v>0</v>
      </c>
    </row>
    <row r="1810" spans="7:10" x14ac:dyDescent="0.3">
      <c r="G1810">
        <f>IFERROR(VLOOKUP(A1810,'Clientes CBOT'!B:E,4,0),B1810)</f>
        <v>0</v>
      </c>
      <c r="H1810" t="str">
        <f t="shared" si="89"/>
        <v>Dólar</v>
      </c>
      <c r="I1810" s="6">
        <f t="shared" si="90"/>
        <v>0</v>
      </c>
      <c r="J1810">
        <f t="shared" si="88"/>
        <v>0</v>
      </c>
    </row>
    <row r="1811" spans="7:10" x14ac:dyDescent="0.3">
      <c r="G1811">
        <f>IFERROR(VLOOKUP(A1811,'Clientes CBOT'!B:E,4,0),B1811)</f>
        <v>0</v>
      </c>
      <c r="H1811" t="str">
        <f t="shared" si="89"/>
        <v>Dólar</v>
      </c>
      <c r="I1811" s="6">
        <f t="shared" si="90"/>
        <v>0</v>
      </c>
      <c r="J1811">
        <f t="shared" si="88"/>
        <v>0</v>
      </c>
    </row>
    <row r="1812" spans="7:10" x14ac:dyDescent="0.3">
      <c r="G1812">
        <f>IFERROR(VLOOKUP(A1812,'Clientes CBOT'!B:E,4,0),B1812)</f>
        <v>0</v>
      </c>
      <c r="H1812" t="str">
        <f t="shared" si="89"/>
        <v>Dólar</v>
      </c>
      <c r="I1812" s="6">
        <f t="shared" si="90"/>
        <v>0</v>
      </c>
      <c r="J1812">
        <f t="shared" ref="J1812:J1875" si="91">IF(H1812="ars",D1812/$J$1,IF(H1812="hard",D1812*$J$2/$J$1,D1812))</f>
        <v>0</v>
      </c>
    </row>
    <row r="1813" spans="7:10" x14ac:dyDescent="0.3">
      <c r="G1813">
        <f>IFERROR(VLOOKUP(A1813,'Clientes CBOT'!B:E,4,0),B1813)</f>
        <v>0</v>
      </c>
      <c r="H1813" t="str">
        <f t="shared" si="89"/>
        <v>Dólar</v>
      </c>
      <c r="I1813" s="6">
        <f t="shared" si="90"/>
        <v>0</v>
      </c>
      <c r="J1813">
        <f t="shared" si="91"/>
        <v>0</v>
      </c>
    </row>
    <row r="1814" spans="7:10" x14ac:dyDescent="0.3">
      <c r="G1814">
        <f>IFERROR(VLOOKUP(A1814,'Clientes CBOT'!B:E,4,0),B1814)</f>
        <v>0</v>
      </c>
      <c r="H1814" t="str">
        <f t="shared" si="89"/>
        <v>Dólar</v>
      </c>
      <c r="I1814" s="6">
        <f t="shared" si="90"/>
        <v>0</v>
      </c>
      <c r="J1814">
        <f t="shared" si="91"/>
        <v>0</v>
      </c>
    </row>
    <row r="1815" spans="7:10" x14ac:dyDescent="0.3">
      <c r="G1815">
        <f>IFERROR(VLOOKUP(A1815,'Clientes CBOT'!B:E,4,0),B1815)</f>
        <v>0</v>
      </c>
      <c r="H1815" t="str">
        <f t="shared" si="89"/>
        <v>Dólar</v>
      </c>
      <c r="I1815" s="6">
        <f t="shared" si="90"/>
        <v>0</v>
      </c>
      <c r="J1815">
        <f t="shared" si="91"/>
        <v>0</v>
      </c>
    </row>
    <row r="1816" spans="7:10" x14ac:dyDescent="0.3">
      <c r="G1816">
        <f>IFERROR(VLOOKUP(A1816,'Clientes CBOT'!B:E,4,0),B1816)</f>
        <v>0</v>
      </c>
      <c r="H1816" t="str">
        <f t="shared" si="89"/>
        <v>Dólar</v>
      </c>
      <c r="I1816" s="6">
        <f t="shared" si="90"/>
        <v>0</v>
      </c>
      <c r="J1816">
        <f t="shared" si="91"/>
        <v>0</v>
      </c>
    </row>
    <row r="1817" spans="7:10" x14ac:dyDescent="0.3">
      <c r="G1817">
        <f>IFERROR(VLOOKUP(A1817,'Clientes CBOT'!B:E,4,0),B1817)</f>
        <v>0</v>
      </c>
      <c r="H1817" t="str">
        <f t="shared" si="89"/>
        <v>Dólar</v>
      </c>
      <c r="I1817" s="6">
        <f t="shared" si="90"/>
        <v>0</v>
      </c>
      <c r="J1817">
        <f t="shared" si="91"/>
        <v>0</v>
      </c>
    </row>
    <row r="1818" spans="7:10" x14ac:dyDescent="0.3">
      <c r="G1818">
        <f>IFERROR(VLOOKUP(A1818,'Clientes CBOT'!B:E,4,0),B1818)</f>
        <v>0</v>
      </c>
      <c r="H1818" t="str">
        <f t="shared" si="89"/>
        <v>Dólar</v>
      </c>
      <c r="I1818" s="6">
        <f t="shared" si="90"/>
        <v>0</v>
      </c>
      <c r="J1818">
        <f t="shared" si="91"/>
        <v>0</v>
      </c>
    </row>
    <row r="1819" spans="7:10" x14ac:dyDescent="0.3">
      <c r="G1819">
        <f>IFERROR(VLOOKUP(A1819,'Clientes CBOT'!B:E,4,0),B1819)</f>
        <v>0</v>
      </c>
      <c r="H1819" t="str">
        <f t="shared" si="89"/>
        <v>Dólar</v>
      </c>
      <c r="I1819" s="6">
        <f t="shared" si="90"/>
        <v>0</v>
      </c>
      <c r="J1819">
        <f t="shared" si="91"/>
        <v>0</v>
      </c>
    </row>
    <row r="1820" spans="7:10" x14ac:dyDescent="0.3">
      <c r="G1820">
        <f>IFERROR(VLOOKUP(A1820,'Clientes CBOT'!B:E,4,0),B1820)</f>
        <v>0</v>
      </c>
      <c r="H1820" t="str">
        <f t="shared" si="89"/>
        <v>Dólar</v>
      </c>
      <c r="I1820" s="6">
        <f t="shared" si="90"/>
        <v>0</v>
      </c>
      <c r="J1820">
        <f t="shared" si="91"/>
        <v>0</v>
      </c>
    </row>
    <row r="1821" spans="7:10" x14ac:dyDescent="0.3">
      <c r="G1821">
        <f>IFERROR(VLOOKUP(A1821,'Clientes CBOT'!B:E,4,0),B1821)</f>
        <v>0</v>
      </c>
      <c r="H1821" t="str">
        <f t="shared" si="89"/>
        <v>Dólar</v>
      </c>
      <c r="I1821" s="6">
        <f t="shared" si="90"/>
        <v>0</v>
      </c>
      <c r="J1821">
        <f t="shared" si="91"/>
        <v>0</v>
      </c>
    </row>
    <row r="1822" spans="7:10" x14ac:dyDescent="0.3">
      <c r="G1822">
        <f>IFERROR(VLOOKUP(A1822,'Clientes CBOT'!B:E,4,0),B1822)</f>
        <v>0</v>
      </c>
      <c r="H1822" t="str">
        <f t="shared" si="89"/>
        <v>Dólar</v>
      </c>
      <c r="I1822" s="6">
        <f t="shared" si="90"/>
        <v>0</v>
      </c>
      <c r="J1822">
        <f t="shared" si="91"/>
        <v>0</v>
      </c>
    </row>
    <row r="1823" spans="7:10" x14ac:dyDescent="0.3">
      <c r="G1823">
        <f>IFERROR(VLOOKUP(A1823,'Clientes CBOT'!B:E,4,0),B1823)</f>
        <v>0</v>
      </c>
      <c r="H1823" t="str">
        <f t="shared" si="89"/>
        <v>Dólar</v>
      </c>
      <c r="I1823" s="6">
        <f t="shared" si="90"/>
        <v>0</v>
      </c>
      <c r="J1823">
        <f t="shared" si="91"/>
        <v>0</v>
      </c>
    </row>
    <row r="1824" spans="7:10" x14ac:dyDescent="0.3">
      <c r="G1824">
        <f>IFERROR(VLOOKUP(A1824,'Clientes CBOT'!B:E,4,0),B1824)</f>
        <v>0</v>
      </c>
      <c r="H1824" t="str">
        <f t="shared" si="89"/>
        <v>Dólar</v>
      </c>
      <c r="I1824" s="6">
        <f t="shared" si="90"/>
        <v>0</v>
      </c>
      <c r="J1824">
        <f t="shared" si="91"/>
        <v>0</v>
      </c>
    </row>
    <row r="1825" spans="7:10" x14ac:dyDescent="0.3">
      <c r="G1825">
        <f>IFERROR(VLOOKUP(A1825,'Clientes CBOT'!B:E,4,0),B1825)</f>
        <v>0</v>
      </c>
      <c r="H1825" t="str">
        <f t="shared" si="89"/>
        <v>Dólar</v>
      </c>
      <c r="I1825" s="6">
        <f t="shared" si="90"/>
        <v>0</v>
      </c>
      <c r="J1825">
        <f t="shared" si="91"/>
        <v>0</v>
      </c>
    </row>
    <row r="1826" spans="7:10" x14ac:dyDescent="0.3">
      <c r="G1826">
        <f>IFERROR(VLOOKUP(A1826,'Clientes CBOT'!B:E,4,0),B1826)</f>
        <v>0</v>
      </c>
      <c r="H1826" t="str">
        <f t="shared" si="89"/>
        <v>Dólar</v>
      </c>
      <c r="I1826" s="6">
        <f t="shared" si="90"/>
        <v>0</v>
      </c>
      <c r="J1826">
        <f t="shared" si="91"/>
        <v>0</v>
      </c>
    </row>
    <row r="1827" spans="7:10" x14ac:dyDescent="0.3">
      <c r="G1827">
        <f>IFERROR(VLOOKUP(A1827,'Clientes CBOT'!B:E,4,0),B1827)</f>
        <v>0</v>
      </c>
      <c r="H1827" t="str">
        <f t="shared" si="89"/>
        <v>Dólar</v>
      </c>
      <c r="I1827" s="6">
        <f t="shared" si="90"/>
        <v>0</v>
      </c>
      <c r="J1827">
        <f t="shared" si="91"/>
        <v>0</v>
      </c>
    </row>
    <row r="1828" spans="7:10" x14ac:dyDescent="0.3">
      <c r="G1828">
        <f>IFERROR(VLOOKUP(A1828,'Clientes CBOT'!B:E,4,0),B1828)</f>
        <v>0</v>
      </c>
      <c r="H1828" t="str">
        <f t="shared" si="89"/>
        <v>Dólar</v>
      </c>
      <c r="I1828" s="6">
        <f t="shared" si="90"/>
        <v>0</v>
      </c>
      <c r="J1828">
        <f t="shared" si="91"/>
        <v>0</v>
      </c>
    </row>
    <row r="1829" spans="7:10" x14ac:dyDescent="0.3">
      <c r="G1829">
        <f>IFERROR(VLOOKUP(A1829,'Clientes CBOT'!B:E,4,0),B1829)</f>
        <v>0</v>
      </c>
      <c r="H1829" t="str">
        <f t="shared" si="89"/>
        <v>Dólar</v>
      </c>
      <c r="I1829" s="6">
        <f t="shared" si="90"/>
        <v>0</v>
      </c>
      <c r="J1829">
        <f t="shared" si="91"/>
        <v>0</v>
      </c>
    </row>
    <row r="1830" spans="7:10" x14ac:dyDescent="0.3">
      <c r="G1830">
        <f>IFERROR(VLOOKUP(A1830,'Clientes CBOT'!B:E,4,0),B1830)</f>
        <v>0</v>
      </c>
      <c r="H1830" t="str">
        <f t="shared" si="89"/>
        <v>Dólar</v>
      </c>
      <c r="I1830" s="6">
        <f t="shared" si="90"/>
        <v>0</v>
      </c>
      <c r="J1830">
        <f t="shared" si="91"/>
        <v>0</v>
      </c>
    </row>
    <row r="1831" spans="7:10" x14ac:dyDescent="0.3">
      <c r="G1831">
        <f>IFERROR(VLOOKUP(A1831,'Clientes CBOT'!B:E,4,0),B1831)</f>
        <v>0</v>
      </c>
      <c r="H1831" t="str">
        <f t="shared" si="89"/>
        <v>Dólar</v>
      </c>
      <c r="I1831" s="6">
        <f t="shared" si="90"/>
        <v>0</v>
      </c>
      <c r="J1831">
        <f t="shared" si="91"/>
        <v>0</v>
      </c>
    </row>
    <row r="1832" spans="7:10" x14ac:dyDescent="0.3">
      <c r="G1832">
        <f>IFERROR(VLOOKUP(A1832,'Clientes CBOT'!B:E,4,0),B1832)</f>
        <v>0</v>
      </c>
      <c r="H1832" t="str">
        <f t="shared" si="89"/>
        <v>Dólar</v>
      </c>
      <c r="I1832" s="6">
        <f t="shared" si="90"/>
        <v>0</v>
      </c>
      <c r="J1832">
        <f t="shared" si="91"/>
        <v>0</v>
      </c>
    </row>
    <row r="1833" spans="7:10" x14ac:dyDescent="0.3">
      <c r="G1833">
        <f>IFERROR(VLOOKUP(A1833,'Clientes CBOT'!B:E,4,0),B1833)</f>
        <v>0</v>
      </c>
      <c r="H1833" t="str">
        <f t="shared" si="89"/>
        <v>Dólar</v>
      </c>
      <c r="I1833" s="6">
        <f t="shared" si="90"/>
        <v>0</v>
      </c>
      <c r="J1833">
        <f t="shared" si="91"/>
        <v>0</v>
      </c>
    </row>
    <row r="1834" spans="7:10" x14ac:dyDescent="0.3">
      <c r="G1834">
        <f>IFERROR(VLOOKUP(A1834,'Clientes CBOT'!B:E,4,0),B1834)</f>
        <v>0</v>
      </c>
      <c r="H1834" t="str">
        <f t="shared" si="89"/>
        <v>Dólar</v>
      </c>
      <c r="I1834" s="6">
        <f t="shared" si="90"/>
        <v>0</v>
      </c>
      <c r="J1834">
        <f t="shared" si="91"/>
        <v>0</v>
      </c>
    </row>
    <row r="1835" spans="7:10" x14ac:dyDescent="0.3">
      <c r="G1835">
        <f>IFERROR(VLOOKUP(A1835,'Clientes CBOT'!B:E,4,0),B1835)</f>
        <v>0</v>
      </c>
      <c r="H1835" t="str">
        <f t="shared" si="89"/>
        <v>Dólar</v>
      </c>
      <c r="I1835" s="6">
        <f t="shared" si="90"/>
        <v>0</v>
      </c>
      <c r="J1835">
        <f t="shared" si="91"/>
        <v>0</v>
      </c>
    </row>
    <row r="1836" spans="7:10" x14ac:dyDescent="0.3">
      <c r="G1836">
        <f>IFERROR(VLOOKUP(A1836,'Clientes CBOT'!B:E,4,0),B1836)</f>
        <v>0</v>
      </c>
      <c r="H1836" t="str">
        <f t="shared" si="89"/>
        <v>Dólar</v>
      </c>
      <c r="I1836" s="6">
        <f t="shared" si="90"/>
        <v>0</v>
      </c>
      <c r="J1836">
        <f t="shared" si="91"/>
        <v>0</v>
      </c>
    </row>
    <row r="1837" spans="7:10" x14ac:dyDescent="0.3">
      <c r="G1837">
        <f>IFERROR(VLOOKUP(A1837,'Clientes CBOT'!B:E,4,0),B1837)</f>
        <v>0</v>
      </c>
      <c r="H1837" t="str">
        <f t="shared" si="89"/>
        <v>Dólar</v>
      </c>
      <c r="I1837" s="6">
        <f t="shared" si="90"/>
        <v>0</v>
      </c>
      <c r="J1837">
        <f t="shared" si="91"/>
        <v>0</v>
      </c>
    </row>
    <row r="1838" spans="7:10" x14ac:dyDescent="0.3">
      <c r="G1838">
        <f>IFERROR(VLOOKUP(A1838,'Clientes CBOT'!B:E,4,0),B1838)</f>
        <v>0</v>
      </c>
      <c r="H1838" t="str">
        <f t="shared" si="89"/>
        <v>Dólar</v>
      </c>
      <c r="I1838" s="6">
        <f t="shared" si="90"/>
        <v>0</v>
      </c>
      <c r="J1838">
        <f t="shared" si="91"/>
        <v>0</v>
      </c>
    </row>
    <row r="1839" spans="7:10" x14ac:dyDescent="0.3">
      <c r="G1839">
        <f>IFERROR(VLOOKUP(A1839,'Clientes CBOT'!B:E,4,0),B1839)</f>
        <v>0</v>
      </c>
      <c r="H1839" t="str">
        <f t="shared" si="89"/>
        <v>Dólar</v>
      </c>
      <c r="I1839" s="6">
        <f t="shared" si="90"/>
        <v>0</v>
      </c>
      <c r="J1839">
        <f t="shared" si="91"/>
        <v>0</v>
      </c>
    </row>
    <row r="1840" spans="7:10" x14ac:dyDescent="0.3">
      <c r="G1840">
        <f>IFERROR(VLOOKUP(A1840,'Clientes CBOT'!B:E,4,0),B1840)</f>
        <v>0</v>
      </c>
      <c r="H1840" t="str">
        <f t="shared" si="89"/>
        <v>Dólar</v>
      </c>
      <c r="I1840" s="6">
        <f t="shared" si="90"/>
        <v>0</v>
      </c>
      <c r="J1840">
        <f t="shared" si="91"/>
        <v>0</v>
      </c>
    </row>
    <row r="1841" spans="7:10" x14ac:dyDescent="0.3">
      <c r="G1841">
        <f>IFERROR(VLOOKUP(A1841,'Clientes CBOT'!B:E,4,0),B1841)</f>
        <v>0</v>
      </c>
      <c r="H1841" t="str">
        <f t="shared" si="89"/>
        <v>Dólar</v>
      </c>
      <c r="I1841" s="6">
        <f t="shared" si="90"/>
        <v>0</v>
      </c>
      <c r="J1841">
        <f t="shared" si="91"/>
        <v>0</v>
      </c>
    </row>
    <row r="1842" spans="7:10" x14ac:dyDescent="0.3">
      <c r="G1842">
        <f>IFERROR(VLOOKUP(A1842,'Clientes CBOT'!B:E,4,0),B1842)</f>
        <v>0</v>
      </c>
      <c r="H1842" t="str">
        <f t="shared" si="89"/>
        <v>Dólar</v>
      </c>
      <c r="I1842" s="6">
        <f t="shared" si="90"/>
        <v>0</v>
      </c>
      <c r="J1842">
        <f t="shared" si="91"/>
        <v>0</v>
      </c>
    </row>
    <row r="1843" spans="7:10" x14ac:dyDescent="0.3">
      <c r="G1843">
        <f>IFERROR(VLOOKUP(A1843,'Clientes CBOT'!B:E,4,0),B1843)</f>
        <v>0</v>
      </c>
      <c r="H1843" t="str">
        <f t="shared" si="89"/>
        <v>Dólar</v>
      </c>
      <c r="I1843" s="6">
        <f t="shared" si="90"/>
        <v>0</v>
      </c>
      <c r="J1843">
        <f t="shared" si="91"/>
        <v>0</v>
      </c>
    </row>
    <row r="1844" spans="7:10" x14ac:dyDescent="0.3">
      <c r="G1844">
        <f>IFERROR(VLOOKUP(A1844,'Clientes CBOT'!B:E,4,0),B1844)</f>
        <v>0</v>
      </c>
      <c r="H1844" t="str">
        <f t="shared" si="89"/>
        <v>Dólar</v>
      </c>
      <c r="I1844" s="6">
        <f t="shared" si="90"/>
        <v>0</v>
      </c>
      <c r="J1844">
        <f t="shared" si="91"/>
        <v>0</v>
      </c>
    </row>
    <row r="1845" spans="7:10" x14ac:dyDescent="0.3">
      <c r="G1845">
        <f>IFERROR(VLOOKUP(A1845,'Clientes CBOT'!B:E,4,0),B1845)</f>
        <v>0</v>
      </c>
      <c r="H1845" t="str">
        <f t="shared" si="89"/>
        <v>Dólar</v>
      </c>
      <c r="I1845" s="6">
        <f t="shared" si="90"/>
        <v>0</v>
      </c>
      <c r="J1845">
        <f t="shared" si="91"/>
        <v>0</v>
      </c>
    </row>
    <row r="1846" spans="7:10" x14ac:dyDescent="0.3">
      <c r="G1846">
        <f>IFERROR(VLOOKUP(A1846,'Clientes CBOT'!B:E,4,0),B1846)</f>
        <v>0</v>
      </c>
      <c r="H1846" t="str">
        <f t="shared" si="89"/>
        <v>Dólar</v>
      </c>
      <c r="I1846" s="6">
        <f t="shared" si="90"/>
        <v>0</v>
      </c>
      <c r="J1846">
        <f t="shared" si="91"/>
        <v>0</v>
      </c>
    </row>
    <row r="1847" spans="7:10" x14ac:dyDescent="0.3">
      <c r="G1847">
        <f>IFERROR(VLOOKUP(A1847,'Clientes CBOT'!B:E,4,0),B1847)</f>
        <v>0</v>
      </c>
      <c r="H1847" t="str">
        <f t="shared" si="89"/>
        <v>Dólar</v>
      </c>
      <c r="I1847" s="6">
        <f t="shared" si="90"/>
        <v>0</v>
      </c>
      <c r="J1847">
        <f t="shared" si="91"/>
        <v>0</v>
      </c>
    </row>
    <row r="1848" spans="7:10" x14ac:dyDescent="0.3">
      <c r="G1848">
        <f>IFERROR(VLOOKUP(A1848,'Clientes CBOT'!B:E,4,0),B1848)</f>
        <v>0</v>
      </c>
      <c r="H1848" t="str">
        <f t="shared" si="89"/>
        <v>Dólar</v>
      </c>
      <c r="I1848" s="6">
        <f t="shared" si="90"/>
        <v>0</v>
      </c>
      <c r="J1848">
        <f t="shared" si="91"/>
        <v>0</v>
      </c>
    </row>
    <row r="1849" spans="7:10" x14ac:dyDescent="0.3">
      <c r="G1849">
        <f>IFERROR(VLOOKUP(A1849,'Clientes CBOT'!B:E,4,0),B1849)</f>
        <v>0</v>
      </c>
      <c r="H1849" t="str">
        <f t="shared" si="89"/>
        <v>Dólar</v>
      </c>
      <c r="I1849" s="6">
        <f t="shared" si="90"/>
        <v>0</v>
      </c>
      <c r="J1849">
        <f t="shared" si="91"/>
        <v>0</v>
      </c>
    </row>
    <row r="1850" spans="7:10" x14ac:dyDescent="0.3">
      <c r="G1850">
        <f>IFERROR(VLOOKUP(A1850,'Clientes CBOT'!B:E,4,0),B1850)</f>
        <v>0</v>
      </c>
      <c r="H1850" t="str">
        <f t="shared" si="89"/>
        <v>Dólar</v>
      </c>
      <c r="I1850" s="6">
        <f t="shared" si="90"/>
        <v>0</v>
      </c>
      <c r="J1850">
        <f t="shared" si="91"/>
        <v>0</v>
      </c>
    </row>
    <row r="1851" spans="7:10" x14ac:dyDescent="0.3">
      <c r="G1851">
        <f>IFERROR(VLOOKUP(A1851,'Clientes CBOT'!B:E,4,0),B1851)</f>
        <v>0</v>
      </c>
      <c r="H1851" t="str">
        <f t="shared" si="89"/>
        <v>Dólar</v>
      </c>
      <c r="I1851" s="6">
        <f t="shared" si="90"/>
        <v>0</v>
      </c>
      <c r="J1851">
        <f t="shared" si="91"/>
        <v>0</v>
      </c>
    </row>
    <row r="1852" spans="7:10" x14ac:dyDescent="0.3">
      <c r="G1852">
        <f>IFERROR(VLOOKUP(A1852,'Clientes CBOT'!B:E,4,0),B1852)</f>
        <v>0</v>
      </c>
      <c r="H1852" t="str">
        <f t="shared" si="89"/>
        <v>Dólar</v>
      </c>
      <c r="I1852" s="6">
        <f t="shared" si="90"/>
        <v>0</v>
      </c>
      <c r="J1852">
        <f t="shared" si="91"/>
        <v>0</v>
      </c>
    </row>
    <row r="1853" spans="7:10" x14ac:dyDescent="0.3">
      <c r="G1853">
        <f>IFERROR(VLOOKUP(A1853,'Clientes CBOT'!B:E,4,0),B1853)</f>
        <v>0</v>
      </c>
      <c r="H1853" t="str">
        <f t="shared" si="89"/>
        <v>Dólar</v>
      </c>
      <c r="I1853" s="6">
        <f t="shared" si="90"/>
        <v>0</v>
      </c>
      <c r="J1853">
        <f t="shared" si="91"/>
        <v>0</v>
      </c>
    </row>
    <row r="1854" spans="7:10" x14ac:dyDescent="0.3">
      <c r="G1854">
        <f>IFERROR(VLOOKUP(A1854,'Clientes CBOT'!B:E,4,0),B1854)</f>
        <v>0</v>
      </c>
      <c r="H1854" t="str">
        <f t="shared" si="89"/>
        <v>Dólar</v>
      </c>
      <c r="I1854" s="6">
        <f t="shared" si="90"/>
        <v>0</v>
      </c>
      <c r="J1854">
        <f t="shared" si="91"/>
        <v>0</v>
      </c>
    </row>
    <row r="1855" spans="7:10" x14ac:dyDescent="0.3">
      <c r="G1855">
        <f>IFERROR(VLOOKUP(A1855,'Clientes CBOT'!B:E,4,0),B1855)</f>
        <v>0</v>
      </c>
      <c r="H1855" t="str">
        <f t="shared" si="89"/>
        <v>Dólar</v>
      </c>
      <c r="I1855" s="6">
        <f t="shared" si="90"/>
        <v>0</v>
      </c>
      <c r="J1855">
        <f t="shared" si="91"/>
        <v>0</v>
      </c>
    </row>
    <row r="1856" spans="7:10" x14ac:dyDescent="0.3">
      <c r="G1856">
        <f>IFERROR(VLOOKUP(A1856,'Clientes CBOT'!B:E,4,0),B1856)</f>
        <v>0</v>
      </c>
      <c r="H1856" t="str">
        <f t="shared" si="89"/>
        <v>Dólar</v>
      </c>
      <c r="I1856" s="6">
        <f t="shared" si="90"/>
        <v>0</v>
      </c>
      <c r="J1856">
        <f t="shared" si="91"/>
        <v>0</v>
      </c>
    </row>
    <row r="1857" spans="7:10" x14ac:dyDescent="0.3">
      <c r="G1857">
        <f>IFERROR(VLOOKUP(A1857,'Clientes CBOT'!B:E,4,0),B1857)</f>
        <v>0</v>
      </c>
      <c r="H1857" t="str">
        <f t="shared" si="89"/>
        <v>Dólar</v>
      </c>
      <c r="I1857" s="6">
        <f t="shared" si="90"/>
        <v>0</v>
      </c>
      <c r="J1857">
        <f t="shared" si="91"/>
        <v>0</v>
      </c>
    </row>
    <row r="1858" spans="7:10" x14ac:dyDescent="0.3">
      <c r="G1858">
        <f>IFERROR(VLOOKUP(A1858,'Clientes CBOT'!B:E,4,0),B1858)</f>
        <v>0</v>
      </c>
      <c r="H1858" t="str">
        <f t="shared" si="89"/>
        <v>Dólar</v>
      </c>
      <c r="I1858" s="6">
        <f t="shared" si="90"/>
        <v>0</v>
      </c>
      <c r="J1858">
        <f t="shared" si="91"/>
        <v>0</v>
      </c>
    </row>
    <row r="1859" spans="7:10" x14ac:dyDescent="0.3">
      <c r="G1859">
        <f>IFERROR(VLOOKUP(A1859,'Clientes CBOT'!B:E,4,0),B1859)</f>
        <v>0</v>
      </c>
      <c r="H1859" t="str">
        <f t="shared" si="89"/>
        <v>Dólar</v>
      </c>
      <c r="I1859" s="6">
        <f t="shared" si="90"/>
        <v>0</v>
      </c>
      <c r="J1859">
        <f t="shared" si="91"/>
        <v>0</v>
      </c>
    </row>
    <row r="1860" spans="7:10" x14ac:dyDescent="0.3">
      <c r="G1860">
        <f>IFERROR(VLOOKUP(A1860,'Clientes CBOT'!B:E,4,0),B1860)</f>
        <v>0</v>
      </c>
      <c r="H1860" t="str">
        <f t="shared" si="89"/>
        <v>Dólar</v>
      </c>
      <c r="I1860" s="6">
        <f t="shared" si="90"/>
        <v>0</v>
      </c>
      <c r="J1860">
        <f t="shared" si="91"/>
        <v>0</v>
      </c>
    </row>
    <row r="1861" spans="7:10" x14ac:dyDescent="0.3">
      <c r="G1861">
        <f>IFERROR(VLOOKUP(A1861,'Clientes CBOT'!B:E,4,0),B1861)</f>
        <v>0</v>
      </c>
      <c r="H1861" t="str">
        <f t="shared" ref="H1861:H1924" si="92">IF(E1861="pesos","Ars",IF(E1861="Dólar Matba Rofex","usd linked",IF(F1861=" U$S TT","Hard","Dólar")))</f>
        <v>Dólar</v>
      </c>
      <c r="I1861" s="6">
        <f t="shared" ref="I1861:I1924" si="93">IF(H1861="ars",C1861/$J$1,IF(H1861="Hard",C1861*$J$2/$J$1,C1861))</f>
        <v>0</v>
      </c>
      <c r="J1861">
        <f t="shared" si="91"/>
        <v>0</v>
      </c>
    </row>
    <row r="1862" spans="7:10" x14ac:dyDescent="0.3">
      <c r="G1862">
        <f>IFERROR(VLOOKUP(A1862,'Clientes CBOT'!B:E,4,0),B1862)</f>
        <v>0</v>
      </c>
      <c r="H1862" t="str">
        <f t="shared" si="92"/>
        <v>Dólar</v>
      </c>
      <c r="I1862" s="6">
        <f t="shared" si="93"/>
        <v>0</v>
      </c>
      <c r="J1862">
        <f t="shared" si="91"/>
        <v>0</v>
      </c>
    </row>
    <row r="1863" spans="7:10" x14ac:dyDescent="0.3">
      <c r="G1863">
        <f>IFERROR(VLOOKUP(A1863,'Clientes CBOT'!B:E,4,0),B1863)</f>
        <v>0</v>
      </c>
      <c r="H1863" t="str">
        <f t="shared" si="92"/>
        <v>Dólar</v>
      </c>
      <c r="I1863" s="6">
        <f t="shared" si="93"/>
        <v>0</v>
      </c>
      <c r="J1863">
        <f t="shared" si="91"/>
        <v>0</v>
      </c>
    </row>
    <row r="1864" spans="7:10" x14ac:dyDescent="0.3">
      <c r="G1864">
        <f>IFERROR(VLOOKUP(A1864,'Clientes CBOT'!B:E,4,0),B1864)</f>
        <v>0</v>
      </c>
      <c r="H1864" t="str">
        <f t="shared" si="92"/>
        <v>Dólar</v>
      </c>
      <c r="I1864" s="6">
        <f t="shared" si="93"/>
        <v>0</v>
      </c>
      <c r="J1864">
        <f t="shared" si="91"/>
        <v>0</v>
      </c>
    </row>
    <row r="1865" spans="7:10" x14ac:dyDescent="0.3">
      <c r="G1865">
        <f>IFERROR(VLOOKUP(A1865,'Clientes CBOT'!B:E,4,0),B1865)</f>
        <v>0</v>
      </c>
      <c r="H1865" t="str">
        <f t="shared" si="92"/>
        <v>Dólar</v>
      </c>
      <c r="I1865" s="6">
        <f t="shared" si="93"/>
        <v>0</v>
      </c>
      <c r="J1865">
        <f t="shared" si="91"/>
        <v>0</v>
      </c>
    </row>
    <row r="1866" spans="7:10" x14ac:dyDescent="0.3">
      <c r="G1866">
        <f>IFERROR(VLOOKUP(A1866,'Clientes CBOT'!B:E,4,0),B1866)</f>
        <v>0</v>
      </c>
      <c r="H1866" t="str">
        <f t="shared" si="92"/>
        <v>Dólar</v>
      </c>
      <c r="I1866" s="6">
        <f t="shared" si="93"/>
        <v>0</v>
      </c>
      <c r="J1866">
        <f t="shared" si="91"/>
        <v>0</v>
      </c>
    </row>
    <row r="1867" spans="7:10" x14ac:dyDescent="0.3">
      <c r="G1867">
        <f>IFERROR(VLOOKUP(A1867,'Clientes CBOT'!B:E,4,0),B1867)</f>
        <v>0</v>
      </c>
      <c r="H1867" t="str">
        <f t="shared" si="92"/>
        <v>Dólar</v>
      </c>
      <c r="I1867" s="6">
        <f t="shared" si="93"/>
        <v>0</v>
      </c>
      <c r="J1867">
        <f t="shared" si="91"/>
        <v>0</v>
      </c>
    </row>
    <row r="1868" spans="7:10" x14ac:dyDescent="0.3">
      <c r="G1868">
        <f>IFERROR(VLOOKUP(A1868,'Clientes CBOT'!B:E,4,0),B1868)</f>
        <v>0</v>
      </c>
      <c r="H1868" t="str">
        <f t="shared" si="92"/>
        <v>Dólar</v>
      </c>
      <c r="I1868" s="6">
        <f t="shared" si="93"/>
        <v>0</v>
      </c>
      <c r="J1868">
        <f t="shared" si="91"/>
        <v>0</v>
      </c>
    </row>
    <row r="1869" spans="7:10" x14ac:dyDescent="0.3">
      <c r="G1869">
        <f>IFERROR(VLOOKUP(A1869,'Clientes CBOT'!B:E,4,0),B1869)</f>
        <v>0</v>
      </c>
      <c r="H1869" t="str">
        <f t="shared" si="92"/>
        <v>Dólar</v>
      </c>
      <c r="I1869" s="6">
        <f t="shared" si="93"/>
        <v>0</v>
      </c>
      <c r="J1869">
        <f t="shared" si="91"/>
        <v>0</v>
      </c>
    </row>
    <row r="1870" spans="7:10" x14ac:dyDescent="0.3">
      <c r="G1870">
        <f>IFERROR(VLOOKUP(A1870,'Clientes CBOT'!B:E,4,0),B1870)</f>
        <v>0</v>
      </c>
      <c r="H1870" t="str">
        <f t="shared" si="92"/>
        <v>Dólar</v>
      </c>
      <c r="I1870" s="6">
        <f t="shared" si="93"/>
        <v>0</v>
      </c>
      <c r="J1870">
        <f t="shared" si="91"/>
        <v>0</v>
      </c>
    </row>
    <row r="1871" spans="7:10" x14ac:dyDescent="0.3">
      <c r="G1871">
        <f>IFERROR(VLOOKUP(A1871,'Clientes CBOT'!B:E,4,0),B1871)</f>
        <v>0</v>
      </c>
      <c r="H1871" t="str">
        <f t="shared" si="92"/>
        <v>Dólar</v>
      </c>
      <c r="I1871" s="6">
        <f t="shared" si="93"/>
        <v>0</v>
      </c>
      <c r="J1871">
        <f t="shared" si="91"/>
        <v>0</v>
      </c>
    </row>
    <row r="1872" spans="7:10" x14ac:dyDescent="0.3">
      <c r="G1872">
        <f>IFERROR(VLOOKUP(A1872,'Clientes CBOT'!B:E,4,0),B1872)</f>
        <v>0</v>
      </c>
      <c r="H1872" t="str">
        <f t="shared" si="92"/>
        <v>Dólar</v>
      </c>
      <c r="I1872" s="6">
        <f t="shared" si="93"/>
        <v>0</v>
      </c>
      <c r="J1872">
        <f t="shared" si="91"/>
        <v>0</v>
      </c>
    </row>
    <row r="1873" spans="7:10" x14ac:dyDescent="0.3">
      <c r="G1873">
        <f>IFERROR(VLOOKUP(A1873,'Clientes CBOT'!B:E,4,0),B1873)</f>
        <v>0</v>
      </c>
      <c r="H1873" t="str">
        <f t="shared" si="92"/>
        <v>Dólar</v>
      </c>
      <c r="I1873" s="6">
        <f t="shared" si="93"/>
        <v>0</v>
      </c>
      <c r="J1873">
        <f t="shared" si="91"/>
        <v>0</v>
      </c>
    </row>
    <row r="1874" spans="7:10" x14ac:dyDescent="0.3">
      <c r="G1874">
        <f>IFERROR(VLOOKUP(A1874,'Clientes CBOT'!B:E,4,0),B1874)</f>
        <v>0</v>
      </c>
      <c r="H1874" t="str">
        <f t="shared" si="92"/>
        <v>Dólar</v>
      </c>
      <c r="I1874" s="6">
        <f t="shared" si="93"/>
        <v>0</v>
      </c>
      <c r="J1874">
        <f t="shared" si="91"/>
        <v>0</v>
      </c>
    </row>
    <row r="1875" spans="7:10" x14ac:dyDescent="0.3">
      <c r="G1875">
        <f>IFERROR(VLOOKUP(A1875,'Clientes CBOT'!B:E,4,0),B1875)</f>
        <v>0</v>
      </c>
      <c r="H1875" t="str">
        <f t="shared" si="92"/>
        <v>Dólar</v>
      </c>
      <c r="I1875" s="6">
        <f t="shared" si="93"/>
        <v>0</v>
      </c>
      <c r="J1875">
        <f t="shared" si="91"/>
        <v>0</v>
      </c>
    </row>
    <row r="1876" spans="7:10" x14ac:dyDescent="0.3">
      <c r="G1876">
        <f>IFERROR(VLOOKUP(A1876,'Clientes CBOT'!B:E,4,0),B1876)</f>
        <v>0</v>
      </c>
      <c r="H1876" t="str">
        <f t="shared" si="92"/>
        <v>Dólar</v>
      </c>
      <c r="I1876" s="6">
        <f t="shared" si="93"/>
        <v>0</v>
      </c>
      <c r="J1876">
        <f t="shared" ref="J1876:J1939" si="94">IF(H1876="ars",D1876/$J$1,IF(H1876="hard",D1876*$J$2/$J$1,D1876))</f>
        <v>0</v>
      </c>
    </row>
    <row r="1877" spans="7:10" x14ac:dyDescent="0.3">
      <c r="G1877">
        <f>IFERROR(VLOOKUP(A1877,'Clientes CBOT'!B:E,4,0),B1877)</f>
        <v>0</v>
      </c>
      <c r="H1877" t="str">
        <f t="shared" si="92"/>
        <v>Dólar</v>
      </c>
      <c r="I1877" s="6">
        <f t="shared" si="93"/>
        <v>0</v>
      </c>
      <c r="J1877">
        <f t="shared" si="94"/>
        <v>0</v>
      </c>
    </row>
    <row r="1878" spans="7:10" x14ac:dyDescent="0.3">
      <c r="G1878">
        <f>IFERROR(VLOOKUP(A1878,'Clientes CBOT'!B:E,4,0),B1878)</f>
        <v>0</v>
      </c>
      <c r="H1878" t="str">
        <f t="shared" si="92"/>
        <v>Dólar</v>
      </c>
      <c r="I1878" s="6">
        <f t="shared" si="93"/>
        <v>0</v>
      </c>
      <c r="J1878">
        <f t="shared" si="94"/>
        <v>0</v>
      </c>
    </row>
    <row r="1879" spans="7:10" x14ac:dyDescent="0.3">
      <c r="G1879">
        <f>IFERROR(VLOOKUP(A1879,'Clientes CBOT'!B:E,4,0),B1879)</f>
        <v>0</v>
      </c>
      <c r="H1879" t="str">
        <f t="shared" si="92"/>
        <v>Dólar</v>
      </c>
      <c r="I1879" s="6">
        <f t="shared" si="93"/>
        <v>0</v>
      </c>
      <c r="J1879">
        <f t="shared" si="94"/>
        <v>0</v>
      </c>
    </row>
    <row r="1880" spans="7:10" x14ac:dyDescent="0.3">
      <c r="G1880">
        <f>IFERROR(VLOOKUP(A1880,'Clientes CBOT'!B:E,4,0),B1880)</f>
        <v>0</v>
      </c>
      <c r="H1880" t="str">
        <f t="shared" si="92"/>
        <v>Dólar</v>
      </c>
      <c r="I1880" s="6">
        <f t="shared" si="93"/>
        <v>0</v>
      </c>
      <c r="J1880">
        <f t="shared" si="94"/>
        <v>0</v>
      </c>
    </row>
    <row r="1881" spans="7:10" x14ac:dyDescent="0.3">
      <c r="G1881">
        <f>IFERROR(VLOOKUP(A1881,'Clientes CBOT'!B:E,4,0),B1881)</f>
        <v>0</v>
      </c>
      <c r="H1881" t="str">
        <f t="shared" si="92"/>
        <v>Dólar</v>
      </c>
      <c r="I1881" s="6">
        <f t="shared" si="93"/>
        <v>0</v>
      </c>
      <c r="J1881">
        <f t="shared" si="94"/>
        <v>0</v>
      </c>
    </row>
    <row r="1882" spans="7:10" x14ac:dyDescent="0.3">
      <c r="G1882">
        <f>IFERROR(VLOOKUP(A1882,'Clientes CBOT'!B:E,4,0),B1882)</f>
        <v>0</v>
      </c>
      <c r="H1882" t="str">
        <f t="shared" si="92"/>
        <v>Dólar</v>
      </c>
      <c r="I1882" s="6">
        <f t="shared" si="93"/>
        <v>0</v>
      </c>
      <c r="J1882">
        <f t="shared" si="94"/>
        <v>0</v>
      </c>
    </row>
    <row r="1883" spans="7:10" x14ac:dyDescent="0.3">
      <c r="G1883">
        <f>IFERROR(VLOOKUP(A1883,'Clientes CBOT'!B:E,4,0),B1883)</f>
        <v>0</v>
      </c>
      <c r="H1883" t="str">
        <f t="shared" si="92"/>
        <v>Dólar</v>
      </c>
      <c r="I1883" s="6">
        <f t="shared" si="93"/>
        <v>0</v>
      </c>
      <c r="J1883">
        <f t="shared" si="94"/>
        <v>0</v>
      </c>
    </row>
    <row r="1884" spans="7:10" x14ac:dyDescent="0.3">
      <c r="G1884">
        <f>IFERROR(VLOOKUP(A1884,'Clientes CBOT'!B:E,4,0),B1884)</f>
        <v>0</v>
      </c>
      <c r="H1884" t="str">
        <f t="shared" si="92"/>
        <v>Dólar</v>
      </c>
      <c r="I1884" s="6">
        <f t="shared" si="93"/>
        <v>0</v>
      </c>
      <c r="J1884">
        <f t="shared" si="94"/>
        <v>0</v>
      </c>
    </row>
    <row r="1885" spans="7:10" x14ac:dyDescent="0.3">
      <c r="G1885">
        <f>IFERROR(VLOOKUP(A1885,'Clientes CBOT'!B:E,4,0),B1885)</f>
        <v>0</v>
      </c>
      <c r="H1885" t="str">
        <f t="shared" si="92"/>
        <v>Dólar</v>
      </c>
      <c r="I1885" s="6">
        <f t="shared" si="93"/>
        <v>0</v>
      </c>
      <c r="J1885">
        <f t="shared" si="94"/>
        <v>0</v>
      </c>
    </row>
    <row r="1886" spans="7:10" x14ac:dyDescent="0.3">
      <c r="G1886">
        <f>IFERROR(VLOOKUP(A1886,'Clientes CBOT'!B:E,4,0),B1886)</f>
        <v>0</v>
      </c>
      <c r="H1886" t="str">
        <f t="shared" si="92"/>
        <v>Dólar</v>
      </c>
      <c r="I1886" s="6">
        <f t="shared" si="93"/>
        <v>0</v>
      </c>
      <c r="J1886">
        <f t="shared" si="94"/>
        <v>0</v>
      </c>
    </row>
    <row r="1887" spans="7:10" x14ac:dyDescent="0.3">
      <c r="G1887">
        <f>IFERROR(VLOOKUP(A1887,'Clientes CBOT'!B:E,4,0),B1887)</f>
        <v>0</v>
      </c>
      <c r="H1887" t="str">
        <f t="shared" si="92"/>
        <v>Dólar</v>
      </c>
      <c r="I1887" s="6">
        <f t="shared" si="93"/>
        <v>0</v>
      </c>
      <c r="J1887">
        <f t="shared" si="94"/>
        <v>0</v>
      </c>
    </row>
    <row r="1888" spans="7:10" x14ac:dyDescent="0.3">
      <c r="G1888">
        <f>IFERROR(VLOOKUP(A1888,'Clientes CBOT'!B:E,4,0),B1888)</f>
        <v>0</v>
      </c>
      <c r="H1888" t="str">
        <f t="shared" si="92"/>
        <v>Dólar</v>
      </c>
      <c r="I1888" s="6">
        <f t="shared" si="93"/>
        <v>0</v>
      </c>
      <c r="J1888">
        <f t="shared" si="94"/>
        <v>0</v>
      </c>
    </row>
    <row r="1889" spans="7:10" x14ac:dyDescent="0.3">
      <c r="G1889">
        <f>IFERROR(VLOOKUP(A1889,'Clientes CBOT'!B:E,4,0),B1889)</f>
        <v>0</v>
      </c>
      <c r="H1889" t="str">
        <f t="shared" si="92"/>
        <v>Dólar</v>
      </c>
      <c r="I1889" s="6">
        <f t="shared" si="93"/>
        <v>0</v>
      </c>
      <c r="J1889">
        <f t="shared" si="94"/>
        <v>0</v>
      </c>
    </row>
    <row r="1890" spans="7:10" x14ac:dyDescent="0.3">
      <c r="G1890">
        <f>IFERROR(VLOOKUP(A1890,'Clientes CBOT'!B:E,4,0),B1890)</f>
        <v>0</v>
      </c>
      <c r="H1890" t="str">
        <f t="shared" si="92"/>
        <v>Dólar</v>
      </c>
      <c r="I1890" s="6">
        <f t="shared" si="93"/>
        <v>0</v>
      </c>
      <c r="J1890">
        <f t="shared" si="94"/>
        <v>0</v>
      </c>
    </row>
    <row r="1891" spans="7:10" x14ac:dyDescent="0.3">
      <c r="G1891">
        <f>IFERROR(VLOOKUP(A1891,'Clientes CBOT'!B:E,4,0),B1891)</f>
        <v>0</v>
      </c>
      <c r="H1891" t="str">
        <f t="shared" si="92"/>
        <v>Dólar</v>
      </c>
      <c r="I1891" s="6">
        <f t="shared" si="93"/>
        <v>0</v>
      </c>
      <c r="J1891">
        <f t="shared" si="94"/>
        <v>0</v>
      </c>
    </row>
    <row r="1892" spans="7:10" x14ac:dyDescent="0.3">
      <c r="G1892">
        <f>IFERROR(VLOOKUP(A1892,'Clientes CBOT'!B:E,4,0),B1892)</f>
        <v>0</v>
      </c>
      <c r="H1892" t="str">
        <f t="shared" si="92"/>
        <v>Dólar</v>
      </c>
      <c r="I1892" s="6">
        <f t="shared" si="93"/>
        <v>0</v>
      </c>
      <c r="J1892">
        <f t="shared" si="94"/>
        <v>0</v>
      </c>
    </row>
    <row r="1893" spans="7:10" x14ac:dyDescent="0.3">
      <c r="G1893">
        <f>IFERROR(VLOOKUP(A1893,'Clientes CBOT'!B:E,4,0),B1893)</f>
        <v>0</v>
      </c>
      <c r="H1893" t="str">
        <f t="shared" si="92"/>
        <v>Dólar</v>
      </c>
      <c r="I1893" s="6">
        <f t="shared" si="93"/>
        <v>0</v>
      </c>
      <c r="J1893">
        <f t="shared" si="94"/>
        <v>0</v>
      </c>
    </row>
    <row r="1894" spans="7:10" x14ac:dyDescent="0.3">
      <c r="G1894">
        <f>IFERROR(VLOOKUP(A1894,'Clientes CBOT'!B:E,4,0),B1894)</f>
        <v>0</v>
      </c>
      <c r="H1894" t="str">
        <f t="shared" si="92"/>
        <v>Dólar</v>
      </c>
      <c r="I1894" s="6">
        <f t="shared" si="93"/>
        <v>0</v>
      </c>
      <c r="J1894">
        <f t="shared" si="94"/>
        <v>0</v>
      </c>
    </row>
    <row r="1895" spans="7:10" x14ac:dyDescent="0.3">
      <c r="G1895">
        <f>IFERROR(VLOOKUP(A1895,'Clientes CBOT'!B:E,4,0),B1895)</f>
        <v>0</v>
      </c>
      <c r="H1895" t="str">
        <f t="shared" si="92"/>
        <v>Dólar</v>
      </c>
      <c r="I1895" s="6">
        <f t="shared" si="93"/>
        <v>0</v>
      </c>
      <c r="J1895">
        <f t="shared" si="94"/>
        <v>0</v>
      </c>
    </row>
    <row r="1896" spans="7:10" x14ac:dyDescent="0.3">
      <c r="G1896">
        <f>IFERROR(VLOOKUP(A1896,'Clientes CBOT'!B:E,4,0),B1896)</f>
        <v>0</v>
      </c>
      <c r="H1896" t="str">
        <f t="shared" si="92"/>
        <v>Dólar</v>
      </c>
      <c r="I1896" s="6">
        <f t="shared" si="93"/>
        <v>0</v>
      </c>
      <c r="J1896">
        <f t="shared" si="94"/>
        <v>0</v>
      </c>
    </row>
    <row r="1897" spans="7:10" x14ac:dyDescent="0.3">
      <c r="G1897">
        <f>IFERROR(VLOOKUP(A1897,'Clientes CBOT'!B:E,4,0),B1897)</f>
        <v>0</v>
      </c>
      <c r="H1897" t="str">
        <f t="shared" si="92"/>
        <v>Dólar</v>
      </c>
      <c r="I1897" s="6">
        <f t="shared" si="93"/>
        <v>0</v>
      </c>
      <c r="J1897">
        <f t="shared" si="94"/>
        <v>0</v>
      </c>
    </row>
    <row r="1898" spans="7:10" x14ac:dyDescent="0.3">
      <c r="G1898">
        <f>IFERROR(VLOOKUP(A1898,'Clientes CBOT'!B:E,4,0),B1898)</f>
        <v>0</v>
      </c>
      <c r="H1898" t="str">
        <f t="shared" si="92"/>
        <v>Dólar</v>
      </c>
      <c r="I1898" s="6">
        <f t="shared" si="93"/>
        <v>0</v>
      </c>
      <c r="J1898">
        <f t="shared" si="94"/>
        <v>0</v>
      </c>
    </row>
    <row r="1899" spans="7:10" x14ac:dyDescent="0.3">
      <c r="G1899">
        <f>IFERROR(VLOOKUP(A1899,'Clientes CBOT'!B:E,4,0),B1899)</f>
        <v>0</v>
      </c>
      <c r="H1899" t="str">
        <f t="shared" si="92"/>
        <v>Dólar</v>
      </c>
      <c r="I1899" s="6">
        <f t="shared" si="93"/>
        <v>0</v>
      </c>
      <c r="J1899">
        <f t="shared" si="94"/>
        <v>0</v>
      </c>
    </row>
    <row r="1900" spans="7:10" x14ac:dyDescent="0.3">
      <c r="G1900">
        <f>IFERROR(VLOOKUP(A1900,'Clientes CBOT'!B:E,4,0),B1900)</f>
        <v>0</v>
      </c>
      <c r="H1900" t="str">
        <f t="shared" si="92"/>
        <v>Dólar</v>
      </c>
      <c r="I1900" s="6">
        <f t="shared" si="93"/>
        <v>0</v>
      </c>
      <c r="J1900">
        <f t="shared" si="94"/>
        <v>0</v>
      </c>
    </row>
    <row r="1901" spans="7:10" x14ac:dyDescent="0.3">
      <c r="G1901">
        <f>IFERROR(VLOOKUP(A1901,'Clientes CBOT'!B:E,4,0),B1901)</f>
        <v>0</v>
      </c>
      <c r="H1901" t="str">
        <f t="shared" si="92"/>
        <v>Dólar</v>
      </c>
      <c r="I1901" s="6">
        <f t="shared" si="93"/>
        <v>0</v>
      </c>
      <c r="J1901">
        <f t="shared" si="94"/>
        <v>0</v>
      </c>
    </row>
    <row r="1902" spans="7:10" x14ac:dyDescent="0.3">
      <c r="G1902">
        <f>IFERROR(VLOOKUP(A1902,'Clientes CBOT'!B:E,4,0),B1902)</f>
        <v>0</v>
      </c>
      <c r="H1902" t="str">
        <f t="shared" si="92"/>
        <v>Dólar</v>
      </c>
      <c r="I1902" s="6">
        <f t="shared" si="93"/>
        <v>0</v>
      </c>
      <c r="J1902">
        <f t="shared" si="94"/>
        <v>0</v>
      </c>
    </row>
    <row r="1903" spans="7:10" x14ac:dyDescent="0.3">
      <c r="G1903">
        <f>IFERROR(VLOOKUP(A1903,'Clientes CBOT'!B:E,4,0),B1903)</f>
        <v>0</v>
      </c>
      <c r="H1903" t="str">
        <f t="shared" si="92"/>
        <v>Dólar</v>
      </c>
      <c r="I1903" s="6">
        <f t="shared" si="93"/>
        <v>0</v>
      </c>
      <c r="J1903">
        <f t="shared" si="94"/>
        <v>0</v>
      </c>
    </row>
    <row r="1904" spans="7:10" x14ac:dyDescent="0.3">
      <c r="G1904">
        <f>IFERROR(VLOOKUP(A1904,'Clientes CBOT'!B:E,4,0),B1904)</f>
        <v>0</v>
      </c>
      <c r="H1904" t="str">
        <f t="shared" si="92"/>
        <v>Dólar</v>
      </c>
      <c r="I1904" s="6">
        <f t="shared" si="93"/>
        <v>0</v>
      </c>
      <c r="J1904">
        <f t="shared" si="94"/>
        <v>0</v>
      </c>
    </row>
    <row r="1905" spans="7:10" x14ac:dyDescent="0.3">
      <c r="G1905">
        <f>IFERROR(VLOOKUP(A1905,'Clientes CBOT'!B:E,4,0),B1905)</f>
        <v>0</v>
      </c>
      <c r="H1905" t="str">
        <f t="shared" si="92"/>
        <v>Dólar</v>
      </c>
      <c r="I1905" s="6">
        <f t="shared" si="93"/>
        <v>0</v>
      </c>
      <c r="J1905">
        <f t="shared" si="94"/>
        <v>0</v>
      </c>
    </row>
    <row r="1906" spans="7:10" x14ac:dyDescent="0.3">
      <c r="G1906">
        <f>IFERROR(VLOOKUP(A1906,'Clientes CBOT'!B:E,4,0),B1906)</f>
        <v>0</v>
      </c>
      <c r="H1906" t="str">
        <f t="shared" si="92"/>
        <v>Dólar</v>
      </c>
      <c r="I1906" s="6">
        <f t="shared" si="93"/>
        <v>0</v>
      </c>
      <c r="J1906">
        <f t="shared" si="94"/>
        <v>0</v>
      </c>
    </row>
    <row r="1907" spans="7:10" x14ac:dyDescent="0.3">
      <c r="G1907">
        <f>IFERROR(VLOOKUP(A1907,'Clientes CBOT'!B:E,4,0),B1907)</f>
        <v>0</v>
      </c>
      <c r="H1907" t="str">
        <f t="shared" si="92"/>
        <v>Dólar</v>
      </c>
      <c r="I1907" s="6">
        <f t="shared" si="93"/>
        <v>0</v>
      </c>
      <c r="J1907">
        <f t="shared" si="94"/>
        <v>0</v>
      </c>
    </row>
    <row r="1908" spans="7:10" x14ac:dyDescent="0.3">
      <c r="G1908">
        <f>IFERROR(VLOOKUP(A1908,'Clientes CBOT'!B:E,4,0),B1908)</f>
        <v>0</v>
      </c>
      <c r="H1908" t="str">
        <f t="shared" si="92"/>
        <v>Dólar</v>
      </c>
      <c r="I1908" s="6">
        <f t="shared" si="93"/>
        <v>0</v>
      </c>
      <c r="J1908">
        <f t="shared" si="94"/>
        <v>0</v>
      </c>
    </row>
    <row r="1909" spans="7:10" x14ac:dyDescent="0.3">
      <c r="G1909">
        <f>IFERROR(VLOOKUP(A1909,'Clientes CBOT'!B:E,4,0),B1909)</f>
        <v>0</v>
      </c>
      <c r="H1909" t="str">
        <f t="shared" si="92"/>
        <v>Dólar</v>
      </c>
      <c r="I1909" s="6">
        <f t="shared" si="93"/>
        <v>0</v>
      </c>
      <c r="J1909">
        <f t="shared" si="94"/>
        <v>0</v>
      </c>
    </row>
    <row r="1910" spans="7:10" x14ac:dyDescent="0.3">
      <c r="G1910">
        <f>IFERROR(VLOOKUP(A1910,'Clientes CBOT'!B:E,4,0),B1910)</f>
        <v>0</v>
      </c>
      <c r="H1910" t="str">
        <f t="shared" si="92"/>
        <v>Dólar</v>
      </c>
      <c r="I1910" s="6">
        <f t="shared" si="93"/>
        <v>0</v>
      </c>
      <c r="J1910">
        <f t="shared" si="94"/>
        <v>0</v>
      </c>
    </row>
    <row r="1911" spans="7:10" x14ac:dyDescent="0.3">
      <c r="G1911">
        <f>IFERROR(VLOOKUP(A1911,'Clientes CBOT'!B:E,4,0),B1911)</f>
        <v>0</v>
      </c>
      <c r="H1911" t="str">
        <f t="shared" si="92"/>
        <v>Dólar</v>
      </c>
      <c r="I1911" s="6">
        <f t="shared" si="93"/>
        <v>0</v>
      </c>
      <c r="J1911">
        <f t="shared" si="94"/>
        <v>0</v>
      </c>
    </row>
    <row r="1912" spans="7:10" x14ac:dyDescent="0.3">
      <c r="G1912">
        <f>IFERROR(VLOOKUP(A1912,'Clientes CBOT'!B:E,4,0),B1912)</f>
        <v>0</v>
      </c>
      <c r="H1912" t="str">
        <f t="shared" si="92"/>
        <v>Dólar</v>
      </c>
      <c r="I1912" s="6">
        <f t="shared" si="93"/>
        <v>0</v>
      </c>
      <c r="J1912">
        <f t="shared" si="94"/>
        <v>0</v>
      </c>
    </row>
    <row r="1913" spans="7:10" x14ac:dyDescent="0.3">
      <c r="G1913">
        <f>IFERROR(VLOOKUP(A1913,'Clientes CBOT'!B:E,4,0),B1913)</f>
        <v>0</v>
      </c>
      <c r="H1913" t="str">
        <f t="shared" si="92"/>
        <v>Dólar</v>
      </c>
      <c r="I1913" s="6">
        <f t="shared" si="93"/>
        <v>0</v>
      </c>
      <c r="J1913">
        <f t="shared" si="94"/>
        <v>0</v>
      </c>
    </row>
    <row r="1914" spans="7:10" x14ac:dyDescent="0.3">
      <c r="G1914">
        <f>IFERROR(VLOOKUP(A1914,'Clientes CBOT'!B:E,4,0),B1914)</f>
        <v>0</v>
      </c>
      <c r="H1914" t="str">
        <f t="shared" si="92"/>
        <v>Dólar</v>
      </c>
      <c r="I1914" s="6">
        <f t="shared" si="93"/>
        <v>0</v>
      </c>
      <c r="J1914">
        <f t="shared" si="94"/>
        <v>0</v>
      </c>
    </row>
    <row r="1915" spans="7:10" x14ac:dyDescent="0.3">
      <c r="G1915">
        <f>IFERROR(VLOOKUP(A1915,'Clientes CBOT'!B:E,4,0),B1915)</f>
        <v>0</v>
      </c>
      <c r="H1915" t="str">
        <f t="shared" si="92"/>
        <v>Dólar</v>
      </c>
      <c r="I1915" s="6">
        <f t="shared" si="93"/>
        <v>0</v>
      </c>
      <c r="J1915">
        <f t="shared" si="94"/>
        <v>0</v>
      </c>
    </row>
    <row r="1916" spans="7:10" x14ac:dyDescent="0.3">
      <c r="G1916">
        <f>IFERROR(VLOOKUP(A1916,'Clientes CBOT'!B:E,4,0),B1916)</f>
        <v>0</v>
      </c>
      <c r="H1916" t="str">
        <f t="shared" si="92"/>
        <v>Dólar</v>
      </c>
      <c r="I1916" s="6">
        <f t="shared" si="93"/>
        <v>0</v>
      </c>
      <c r="J1916">
        <f t="shared" si="94"/>
        <v>0</v>
      </c>
    </row>
    <row r="1917" spans="7:10" x14ac:dyDescent="0.3">
      <c r="G1917">
        <f>IFERROR(VLOOKUP(A1917,'Clientes CBOT'!B:E,4,0),B1917)</f>
        <v>0</v>
      </c>
      <c r="H1917" t="str">
        <f t="shared" si="92"/>
        <v>Dólar</v>
      </c>
      <c r="I1917" s="6">
        <f t="shared" si="93"/>
        <v>0</v>
      </c>
      <c r="J1917">
        <f t="shared" si="94"/>
        <v>0</v>
      </c>
    </row>
    <row r="1918" spans="7:10" x14ac:dyDescent="0.3">
      <c r="G1918">
        <f>IFERROR(VLOOKUP(A1918,'Clientes CBOT'!B:E,4,0),B1918)</f>
        <v>0</v>
      </c>
      <c r="H1918" t="str">
        <f t="shared" si="92"/>
        <v>Dólar</v>
      </c>
      <c r="I1918" s="6">
        <f t="shared" si="93"/>
        <v>0</v>
      </c>
      <c r="J1918">
        <f t="shared" si="94"/>
        <v>0</v>
      </c>
    </row>
    <row r="1919" spans="7:10" x14ac:dyDescent="0.3">
      <c r="G1919">
        <f>IFERROR(VLOOKUP(A1919,'Clientes CBOT'!B:E,4,0),B1919)</f>
        <v>0</v>
      </c>
      <c r="H1919" t="str">
        <f t="shared" si="92"/>
        <v>Dólar</v>
      </c>
      <c r="I1919" s="6">
        <f t="shared" si="93"/>
        <v>0</v>
      </c>
      <c r="J1919">
        <f t="shared" si="94"/>
        <v>0</v>
      </c>
    </row>
    <row r="1920" spans="7:10" x14ac:dyDescent="0.3">
      <c r="G1920">
        <f>IFERROR(VLOOKUP(A1920,'Clientes CBOT'!B:E,4,0),B1920)</f>
        <v>0</v>
      </c>
      <c r="H1920" t="str">
        <f t="shared" si="92"/>
        <v>Dólar</v>
      </c>
      <c r="I1920" s="6">
        <f t="shared" si="93"/>
        <v>0</v>
      </c>
      <c r="J1920">
        <f t="shared" si="94"/>
        <v>0</v>
      </c>
    </row>
    <row r="1921" spans="7:10" x14ac:dyDescent="0.3">
      <c r="G1921">
        <f>IFERROR(VLOOKUP(A1921,'Clientes CBOT'!B:E,4,0),B1921)</f>
        <v>0</v>
      </c>
      <c r="H1921" t="str">
        <f t="shared" si="92"/>
        <v>Dólar</v>
      </c>
      <c r="I1921" s="6">
        <f t="shared" si="93"/>
        <v>0</v>
      </c>
      <c r="J1921">
        <f t="shared" si="94"/>
        <v>0</v>
      </c>
    </row>
    <row r="1922" spans="7:10" x14ac:dyDescent="0.3">
      <c r="G1922">
        <f>IFERROR(VLOOKUP(A1922,'Clientes CBOT'!B:E,4,0),B1922)</f>
        <v>0</v>
      </c>
      <c r="H1922" t="str">
        <f t="shared" si="92"/>
        <v>Dólar</v>
      </c>
      <c r="I1922" s="6">
        <f t="shared" si="93"/>
        <v>0</v>
      </c>
      <c r="J1922">
        <f t="shared" si="94"/>
        <v>0</v>
      </c>
    </row>
    <row r="1923" spans="7:10" x14ac:dyDescent="0.3">
      <c r="G1923">
        <f>IFERROR(VLOOKUP(A1923,'Clientes CBOT'!B:E,4,0),B1923)</f>
        <v>0</v>
      </c>
      <c r="H1923" t="str">
        <f t="shared" si="92"/>
        <v>Dólar</v>
      </c>
      <c r="I1923" s="6">
        <f t="shared" si="93"/>
        <v>0</v>
      </c>
      <c r="J1923">
        <f t="shared" si="94"/>
        <v>0</v>
      </c>
    </row>
    <row r="1924" spans="7:10" x14ac:dyDescent="0.3">
      <c r="G1924">
        <f>IFERROR(VLOOKUP(A1924,'Clientes CBOT'!B:E,4,0),B1924)</f>
        <v>0</v>
      </c>
      <c r="H1924" t="str">
        <f t="shared" si="92"/>
        <v>Dólar</v>
      </c>
      <c r="I1924" s="6">
        <f t="shared" si="93"/>
        <v>0</v>
      </c>
      <c r="J1924">
        <f t="shared" si="94"/>
        <v>0</v>
      </c>
    </row>
    <row r="1925" spans="7:10" x14ac:dyDescent="0.3">
      <c r="G1925">
        <f>IFERROR(VLOOKUP(A1925,'Clientes CBOT'!B:E,4,0),B1925)</f>
        <v>0</v>
      </c>
      <c r="H1925" t="str">
        <f t="shared" ref="H1925:H1988" si="95">IF(E1925="pesos","Ars",IF(E1925="Dólar Matba Rofex","usd linked",IF(F1925=" U$S TT","Hard","Dólar")))</f>
        <v>Dólar</v>
      </c>
      <c r="I1925" s="6">
        <f t="shared" ref="I1925:I1988" si="96">IF(H1925="ars",C1925/$J$1,IF(H1925="Hard",C1925*$J$2/$J$1,C1925))</f>
        <v>0</v>
      </c>
      <c r="J1925">
        <f t="shared" si="94"/>
        <v>0</v>
      </c>
    </row>
    <row r="1926" spans="7:10" x14ac:dyDescent="0.3">
      <c r="G1926">
        <f>IFERROR(VLOOKUP(A1926,'Clientes CBOT'!B:E,4,0),B1926)</f>
        <v>0</v>
      </c>
      <c r="H1926" t="str">
        <f t="shared" si="95"/>
        <v>Dólar</v>
      </c>
      <c r="I1926" s="6">
        <f t="shared" si="96"/>
        <v>0</v>
      </c>
      <c r="J1926">
        <f t="shared" si="94"/>
        <v>0</v>
      </c>
    </row>
    <row r="1927" spans="7:10" x14ac:dyDescent="0.3">
      <c r="G1927">
        <f>IFERROR(VLOOKUP(A1927,'Clientes CBOT'!B:E,4,0),B1927)</f>
        <v>0</v>
      </c>
      <c r="H1927" t="str">
        <f t="shared" si="95"/>
        <v>Dólar</v>
      </c>
      <c r="I1927" s="6">
        <f t="shared" si="96"/>
        <v>0</v>
      </c>
      <c r="J1927">
        <f t="shared" si="94"/>
        <v>0</v>
      </c>
    </row>
    <row r="1928" spans="7:10" x14ac:dyDescent="0.3">
      <c r="G1928">
        <f>IFERROR(VLOOKUP(A1928,'Clientes CBOT'!B:E,4,0),B1928)</f>
        <v>0</v>
      </c>
      <c r="H1928" t="str">
        <f t="shared" si="95"/>
        <v>Dólar</v>
      </c>
      <c r="I1928" s="6">
        <f t="shared" si="96"/>
        <v>0</v>
      </c>
      <c r="J1928">
        <f t="shared" si="94"/>
        <v>0</v>
      </c>
    </row>
    <row r="1929" spans="7:10" x14ac:dyDescent="0.3">
      <c r="G1929">
        <f>IFERROR(VLOOKUP(A1929,'Clientes CBOT'!B:E,4,0),B1929)</f>
        <v>0</v>
      </c>
      <c r="H1929" t="str">
        <f t="shared" si="95"/>
        <v>Dólar</v>
      </c>
      <c r="I1929" s="6">
        <f t="shared" si="96"/>
        <v>0</v>
      </c>
      <c r="J1929">
        <f t="shared" si="94"/>
        <v>0</v>
      </c>
    </row>
    <row r="1930" spans="7:10" x14ac:dyDescent="0.3">
      <c r="G1930">
        <f>IFERROR(VLOOKUP(A1930,'Clientes CBOT'!B:E,4,0),B1930)</f>
        <v>0</v>
      </c>
      <c r="H1930" t="str">
        <f t="shared" si="95"/>
        <v>Dólar</v>
      </c>
      <c r="I1930" s="6">
        <f t="shared" si="96"/>
        <v>0</v>
      </c>
      <c r="J1930">
        <f t="shared" si="94"/>
        <v>0</v>
      </c>
    </row>
    <row r="1931" spans="7:10" x14ac:dyDescent="0.3">
      <c r="G1931">
        <f>IFERROR(VLOOKUP(A1931,'Clientes CBOT'!B:E,4,0),B1931)</f>
        <v>0</v>
      </c>
      <c r="H1931" t="str">
        <f t="shared" si="95"/>
        <v>Dólar</v>
      </c>
      <c r="I1931" s="6">
        <f t="shared" si="96"/>
        <v>0</v>
      </c>
      <c r="J1931">
        <f t="shared" si="94"/>
        <v>0</v>
      </c>
    </row>
    <row r="1932" spans="7:10" x14ac:dyDescent="0.3">
      <c r="G1932">
        <f>IFERROR(VLOOKUP(A1932,'Clientes CBOT'!B:E,4,0),B1932)</f>
        <v>0</v>
      </c>
      <c r="H1932" t="str">
        <f t="shared" si="95"/>
        <v>Dólar</v>
      </c>
      <c r="I1932" s="6">
        <f t="shared" si="96"/>
        <v>0</v>
      </c>
      <c r="J1932">
        <f t="shared" si="94"/>
        <v>0</v>
      </c>
    </row>
    <row r="1933" spans="7:10" x14ac:dyDescent="0.3">
      <c r="G1933">
        <f>IFERROR(VLOOKUP(A1933,'Clientes CBOT'!B:E,4,0),B1933)</f>
        <v>0</v>
      </c>
      <c r="H1933" t="str">
        <f t="shared" si="95"/>
        <v>Dólar</v>
      </c>
      <c r="I1933" s="6">
        <f t="shared" si="96"/>
        <v>0</v>
      </c>
      <c r="J1933">
        <f t="shared" si="94"/>
        <v>0</v>
      </c>
    </row>
    <row r="1934" spans="7:10" x14ac:dyDescent="0.3">
      <c r="G1934">
        <f>IFERROR(VLOOKUP(A1934,'Clientes CBOT'!B:E,4,0),B1934)</f>
        <v>0</v>
      </c>
      <c r="H1934" t="str">
        <f t="shared" si="95"/>
        <v>Dólar</v>
      </c>
      <c r="I1934" s="6">
        <f t="shared" si="96"/>
        <v>0</v>
      </c>
      <c r="J1934">
        <f t="shared" si="94"/>
        <v>0</v>
      </c>
    </row>
    <row r="1935" spans="7:10" x14ac:dyDescent="0.3">
      <c r="G1935">
        <f>IFERROR(VLOOKUP(A1935,'Clientes CBOT'!B:E,4,0),B1935)</f>
        <v>0</v>
      </c>
      <c r="H1935" t="str">
        <f t="shared" si="95"/>
        <v>Dólar</v>
      </c>
      <c r="I1935" s="6">
        <f t="shared" si="96"/>
        <v>0</v>
      </c>
      <c r="J1935">
        <f t="shared" si="94"/>
        <v>0</v>
      </c>
    </row>
    <row r="1936" spans="7:10" x14ac:dyDescent="0.3">
      <c r="G1936">
        <f>IFERROR(VLOOKUP(A1936,'Clientes CBOT'!B:E,4,0),B1936)</f>
        <v>0</v>
      </c>
      <c r="H1936" t="str">
        <f t="shared" si="95"/>
        <v>Dólar</v>
      </c>
      <c r="I1936" s="6">
        <f t="shared" si="96"/>
        <v>0</v>
      </c>
      <c r="J1936">
        <f t="shared" si="94"/>
        <v>0</v>
      </c>
    </row>
    <row r="1937" spans="7:10" x14ac:dyDescent="0.3">
      <c r="G1937">
        <f>IFERROR(VLOOKUP(A1937,'Clientes CBOT'!B:E,4,0),B1937)</f>
        <v>0</v>
      </c>
      <c r="H1937" t="str">
        <f t="shared" si="95"/>
        <v>Dólar</v>
      </c>
      <c r="I1937" s="6">
        <f t="shared" si="96"/>
        <v>0</v>
      </c>
      <c r="J1937">
        <f t="shared" si="94"/>
        <v>0</v>
      </c>
    </row>
    <row r="1938" spans="7:10" x14ac:dyDescent="0.3">
      <c r="G1938">
        <f>IFERROR(VLOOKUP(A1938,'Clientes CBOT'!B:E,4,0),B1938)</f>
        <v>0</v>
      </c>
      <c r="H1938" t="str">
        <f t="shared" si="95"/>
        <v>Dólar</v>
      </c>
      <c r="I1938" s="6">
        <f t="shared" si="96"/>
        <v>0</v>
      </c>
      <c r="J1938">
        <f t="shared" si="94"/>
        <v>0</v>
      </c>
    </row>
    <row r="1939" spans="7:10" x14ac:dyDescent="0.3">
      <c r="G1939">
        <f>IFERROR(VLOOKUP(A1939,'Clientes CBOT'!B:E,4,0),B1939)</f>
        <v>0</v>
      </c>
      <c r="H1939" t="str">
        <f t="shared" si="95"/>
        <v>Dólar</v>
      </c>
      <c r="I1939" s="6">
        <f t="shared" si="96"/>
        <v>0</v>
      </c>
      <c r="J1939">
        <f t="shared" si="94"/>
        <v>0</v>
      </c>
    </row>
    <row r="1940" spans="7:10" x14ac:dyDescent="0.3">
      <c r="G1940">
        <f>IFERROR(VLOOKUP(A1940,'Clientes CBOT'!B:E,4,0),B1940)</f>
        <v>0</v>
      </c>
      <c r="H1940" t="str">
        <f t="shared" si="95"/>
        <v>Dólar</v>
      </c>
      <c r="I1940" s="6">
        <f t="shared" si="96"/>
        <v>0</v>
      </c>
      <c r="J1940">
        <f t="shared" ref="J1940:J2003" si="97">IF(H1940="ars",D1940/$J$1,IF(H1940="hard",D1940*$J$2/$J$1,D1940))</f>
        <v>0</v>
      </c>
    </row>
    <row r="1941" spans="7:10" x14ac:dyDescent="0.3">
      <c r="G1941">
        <f>IFERROR(VLOOKUP(A1941,'Clientes CBOT'!B:E,4,0),B1941)</f>
        <v>0</v>
      </c>
      <c r="H1941" t="str">
        <f t="shared" si="95"/>
        <v>Dólar</v>
      </c>
      <c r="I1941" s="6">
        <f t="shared" si="96"/>
        <v>0</v>
      </c>
      <c r="J1941">
        <f t="shared" si="97"/>
        <v>0</v>
      </c>
    </row>
    <row r="1942" spans="7:10" x14ac:dyDescent="0.3">
      <c r="G1942">
        <f>IFERROR(VLOOKUP(A1942,'Clientes CBOT'!B:E,4,0),B1942)</f>
        <v>0</v>
      </c>
      <c r="H1942" t="str">
        <f t="shared" si="95"/>
        <v>Dólar</v>
      </c>
      <c r="I1942" s="6">
        <f t="shared" si="96"/>
        <v>0</v>
      </c>
      <c r="J1942">
        <f t="shared" si="97"/>
        <v>0</v>
      </c>
    </row>
    <row r="1943" spans="7:10" x14ac:dyDescent="0.3">
      <c r="G1943">
        <f>IFERROR(VLOOKUP(A1943,'Clientes CBOT'!B:E,4,0),B1943)</f>
        <v>0</v>
      </c>
      <c r="H1943" t="str">
        <f t="shared" si="95"/>
        <v>Dólar</v>
      </c>
      <c r="I1943" s="6">
        <f t="shared" si="96"/>
        <v>0</v>
      </c>
      <c r="J1943">
        <f t="shared" si="97"/>
        <v>0</v>
      </c>
    </row>
    <row r="1944" spans="7:10" x14ac:dyDescent="0.3">
      <c r="G1944">
        <f>IFERROR(VLOOKUP(A1944,'Clientes CBOT'!B:E,4,0),B1944)</f>
        <v>0</v>
      </c>
      <c r="H1944" t="str">
        <f t="shared" si="95"/>
        <v>Dólar</v>
      </c>
      <c r="I1944" s="6">
        <f t="shared" si="96"/>
        <v>0</v>
      </c>
      <c r="J1944">
        <f t="shared" si="97"/>
        <v>0</v>
      </c>
    </row>
    <row r="1945" spans="7:10" x14ac:dyDescent="0.3">
      <c r="G1945">
        <f>IFERROR(VLOOKUP(A1945,'Clientes CBOT'!B:E,4,0),B1945)</f>
        <v>0</v>
      </c>
      <c r="H1945" t="str">
        <f t="shared" si="95"/>
        <v>Dólar</v>
      </c>
      <c r="I1945" s="6">
        <f t="shared" si="96"/>
        <v>0</v>
      </c>
      <c r="J1945">
        <f t="shared" si="97"/>
        <v>0</v>
      </c>
    </row>
    <row r="1946" spans="7:10" x14ac:dyDescent="0.3">
      <c r="G1946">
        <f>IFERROR(VLOOKUP(A1946,'Clientes CBOT'!B:E,4,0),B1946)</f>
        <v>0</v>
      </c>
      <c r="H1946" t="str">
        <f t="shared" si="95"/>
        <v>Dólar</v>
      </c>
      <c r="I1946" s="6">
        <f t="shared" si="96"/>
        <v>0</v>
      </c>
      <c r="J1946">
        <f t="shared" si="97"/>
        <v>0</v>
      </c>
    </row>
    <row r="1947" spans="7:10" x14ac:dyDescent="0.3">
      <c r="G1947">
        <f>IFERROR(VLOOKUP(A1947,'Clientes CBOT'!B:E,4,0),B1947)</f>
        <v>0</v>
      </c>
      <c r="H1947" t="str">
        <f t="shared" si="95"/>
        <v>Dólar</v>
      </c>
      <c r="I1947" s="6">
        <f t="shared" si="96"/>
        <v>0</v>
      </c>
      <c r="J1947">
        <f t="shared" si="97"/>
        <v>0</v>
      </c>
    </row>
    <row r="1948" spans="7:10" x14ac:dyDescent="0.3">
      <c r="G1948">
        <f>IFERROR(VLOOKUP(A1948,'Clientes CBOT'!B:E,4,0),B1948)</f>
        <v>0</v>
      </c>
      <c r="H1948" t="str">
        <f t="shared" si="95"/>
        <v>Dólar</v>
      </c>
      <c r="I1948" s="6">
        <f t="shared" si="96"/>
        <v>0</v>
      </c>
      <c r="J1948">
        <f t="shared" si="97"/>
        <v>0</v>
      </c>
    </row>
    <row r="1949" spans="7:10" x14ac:dyDescent="0.3">
      <c r="G1949">
        <f>IFERROR(VLOOKUP(A1949,'Clientes CBOT'!B:E,4,0),B1949)</f>
        <v>0</v>
      </c>
      <c r="H1949" t="str">
        <f t="shared" si="95"/>
        <v>Dólar</v>
      </c>
      <c r="I1949" s="6">
        <f t="shared" si="96"/>
        <v>0</v>
      </c>
      <c r="J1949">
        <f t="shared" si="97"/>
        <v>0</v>
      </c>
    </row>
    <row r="1950" spans="7:10" x14ac:dyDescent="0.3">
      <c r="G1950">
        <f>IFERROR(VLOOKUP(A1950,'Clientes CBOT'!B:E,4,0),B1950)</f>
        <v>0</v>
      </c>
      <c r="H1950" t="str">
        <f t="shared" si="95"/>
        <v>Dólar</v>
      </c>
      <c r="I1950" s="6">
        <f t="shared" si="96"/>
        <v>0</v>
      </c>
      <c r="J1950">
        <f t="shared" si="97"/>
        <v>0</v>
      </c>
    </row>
    <row r="1951" spans="7:10" x14ac:dyDescent="0.3">
      <c r="G1951">
        <f>IFERROR(VLOOKUP(A1951,'Clientes CBOT'!B:E,4,0),B1951)</f>
        <v>0</v>
      </c>
      <c r="H1951" t="str">
        <f t="shared" si="95"/>
        <v>Dólar</v>
      </c>
      <c r="I1951" s="6">
        <f t="shared" si="96"/>
        <v>0</v>
      </c>
      <c r="J1951">
        <f t="shared" si="97"/>
        <v>0</v>
      </c>
    </row>
    <row r="1952" spans="7:10" x14ac:dyDescent="0.3">
      <c r="G1952">
        <f>IFERROR(VLOOKUP(A1952,'Clientes CBOT'!B:E,4,0),B1952)</f>
        <v>0</v>
      </c>
      <c r="H1952" t="str">
        <f t="shared" si="95"/>
        <v>Dólar</v>
      </c>
      <c r="I1952" s="6">
        <f t="shared" si="96"/>
        <v>0</v>
      </c>
      <c r="J1952">
        <f t="shared" si="97"/>
        <v>0</v>
      </c>
    </row>
    <row r="1953" spans="7:10" x14ac:dyDescent="0.3">
      <c r="G1953">
        <f>IFERROR(VLOOKUP(A1953,'Clientes CBOT'!B:E,4,0),B1953)</f>
        <v>0</v>
      </c>
      <c r="H1953" t="str">
        <f t="shared" si="95"/>
        <v>Dólar</v>
      </c>
      <c r="I1953" s="6">
        <f t="shared" si="96"/>
        <v>0</v>
      </c>
      <c r="J1953">
        <f t="shared" si="97"/>
        <v>0</v>
      </c>
    </row>
    <row r="1954" spans="7:10" x14ac:dyDescent="0.3">
      <c r="G1954">
        <f>IFERROR(VLOOKUP(A1954,'Clientes CBOT'!B:E,4,0),B1954)</f>
        <v>0</v>
      </c>
      <c r="H1954" t="str">
        <f t="shared" si="95"/>
        <v>Dólar</v>
      </c>
      <c r="I1954" s="6">
        <f t="shared" si="96"/>
        <v>0</v>
      </c>
      <c r="J1954">
        <f t="shared" si="97"/>
        <v>0</v>
      </c>
    </row>
    <row r="1955" spans="7:10" x14ac:dyDescent="0.3">
      <c r="G1955">
        <f>IFERROR(VLOOKUP(A1955,'Clientes CBOT'!B:E,4,0),B1955)</f>
        <v>0</v>
      </c>
      <c r="H1955" t="str">
        <f t="shared" si="95"/>
        <v>Dólar</v>
      </c>
      <c r="I1955" s="6">
        <f t="shared" si="96"/>
        <v>0</v>
      </c>
      <c r="J1955">
        <f t="shared" si="97"/>
        <v>0</v>
      </c>
    </row>
    <row r="1956" spans="7:10" x14ac:dyDescent="0.3">
      <c r="G1956">
        <f>IFERROR(VLOOKUP(A1956,'Clientes CBOT'!B:E,4,0),B1956)</f>
        <v>0</v>
      </c>
      <c r="H1956" t="str">
        <f t="shared" si="95"/>
        <v>Dólar</v>
      </c>
      <c r="I1956" s="6">
        <f t="shared" si="96"/>
        <v>0</v>
      </c>
      <c r="J1956">
        <f t="shared" si="97"/>
        <v>0</v>
      </c>
    </row>
    <row r="1957" spans="7:10" x14ac:dyDescent="0.3">
      <c r="G1957">
        <f>IFERROR(VLOOKUP(A1957,'Clientes CBOT'!B:E,4,0),B1957)</f>
        <v>0</v>
      </c>
      <c r="H1957" t="str">
        <f t="shared" si="95"/>
        <v>Dólar</v>
      </c>
      <c r="I1957" s="6">
        <f t="shared" si="96"/>
        <v>0</v>
      </c>
      <c r="J1957">
        <f t="shared" si="97"/>
        <v>0</v>
      </c>
    </row>
    <row r="1958" spans="7:10" x14ac:dyDescent="0.3">
      <c r="G1958">
        <f>IFERROR(VLOOKUP(A1958,'Clientes CBOT'!B:E,4,0),B1958)</f>
        <v>0</v>
      </c>
      <c r="H1958" t="str">
        <f t="shared" si="95"/>
        <v>Dólar</v>
      </c>
      <c r="I1958" s="6">
        <f t="shared" si="96"/>
        <v>0</v>
      </c>
      <c r="J1958">
        <f t="shared" si="97"/>
        <v>0</v>
      </c>
    </row>
    <row r="1959" spans="7:10" x14ac:dyDescent="0.3">
      <c r="G1959">
        <f>IFERROR(VLOOKUP(A1959,'Clientes CBOT'!B:E,4,0),B1959)</f>
        <v>0</v>
      </c>
      <c r="H1959" t="str">
        <f t="shared" si="95"/>
        <v>Dólar</v>
      </c>
      <c r="I1959" s="6">
        <f t="shared" si="96"/>
        <v>0</v>
      </c>
      <c r="J1959">
        <f t="shared" si="97"/>
        <v>0</v>
      </c>
    </row>
    <row r="1960" spans="7:10" x14ac:dyDescent="0.3">
      <c r="G1960">
        <f>IFERROR(VLOOKUP(A1960,'Clientes CBOT'!B:E,4,0),B1960)</f>
        <v>0</v>
      </c>
      <c r="H1960" t="str">
        <f t="shared" si="95"/>
        <v>Dólar</v>
      </c>
      <c r="I1960" s="6">
        <f t="shared" si="96"/>
        <v>0</v>
      </c>
      <c r="J1960">
        <f t="shared" si="97"/>
        <v>0</v>
      </c>
    </row>
    <row r="1961" spans="7:10" x14ac:dyDescent="0.3">
      <c r="G1961">
        <f>IFERROR(VLOOKUP(A1961,'Clientes CBOT'!B:E,4,0),B1961)</f>
        <v>0</v>
      </c>
      <c r="H1961" t="str">
        <f t="shared" si="95"/>
        <v>Dólar</v>
      </c>
      <c r="I1961" s="6">
        <f t="shared" si="96"/>
        <v>0</v>
      </c>
      <c r="J1961">
        <f t="shared" si="97"/>
        <v>0</v>
      </c>
    </row>
    <row r="1962" spans="7:10" x14ac:dyDescent="0.3">
      <c r="G1962">
        <f>IFERROR(VLOOKUP(A1962,'Clientes CBOT'!B:E,4,0),B1962)</f>
        <v>0</v>
      </c>
      <c r="H1962" t="str">
        <f t="shared" si="95"/>
        <v>Dólar</v>
      </c>
      <c r="I1962" s="6">
        <f t="shared" si="96"/>
        <v>0</v>
      </c>
      <c r="J1962">
        <f t="shared" si="97"/>
        <v>0</v>
      </c>
    </row>
    <row r="1963" spans="7:10" x14ac:dyDescent="0.3">
      <c r="G1963">
        <f>IFERROR(VLOOKUP(A1963,'Clientes CBOT'!B:E,4,0),B1963)</f>
        <v>0</v>
      </c>
      <c r="H1963" t="str">
        <f t="shared" si="95"/>
        <v>Dólar</v>
      </c>
      <c r="I1963" s="6">
        <f t="shared" si="96"/>
        <v>0</v>
      </c>
      <c r="J1963">
        <f t="shared" si="97"/>
        <v>0</v>
      </c>
    </row>
    <row r="1964" spans="7:10" x14ac:dyDescent="0.3">
      <c r="G1964">
        <f>IFERROR(VLOOKUP(A1964,'Clientes CBOT'!B:E,4,0),B1964)</f>
        <v>0</v>
      </c>
      <c r="H1964" t="str">
        <f t="shared" si="95"/>
        <v>Dólar</v>
      </c>
      <c r="I1964" s="6">
        <f t="shared" si="96"/>
        <v>0</v>
      </c>
      <c r="J1964">
        <f t="shared" si="97"/>
        <v>0</v>
      </c>
    </row>
    <row r="1965" spans="7:10" x14ac:dyDescent="0.3">
      <c r="G1965">
        <f>IFERROR(VLOOKUP(A1965,'Clientes CBOT'!B:E,4,0),B1965)</f>
        <v>0</v>
      </c>
      <c r="H1965" t="str">
        <f t="shared" si="95"/>
        <v>Dólar</v>
      </c>
      <c r="I1965" s="6">
        <f t="shared" si="96"/>
        <v>0</v>
      </c>
      <c r="J1965">
        <f t="shared" si="97"/>
        <v>0</v>
      </c>
    </row>
    <row r="1966" spans="7:10" x14ac:dyDescent="0.3">
      <c r="G1966">
        <f>IFERROR(VLOOKUP(A1966,'Clientes CBOT'!B:E,4,0),B1966)</f>
        <v>0</v>
      </c>
      <c r="H1966" t="str">
        <f t="shared" si="95"/>
        <v>Dólar</v>
      </c>
      <c r="I1966" s="6">
        <f t="shared" si="96"/>
        <v>0</v>
      </c>
      <c r="J1966">
        <f t="shared" si="97"/>
        <v>0</v>
      </c>
    </row>
    <row r="1967" spans="7:10" x14ac:dyDescent="0.3">
      <c r="G1967">
        <f>IFERROR(VLOOKUP(A1967,'Clientes CBOT'!B:E,4,0),B1967)</f>
        <v>0</v>
      </c>
      <c r="H1967" t="str">
        <f t="shared" si="95"/>
        <v>Dólar</v>
      </c>
      <c r="I1967" s="6">
        <f t="shared" si="96"/>
        <v>0</v>
      </c>
      <c r="J1967">
        <f t="shared" si="97"/>
        <v>0</v>
      </c>
    </row>
    <row r="1968" spans="7:10" x14ac:dyDescent="0.3">
      <c r="G1968">
        <f>IFERROR(VLOOKUP(A1968,'Clientes CBOT'!B:E,4,0),B1968)</f>
        <v>0</v>
      </c>
      <c r="H1968" t="str">
        <f t="shared" si="95"/>
        <v>Dólar</v>
      </c>
      <c r="I1968" s="6">
        <f t="shared" si="96"/>
        <v>0</v>
      </c>
      <c r="J1968">
        <f t="shared" si="97"/>
        <v>0</v>
      </c>
    </row>
    <row r="1969" spans="7:10" x14ac:dyDescent="0.3">
      <c r="G1969">
        <f>IFERROR(VLOOKUP(A1969,'Clientes CBOT'!B:E,4,0),B1969)</f>
        <v>0</v>
      </c>
      <c r="H1969" t="str">
        <f t="shared" si="95"/>
        <v>Dólar</v>
      </c>
      <c r="I1969" s="6">
        <f t="shared" si="96"/>
        <v>0</v>
      </c>
      <c r="J1969">
        <f t="shared" si="97"/>
        <v>0</v>
      </c>
    </row>
    <row r="1970" spans="7:10" x14ac:dyDescent="0.3">
      <c r="G1970">
        <f>IFERROR(VLOOKUP(A1970,'Clientes CBOT'!B:E,4,0),B1970)</f>
        <v>0</v>
      </c>
      <c r="H1970" t="str">
        <f t="shared" si="95"/>
        <v>Dólar</v>
      </c>
      <c r="I1970" s="6">
        <f t="shared" si="96"/>
        <v>0</v>
      </c>
      <c r="J1970">
        <f t="shared" si="97"/>
        <v>0</v>
      </c>
    </row>
    <row r="1971" spans="7:10" x14ac:dyDescent="0.3">
      <c r="G1971">
        <f>IFERROR(VLOOKUP(A1971,'Clientes CBOT'!B:E,4,0),B1971)</f>
        <v>0</v>
      </c>
      <c r="H1971" t="str">
        <f t="shared" si="95"/>
        <v>Dólar</v>
      </c>
      <c r="I1971" s="6">
        <f t="shared" si="96"/>
        <v>0</v>
      </c>
      <c r="J1971">
        <f t="shared" si="97"/>
        <v>0</v>
      </c>
    </row>
    <row r="1972" spans="7:10" x14ac:dyDescent="0.3">
      <c r="G1972">
        <f>IFERROR(VLOOKUP(A1972,'Clientes CBOT'!B:E,4,0),B1972)</f>
        <v>0</v>
      </c>
      <c r="H1972" t="str">
        <f t="shared" si="95"/>
        <v>Dólar</v>
      </c>
      <c r="I1972" s="6">
        <f t="shared" si="96"/>
        <v>0</v>
      </c>
      <c r="J1972">
        <f t="shared" si="97"/>
        <v>0</v>
      </c>
    </row>
    <row r="1973" spans="7:10" x14ac:dyDescent="0.3">
      <c r="G1973">
        <f>IFERROR(VLOOKUP(A1973,'Clientes CBOT'!B:E,4,0),B1973)</f>
        <v>0</v>
      </c>
      <c r="H1973" t="str">
        <f t="shared" si="95"/>
        <v>Dólar</v>
      </c>
      <c r="I1973" s="6">
        <f t="shared" si="96"/>
        <v>0</v>
      </c>
      <c r="J1973">
        <f t="shared" si="97"/>
        <v>0</v>
      </c>
    </row>
    <row r="1974" spans="7:10" x14ac:dyDescent="0.3">
      <c r="G1974">
        <f>IFERROR(VLOOKUP(A1974,'Clientes CBOT'!B:E,4,0),B1974)</f>
        <v>0</v>
      </c>
      <c r="H1974" t="str">
        <f t="shared" si="95"/>
        <v>Dólar</v>
      </c>
      <c r="I1974" s="6">
        <f t="shared" si="96"/>
        <v>0</v>
      </c>
      <c r="J1974">
        <f t="shared" si="97"/>
        <v>0</v>
      </c>
    </row>
    <row r="1975" spans="7:10" x14ac:dyDescent="0.3">
      <c r="G1975">
        <f>IFERROR(VLOOKUP(A1975,'Clientes CBOT'!B:E,4,0),B1975)</f>
        <v>0</v>
      </c>
      <c r="H1975" t="str">
        <f t="shared" si="95"/>
        <v>Dólar</v>
      </c>
      <c r="I1975" s="6">
        <f t="shared" si="96"/>
        <v>0</v>
      </c>
      <c r="J1975">
        <f t="shared" si="97"/>
        <v>0</v>
      </c>
    </row>
    <row r="1976" spans="7:10" x14ac:dyDescent="0.3">
      <c r="G1976">
        <f>IFERROR(VLOOKUP(A1976,'Clientes CBOT'!B:E,4,0),B1976)</f>
        <v>0</v>
      </c>
      <c r="H1976" t="str">
        <f t="shared" si="95"/>
        <v>Dólar</v>
      </c>
      <c r="I1976" s="6">
        <f t="shared" si="96"/>
        <v>0</v>
      </c>
      <c r="J1976">
        <f t="shared" si="97"/>
        <v>0</v>
      </c>
    </row>
    <row r="1977" spans="7:10" x14ac:dyDescent="0.3">
      <c r="G1977">
        <f>IFERROR(VLOOKUP(A1977,'Clientes CBOT'!B:E,4,0),B1977)</f>
        <v>0</v>
      </c>
      <c r="H1977" t="str">
        <f t="shared" si="95"/>
        <v>Dólar</v>
      </c>
      <c r="I1977" s="6">
        <f t="shared" si="96"/>
        <v>0</v>
      </c>
      <c r="J1977">
        <f t="shared" si="97"/>
        <v>0</v>
      </c>
    </row>
    <row r="1978" spans="7:10" x14ac:dyDescent="0.3">
      <c r="G1978">
        <f>IFERROR(VLOOKUP(A1978,'Clientes CBOT'!B:E,4,0),B1978)</f>
        <v>0</v>
      </c>
      <c r="H1978" t="str">
        <f t="shared" si="95"/>
        <v>Dólar</v>
      </c>
      <c r="I1978" s="6">
        <f t="shared" si="96"/>
        <v>0</v>
      </c>
      <c r="J1978">
        <f t="shared" si="97"/>
        <v>0</v>
      </c>
    </row>
    <row r="1979" spans="7:10" x14ac:dyDescent="0.3">
      <c r="G1979">
        <f>IFERROR(VLOOKUP(A1979,'Clientes CBOT'!B:E,4,0),B1979)</f>
        <v>0</v>
      </c>
      <c r="H1979" t="str">
        <f t="shared" si="95"/>
        <v>Dólar</v>
      </c>
      <c r="I1979" s="6">
        <f t="shared" si="96"/>
        <v>0</v>
      </c>
      <c r="J1979">
        <f t="shared" si="97"/>
        <v>0</v>
      </c>
    </row>
    <row r="1980" spans="7:10" x14ac:dyDescent="0.3">
      <c r="G1980">
        <f>IFERROR(VLOOKUP(A1980,'Clientes CBOT'!B:E,4,0),B1980)</f>
        <v>0</v>
      </c>
      <c r="H1980" t="str">
        <f t="shared" si="95"/>
        <v>Dólar</v>
      </c>
      <c r="I1980" s="6">
        <f t="shared" si="96"/>
        <v>0</v>
      </c>
      <c r="J1980">
        <f t="shared" si="97"/>
        <v>0</v>
      </c>
    </row>
    <row r="1981" spans="7:10" x14ac:dyDescent="0.3">
      <c r="G1981">
        <f>IFERROR(VLOOKUP(A1981,'Clientes CBOT'!B:E,4,0),B1981)</f>
        <v>0</v>
      </c>
      <c r="H1981" t="str">
        <f t="shared" si="95"/>
        <v>Dólar</v>
      </c>
      <c r="I1981" s="6">
        <f t="shared" si="96"/>
        <v>0</v>
      </c>
      <c r="J1981">
        <f t="shared" si="97"/>
        <v>0</v>
      </c>
    </row>
    <row r="1982" spans="7:10" x14ac:dyDescent="0.3">
      <c r="G1982">
        <f>IFERROR(VLOOKUP(A1982,'Clientes CBOT'!B:E,4,0),B1982)</f>
        <v>0</v>
      </c>
      <c r="H1982" t="str">
        <f t="shared" si="95"/>
        <v>Dólar</v>
      </c>
      <c r="I1982" s="6">
        <f t="shared" si="96"/>
        <v>0</v>
      </c>
      <c r="J1982">
        <f t="shared" si="97"/>
        <v>0</v>
      </c>
    </row>
    <row r="1983" spans="7:10" x14ac:dyDescent="0.3">
      <c r="G1983">
        <f>IFERROR(VLOOKUP(A1983,'Clientes CBOT'!B:E,4,0),B1983)</f>
        <v>0</v>
      </c>
      <c r="H1983" t="str">
        <f t="shared" si="95"/>
        <v>Dólar</v>
      </c>
      <c r="I1983" s="6">
        <f t="shared" si="96"/>
        <v>0</v>
      </c>
      <c r="J1983">
        <f t="shared" si="97"/>
        <v>0</v>
      </c>
    </row>
    <row r="1984" spans="7:10" x14ac:dyDescent="0.3">
      <c r="G1984">
        <f>IFERROR(VLOOKUP(A1984,'Clientes CBOT'!B:E,4,0),B1984)</f>
        <v>0</v>
      </c>
      <c r="H1984" t="str">
        <f t="shared" si="95"/>
        <v>Dólar</v>
      </c>
      <c r="I1984" s="6">
        <f t="shared" si="96"/>
        <v>0</v>
      </c>
      <c r="J1984">
        <f t="shared" si="97"/>
        <v>0</v>
      </c>
    </row>
    <row r="1985" spans="7:10" x14ac:dyDescent="0.3">
      <c r="G1985">
        <f>IFERROR(VLOOKUP(A1985,'Clientes CBOT'!B:E,4,0),B1985)</f>
        <v>0</v>
      </c>
      <c r="H1985" t="str">
        <f t="shared" si="95"/>
        <v>Dólar</v>
      </c>
      <c r="I1985" s="6">
        <f t="shared" si="96"/>
        <v>0</v>
      </c>
      <c r="J1985">
        <f t="shared" si="97"/>
        <v>0</v>
      </c>
    </row>
    <row r="1986" spans="7:10" x14ac:dyDescent="0.3">
      <c r="G1986">
        <f>IFERROR(VLOOKUP(A1986,'Clientes CBOT'!B:E,4,0),B1986)</f>
        <v>0</v>
      </c>
      <c r="H1986" t="str">
        <f t="shared" si="95"/>
        <v>Dólar</v>
      </c>
      <c r="I1986" s="6">
        <f t="shared" si="96"/>
        <v>0</v>
      </c>
      <c r="J1986">
        <f t="shared" si="97"/>
        <v>0</v>
      </c>
    </row>
    <row r="1987" spans="7:10" x14ac:dyDescent="0.3">
      <c r="G1987">
        <f>IFERROR(VLOOKUP(A1987,'Clientes CBOT'!B:E,4,0),B1987)</f>
        <v>0</v>
      </c>
      <c r="H1987" t="str">
        <f t="shared" si="95"/>
        <v>Dólar</v>
      </c>
      <c r="I1987" s="6">
        <f t="shared" si="96"/>
        <v>0</v>
      </c>
      <c r="J1987">
        <f t="shared" si="97"/>
        <v>0</v>
      </c>
    </row>
    <row r="1988" spans="7:10" x14ac:dyDescent="0.3">
      <c r="G1988">
        <f>IFERROR(VLOOKUP(A1988,'Clientes CBOT'!B:E,4,0),B1988)</f>
        <v>0</v>
      </c>
      <c r="H1988" t="str">
        <f t="shared" si="95"/>
        <v>Dólar</v>
      </c>
      <c r="I1988" s="6">
        <f t="shared" si="96"/>
        <v>0</v>
      </c>
      <c r="J1988">
        <f t="shared" si="97"/>
        <v>0</v>
      </c>
    </row>
    <row r="1989" spans="7:10" x14ac:dyDescent="0.3">
      <c r="G1989">
        <f>IFERROR(VLOOKUP(A1989,'Clientes CBOT'!B:E,4,0),B1989)</f>
        <v>0</v>
      </c>
      <c r="H1989" t="str">
        <f t="shared" ref="H1989:H2052" si="98">IF(E1989="pesos","Ars",IF(E1989="Dólar Matba Rofex","usd linked",IF(F1989=" U$S TT","Hard","Dólar")))</f>
        <v>Dólar</v>
      </c>
      <c r="I1989" s="6">
        <f t="shared" ref="I1989:I2052" si="99">IF(H1989="ars",C1989/$J$1,IF(H1989="Hard",C1989*$J$2/$J$1,C1989))</f>
        <v>0</v>
      </c>
      <c r="J1989">
        <f t="shared" si="97"/>
        <v>0</v>
      </c>
    </row>
    <row r="1990" spans="7:10" x14ac:dyDescent="0.3">
      <c r="G1990">
        <f>IFERROR(VLOOKUP(A1990,'Clientes CBOT'!B:E,4,0),B1990)</f>
        <v>0</v>
      </c>
      <c r="H1990" t="str">
        <f t="shared" si="98"/>
        <v>Dólar</v>
      </c>
      <c r="I1990" s="6">
        <f t="shared" si="99"/>
        <v>0</v>
      </c>
      <c r="J1990">
        <f t="shared" si="97"/>
        <v>0</v>
      </c>
    </row>
    <row r="1991" spans="7:10" x14ac:dyDescent="0.3">
      <c r="G1991">
        <f>IFERROR(VLOOKUP(A1991,'Clientes CBOT'!B:E,4,0),B1991)</f>
        <v>0</v>
      </c>
      <c r="H1991" t="str">
        <f t="shared" si="98"/>
        <v>Dólar</v>
      </c>
      <c r="I1991" s="6">
        <f t="shared" si="99"/>
        <v>0</v>
      </c>
      <c r="J1991">
        <f t="shared" si="97"/>
        <v>0</v>
      </c>
    </row>
    <row r="1992" spans="7:10" x14ac:dyDescent="0.3">
      <c r="G1992">
        <f>IFERROR(VLOOKUP(A1992,'Clientes CBOT'!B:E,4,0),B1992)</f>
        <v>0</v>
      </c>
      <c r="H1992" t="str">
        <f t="shared" si="98"/>
        <v>Dólar</v>
      </c>
      <c r="I1992" s="6">
        <f t="shared" si="99"/>
        <v>0</v>
      </c>
      <c r="J1992">
        <f t="shared" si="97"/>
        <v>0</v>
      </c>
    </row>
    <row r="1993" spans="7:10" x14ac:dyDescent="0.3">
      <c r="G1993">
        <f>IFERROR(VLOOKUP(A1993,'Clientes CBOT'!B:E,4,0),B1993)</f>
        <v>0</v>
      </c>
      <c r="H1993" t="str">
        <f t="shared" si="98"/>
        <v>Dólar</v>
      </c>
      <c r="I1993" s="6">
        <f t="shared" si="99"/>
        <v>0</v>
      </c>
      <c r="J1993">
        <f t="shared" si="97"/>
        <v>0</v>
      </c>
    </row>
    <row r="1994" spans="7:10" x14ac:dyDescent="0.3">
      <c r="G1994">
        <f>IFERROR(VLOOKUP(A1994,'Clientes CBOT'!B:E,4,0),B1994)</f>
        <v>0</v>
      </c>
      <c r="H1994" t="str">
        <f t="shared" si="98"/>
        <v>Dólar</v>
      </c>
      <c r="I1994" s="6">
        <f t="shared" si="99"/>
        <v>0</v>
      </c>
      <c r="J1994">
        <f t="shared" si="97"/>
        <v>0</v>
      </c>
    </row>
    <row r="1995" spans="7:10" x14ac:dyDescent="0.3">
      <c r="G1995">
        <f>IFERROR(VLOOKUP(A1995,'Clientes CBOT'!B:E,4,0),B1995)</f>
        <v>0</v>
      </c>
      <c r="H1995" t="str">
        <f t="shared" si="98"/>
        <v>Dólar</v>
      </c>
      <c r="I1995" s="6">
        <f t="shared" si="99"/>
        <v>0</v>
      </c>
      <c r="J1995">
        <f t="shared" si="97"/>
        <v>0</v>
      </c>
    </row>
    <row r="1996" spans="7:10" x14ac:dyDescent="0.3">
      <c r="G1996">
        <f>IFERROR(VLOOKUP(A1996,'Clientes CBOT'!B:E,4,0),B1996)</f>
        <v>0</v>
      </c>
      <c r="H1996" t="str">
        <f t="shared" si="98"/>
        <v>Dólar</v>
      </c>
      <c r="I1996" s="6">
        <f t="shared" si="99"/>
        <v>0</v>
      </c>
      <c r="J1996">
        <f t="shared" si="97"/>
        <v>0</v>
      </c>
    </row>
    <row r="1997" spans="7:10" x14ac:dyDescent="0.3">
      <c r="G1997">
        <f>IFERROR(VLOOKUP(A1997,'Clientes CBOT'!B:E,4,0),B1997)</f>
        <v>0</v>
      </c>
      <c r="H1997" t="str">
        <f t="shared" si="98"/>
        <v>Dólar</v>
      </c>
      <c r="I1997" s="6">
        <f t="shared" si="99"/>
        <v>0</v>
      </c>
      <c r="J1997">
        <f t="shared" si="97"/>
        <v>0</v>
      </c>
    </row>
    <row r="1998" spans="7:10" x14ac:dyDescent="0.3">
      <c r="G1998">
        <f>IFERROR(VLOOKUP(A1998,'Clientes CBOT'!B:E,4,0),B1998)</f>
        <v>0</v>
      </c>
      <c r="H1998" t="str">
        <f t="shared" si="98"/>
        <v>Dólar</v>
      </c>
      <c r="I1998" s="6">
        <f t="shared" si="99"/>
        <v>0</v>
      </c>
      <c r="J1998">
        <f t="shared" si="97"/>
        <v>0</v>
      </c>
    </row>
    <row r="1999" spans="7:10" x14ac:dyDescent="0.3">
      <c r="G1999">
        <f>IFERROR(VLOOKUP(A1999,'Clientes CBOT'!B:E,4,0),B1999)</f>
        <v>0</v>
      </c>
      <c r="H1999" t="str">
        <f t="shared" si="98"/>
        <v>Dólar</v>
      </c>
      <c r="I1999" s="6">
        <f t="shared" si="99"/>
        <v>0</v>
      </c>
      <c r="J1999">
        <f t="shared" si="97"/>
        <v>0</v>
      </c>
    </row>
    <row r="2000" spans="7:10" x14ac:dyDescent="0.3">
      <c r="G2000">
        <f>IFERROR(VLOOKUP(A2000,'Clientes CBOT'!B:E,4,0),B2000)</f>
        <v>0</v>
      </c>
      <c r="H2000" t="str">
        <f t="shared" si="98"/>
        <v>Dólar</v>
      </c>
      <c r="I2000" s="6">
        <f t="shared" si="99"/>
        <v>0</v>
      </c>
      <c r="J2000">
        <f t="shared" si="97"/>
        <v>0</v>
      </c>
    </row>
    <row r="2001" spans="7:10" x14ac:dyDescent="0.3">
      <c r="G2001">
        <f>IFERROR(VLOOKUP(A2001,'Clientes CBOT'!B:E,4,0),B2001)</f>
        <v>0</v>
      </c>
      <c r="H2001" t="str">
        <f t="shared" si="98"/>
        <v>Dólar</v>
      </c>
      <c r="I2001" s="6">
        <f t="shared" si="99"/>
        <v>0</v>
      </c>
      <c r="J2001">
        <f t="shared" si="97"/>
        <v>0</v>
      </c>
    </row>
    <row r="2002" spans="7:10" x14ac:dyDescent="0.3">
      <c r="G2002">
        <f>IFERROR(VLOOKUP(A2002,'Clientes CBOT'!B:E,4,0),B2002)</f>
        <v>0</v>
      </c>
      <c r="H2002" t="str">
        <f t="shared" si="98"/>
        <v>Dólar</v>
      </c>
      <c r="I2002" s="6">
        <f t="shared" si="99"/>
        <v>0</v>
      </c>
      <c r="J2002">
        <f t="shared" si="97"/>
        <v>0</v>
      </c>
    </row>
    <row r="2003" spans="7:10" x14ac:dyDescent="0.3">
      <c r="G2003">
        <f>IFERROR(VLOOKUP(A2003,'Clientes CBOT'!B:E,4,0),B2003)</f>
        <v>0</v>
      </c>
      <c r="H2003" t="str">
        <f t="shared" si="98"/>
        <v>Dólar</v>
      </c>
      <c r="I2003" s="6">
        <f t="shared" si="99"/>
        <v>0</v>
      </c>
      <c r="J2003">
        <f t="shared" si="97"/>
        <v>0</v>
      </c>
    </row>
    <row r="2004" spans="7:10" x14ac:dyDescent="0.3">
      <c r="G2004">
        <f>IFERROR(VLOOKUP(A2004,'Clientes CBOT'!B:E,4,0),B2004)</f>
        <v>0</v>
      </c>
      <c r="H2004" t="str">
        <f t="shared" si="98"/>
        <v>Dólar</v>
      </c>
      <c r="I2004" s="6">
        <f t="shared" si="99"/>
        <v>0</v>
      </c>
      <c r="J2004">
        <f t="shared" ref="J2004:J2067" si="100">IF(H2004="ars",D2004/$J$1,IF(H2004="hard",D2004*$J$2/$J$1,D2004))</f>
        <v>0</v>
      </c>
    </row>
    <row r="2005" spans="7:10" x14ac:dyDescent="0.3">
      <c r="G2005">
        <f>IFERROR(VLOOKUP(A2005,'Clientes CBOT'!B:E,4,0),B2005)</f>
        <v>0</v>
      </c>
      <c r="H2005" t="str">
        <f t="shared" si="98"/>
        <v>Dólar</v>
      </c>
      <c r="I2005" s="6">
        <f t="shared" si="99"/>
        <v>0</v>
      </c>
      <c r="J2005">
        <f t="shared" si="100"/>
        <v>0</v>
      </c>
    </row>
    <row r="2006" spans="7:10" x14ac:dyDescent="0.3">
      <c r="G2006">
        <f>IFERROR(VLOOKUP(A2006,'Clientes CBOT'!B:E,4,0),B2006)</f>
        <v>0</v>
      </c>
      <c r="H2006" t="str">
        <f t="shared" si="98"/>
        <v>Dólar</v>
      </c>
      <c r="I2006" s="6">
        <f t="shared" si="99"/>
        <v>0</v>
      </c>
      <c r="J2006">
        <f t="shared" si="100"/>
        <v>0</v>
      </c>
    </row>
    <row r="2007" spans="7:10" x14ac:dyDescent="0.3">
      <c r="G2007">
        <f>IFERROR(VLOOKUP(A2007,'Clientes CBOT'!B:E,4,0),B2007)</f>
        <v>0</v>
      </c>
      <c r="H2007" t="str">
        <f t="shared" si="98"/>
        <v>Dólar</v>
      </c>
      <c r="I2007" s="6">
        <f t="shared" si="99"/>
        <v>0</v>
      </c>
      <c r="J2007">
        <f t="shared" si="100"/>
        <v>0</v>
      </c>
    </row>
    <row r="2008" spans="7:10" x14ac:dyDescent="0.3">
      <c r="G2008">
        <f>IFERROR(VLOOKUP(A2008,'Clientes CBOT'!B:E,4,0),B2008)</f>
        <v>0</v>
      </c>
      <c r="H2008" t="str">
        <f t="shared" si="98"/>
        <v>Dólar</v>
      </c>
      <c r="I2008" s="6">
        <f t="shared" si="99"/>
        <v>0</v>
      </c>
      <c r="J2008">
        <f t="shared" si="100"/>
        <v>0</v>
      </c>
    </row>
    <row r="2009" spans="7:10" x14ac:dyDescent="0.3">
      <c r="G2009">
        <f>IFERROR(VLOOKUP(A2009,'Clientes CBOT'!B:E,4,0),B2009)</f>
        <v>0</v>
      </c>
      <c r="H2009" t="str">
        <f t="shared" si="98"/>
        <v>Dólar</v>
      </c>
      <c r="I2009" s="6">
        <f t="shared" si="99"/>
        <v>0</v>
      </c>
      <c r="J2009">
        <f t="shared" si="100"/>
        <v>0</v>
      </c>
    </row>
    <row r="2010" spans="7:10" x14ac:dyDescent="0.3">
      <c r="G2010">
        <f>IFERROR(VLOOKUP(A2010,'Clientes CBOT'!B:E,4,0),B2010)</f>
        <v>0</v>
      </c>
      <c r="H2010" t="str">
        <f t="shared" si="98"/>
        <v>Dólar</v>
      </c>
      <c r="I2010" s="6">
        <f t="shared" si="99"/>
        <v>0</v>
      </c>
      <c r="J2010">
        <f t="shared" si="100"/>
        <v>0</v>
      </c>
    </row>
    <row r="2011" spans="7:10" x14ac:dyDescent="0.3">
      <c r="G2011">
        <f>IFERROR(VLOOKUP(A2011,'Clientes CBOT'!B:E,4,0),B2011)</f>
        <v>0</v>
      </c>
      <c r="H2011" t="str">
        <f t="shared" si="98"/>
        <v>Dólar</v>
      </c>
      <c r="I2011" s="6">
        <f t="shared" si="99"/>
        <v>0</v>
      </c>
      <c r="J2011">
        <f t="shared" si="100"/>
        <v>0</v>
      </c>
    </row>
    <row r="2012" spans="7:10" x14ac:dyDescent="0.3">
      <c r="G2012">
        <f>IFERROR(VLOOKUP(A2012,'Clientes CBOT'!B:E,4,0),B2012)</f>
        <v>0</v>
      </c>
      <c r="H2012" t="str">
        <f t="shared" si="98"/>
        <v>Dólar</v>
      </c>
      <c r="I2012" s="6">
        <f t="shared" si="99"/>
        <v>0</v>
      </c>
      <c r="J2012">
        <f t="shared" si="100"/>
        <v>0</v>
      </c>
    </row>
    <row r="2013" spans="7:10" x14ac:dyDescent="0.3">
      <c r="G2013">
        <f>IFERROR(VLOOKUP(A2013,'Clientes CBOT'!B:E,4,0),B2013)</f>
        <v>0</v>
      </c>
      <c r="H2013" t="str">
        <f t="shared" si="98"/>
        <v>Dólar</v>
      </c>
      <c r="I2013" s="6">
        <f t="shared" si="99"/>
        <v>0</v>
      </c>
      <c r="J2013">
        <f t="shared" si="100"/>
        <v>0</v>
      </c>
    </row>
    <row r="2014" spans="7:10" x14ac:dyDescent="0.3">
      <c r="G2014">
        <f>IFERROR(VLOOKUP(A2014,'Clientes CBOT'!B:E,4,0),B2014)</f>
        <v>0</v>
      </c>
      <c r="H2014" t="str">
        <f t="shared" si="98"/>
        <v>Dólar</v>
      </c>
      <c r="I2014" s="6">
        <f t="shared" si="99"/>
        <v>0</v>
      </c>
      <c r="J2014">
        <f t="shared" si="100"/>
        <v>0</v>
      </c>
    </row>
    <row r="2015" spans="7:10" x14ac:dyDescent="0.3">
      <c r="G2015">
        <f>IFERROR(VLOOKUP(A2015,'Clientes CBOT'!B:E,4,0),B2015)</f>
        <v>0</v>
      </c>
      <c r="H2015" t="str">
        <f t="shared" si="98"/>
        <v>Dólar</v>
      </c>
      <c r="I2015" s="6">
        <f t="shared" si="99"/>
        <v>0</v>
      </c>
      <c r="J2015">
        <f t="shared" si="100"/>
        <v>0</v>
      </c>
    </row>
    <row r="2016" spans="7:10" x14ac:dyDescent="0.3">
      <c r="G2016">
        <f>IFERROR(VLOOKUP(A2016,'Clientes CBOT'!B:E,4,0),B2016)</f>
        <v>0</v>
      </c>
      <c r="H2016" t="str">
        <f t="shared" si="98"/>
        <v>Dólar</v>
      </c>
      <c r="I2016" s="6">
        <f t="shared" si="99"/>
        <v>0</v>
      </c>
      <c r="J2016">
        <f t="shared" si="100"/>
        <v>0</v>
      </c>
    </row>
    <row r="2017" spans="7:10" x14ac:dyDescent="0.3">
      <c r="G2017">
        <f>IFERROR(VLOOKUP(A2017,'Clientes CBOT'!B:E,4,0),B2017)</f>
        <v>0</v>
      </c>
      <c r="H2017" t="str">
        <f t="shared" si="98"/>
        <v>Dólar</v>
      </c>
      <c r="I2017" s="6">
        <f t="shared" si="99"/>
        <v>0</v>
      </c>
      <c r="J2017">
        <f t="shared" si="100"/>
        <v>0</v>
      </c>
    </row>
    <row r="2018" spans="7:10" x14ac:dyDescent="0.3">
      <c r="G2018">
        <f>IFERROR(VLOOKUP(A2018,'Clientes CBOT'!B:E,4,0),B2018)</f>
        <v>0</v>
      </c>
      <c r="H2018" t="str">
        <f t="shared" si="98"/>
        <v>Dólar</v>
      </c>
      <c r="I2018" s="6">
        <f t="shared" si="99"/>
        <v>0</v>
      </c>
      <c r="J2018">
        <f t="shared" si="100"/>
        <v>0</v>
      </c>
    </row>
    <row r="2019" spans="7:10" x14ac:dyDescent="0.3">
      <c r="G2019">
        <f>IFERROR(VLOOKUP(A2019,'Clientes CBOT'!B:E,4,0),B2019)</f>
        <v>0</v>
      </c>
      <c r="H2019" t="str">
        <f t="shared" si="98"/>
        <v>Dólar</v>
      </c>
      <c r="I2019" s="6">
        <f t="shared" si="99"/>
        <v>0</v>
      </c>
      <c r="J2019">
        <f t="shared" si="100"/>
        <v>0</v>
      </c>
    </row>
    <row r="2020" spans="7:10" x14ac:dyDescent="0.3">
      <c r="G2020">
        <f>IFERROR(VLOOKUP(A2020,'Clientes CBOT'!B:E,4,0),B2020)</f>
        <v>0</v>
      </c>
      <c r="H2020" t="str">
        <f t="shared" si="98"/>
        <v>Dólar</v>
      </c>
      <c r="I2020" s="6">
        <f t="shared" si="99"/>
        <v>0</v>
      </c>
      <c r="J2020">
        <f t="shared" si="100"/>
        <v>0</v>
      </c>
    </row>
    <row r="2021" spans="7:10" x14ac:dyDescent="0.3">
      <c r="G2021">
        <f>IFERROR(VLOOKUP(A2021,'Clientes CBOT'!B:E,4,0),B2021)</f>
        <v>0</v>
      </c>
      <c r="H2021" t="str">
        <f t="shared" si="98"/>
        <v>Dólar</v>
      </c>
      <c r="I2021" s="6">
        <f t="shared" si="99"/>
        <v>0</v>
      </c>
      <c r="J2021">
        <f t="shared" si="100"/>
        <v>0</v>
      </c>
    </row>
    <row r="2022" spans="7:10" x14ac:dyDescent="0.3">
      <c r="G2022">
        <f>IFERROR(VLOOKUP(A2022,'Clientes CBOT'!B:E,4,0),B2022)</f>
        <v>0</v>
      </c>
      <c r="H2022" t="str">
        <f t="shared" si="98"/>
        <v>Dólar</v>
      </c>
      <c r="I2022" s="6">
        <f t="shared" si="99"/>
        <v>0</v>
      </c>
      <c r="J2022">
        <f t="shared" si="100"/>
        <v>0</v>
      </c>
    </row>
    <row r="2023" spans="7:10" x14ac:dyDescent="0.3">
      <c r="G2023">
        <f>IFERROR(VLOOKUP(A2023,'Clientes CBOT'!B:E,4,0),B2023)</f>
        <v>0</v>
      </c>
      <c r="H2023" t="str">
        <f t="shared" si="98"/>
        <v>Dólar</v>
      </c>
      <c r="I2023" s="6">
        <f t="shared" si="99"/>
        <v>0</v>
      </c>
      <c r="J2023">
        <f t="shared" si="100"/>
        <v>0</v>
      </c>
    </row>
    <row r="2024" spans="7:10" x14ac:dyDescent="0.3">
      <c r="G2024">
        <f>IFERROR(VLOOKUP(A2024,'Clientes CBOT'!B:E,4,0),B2024)</f>
        <v>0</v>
      </c>
      <c r="H2024" t="str">
        <f t="shared" si="98"/>
        <v>Dólar</v>
      </c>
      <c r="I2024" s="6">
        <f t="shared" si="99"/>
        <v>0</v>
      </c>
      <c r="J2024">
        <f t="shared" si="100"/>
        <v>0</v>
      </c>
    </row>
    <row r="2025" spans="7:10" x14ac:dyDescent="0.3">
      <c r="G2025">
        <f>IFERROR(VLOOKUP(A2025,'Clientes CBOT'!B:E,4,0),B2025)</f>
        <v>0</v>
      </c>
      <c r="H2025" t="str">
        <f t="shared" si="98"/>
        <v>Dólar</v>
      </c>
      <c r="I2025" s="6">
        <f t="shared" si="99"/>
        <v>0</v>
      </c>
      <c r="J2025">
        <f t="shared" si="100"/>
        <v>0</v>
      </c>
    </row>
    <row r="2026" spans="7:10" x14ac:dyDescent="0.3">
      <c r="G2026">
        <f>IFERROR(VLOOKUP(A2026,'Clientes CBOT'!B:E,4,0),B2026)</f>
        <v>0</v>
      </c>
      <c r="H2026" t="str">
        <f t="shared" si="98"/>
        <v>Dólar</v>
      </c>
      <c r="I2026" s="6">
        <f t="shared" si="99"/>
        <v>0</v>
      </c>
      <c r="J2026">
        <f t="shared" si="100"/>
        <v>0</v>
      </c>
    </row>
    <row r="2027" spans="7:10" x14ac:dyDescent="0.3">
      <c r="G2027">
        <f>IFERROR(VLOOKUP(A2027,'Clientes CBOT'!B:E,4,0),B2027)</f>
        <v>0</v>
      </c>
      <c r="H2027" t="str">
        <f t="shared" si="98"/>
        <v>Dólar</v>
      </c>
      <c r="I2027" s="6">
        <f t="shared" si="99"/>
        <v>0</v>
      </c>
      <c r="J2027">
        <f t="shared" si="100"/>
        <v>0</v>
      </c>
    </row>
    <row r="2028" spans="7:10" x14ac:dyDescent="0.3">
      <c r="G2028">
        <f>IFERROR(VLOOKUP(A2028,'Clientes CBOT'!B:E,4,0),B2028)</f>
        <v>0</v>
      </c>
      <c r="H2028" t="str">
        <f t="shared" si="98"/>
        <v>Dólar</v>
      </c>
      <c r="I2028" s="6">
        <f t="shared" si="99"/>
        <v>0</v>
      </c>
      <c r="J2028">
        <f t="shared" si="100"/>
        <v>0</v>
      </c>
    </row>
    <row r="2029" spans="7:10" x14ac:dyDescent="0.3">
      <c r="G2029">
        <f>IFERROR(VLOOKUP(A2029,'Clientes CBOT'!B:E,4,0),B2029)</f>
        <v>0</v>
      </c>
      <c r="H2029" t="str">
        <f t="shared" si="98"/>
        <v>Dólar</v>
      </c>
      <c r="I2029" s="6">
        <f t="shared" si="99"/>
        <v>0</v>
      </c>
      <c r="J2029">
        <f t="shared" si="100"/>
        <v>0</v>
      </c>
    </row>
    <row r="2030" spans="7:10" x14ac:dyDescent="0.3">
      <c r="G2030">
        <f>IFERROR(VLOOKUP(A2030,'Clientes CBOT'!B:E,4,0),B2030)</f>
        <v>0</v>
      </c>
      <c r="H2030" t="str">
        <f t="shared" si="98"/>
        <v>Dólar</v>
      </c>
      <c r="I2030" s="6">
        <f t="shared" si="99"/>
        <v>0</v>
      </c>
      <c r="J2030">
        <f t="shared" si="100"/>
        <v>0</v>
      </c>
    </row>
    <row r="2031" spans="7:10" x14ac:dyDescent="0.3">
      <c r="G2031">
        <f>IFERROR(VLOOKUP(A2031,'Clientes CBOT'!B:E,4,0),B2031)</f>
        <v>0</v>
      </c>
      <c r="H2031" t="str">
        <f t="shared" si="98"/>
        <v>Dólar</v>
      </c>
      <c r="I2031" s="6">
        <f t="shared" si="99"/>
        <v>0</v>
      </c>
      <c r="J2031">
        <f t="shared" si="100"/>
        <v>0</v>
      </c>
    </row>
    <row r="2032" spans="7:10" x14ac:dyDescent="0.3">
      <c r="G2032">
        <f>IFERROR(VLOOKUP(A2032,'Clientes CBOT'!B:E,4,0),B2032)</f>
        <v>0</v>
      </c>
      <c r="H2032" t="str">
        <f t="shared" si="98"/>
        <v>Dólar</v>
      </c>
      <c r="I2032" s="6">
        <f t="shared" si="99"/>
        <v>0</v>
      </c>
      <c r="J2032">
        <f t="shared" si="100"/>
        <v>0</v>
      </c>
    </row>
    <row r="2033" spans="7:10" x14ac:dyDescent="0.3">
      <c r="G2033">
        <f>IFERROR(VLOOKUP(A2033,'Clientes CBOT'!B:E,4,0),B2033)</f>
        <v>0</v>
      </c>
      <c r="H2033" t="str">
        <f t="shared" si="98"/>
        <v>Dólar</v>
      </c>
      <c r="I2033" s="6">
        <f t="shared" si="99"/>
        <v>0</v>
      </c>
      <c r="J2033">
        <f t="shared" si="100"/>
        <v>0</v>
      </c>
    </row>
    <row r="2034" spans="7:10" x14ac:dyDescent="0.3">
      <c r="G2034">
        <f>IFERROR(VLOOKUP(A2034,'Clientes CBOT'!B:E,4,0),B2034)</f>
        <v>0</v>
      </c>
      <c r="H2034" t="str">
        <f t="shared" si="98"/>
        <v>Dólar</v>
      </c>
      <c r="I2034" s="6">
        <f t="shared" si="99"/>
        <v>0</v>
      </c>
      <c r="J2034">
        <f t="shared" si="100"/>
        <v>0</v>
      </c>
    </row>
    <row r="2035" spans="7:10" x14ac:dyDescent="0.3">
      <c r="G2035">
        <f>IFERROR(VLOOKUP(A2035,'Clientes CBOT'!B:E,4,0),B2035)</f>
        <v>0</v>
      </c>
      <c r="H2035" t="str">
        <f t="shared" si="98"/>
        <v>Dólar</v>
      </c>
      <c r="I2035" s="6">
        <f t="shared" si="99"/>
        <v>0</v>
      </c>
      <c r="J2035">
        <f t="shared" si="100"/>
        <v>0</v>
      </c>
    </row>
    <row r="2036" spans="7:10" x14ac:dyDescent="0.3">
      <c r="G2036">
        <f>IFERROR(VLOOKUP(A2036,'Clientes CBOT'!B:E,4,0),B2036)</f>
        <v>0</v>
      </c>
      <c r="H2036" t="str">
        <f t="shared" si="98"/>
        <v>Dólar</v>
      </c>
      <c r="I2036" s="6">
        <f t="shared" si="99"/>
        <v>0</v>
      </c>
      <c r="J2036">
        <f t="shared" si="100"/>
        <v>0</v>
      </c>
    </row>
    <row r="2037" spans="7:10" x14ac:dyDescent="0.3">
      <c r="G2037">
        <f>IFERROR(VLOOKUP(A2037,'Clientes CBOT'!B:E,4,0),B2037)</f>
        <v>0</v>
      </c>
      <c r="H2037" t="str">
        <f t="shared" si="98"/>
        <v>Dólar</v>
      </c>
      <c r="I2037" s="6">
        <f t="shared" si="99"/>
        <v>0</v>
      </c>
      <c r="J2037">
        <f t="shared" si="100"/>
        <v>0</v>
      </c>
    </row>
    <row r="2038" spans="7:10" x14ac:dyDescent="0.3">
      <c r="G2038">
        <f>IFERROR(VLOOKUP(A2038,'Clientes CBOT'!B:E,4,0),B2038)</f>
        <v>0</v>
      </c>
      <c r="H2038" t="str">
        <f t="shared" si="98"/>
        <v>Dólar</v>
      </c>
      <c r="I2038" s="6">
        <f t="shared" si="99"/>
        <v>0</v>
      </c>
      <c r="J2038">
        <f t="shared" si="100"/>
        <v>0</v>
      </c>
    </row>
    <row r="2039" spans="7:10" x14ac:dyDescent="0.3">
      <c r="G2039">
        <f>IFERROR(VLOOKUP(A2039,'Clientes CBOT'!B:E,4,0),B2039)</f>
        <v>0</v>
      </c>
      <c r="H2039" t="str">
        <f t="shared" si="98"/>
        <v>Dólar</v>
      </c>
      <c r="I2039" s="6">
        <f t="shared" si="99"/>
        <v>0</v>
      </c>
      <c r="J2039">
        <f t="shared" si="100"/>
        <v>0</v>
      </c>
    </row>
    <row r="2040" spans="7:10" x14ac:dyDescent="0.3">
      <c r="G2040">
        <f>IFERROR(VLOOKUP(A2040,'Clientes CBOT'!B:E,4,0),B2040)</f>
        <v>0</v>
      </c>
      <c r="H2040" t="str">
        <f t="shared" si="98"/>
        <v>Dólar</v>
      </c>
      <c r="I2040" s="6">
        <f t="shared" si="99"/>
        <v>0</v>
      </c>
      <c r="J2040">
        <f t="shared" si="100"/>
        <v>0</v>
      </c>
    </row>
    <row r="2041" spans="7:10" x14ac:dyDescent="0.3">
      <c r="G2041">
        <f>IFERROR(VLOOKUP(A2041,'Clientes CBOT'!B:E,4,0),B2041)</f>
        <v>0</v>
      </c>
      <c r="H2041" t="str">
        <f t="shared" si="98"/>
        <v>Dólar</v>
      </c>
      <c r="I2041" s="6">
        <f t="shared" si="99"/>
        <v>0</v>
      </c>
      <c r="J2041">
        <f t="shared" si="100"/>
        <v>0</v>
      </c>
    </row>
    <row r="2042" spans="7:10" x14ac:dyDescent="0.3">
      <c r="G2042">
        <f>IFERROR(VLOOKUP(A2042,'Clientes CBOT'!B:E,4,0),B2042)</f>
        <v>0</v>
      </c>
      <c r="H2042" t="str">
        <f t="shared" si="98"/>
        <v>Dólar</v>
      </c>
      <c r="I2042" s="6">
        <f t="shared" si="99"/>
        <v>0</v>
      </c>
      <c r="J2042">
        <f t="shared" si="100"/>
        <v>0</v>
      </c>
    </row>
    <row r="2043" spans="7:10" x14ac:dyDescent="0.3">
      <c r="G2043">
        <f>IFERROR(VLOOKUP(A2043,'Clientes CBOT'!B:E,4,0),B2043)</f>
        <v>0</v>
      </c>
      <c r="H2043" t="str">
        <f t="shared" si="98"/>
        <v>Dólar</v>
      </c>
      <c r="I2043" s="6">
        <f t="shared" si="99"/>
        <v>0</v>
      </c>
      <c r="J2043">
        <f t="shared" si="100"/>
        <v>0</v>
      </c>
    </row>
    <row r="2044" spans="7:10" x14ac:dyDescent="0.3">
      <c r="G2044">
        <f>IFERROR(VLOOKUP(A2044,'Clientes CBOT'!B:E,4,0),B2044)</f>
        <v>0</v>
      </c>
      <c r="H2044" t="str">
        <f t="shared" si="98"/>
        <v>Dólar</v>
      </c>
      <c r="I2044" s="6">
        <f t="shared" si="99"/>
        <v>0</v>
      </c>
      <c r="J2044">
        <f t="shared" si="100"/>
        <v>0</v>
      </c>
    </row>
    <row r="2045" spans="7:10" x14ac:dyDescent="0.3">
      <c r="G2045">
        <f>IFERROR(VLOOKUP(A2045,'Clientes CBOT'!B:E,4,0),B2045)</f>
        <v>0</v>
      </c>
      <c r="H2045" t="str">
        <f t="shared" si="98"/>
        <v>Dólar</v>
      </c>
      <c r="I2045" s="6">
        <f t="shared" si="99"/>
        <v>0</v>
      </c>
      <c r="J2045">
        <f t="shared" si="100"/>
        <v>0</v>
      </c>
    </row>
    <row r="2046" spans="7:10" x14ac:dyDescent="0.3">
      <c r="G2046">
        <f>IFERROR(VLOOKUP(A2046,'Clientes CBOT'!B:E,4,0),B2046)</f>
        <v>0</v>
      </c>
      <c r="H2046" t="str">
        <f t="shared" si="98"/>
        <v>Dólar</v>
      </c>
      <c r="I2046" s="6">
        <f t="shared" si="99"/>
        <v>0</v>
      </c>
      <c r="J2046">
        <f t="shared" si="100"/>
        <v>0</v>
      </c>
    </row>
    <row r="2047" spans="7:10" x14ac:dyDescent="0.3">
      <c r="G2047">
        <f>IFERROR(VLOOKUP(A2047,'Clientes CBOT'!B:E,4,0),B2047)</f>
        <v>0</v>
      </c>
      <c r="H2047" t="str">
        <f t="shared" si="98"/>
        <v>Dólar</v>
      </c>
      <c r="I2047" s="6">
        <f t="shared" si="99"/>
        <v>0</v>
      </c>
      <c r="J2047">
        <f t="shared" si="100"/>
        <v>0</v>
      </c>
    </row>
    <row r="2048" spans="7:10" x14ac:dyDescent="0.3">
      <c r="G2048">
        <f>IFERROR(VLOOKUP(A2048,'Clientes CBOT'!B:E,4,0),B2048)</f>
        <v>0</v>
      </c>
      <c r="H2048" t="str">
        <f t="shared" si="98"/>
        <v>Dólar</v>
      </c>
      <c r="I2048" s="6">
        <f t="shared" si="99"/>
        <v>0</v>
      </c>
      <c r="J2048">
        <f t="shared" si="100"/>
        <v>0</v>
      </c>
    </row>
    <row r="2049" spans="7:10" x14ac:dyDescent="0.3">
      <c r="G2049">
        <f>IFERROR(VLOOKUP(A2049,'Clientes CBOT'!B:E,4,0),B2049)</f>
        <v>0</v>
      </c>
      <c r="H2049" t="str">
        <f t="shared" si="98"/>
        <v>Dólar</v>
      </c>
      <c r="I2049" s="6">
        <f t="shared" si="99"/>
        <v>0</v>
      </c>
      <c r="J2049">
        <f t="shared" si="100"/>
        <v>0</v>
      </c>
    </row>
    <row r="2050" spans="7:10" x14ac:dyDescent="0.3">
      <c r="G2050">
        <f>IFERROR(VLOOKUP(A2050,'Clientes CBOT'!B:E,4,0),B2050)</f>
        <v>0</v>
      </c>
      <c r="H2050" t="str">
        <f t="shared" si="98"/>
        <v>Dólar</v>
      </c>
      <c r="I2050" s="6">
        <f t="shared" si="99"/>
        <v>0</v>
      </c>
      <c r="J2050">
        <f t="shared" si="100"/>
        <v>0</v>
      </c>
    </row>
    <row r="2051" spans="7:10" x14ac:dyDescent="0.3">
      <c r="G2051">
        <f>IFERROR(VLOOKUP(A2051,'Clientes CBOT'!B:E,4,0),B2051)</f>
        <v>0</v>
      </c>
      <c r="H2051" t="str">
        <f t="shared" si="98"/>
        <v>Dólar</v>
      </c>
      <c r="I2051" s="6">
        <f t="shared" si="99"/>
        <v>0</v>
      </c>
      <c r="J2051">
        <f t="shared" si="100"/>
        <v>0</v>
      </c>
    </row>
    <row r="2052" spans="7:10" x14ac:dyDescent="0.3">
      <c r="G2052">
        <f>IFERROR(VLOOKUP(A2052,'Clientes CBOT'!B:E,4,0),B2052)</f>
        <v>0</v>
      </c>
      <c r="H2052" t="str">
        <f t="shared" si="98"/>
        <v>Dólar</v>
      </c>
      <c r="I2052" s="6">
        <f t="shared" si="99"/>
        <v>0</v>
      </c>
      <c r="J2052">
        <f t="shared" si="100"/>
        <v>0</v>
      </c>
    </row>
    <row r="2053" spans="7:10" x14ac:dyDescent="0.3">
      <c r="G2053">
        <f>IFERROR(VLOOKUP(A2053,'Clientes CBOT'!B:E,4,0),B2053)</f>
        <v>0</v>
      </c>
      <c r="H2053" t="str">
        <f t="shared" ref="H2053:H2080" si="101">IF(E2053="pesos","Ars",IF(E2053="Dólar Matba Rofex","usd linked",IF(F2053=" U$S TT","Hard","Dólar")))</f>
        <v>Dólar</v>
      </c>
      <c r="I2053" s="6">
        <f t="shared" ref="I2053:I2080" si="102">IF(H2053="ars",C2053/$J$1,IF(H2053="Hard",C2053*$J$2/$J$1,C2053))</f>
        <v>0</v>
      </c>
      <c r="J2053">
        <f t="shared" si="100"/>
        <v>0</v>
      </c>
    </row>
    <row r="2054" spans="7:10" x14ac:dyDescent="0.3">
      <c r="G2054">
        <f>IFERROR(VLOOKUP(A2054,'Clientes CBOT'!B:E,4,0),B2054)</f>
        <v>0</v>
      </c>
      <c r="H2054" t="str">
        <f t="shared" si="101"/>
        <v>Dólar</v>
      </c>
      <c r="I2054" s="6">
        <f t="shared" si="102"/>
        <v>0</v>
      </c>
      <c r="J2054">
        <f t="shared" si="100"/>
        <v>0</v>
      </c>
    </row>
    <row r="2055" spans="7:10" x14ac:dyDescent="0.3">
      <c r="G2055">
        <f>IFERROR(VLOOKUP(A2055,'Clientes CBOT'!B:E,4,0),B2055)</f>
        <v>0</v>
      </c>
      <c r="H2055" t="str">
        <f t="shared" si="101"/>
        <v>Dólar</v>
      </c>
      <c r="I2055" s="6">
        <f t="shared" si="102"/>
        <v>0</v>
      </c>
      <c r="J2055">
        <f t="shared" si="100"/>
        <v>0</v>
      </c>
    </row>
    <row r="2056" spans="7:10" x14ac:dyDescent="0.3">
      <c r="G2056">
        <f>IFERROR(VLOOKUP(A2056,'Clientes CBOT'!B:E,4,0),B2056)</f>
        <v>0</v>
      </c>
      <c r="H2056" t="str">
        <f t="shared" si="101"/>
        <v>Dólar</v>
      </c>
      <c r="I2056" s="6">
        <f t="shared" si="102"/>
        <v>0</v>
      </c>
      <c r="J2056">
        <f t="shared" si="100"/>
        <v>0</v>
      </c>
    </row>
    <row r="2057" spans="7:10" x14ac:dyDescent="0.3">
      <c r="G2057">
        <f>IFERROR(VLOOKUP(A2057,'Clientes CBOT'!B:E,4,0),B2057)</f>
        <v>0</v>
      </c>
      <c r="H2057" t="str">
        <f t="shared" si="101"/>
        <v>Dólar</v>
      </c>
      <c r="I2057" s="6">
        <f t="shared" si="102"/>
        <v>0</v>
      </c>
      <c r="J2057">
        <f t="shared" si="100"/>
        <v>0</v>
      </c>
    </row>
    <row r="2058" spans="7:10" x14ac:dyDescent="0.3">
      <c r="G2058">
        <f>IFERROR(VLOOKUP(A2058,'Clientes CBOT'!B:E,4,0),B2058)</f>
        <v>0</v>
      </c>
      <c r="H2058" t="str">
        <f t="shared" si="101"/>
        <v>Dólar</v>
      </c>
      <c r="I2058" s="6">
        <f t="shared" si="102"/>
        <v>0</v>
      </c>
      <c r="J2058">
        <f t="shared" si="100"/>
        <v>0</v>
      </c>
    </row>
    <row r="2059" spans="7:10" x14ac:dyDescent="0.3">
      <c r="G2059">
        <f>IFERROR(VLOOKUP(A2059,'Clientes CBOT'!B:E,4,0),B2059)</f>
        <v>0</v>
      </c>
      <c r="H2059" t="str">
        <f t="shared" si="101"/>
        <v>Dólar</v>
      </c>
      <c r="I2059" s="6">
        <f t="shared" si="102"/>
        <v>0</v>
      </c>
      <c r="J2059">
        <f t="shared" si="100"/>
        <v>0</v>
      </c>
    </row>
    <row r="2060" spans="7:10" x14ac:dyDescent="0.3">
      <c r="G2060">
        <f>IFERROR(VLOOKUP(A2060,'Clientes CBOT'!B:E,4,0),B2060)</f>
        <v>0</v>
      </c>
      <c r="H2060" t="str">
        <f t="shared" si="101"/>
        <v>Dólar</v>
      </c>
      <c r="I2060" s="6">
        <f t="shared" si="102"/>
        <v>0</v>
      </c>
      <c r="J2060">
        <f t="shared" si="100"/>
        <v>0</v>
      </c>
    </row>
    <row r="2061" spans="7:10" x14ac:dyDescent="0.3">
      <c r="G2061">
        <f>IFERROR(VLOOKUP(A2061,'Clientes CBOT'!B:E,4,0),B2061)</f>
        <v>0</v>
      </c>
      <c r="H2061" t="str">
        <f t="shared" si="101"/>
        <v>Dólar</v>
      </c>
      <c r="I2061" s="6">
        <f t="shared" si="102"/>
        <v>0</v>
      </c>
      <c r="J2061">
        <f t="shared" si="100"/>
        <v>0</v>
      </c>
    </row>
    <row r="2062" spans="7:10" x14ac:dyDescent="0.3">
      <c r="G2062">
        <f>IFERROR(VLOOKUP(A2062,'Clientes CBOT'!B:E,4,0),B2062)</f>
        <v>0</v>
      </c>
      <c r="H2062" t="str">
        <f t="shared" si="101"/>
        <v>Dólar</v>
      </c>
      <c r="I2062" s="6">
        <f t="shared" si="102"/>
        <v>0</v>
      </c>
      <c r="J2062">
        <f t="shared" si="100"/>
        <v>0</v>
      </c>
    </row>
    <row r="2063" spans="7:10" x14ac:dyDescent="0.3">
      <c r="G2063">
        <f>IFERROR(VLOOKUP(A2063,'Clientes CBOT'!B:E,4,0),B2063)</f>
        <v>0</v>
      </c>
      <c r="H2063" t="str">
        <f t="shared" si="101"/>
        <v>Dólar</v>
      </c>
      <c r="I2063" s="6">
        <f t="shared" si="102"/>
        <v>0</v>
      </c>
      <c r="J2063">
        <f t="shared" si="100"/>
        <v>0</v>
      </c>
    </row>
    <row r="2064" spans="7:10" x14ac:dyDescent="0.3">
      <c r="G2064">
        <f>IFERROR(VLOOKUP(A2064,'Clientes CBOT'!B:E,4,0),B2064)</f>
        <v>0</v>
      </c>
      <c r="H2064" t="str">
        <f t="shared" si="101"/>
        <v>Dólar</v>
      </c>
      <c r="I2064" s="6">
        <f t="shared" si="102"/>
        <v>0</v>
      </c>
      <c r="J2064">
        <f t="shared" si="100"/>
        <v>0</v>
      </c>
    </row>
    <row r="2065" spans="7:10" x14ac:dyDescent="0.3">
      <c r="G2065">
        <f>IFERROR(VLOOKUP(A2065,'Clientes CBOT'!B:E,4,0),B2065)</f>
        <v>0</v>
      </c>
      <c r="H2065" t="str">
        <f t="shared" si="101"/>
        <v>Dólar</v>
      </c>
      <c r="I2065" s="6">
        <f t="shared" si="102"/>
        <v>0</v>
      </c>
      <c r="J2065">
        <f t="shared" si="100"/>
        <v>0</v>
      </c>
    </row>
    <row r="2066" spans="7:10" x14ac:dyDescent="0.3">
      <c r="G2066">
        <f>IFERROR(VLOOKUP(A2066,'Clientes CBOT'!B:E,4,0),B2066)</f>
        <v>0</v>
      </c>
      <c r="H2066" t="str">
        <f t="shared" si="101"/>
        <v>Dólar</v>
      </c>
      <c r="I2066" s="6">
        <f t="shared" si="102"/>
        <v>0</v>
      </c>
      <c r="J2066">
        <f t="shared" si="100"/>
        <v>0</v>
      </c>
    </row>
    <row r="2067" spans="7:10" x14ac:dyDescent="0.3">
      <c r="G2067">
        <f>IFERROR(VLOOKUP(A2067,'Clientes CBOT'!B:E,4,0),B2067)</f>
        <v>0</v>
      </c>
      <c r="H2067" t="str">
        <f t="shared" si="101"/>
        <v>Dólar</v>
      </c>
      <c r="I2067" s="6">
        <f t="shared" si="102"/>
        <v>0</v>
      </c>
      <c r="J2067">
        <f t="shared" si="100"/>
        <v>0</v>
      </c>
    </row>
    <row r="2068" spans="7:10" x14ac:dyDescent="0.3">
      <c r="G2068">
        <f>IFERROR(VLOOKUP(A2068,'Clientes CBOT'!B:E,4,0),B2068)</f>
        <v>0</v>
      </c>
      <c r="H2068" t="str">
        <f t="shared" si="101"/>
        <v>Dólar</v>
      </c>
      <c r="I2068" s="6">
        <f t="shared" si="102"/>
        <v>0</v>
      </c>
      <c r="J2068">
        <f t="shared" ref="J2068:J2080" si="103">IF(H2068="ars",D2068/$J$1,IF(H2068="hard",D2068*$J$2/$J$1,D2068))</f>
        <v>0</v>
      </c>
    </row>
    <row r="2069" spans="7:10" x14ac:dyDescent="0.3">
      <c r="G2069">
        <f>IFERROR(VLOOKUP(A2069,'Clientes CBOT'!B:E,4,0),B2069)</f>
        <v>0</v>
      </c>
      <c r="H2069" t="str">
        <f t="shared" si="101"/>
        <v>Dólar</v>
      </c>
      <c r="I2069" s="6">
        <f t="shared" si="102"/>
        <v>0</v>
      </c>
      <c r="J2069">
        <f t="shared" si="103"/>
        <v>0</v>
      </c>
    </row>
    <row r="2070" spans="7:10" x14ac:dyDescent="0.3">
      <c r="G2070">
        <f>IFERROR(VLOOKUP(A2070,'Clientes CBOT'!B:E,4,0),B2070)</f>
        <v>0</v>
      </c>
      <c r="H2070" t="str">
        <f t="shared" si="101"/>
        <v>Dólar</v>
      </c>
      <c r="I2070" s="6">
        <f t="shared" si="102"/>
        <v>0</v>
      </c>
      <c r="J2070">
        <f t="shared" si="103"/>
        <v>0</v>
      </c>
    </row>
    <row r="2071" spans="7:10" x14ac:dyDescent="0.3">
      <c r="G2071">
        <f>IFERROR(VLOOKUP(A2071,'Clientes CBOT'!B:E,4,0),B2071)</f>
        <v>0</v>
      </c>
      <c r="H2071" t="str">
        <f t="shared" si="101"/>
        <v>Dólar</v>
      </c>
      <c r="I2071" s="6">
        <f t="shared" si="102"/>
        <v>0</v>
      </c>
      <c r="J2071">
        <f t="shared" si="103"/>
        <v>0</v>
      </c>
    </row>
    <row r="2072" spans="7:10" x14ac:dyDescent="0.3">
      <c r="G2072">
        <f>IFERROR(VLOOKUP(A2072,'Clientes CBOT'!B:E,4,0),B2072)</f>
        <v>0</v>
      </c>
      <c r="H2072" t="str">
        <f t="shared" si="101"/>
        <v>Dólar</v>
      </c>
      <c r="I2072" s="6">
        <f t="shared" si="102"/>
        <v>0</v>
      </c>
      <c r="J2072">
        <f t="shared" si="103"/>
        <v>0</v>
      </c>
    </row>
    <row r="2073" spans="7:10" x14ac:dyDescent="0.3">
      <c r="G2073">
        <f>IFERROR(VLOOKUP(A2073,'Clientes CBOT'!B:E,4,0),B2073)</f>
        <v>0</v>
      </c>
      <c r="H2073" t="str">
        <f t="shared" si="101"/>
        <v>Dólar</v>
      </c>
      <c r="I2073" s="6">
        <f t="shared" si="102"/>
        <v>0</v>
      </c>
      <c r="J2073">
        <f t="shared" si="103"/>
        <v>0</v>
      </c>
    </row>
    <row r="2074" spans="7:10" x14ac:dyDescent="0.3">
      <c r="G2074">
        <f>IFERROR(VLOOKUP(A2074,'Clientes CBOT'!B:E,4,0),B2074)</f>
        <v>0</v>
      </c>
      <c r="H2074" t="str">
        <f t="shared" si="101"/>
        <v>Dólar</v>
      </c>
      <c r="I2074" s="6">
        <f t="shared" si="102"/>
        <v>0</v>
      </c>
      <c r="J2074">
        <f t="shared" si="103"/>
        <v>0</v>
      </c>
    </row>
    <row r="2075" spans="7:10" x14ac:dyDescent="0.3">
      <c r="G2075">
        <f>IFERROR(VLOOKUP(A2075,'Clientes CBOT'!B:E,4,0),B2075)</f>
        <v>0</v>
      </c>
      <c r="H2075" t="str">
        <f t="shared" si="101"/>
        <v>Dólar</v>
      </c>
      <c r="I2075" s="6">
        <f t="shared" si="102"/>
        <v>0</v>
      </c>
      <c r="J2075">
        <f t="shared" si="103"/>
        <v>0</v>
      </c>
    </row>
    <row r="2076" spans="7:10" x14ac:dyDescent="0.3">
      <c r="G2076">
        <f>IFERROR(VLOOKUP(A2076,'Clientes CBOT'!B:E,4,0),B2076)</f>
        <v>0</v>
      </c>
      <c r="H2076" t="str">
        <f t="shared" si="101"/>
        <v>Dólar</v>
      </c>
      <c r="I2076" s="6">
        <f t="shared" si="102"/>
        <v>0</v>
      </c>
      <c r="J2076">
        <f t="shared" si="103"/>
        <v>0</v>
      </c>
    </row>
    <row r="2077" spans="7:10" x14ac:dyDescent="0.3">
      <c r="G2077">
        <f>IFERROR(VLOOKUP(A2077,'Clientes CBOT'!B:E,4,0),B2077)</f>
        <v>0</v>
      </c>
      <c r="H2077" t="str">
        <f t="shared" si="101"/>
        <v>Dólar</v>
      </c>
      <c r="I2077" s="6">
        <f t="shared" si="102"/>
        <v>0</v>
      </c>
      <c r="J2077">
        <f t="shared" si="103"/>
        <v>0</v>
      </c>
    </row>
    <row r="2078" spans="7:10" x14ac:dyDescent="0.3">
      <c r="G2078">
        <f>IFERROR(VLOOKUP(A2078,'Clientes CBOT'!B:E,4,0),B2078)</f>
        <v>0</v>
      </c>
      <c r="H2078" t="str">
        <f t="shared" si="101"/>
        <v>Dólar</v>
      </c>
      <c r="I2078" s="6">
        <f t="shared" si="102"/>
        <v>0</v>
      </c>
      <c r="J2078">
        <f t="shared" si="103"/>
        <v>0</v>
      </c>
    </row>
    <row r="2079" spans="7:10" x14ac:dyDescent="0.3">
      <c r="G2079">
        <f>IFERROR(VLOOKUP(A2079,'Clientes CBOT'!B:E,4,0),B2079)</f>
        <v>0</v>
      </c>
      <c r="H2079" t="str">
        <f t="shared" si="101"/>
        <v>Dólar</v>
      </c>
      <c r="I2079" s="6">
        <f t="shared" si="102"/>
        <v>0</v>
      </c>
      <c r="J2079">
        <f t="shared" si="103"/>
        <v>0</v>
      </c>
    </row>
    <row r="2080" spans="7:10" x14ac:dyDescent="0.3">
      <c r="G2080">
        <f>IFERROR(VLOOKUP(A2080,'Clientes CBOT'!B:E,4,0),B2080)</f>
        <v>0</v>
      </c>
      <c r="H2080" t="str">
        <f t="shared" si="101"/>
        <v>Dólar</v>
      </c>
      <c r="I2080" s="6">
        <f t="shared" si="102"/>
        <v>0</v>
      </c>
      <c r="J2080">
        <f t="shared" si="103"/>
        <v>0</v>
      </c>
    </row>
  </sheetData>
  <autoFilter ref="A3:N1299" xr:uid="{56F9508E-651F-43D9-A7CC-EC8FE0A2B3AF}">
    <filterColumn colId="5">
      <filters>
        <filter val="U$S TT"/>
      </filters>
    </filterColumn>
  </autoFilter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5BBBC3-D72E-46FB-8B99-D473D1B3F00D}">
  <sheetPr codeName="Hoja7"/>
  <dimension ref="A1:H16"/>
  <sheetViews>
    <sheetView workbookViewId="0">
      <selection activeCell="F19" sqref="F19"/>
    </sheetView>
  </sheetViews>
  <sheetFormatPr baseColWidth="10" defaultRowHeight="14.4" x14ac:dyDescent="0.3"/>
  <cols>
    <col min="1" max="1" width="25.109375" bestFit="1" customWidth="1"/>
    <col min="2" max="2" width="18" bestFit="1" customWidth="1"/>
    <col min="3" max="3" width="22.109375" bestFit="1" customWidth="1"/>
    <col min="4" max="4" width="28.5546875" bestFit="1" customWidth="1"/>
    <col min="8" max="8" width="43.77734375" bestFit="1" customWidth="1"/>
  </cols>
  <sheetData>
    <row r="1" spans="1:8" x14ac:dyDescent="0.3">
      <c r="A1" s="38" t="s">
        <v>119</v>
      </c>
      <c r="B1" s="38" t="s">
        <v>117</v>
      </c>
      <c r="C1" s="38" t="s">
        <v>118</v>
      </c>
      <c r="D1" s="38" t="s">
        <v>116</v>
      </c>
      <c r="E1" s="38" t="s">
        <v>119</v>
      </c>
    </row>
    <row r="2" spans="1:8" x14ac:dyDescent="0.3">
      <c r="A2">
        <v>13016</v>
      </c>
      <c r="B2">
        <v>59</v>
      </c>
      <c r="C2" s="37" t="s">
        <v>121</v>
      </c>
      <c r="D2" t="s">
        <v>120</v>
      </c>
      <c r="E2">
        <v>13016</v>
      </c>
    </row>
    <row r="3" spans="1:8" x14ac:dyDescent="0.3">
      <c r="A3">
        <v>13003</v>
      </c>
      <c r="B3">
        <v>69</v>
      </c>
      <c r="C3" s="37" t="s">
        <v>121</v>
      </c>
      <c r="D3" t="s">
        <v>122</v>
      </c>
      <c r="E3">
        <v>13003</v>
      </c>
      <c r="H3" s="61"/>
    </row>
    <row r="4" spans="1:8" x14ac:dyDescent="0.3">
      <c r="A4">
        <v>13033</v>
      </c>
      <c r="B4">
        <v>166</v>
      </c>
      <c r="C4" s="37" t="s">
        <v>121</v>
      </c>
      <c r="D4" t="s">
        <v>123</v>
      </c>
      <c r="E4">
        <v>13033</v>
      </c>
      <c r="H4" s="61"/>
    </row>
    <row r="5" spans="1:8" x14ac:dyDescent="0.3">
      <c r="A5">
        <v>13002</v>
      </c>
      <c r="B5">
        <v>236</v>
      </c>
      <c r="C5" s="37" t="s">
        <v>121</v>
      </c>
      <c r="D5" t="s">
        <v>124</v>
      </c>
      <c r="E5">
        <v>13002</v>
      </c>
      <c r="H5" s="61"/>
    </row>
    <row r="6" spans="1:8" x14ac:dyDescent="0.3">
      <c r="A6">
        <v>13036</v>
      </c>
      <c r="B6">
        <v>253</v>
      </c>
      <c r="C6" s="37" t="s">
        <v>121</v>
      </c>
      <c r="D6" t="s">
        <v>125</v>
      </c>
      <c r="E6">
        <v>13036</v>
      </c>
      <c r="H6" s="61"/>
    </row>
    <row r="7" spans="1:8" x14ac:dyDescent="0.3">
      <c r="A7">
        <v>13035</v>
      </c>
      <c r="B7">
        <v>274</v>
      </c>
      <c r="C7" s="37" t="s">
        <v>121</v>
      </c>
      <c r="D7" t="s">
        <v>126</v>
      </c>
      <c r="E7">
        <v>13035</v>
      </c>
    </row>
    <row r="8" spans="1:8" x14ac:dyDescent="0.3">
      <c r="A8">
        <v>13005</v>
      </c>
      <c r="B8">
        <v>283</v>
      </c>
      <c r="C8" s="37" t="s">
        <v>121</v>
      </c>
      <c r="D8" t="s">
        <v>127</v>
      </c>
      <c r="E8">
        <v>13005</v>
      </c>
    </row>
    <row r="9" spans="1:8" x14ac:dyDescent="0.3">
      <c r="A9" s="59">
        <v>13006</v>
      </c>
      <c r="B9" s="59">
        <v>489</v>
      </c>
      <c r="C9" s="60" t="s">
        <v>121</v>
      </c>
      <c r="D9" s="59" t="s">
        <v>128</v>
      </c>
      <c r="E9" s="59">
        <v>13006</v>
      </c>
    </row>
    <row r="10" spans="1:8" x14ac:dyDescent="0.3">
      <c r="A10">
        <v>20176</v>
      </c>
      <c r="B10">
        <v>5</v>
      </c>
      <c r="C10" s="37" t="s">
        <v>121</v>
      </c>
      <c r="D10" t="s">
        <v>172</v>
      </c>
      <c r="E10">
        <v>20176</v>
      </c>
    </row>
    <row r="11" spans="1:8" x14ac:dyDescent="0.3">
      <c r="A11">
        <v>13002</v>
      </c>
      <c r="B11">
        <v>236</v>
      </c>
      <c r="C11" t="s">
        <v>121</v>
      </c>
      <c r="D11" t="s">
        <v>124</v>
      </c>
      <c r="E11">
        <v>13002</v>
      </c>
    </row>
    <row r="12" spans="1:8" x14ac:dyDescent="0.3">
      <c r="A12">
        <v>13005</v>
      </c>
      <c r="B12">
        <v>283</v>
      </c>
      <c r="C12" t="s">
        <v>121</v>
      </c>
      <c r="D12" t="s">
        <v>127</v>
      </c>
      <c r="E12">
        <v>13005</v>
      </c>
    </row>
    <row r="13" spans="1:8" x14ac:dyDescent="0.3">
      <c r="A13">
        <v>13008</v>
      </c>
      <c r="B13">
        <v>28</v>
      </c>
      <c r="C13" t="s">
        <v>121</v>
      </c>
      <c r="D13" t="s">
        <v>261</v>
      </c>
      <c r="E13">
        <v>13008</v>
      </c>
    </row>
    <row r="14" spans="1:8" x14ac:dyDescent="0.3">
      <c r="A14">
        <v>13007</v>
      </c>
      <c r="B14">
        <v>490</v>
      </c>
      <c r="C14" t="s">
        <v>121</v>
      </c>
      <c r="D14" t="s">
        <v>694</v>
      </c>
      <c r="E14">
        <v>13007</v>
      </c>
    </row>
    <row r="15" spans="1:8" x14ac:dyDescent="0.3">
      <c r="A15">
        <v>13009</v>
      </c>
      <c r="B15">
        <v>6054</v>
      </c>
      <c r="C15" t="s">
        <v>121</v>
      </c>
      <c r="D15" t="s">
        <v>1060</v>
      </c>
      <c r="E15">
        <v>13009</v>
      </c>
    </row>
    <row r="16" spans="1:8" x14ac:dyDescent="0.3">
      <c r="A16">
        <v>13010</v>
      </c>
      <c r="B16">
        <v>73</v>
      </c>
      <c r="D16" t="s">
        <v>384</v>
      </c>
      <c r="E16">
        <v>13010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64FCB9-95A3-4B6F-BD8A-F7C7D493AF51}">
  <sheetPr codeName="Hoja8"/>
  <dimension ref="B1:J10"/>
  <sheetViews>
    <sheetView workbookViewId="0">
      <selection activeCell="C7" sqref="C7"/>
    </sheetView>
  </sheetViews>
  <sheetFormatPr baseColWidth="10" defaultRowHeight="14.4" x14ac:dyDescent="0.3"/>
  <cols>
    <col min="3" max="3" width="10.21875" bestFit="1" customWidth="1"/>
  </cols>
  <sheetData>
    <row r="1" spans="2:10" ht="15" thickBot="1" x14ac:dyDescent="0.35"/>
    <row r="2" spans="2:10" x14ac:dyDescent="0.3">
      <c r="C2" s="38" t="s">
        <v>635</v>
      </c>
      <c r="D2" s="38" t="s">
        <v>636</v>
      </c>
      <c r="E2" s="2" t="s">
        <v>637</v>
      </c>
      <c r="G2" s="51"/>
      <c r="H2" s="52" t="s">
        <v>641</v>
      </c>
      <c r="I2" s="53" t="s">
        <v>642</v>
      </c>
    </row>
    <row r="3" spans="2:10" x14ac:dyDescent="0.3">
      <c r="B3" s="38" t="s">
        <v>638</v>
      </c>
      <c r="C3" s="49">
        <v>0.36742999999999998</v>
      </c>
      <c r="D3">
        <v>1218</v>
      </c>
      <c r="E3" s="50">
        <f>C3*D3</f>
        <v>447.52973999999995</v>
      </c>
      <c r="G3" s="38" t="s">
        <v>638</v>
      </c>
      <c r="H3">
        <v>5000</v>
      </c>
      <c r="I3" s="54">
        <v>136.08000000000001</v>
      </c>
      <c r="J3">
        <f>I3/H3</f>
        <v>2.7216000000000004E-2</v>
      </c>
    </row>
    <row r="4" spans="2:10" x14ac:dyDescent="0.3">
      <c r="B4" s="38" t="s">
        <v>639</v>
      </c>
      <c r="C4" s="49">
        <v>0.39369999999999999</v>
      </c>
      <c r="D4">
        <v>400</v>
      </c>
      <c r="E4" s="50">
        <f t="shared" ref="E4:E5" si="0">C4*D4</f>
        <v>157.47999999999999</v>
      </c>
      <c r="G4" s="38" t="s">
        <v>639</v>
      </c>
      <c r="H4">
        <v>5000</v>
      </c>
      <c r="I4" s="54">
        <v>127.005</v>
      </c>
    </row>
    <row r="5" spans="2:10" ht="15" thickBot="1" x14ac:dyDescent="0.35">
      <c r="B5" s="38" t="s">
        <v>640</v>
      </c>
      <c r="C5" s="49">
        <v>0.36742999999999998</v>
      </c>
      <c r="D5">
        <v>500</v>
      </c>
      <c r="E5" s="50">
        <f t="shared" si="0"/>
        <v>183.715</v>
      </c>
      <c r="G5" s="38" t="s">
        <v>640</v>
      </c>
      <c r="H5" s="55">
        <v>5000</v>
      </c>
      <c r="I5" s="56">
        <v>136.08000000000001</v>
      </c>
    </row>
    <row r="6" spans="2:10" x14ac:dyDescent="0.3">
      <c r="B6" t="s">
        <v>1535</v>
      </c>
      <c r="C6" s="49">
        <f>0.36743/100</f>
        <v>3.6742999999999997E-3</v>
      </c>
      <c r="D6">
        <v>1218</v>
      </c>
      <c r="E6" s="50"/>
      <c r="G6" s="38" t="s">
        <v>1535</v>
      </c>
      <c r="H6">
        <v>5000</v>
      </c>
      <c r="I6" s="54">
        <v>136.08000000000001</v>
      </c>
    </row>
    <row r="7" spans="2:10" x14ac:dyDescent="0.3">
      <c r="B7" s="38" t="s">
        <v>1534</v>
      </c>
      <c r="C7" t="s">
        <v>1536</v>
      </c>
    </row>
    <row r="10" spans="2:10" x14ac:dyDescent="0.3">
      <c r="D10">
        <f>C3*318</f>
        <v>116.84273999999999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B377CC-65FE-4DD9-A727-266DE960CB3D}">
  <sheetPr codeName="Hoja9"/>
  <dimension ref="B1:G1002"/>
  <sheetViews>
    <sheetView workbookViewId="0">
      <selection activeCell="B1002" sqref="B1002"/>
    </sheetView>
  </sheetViews>
  <sheetFormatPr baseColWidth="10" defaultRowHeight="14.4" x14ac:dyDescent="0.3"/>
  <cols>
    <col min="2" max="2" width="24.6640625" bestFit="1" customWidth="1"/>
    <col min="3" max="3" width="21.44140625" bestFit="1" customWidth="1"/>
    <col min="4" max="4" width="79" bestFit="1" customWidth="1"/>
  </cols>
  <sheetData>
    <row r="1" spans="2:7" x14ac:dyDescent="0.3">
      <c r="B1" t="s">
        <v>119</v>
      </c>
      <c r="C1" t="s">
        <v>118</v>
      </c>
      <c r="D1" t="s">
        <v>116</v>
      </c>
    </row>
    <row r="2" spans="2:7" x14ac:dyDescent="0.3">
      <c r="B2">
        <v>4832</v>
      </c>
      <c r="C2" t="s">
        <v>735</v>
      </c>
      <c r="D2" t="s">
        <v>734</v>
      </c>
    </row>
    <row r="3" spans="2:7" x14ac:dyDescent="0.3">
      <c r="B3">
        <v>37500</v>
      </c>
      <c r="C3" t="s">
        <v>736</v>
      </c>
      <c r="D3" t="s">
        <v>734</v>
      </c>
      <c r="G3" s="61"/>
    </row>
    <row r="4" spans="2:7" x14ac:dyDescent="0.3">
      <c r="B4">
        <v>2323</v>
      </c>
      <c r="C4" t="s">
        <v>735</v>
      </c>
      <c r="D4" t="s">
        <v>210</v>
      </c>
      <c r="G4" s="61"/>
    </row>
    <row r="5" spans="2:7" x14ac:dyDescent="0.3">
      <c r="B5">
        <v>37501</v>
      </c>
      <c r="C5" t="s">
        <v>736</v>
      </c>
      <c r="D5" t="s">
        <v>210</v>
      </c>
      <c r="G5" s="61"/>
    </row>
    <row r="6" spans="2:7" x14ac:dyDescent="0.3">
      <c r="B6">
        <v>6135</v>
      </c>
      <c r="C6" t="s">
        <v>735</v>
      </c>
      <c r="D6" t="s">
        <v>243</v>
      </c>
      <c r="G6" s="61"/>
    </row>
    <row r="7" spans="2:7" x14ac:dyDescent="0.3">
      <c r="B7">
        <v>37554</v>
      </c>
      <c r="C7" t="s">
        <v>736</v>
      </c>
      <c r="D7" t="s">
        <v>243</v>
      </c>
    </row>
    <row r="8" spans="2:7" x14ac:dyDescent="0.3">
      <c r="B8">
        <v>8227</v>
      </c>
      <c r="C8" t="s">
        <v>735</v>
      </c>
      <c r="D8" t="s">
        <v>254</v>
      </c>
    </row>
    <row r="9" spans="2:7" x14ac:dyDescent="0.3">
      <c r="B9">
        <v>51992</v>
      </c>
      <c r="C9" t="s">
        <v>736</v>
      </c>
      <c r="D9" t="s">
        <v>254</v>
      </c>
    </row>
    <row r="10" spans="2:7" x14ac:dyDescent="0.3">
      <c r="B10">
        <v>9571</v>
      </c>
      <c r="C10" t="s">
        <v>735</v>
      </c>
      <c r="D10" t="s">
        <v>260</v>
      </c>
    </row>
    <row r="11" spans="2:7" x14ac:dyDescent="0.3">
      <c r="B11">
        <v>37562</v>
      </c>
      <c r="C11" t="s">
        <v>736</v>
      </c>
      <c r="D11" t="s">
        <v>260</v>
      </c>
    </row>
    <row r="12" spans="2:7" x14ac:dyDescent="0.3">
      <c r="B12">
        <v>2661</v>
      </c>
      <c r="C12" t="s">
        <v>735</v>
      </c>
      <c r="D12" t="s">
        <v>737</v>
      </c>
    </row>
    <row r="13" spans="2:7" x14ac:dyDescent="0.3">
      <c r="B13">
        <v>37502</v>
      </c>
      <c r="C13" t="s">
        <v>736</v>
      </c>
      <c r="D13" t="s">
        <v>737</v>
      </c>
    </row>
    <row r="14" spans="2:7" x14ac:dyDescent="0.3">
      <c r="B14">
        <v>5643</v>
      </c>
      <c r="C14" t="s">
        <v>735</v>
      </c>
      <c r="D14" t="s">
        <v>200</v>
      </c>
    </row>
    <row r="15" spans="2:7" x14ac:dyDescent="0.3">
      <c r="B15">
        <v>37503</v>
      </c>
      <c r="C15" t="s">
        <v>736</v>
      </c>
      <c r="D15" t="s">
        <v>200</v>
      </c>
    </row>
    <row r="16" spans="2:7" x14ac:dyDescent="0.3">
      <c r="B16">
        <v>6773</v>
      </c>
      <c r="C16" t="s">
        <v>735</v>
      </c>
      <c r="D16" t="s">
        <v>204</v>
      </c>
    </row>
    <row r="17" spans="2:4" x14ac:dyDescent="0.3">
      <c r="B17">
        <v>37504</v>
      </c>
      <c r="C17" t="s">
        <v>736</v>
      </c>
      <c r="D17" t="s">
        <v>204</v>
      </c>
    </row>
    <row r="18" spans="2:4" x14ac:dyDescent="0.3">
      <c r="B18">
        <v>5696</v>
      </c>
      <c r="C18" t="s">
        <v>735</v>
      </c>
      <c r="D18" t="s">
        <v>207</v>
      </c>
    </row>
    <row r="19" spans="2:4" x14ac:dyDescent="0.3">
      <c r="B19">
        <v>37506</v>
      </c>
      <c r="C19" t="s">
        <v>736</v>
      </c>
      <c r="D19" t="s">
        <v>207</v>
      </c>
    </row>
    <row r="20" spans="2:4" x14ac:dyDescent="0.3">
      <c r="B20">
        <v>5179</v>
      </c>
      <c r="C20" t="s">
        <v>735</v>
      </c>
      <c r="D20" t="s">
        <v>308</v>
      </c>
    </row>
    <row r="21" spans="2:4" x14ac:dyDescent="0.3">
      <c r="B21">
        <v>52330</v>
      </c>
      <c r="C21" t="s">
        <v>736</v>
      </c>
      <c r="D21" t="s">
        <v>308</v>
      </c>
    </row>
    <row r="22" spans="2:4" x14ac:dyDescent="0.3">
      <c r="B22">
        <v>5140</v>
      </c>
      <c r="C22" t="s">
        <v>735</v>
      </c>
      <c r="D22" t="s">
        <v>738</v>
      </c>
    </row>
    <row r="23" spans="2:4" x14ac:dyDescent="0.3">
      <c r="B23">
        <v>52331</v>
      </c>
      <c r="C23" t="s">
        <v>736</v>
      </c>
      <c r="D23" t="s">
        <v>738</v>
      </c>
    </row>
    <row r="24" spans="2:4" x14ac:dyDescent="0.3">
      <c r="B24">
        <v>4381</v>
      </c>
      <c r="C24" t="s">
        <v>735</v>
      </c>
      <c r="D24" t="s">
        <v>212</v>
      </c>
    </row>
    <row r="25" spans="2:4" x14ac:dyDescent="0.3">
      <c r="B25">
        <v>7221</v>
      </c>
      <c r="C25" t="s">
        <v>735</v>
      </c>
      <c r="D25" t="s">
        <v>215</v>
      </c>
    </row>
    <row r="26" spans="2:4" x14ac:dyDescent="0.3">
      <c r="B26">
        <v>42698</v>
      </c>
      <c r="C26" t="s">
        <v>736</v>
      </c>
      <c r="D26" t="s">
        <v>215</v>
      </c>
    </row>
    <row r="27" spans="2:4" x14ac:dyDescent="0.3">
      <c r="B27">
        <v>5083</v>
      </c>
      <c r="C27" t="s">
        <v>735</v>
      </c>
      <c r="D27" t="s">
        <v>739</v>
      </c>
    </row>
    <row r="28" spans="2:4" x14ac:dyDescent="0.3">
      <c r="B28">
        <v>37508</v>
      </c>
      <c r="C28" t="s">
        <v>736</v>
      </c>
      <c r="D28" t="s">
        <v>739</v>
      </c>
    </row>
    <row r="29" spans="2:4" x14ac:dyDescent="0.3">
      <c r="B29">
        <v>9480</v>
      </c>
      <c r="C29" t="s">
        <v>735</v>
      </c>
      <c r="D29" t="s">
        <v>219</v>
      </c>
    </row>
    <row r="30" spans="2:4" x14ac:dyDescent="0.3">
      <c r="B30">
        <v>37509</v>
      </c>
      <c r="C30" t="s">
        <v>736</v>
      </c>
      <c r="D30" t="s">
        <v>219</v>
      </c>
    </row>
    <row r="31" spans="2:4" x14ac:dyDescent="0.3">
      <c r="B31">
        <v>5051</v>
      </c>
      <c r="C31" t="s">
        <v>735</v>
      </c>
      <c r="D31" t="s">
        <v>740</v>
      </c>
    </row>
    <row r="32" spans="2:4" x14ac:dyDescent="0.3">
      <c r="B32">
        <v>6076</v>
      </c>
      <c r="C32" t="s">
        <v>735</v>
      </c>
      <c r="D32" t="s">
        <v>223</v>
      </c>
    </row>
    <row r="33" spans="2:4" x14ac:dyDescent="0.3">
      <c r="B33">
        <v>37510</v>
      </c>
      <c r="C33" t="s">
        <v>736</v>
      </c>
      <c r="D33" t="s">
        <v>223</v>
      </c>
    </row>
    <row r="34" spans="2:4" x14ac:dyDescent="0.3">
      <c r="B34">
        <v>586</v>
      </c>
      <c r="C34" t="s">
        <v>735</v>
      </c>
      <c r="D34" t="s">
        <v>226</v>
      </c>
    </row>
    <row r="35" spans="2:4" x14ac:dyDescent="0.3">
      <c r="B35">
        <v>37511</v>
      </c>
      <c r="C35" t="s">
        <v>736</v>
      </c>
      <c r="D35" t="s">
        <v>226</v>
      </c>
    </row>
    <row r="36" spans="2:4" x14ac:dyDescent="0.3">
      <c r="B36">
        <v>793</v>
      </c>
      <c r="C36" t="s">
        <v>735</v>
      </c>
      <c r="D36" t="s">
        <v>228</v>
      </c>
    </row>
    <row r="37" spans="2:4" x14ac:dyDescent="0.3">
      <c r="B37">
        <v>37512</v>
      </c>
      <c r="C37" t="s">
        <v>736</v>
      </c>
      <c r="D37" t="s">
        <v>228</v>
      </c>
    </row>
    <row r="38" spans="2:4" x14ac:dyDescent="0.3">
      <c r="B38">
        <v>7481</v>
      </c>
      <c r="C38" t="s">
        <v>735</v>
      </c>
      <c r="D38" t="s">
        <v>233</v>
      </c>
    </row>
    <row r="39" spans="2:4" x14ac:dyDescent="0.3">
      <c r="B39">
        <v>43992</v>
      </c>
      <c r="C39" t="s">
        <v>736</v>
      </c>
      <c r="D39" t="s">
        <v>233</v>
      </c>
    </row>
    <row r="40" spans="2:4" x14ac:dyDescent="0.3">
      <c r="B40">
        <v>977</v>
      </c>
      <c r="C40" t="s">
        <v>735</v>
      </c>
      <c r="D40" t="s">
        <v>237</v>
      </c>
    </row>
    <row r="41" spans="2:4" x14ac:dyDescent="0.3">
      <c r="B41">
        <v>37513</v>
      </c>
      <c r="C41" t="s">
        <v>736</v>
      </c>
      <c r="D41" t="s">
        <v>237</v>
      </c>
    </row>
    <row r="42" spans="2:4" x14ac:dyDescent="0.3">
      <c r="B42">
        <v>6192</v>
      </c>
      <c r="C42" t="s">
        <v>735</v>
      </c>
      <c r="D42" t="s">
        <v>241</v>
      </c>
    </row>
    <row r="43" spans="2:4" x14ac:dyDescent="0.3">
      <c r="B43">
        <v>37514</v>
      </c>
      <c r="C43" t="s">
        <v>736</v>
      </c>
      <c r="D43" t="s">
        <v>241</v>
      </c>
    </row>
    <row r="44" spans="2:4" x14ac:dyDescent="0.3">
      <c r="B44">
        <v>6099</v>
      </c>
      <c r="C44" t="s">
        <v>735</v>
      </c>
      <c r="D44" t="s">
        <v>245</v>
      </c>
    </row>
    <row r="45" spans="2:4" x14ac:dyDescent="0.3">
      <c r="B45">
        <v>37515</v>
      </c>
      <c r="C45" t="s">
        <v>736</v>
      </c>
      <c r="D45" t="s">
        <v>245</v>
      </c>
    </row>
    <row r="46" spans="2:4" x14ac:dyDescent="0.3">
      <c r="B46">
        <v>2702</v>
      </c>
      <c r="C46" t="s">
        <v>735</v>
      </c>
      <c r="D46" t="s">
        <v>250</v>
      </c>
    </row>
    <row r="47" spans="2:4" x14ac:dyDescent="0.3">
      <c r="B47">
        <v>7446</v>
      </c>
      <c r="C47" t="s">
        <v>735</v>
      </c>
      <c r="D47" t="s">
        <v>255</v>
      </c>
    </row>
    <row r="48" spans="2:4" x14ac:dyDescent="0.3">
      <c r="B48">
        <v>37516</v>
      </c>
      <c r="C48" t="s">
        <v>736</v>
      </c>
      <c r="D48" t="s">
        <v>255</v>
      </c>
    </row>
    <row r="49" spans="2:4" x14ac:dyDescent="0.3">
      <c r="B49">
        <v>3590</v>
      </c>
      <c r="C49" t="s">
        <v>735</v>
      </c>
      <c r="D49" t="s">
        <v>258</v>
      </c>
    </row>
    <row r="50" spans="2:4" x14ac:dyDescent="0.3">
      <c r="B50">
        <v>37517</v>
      </c>
      <c r="C50" t="s">
        <v>736</v>
      </c>
      <c r="D50" t="s">
        <v>258</v>
      </c>
    </row>
    <row r="51" spans="2:4" x14ac:dyDescent="0.3">
      <c r="B51">
        <v>6297</v>
      </c>
      <c r="C51" t="s">
        <v>735</v>
      </c>
      <c r="D51" t="s">
        <v>741</v>
      </c>
    </row>
    <row r="52" spans="2:4" x14ac:dyDescent="0.3">
      <c r="B52">
        <v>6625</v>
      </c>
      <c r="C52" t="s">
        <v>735</v>
      </c>
      <c r="D52" t="s">
        <v>261</v>
      </c>
    </row>
    <row r="53" spans="2:4" x14ac:dyDescent="0.3">
      <c r="B53">
        <v>50175</v>
      </c>
      <c r="C53" t="s">
        <v>736</v>
      </c>
      <c r="D53" t="s">
        <v>261</v>
      </c>
    </row>
    <row r="54" spans="2:4" x14ac:dyDescent="0.3">
      <c r="B54">
        <v>6433</v>
      </c>
      <c r="C54" t="s">
        <v>735</v>
      </c>
      <c r="D54" t="s">
        <v>266</v>
      </c>
    </row>
    <row r="55" spans="2:4" x14ac:dyDescent="0.3">
      <c r="B55">
        <v>37519</v>
      </c>
      <c r="C55" t="s">
        <v>736</v>
      </c>
      <c r="D55" t="s">
        <v>266</v>
      </c>
    </row>
    <row r="56" spans="2:4" x14ac:dyDescent="0.3">
      <c r="B56">
        <v>3528</v>
      </c>
      <c r="C56" t="s">
        <v>735</v>
      </c>
      <c r="D56" t="s">
        <v>270</v>
      </c>
    </row>
    <row r="57" spans="2:4" x14ac:dyDescent="0.3">
      <c r="B57">
        <v>41555</v>
      </c>
      <c r="C57" t="s">
        <v>736</v>
      </c>
      <c r="D57" t="s">
        <v>270</v>
      </c>
    </row>
    <row r="58" spans="2:4" x14ac:dyDescent="0.3">
      <c r="B58">
        <v>7857</v>
      </c>
      <c r="C58" t="s">
        <v>735</v>
      </c>
      <c r="D58" t="s">
        <v>274</v>
      </c>
    </row>
    <row r="59" spans="2:4" x14ac:dyDescent="0.3">
      <c r="B59">
        <v>924</v>
      </c>
      <c r="C59" t="s">
        <v>735</v>
      </c>
      <c r="D59" t="s">
        <v>742</v>
      </c>
    </row>
    <row r="60" spans="2:4" x14ac:dyDescent="0.3">
      <c r="B60">
        <v>37520</v>
      </c>
      <c r="C60" t="s">
        <v>736</v>
      </c>
      <c r="D60" t="s">
        <v>742</v>
      </c>
    </row>
    <row r="61" spans="2:4" x14ac:dyDescent="0.3">
      <c r="B61">
        <v>9634</v>
      </c>
      <c r="C61" t="s">
        <v>735</v>
      </c>
      <c r="D61" t="s">
        <v>743</v>
      </c>
    </row>
    <row r="62" spans="2:4" x14ac:dyDescent="0.3">
      <c r="B62">
        <v>50771</v>
      </c>
      <c r="C62" t="s">
        <v>736</v>
      </c>
      <c r="D62" t="s">
        <v>743</v>
      </c>
    </row>
    <row r="63" spans="2:4" x14ac:dyDescent="0.3">
      <c r="B63">
        <v>9980</v>
      </c>
      <c r="C63" t="s">
        <v>735</v>
      </c>
      <c r="D63" t="s">
        <v>744</v>
      </c>
    </row>
    <row r="64" spans="2:4" x14ac:dyDescent="0.3">
      <c r="B64">
        <v>43889</v>
      </c>
      <c r="C64" t="s">
        <v>736</v>
      </c>
      <c r="D64" t="s">
        <v>744</v>
      </c>
    </row>
    <row r="65" spans="2:4" x14ac:dyDescent="0.3">
      <c r="B65">
        <v>6961</v>
      </c>
      <c r="C65" t="s">
        <v>735</v>
      </c>
      <c r="D65" t="s">
        <v>277</v>
      </c>
    </row>
    <row r="66" spans="2:4" x14ac:dyDescent="0.3">
      <c r="B66">
        <v>37533</v>
      </c>
      <c r="C66" t="s">
        <v>736</v>
      </c>
      <c r="D66" t="s">
        <v>277</v>
      </c>
    </row>
    <row r="67" spans="2:4" x14ac:dyDescent="0.3">
      <c r="B67">
        <v>17502</v>
      </c>
      <c r="C67" t="s">
        <v>735</v>
      </c>
      <c r="D67" t="s">
        <v>169</v>
      </c>
    </row>
    <row r="68" spans="2:4" x14ac:dyDescent="0.3">
      <c r="B68">
        <v>10939</v>
      </c>
      <c r="C68" t="s">
        <v>736</v>
      </c>
      <c r="D68" t="s">
        <v>169</v>
      </c>
    </row>
    <row r="69" spans="2:4" x14ac:dyDescent="0.3">
      <c r="B69">
        <v>8656</v>
      </c>
      <c r="C69" t="s">
        <v>735</v>
      </c>
      <c r="D69" t="s">
        <v>191</v>
      </c>
    </row>
    <row r="70" spans="2:4" x14ac:dyDescent="0.3">
      <c r="B70">
        <v>11331</v>
      </c>
      <c r="C70" t="s">
        <v>736</v>
      </c>
      <c r="D70" t="s">
        <v>191</v>
      </c>
    </row>
    <row r="71" spans="2:4" x14ac:dyDescent="0.3">
      <c r="B71">
        <v>4885</v>
      </c>
      <c r="C71" t="s">
        <v>735</v>
      </c>
      <c r="D71" t="s">
        <v>287</v>
      </c>
    </row>
    <row r="72" spans="2:4" x14ac:dyDescent="0.3">
      <c r="B72">
        <v>52327</v>
      </c>
      <c r="C72" t="s">
        <v>736</v>
      </c>
      <c r="D72" t="s">
        <v>287</v>
      </c>
    </row>
    <row r="73" spans="2:4" x14ac:dyDescent="0.3">
      <c r="B73">
        <v>8835</v>
      </c>
      <c r="C73" t="s">
        <v>735</v>
      </c>
      <c r="D73" t="s">
        <v>290</v>
      </c>
    </row>
    <row r="74" spans="2:4" x14ac:dyDescent="0.3">
      <c r="B74">
        <v>43994</v>
      </c>
      <c r="C74" t="s">
        <v>736</v>
      </c>
      <c r="D74" t="s">
        <v>290</v>
      </c>
    </row>
    <row r="75" spans="2:4" x14ac:dyDescent="0.3">
      <c r="B75">
        <v>999</v>
      </c>
      <c r="C75" t="s">
        <v>735</v>
      </c>
      <c r="D75" t="s">
        <v>461</v>
      </c>
    </row>
    <row r="76" spans="2:4" x14ac:dyDescent="0.3">
      <c r="B76">
        <v>37530</v>
      </c>
      <c r="C76" t="s">
        <v>736</v>
      </c>
      <c r="D76" t="s">
        <v>461</v>
      </c>
    </row>
    <row r="77" spans="2:4" x14ac:dyDescent="0.3">
      <c r="B77">
        <v>9334</v>
      </c>
      <c r="C77" t="s">
        <v>735</v>
      </c>
      <c r="D77" t="s">
        <v>293</v>
      </c>
    </row>
    <row r="78" spans="2:4" x14ac:dyDescent="0.3">
      <c r="B78">
        <v>4733</v>
      </c>
      <c r="C78" t="s">
        <v>735</v>
      </c>
      <c r="D78" t="s">
        <v>745</v>
      </c>
    </row>
    <row r="79" spans="2:4" x14ac:dyDescent="0.3">
      <c r="B79">
        <v>95465</v>
      </c>
      <c r="C79" t="s">
        <v>736</v>
      </c>
      <c r="D79" t="s">
        <v>745</v>
      </c>
    </row>
    <row r="80" spans="2:4" x14ac:dyDescent="0.3">
      <c r="B80">
        <v>8338</v>
      </c>
      <c r="C80" t="s">
        <v>735</v>
      </c>
      <c r="D80" t="s">
        <v>298</v>
      </c>
    </row>
    <row r="81" spans="2:4" x14ac:dyDescent="0.3">
      <c r="B81">
        <v>37553</v>
      </c>
      <c r="C81" t="s">
        <v>736</v>
      </c>
      <c r="D81" t="s">
        <v>298</v>
      </c>
    </row>
    <row r="82" spans="2:4" x14ac:dyDescent="0.3">
      <c r="B82">
        <v>6727</v>
      </c>
      <c r="C82" t="s">
        <v>735</v>
      </c>
      <c r="D82" t="s">
        <v>301</v>
      </c>
    </row>
    <row r="83" spans="2:4" x14ac:dyDescent="0.3">
      <c r="B83">
        <v>37552</v>
      </c>
      <c r="C83" t="s">
        <v>736</v>
      </c>
      <c r="D83" t="s">
        <v>301</v>
      </c>
    </row>
    <row r="84" spans="2:4" x14ac:dyDescent="0.3">
      <c r="B84">
        <v>5718</v>
      </c>
      <c r="C84" t="s">
        <v>735</v>
      </c>
      <c r="D84" t="s">
        <v>305</v>
      </c>
    </row>
    <row r="85" spans="2:4" x14ac:dyDescent="0.3">
      <c r="B85">
        <v>12377</v>
      </c>
      <c r="C85" t="s">
        <v>735</v>
      </c>
      <c r="D85" t="s">
        <v>746</v>
      </c>
    </row>
    <row r="86" spans="2:4" x14ac:dyDescent="0.3">
      <c r="B86">
        <v>51438</v>
      </c>
      <c r="C86" t="s">
        <v>736</v>
      </c>
      <c r="D86" t="s">
        <v>746</v>
      </c>
    </row>
    <row r="87" spans="2:4" x14ac:dyDescent="0.3">
      <c r="B87">
        <v>6136</v>
      </c>
      <c r="C87" t="s">
        <v>735</v>
      </c>
      <c r="D87" t="s">
        <v>309</v>
      </c>
    </row>
    <row r="88" spans="2:4" x14ac:dyDescent="0.3">
      <c r="B88">
        <v>37414</v>
      </c>
      <c r="C88" t="s">
        <v>736</v>
      </c>
      <c r="D88" t="s">
        <v>309</v>
      </c>
    </row>
    <row r="89" spans="2:4" x14ac:dyDescent="0.3">
      <c r="B89">
        <v>2249</v>
      </c>
      <c r="C89" t="s">
        <v>735</v>
      </c>
      <c r="D89" t="s">
        <v>314</v>
      </c>
    </row>
    <row r="90" spans="2:4" x14ac:dyDescent="0.3">
      <c r="B90">
        <v>37534</v>
      </c>
      <c r="C90" t="s">
        <v>736</v>
      </c>
      <c r="D90" t="s">
        <v>314</v>
      </c>
    </row>
    <row r="91" spans="2:4" x14ac:dyDescent="0.3">
      <c r="B91">
        <v>9956</v>
      </c>
      <c r="C91" t="s">
        <v>735</v>
      </c>
      <c r="D91" t="s">
        <v>318</v>
      </c>
    </row>
    <row r="92" spans="2:4" x14ac:dyDescent="0.3">
      <c r="B92">
        <v>4598</v>
      </c>
      <c r="C92" t="s">
        <v>735</v>
      </c>
      <c r="D92" t="s">
        <v>747</v>
      </c>
    </row>
    <row r="93" spans="2:4" x14ac:dyDescent="0.3">
      <c r="B93">
        <v>37535</v>
      </c>
      <c r="C93" t="s">
        <v>736</v>
      </c>
      <c r="D93" t="s">
        <v>747</v>
      </c>
    </row>
    <row r="94" spans="2:4" x14ac:dyDescent="0.3">
      <c r="B94">
        <v>9745</v>
      </c>
      <c r="C94" t="s">
        <v>735</v>
      </c>
      <c r="D94" t="s">
        <v>323</v>
      </c>
    </row>
    <row r="95" spans="2:4" x14ac:dyDescent="0.3">
      <c r="B95">
        <v>8702</v>
      </c>
      <c r="C95" t="s">
        <v>735</v>
      </c>
      <c r="D95" t="s">
        <v>196</v>
      </c>
    </row>
    <row r="96" spans="2:4" x14ac:dyDescent="0.3">
      <c r="B96">
        <v>37537</v>
      </c>
      <c r="C96" t="s">
        <v>736</v>
      </c>
      <c r="D96" t="s">
        <v>196</v>
      </c>
    </row>
    <row r="97" spans="2:4" x14ac:dyDescent="0.3">
      <c r="B97">
        <v>6066</v>
      </c>
      <c r="C97" t="s">
        <v>735</v>
      </c>
      <c r="D97" t="s">
        <v>330</v>
      </c>
    </row>
    <row r="98" spans="2:4" x14ac:dyDescent="0.3">
      <c r="B98">
        <v>37539</v>
      </c>
      <c r="C98" t="s">
        <v>736</v>
      </c>
      <c r="D98" t="s">
        <v>330</v>
      </c>
    </row>
    <row r="99" spans="2:4" x14ac:dyDescent="0.3">
      <c r="B99">
        <v>5407</v>
      </c>
      <c r="C99" t="s">
        <v>735</v>
      </c>
      <c r="D99" t="s">
        <v>334</v>
      </c>
    </row>
    <row r="100" spans="2:4" x14ac:dyDescent="0.3">
      <c r="B100">
        <v>37540</v>
      </c>
      <c r="C100" t="s">
        <v>736</v>
      </c>
      <c r="D100" t="s">
        <v>334</v>
      </c>
    </row>
    <row r="101" spans="2:4" x14ac:dyDescent="0.3">
      <c r="B101">
        <v>3145</v>
      </c>
      <c r="C101" t="s">
        <v>735</v>
      </c>
      <c r="D101" t="s">
        <v>339</v>
      </c>
    </row>
    <row r="102" spans="2:4" x14ac:dyDescent="0.3">
      <c r="B102">
        <v>37541</v>
      </c>
      <c r="C102" t="s">
        <v>736</v>
      </c>
      <c r="D102" t="s">
        <v>339</v>
      </c>
    </row>
    <row r="103" spans="2:4" x14ac:dyDescent="0.3">
      <c r="B103">
        <v>10969</v>
      </c>
      <c r="C103" t="s">
        <v>735</v>
      </c>
      <c r="D103" t="s">
        <v>748</v>
      </c>
    </row>
    <row r="104" spans="2:4" x14ac:dyDescent="0.3">
      <c r="B104">
        <v>42910</v>
      </c>
      <c r="C104" t="s">
        <v>736</v>
      </c>
      <c r="D104" t="s">
        <v>748</v>
      </c>
    </row>
    <row r="105" spans="2:4" x14ac:dyDescent="0.3">
      <c r="B105">
        <v>5809</v>
      </c>
      <c r="C105" t="s">
        <v>735</v>
      </c>
      <c r="D105" t="s">
        <v>343</v>
      </c>
    </row>
    <row r="106" spans="2:4" x14ac:dyDescent="0.3">
      <c r="B106">
        <v>37542</v>
      </c>
      <c r="C106" t="s">
        <v>736</v>
      </c>
      <c r="D106" t="s">
        <v>343</v>
      </c>
    </row>
    <row r="107" spans="2:4" x14ac:dyDescent="0.3">
      <c r="B107">
        <v>6936</v>
      </c>
      <c r="C107" t="s">
        <v>735</v>
      </c>
      <c r="D107" t="s">
        <v>347</v>
      </c>
    </row>
    <row r="108" spans="2:4" x14ac:dyDescent="0.3">
      <c r="B108">
        <v>37543</v>
      </c>
      <c r="C108" t="s">
        <v>736</v>
      </c>
      <c r="D108" t="s">
        <v>347</v>
      </c>
    </row>
    <row r="109" spans="2:4" x14ac:dyDescent="0.3">
      <c r="B109">
        <v>3956</v>
      </c>
      <c r="C109" t="s">
        <v>735</v>
      </c>
      <c r="D109" t="s">
        <v>120</v>
      </c>
    </row>
    <row r="110" spans="2:4" x14ac:dyDescent="0.3">
      <c r="B110">
        <v>40325</v>
      </c>
      <c r="C110" t="s">
        <v>736</v>
      </c>
      <c r="D110" t="s">
        <v>120</v>
      </c>
    </row>
    <row r="111" spans="2:4" x14ac:dyDescent="0.3">
      <c r="B111">
        <v>6817</v>
      </c>
      <c r="C111" t="s">
        <v>735</v>
      </c>
      <c r="D111" t="s">
        <v>353</v>
      </c>
    </row>
    <row r="112" spans="2:4" x14ac:dyDescent="0.3">
      <c r="B112">
        <v>52332</v>
      </c>
      <c r="C112" t="s">
        <v>736</v>
      </c>
      <c r="D112" t="s">
        <v>353</v>
      </c>
    </row>
    <row r="113" spans="2:4" x14ac:dyDescent="0.3">
      <c r="B113">
        <v>4895</v>
      </c>
      <c r="C113" t="s">
        <v>735</v>
      </c>
      <c r="D113" t="s">
        <v>357</v>
      </c>
    </row>
    <row r="114" spans="2:4" x14ac:dyDescent="0.3">
      <c r="B114">
        <v>37544</v>
      </c>
      <c r="C114" t="s">
        <v>736</v>
      </c>
      <c r="D114" t="s">
        <v>357</v>
      </c>
    </row>
    <row r="115" spans="2:4" x14ac:dyDescent="0.3">
      <c r="B115">
        <v>11114</v>
      </c>
      <c r="C115" t="s">
        <v>735</v>
      </c>
      <c r="D115" t="s">
        <v>749</v>
      </c>
    </row>
    <row r="116" spans="2:4" x14ac:dyDescent="0.3">
      <c r="B116">
        <v>43357</v>
      </c>
      <c r="C116" t="s">
        <v>736</v>
      </c>
      <c r="D116" t="s">
        <v>749</v>
      </c>
    </row>
    <row r="117" spans="2:4" x14ac:dyDescent="0.3">
      <c r="B117">
        <v>12296</v>
      </c>
      <c r="C117" t="s">
        <v>735</v>
      </c>
      <c r="D117" t="s">
        <v>362</v>
      </c>
    </row>
    <row r="118" spans="2:4" x14ac:dyDescent="0.3">
      <c r="B118">
        <v>51166</v>
      </c>
      <c r="C118" t="s">
        <v>736</v>
      </c>
      <c r="D118" t="s">
        <v>362</v>
      </c>
    </row>
    <row r="119" spans="2:4" x14ac:dyDescent="0.3">
      <c r="B119">
        <v>10185</v>
      </c>
      <c r="C119" t="s">
        <v>735</v>
      </c>
      <c r="D119" t="s">
        <v>366</v>
      </c>
    </row>
    <row r="120" spans="2:4" x14ac:dyDescent="0.3">
      <c r="B120">
        <v>39091</v>
      </c>
      <c r="C120" t="s">
        <v>736</v>
      </c>
      <c r="D120" t="s">
        <v>366</v>
      </c>
    </row>
    <row r="121" spans="2:4" x14ac:dyDescent="0.3">
      <c r="B121">
        <v>3521</v>
      </c>
      <c r="C121" t="s">
        <v>735</v>
      </c>
      <c r="D121" t="s">
        <v>370</v>
      </c>
    </row>
    <row r="122" spans="2:4" x14ac:dyDescent="0.3">
      <c r="B122">
        <v>51447</v>
      </c>
      <c r="C122" t="s">
        <v>736</v>
      </c>
      <c r="D122" t="s">
        <v>370</v>
      </c>
    </row>
    <row r="123" spans="2:4" x14ac:dyDescent="0.3">
      <c r="B123">
        <v>4987</v>
      </c>
      <c r="C123" t="s">
        <v>735</v>
      </c>
      <c r="D123" t="s">
        <v>372</v>
      </c>
    </row>
    <row r="124" spans="2:4" x14ac:dyDescent="0.3">
      <c r="B124">
        <v>37545</v>
      </c>
      <c r="C124" t="s">
        <v>736</v>
      </c>
      <c r="D124" t="s">
        <v>372</v>
      </c>
    </row>
    <row r="125" spans="2:4" x14ac:dyDescent="0.3">
      <c r="B125">
        <v>8946</v>
      </c>
      <c r="C125" t="s">
        <v>735</v>
      </c>
      <c r="D125" t="s">
        <v>609</v>
      </c>
    </row>
    <row r="126" spans="2:4" x14ac:dyDescent="0.3">
      <c r="B126">
        <v>37551</v>
      </c>
      <c r="C126" t="s">
        <v>736</v>
      </c>
      <c r="D126" t="s">
        <v>609</v>
      </c>
    </row>
    <row r="127" spans="2:4" x14ac:dyDescent="0.3">
      <c r="B127">
        <v>8512</v>
      </c>
      <c r="C127" t="s">
        <v>735</v>
      </c>
      <c r="D127" t="s">
        <v>377</v>
      </c>
    </row>
    <row r="128" spans="2:4" x14ac:dyDescent="0.3">
      <c r="B128">
        <v>37546</v>
      </c>
      <c r="C128" t="s">
        <v>736</v>
      </c>
      <c r="D128" t="s">
        <v>377</v>
      </c>
    </row>
    <row r="129" spans="2:4" x14ac:dyDescent="0.3">
      <c r="B129">
        <v>4511</v>
      </c>
      <c r="C129" t="s">
        <v>735</v>
      </c>
      <c r="D129" t="s">
        <v>122</v>
      </c>
    </row>
    <row r="130" spans="2:4" x14ac:dyDescent="0.3">
      <c r="B130">
        <v>36843</v>
      </c>
      <c r="C130" t="s">
        <v>736</v>
      </c>
      <c r="D130" t="s">
        <v>122</v>
      </c>
    </row>
    <row r="131" spans="2:4" x14ac:dyDescent="0.3">
      <c r="B131">
        <v>4478</v>
      </c>
      <c r="C131" t="s">
        <v>735</v>
      </c>
      <c r="D131" t="s">
        <v>707</v>
      </c>
    </row>
    <row r="132" spans="2:4" x14ac:dyDescent="0.3">
      <c r="B132">
        <v>2634</v>
      </c>
      <c r="C132" t="s">
        <v>735</v>
      </c>
      <c r="D132" t="s">
        <v>750</v>
      </c>
    </row>
    <row r="133" spans="2:4" x14ac:dyDescent="0.3">
      <c r="B133">
        <v>8334</v>
      </c>
      <c r="C133" t="s">
        <v>735</v>
      </c>
      <c r="D133" t="s">
        <v>751</v>
      </c>
    </row>
    <row r="134" spans="2:4" x14ac:dyDescent="0.3">
      <c r="B134">
        <v>43412</v>
      </c>
      <c r="C134" t="s">
        <v>736</v>
      </c>
      <c r="D134" t="s">
        <v>751</v>
      </c>
    </row>
    <row r="135" spans="2:4" x14ac:dyDescent="0.3">
      <c r="B135">
        <v>12131</v>
      </c>
      <c r="C135" t="s">
        <v>735</v>
      </c>
      <c r="D135" t="s">
        <v>384</v>
      </c>
    </row>
    <row r="136" spans="2:4" x14ac:dyDescent="0.3">
      <c r="B136">
        <v>50306</v>
      </c>
      <c r="C136" t="s">
        <v>736</v>
      </c>
      <c r="D136" t="s">
        <v>384</v>
      </c>
    </row>
    <row r="137" spans="2:4" x14ac:dyDescent="0.3">
      <c r="B137">
        <v>6698</v>
      </c>
      <c r="C137" t="s">
        <v>735</v>
      </c>
      <c r="D137" t="s">
        <v>388</v>
      </c>
    </row>
    <row r="138" spans="2:4" x14ac:dyDescent="0.3">
      <c r="B138">
        <v>37547</v>
      </c>
      <c r="C138" t="s">
        <v>736</v>
      </c>
      <c r="D138" t="s">
        <v>388</v>
      </c>
    </row>
    <row r="139" spans="2:4" x14ac:dyDescent="0.3">
      <c r="B139">
        <v>322</v>
      </c>
      <c r="C139" t="s">
        <v>735</v>
      </c>
      <c r="D139" t="s">
        <v>752</v>
      </c>
    </row>
    <row r="140" spans="2:4" x14ac:dyDescent="0.3">
      <c r="B140">
        <v>55297</v>
      </c>
      <c r="C140" t="s">
        <v>736</v>
      </c>
      <c r="D140" t="s">
        <v>752</v>
      </c>
    </row>
    <row r="141" spans="2:4" x14ac:dyDescent="0.3">
      <c r="B141">
        <v>5945</v>
      </c>
      <c r="C141" t="s">
        <v>735</v>
      </c>
      <c r="D141" t="s">
        <v>222</v>
      </c>
    </row>
    <row r="142" spans="2:4" x14ac:dyDescent="0.3">
      <c r="B142">
        <v>2934</v>
      </c>
      <c r="C142" t="s">
        <v>735</v>
      </c>
      <c r="D142" t="s">
        <v>392</v>
      </c>
    </row>
    <row r="143" spans="2:4" x14ac:dyDescent="0.3">
      <c r="B143">
        <v>561</v>
      </c>
      <c r="C143" t="s">
        <v>735</v>
      </c>
      <c r="D143" t="s">
        <v>395</v>
      </c>
    </row>
    <row r="144" spans="2:4" x14ac:dyDescent="0.3">
      <c r="B144">
        <v>4087</v>
      </c>
      <c r="C144" t="s">
        <v>735</v>
      </c>
      <c r="D144" t="s">
        <v>399</v>
      </c>
    </row>
    <row r="145" spans="2:4" x14ac:dyDescent="0.3">
      <c r="B145">
        <v>67539</v>
      </c>
      <c r="C145" t="s">
        <v>736</v>
      </c>
      <c r="D145" t="s">
        <v>399</v>
      </c>
    </row>
    <row r="146" spans="2:4" x14ac:dyDescent="0.3">
      <c r="B146">
        <v>4</v>
      </c>
      <c r="C146" t="s">
        <v>753</v>
      </c>
      <c r="D146" t="s">
        <v>169</v>
      </c>
    </row>
    <row r="147" spans="2:4" x14ac:dyDescent="0.3">
      <c r="B147">
        <v>9415</v>
      </c>
      <c r="C147" t="s">
        <v>735</v>
      </c>
      <c r="D147" t="s">
        <v>456</v>
      </c>
    </row>
    <row r="148" spans="2:4" x14ac:dyDescent="0.3">
      <c r="B148">
        <v>73497</v>
      </c>
      <c r="C148" t="s">
        <v>736</v>
      </c>
      <c r="D148" t="s">
        <v>463</v>
      </c>
    </row>
    <row r="149" spans="2:4" x14ac:dyDescent="0.3">
      <c r="B149">
        <v>67530</v>
      </c>
      <c r="C149" t="s">
        <v>736</v>
      </c>
      <c r="D149" t="s">
        <v>293</v>
      </c>
    </row>
    <row r="150" spans="2:4" x14ac:dyDescent="0.3">
      <c r="B150">
        <v>35</v>
      </c>
      <c r="C150" t="s">
        <v>754</v>
      </c>
      <c r="D150" t="s">
        <v>277</v>
      </c>
    </row>
    <row r="151" spans="2:4" x14ac:dyDescent="0.3">
      <c r="B151">
        <v>51</v>
      </c>
      <c r="C151" t="s">
        <v>754</v>
      </c>
      <c r="D151" t="s">
        <v>323</v>
      </c>
    </row>
    <row r="152" spans="2:4" x14ac:dyDescent="0.3">
      <c r="B152">
        <v>67582</v>
      </c>
      <c r="C152" t="s">
        <v>736</v>
      </c>
      <c r="D152" t="s">
        <v>413</v>
      </c>
    </row>
    <row r="153" spans="2:4" x14ac:dyDescent="0.3">
      <c r="B153">
        <v>13443</v>
      </c>
      <c r="C153" t="s">
        <v>735</v>
      </c>
      <c r="D153" t="s">
        <v>413</v>
      </c>
    </row>
    <row r="154" spans="2:4" x14ac:dyDescent="0.3">
      <c r="B154">
        <v>78993</v>
      </c>
      <c r="C154" t="s">
        <v>736</v>
      </c>
      <c r="D154" t="s">
        <v>456</v>
      </c>
    </row>
    <row r="155" spans="2:4" x14ac:dyDescent="0.3">
      <c r="B155">
        <v>7899</v>
      </c>
      <c r="C155" t="s">
        <v>735</v>
      </c>
      <c r="D155" t="s">
        <v>513</v>
      </c>
    </row>
    <row r="156" spans="2:4" x14ac:dyDescent="0.3">
      <c r="B156">
        <v>16251</v>
      </c>
      <c r="C156" t="s">
        <v>735</v>
      </c>
      <c r="D156" t="s">
        <v>493</v>
      </c>
    </row>
    <row r="157" spans="2:4" x14ac:dyDescent="0.3">
      <c r="B157">
        <v>61</v>
      </c>
      <c r="C157" t="s">
        <v>755</v>
      </c>
      <c r="D157" t="s">
        <v>357</v>
      </c>
    </row>
    <row r="158" spans="2:4" x14ac:dyDescent="0.3">
      <c r="B158">
        <v>68</v>
      </c>
      <c r="C158" t="s">
        <v>755</v>
      </c>
      <c r="D158" t="s">
        <v>377</v>
      </c>
    </row>
    <row r="159" spans="2:4" x14ac:dyDescent="0.3">
      <c r="B159">
        <v>80906</v>
      </c>
      <c r="C159" t="s">
        <v>736</v>
      </c>
      <c r="D159" t="s">
        <v>527</v>
      </c>
    </row>
    <row r="160" spans="2:4" x14ac:dyDescent="0.3">
      <c r="B160">
        <v>42710</v>
      </c>
      <c r="C160" t="s">
        <v>736</v>
      </c>
      <c r="D160" t="s">
        <v>336</v>
      </c>
    </row>
    <row r="161" spans="2:4" x14ac:dyDescent="0.3">
      <c r="B161">
        <v>72085</v>
      </c>
      <c r="C161" t="s">
        <v>736</v>
      </c>
      <c r="D161" t="s">
        <v>365</v>
      </c>
    </row>
    <row r="162" spans="2:4" x14ac:dyDescent="0.3">
      <c r="B162">
        <v>4996</v>
      </c>
      <c r="C162" t="s">
        <v>735</v>
      </c>
      <c r="D162" t="s">
        <v>447</v>
      </c>
    </row>
    <row r="163" spans="2:4" x14ac:dyDescent="0.3">
      <c r="B163">
        <v>115</v>
      </c>
      <c r="C163" t="s">
        <v>755</v>
      </c>
      <c r="D163" t="s">
        <v>456</v>
      </c>
    </row>
    <row r="164" spans="2:4" x14ac:dyDescent="0.3">
      <c r="B164">
        <v>80510</v>
      </c>
      <c r="C164" t="s">
        <v>736</v>
      </c>
      <c r="D164" t="s">
        <v>321</v>
      </c>
    </row>
    <row r="165" spans="2:4" x14ac:dyDescent="0.3">
      <c r="B165">
        <v>84746</v>
      </c>
      <c r="C165" t="s">
        <v>736</v>
      </c>
      <c r="D165" t="s">
        <v>447</v>
      </c>
    </row>
    <row r="166" spans="2:4" x14ac:dyDescent="0.3">
      <c r="B166">
        <v>84723</v>
      </c>
      <c r="C166" t="s">
        <v>736</v>
      </c>
      <c r="D166" t="s">
        <v>189</v>
      </c>
    </row>
    <row r="167" spans="2:4" x14ac:dyDescent="0.3">
      <c r="B167">
        <v>37507</v>
      </c>
      <c r="C167" t="s">
        <v>736</v>
      </c>
      <c r="D167" t="s">
        <v>212</v>
      </c>
    </row>
    <row r="168" spans="2:4" x14ac:dyDescent="0.3">
      <c r="B168">
        <v>84629</v>
      </c>
      <c r="C168" t="s">
        <v>736</v>
      </c>
      <c r="D168" t="s">
        <v>740</v>
      </c>
    </row>
    <row r="169" spans="2:4" x14ac:dyDescent="0.3">
      <c r="B169">
        <v>67529</v>
      </c>
      <c r="C169" t="s">
        <v>736</v>
      </c>
      <c r="D169" t="s">
        <v>250</v>
      </c>
    </row>
    <row r="170" spans="2:4" x14ac:dyDescent="0.3">
      <c r="B170">
        <v>84630</v>
      </c>
      <c r="C170" t="s">
        <v>736</v>
      </c>
      <c r="D170" t="s">
        <v>741</v>
      </c>
    </row>
    <row r="171" spans="2:4" x14ac:dyDescent="0.3">
      <c r="B171">
        <v>84631</v>
      </c>
      <c r="C171" t="s">
        <v>736</v>
      </c>
      <c r="D171" t="s">
        <v>274</v>
      </c>
    </row>
    <row r="172" spans="2:4" x14ac:dyDescent="0.3">
      <c r="B172">
        <v>67562</v>
      </c>
      <c r="C172" t="s">
        <v>736</v>
      </c>
      <c r="D172" t="s">
        <v>282</v>
      </c>
    </row>
    <row r="173" spans="2:4" x14ac:dyDescent="0.3">
      <c r="B173">
        <v>84632</v>
      </c>
      <c r="C173" t="s">
        <v>736</v>
      </c>
      <c r="D173" t="s">
        <v>305</v>
      </c>
    </row>
    <row r="174" spans="2:4" x14ac:dyDescent="0.3">
      <c r="B174">
        <v>67531</v>
      </c>
      <c r="C174" t="s">
        <v>736</v>
      </c>
      <c r="D174" t="s">
        <v>318</v>
      </c>
    </row>
    <row r="175" spans="2:4" x14ac:dyDescent="0.3">
      <c r="B175">
        <v>67532</v>
      </c>
      <c r="C175" t="s">
        <v>736</v>
      </c>
      <c r="D175" t="s">
        <v>323</v>
      </c>
    </row>
    <row r="176" spans="2:4" x14ac:dyDescent="0.3">
      <c r="B176">
        <v>67567</v>
      </c>
      <c r="C176" t="s">
        <v>736</v>
      </c>
      <c r="D176" t="s">
        <v>327</v>
      </c>
    </row>
    <row r="177" spans="2:4" x14ac:dyDescent="0.3">
      <c r="B177">
        <v>67564</v>
      </c>
      <c r="C177" t="s">
        <v>736</v>
      </c>
      <c r="D177" t="s">
        <v>374</v>
      </c>
    </row>
    <row r="178" spans="2:4" x14ac:dyDescent="0.3">
      <c r="B178">
        <v>67534</v>
      </c>
      <c r="C178" t="s">
        <v>736</v>
      </c>
      <c r="D178" t="s">
        <v>707</v>
      </c>
    </row>
    <row r="179" spans="2:4" x14ac:dyDescent="0.3">
      <c r="B179">
        <v>67537</v>
      </c>
      <c r="C179" t="s">
        <v>736</v>
      </c>
      <c r="D179" t="s">
        <v>750</v>
      </c>
    </row>
    <row r="180" spans="2:4" x14ac:dyDescent="0.3">
      <c r="B180">
        <v>84633</v>
      </c>
      <c r="C180" t="s">
        <v>736</v>
      </c>
      <c r="D180" t="s">
        <v>222</v>
      </c>
    </row>
    <row r="181" spans="2:4" x14ac:dyDescent="0.3">
      <c r="B181">
        <v>84636</v>
      </c>
      <c r="C181" t="s">
        <v>736</v>
      </c>
      <c r="D181" t="s">
        <v>392</v>
      </c>
    </row>
    <row r="182" spans="2:4" x14ac:dyDescent="0.3">
      <c r="B182">
        <v>42909</v>
      </c>
      <c r="C182" t="s">
        <v>736</v>
      </c>
      <c r="D182" t="s">
        <v>756</v>
      </c>
    </row>
    <row r="183" spans="2:4" x14ac:dyDescent="0.3">
      <c r="B183">
        <v>37528</v>
      </c>
      <c r="C183" t="s">
        <v>736</v>
      </c>
      <c r="D183" t="s">
        <v>422</v>
      </c>
    </row>
    <row r="184" spans="2:4" x14ac:dyDescent="0.3">
      <c r="B184">
        <v>84752</v>
      </c>
      <c r="C184" t="s">
        <v>736</v>
      </c>
      <c r="D184" t="s">
        <v>431</v>
      </c>
    </row>
    <row r="185" spans="2:4" x14ac:dyDescent="0.3">
      <c r="B185">
        <v>67563</v>
      </c>
      <c r="C185" t="s">
        <v>736</v>
      </c>
      <c r="D185" t="s">
        <v>194</v>
      </c>
    </row>
    <row r="186" spans="2:4" x14ac:dyDescent="0.3">
      <c r="B186">
        <v>67566</v>
      </c>
      <c r="C186" t="s">
        <v>736</v>
      </c>
      <c r="D186" t="s">
        <v>342</v>
      </c>
    </row>
    <row r="187" spans="2:4" x14ac:dyDescent="0.3">
      <c r="B187">
        <v>52107</v>
      </c>
      <c r="C187" t="s">
        <v>736</v>
      </c>
      <c r="D187" t="s">
        <v>345</v>
      </c>
    </row>
    <row r="188" spans="2:4" x14ac:dyDescent="0.3">
      <c r="B188">
        <v>56666</v>
      </c>
      <c r="C188" t="s">
        <v>736</v>
      </c>
      <c r="D188" t="s">
        <v>449</v>
      </c>
    </row>
    <row r="189" spans="2:4" x14ac:dyDescent="0.3">
      <c r="B189">
        <v>84759</v>
      </c>
      <c r="C189" t="s">
        <v>736</v>
      </c>
      <c r="D189" t="s">
        <v>280</v>
      </c>
    </row>
    <row r="190" spans="2:4" x14ac:dyDescent="0.3">
      <c r="B190">
        <v>84729</v>
      </c>
      <c r="C190" t="s">
        <v>736</v>
      </c>
      <c r="D190" t="s">
        <v>757</v>
      </c>
    </row>
    <row r="191" spans="2:4" x14ac:dyDescent="0.3">
      <c r="B191">
        <v>47408</v>
      </c>
      <c r="C191" t="s">
        <v>736</v>
      </c>
      <c r="D191" t="s">
        <v>169</v>
      </c>
    </row>
    <row r="192" spans="2:4" x14ac:dyDescent="0.3">
      <c r="B192">
        <v>84725</v>
      </c>
      <c r="C192" t="s">
        <v>736</v>
      </c>
      <c r="D192" t="s">
        <v>328</v>
      </c>
    </row>
    <row r="193" spans="2:4" x14ac:dyDescent="0.3">
      <c r="B193">
        <v>84726</v>
      </c>
      <c r="C193" t="s">
        <v>736</v>
      </c>
      <c r="D193" t="s">
        <v>351</v>
      </c>
    </row>
    <row r="194" spans="2:4" x14ac:dyDescent="0.3">
      <c r="B194">
        <v>84748</v>
      </c>
      <c r="C194" t="s">
        <v>736</v>
      </c>
      <c r="D194" t="s">
        <v>485</v>
      </c>
    </row>
    <row r="195" spans="2:4" x14ac:dyDescent="0.3">
      <c r="B195">
        <v>84745</v>
      </c>
      <c r="C195" t="s">
        <v>736</v>
      </c>
      <c r="D195" t="s">
        <v>488</v>
      </c>
    </row>
    <row r="196" spans="2:4" x14ac:dyDescent="0.3">
      <c r="B196">
        <v>84724</v>
      </c>
      <c r="C196" t="s">
        <v>736</v>
      </c>
      <c r="D196" t="s">
        <v>758</v>
      </c>
    </row>
    <row r="197" spans="2:4" x14ac:dyDescent="0.3">
      <c r="B197">
        <v>84751</v>
      </c>
      <c r="C197" t="s">
        <v>736</v>
      </c>
      <c r="D197" t="s">
        <v>491</v>
      </c>
    </row>
    <row r="198" spans="2:4" x14ac:dyDescent="0.3">
      <c r="B198">
        <v>84756</v>
      </c>
      <c r="C198" t="s">
        <v>736</v>
      </c>
      <c r="D198" t="s">
        <v>493</v>
      </c>
    </row>
    <row r="199" spans="2:4" x14ac:dyDescent="0.3">
      <c r="B199">
        <v>84750</v>
      </c>
      <c r="C199" t="s">
        <v>736</v>
      </c>
      <c r="D199" t="s">
        <v>589</v>
      </c>
    </row>
    <row r="200" spans="2:4" x14ac:dyDescent="0.3">
      <c r="B200">
        <v>84747</v>
      </c>
      <c r="C200" t="s">
        <v>736</v>
      </c>
      <c r="D200" t="s">
        <v>510</v>
      </c>
    </row>
    <row r="201" spans="2:4" x14ac:dyDescent="0.3">
      <c r="B201">
        <v>84749</v>
      </c>
      <c r="C201" t="s">
        <v>736</v>
      </c>
      <c r="D201" t="s">
        <v>513</v>
      </c>
    </row>
    <row r="202" spans="2:4" x14ac:dyDescent="0.3">
      <c r="B202">
        <v>84753</v>
      </c>
      <c r="C202" t="s">
        <v>736</v>
      </c>
      <c r="D202" t="s">
        <v>517</v>
      </c>
    </row>
    <row r="203" spans="2:4" x14ac:dyDescent="0.3">
      <c r="B203">
        <v>87158</v>
      </c>
      <c r="C203" t="s">
        <v>736</v>
      </c>
      <c r="D203" t="s">
        <v>395</v>
      </c>
    </row>
    <row r="204" spans="2:4" x14ac:dyDescent="0.3">
      <c r="B204">
        <v>87164</v>
      </c>
      <c r="C204" t="s">
        <v>736</v>
      </c>
      <c r="D204" t="s">
        <v>123</v>
      </c>
    </row>
    <row r="205" spans="2:4" x14ac:dyDescent="0.3">
      <c r="B205">
        <v>87166</v>
      </c>
      <c r="C205" t="s">
        <v>736</v>
      </c>
      <c r="D205" t="s">
        <v>759</v>
      </c>
    </row>
    <row r="206" spans="2:4" x14ac:dyDescent="0.3">
      <c r="B206">
        <v>1001</v>
      </c>
      <c r="C206" t="s">
        <v>754</v>
      </c>
      <c r="D206" t="s">
        <v>760</v>
      </c>
    </row>
    <row r="207" spans="2:4" x14ac:dyDescent="0.3">
      <c r="B207">
        <v>1002</v>
      </c>
      <c r="C207" t="s">
        <v>754</v>
      </c>
      <c r="D207" t="s">
        <v>284</v>
      </c>
    </row>
    <row r="208" spans="2:4" x14ac:dyDescent="0.3">
      <c r="B208">
        <v>88097</v>
      </c>
      <c r="C208" t="s">
        <v>736</v>
      </c>
      <c r="D208" t="s">
        <v>521</v>
      </c>
    </row>
    <row r="209" spans="2:4" x14ac:dyDescent="0.3">
      <c r="B209">
        <v>88098</v>
      </c>
      <c r="C209" t="s">
        <v>736</v>
      </c>
      <c r="D209" t="s">
        <v>216</v>
      </c>
    </row>
    <row r="210" spans="2:4" x14ac:dyDescent="0.3">
      <c r="B210">
        <v>88147</v>
      </c>
      <c r="C210" t="s">
        <v>736</v>
      </c>
      <c r="D210" t="s">
        <v>449</v>
      </c>
    </row>
    <row r="211" spans="2:4" x14ac:dyDescent="0.3">
      <c r="B211">
        <v>88149</v>
      </c>
      <c r="C211" t="s">
        <v>736</v>
      </c>
      <c r="D211" t="s">
        <v>431</v>
      </c>
    </row>
    <row r="212" spans="2:4" x14ac:dyDescent="0.3">
      <c r="B212">
        <v>62825</v>
      </c>
      <c r="C212" t="s">
        <v>736</v>
      </c>
      <c r="D212" t="s">
        <v>191</v>
      </c>
    </row>
    <row r="213" spans="2:4" x14ac:dyDescent="0.3">
      <c r="B213">
        <v>87235</v>
      </c>
      <c r="C213" t="s">
        <v>736</v>
      </c>
      <c r="D213" t="s">
        <v>191</v>
      </c>
    </row>
    <row r="214" spans="2:4" x14ac:dyDescent="0.3">
      <c r="B214">
        <v>62824</v>
      </c>
      <c r="C214" t="s">
        <v>736</v>
      </c>
      <c r="D214" t="s">
        <v>191</v>
      </c>
    </row>
    <row r="215" spans="2:4" x14ac:dyDescent="0.3">
      <c r="B215">
        <v>87238</v>
      </c>
      <c r="C215" t="s">
        <v>736</v>
      </c>
      <c r="D215" t="s">
        <v>191</v>
      </c>
    </row>
    <row r="216" spans="2:4" x14ac:dyDescent="0.3">
      <c r="B216">
        <v>89328</v>
      </c>
      <c r="C216" t="s">
        <v>736</v>
      </c>
      <c r="D216" t="s">
        <v>761</v>
      </c>
    </row>
    <row r="217" spans="2:4" x14ac:dyDescent="0.3">
      <c r="B217">
        <v>88196</v>
      </c>
      <c r="C217" t="s">
        <v>736</v>
      </c>
      <c r="D217" t="s">
        <v>738</v>
      </c>
    </row>
    <row r="218" spans="2:4" x14ac:dyDescent="0.3">
      <c r="B218">
        <v>88197</v>
      </c>
      <c r="C218" t="s">
        <v>736</v>
      </c>
      <c r="D218" t="s">
        <v>738</v>
      </c>
    </row>
    <row r="219" spans="2:4" x14ac:dyDescent="0.3">
      <c r="B219">
        <v>88198</v>
      </c>
      <c r="C219" t="s">
        <v>736</v>
      </c>
      <c r="D219" t="s">
        <v>738</v>
      </c>
    </row>
    <row r="220" spans="2:4" x14ac:dyDescent="0.3">
      <c r="B220">
        <v>88188</v>
      </c>
      <c r="C220" t="s">
        <v>736</v>
      </c>
      <c r="D220" t="s">
        <v>212</v>
      </c>
    </row>
    <row r="221" spans="2:4" x14ac:dyDescent="0.3">
      <c r="B221">
        <v>88189</v>
      </c>
      <c r="C221" t="s">
        <v>736</v>
      </c>
      <c r="D221" t="s">
        <v>212</v>
      </c>
    </row>
    <row r="222" spans="2:4" x14ac:dyDescent="0.3">
      <c r="B222">
        <v>88190</v>
      </c>
      <c r="C222" t="s">
        <v>736</v>
      </c>
      <c r="D222" t="s">
        <v>212</v>
      </c>
    </row>
    <row r="223" spans="2:4" x14ac:dyDescent="0.3">
      <c r="B223">
        <v>88206</v>
      </c>
      <c r="C223" t="s">
        <v>736</v>
      </c>
      <c r="D223" t="s">
        <v>342</v>
      </c>
    </row>
    <row r="224" spans="2:4" x14ac:dyDescent="0.3">
      <c r="B224">
        <v>88186</v>
      </c>
      <c r="C224" t="s">
        <v>736</v>
      </c>
      <c r="D224" t="s">
        <v>219</v>
      </c>
    </row>
    <row r="225" spans="2:4" x14ac:dyDescent="0.3">
      <c r="B225">
        <v>88191</v>
      </c>
      <c r="C225" t="s">
        <v>736</v>
      </c>
      <c r="D225" t="s">
        <v>219</v>
      </c>
    </row>
    <row r="226" spans="2:4" x14ac:dyDescent="0.3">
      <c r="B226">
        <v>88195</v>
      </c>
      <c r="C226" t="s">
        <v>736</v>
      </c>
      <c r="D226" t="s">
        <v>219</v>
      </c>
    </row>
    <row r="227" spans="2:4" x14ac:dyDescent="0.3">
      <c r="B227">
        <v>88150</v>
      </c>
      <c r="C227" t="s">
        <v>736</v>
      </c>
      <c r="D227" t="s">
        <v>120</v>
      </c>
    </row>
    <row r="228" spans="2:4" x14ac:dyDescent="0.3">
      <c r="B228">
        <v>88199</v>
      </c>
      <c r="C228" t="s">
        <v>736</v>
      </c>
      <c r="D228" t="s">
        <v>384</v>
      </c>
    </row>
    <row r="229" spans="2:4" x14ac:dyDescent="0.3">
      <c r="B229">
        <v>88200</v>
      </c>
      <c r="C229" t="s">
        <v>736</v>
      </c>
      <c r="D229" t="s">
        <v>384</v>
      </c>
    </row>
    <row r="230" spans="2:4" x14ac:dyDescent="0.3">
      <c r="B230">
        <v>88201</v>
      </c>
      <c r="C230" t="s">
        <v>736</v>
      </c>
      <c r="D230" t="s">
        <v>384</v>
      </c>
    </row>
    <row r="231" spans="2:4" x14ac:dyDescent="0.3">
      <c r="B231">
        <v>88146</v>
      </c>
      <c r="C231" t="s">
        <v>736</v>
      </c>
      <c r="D231" t="s">
        <v>228</v>
      </c>
    </row>
    <row r="232" spans="2:4" x14ac:dyDescent="0.3">
      <c r="B232">
        <v>88183</v>
      </c>
      <c r="C232" t="s">
        <v>736</v>
      </c>
      <c r="D232" t="s">
        <v>228</v>
      </c>
    </row>
    <row r="233" spans="2:4" x14ac:dyDescent="0.3">
      <c r="B233">
        <v>88171</v>
      </c>
      <c r="C233" t="s">
        <v>736</v>
      </c>
      <c r="D233" t="s">
        <v>228</v>
      </c>
    </row>
    <row r="234" spans="2:4" x14ac:dyDescent="0.3">
      <c r="B234">
        <v>89662</v>
      </c>
      <c r="C234" t="s">
        <v>736</v>
      </c>
      <c r="D234" t="s">
        <v>335</v>
      </c>
    </row>
    <row r="235" spans="2:4" x14ac:dyDescent="0.3">
      <c r="B235">
        <v>89663</v>
      </c>
      <c r="C235" t="s">
        <v>736</v>
      </c>
      <c r="D235" t="s">
        <v>762</v>
      </c>
    </row>
    <row r="236" spans="2:4" x14ac:dyDescent="0.3">
      <c r="B236">
        <v>89820</v>
      </c>
      <c r="C236" t="s">
        <v>736</v>
      </c>
      <c r="D236" t="s">
        <v>763</v>
      </c>
    </row>
    <row r="237" spans="2:4" x14ac:dyDescent="0.3">
      <c r="B237">
        <v>89961</v>
      </c>
      <c r="C237" t="s">
        <v>736</v>
      </c>
      <c r="D237" t="s">
        <v>360</v>
      </c>
    </row>
    <row r="238" spans="2:4" x14ac:dyDescent="0.3">
      <c r="B238">
        <v>89985</v>
      </c>
      <c r="C238" t="s">
        <v>736</v>
      </c>
      <c r="D238" t="s">
        <v>451</v>
      </c>
    </row>
    <row r="239" spans="2:4" x14ac:dyDescent="0.3">
      <c r="B239">
        <v>90321</v>
      </c>
      <c r="C239" t="s">
        <v>736</v>
      </c>
      <c r="D239" t="s">
        <v>585</v>
      </c>
    </row>
    <row r="240" spans="2:4" x14ac:dyDescent="0.3">
      <c r="B240">
        <v>90322</v>
      </c>
      <c r="C240" t="s">
        <v>736</v>
      </c>
      <c r="D240" t="s">
        <v>418</v>
      </c>
    </row>
    <row r="241" spans="2:4" x14ac:dyDescent="0.3">
      <c r="B241">
        <v>90346</v>
      </c>
      <c r="C241" t="s">
        <v>736</v>
      </c>
      <c r="D241" t="s">
        <v>764</v>
      </c>
    </row>
    <row r="242" spans="2:4" x14ac:dyDescent="0.3">
      <c r="B242">
        <v>90345</v>
      </c>
      <c r="C242" t="s">
        <v>736</v>
      </c>
      <c r="D242" t="s">
        <v>765</v>
      </c>
    </row>
    <row r="243" spans="2:4" x14ac:dyDescent="0.3">
      <c r="B243">
        <v>91132</v>
      </c>
      <c r="C243" t="s">
        <v>736</v>
      </c>
      <c r="D243" t="s">
        <v>519</v>
      </c>
    </row>
    <row r="244" spans="2:4" x14ac:dyDescent="0.3">
      <c r="B244">
        <v>91277</v>
      </c>
      <c r="C244" t="s">
        <v>736</v>
      </c>
      <c r="D244" t="s">
        <v>528</v>
      </c>
    </row>
    <row r="245" spans="2:4" x14ac:dyDescent="0.3">
      <c r="B245">
        <v>91378</v>
      </c>
      <c r="C245" t="s">
        <v>736</v>
      </c>
      <c r="D245" t="s">
        <v>452</v>
      </c>
    </row>
    <row r="246" spans="2:4" x14ac:dyDescent="0.3">
      <c r="B246">
        <v>91616</v>
      </c>
      <c r="C246" t="s">
        <v>736</v>
      </c>
      <c r="D246" t="s">
        <v>329</v>
      </c>
    </row>
    <row r="247" spans="2:4" x14ac:dyDescent="0.3">
      <c r="B247">
        <v>92235</v>
      </c>
      <c r="C247" t="s">
        <v>736</v>
      </c>
      <c r="D247" t="s">
        <v>551</v>
      </c>
    </row>
    <row r="248" spans="2:4" x14ac:dyDescent="0.3">
      <c r="B248">
        <v>92150</v>
      </c>
      <c r="C248" t="s">
        <v>736</v>
      </c>
      <c r="D248" t="s">
        <v>443</v>
      </c>
    </row>
    <row r="249" spans="2:4" x14ac:dyDescent="0.3">
      <c r="B249">
        <v>95328</v>
      </c>
      <c r="C249" t="s">
        <v>736</v>
      </c>
      <c r="D249" t="s">
        <v>346</v>
      </c>
    </row>
    <row r="250" spans="2:4" x14ac:dyDescent="0.3">
      <c r="B250">
        <v>95994</v>
      </c>
      <c r="C250" t="s">
        <v>736</v>
      </c>
      <c r="D250" t="s">
        <v>766</v>
      </c>
    </row>
    <row r="251" spans="2:4" x14ac:dyDescent="0.3">
      <c r="B251">
        <v>96003</v>
      </c>
      <c r="C251" t="s">
        <v>736</v>
      </c>
      <c r="D251" t="s">
        <v>535</v>
      </c>
    </row>
    <row r="252" spans="2:4" x14ac:dyDescent="0.3">
      <c r="B252">
        <v>96171</v>
      </c>
      <c r="C252" t="s">
        <v>736</v>
      </c>
      <c r="D252" t="s">
        <v>767</v>
      </c>
    </row>
    <row r="253" spans="2:4" x14ac:dyDescent="0.3">
      <c r="B253">
        <v>96379</v>
      </c>
      <c r="C253" t="s">
        <v>736</v>
      </c>
      <c r="D253" t="s">
        <v>768</v>
      </c>
    </row>
    <row r="254" spans="2:4" x14ac:dyDescent="0.3">
      <c r="B254">
        <v>96519</v>
      </c>
      <c r="C254" t="s">
        <v>736</v>
      </c>
      <c r="D254" t="s">
        <v>769</v>
      </c>
    </row>
    <row r="255" spans="2:4" x14ac:dyDescent="0.3">
      <c r="B255">
        <v>52107</v>
      </c>
      <c r="C255" t="s">
        <v>770</v>
      </c>
      <c r="D255" t="s">
        <v>345</v>
      </c>
    </row>
    <row r="256" spans="2:4" x14ac:dyDescent="0.3">
      <c r="B256">
        <v>97177</v>
      </c>
      <c r="C256" t="s">
        <v>736</v>
      </c>
      <c r="D256" t="s">
        <v>500</v>
      </c>
    </row>
    <row r="257" spans="2:4" x14ac:dyDescent="0.3">
      <c r="B257">
        <v>97694</v>
      </c>
      <c r="C257" t="s">
        <v>736</v>
      </c>
      <c r="D257" t="s">
        <v>771</v>
      </c>
    </row>
    <row r="258" spans="2:4" x14ac:dyDescent="0.3">
      <c r="B258">
        <v>97756</v>
      </c>
      <c r="C258" t="s">
        <v>736</v>
      </c>
      <c r="D258" t="s">
        <v>298</v>
      </c>
    </row>
    <row r="259" spans="2:4" x14ac:dyDescent="0.3">
      <c r="B259">
        <v>13002</v>
      </c>
      <c r="C259" t="s">
        <v>121</v>
      </c>
      <c r="D259" t="s">
        <v>124</v>
      </c>
    </row>
    <row r="260" spans="2:4" x14ac:dyDescent="0.3">
      <c r="B260">
        <v>97588</v>
      </c>
      <c r="C260" t="s">
        <v>736</v>
      </c>
      <c r="D260" t="s">
        <v>249</v>
      </c>
    </row>
    <row r="261" spans="2:4" x14ac:dyDescent="0.3">
      <c r="B261">
        <v>98185</v>
      </c>
      <c r="C261" t="s">
        <v>736</v>
      </c>
      <c r="D261" t="s">
        <v>303</v>
      </c>
    </row>
    <row r="262" spans="2:4" x14ac:dyDescent="0.3">
      <c r="B262">
        <v>13003</v>
      </c>
      <c r="C262" t="s">
        <v>121</v>
      </c>
      <c r="D262" t="s">
        <v>122</v>
      </c>
    </row>
    <row r="263" spans="2:4" x14ac:dyDescent="0.3">
      <c r="B263">
        <v>98395</v>
      </c>
      <c r="C263" t="s">
        <v>736</v>
      </c>
      <c r="D263" t="s">
        <v>298</v>
      </c>
    </row>
    <row r="264" spans="2:4" x14ac:dyDescent="0.3">
      <c r="B264">
        <v>99568</v>
      </c>
      <c r="C264" t="s">
        <v>736</v>
      </c>
      <c r="D264" t="s">
        <v>430</v>
      </c>
    </row>
    <row r="265" spans="2:4" x14ac:dyDescent="0.3">
      <c r="B265">
        <v>13016</v>
      </c>
      <c r="C265" t="s">
        <v>121</v>
      </c>
      <c r="D265" t="s">
        <v>120</v>
      </c>
    </row>
    <row r="266" spans="2:4" x14ac:dyDescent="0.3">
      <c r="B266">
        <v>99974</v>
      </c>
      <c r="C266" t="s">
        <v>736</v>
      </c>
      <c r="D266" t="s">
        <v>772</v>
      </c>
    </row>
    <row r="267" spans="2:4" x14ac:dyDescent="0.3">
      <c r="B267">
        <v>100635</v>
      </c>
      <c r="C267" t="s">
        <v>736</v>
      </c>
      <c r="D267" t="s">
        <v>380</v>
      </c>
    </row>
    <row r="268" spans="2:4" x14ac:dyDescent="0.3">
      <c r="B268">
        <v>100895</v>
      </c>
      <c r="C268" t="s">
        <v>736</v>
      </c>
      <c r="D268" t="s">
        <v>605</v>
      </c>
    </row>
    <row r="269" spans="2:4" x14ac:dyDescent="0.3">
      <c r="B269">
        <v>101092</v>
      </c>
      <c r="C269" t="s">
        <v>736</v>
      </c>
      <c r="D269" t="s">
        <v>337</v>
      </c>
    </row>
    <row r="270" spans="2:4" x14ac:dyDescent="0.3">
      <c r="B270">
        <v>102032</v>
      </c>
      <c r="C270" t="s">
        <v>736</v>
      </c>
      <c r="D270" t="s">
        <v>341</v>
      </c>
    </row>
    <row r="271" spans="2:4" x14ac:dyDescent="0.3">
      <c r="B271">
        <v>102380</v>
      </c>
      <c r="C271" t="s">
        <v>736</v>
      </c>
      <c r="D271" t="s">
        <v>252</v>
      </c>
    </row>
    <row r="272" spans="2:4" x14ac:dyDescent="0.3">
      <c r="B272">
        <v>102425</v>
      </c>
      <c r="C272" t="s">
        <v>736</v>
      </c>
      <c r="D272" t="s">
        <v>773</v>
      </c>
    </row>
    <row r="273" spans="2:4" x14ac:dyDescent="0.3">
      <c r="B273">
        <v>102605</v>
      </c>
      <c r="C273" t="s">
        <v>736</v>
      </c>
      <c r="D273" t="s">
        <v>774</v>
      </c>
    </row>
    <row r="274" spans="2:4" x14ac:dyDescent="0.3">
      <c r="B274">
        <v>102615</v>
      </c>
      <c r="C274" t="s">
        <v>736</v>
      </c>
      <c r="D274" t="s">
        <v>125</v>
      </c>
    </row>
    <row r="275" spans="2:4" x14ac:dyDescent="0.3">
      <c r="B275">
        <v>102731</v>
      </c>
      <c r="C275" t="s">
        <v>736</v>
      </c>
      <c r="D275" t="s">
        <v>480</v>
      </c>
    </row>
    <row r="276" spans="2:4" x14ac:dyDescent="0.3">
      <c r="B276">
        <v>102820</v>
      </c>
      <c r="C276" t="s">
        <v>736</v>
      </c>
      <c r="D276" t="s">
        <v>720</v>
      </c>
    </row>
    <row r="277" spans="2:4" x14ac:dyDescent="0.3">
      <c r="B277">
        <v>102859</v>
      </c>
      <c r="C277" t="s">
        <v>736</v>
      </c>
      <c r="D277" t="s">
        <v>323</v>
      </c>
    </row>
    <row r="278" spans="2:4" x14ac:dyDescent="0.3">
      <c r="B278">
        <v>89960</v>
      </c>
      <c r="C278" t="s">
        <v>736</v>
      </c>
      <c r="D278" t="s">
        <v>589</v>
      </c>
    </row>
    <row r="279" spans="2:4" x14ac:dyDescent="0.3">
      <c r="B279">
        <v>113005</v>
      </c>
      <c r="C279" t="s">
        <v>121</v>
      </c>
      <c r="D279" t="s">
        <v>443</v>
      </c>
    </row>
    <row r="280" spans="2:4" x14ac:dyDescent="0.3">
      <c r="B280">
        <v>103300</v>
      </c>
      <c r="C280" t="s">
        <v>736</v>
      </c>
      <c r="D280" t="s">
        <v>515</v>
      </c>
    </row>
    <row r="281" spans="2:4" x14ac:dyDescent="0.3">
      <c r="B281">
        <v>103106</v>
      </c>
      <c r="C281" t="s">
        <v>736</v>
      </c>
      <c r="D281" t="s">
        <v>126</v>
      </c>
    </row>
    <row r="282" spans="2:4" x14ac:dyDescent="0.3">
      <c r="B282">
        <v>13005</v>
      </c>
      <c r="C282" t="s">
        <v>121</v>
      </c>
      <c r="D282" t="s">
        <v>127</v>
      </c>
    </row>
    <row r="283" spans="2:4" x14ac:dyDescent="0.3">
      <c r="B283">
        <v>140298</v>
      </c>
      <c r="C283" t="s">
        <v>736</v>
      </c>
      <c r="D283" t="s">
        <v>611</v>
      </c>
    </row>
    <row r="284" spans="2:4" x14ac:dyDescent="0.3">
      <c r="B284">
        <v>13035</v>
      </c>
      <c r="C284" t="s">
        <v>121</v>
      </c>
      <c r="D284" t="s">
        <v>126</v>
      </c>
    </row>
    <row r="285" spans="2:4" x14ac:dyDescent="0.3">
      <c r="B285">
        <v>13036</v>
      </c>
      <c r="C285" t="s">
        <v>121</v>
      </c>
      <c r="D285" t="s">
        <v>125</v>
      </c>
    </row>
    <row r="286" spans="2:4" x14ac:dyDescent="0.3">
      <c r="B286">
        <v>99867</v>
      </c>
      <c r="C286" t="s">
        <v>736</v>
      </c>
      <c r="D286" t="s">
        <v>232</v>
      </c>
    </row>
    <row r="287" spans="2:4" x14ac:dyDescent="0.3">
      <c r="B287">
        <v>141671</v>
      </c>
      <c r="C287" t="s">
        <v>736</v>
      </c>
      <c r="D287" t="s">
        <v>775</v>
      </c>
    </row>
    <row r="288" spans="2:4" x14ac:dyDescent="0.3">
      <c r="B288">
        <v>13033</v>
      </c>
      <c r="C288" t="s">
        <v>121</v>
      </c>
      <c r="D288" t="s">
        <v>123</v>
      </c>
    </row>
    <row r="289" spans="2:4" x14ac:dyDescent="0.3">
      <c r="B289">
        <v>142936</v>
      </c>
      <c r="C289" t="s">
        <v>736</v>
      </c>
      <c r="D289" t="s">
        <v>580</v>
      </c>
    </row>
    <row r="290" spans="2:4" x14ac:dyDescent="0.3">
      <c r="B290">
        <v>294</v>
      </c>
      <c r="C290" t="s">
        <v>754</v>
      </c>
      <c r="D290" t="s">
        <v>476</v>
      </c>
    </row>
    <row r="291" spans="2:4" x14ac:dyDescent="0.3">
      <c r="B291">
        <v>156</v>
      </c>
      <c r="C291" t="s">
        <v>754</v>
      </c>
      <c r="D291" t="s">
        <v>527</v>
      </c>
    </row>
    <row r="292" spans="2:4" x14ac:dyDescent="0.3">
      <c r="B292">
        <v>1005</v>
      </c>
      <c r="C292" t="s">
        <v>754</v>
      </c>
      <c r="D292" t="s">
        <v>776</v>
      </c>
    </row>
    <row r="293" spans="2:4" x14ac:dyDescent="0.3">
      <c r="B293">
        <v>144004</v>
      </c>
      <c r="C293" t="s">
        <v>736</v>
      </c>
      <c r="D293" t="s">
        <v>777</v>
      </c>
    </row>
    <row r="294" spans="2:4" x14ac:dyDescent="0.3">
      <c r="B294">
        <v>143993</v>
      </c>
      <c r="C294" t="s">
        <v>736</v>
      </c>
      <c r="D294" t="s">
        <v>349</v>
      </c>
    </row>
    <row r="295" spans="2:4" x14ac:dyDescent="0.3">
      <c r="B295">
        <v>99810</v>
      </c>
      <c r="C295" t="s">
        <v>736</v>
      </c>
      <c r="D295" t="s">
        <v>540</v>
      </c>
    </row>
    <row r="296" spans="2:4" x14ac:dyDescent="0.3">
      <c r="B296">
        <v>144684</v>
      </c>
      <c r="C296" t="s">
        <v>736</v>
      </c>
      <c r="D296" t="s">
        <v>242</v>
      </c>
    </row>
    <row r="297" spans="2:4" x14ac:dyDescent="0.3">
      <c r="B297">
        <v>145193</v>
      </c>
      <c r="C297" t="s">
        <v>736</v>
      </c>
      <c r="D297" t="s">
        <v>169</v>
      </c>
    </row>
    <row r="298" spans="2:4" x14ac:dyDescent="0.3">
      <c r="B298">
        <v>145194</v>
      </c>
      <c r="C298" t="s">
        <v>736</v>
      </c>
      <c r="D298" t="s">
        <v>169</v>
      </c>
    </row>
    <row r="299" spans="2:4" x14ac:dyDescent="0.3">
      <c r="B299">
        <v>56427</v>
      </c>
      <c r="C299" t="s">
        <v>736</v>
      </c>
      <c r="D299" t="s">
        <v>169</v>
      </c>
    </row>
    <row r="300" spans="2:4" x14ac:dyDescent="0.3">
      <c r="B300">
        <v>146086</v>
      </c>
      <c r="C300" t="s">
        <v>736</v>
      </c>
      <c r="D300" t="s">
        <v>298</v>
      </c>
    </row>
    <row r="301" spans="2:4" x14ac:dyDescent="0.3">
      <c r="B301">
        <v>146085</v>
      </c>
      <c r="C301" t="s">
        <v>736</v>
      </c>
      <c r="D301" t="s">
        <v>298</v>
      </c>
    </row>
    <row r="302" spans="2:4" x14ac:dyDescent="0.3">
      <c r="B302">
        <v>146243</v>
      </c>
      <c r="C302" t="s">
        <v>736</v>
      </c>
      <c r="D302" t="s">
        <v>385</v>
      </c>
    </row>
    <row r="303" spans="2:4" x14ac:dyDescent="0.3">
      <c r="B303">
        <v>146816</v>
      </c>
      <c r="C303" t="s">
        <v>736</v>
      </c>
      <c r="D303" t="s">
        <v>487</v>
      </c>
    </row>
    <row r="304" spans="2:4" x14ac:dyDescent="0.3">
      <c r="B304">
        <v>148420</v>
      </c>
      <c r="C304" t="s">
        <v>736</v>
      </c>
      <c r="D304" t="s">
        <v>203</v>
      </c>
    </row>
    <row r="305" spans="2:4" x14ac:dyDescent="0.3">
      <c r="B305">
        <v>148495</v>
      </c>
      <c r="C305" t="s">
        <v>736</v>
      </c>
      <c r="D305" t="s">
        <v>368</v>
      </c>
    </row>
    <row r="306" spans="2:4" x14ac:dyDescent="0.3">
      <c r="B306">
        <v>148752</v>
      </c>
      <c r="C306" t="s">
        <v>736</v>
      </c>
      <c r="D306" t="s">
        <v>432</v>
      </c>
    </row>
    <row r="307" spans="2:4" x14ac:dyDescent="0.3">
      <c r="B307">
        <v>149039</v>
      </c>
      <c r="C307" t="s">
        <v>736</v>
      </c>
      <c r="D307" t="s">
        <v>474</v>
      </c>
    </row>
    <row r="308" spans="2:4" x14ac:dyDescent="0.3">
      <c r="B308">
        <v>149722</v>
      </c>
      <c r="C308" t="s">
        <v>736</v>
      </c>
      <c r="D308" t="s">
        <v>325</v>
      </c>
    </row>
    <row r="309" spans="2:4" x14ac:dyDescent="0.3">
      <c r="B309">
        <v>150122</v>
      </c>
      <c r="C309" t="s">
        <v>736</v>
      </c>
      <c r="D309" t="s">
        <v>298</v>
      </c>
    </row>
    <row r="310" spans="2:4" x14ac:dyDescent="0.3">
      <c r="B310">
        <v>150182</v>
      </c>
      <c r="C310" t="s">
        <v>736</v>
      </c>
      <c r="D310" t="s">
        <v>619</v>
      </c>
    </row>
    <row r="311" spans="2:4" x14ac:dyDescent="0.3">
      <c r="B311">
        <v>150249</v>
      </c>
      <c r="C311" t="s">
        <v>736</v>
      </c>
      <c r="D311" t="s">
        <v>358</v>
      </c>
    </row>
    <row r="312" spans="2:4" x14ac:dyDescent="0.3">
      <c r="B312">
        <v>150814</v>
      </c>
      <c r="C312" t="s">
        <v>736</v>
      </c>
      <c r="D312" t="s">
        <v>238</v>
      </c>
    </row>
    <row r="313" spans="2:4" x14ac:dyDescent="0.3">
      <c r="B313">
        <v>151291</v>
      </c>
      <c r="C313" t="s">
        <v>736</v>
      </c>
      <c r="D313" t="s">
        <v>396</v>
      </c>
    </row>
    <row r="314" spans="2:4" x14ac:dyDescent="0.3">
      <c r="B314">
        <v>151290</v>
      </c>
      <c r="C314" t="s">
        <v>736</v>
      </c>
      <c r="D314" t="s">
        <v>206</v>
      </c>
    </row>
    <row r="315" spans="2:4" x14ac:dyDescent="0.3">
      <c r="B315">
        <v>151394</v>
      </c>
      <c r="C315" t="s">
        <v>736</v>
      </c>
      <c r="D315" t="s">
        <v>626</v>
      </c>
    </row>
    <row r="316" spans="2:4" x14ac:dyDescent="0.3">
      <c r="B316">
        <v>151416</v>
      </c>
      <c r="C316" t="s">
        <v>736</v>
      </c>
      <c r="D316" t="s">
        <v>778</v>
      </c>
    </row>
    <row r="317" spans="2:4" x14ac:dyDescent="0.3">
      <c r="B317">
        <v>151549</v>
      </c>
      <c r="C317" t="s">
        <v>736</v>
      </c>
      <c r="D317" t="s">
        <v>779</v>
      </c>
    </row>
    <row r="318" spans="2:4" x14ac:dyDescent="0.3">
      <c r="B318">
        <v>151780</v>
      </c>
      <c r="C318" t="s">
        <v>736</v>
      </c>
      <c r="D318" t="s">
        <v>239</v>
      </c>
    </row>
    <row r="319" spans="2:4" x14ac:dyDescent="0.3">
      <c r="B319">
        <v>155002</v>
      </c>
      <c r="C319" t="s">
        <v>736</v>
      </c>
      <c r="D319" t="s">
        <v>759</v>
      </c>
    </row>
    <row r="320" spans="2:4" x14ac:dyDescent="0.3">
      <c r="B320">
        <v>155277</v>
      </c>
      <c r="C320" t="s">
        <v>736</v>
      </c>
      <c r="D320" t="s">
        <v>402</v>
      </c>
    </row>
    <row r="321" spans="2:4" x14ac:dyDescent="0.3">
      <c r="B321">
        <v>155433</v>
      </c>
      <c r="C321" t="s">
        <v>736</v>
      </c>
      <c r="D321" t="s">
        <v>433</v>
      </c>
    </row>
    <row r="322" spans="2:4" x14ac:dyDescent="0.3">
      <c r="B322">
        <v>155034</v>
      </c>
      <c r="C322" t="s">
        <v>736</v>
      </c>
      <c r="D322" t="s">
        <v>409</v>
      </c>
    </row>
    <row r="323" spans="2:4" x14ac:dyDescent="0.3">
      <c r="B323">
        <v>155675</v>
      </c>
      <c r="C323" t="s">
        <v>736</v>
      </c>
      <c r="D323" t="s">
        <v>780</v>
      </c>
    </row>
    <row r="324" spans="2:4" x14ac:dyDescent="0.3">
      <c r="B324">
        <v>155676</v>
      </c>
      <c r="C324" t="s">
        <v>736</v>
      </c>
      <c r="D324" t="s">
        <v>781</v>
      </c>
    </row>
    <row r="325" spans="2:4" x14ac:dyDescent="0.3">
      <c r="B325">
        <v>156325</v>
      </c>
      <c r="C325" t="s">
        <v>736</v>
      </c>
      <c r="D325" t="s">
        <v>483</v>
      </c>
    </row>
    <row r="326" spans="2:4" x14ac:dyDescent="0.3">
      <c r="B326">
        <v>156446</v>
      </c>
      <c r="C326" t="s">
        <v>736</v>
      </c>
      <c r="D326" t="s">
        <v>550</v>
      </c>
    </row>
    <row r="327" spans="2:4" x14ac:dyDescent="0.3">
      <c r="B327">
        <v>156995</v>
      </c>
      <c r="C327" t="s">
        <v>736</v>
      </c>
      <c r="D327" t="s">
        <v>394</v>
      </c>
    </row>
    <row r="328" spans="2:4" x14ac:dyDescent="0.3">
      <c r="B328">
        <v>156479</v>
      </c>
      <c r="C328" t="s">
        <v>736</v>
      </c>
      <c r="D328" t="s">
        <v>507</v>
      </c>
    </row>
    <row r="329" spans="2:4" x14ac:dyDescent="0.3">
      <c r="B329">
        <v>157564</v>
      </c>
      <c r="C329" t="s">
        <v>736</v>
      </c>
      <c r="D329" t="s">
        <v>218</v>
      </c>
    </row>
    <row r="330" spans="2:4" x14ac:dyDescent="0.3">
      <c r="B330">
        <v>157747</v>
      </c>
      <c r="C330" t="s">
        <v>736</v>
      </c>
      <c r="D330" t="s">
        <v>209</v>
      </c>
    </row>
    <row r="331" spans="2:4" x14ac:dyDescent="0.3">
      <c r="B331">
        <v>156126</v>
      </c>
      <c r="C331" t="s">
        <v>736</v>
      </c>
      <c r="D331" t="s">
        <v>190</v>
      </c>
    </row>
    <row r="332" spans="2:4" x14ac:dyDescent="0.3">
      <c r="B332">
        <v>158899</v>
      </c>
      <c r="C332" t="s">
        <v>736</v>
      </c>
      <c r="D332" t="s">
        <v>191</v>
      </c>
    </row>
    <row r="333" spans="2:4" x14ac:dyDescent="0.3">
      <c r="B333">
        <v>158015</v>
      </c>
      <c r="C333" t="s">
        <v>736</v>
      </c>
      <c r="D333" t="s">
        <v>782</v>
      </c>
    </row>
    <row r="334" spans="2:4" x14ac:dyDescent="0.3">
      <c r="B334">
        <v>161071</v>
      </c>
      <c r="C334" t="s">
        <v>736</v>
      </c>
      <c r="D334" t="s">
        <v>414</v>
      </c>
    </row>
    <row r="335" spans="2:4" x14ac:dyDescent="0.3">
      <c r="B335">
        <v>161407</v>
      </c>
      <c r="C335" t="s">
        <v>736</v>
      </c>
      <c r="D335" t="s">
        <v>574</v>
      </c>
    </row>
    <row r="336" spans="2:4" x14ac:dyDescent="0.3">
      <c r="B336">
        <v>161888</v>
      </c>
      <c r="C336" t="s">
        <v>736</v>
      </c>
      <c r="D336" t="s">
        <v>419</v>
      </c>
    </row>
    <row r="337" spans="2:4" x14ac:dyDescent="0.3">
      <c r="B337">
        <v>162912</v>
      </c>
      <c r="C337" t="s">
        <v>736</v>
      </c>
      <c r="D337" t="s">
        <v>602</v>
      </c>
    </row>
    <row r="338" spans="2:4" x14ac:dyDescent="0.3">
      <c r="B338">
        <v>162981</v>
      </c>
      <c r="C338" t="s">
        <v>736</v>
      </c>
      <c r="D338" t="s">
        <v>783</v>
      </c>
    </row>
    <row r="339" spans="2:4" x14ac:dyDescent="0.3">
      <c r="B339">
        <v>162563</v>
      </c>
      <c r="C339" t="s">
        <v>736</v>
      </c>
      <c r="D339" t="s">
        <v>784</v>
      </c>
    </row>
    <row r="340" spans="2:4" x14ac:dyDescent="0.3">
      <c r="B340">
        <v>162562</v>
      </c>
      <c r="C340" t="s">
        <v>736</v>
      </c>
      <c r="D340" t="s">
        <v>785</v>
      </c>
    </row>
    <row r="341" spans="2:4" x14ac:dyDescent="0.3">
      <c r="B341">
        <v>163537</v>
      </c>
      <c r="C341" t="s">
        <v>736</v>
      </c>
      <c r="D341" t="s">
        <v>320</v>
      </c>
    </row>
    <row r="342" spans="2:4" x14ac:dyDescent="0.3">
      <c r="B342">
        <v>163646</v>
      </c>
      <c r="C342" t="s">
        <v>736</v>
      </c>
      <c r="D342" t="s">
        <v>381</v>
      </c>
    </row>
    <row r="343" spans="2:4" x14ac:dyDescent="0.3">
      <c r="B343">
        <v>67568</v>
      </c>
      <c r="C343" t="s">
        <v>736</v>
      </c>
      <c r="D343" t="s">
        <v>482</v>
      </c>
    </row>
    <row r="344" spans="2:4" x14ac:dyDescent="0.3">
      <c r="B344">
        <v>349</v>
      </c>
      <c r="C344" t="s">
        <v>754</v>
      </c>
      <c r="D344" t="s">
        <v>190</v>
      </c>
    </row>
    <row r="345" spans="2:4" x14ac:dyDescent="0.3">
      <c r="B345">
        <v>156675</v>
      </c>
      <c r="C345" t="s">
        <v>736</v>
      </c>
      <c r="D345" t="s">
        <v>566</v>
      </c>
    </row>
    <row r="346" spans="2:4" x14ac:dyDescent="0.3">
      <c r="B346">
        <v>1010</v>
      </c>
      <c r="C346" t="s">
        <v>754</v>
      </c>
      <c r="D346" t="s">
        <v>271</v>
      </c>
    </row>
    <row r="347" spans="2:4" x14ac:dyDescent="0.3">
      <c r="B347">
        <v>1011</v>
      </c>
      <c r="C347" t="s">
        <v>754</v>
      </c>
      <c r="D347" t="s">
        <v>272</v>
      </c>
    </row>
    <row r="348" spans="2:4" x14ac:dyDescent="0.3">
      <c r="B348">
        <v>164277</v>
      </c>
      <c r="C348" t="s">
        <v>736</v>
      </c>
      <c r="D348" t="s">
        <v>217</v>
      </c>
    </row>
    <row r="349" spans="2:4" x14ac:dyDescent="0.3">
      <c r="B349">
        <v>164913</v>
      </c>
      <c r="C349" t="s">
        <v>736</v>
      </c>
      <c r="D349" t="s">
        <v>541</v>
      </c>
    </row>
    <row r="350" spans="2:4" x14ac:dyDescent="0.3">
      <c r="B350">
        <v>165603</v>
      </c>
      <c r="C350" t="s">
        <v>736</v>
      </c>
      <c r="D350" t="s">
        <v>440</v>
      </c>
    </row>
    <row r="351" spans="2:4" x14ac:dyDescent="0.3">
      <c r="B351">
        <v>166128</v>
      </c>
      <c r="C351" t="s">
        <v>736</v>
      </c>
      <c r="D351" t="s">
        <v>388</v>
      </c>
    </row>
    <row r="352" spans="2:4" x14ac:dyDescent="0.3">
      <c r="B352">
        <v>166257</v>
      </c>
      <c r="C352" t="s">
        <v>736</v>
      </c>
      <c r="D352" t="s">
        <v>622</v>
      </c>
    </row>
    <row r="353" spans="2:4" x14ac:dyDescent="0.3">
      <c r="B353">
        <v>166374</v>
      </c>
      <c r="C353" t="s">
        <v>736</v>
      </c>
      <c r="D353" t="s">
        <v>383</v>
      </c>
    </row>
    <row r="354" spans="2:4" x14ac:dyDescent="0.3">
      <c r="B354">
        <v>166464</v>
      </c>
      <c r="C354" t="s">
        <v>736</v>
      </c>
      <c r="D354" t="s">
        <v>390</v>
      </c>
    </row>
    <row r="355" spans="2:4" x14ac:dyDescent="0.3">
      <c r="B355">
        <v>156113</v>
      </c>
      <c r="C355" t="s">
        <v>736</v>
      </c>
      <c r="D355" t="s">
        <v>539</v>
      </c>
    </row>
    <row r="356" spans="2:4" x14ac:dyDescent="0.3">
      <c r="B356">
        <v>167164</v>
      </c>
      <c r="C356" t="s">
        <v>736</v>
      </c>
      <c r="D356" t="s">
        <v>462</v>
      </c>
    </row>
    <row r="357" spans="2:4" x14ac:dyDescent="0.3">
      <c r="B357">
        <v>167131</v>
      </c>
      <c r="C357" t="s">
        <v>736</v>
      </c>
      <c r="D357" t="s">
        <v>568</v>
      </c>
    </row>
    <row r="358" spans="2:4" x14ac:dyDescent="0.3">
      <c r="B358">
        <v>24</v>
      </c>
      <c r="C358" t="s">
        <v>754</v>
      </c>
      <c r="D358" t="s">
        <v>250</v>
      </c>
    </row>
    <row r="359" spans="2:4" x14ac:dyDescent="0.3">
      <c r="B359">
        <v>415</v>
      </c>
      <c r="C359" t="s">
        <v>754</v>
      </c>
      <c r="D359" t="s">
        <v>390</v>
      </c>
    </row>
    <row r="360" spans="2:4" x14ac:dyDescent="0.3">
      <c r="B360">
        <v>168392</v>
      </c>
      <c r="C360" t="s">
        <v>736</v>
      </c>
      <c r="D360" t="s">
        <v>494</v>
      </c>
    </row>
    <row r="361" spans="2:4" x14ac:dyDescent="0.3">
      <c r="B361">
        <v>4</v>
      </c>
      <c r="C361" t="s">
        <v>754</v>
      </c>
      <c r="D361" t="s">
        <v>169</v>
      </c>
    </row>
    <row r="362" spans="2:4" x14ac:dyDescent="0.3">
      <c r="B362">
        <v>168613</v>
      </c>
      <c r="C362" t="s">
        <v>736</v>
      </c>
      <c r="D362" t="s">
        <v>555</v>
      </c>
    </row>
    <row r="363" spans="2:4" x14ac:dyDescent="0.3">
      <c r="B363">
        <v>168732</v>
      </c>
      <c r="C363" t="s">
        <v>736</v>
      </c>
      <c r="D363" t="s">
        <v>469</v>
      </c>
    </row>
    <row r="364" spans="2:4" x14ac:dyDescent="0.3">
      <c r="B364">
        <v>169060</v>
      </c>
      <c r="C364" t="s">
        <v>736</v>
      </c>
      <c r="D364" t="s">
        <v>503</v>
      </c>
    </row>
    <row r="365" spans="2:4" x14ac:dyDescent="0.3">
      <c r="B365">
        <v>272</v>
      </c>
      <c r="C365" t="s">
        <v>754</v>
      </c>
      <c r="D365" t="s">
        <v>252</v>
      </c>
    </row>
    <row r="366" spans="2:4" x14ac:dyDescent="0.3">
      <c r="B366">
        <v>61</v>
      </c>
      <c r="C366" t="s">
        <v>754</v>
      </c>
      <c r="D366" t="s">
        <v>357</v>
      </c>
    </row>
    <row r="367" spans="2:4" x14ac:dyDescent="0.3">
      <c r="B367">
        <v>156674</v>
      </c>
      <c r="C367" t="s">
        <v>736</v>
      </c>
      <c r="D367" t="s">
        <v>468</v>
      </c>
    </row>
    <row r="368" spans="2:4" x14ac:dyDescent="0.3">
      <c r="B368">
        <v>169411</v>
      </c>
      <c r="C368" t="s">
        <v>736</v>
      </c>
      <c r="D368" t="s">
        <v>498</v>
      </c>
    </row>
    <row r="369" spans="2:4" x14ac:dyDescent="0.3">
      <c r="B369">
        <v>199</v>
      </c>
      <c r="C369" t="s">
        <v>754</v>
      </c>
      <c r="D369" t="s">
        <v>462</v>
      </c>
    </row>
    <row r="370" spans="2:4" x14ac:dyDescent="0.3">
      <c r="B370">
        <v>185</v>
      </c>
      <c r="C370" t="s">
        <v>754</v>
      </c>
      <c r="D370" t="s">
        <v>342</v>
      </c>
    </row>
    <row r="371" spans="2:4" x14ac:dyDescent="0.3">
      <c r="B371">
        <v>136</v>
      </c>
      <c r="C371" t="s">
        <v>754</v>
      </c>
      <c r="D371" t="s">
        <v>491</v>
      </c>
    </row>
    <row r="372" spans="2:4" x14ac:dyDescent="0.3">
      <c r="B372">
        <v>1012</v>
      </c>
      <c r="C372" t="s">
        <v>754</v>
      </c>
      <c r="D372" t="s">
        <v>279</v>
      </c>
    </row>
    <row r="373" spans="2:4" x14ac:dyDescent="0.3">
      <c r="B373">
        <v>87</v>
      </c>
      <c r="C373" t="s">
        <v>754</v>
      </c>
      <c r="D373" t="s">
        <v>254</v>
      </c>
    </row>
    <row r="374" spans="2:4" x14ac:dyDescent="0.3">
      <c r="B374">
        <v>1007</v>
      </c>
      <c r="C374" t="s">
        <v>754</v>
      </c>
      <c r="D374" t="s">
        <v>273</v>
      </c>
    </row>
    <row r="375" spans="2:4" x14ac:dyDescent="0.3">
      <c r="B375">
        <v>193971</v>
      </c>
      <c r="C375" t="s">
        <v>736</v>
      </c>
      <c r="D375" t="s">
        <v>300</v>
      </c>
    </row>
    <row r="376" spans="2:4" x14ac:dyDescent="0.3">
      <c r="B376">
        <v>194044</v>
      </c>
      <c r="C376" t="s">
        <v>736</v>
      </c>
      <c r="D376" t="s">
        <v>514</v>
      </c>
    </row>
    <row r="377" spans="2:4" x14ac:dyDescent="0.3">
      <c r="B377">
        <v>438</v>
      </c>
      <c r="C377" t="s">
        <v>754</v>
      </c>
      <c r="D377" t="s">
        <v>613</v>
      </c>
    </row>
    <row r="378" spans="2:4" x14ac:dyDescent="0.3">
      <c r="B378">
        <v>196116</v>
      </c>
      <c r="C378" t="s">
        <v>736</v>
      </c>
      <c r="D378" t="s">
        <v>531</v>
      </c>
    </row>
    <row r="379" spans="2:4" x14ac:dyDescent="0.3">
      <c r="B379">
        <v>106</v>
      </c>
      <c r="C379" t="s">
        <v>754</v>
      </c>
      <c r="D379" t="s">
        <v>342</v>
      </c>
    </row>
    <row r="380" spans="2:4" x14ac:dyDescent="0.3">
      <c r="B380">
        <v>202343</v>
      </c>
      <c r="C380" t="s">
        <v>736</v>
      </c>
      <c r="D380" t="s">
        <v>449</v>
      </c>
    </row>
    <row r="381" spans="2:4" x14ac:dyDescent="0.3">
      <c r="B381">
        <v>202826</v>
      </c>
      <c r="C381" t="s">
        <v>736</v>
      </c>
      <c r="D381" t="s">
        <v>522</v>
      </c>
    </row>
    <row r="382" spans="2:4" x14ac:dyDescent="0.3">
      <c r="B382">
        <v>232</v>
      </c>
      <c r="C382" t="s">
        <v>754</v>
      </c>
      <c r="D382" t="s">
        <v>242</v>
      </c>
    </row>
    <row r="383" spans="2:4" x14ac:dyDescent="0.3">
      <c r="B383">
        <v>203034</v>
      </c>
      <c r="C383" t="s">
        <v>736</v>
      </c>
      <c r="D383" t="s">
        <v>479</v>
      </c>
    </row>
    <row r="384" spans="2:4" x14ac:dyDescent="0.3">
      <c r="B384">
        <v>11331</v>
      </c>
      <c r="C384" t="s">
        <v>770</v>
      </c>
      <c r="D384" t="s">
        <v>191</v>
      </c>
    </row>
    <row r="385" spans="2:4" x14ac:dyDescent="0.3">
      <c r="B385">
        <v>206014</v>
      </c>
      <c r="C385" t="s">
        <v>736</v>
      </c>
      <c r="D385" t="s">
        <v>505</v>
      </c>
    </row>
    <row r="386" spans="2:4" x14ac:dyDescent="0.3">
      <c r="B386">
        <v>37515</v>
      </c>
      <c r="C386" t="s">
        <v>770</v>
      </c>
      <c r="D386" t="s">
        <v>245</v>
      </c>
    </row>
    <row r="387" spans="2:4" x14ac:dyDescent="0.3">
      <c r="B387">
        <v>156126</v>
      </c>
      <c r="C387" t="s">
        <v>770</v>
      </c>
      <c r="D387" t="s">
        <v>190</v>
      </c>
    </row>
    <row r="388" spans="2:4" x14ac:dyDescent="0.3">
      <c r="B388">
        <v>193971</v>
      </c>
      <c r="C388" t="s">
        <v>770</v>
      </c>
      <c r="D388" t="s">
        <v>300</v>
      </c>
    </row>
    <row r="389" spans="2:4" x14ac:dyDescent="0.3">
      <c r="B389">
        <v>230871</v>
      </c>
      <c r="C389" t="s">
        <v>770</v>
      </c>
      <c r="D389" t="s">
        <v>603</v>
      </c>
    </row>
    <row r="390" spans="2:4" x14ac:dyDescent="0.3">
      <c r="B390">
        <v>1005</v>
      </c>
      <c r="C390" t="s">
        <v>770</v>
      </c>
      <c r="D390" t="s">
        <v>776</v>
      </c>
    </row>
    <row r="391" spans="2:4" x14ac:dyDescent="0.3">
      <c r="B391">
        <v>169411</v>
      </c>
      <c r="C391" t="s">
        <v>770</v>
      </c>
      <c r="D391" t="s">
        <v>498</v>
      </c>
    </row>
    <row r="392" spans="2:4" x14ac:dyDescent="0.3">
      <c r="B392">
        <v>37512</v>
      </c>
      <c r="C392" t="s">
        <v>770</v>
      </c>
      <c r="D392" t="s">
        <v>228</v>
      </c>
    </row>
    <row r="393" spans="2:4" x14ac:dyDescent="0.3">
      <c r="B393">
        <v>1007</v>
      </c>
      <c r="C393" t="s">
        <v>770</v>
      </c>
      <c r="D393" t="s">
        <v>273</v>
      </c>
    </row>
    <row r="394" spans="2:4" x14ac:dyDescent="0.3">
      <c r="B394">
        <v>5179</v>
      </c>
      <c r="C394" t="s">
        <v>770</v>
      </c>
      <c r="D394" t="s">
        <v>268</v>
      </c>
    </row>
    <row r="395" spans="2:4" x14ac:dyDescent="0.3">
      <c r="B395">
        <v>68</v>
      </c>
      <c r="C395" t="s">
        <v>754</v>
      </c>
      <c r="D395" t="s">
        <v>377</v>
      </c>
    </row>
    <row r="396" spans="2:4" x14ac:dyDescent="0.3">
      <c r="B396">
        <v>444</v>
      </c>
      <c r="C396" t="s">
        <v>754</v>
      </c>
      <c r="D396" t="s">
        <v>522</v>
      </c>
    </row>
    <row r="397" spans="2:4" x14ac:dyDescent="0.3">
      <c r="B397">
        <v>207194</v>
      </c>
      <c r="C397" t="s">
        <v>736</v>
      </c>
      <c r="D397" t="s">
        <v>594</v>
      </c>
    </row>
    <row r="398" spans="2:4" x14ac:dyDescent="0.3">
      <c r="B398">
        <v>207319</v>
      </c>
      <c r="C398" t="s">
        <v>736</v>
      </c>
      <c r="D398" t="s">
        <v>319</v>
      </c>
    </row>
    <row r="399" spans="2:4" x14ac:dyDescent="0.3">
      <c r="B399">
        <v>207318</v>
      </c>
      <c r="C399" t="s">
        <v>736</v>
      </c>
      <c r="D399" t="s">
        <v>317</v>
      </c>
    </row>
    <row r="400" spans="2:4" x14ac:dyDescent="0.3">
      <c r="B400">
        <v>207317</v>
      </c>
      <c r="C400" t="s">
        <v>736</v>
      </c>
      <c r="D400" t="s">
        <v>786</v>
      </c>
    </row>
    <row r="401" spans="2:4" x14ac:dyDescent="0.3">
      <c r="B401">
        <v>207316</v>
      </c>
      <c r="C401" t="s">
        <v>736</v>
      </c>
      <c r="D401" t="s">
        <v>787</v>
      </c>
    </row>
    <row r="402" spans="2:4" x14ac:dyDescent="0.3">
      <c r="B402">
        <v>110</v>
      </c>
      <c r="C402" t="s">
        <v>754</v>
      </c>
      <c r="D402" t="s">
        <v>449</v>
      </c>
    </row>
    <row r="403" spans="2:4" x14ac:dyDescent="0.3">
      <c r="B403">
        <v>285945</v>
      </c>
      <c r="C403" t="s">
        <v>770</v>
      </c>
      <c r="D403" t="s">
        <v>618</v>
      </c>
    </row>
    <row r="404" spans="2:4" x14ac:dyDescent="0.3">
      <c r="B404">
        <v>236</v>
      </c>
      <c r="C404" t="s">
        <v>754</v>
      </c>
      <c r="D404" t="s">
        <v>124</v>
      </c>
    </row>
    <row r="405" spans="2:4" x14ac:dyDescent="0.3">
      <c r="B405">
        <v>211419</v>
      </c>
      <c r="C405" t="s">
        <v>736</v>
      </c>
      <c r="D405" t="s">
        <v>297</v>
      </c>
    </row>
    <row r="406" spans="2:4" x14ac:dyDescent="0.3">
      <c r="B406">
        <v>211551</v>
      </c>
      <c r="C406" t="s">
        <v>736</v>
      </c>
      <c r="D406" t="s">
        <v>333</v>
      </c>
    </row>
    <row r="407" spans="2:4" x14ac:dyDescent="0.3">
      <c r="B407">
        <v>211556</v>
      </c>
      <c r="C407" t="s">
        <v>736</v>
      </c>
      <c r="D407" t="s">
        <v>446</v>
      </c>
    </row>
    <row r="408" spans="2:4" x14ac:dyDescent="0.3">
      <c r="B408">
        <v>1019</v>
      </c>
      <c r="C408" t="s">
        <v>754</v>
      </c>
      <c r="D408" t="s">
        <v>275</v>
      </c>
    </row>
    <row r="409" spans="2:4" x14ac:dyDescent="0.3">
      <c r="B409">
        <v>22</v>
      </c>
      <c r="C409" t="s">
        <v>754</v>
      </c>
      <c r="D409" t="s">
        <v>241</v>
      </c>
    </row>
    <row r="410" spans="2:4" x14ac:dyDescent="0.3">
      <c r="B410">
        <v>53</v>
      </c>
      <c r="C410" t="s">
        <v>754</v>
      </c>
      <c r="D410" t="s">
        <v>330</v>
      </c>
    </row>
    <row r="411" spans="2:4" x14ac:dyDescent="0.3">
      <c r="B411">
        <v>54</v>
      </c>
      <c r="C411" t="s">
        <v>754</v>
      </c>
      <c r="D411" t="s">
        <v>334</v>
      </c>
    </row>
    <row r="412" spans="2:4" x14ac:dyDescent="0.3">
      <c r="B412">
        <v>7</v>
      </c>
      <c r="C412" t="s">
        <v>754</v>
      </c>
      <c r="D412" t="s">
        <v>200</v>
      </c>
    </row>
    <row r="413" spans="2:4" x14ac:dyDescent="0.3">
      <c r="B413">
        <v>5</v>
      </c>
      <c r="C413" t="s">
        <v>754</v>
      </c>
      <c r="D413" t="s">
        <v>191</v>
      </c>
    </row>
    <row r="414" spans="2:4" x14ac:dyDescent="0.3">
      <c r="B414">
        <v>214419</v>
      </c>
      <c r="C414" t="s">
        <v>736</v>
      </c>
      <c r="D414" t="s">
        <v>415</v>
      </c>
    </row>
    <row r="415" spans="2:4" x14ac:dyDescent="0.3">
      <c r="B415">
        <v>214492</v>
      </c>
      <c r="C415" t="s">
        <v>736</v>
      </c>
      <c r="D415" t="s">
        <v>615</v>
      </c>
    </row>
    <row r="416" spans="2:4" x14ac:dyDescent="0.3">
      <c r="B416">
        <v>115</v>
      </c>
      <c r="C416" t="s">
        <v>754</v>
      </c>
      <c r="D416" t="s">
        <v>456</v>
      </c>
    </row>
    <row r="417" spans="2:4" x14ac:dyDescent="0.3">
      <c r="B417">
        <v>214557</v>
      </c>
      <c r="C417" t="s">
        <v>736</v>
      </c>
      <c r="D417" t="s">
        <v>564</v>
      </c>
    </row>
    <row r="418" spans="2:4" x14ac:dyDescent="0.3">
      <c r="B418">
        <v>215115</v>
      </c>
      <c r="C418" t="s">
        <v>736</v>
      </c>
      <c r="D418" t="s">
        <v>543</v>
      </c>
    </row>
    <row r="419" spans="2:4" x14ac:dyDescent="0.3">
      <c r="B419">
        <v>215511</v>
      </c>
      <c r="C419" t="s">
        <v>736</v>
      </c>
      <c r="D419" t="s">
        <v>309</v>
      </c>
    </row>
    <row r="420" spans="2:4" x14ac:dyDescent="0.3">
      <c r="B420">
        <v>215114</v>
      </c>
      <c r="C420" t="s">
        <v>736</v>
      </c>
      <c r="D420" t="s">
        <v>472</v>
      </c>
    </row>
    <row r="421" spans="2:4" x14ac:dyDescent="0.3">
      <c r="B421">
        <v>38</v>
      </c>
      <c r="C421" t="s">
        <v>754</v>
      </c>
      <c r="D421" t="s">
        <v>287</v>
      </c>
    </row>
    <row r="422" spans="2:4" x14ac:dyDescent="0.3">
      <c r="B422">
        <v>216882</v>
      </c>
      <c r="C422" t="s">
        <v>736</v>
      </c>
      <c r="D422" t="s">
        <v>285</v>
      </c>
    </row>
    <row r="423" spans="2:4" x14ac:dyDescent="0.3">
      <c r="B423">
        <v>432</v>
      </c>
      <c r="C423" t="s">
        <v>754</v>
      </c>
      <c r="D423" t="s">
        <v>564</v>
      </c>
    </row>
    <row r="424" spans="2:4" x14ac:dyDescent="0.3">
      <c r="B424">
        <v>107</v>
      </c>
      <c r="C424" t="s">
        <v>754</v>
      </c>
      <c r="D424" t="s">
        <v>345</v>
      </c>
    </row>
    <row r="425" spans="2:4" x14ac:dyDescent="0.3">
      <c r="B425">
        <v>218268</v>
      </c>
      <c r="C425" t="s">
        <v>736</v>
      </c>
      <c r="D425" t="s">
        <v>439</v>
      </c>
    </row>
    <row r="426" spans="2:4" x14ac:dyDescent="0.3">
      <c r="B426">
        <v>47</v>
      </c>
      <c r="C426" t="s">
        <v>754</v>
      </c>
      <c r="D426" t="s">
        <v>309</v>
      </c>
    </row>
    <row r="427" spans="2:4" x14ac:dyDescent="0.3">
      <c r="B427">
        <v>101</v>
      </c>
      <c r="C427" t="s">
        <v>754</v>
      </c>
      <c r="D427" t="s">
        <v>431</v>
      </c>
    </row>
    <row r="428" spans="2:4" x14ac:dyDescent="0.3">
      <c r="B428">
        <v>31</v>
      </c>
      <c r="C428" t="s">
        <v>754</v>
      </c>
      <c r="D428" t="s">
        <v>274</v>
      </c>
    </row>
    <row r="429" spans="2:4" x14ac:dyDescent="0.3">
      <c r="B429">
        <v>127</v>
      </c>
      <c r="C429" t="s">
        <v>754</v>
      </c>
      <c r="D429" t="s">
        <v>429</v>
      </c>
    </row>
    <row r="430" spans="2:4" x14ac:dyDescent="0.3">
      <c r="B430">
        <v>74</v>
      </c>
      <c r="C430" t="s">
        <v>754</v>
      </c>
      <c r="D430" t="s">
        <v>388</v>
      </c>
    </row>
    <row r="431" spans="2:4" x14ac:dyDescent="0.3">
      <c r="B431">
        <v>156482</v>
      </c>
      <c r="C431" t="s">
        <v>736</v>
      </c>
      <c r="D431" t="s">
        <v>511</v>
      </c>
    </row>
    <row r="432" spans="2:4" x14ac:dyDescent="0.3">
      <c r="B432">
        <v>156115</v>
      </c>
      <c r="C432" t="s">
        <v>736</v>
      </c>
      <c r="D432" t="s">
        <v>420</v>
      </c>
    </row>
    <row r="433" spans="2:4" x14ac:dyDescent="0.3">
      <c r="B433">
        <v>307</v>
      </c>
      <c r="C433" t="s">
        <v>754</v>
      </c>
      <c r="D433" t="s">
        <v>577</v>
      </c>
    </row>
    <row r="434" spans="2:4" x14ac:dyDescent="0.3">
      <c r="B434">
        <v>374</v>
      </c>
      <c r="C434" t="s">
        <v>754</v>
      </c>
      <c r="D434" t="s">
        <v>574</v>
      </c>
    </row>
    <row r="435" spans="2:4" x14ac:dyDescent="0.3">
      <c r="B435">
        <v>379</v>
      </c>
      <c r="C435" t="s">
        <v>754</v>
      </c>
      <c r="D435" t="s">
        <v>592</v>
      </c>
    </row>
    <row r="436" spans="2:4" x14ac:dyDescent="0.3">
      <c r="B436">
        <v>223</v>
      </c>
      <c r="C436" t="s">
        <v>754</v>
      </c>
      <c r="D436" t="s">
        <v>346</v>
      </c>
    </row>
    <row r="437" spans="2:4" x14ac:dyDescent="0.3">
      <c r="B437">
        <v>462</v>
      </c>
      <c r="C437" t="s">
        <v>754</v>
      </c>
      <c r="D437" t="s">
        <v>398</v>
      </c>
    </row>
    <row r="438" spans="2:4" x14ac:dyDescent="0.3">
      <c r="B438">
        <v>29</v>
      </c>
      <c r="C438" t="s">
        <v>754</v>
      </c>
      <c r="D438" t="s">
        <v>266</v>
      </c>
    </row>
    <row r="439" spans="2:4" x14ac:dyDescent="0.3">
      <c r="B439">
        <v>222210</v>
      </c>
      <c r="C439" t="s">
        <v>736</v>
      </c>
      <c r="D439" t="s">
        <v>306</v>
      </c>
    </row>
    <row r="440" spans="2:4" x14ac:dyDescent="0.3">
      <c r="B440">
        <v>10939</v>
      </c>
      <c r="C440" t="s">
        <v>770</v>
      </c>
      <c r="D440" t="s">
        <v>169</v>
      </c>
    </row>
    <row r="441" spans="2:4" x14ac:dyDescent="0.3">
      <c r="B441">
        <v>156481</v>
      </c>
      <c r="C441" t="s">
        <v>736</v>
      </c>
      <c r="D441" t="s">
        <v>788</v>
      </c>
    </row>
    <row r="442" spans="2:4" x14ac:dyDescent="0.3">
      <c r="B442">
        <v>483</v>
      </c>
      <c r="C442" t="s">
        <v>754</v>
      </c>
      <c r="D442" t="s">
        <v>401</v>
      </c>
    </row>
    <row r="443" spans="2:4" x14ac:dyDescent="0.3">
      <c r="B443">
        <v>151</v>
      </c>
      <c r="C443" t="s">
        <v>754</v>
      </c>
      <c r="D443" t="s">
        <v>517</v>
      </c>
    </row>
    <row r="444" spans="2:4" x14ac:dyDescent="0.3">
      <c r="B444">
        <v>280</v>
      </c>
      <c r="C444" t="s">
        <v>754</v>
      </c>
      <c r="D444" t="s">
        <v>580</v>
      </c>
    </row>
    <row r="445" spans="2:4" x14ac:dyDescent="0.3">
      <c r="B445">
        <v>328</v>
      </c>
      <c r="C445" t="s">
        <v>754</v>
      </c>
      <c r="D445" t="s">
        <v>350</v>
      </c>
    </row>
    <row r="446" spans="2:4" x14ac:dyDescent="0.3">
      <c r="B446">
        <v>153</v>
      </c>
      <c r="C446" t="s">
        <v>754</v>
      </c>
      <c r="D446" t="s">
        <v>321</v>
      </c>
    </row>
    <row r="447" spans="2:4" x14ac:dyDescent="0.3">
      <c r="B447">
        <v>78993</v>
      </c>
      <c r="C447" t="s">
        <v>770</v>
      </c>
      <c r="D447" t="s">
        <v>456</v>
      </c>
    </row>
    <row r="448" spans="2:4" x14ac:dyDescent="0.3">
      <c r="B448">
        <v>222827</v>
      </c>
      <c r="C448" t="s">
        <v>736</v>
      </c>
      <c r="D448" t="s">
        <v>128</v>
      </c>
    </row>
    <row r="449" spans="2:4" x14ac:dyDescent="0.3">
      <c r="B449">
        <v>301</v>
      </c>
      <c r="C449" t="s">
        <v>754</v>
      </c>
      <c r="D449" t="s">
        <v>440</v>
      </c>
    </row>
    <row r="450" spans="2:4" x14ac:dyDescent="0.3">
      <c r="B450">
        <v>224023</v>
      </c>
      <c r="C450" t="s">
        <v>736</v>
      </c>
      <c r="D450" t="s">
        <v>428</v>
      </c>
    </row>
    <row r="451" spans="2:4" x14ac:dyDescent="0.3">
      <c r="B451">
        <v>362</v>
      </c>
      <c r="C451" t="s">
        <v>754</v>
      </c>
      <c r="D451" t="s">
        <v>209</v>
      </c>
    </row>
    <row r="452" spans="2:4" x14ac:dyDescent="0.3">
      <c r="B452">
        <v>445</v>
      </c>
      <c r="C452" t="s">
        <v>754</v>
      </c>
      <c r="D452" t="s">
        <v>526</v>
      </c>
    </row>
    <row r="453" spans="2:4" x14ac:dyDescent="0.3">
      <c r="B453">
        <v>224127</v>
      </c>
      <c r="C453" t="s">
        <v>736</v>
      </c>
      <c r="D453" t="s">
        <v>212</v>
      </c>
    </row>
    <row r="454" spans="2:4" x14ac:dyDescent="0.3">
      <c r="B454">
        <v>140</v>
      </c>
      <c r="C454" t="s">
        <v>754</v>
      </c>
      <c r="D454" t="s">
        <v>499</v>
      </c>
    </row>
    <row r="455" spans="2:4" x14ac:dyDescent="0.3">
      <c r="B455">
        <v>501</v>
      </c>
      <c r="C455" t="s">
        <v>754</v>
      </c>
      <c r="D455" t="s">
        <v>586</v>
      </c>
    </row>
    <row r="456" spans="2:4" x14ac:dyDescent="0.3">
      <c r="B456">
        <v>225831</v>
      </c>
      <c r="C456" t="s">
        <v>736</v>
      </c>
      <c r="D456" t="s">
        <v>445</v>
      </c>
    </row>
    <row r="457" spans="2:4" x14ac:dyDescent="0.3">
      <c r="B457">
        <v>226001</v>
      </c>
      <c r="C457" t="s">
        <v>736</v>
      </c>
      <c r="D457" t="s">
        <v>544</v>
      </c>
    </row>
    <row r="458" spans="2:4" x14ac:dyDescent="0.3">
      <c r="B458">
        <v>226397</v>
      </c>
      <c r="C458" t="s">
        <v>736</v>
      </c>
      <c r="D458" t="s">
        <v>429</v>
      </c>
    </row>
    <row r="459" spans="2:4" x14ac:dyDescent="0.3">
      <c r="B459">
        <v>226653</v>
      </c>
      <c r="C459" t="s">
        <v>736</v>
      </c>
      <c r="D459" t="s">
        <v>591</v>
      </c>
    </row>
    <row r="460" spans="2:4" x14ac:dyDescent="0.3">
      <c r="B460">
        <v>226738</v>
      </c>
      <c r="C460" t="s">
        <v>736</v>
      </c>
      <c r="D460" t="s">
        <v>311</v>
      </c>
    </row>
    <row r="461" spans="2:4" x14ac:dyDescent="0.3">
      <c r="B461">
        <v>226739</v>
      </c>
      <c r="C461" t="s">
        <v>736</v>
      </c>
      <c r="D461" t="s">
        <v>617</v>
      </c>
    </row>
    <row r="462" spans="2:4" x14ac:dyDescent="0.3">
      <c r="B462">
        <v>158017</v>
      </c>
      <c r="C462" t="s">
        <v>736</v>
      </c>
      <c r="D462" t="s">
        <v>423</v>
      </c>
    </row>
    <row r="463" spans="2:4" x14ac:dyDescent="0.3">
      <c r="B463">
        <v>226997</v>
      </c>
      <c r="C463" t="s">
        <v>736</v>
      </c>
      <c r="D463" t="s">
        <v>577</v>
      </c>
    </row>
    <row r="464" spans="2:4" x14ac:dyDescent="0.3">
      <c r="B464">
        <v>226893</v>
      </c>
      <c r="C464" t="s">
        <v>736</v>
      </c>
      <c r="D464" t="s">
        <v>401</v>
      </c>
    </row>
    <row r="465" spans="2:4" x14ac:dyDescent="0.3">
      <c r="B465">
        <v>226892</v>
      </c>
      <c r="C465" t="s">
        <v>736</v>
      </c>
      <c r="D465" t="s">
        <v>458</v>
      </c>
    </row>
    <row r="466" spans="2:4" x14ac:dyDescent="0.3">
      <c r="B466">
        <v>227236</v>
      </c>
      <c r="C466" t="s">
        <v>736</v>
      </c>
      <c r="D466" t="s">
        <v>560</v>
      </c>
    </row>
    <row r="467" spans="2:4" x14ac:dyDescent="0.3">
      <c r="B467">
        <v>195185</v>
      </c>
      <c r="C467" t="s">
        <v>736</v>
      </c>
      <c r="D467" t="s">
        <v>393</v>
      </c>
    </row>
    <row r="468" spans="2:4" x14ac:dyDescent="0.3">
      <c r="B468">
        <v>43</v>
      </c>
      <c r="C468" t="s">
        <v>754</v>
      </c>
      <c r="D468" t="s">
        <v>298</v>
      </c>
    </row>
    <row r="469" spans="2:4" x14ac:dyDescent="0.3">
      <c r="B469">
        <v>509</v>
      </c>
      <c r="C469" t="s">
        <v>754</v>
      </c>
      <c r="D469" t="s">
        <v>478</v>
      </c>
    </row>
    <row r="470" spans="2:4" x14ac:dyDescent="0.3">
      <c r="B470">
        <v>227969</v>
      </c>
      <c r="C470" t="s">
        <v>736</v>
      </c>
      <c r="D470" t="s">
        <v>435</v>
      </c>
    </row>
    <row r="471" spans="2:4" x14ac:dyDescent="0.3">
      <c r="B471">
        <v>505</v>
      </c>
      <c r="C471" t="s">
        <v>754</v>
      </c>
      <c r="D471" t="s">
        <v>481</v>
      </c>
    </row>
    <row r="472" spans="2:4" x14ac:dyDescent="0.3">
      <c r="B472">
        <v>260</v>
      </c>
      <c r="C472" t="s">
        <v>754</v>
      </c>
      <c r="D472" t="s">
        <v>337</v>
      </c>
    </row>
    <row r="473" spans="2:4" x14ac:dyDescent="0.3">
      <c r="B473">
        <v>230287</v>
      </c>
      <c r="C473" t="s">
        <v>736</v>
      </c>
      <c r="D473" t="s">
        <v>437</v>
      </c>
    </row>
    <row r="474" spans="2:4" x14ac:dyDescent="0.3">
      <c r="B474">
        <v>60</v>
      </c>
      <c r="C474" t="s">
        <v>754</v>
      </c>
      <c r="D474" t="s">
        <v>353</v>
      </c>
    </row>
    <row r="475" spans="2:4" x14ac:dyDescent="0.3">
      <c r="B475">
        <v>156696</v>
      </c>
      <c r="C475" t="s">
        <v>736</v>
      </c>
      <c r="D475" t="s">
        <v>434</v>
      </c>
    </row>
    <row r="476" spans="2:4" x14ac:dyDescent="0.3">
      <c r="B476">
        <v>81</v>
      </c>
      <c r="C476" t="s">
        <v>754</v>
      </c>
      <c r="D476" t="s">
        <v>402</v>
      </c>
    </row>
    <row r="477" spans="2:4" x14ac:dyDescent="0.3">
      <c r="B477">
        <v>230870</v>
      </c>
      <c r="C477" t="s">
        <v>736</v>
      </c>
      <c r="D477" t="s">
        <v>304</v>
      </c>
    </row>
    <row r="478" spans="2:4" x14ac:dyDescent="0.3">
      <c r="B478">
        <v>503</v>
      </c>
      <c r="C478" t="s">
        <v>754</v>
      </c>
      <c r="D478" t="s">
        <v>591</v>
      </c>
    </row>
    <row r="479" spans="2:4" x14ac:dyDescent="0.3">
      <c r="B479">
        <v>230871</v>
      </c>
      <c r="C479" t="s">
        <v>736</v>
      </c>
      <c r="D479" t="s">
        <v>603</v>
      </c>
    </row>
    <row r="480" spans="2:4" x14ac:dyDescent="0.3">
      <c r="B480">
        <v>230914</v>
      </c>
      <c r="C480" t="s">
        <v>736</v>
      </c>
      <c r="D480" t="s">
        <v>465</v>
      </c>
    </row>
    <row r="481" spans="2:4" x14ac:dyDescent="0.3">
      <c r="B481">
        <v>231373</v>
      </c>
      <c r="C481" t="s">
        <v>736</v>
      </c>
      <c r="D481" t="s">
        <v>481</v>
      </c>
    </row>
    <row r="482" spans="2:4" x14ac:dyDescent="0.3">
      <c r="B482">
        <v>84752</v>
      </c>
      <c r="C482" t="s">
        <v>770</v>
      </c>
      <c r="D482" t="s">
        <v>431</v>
      </c>
    </row>
    <row r="483" spans="2:4" x14ac:dyDescent="0.3">
      <c r="B483">
        <v>507</v>
      </c>
      <c r="C483" t="s">
        <v>754</v>
      </c>
      <c r="D483" t="s">
        <v>560</v>
      </c>
    </row>
    <row r="484" spans="2:4" x14ac:dyDescent="0.3">
      <c r="B484">
        <v>305</v>
      </c>
      <c r="C484" t="s">
        <v>754</v>
      </c>
      <c r="D484" t="s">
        <v>434</v>
      </c>
    </row>
    <row r="485" spans="2:4" x14ac:dyDescent="0.3">
      <c r="B485">
        <v>436</v>
      </c>
      <c r="C485" t="s">
        <v>754</v>
      </c>
      <c r="D485" t="s">
        <v>458</v>
      </c>
    </row>
    <row r="486" spans="2:4" x14ac:dyDescent="0.3">
      <c r="B486">
        <v>149576</v>
      </c>
      <c r="C486" t="s">
        <v>736</v>
      </c>
      <c r="D486" t="s">
        <v>124</v>
      </c>
    </row>
    <row r="487" spans="2:4" x14ac:dyDescent="0.3">
      <c r="B487">
        <v>231967</v>
      </c>
      <c r="C487" t="s">
        <v>736</v>
      </c>
      <c r="D487" t="s">
        <v>584</v>
      </c>
    </row>
    <row r="488" spans="2:4" x14ac:dyDescent="0.3">
      <c r="B488">
        <v>231965</v>
      </c>
      <c r="C488" t="s">
        <v>736</v>
      </c>
      <c r="D488" t="s">
        <v>235</v>
      </c>
    </row>
    <row r="489" spans="2:4" x14ac:dyDescent="0.3">
      <c r="B489">
        <v>56666</v>
      </c>
      <c r="C489" t="s">
        <v>770</v>
      </c>
      <c r="D489" t="s">
        <v>449</v>
      </c>
    </row>
    <row r="490" spans="2:4" x14ac:dyDescent="0.3">
      <c r="B490">
        <v>395</v>
      </c>
      <c r="C490" t="s">
        <v>754</v>
      </c>
      <c r="D490" t="s">
        <v>541</v>
      </c>
    </row>
    <row r="491" spans="2:4" x14ac:dyDescent="0.3">
      <c r="B491">
        <v>169</v>
      </c>
      <c r="C491" t="s">
        <v>754</v>
      </c>
      <c r="D491" t="s">
        <v>521</v>
      </c>
    </row>
    <row r="492" spans="2:4" x14ac:dyDescent="0.3">
      <c r="B492">
        <v>232652</v>
      </c>
      <c r="C492" t="s">
        <v>736</v>
      </c>
      <c r="D492" t="s">
        <v>520</v>
      </c>
    </row>
    <row r="493" spans="2:4" x14ac:dyDescent="0.3">
      <c r="B493">
        <v>232737</v>
      </c>
      <c r="C493" t="s">
        <v>736</v>
      </c>
      <c r="D493" t="s">
        <v>478</v>
      </c>
    </row>
    <row r="494" spans="2:4" x14ac:dyDescent="0.3">
      <c r="B494">
        <v>232752</v>
      </c>
      <c r="C494" t="s">
        <v>736</v>
      </c>
      <c r="D494" t="s">
        <v>573</v>
      </c>
    </row>
    <row r="495" spans="2:4" x14ac:dyDescent="0.3">
      <c r="B495">
        <v>156118</v>
      </c>
      <c r="C495" t="s">
        <v>736</v>
      </c>
      <c r="D495" t="s">
        <v>403</v>
      </c>
    </row>
    <row r="496" spans="2:4" x14ac:dyDescent="0.3">
      <c r="B496">
        <v>232837</v>
      </c>
      <c r="C496" t="s">
        <v>736</v>
      </c>
      <c r="D496" t="s">
        <v>789</v>
      </c>
    </row>
    <row r="497" spans="2:4" x14ac:dyDescent="0.3">
      <c r="B497">
        <v>1027</v>
      </c>
      <c r="C497" t="s">
        <v>754</v>
      </c>
      <c r="D497" t="s">
        <v>269</v>
      </c>
    </row>
    <row r="498" spans="2:4" x14ac:dyDescent="0.3">
      <c r="B498">
        <v>233861</v>
      </c>
      <c r="C498" t="s">
        <v>736</v>
      </c>
      <c r="D498" t="s">
        <v>586</v>
      </c>
    </row>
    <row r="499" spans="2:4" x14ac:dyDescent="0.3">
      <c r="B499">
        <v>234097</v>
      </c>
      <c r="C499" t="s">
        <v>736</v>
      </c>
      <c r="D499" t="s">
        <v>397</v>
      </c>
    </row>
    <row r="500" spans="2:4" x14ac:dyDescent="0.3">
      <c r="B500">
        <v>234096</v>
      </c>
      <c r="C500" t="s">
        <v>736</v>
      </c>
      <c r="D500" t="s">
        <v>411</v>
      </c>
    </row>
    <row r="501" spans="2:4" x14ac:dyDescent="0.3">
      <c r="B501">
        <v>234095</v>
      </c>
      <c r="C501" t="s">
        <v>736</v>
      </c>
      <c r="D501" t="s">
        <v>492</v>
      </c>
    </row>
    <row r="502" spans="2:4" x14ac:dyDescent="0.3">
      <c r="B502">
        <v>20</v>
      </c>
      <c r="C502" t="s">
        <v>754</v>
      </c>
      <c r="D502" t="s">
        <v>233</v>
      </c>
    </row>
    <row r="503" spans="2:4" x14ac:dyDescent="0.3">
      <c r="B503">
        <v>39</v>
      </c>
      <c r="C503" t="s">
        <v>754</v>
      </c>
      <c r="D503" t="s">
        <v>290</v>
      </c>
    </row>
    <row r="504" spans="2:4" x14ac:dyDescent="0.3">
      <c r="B504">
        <v>234829</v>
      </c>
      <c r="C504" t="s">
        <v>736</v>
      </c>
      <c r="D504" t="s">
        <v>205</v>
      </c>
    </row>
    <row r="505" spans="2:4" x14ac:dyDescent="0.3">
      <c r="B505">
        <v>64</v>
      </c>
      <c r="C505" t="s">
        <v>754</v>
      </c>
      <c r="D505" t="s">
        <v>366</v>
      </c>
    </row>
    <row r="506" spans="2:4" x14ac:dyDescent="0.3">
      <c r="B506">
        <v>476</v>
      </c>
      <c r="C506" t="s">
        <v>754</v>
      </c>
      <c r="D506" t="s">
        <v>601</v>
      </c>
    </row>
    <row r="507" spans="2:4" x14ac:dyDescent="0.3">
      <c r="B507">
        <v>235593</v>
      </c>
      <c r="C507" t="s">
        <v>736</v>
      </c>
      <c r="D507" t="s">
        <v>197</v>
      </c>
    </row>
    <row r="508" spans="2:4" x14ac:dyDescent="0.3">
      <c r="B508">
        <v>341</v>
      </c>
      <c r="C508" t="s">
        <v>754</v>
      </c>
      <c r="D508" t="s">
        <v>239</v>
      </c>
    </row>
    <row r="509" spans="2:4" x14ac:dyDescent="0.3">
      <c r="B509">
        <v>210</v>
      </c>
      <c r="C509" t="s">
        <v>754</v>
      </c>
      <c r="D509" t="s">
        <v>480</v>
      </c>
    </row>
    <row r="510" spans="2:4" x14ac:dyDescent="0.3">
      <c r="B510">
        <v>265</v>
      </c>
      <c r="C510" t="s">
        <v>754</v>
      </c>
      <c r="D510" t="s">
        <v>515</v>
      </c>
    </row>
    <row r="511" spans="2:4" x14ac:dyDescent="0.3">
      <c r="B511">
        <v>335</v>
      </c>
      <c r="C511" t="s">
        <v>754</v>
      </c>
      <c r="D511" t="s">
        <v>619</v>
      </c>
    </row>
    <row r="512" spans="2:4" x14ac:dyDescent="0.3">
      <c r="B512">
        <v>269</v>
      </c>
      <c r="C512" t="s">
        <v>754</v>
      </c>
      <c r="D512" t="s">
        <v>341</v>
      </c>
    </row>
    <row r="513" spans="2:4" x14ac:dyDescent="0.3">
      <c r="B513">
        <v>511</v>
      </c>
      <c r="C513" t="s">
        <v>754</v>
      </c>
      <c r="D513" t="s">
        <v>590</v>
      </c>
    </row>
    <row r="514" spans="2:4" x14ac:dyDescent="0.3">
      <c r="B514">
        <v>245337</v>
      </c>
      <c r="C514" t="s">
        <v>736</v>
      </c>
      <c r="D514" t="s">
        <v>244</v>
      </c>
    </row>
    <row r="515" spans="2:4" x14ac:dyDescent="0.3">
      <c r="B515">
        <v>245989</v>
      </c>
      <c r="C515" t="s">
        <v>736</v>
      </c>
      <c r="D515" t="s">
        <v>263</v>
      </c>
    </row>
    <row r="516" spans="2:4" x14ac:dyDescent="0.3">
      <c r="B516">
        <v>167164</v>
      </c>
      <c r="C516" t="s">
        <v>770</v>
      </c>
      <c r="D516" t="s">
        <v>462</v>
      </c>
    </row>
    <row r="517" spans="2:4" x14ac:dyDescent="0.3">
      <c r="B517">
        <v>246793</v>
      </c>
      <c r="C517" t="s">
        <v>736</v>
      </c>
      <c r="D517" t="s">
        <v>459</v>
      </c>
    </row>
    <row r="518" spans="2:4" x14ac:dyDescent="0.3">
      <c r="B518">
        <v>1028</v>
      </c>
      <c r="C518" t="s">
        <v>770</v>
      </c>
      <c r="D518" t="s">
        <v>426</v>
      </c>
    </row>
    <row r="519" spans="2:4" x14ac:dyDescent="0.3">
      <c r="B519">
        <v>1029</v>
      </c>
      <c r="C519" t="s">
        <v>770</v>
      </c>
      <c r="D519" t="s">
        <v>427</v>
      </c>
    </row>
    <row r="520" spans="2:4" x14ac:dyDescent="0.3">
      <c r="B520">
        <v>538</v>
      </c>
      <c r="C520" t="s">
        <v>754</v>
      </c>
      <c r="D520" t="s">
        <v>410</v>
      </c>
    </row>
    <row r="521" spans="2:4" x14ac:dyDescent="0.3">
      <c r="B521">
        <v>541</v>
      </c>
      <c r="C521" t="s">
        <v>754</v>
      </c>
      <c r="D521" t="s">
        <v>567</v>
      </c>
    </row>
    <row r="522" spans="2:4" x14ac:dyDescent="0.3">
      <c r="B522">
        <v>287</v>
      </c>
      <c r="C522" t="s">
        <v>754</v>
      </c>
      <c r="D522" t="s">
        <v>238</v>
      </c>
    </row>
    <row r="523" spans="2:4" x14ac:dyDescent="0.3">
      <c r="B523">
        <v>544</v>
      </c>
      <c r="C523" t="s">
        <v>754</v>
      </c>
      <c r="D523" t="s">
        <v>545</v>
      </c>
    </row>
    <row r="524" spans="2:4" x14ac:dyDescent="0.3">
      <c r="B524">
        <v>466</v>
      </c>
      <c r="C524" t="s">
        <v>754</v>
      </c>
      <c r="D524" t="s">
        <v>544</v>
      </c>
    </row>
    <row r="525" spans="2:4" x14ac:dyDescent="0.3">
      <c r="B525">
        <v>551</v>
      </c>
      <c r="C525" t="s">
        <v>754</v>
      </c>
      <c r="D525" t="s">
        <v>575</v>
      </c>
    </row>
    <row r="526" spans="2:4" x14ac:dyDescent="0.3">
      <c r="B526">
        <v>250240</v>
      </c>
      <c r="C526" t="s">
        <v>736</v>
      </c>
      <c r="D526" t="s">
        <v>296</v>
      </c>
    </row>
    <row r="527" spans="2:4" x14ac:dyDescent="0.3">
      <c r="B527">
        <v>155375</v>
      </c>
      <c r="C527" t="s">
        <v>736</v>
      </c>
      <c r="D527" t="s">
        <v>598</v>
      </c>
    </row>
    <row r="528" spans="2:4" x14ac:dyDescent="0.3">
      <c r="B528">
        <v>250467</v>
      </c>
      <c r="C528" t="s">
        <v>736</v>
      </c>
      <c r="D528" t="s">
        <v>595</v>
      </c>
    </row>
    <row r="529" spans="2:4" x14ac:dyDescent="0.3">
      <c r="B529">
        <v>280556</v>
      </c>
      <c r="C529" t="s">
        <v>770</v>
      </c>
      <c r="D529" t="s">
        <v>624</v>
      </c>
    </row>
    <row r="530" spans="2:4" x14ac:dyDescent="0.3">
      <c r="B530">
        <v>261222</v>
      </c>
      <c r="C530" t="s">
        <v>736</v>
      </c>
      <c r="D530" t="s">
        <v>454</v>
      </c>
    </row>
    <row r="531" spans="2:4" x14ac:dyDescent="0.3">
      <c r="B531">
        <v>1029</v>
      </c>
      <c r="C531" t="s">
        <v>754</v>
      </c>
      <c r="D531" t="s">
        <v>427</v>
      </c>
    </row>
    <row r="532" spans="2:4" x14ac:dyDescent="0.3">
      <c r="B532">
        <v>556</v>
      </c>
      <c r="C532" t="s">
        <v>754</v>
      </c>
      <c r="D532" t="s">
        <v>307</v>
      </c>
    </row>
    <row r="533" spans="2:4" x14ac:dyDescent="0.3">
      <c r="B533">
        <v>215</v>
      </c>
      <c r="C533" t="s">
        <v>754</v>
      </c>
      <c r="D533" t="s">
        <v>492</v>
      </c>
    </row>
    <row r="534" spans="2:4" x14ac:dyDescent="0.3">
      <c r="B534">
        <v>557</v>
      </c>
      <c r="C534" t="s">
        <v>754</v>
      </c>
      <c r="D534" t="s">
        <v>461</v>
      </c>
    </row>
    <row r="535" spans="2:4" x14ac:dyDescent="0.3">
      <c r="B535">
        <v>178</v>
      </c>
      <c r="C535" t="s">
        <v>754</v>
      </c>
      <c r="D535" t="s">
        <v>495</v>
      </c>
    </row>
    <row r="536" spans="2:4" x14ac:dyDescent="0.3">
      <c r="B536">
        <v>263500</v>
      </c>
      <c r="C536" t="s">
        <v>736</v>
      </c>
      <c r="D536" t="s">
        <v>379</v>
      </c>
    </row>
    <row r="537" spans="2:4" x14ac:dyDescent="0.3">
      <c r="B537">
        <v>455</v>
      </c>
      <c r="C537" t="s">
        <v>754</v>
      </c>
      <c r="D537" t="s">
        <v>505</v>
      </c>
    </row>
    <row r="538" spans="2:4" x14ac:dyDescent="0.3">
      <c r="B538">
        <v>91</v>
      </c>
      <c r="C538" t="s">
        <v>754</v>
      </c>
      <c r="D538" t="s">
        <v>336</v>
      </c>
    </row>
    <row r="539" spans="2:4" x14ac:dyDescent="0.3">
      <c r="B539">
        <v>264025</v>
      </c>
      <c r="C539" t="s">
        <v>736</v>
      </c>
      <c r="D539" t="s">
        <v>417</v>
      </c>
    </row>
    <row r="540" spans="2:4" x14ac:dyDescent="0.3">
      <c r="B540">
        <v>264751</v>
      </c>
      <c r="C540" t="s">
        <v>736</v>
      </c>
      <c r="D540" t="s">
        <v>563</v>
      </c>
    </row>
    <row r="541" spans="2:4" x14ac:dyDescent="0.3">
      <c r="B541">
        <v>265621</v>
      </c>
      <c r="C541" t="s">
        <v>736</v>
      </c>
      <c r="D541" t="s">
        <v>407</v>
      </c>
    </row>
    <row r="542" spans="2:4" x14ac:dyDescent="0.3">
      <c r="B542">
        <v>560</v>
      </c>
      <c r="C542" t="s">
        <v>754</v>
      </c>
      <c r="D542" t="s">
        <v>553</v>
      </c>
    </row>
    <row r="543" spans="2:4" x14ac:dyDescent="0.3">
      <c r="B543">
        <v>265871</v>
      </c>
      <c r="C543" t="s">
        <v>736</v>
      </c>
      <c r="D543" t="s">
        <v>557</v>
      </c>
    </row>
    <row r="544" spans="2:4" x14ac:dyDescent="0.3">
      <c r="B544">
        <v>265955</v>
      </c>
      <c r="C544" t="s">
        <v>736</v>
      </c>
      <c r="D544" t="s">
        <v>590</v>
      </c>
    </row>
    <row r="545" spans="2:4" x14ac:dyDescent="0.3">
      <c r="B545">
        <v>550</v>
      </c>
      <c r="C545" t="s">
        <v>754</v>
      </c>
      <c r="D545" t="s">
        <v>579</v>
      </c>
    </row>
    <row r="546" spans="2:4" x14ac:dyDescent="0.3">
      <c r="B546">
        <v>565</v>
      </c>
      <c r="C546" t="s">
        <v>754</v>
      </c>
      <c r="D546" t="s">
        <v>547</v>
      </c>
    </row>
    <row r="547" spans="2:4" x14ac:dyDescent="0.3">
      <c r="B547">
        <v>269566</v>
      </c>
      <c r="C547" t="s">
        <v>736</v>
      </c>
      <c r="D547" t="s">
        <v>559</v>
      </c>
    </row>
    <row r="548" spans="2:4" x14ac:dyDescent="0.3">
      <c r="B548">
        <v>269631</v>
      </c>
      <c r="C548" t="s">
        <v>736</v>
      </c>
      <c r="D548" t="s">
        <v>516</v>
      </c>
    </row>
    <row r="549" spans="2:4" x14ac:dyDescent="0.3">
      <c r="B549">
        <v>6003</v>
      </c>
      <c r="C549" t="s">
        <v>754</v>
      </c>
      <c r="D549" t="s">
        <v>264</v>
      </c>
    </row>
    <row r="550" spans="2:4" x14ac:dyDescent="0.3">
      <c r="B550">
        <v>558</v>
      </c>
      <c r="C550" t="s">
        <v>754</v>
      </c>
      <c r="D550" t="s">
        <v>236</v>
      </c>
    </row>
    <row r="551" spans="2:4" x14ac:dyDescent="0.3">
      <c r="B551">
        <v>273161</v>
      </c>
      <c r="C551" t="s">
        <v>736</v>
      </c>
      <c r="D551" t="s">
        <v>556</v>
      </c>
    </row>
    <row r="552" spans="2:4" x14ac:dyDescent="0.3">
      <c r="B552">
        <v>206014</v>
      </c>
      <c r="C552" t="s">
        <v>770</v>
      </c>
      <c r="D552" t="s">
        <v>505</v>
      </c>
    </row>
    <row r="553" spans="2:4" x14ac:dyDescent="0.3">
      <c r="B553">
        <v>520</v>
      </c>
      <c r="C553" t="s">
        <v>754</v>
      </c>
      <c r="D553" t="s">
        <v>533</v>
      </c>
    </row>
    <row r="554" spans="2:4" x14ac:dyDescent="0.3">
      <c r="B554">
        <v>6012</v>
      </c>
      <c r="C554" t="s">
        <v>754</v>
      </c>
      <c r="D554" t="s">
        <v>464</v>
      </c>
    </row>
    <row r="555" spans="2:4" x14ac:dyDescent="0.3">
      <c r="B555">
        <v>274905</v>
      </c>
      <c r="C555" t="s">
        <v>736</v>
      </c>
      <c r="D555" t="s">
        <v>464</v>
      </c>
    </row>
    <row r="556" spans="2:4" x14ac:dyDescent="0.3">
      <c r="B556">
        <v>275877</v>
      </c>
      <c r="C556" t="s">
        <v>736</v>
      </c>
      <c r="D556" t="s">
        <v>790</v>
      </c>
    </row>
    <row r="557" spans="2:4" x14ac:dyDescent="0.3">
      <c r="B557">
        <v>275876</v>
      </c>
      <c r="C557" t="s">
        <v>736</v>
      </c>
      <c r="D557" t="s">
        <v>267</v>
      </c>
    </row>
    <row r="558" spans="2:4" x14ac:dyDescent="0.3">
      <c r="B558">
        <v>276517</v>
      </c>
      <c r="C558" t="s">
        <v>736</v>
      </c>
      <c r="D558" t="s">
        <v>597</v>
      </c>
    </row>
    <row r="559" spans="2:4" x14ac:dyDescent="0.3">
      <c r="B559">
        <v>321</v>
      </c>
      <c r="C559" t="s">
        <v>754</v>
      </c>
      <c r="D559" t="s">
        <v>203</v>
      </c>
    </row>
    <row r="560" spans="2:4" x14ac:dyDescent="0.3">
      <c r="B560">
        <v>1035</v>
      </c>
      <c r="C560" t="s">
        <v>754</v>
      </c>
      <c r="D560" t="s">
        <v>291</v>
      </c>
    </row>
    <row r="561" spans="2:4" x14ac:dyDescent="0.3">
      <c r="B561">
        <v>280556</v>
      </c>
      <c r="C561" t="s">
        <v>736</v>
      </c>
      <c r="D561" t="s">
        <v>624</v>
      </c>
    </row>
    <row r="562" spans="2:4" x14ac:dyDescent="0.3">
      <c r="B562">
        <v>292</v>
      </c>
      <c r="C562" t="s">
        <v>754</v>
      </c>
      <c r="D562" t="s">
        <v>355</v>
      </c>
    </row>
    <row r="563" spans="2:4" x14ac:dyDescent="0.3">
      <c r="B563">
        <v>109</v>
      </c>
      <c r="C563" t="s">
        <v>754</v>
      </c>
      <c r="D563" t="s">
        <v>447</v>
      </c>
    </row>
    <row r="564" spans="2:4" x14ac:dyDescent="0.3">
      <c r="B564">
        <v>265871</v>
      </c>
      <c r="C564" t="s">
        <v>770</v>
      </c>
      <c r="D564" t="s">
        <v>557</v>
      </c>
    </row>
    <row r="565" spans="2:4" x14ac:dyDescent="0.3">
      <c r="B565">
        <v>13006</v>
      </c>
      <c r="C565" t="s">
        <v>121</v>
      </c>
      <c r="D565" t="s">
        <v>128</v>
      </c>
    </row>
    <row r="566" spans="2:4" x14ac:dyDescent="0.3">
      <c r="B566">
        <v>261222</v>
      </c>
      <c r="C566" t="s">
        <v>770</v>
      </c>
      <c r="D566" t="s">
        <v>454</v>
      </c>
    </row>
    <row r="567" spans="2:4" x14ac:dyDescent="0.3">
      <c r="B567">
        <v>294012</v>
      </c>
      <c r="C567" t="s">
        <v>770</v>
      </c>
      <c r="D567" t="s">
        <v>546</v>
      </c>
    </row>
    <row r="568" spans="2:4" x14ac:dyDescent="0.3">
      <c r="B568">
        <v>6025</v>
      </c>
      <c r="C568" t="s">
        <v>754</v>
      </c>
      <c r="D568" t="s">
        <v>251</v>
      </c>
    </row>
    <row r="569" spans="2:4" x14ac:dyDescent="0.3">
      <c r="B569">
        <v>282153</v>
      </c>
      <c r="C569" t="s">
        <v>736</v>
      </c>
      <c r="D569" t="s">
        <v>607</v>
      </c>
    </row>
    <row r="570" spans="2:4" x14ac:dyDescent="0.3">
      <c r="B570">
        <v>282205</v>
      </c>
      <c r="C570" t="s">
        <v>736</v>
      </c>
      <c r="D570" t="s">
        <v>198</v>
      </c>
    </row>
    <row r="571" spans="2:4" x14ac:dyDescent="0.3">
      <c r="B571">
        <v>73</v>
      </c>
      <c r="C571" t="s">
        <v>754</v>
      </c>
      <c r="D571" t="s">
        <v>384</v>
      </c>
    </row>
    <row r="572" spans="2:4" x14ac:dyDescent="0.3">
      <c r="B572">
        <v>212</v>
      </c>
      <c r="C572" t="s">
        <v>754</v>
      </c>
      <c r="D572" t="s">
        <v>519</v>
      </c>
    </row>
    <row r="573" spans="2:4" x14ac:dyDescent="0.3">
      <c r="B573">
        <v>65</v>
      </c>
      <c r="C573" t="s">
        <v>754</v>
      </c>
      <c r="D573" t="s">
        <v>370</v>
      </c>
    </row>
    <row r="574" spans="2:4" x14ac:dyDescent="0.3">
      <c r="B574">
        <v>6031</v>
      </c>
      <c r="C574" t="s">
        <v>754</v>
      </c>
      <c r="D574" t="s">
        <v>198</v>
      </c>
    </row>
    <row r="575" spans="2:4" x14ac:dyDescent="0.3">
      <c r="B575">
        <v>6028</v>
      </c>
      <c r="C575" t="s">
        <v>754</v>
      </c>
      <c r="D575" t="s">
        <v>571</v>
      </c>
    </row>
    <row r="576" spans="2:4" x14ac:dyDescent="0.3">
      <c r="B576">
        <v>283724</v>
      </c>
      <c r="C576" t="s">
        <v>736</v>
      </c>
      <c r="D576" t="s">
        <v>632</v>
      </c>
    </row>
    <row r="577" spans="2:4" x14ac:dyDescent="0.3">
      <c r="B577">
        <v>6009</v>
      </c>
      <c r="C577" t="s">
        <v>770</v>
      </c>
      <c r="D577" t="s">
        <v>315</v>
      </c>
    </row>
    <row r="578" spans="2:4" x14ac:dyDescent="0.3">
      <c r="B578">
        <v>76</v>
      </c>
      <c r="C578" t="s">
        <v>754</v>
      </c>
      <c r="D578" t="s">
        <v>222</v>
      </c>
    </row>
    <row r="579" spans="2:4" x14ac:dyDescent="0.3">
      <c r="B579">
        <v>1037</v>
      </c>
      <c r="C579" t="s">
        <v>754</v>
      </c>
      <c r="D579" t="s">
        <v>289</v>
      </c>
    </row>
    <row r="580" spans="2:4" x14ac:dyDescent="0.3">
      <c r="B580">
        <v>284</v>
      </c>
      <c r="C580" t="s">
        <v>754</v>
      </c>
      <c r="D580" t="s">
        <v>414</v>
      </c>
    </row>
    <row r="581" spans="2:4" x14ac:dyDescent="0.3">
      <c r="B581">
        <v>6038</v>
      </c>
      <c r="C581" t="s">
        <v>754</v>
      </c>
      <c r="D581" t="s">
        <v>561</v>
      </c>
    </row>
    <row r="582" spans="2:4" x14ac:dyDescent="0.3">
      <c r="B582">
        <v>284141</v>
      </c>
      <c r="C582" t="s">
        <v>736</v>
      </c>
      <c r="D582" t="s">
        <v>554</v>
      </c>
    </row>
    <row r="583" spans="2:4" x14ac:dyDescent="0.3">
      <c r="B583">
        <v>218268</v>
      </c>
      <c r="C583" t="s">
        <v>770</v>
      </c>
      <c r="D583" t="s">
        <v>439</v>
      </c>
    </row>
    <row r="584" spans="2:4" x14ac:dyDescent="0.3">
      <c r="B584">
        <v>6</v>
      </c>
      <c r="C584" t="s">
        <v>754</v>
      </c>
      <c r="D584" t="s">
        <v>196</v>
      </c>
    </row>
    <row r="585" spans="2:4" x14ac:dyDescent="0.3">
      <c r="B585">
        <v>284881</v>
      </c>
      <c r="C585" t="s">
        <v>736</v>
      </c>
      <c r="D585" t="s">
        <v>236</v>
      </c>
    </row>
    <row r="586" spans="2:4" x14ac:dyDescent="0.3">
      <c r="B586">
        <v>156679</v>
      </c>
      <c r="C586" t="s">
        <v>736</v>
      </c>
      <c r="D586" t="s">
        <v>240</v>
      </c>
    </row>
    <row r="587" spans="2:4" x14ac:dyDescent="0.3">
      <c r="B587">
        <v>518</v>
      </c>
      <c r="C587" t="s">
        <v>754</v>
      </c>
      <c r="D587" t="s">
        <v>573</v>
      </c>
    </row>
    <row r="588" spans="2:4" x14ac:dyDescent="0.3">
      <c r="B588">
        <v>285529</v>
      </c>
      <c r="C588" t="s">
        <v>736</v>
      </c>
      <c r="D588" t="s">
        <v>192</v>
      </c>
    </row>
    <row r="589" spans="2:4" x14ac:dyDescent="0.3">
      <c r="B589">
        <v>285528</v>
      </c>
      <c r="C589" t="s">
        <v>736</v>
      </c>
      <c r="D589" t="s">
        <v>647</v>
      </c>
    </row>
    <row r="590" spans="2:4" x14ac:dyDescent="0.3">
      <c r="B590">
        <v>285728</v>
      </c>
      <c r="C590" t="s">
        <v>736</v>
      </c>
      <c r="D590" t="s">
        <v>376</v>
      </c>
    </row>
    <row r="591" spans="2:4" x14ac:dyDescent="0.3">
      <c r="B591">
        <v>285810</v>
      </c>
      <c r="C591" t="s">
        <v>736</v>
      </c>
      <c r="D591" t="s">
        <v>571</v>
      </c>
    </row>
    <row r="592" spans="2:4" x14ac:dyDescent="0.3">
      <c r="B592">
        <v>285811</v>
      </c>
      <c r="C592" t="s">
        <v>736</v>
      </c>
      <c r="D592" t="s">
        <v>604</v>
      </c>
    </row>
    <row r="593" spans="2:4" x14ac:dyDescent="0.3">
      <c r="B593">
        <v>285945</v>
      </c>
      <c r="C593" t="s">
        <v>736</v>
      </c>
      <c r="D593" t="s">
        <v>618</v>
      </c>
    </row>
    <row r="594" spans="2:4" x14ac:dyDescent="0.3">
      <c r="B594">
        <v>13008</v>
      </c>
      <c r="C594" t="s">
        <v>121</v>
      </c>
      <c r="D594" t="s">
        <v>261</v>
      </c>
    </row>
    <row r="595" spans="2:4" x14ac:dyDescent="0.3">
      <c r="B595">
        <v>286782</v>
      </c>
      <c r="C595" t="s">
        <v>736</v>
      </c>
      <c r="D595" t="s">
        <v>486</v>
      </c>
    </row>
    <row r="596" spans="2:4" x14ac:dyDescent="0.3">
      <c r="B596">
        <v>13007</v>
      </c>
      <c r="C596" t="s">
        <v>121</v>
      </c>
      <c r="D596" t="s">
        <v>694</v>
      </c>
    </row>
    <row r="597" spans="2:4" x14ac:dyDescent="0.3">
      <c r="B597">
        <v>287034</v>
      </c>
      <c r="C597" t="s">
        <v>736</v>
      </c>
      <c r="D597" t="s">
        <v>694</v>
      </c>
    </row>
    <row r="598" spans="2:4" x14ac:dyDescent="0.3">
      <c r="B598">
        <v>287127</v>
      </c>
      <c r="C598" t="s">
        <v>736</v>
      </c>
      <c r="D598" t="s">
        <v>387</v>
      </c>
    </row>
    <row r="599" spans="2:4" x14ac:dyDescent="0.3">
      <c r="B599">
        <v>15</v>
      </c>
      <c r="C599" t="s">
        <v>754</v>
      </c>
      <c r="D599" t="s">
        <v>219</v>
      </c>
    </row>
    <row r="600" spans="2:4" x14ac:dyDescent="0.3">
      <c r="B600">
        <v>288727</v>
      </c>
      <c r="C600" t="s">
        <v>736</v>
      </c>
      <c r="D600" t="s">
        <v>416</v>
      </c>
    </row>
    <row r="601" spans="2:4" x14ac:dyDescent="0.3">
      <c r="B601">
        <v>289290</v>
      </c>
      <c r="C601" t="s">
        <v>736</v>
      </c>
      <c r="D601" t="s">
        <v>391</v>
      </c>
    </row>
    <row r="602" spans="2:4" x14ac:dyDescent="0.3">
      <c r="B602">
        <v>289546</v>
      </c>
      <c r="C602" t="s">
        <v>736</v>
      </c>
      <c r="D602" t="s">
        <v>693</v>
      </c>
    </row>
    <row r="603" spans="2:4" x14ac:dyDescent="0.3">
      <c r="B603">
        <v>289582</v>
      </c>
      <c r="C603" t="s">
        <v>736</v>
      </c>
      <c r="D603" t="s">
        <v>702</v>
      </c>
    </row>
    <row r="604" spans="2:4" x14ac:dyDescent="0.3">
      <c r="B604">
        <v>6024</v>
      </c>
      <c r="C604" t="s">
        <v>754</v>
      </c>
      <c r="D604" t="s">
        <v>681</v>
      </c>
    </row>
    <row r="605" spans="2:4" x14ac:dyDescent="0.3">
      <c r="B605">
        <v>392</v>
      </c>
      <c r="C605" t="s">
        <v>754</v>
      </c>
      <c r="D605" t="s">
        <v>208</v>
      </c>
    </row>
    <row r="606" spans="2:4" x14ac:dyDescent="0.3">
      <c r="B606">
        <v>84</v>
      </c>
      <c r="C606" t="s">
        <v>754</v>
      </c>
      <c r="D606" t="s">
        <v>243</v>
      </c>
    </row>
    <row r="607" spans="2:4" x14ac:dyDescent="0.3">
      <c r="B607">
        <v>13009</v>
      </c>
      <c r="C607" t="s">
        <v>121</v>
      </c>
      <c r="D607" t="s">
        <v>706</v>
      </c>
    </row>
    <row r="608" spans="2:4" x14ac:dyDescent="0.3">
      <c r="B608">
        <v>545</v>
      </c>
      <c r="C608" t="s">
        <v>754</v>
      </c>
      <c r="D608" t="s">
        <v>407</v>
      </c>
    </row>
    <row r="609" spans="2:4" x14ac:dyDescent="0.3">
      <c r="B609">
        <v>433</v>
      </c>
      <c r="C609" t="s">
        <v>754</v>
      </c>
      <c r="D609" t="s">
        <v>603</v>
      </c>
    </row>
    <row r="610" spans="2:4" x14ac:dyDescent="0.3">
      <c r="B610">
        <v>13006</v>
      </c>
      <c r="C610" t="s">
        <v>791</v>
      </c>
      <c r="D610" t="s">
        <v>128</v>
      </c>
    </row>
    <row r="611" spans="2:4" x14ac:dyDescent="0.3">
      <c r="B611">
        <v>13007</v>
      </c>
      <c r="C611" t="s">
        <v>791</v>
      </c>
      <c r="D611" t="s">
        <v>694</v>
      </c>
    </row>
    <row r="612" spans="2:4" x14ac:dyDescent="0.3">
      <c r="B612">
        <v>13009</v>
      </c>
      <c r="C612" t="s">
        <v>791</v>
      </c>
      <c r="D612" t="s">
        <v>706</v>
      </c>
    </row>
    <row r="613" spans="2:4" x14ac:dyDescent="0.3">
      <c r="B613">
        <v>489</v>
      </c>
      <c r="C613" t="s">
        <v>754</v>
      </c>
      <c r="D613" t="s">
        <v>128</v>
      </c>
    </row>
    <row r="614" spans="2:4" x14ac:dyDescent="0.3">
      <c r="B614">
        <v>381</v>
      </c>
      <c r="C614" t="s">
        <v>754</v>
      </c>
      <c r="D614" t="s">
        <v>411</v>
      </c>
    </row>
    <row r="615" spans="2:4" x14ac:dyDescent="0.3">
      <c r="B615">
        <v>292138</v>
      </c>
      <c r="C615" t="s">
        <v>736</v>
      </c>
      <c r="D615" t="s">
        <v>725</v>
      </c>
    </row>
    <row r="616" spans="2:4" x14ac:dyDescent="0.3">
      <c r="B616">
        <v>6064</v>
      </c>
      <c r="C616" t="s">
        <v>754</v>
      </c>
      <c r="D616" t="s">
        <v>688</v>
      </c>
    </row>
    <row r="617" spans="2:4" x14ac:dyDescent="0.3">
      <c r="B617">
        <v>292514</v>
      </c>
      <c r="C617" t="s">
        <v>736</v>
      </c>
      <c r="D617" t="s">
        <v>686</v>
      </c>
    </row>
    <row r="618" spans="2:4" x14ac:dyDescent="0.3">
      <c r="B618">
        <v>281</v>
      </c>
      <c r="C618" t="s">
        <v>754</v>
      </c>
      <c r="D618" t="s">
        <v>684</v>
      </c>
    </row>
    <row r="619" spans="2:4" x14ac:dyDescent="0.3">
      <c r="B619">
        <v>281</v>
      </c>
      <c r="C619" t="s">
        <v>770</v>
      </c>
      <c r="D619" t="s">
        <v>684</v>
      </c>
    </row>
    <row r="620" spans="2:4" x14ac:dyDescent="0.3">
      <c r="B620">
        <v>286</v>
      </c>
      <c r="C620" t="s">
        <v>754</v>
      </c>
      <c r="D620" t="s">
        <v>611</v>
      </c>
    </row>
    <row r="621" spans="2:4" x14ac:dyDescent="0.3">
      <c r="B621">
        <v>41</v>
      </c>
      <c r="C621" t="s">
        <v>754</v>
      </c>
      <c r="D621" t="s">
        <v>293</v>
      </c>
    </row>
    <row r="622" spans="2:4" x14ac:dyDescent="0.3">
      <c r="B622">
        <v>383</v>
      </c>
      <c r="C622" t="s">
        <v>754</v>
      </c>
      <c r="D622" t="s">
        <v>404</v>
      </c>
    </row>
    <row r="623" spans="2:4" x14ac:dyDescent="0.3">
      <c r="B623">
        <v>293040</v>
      </c>
      <c r="C623" t="s">
        <v>736</v>
      </c>
      <c r="D623" t="s">
        <v>682</v>
      </c>
    </row>
    <row r="624" spans="2:4" x14ac:dyDescent="0.3">
      <c r="B624">
        <v>293436</v>
      </c>
      <c r="C624" t="s">
        <v>736</v>
      </c>
      <c r="D624" t="s">
        <v>224</v>
      </c>
    </row>
    <row r="625" spans="2:4" x14ac:dyDescent="0.3">
      <c r="B625">
        <v>421</v>
      </c>
      <c r="C625" t="s">
        <v>754</v>
      </c>
      <c r="D625" t="s">
        <v>205</v>
      </c>
    </row>
    <row r="626" spans="2:4" x14ac:dyDescent="0.3">
      <c r="B626">
        <v>123</v>
      </c>
      <c r="C626" t="s">
        <v>754</v>
      </c>
      <c r="D626" t="s">
        <v>169</v>
      </c>
    </row>
    <row r="627" spans="2:4" x14ac:dyDescent="0.3">
      <c r="B627">
        <v>6051</v>
      </c>
      <c r="C627" t="s">
        <v>754</v>
      </c>
      <c r="D627" t="s">
        <v>702</v>
      </c>
    </row>
    <row r="628" spans="2:4" x14ac:dyDescent="0.3">
      <c r="B628">
        <v>165</v>
      </c>
      <c r="C628" t="s">
        <v>754</v>
      </c>
      <c r="D628" t="s">
        <v>535</v>
      </c>
    </row>
    <row r="629" spans="2:4" x14ac:dyDescent="0.3">
      <c r="B629">
        <v>294012</v>
      </c>
      <c r="C629" t="s">
        <v>736</v>
      </c>
      <c r="D629" t="s">
        <v>546</v>
      </c>
    </row>
    <row r="630" spans="2:4" x14ac:dyDescent="0.3">
      <c r="B630">
        <v>156119</v>
      </c>
      <c r="C630" t="s">
        <v>736</v>
      </c>
      <c r="D630" t="s">
        <v>506</v>
      </c>
    </row>
    <row r="631" spans="2:4" x14ac:dyDescent="0.3">
      <c r="B631">
        <v>294712</v>
      </c>
      <c r="C631" t="s">
        <v>736</v>
      </c>
      <c r="D631" t="s">
        <v>606</v>
      </c>
    </row>
    <row r="632" spans="2:4" x14ac:dyDescent="0.3">
      <c r="B632">
        <v>429</v>
      </c>
      <c r="C632" t="s">
        <v>754</v>
      </c>
      <c r="D632" t="s">
        <v>469</v>
      </c>
    </row>
    <row r="633" spans="2:4" x14ac:dyDescent="0.3">
      <c r="B633">
        <v>296048</v>
      </c>
      <c r="C633" t="s">
        <v>736</v>
      </c>
      <c r="D633" t="s">
        <v>711</v>
      </c>
    </row>
    <row r="634" spans="2:4" x14ac:dyDescent="0.3">
      <c r="B634">
        <v>264751</v>
      </c>
      <c r="C634" t="s">
        <v>770</v>
      </c>
      <c r="D634" t="s">
        <v>563</v>
      </c>
    </row>
    <row r="635" spans="2:4" x14ac:dyDescent="0.3">
      <c r="B635">
        <v>296136</v>
      </c>
      <c r="C635" t="s">
        <v>736</v>
      </c>
      <c r="D635" t="s">
        <v>689</v>
      </c>
    </row>
    <row r="636" spans="2:4" x14ac:dyDescent="0.3">
      <c r="B636">
        <v>296827</v>
      </c>
      <c r="C636" t="s">
        <v>736</v>
      </c>
      <c r="D636" t="s">
        <v>691</v>
      </c>
    </row>
    <row r="637" spans="2:4" x14ac:dyDescent="0.3">
      <c r="B637">
        <v>482</v>
      </c>
      <c r="C637" t="s">
        <v>754</v>
      </c>
      <c r="D637" t="s">
        <v>563</v>
      </c>
    </row>
    <row r="638" spans="2:4" x14ac:dyDescent="0.3">
      <c r="B638">
        <v>485</v>
      </c>
      <c r="C638" t="s">
        <v>754</v>
      </c>
      <c r="D638" t="s">
        <v>557</v>
      </c>
    </row>
    <row r="639" spans="2:4" x14ac:dyDescent="0.3">
      <c r="B639">
        <v>6017</v>
      </c>
      <c r="C639" t="s">
        <v>754</v>
      </c>
      <c r="D639" t="s">
        <v>391</v>
      </c>
    </row>
    <row r="640" spans="2:4" x14ac:dyDescent="0.3">
      <c r="B640">
        <v>37500</v>
      </c>
      <c r="C640" t="s">
        <v>770</v>
      </c>
      <c r="D640" t="s">
        <v>734</v>
      </c>
    </row>
    <row r="641" spans="2:4" x14ac:dyDescent="0.3">
      <c r="B641">
        <v>37501</v>
      </c>
      <c r="C641" t="s">
        <v>770</v>
      </c>
      <c r="D641" t="s">
        <v>210</v>
      </c>
    </row>
    <row r="642" spans="2:4" x14ac:dyDescent="0.3">
      <c r="B642">
        <v>37554</v>
      </c>
      <c r="C642" t="s">
        <v>770</v>
      </c>
      <c r="D642" t="s">
        <v>243</v>
      </c>
    </row>
    <row r="643" spans="2:4" x14ac:dyDescent="0.3">
      <c r="B643">
        <v>51992</v>
      </c>
      <c r="C643" t="s">
        <v>770</v>
      </c>
      <c r="D643" t="s">
        <v>254</v>
      </c>
    </row>
    <row r="644" spans="2:4" x14ac:dyDescent="0.3">
      <c r="B644">
        <v>37562</v>
      </c>
      <c r="C644" t="s">
        <v>770</v>
      </c>
      <c r="D644" t="s">
        <v>260</v>
      </c>
    </row>
    <row r="645" spans="2:4" x14ac:dyDescent="0.3">
      <c r="B645">
        <v>37502</v>
      </c>
      <c r="C645" t="s">
        <v>770</v>
      </c>
      <c r="D645" t="s">
        <v>737</v>
      </c>
    </row>
    <row r="646" spans="2:4" x14ac:dyDescent="0.3">
      <c r="B646">
        <v>37503</v>
      </c>
      <c r="C646" t="s">
        <v>770</v>
      </c>
      <c r="D646" t="s">
        <v>200</v>
      </c>
    </row>
    <row r="647" spans="2:4" x14ac:dyDescent="0.3">
      <c r="B647">
        <v>37504</v>
      </c>
      <c r="C647" t="s">
        <v>770</v>
      </c>
      <c r="D647" t="s">
        <v>204</v>
      </c>
    </row>
    <row r="648" spans="2:4" x14ac:dyDescent="0.3">
      <c r="B648">
        <v>37506</v>
      </c>
      <c r="C648" t="s">
        <v>770</v>
      </c>
      <c r="D648" t="s">
        <v>207</v>
      </c>
    </row>
    <row r="649" spans="2:4" x14ac:dyDescent="0.3">
      <c r="B649">
        <v>52330</v>
      </c>
      <c r="C649" t="s">
        <v>770</v>
      </c>
      <c r="D649" t="s">
        <v>308</v>
      </c>
    </row>
    <row r="650" spans="2:4" x14ac:dyDescent="0.3">
      <c r="B650">
        <v>52331</v>
      </c>
      <c r="C650" t="s">
        <v>770</v>
      </c>
      <c r="D650" t="s">
        <v>738</v>
      </c>
    </row>
    <row r="651" spans="2:4" x14ac:dyDescent="0.3">
      <c r="B651">
        <v>42698</v>
      </c>
      <c r="C651" t="s">
        <v>770</v>
      </c>
      <c r="D651" t="s">
        <v>215</v>
      </c>
    </row>
    <row r="652" spans="2:4" x14ac:dyDescent="0.3">
      <c r="B652">
        <v>37508</v>
      </c>
      <c r="C652" t="s">
        <v>770</v>
      </c>
      <c r="D652" t="s">
        <v>739</v>
      </c>
    </row>
    <row r="653" spans="2:4" x14ac:dyDescent="0.3">
      <c r="B653">
        <v>37509</v>
      </c>
      <c r="C653" t="s">
        <v>770</v>
      </c>
      <c r="D653" t="s">
        <v>219</v>
      </c>
    </row>
    <row r="654" spans="2:4" x14ac:dyDescent="0.3">
      <c r="B654">
        <v>37510</v>
      </c>
      <c r="C654" t="s">
        <v>770</v>
      </c>
      <c r="D654" t="s">
        <v>223</v>
      </c>
    </row>
    <row r="655" spans="2:4" x14ac:dyDescent="0.3">
      <c r="B655">
        <v>37511</v>
      </c>
      <c r="C655" t="s">
        <v>770</v>
      </c>
      <c r="D655" t="s">
        <v>226</v>
      </c>
    </row>
    <row r="656" spans="2:4" x14ac:dyDescent="0.3">
      <c r="B656">
        <v>43992</v>
      </c>
      <c r="C656" t="s">
        <v>770</v>
      </c>
      <c r="D656" t="s">
        <v>233</v>
      </c>
    </row>
    <row r="657" spans="2:4" x14ac:dyDescent="0.3">
      <c r="B657">
        <v>37513</v>
      </c>
      <c r="C657" t="s">
        <v>770</v>
      </c>
      <c r="D657" t="s">
        <v>237</v>
      </c>
    </row>
    <row r="658" spans="2:4" x14ac:dyDescent="0.3">
      <c r="B658">
        <v>37514</v>
      </c>
      <c r="C658" t="s">
        <v>770</v>
      </c>
      <c r="D658" t="s">
        <v>241</v>
      </c>
    </row>
    <row r="659" spans="2:4" x14ac:dyDescent="0.3">
      <c r="B659">
        <v>37516</v>
      </c>
      <c r="C659" t="s">
        <v>770</v>
      </c>
      <c r="D659" t="s">
        <v>255</v>
      </c>
    </row>
    <row r="660" spans="2:4" x14ac:dyDescent="0.3">
      <c r="B660">
        <v>37517</v>
      </c>
      <c r="C660" t="s">
        <v>770</v>
      </c>
      <c r="D660" t="s">
        <v>258</v>
      </c>
    </row>
    <row r="661" spans="2:4" x14ac:dyDescent="0.3">
      <c r="B661">
        <v>50175</v>
      </c>
      <c r="C661" t="s">
        <v>770</v>
      </c>
      <c r="D661" t="s">
        <v>261</v>
      </c>
    </row>
    <row r="662" spans="2:4" x14ac:dyDescent="0.3">
      <c r="B662">
        <v>37519</v>
      </c>
      <c r="C662" t="s">
        <v>770</v>
      </c>
      <c r="D662" t="s">
        <v>266</v>
      </c>
    </row>
    <row r="663" spans="2:4" x14ac:dyDescent="0.3">
      <c r="B663">
        <v>41555</v>
      </c>
      <c r="C663" t="s">
        <v>770</v>
      </c>
      <c r="D663" t="s">
        <v>270</v>
      </c>
    </row>
    <row r="664" spans="2:4" x14ac:dyDescent="0.3">
      <c r="B664">
        <v>37520</v>
      </c>
      <c r="C664" t="s">
        <v>770</v>
      </c>
      <c r="D664" t="s">
        <v>742</v>
      </c>
    </row>
    <row r="665" spans="2:4" x14ac:dyDescent="0.3">
      <c r="B665">
        <v>50771</v>
      </c>
      <c r="C665" t="s">
        <v>770</v>
      </c>
      <c r="D665" t="s">
        <v>743</v>
      </c>
    </row>
    <row r="666" spans="2:4" x14ac:dyDescent="0.3">
      <c r="B666">
        <v>43889</v>
      </c>
      <c r="C666" t="s">
        <v>770</v>
      </c>
      <c r="D666" t="s">
        <v>744</v>
      </c>
    </row>
    <row r="667" spans="2:4" x14ac:dyDescent="0.3">
      <c r="B667">
        <v>37533</v>
      </c>
      <c r="C667" t="s">
        <v>770</v>
      </c>
      <c r="D667" t="s">
        <v>277</v>
      </c>
    </row>
    <row r="668" spans="2:4" x14ac:dyDescent="0.3">
      <c r="B668">
        <v>52327</v>
      </c>
      <c r="C668" t="s">
        <v>770</v>
      </c>
      <c r="D668" t="s">
        <v>287</v>
      </c>
    </row>
    <row r="669" spans="2:4" x14ac:dyDescent="0.3">
      <c r="B669">
        <v>43994</v>
      </c>
      <c r="C669" t="s">
        <v>770</v>
      </c>
      <c r="D669" t="s">
        <v>290</v>
      </c>
    </row>
    <row r="670" spans="2:4" x14ac:dyDescent="0.3">
      <c r="B670">
        <v>37530</v>
      </c>
      <c r="C670" t="s">
        <v>770</v>
      </c>
      <c r="D670" t="s">
        <v>461</v>
      </c>
    </row>
    <row r="671" spans="2:4" x14ac:dyDescent="0.3">
      <c r="B671">
        <v>95465</v>
      </c>
      <c r="C671" t="s">
        <v>770</v>
      </c>
      <c r="D671" t="s">
        <v>745</v>
      </c>
    </row>
    <row r="672" spans="2:4" x14ac:dyDescent="0.3">
      <c r="B672">
        <v>37553</v>
      </c>
      <c r="C672" t="s">
        <v>770</v>
      </c>
      <c r="D672" t="s">
        <v>298</v>
      </c>
    </row>
    <row r="673" spans="2:4" x14ac:dyDescent="0.3">
      <c r="B673">
        <v>37552</v>
      </c>
      <c r="C673" t="s">
        <v>770</v>
      </c>
      <c r="D673" t="s">
        <v>301</v>
      </c>
    </row>
    <row r="674" spans="2:4" x14ac:dyDescent="0.3">
      <c r="B674">
        <v>51438</v>
      </c>
      <c r="C674" t="s">
        <v>770</v>
      </c>
      <c r="D674" t="s">
        <v>746</v>
      </c>
    </row>
    <row r="675" spans="2:4" x14ac:dyDescent="0.3">
      <c r="B675">
        <v>37414</v>
      </c>
      <c r="C675" t="s">
        <v>770</v>
      </c>
      <c r="D675" t="s">
        <v>309</v>
      </c>
    </row>
    <row r="676" spans="2:4" x14ac:dyDescent="0.3">
      <c r="B676">
        <v>37534</v>
      </c>
      <c r="C676" t="s">
        <v>770</v>
      </c>
      <c r="D676" t="s">
        <v>314</v>
      </c>
    </row>
    <row r="677" spans="2:4" x14ac:dyDescent="0.3">
      <c r="B677">
        <v>37535</v>
      </c>
      <c r="C677" t="s">
        <v>770</v>
      </c>
      <c r="D677" t="s">
        <v>747</v>
      </c>
    </row>
    <row r="678" spans="2:4" x14ac:dyDescent="0.3">
      <c r="B678">
        <v>37537</v>
      </c>
      <c r="C678" t="s">
        <v>770</v>
      </c>
      <c r="D678" t="s">
        <v>196</v>
      </c>
    </row>
    <row r="679" spans="2:4" x14ac:dyDescent="0.3">
      <c r="B679">
        <v>37539</v>
      </c>
      <c r="C679" t="s">
        <v>770</v>
      </c>
      <c r="D679" t="s">
        <v>330</v>
      </c>
    </row>
    <row r="680" spans="2:4" x14ac:dyDescent="0.3">
      <c r="B680">
        <v>37540</v>
      </c>
      <c r="C680" t="s">
        <v>770</v>
      </c>
      <c r="D680" t="s">
        <v>334</v>
      </c>
    </row>
    <row r="681" spans="2:4" x14ac:dyDescent="0.3">
      <c r="B681">
        <v>37541</v>
      </c>
      <c r="C681" t="s">
        <v>770</v>
      </c>
      <c r="D681" t="s">
        <v>339</v>
      </c>
    </row>
    <row r="682" spans="2:4" x14ac:dyDescent="0.3">
      <c r="B682">
        <v>42910</v>
      </c>
      <c r="C682" t="s">
        <v>770</v>
      </c>
      <c r="D682" t="s">
        <v>748</v>
      </c>
    </row>
    <row r="683" spans="2:4" x14ac:dyDescent="0.3">
      <c r="B683">
        <v>37542</v>
      </c>
      <c r="C683" t="s">
        <v>770</v>
      </c>
      <c r="D683" t="s">
        <v>343</v>
      </c>
    </row>
    <row r="684" spans="2:4" x14ac:dyDescent="0.3">
      <c r="B684">
        <v>37543</v>
      </c>
      <c r="C684" t="s">
        <v>770</v>
      </c>
      <c r="D684" t="s">
        <v>347</v>
      </c>
    </row>
    <row r="685" spans="2:4" x14ac:dyDescent="0.3">
      <c r="B685">
        <v>40325</v>
      </c>
      <c r="C685" t="s">
        <v>770</v>
      </c>
      <c r="D685" t="s">
        <v>120</v>
      </c>
    </row>
    <row r="686" spans="2:4" x14ac:dyDescent="0.3">
      <c r="B686">
        <v>52332</v>
      </c>
      <c r="C686" t="s">
        <v>770</v>
      </c>
      <c r="D686" t="s">
        <v>353</v>
      </c>
    </row>
    <row r="687" spans="2:4" x14ac:dyDescent="0.3">
      <c r="B687">
        <v>37544</v>
      </c>
      <c r="C687" t="s">
        <v>770</v>
      </c>
      <c r="D687" t="s">
        <v>357</v>
      </c>
    </row>
    <row r="688" spans="2:4" x14ac:dyDescent="0.3">
      <c r="B688">
        <v>43357</v>
      </c>
      <c r="C688" t="s">
        <v>770</v>
      </c>
      <c r="D688" t="s">
        <v>749</v>
      </c>
    </row>
    <row r="689" spans="2:4" x14ac:dyDescent="0.3">
      <c r="B689">
        <v>51166</v>
      </c>
      <c r="C689" t="s">
        <v>770</v>
      </c>
      <c r="D689" t="s">
        <v>362</v>
      </c>
    </row>
    <row r="690" spans="2:4" x14ac:dyDescent="0.3">
      <c r="B690">
        <v>39091</v>
      </c>
      <c r="C690" t="s">
        <v>770</v>
      </c>
      <c r="D690" t="s">
        <v>366</v>
      </c>
    </row>
    <row r="691" spans="2:4" x14ac:dyDescent="0.3">
      <c r="B691">
        <v>51447</v>
      </c>
      <c r="C691" t="s">
        <v>770</v>
      </c>
      <c r="D691" t="s">
        <v>370</v>
      </c>
    </row>
    <row r="692" spans="2:4" x14ac:dyDescent="0.3">
      <c r="B692">
        <v>37545</v>
      </c>
      <c r="C692" t="s">
        <v>770</v>
      </c>
      <c r="D692" t="s">
        <v>372</v>
      </c>
    </row>
    <row r="693" spans="2:4" x14ac:dyDescent="0.3">
      <c r="B693">
        <v>37551</v>
      </c>
      <c r="C693" t="s">
        <v>770</v>
      </c>
      <c r="D693" t="s">
        <v>609</v>
      </c>
    </row>
    <row r="694" spans="2:4" x14ac:dyDescent="0.3">
      <c r="B694">
        <v>37546</v>
      </c>
      <c r="C694" t="s">
        <v>770</v>
      </c>
      <c r="D694" t="s">
        <v>377</v>
      </c>
    </row>
    <row r="695" spans="2:4" x14ac:dyDescent="0.3">
      <c r="B695">
        <v>36843</v>
      </c>
      <c r="C695" t="s">
        <v>770</v>
      </c>
      <c r="D695" t="s">
        <v>122</v>
      </c>
    </row>
    <row r="696" spans="2:4" x14ac:dyDescent="0.3">
      <c r="B696">
        <v>43412</v>
      </c>
      <c r="C696" t="s">
        <v>770</v>
      </c>
      <c r="D696" t="s">
        <v>751</v>
      </c>
    </row>
    <row r="697" spans="2:4" x14ac:dyDescent="0.3">
      <c r="B697">
        <v>50306</v>
      </c>
      <c r="C697" t="s">
        <v>770</v>
      </c>
      <c r="D697" t="s">
        <v>384</v>
      </c>
    </row>
    <row r="698" spans="2:4" x14ac:dyDescent="0.3">
      <c r="B698">
        <v>37547</v>
      </c>
      <c r="C698" t="s">
        <v>770</v>
      </c>
      <c r="D698" t="s">
        <v>388</v>
      </c>
    </row>
    <row r="699" spans="2:4" x14ac:dyDescent="0.3">
      <c r="B699">
        <v>55297</v>
      </c>
      <c r="C699" t="s">
        <v>770</v>
      </c>
      <c r="D699" t="s">
        <v>752</v>
      </c>
    </row>
    <row r="700" spans="2:4" x14ac:dyDescent="0.3">
      <c r="B700">
        <v>67539</v>
      </c>
      <c r="C700" t="s">
        <v>770</v>
      </c>
      <c r="D700" t="s">
        <v>399</v>
      </c>
    </row>
    <row r="701" spans="2:4" x14ac:dyDescent="0.3">
      <c r="B701">
        <v>73497</v>
      </c>
      <c r="C701" t="s">
        <v>770</v>
      </c>
      <c r="D701" t="s">
        <v>463</v>
      </c>
    </row>
    <row r="702" spans="2:4" x14ac:dyDescent="0.3">
      <c r="B702">
        <v>67530</v>
      </c>
      <c r="C702" t="s">
        <v>770</v>
      </c>
      <c r="D702" t="s">
        <v>293</v>
      </c>
    </row>
    <row r="703" spans="2:4" x14ac:dyDescent="0.3">
      <c r="B703">
        <v>67582</v>
      </c>
      <c r="C703" t="s">
        <v>770</v>
      </c>
      <c r="D703" t="s">
        <v>413</v>
      </c>
    </row>
    <row r="704" spans="2:4" x14ac:dyDescent="0.3">
      <c r="B704">
        <v>80906</v>
      </c>
      <c r="C704" t="s">
        <v>770</v>
      </c>
      <c r="D704" t="s">
        <v>527</v>
      </c>
    </row>
    <row r="705" spans="2:4" x14ac:dyDescent="0.3">
      <c r="B705">
        <v>42710</v>
      </c>
      <c r="C705" t="s">
        <v>770</v>
      </c>
      <c r="D705" t="s">
        <v>336</v>
      </c>
    </row>
    <row r="706" spans="2:4" x14ac:dyDescent="0.3">
      <c r="B706">
        <v>72085</v>
      </c>
      <c r="C706" t="s">
        <v>770</v>
      </c>
      <c r="D706" t="s">
        <v>365</v>
      </c>
    </row>
    <row r="707" spans="2:4" x14ac:dyDescent="0.3">
      <c r="B707">
        <v>80510</v>
      </c>
      <c r="C707" t="s">
        <v>770</v>
      </c>
      <c r="D707" t="s">
        <v>321</v>
      </c>
    </row>
    <row r="708" spans="2:4" x14ac:dyDescent="0.3">
      <c r="B708">
        <v>84746</v>
      </c>
      <c r="C708" t="s">
        <v>770</v>
      </c>
      <c r="D708" t="s">
        <v>447</v>
      </c>
    </row>
    <row r="709" spans="2:4" x14ac:dyDescent="0.3">
      <c r="B709">
        <v>84723</v>
      </c>
      <c r="C709" t="s">
        <v>770</v>
      </c>
      <c r="D709" t="s">
        <v>189</v>
      </c>
    </row>
    <row r="710" spans="2:4" x14ac:dyDescent="0.3">
      <c r="B710">
        <v>37507</v>
      </c>
      <c r="C710" t="s">
        <v>770</v>
      </c>
      <c r="D710" t="s">
        <v>212</v>
      </c>
    </row>
    <row r="711" spans="2:4" x14ac:dyDescent="0.3">
      <c r="B711">
        <v>84629</v>
      </c>
      <c r="C711" t="s">
        <v>770</v>
      </c>
      <c r="D711" t="s">
        <v>740</v>
      </c>
    </row>
    <row r="712" spans="2:4" x14ac:dyDescent="0.3">
      <c r="B712">
        <v>67529</v>
      </c>
      <c r="C712" t="s">
        <v>770</v>
      </c>
      <c r="D712" t="s">
        <v>250</v>
      </c>
    </row>
    <row r="713" spans="2:4" x14ac:dyDescent="0.3">
      <c r="B713">
        <v>84630</v>
      </c>
      <c r="C713" t="s">
        <v>770</v>
      </c>
      <c r="D713" t="s">
        <v>741</v>
      </c>
    </row>
    <row r="714" spans="2:4" x14ac:dyDescent="0.3">
      <c r="B714">
        <v>84631</v>
      </c>
      <c r="C714" t="s">
        <v>770</v>
      </c>
      <c r="D714" t="s">
        <v>274</v>
      </c>
    </row>
    <row r="715" spans="2:4" x14ac:dyDescent="0.3">
      <c r="B715">
        <v>67562</v>
      </c>
      <c r="C715" t="s">
        <v>770</v>
      </c>
      <c r="D715" t="s">
        <v>282</v>
      </c>
    </row>
    <row r="716" spans="2:4" x14ac:dyDescent="0.3">
      <c r="B716">
        <v>84632</v>
      </c>
      <c r="C716" t="s">
        <v>770</v>
      </c>
      <c r="D716" t="s">
        <v>305</v>
      </c>
    </row>
    <row r="717" spans="2:4" x14ac:dyDescent="0.3">
      <c r="B717">
        <v>67531</v>
      </c>
      <c r="C717" t="s">
        <v>770</v>
      </c>
      <c r="D717" t="s">
        <v>318</v>
      </c>
    </row>
    <row r="718" spans="2:4" x14ac:dyDescent="0.3">
      <c r="B718">
        <v>67532</v>
      </c>
      <c r="C718" t="s">
        <v>770</v>
      </c>
      <c r="D718" t="s">
        <v>323</v>
      </c>
    </row>
    <row r="719" spans="2:4" x14ac:dyDescent="0.3">
      <c r="B719">
        <v>67567</v>
      </c>
      <c r="C719" t="s">
        <v>770</v>
      </c>
      <c r="D719" t="s">
        <v>327</v>
      </c>
    </row>
    <row r="720" spans="2:4" x14ac:dyDescent="0.3">
      <c r="B720">
        <v>67564</v>
      </c>
      <c r="C720" t="s">
        <v>770</v>
      </c>
      <c r="D720" t="s">
        <v>374</v>
      </c>
    </row>
    <row r="721" spans="2:4" x14ac:dyDescent="0.3">
      <c r="B721">
        <v>67534</v>
      </c>
      <c r="C721" t="s">
        <v>770</v>
      </c>
      <c r="D721" t="s">
        <v>707</v>
      </c>
    </row>
    <row r="722" spans="2:4" x14ac:dyDescent="0.3">
      <c r="B722">
        <v>67537</v>
      </c>
      <c r="C722" t="s">
        <v>770</v>
      </c>
      <c r="D722" t="s">
        <v>750</v>
      </c>
    </row>
    <row r="723" spans="2:4" x14ac:dyDescent="0.3">
      <c r="B723">
        <v>84633</v>
      </c>
      <c r="C723" t="s">
        <v>770</v>
      </c>
      <c r="D723" t="s">
        <v>222</v>
      </c>
    </row>
    <row r="724" spans="2:4" x14ac:dyDescent="0.3">
      <c r="B724">
        <v>84636</v>
      </c>
      <c r="C724" t="s">
        <v>770</v>
      </c>
      <c r="D724" t="s">
        <v>392</v>
      </c>
    </row>
    <row r="725" spans="2:4" x14ac:dyDescent="0.3">
      <c r="B725">
        <v>42909</v>
      </c>
      <c r="C725" t="s">
        <v>770</v>
      </c>
      <c r="D725" t="s">
        <v>756</v>
      </c>
    </row>
    <row r="726" spans="2:4" x14ac:dyDescent="0.3">
      <c r="B726">
        <v>37528</v>
      </c>
      <c r="C726" t="s">
        <v>770</v>
      </c>
      <c r="D726" t="s">
        <v>422</v>
      </c>
    </row>
    <row r="727" spans="2:4" x14ac:dyDescent="0.3">
      <c r="B727">
        <v>67563</v>
      </c>
      <c r="C727" t="s">
        <v>770</v>
      </c>
      <c r="D727" t="s">
        <v>194</v>
      </c>
    </row>
    <row r="728" spans="2:4" x14ac:dyDescent="0.3">
      <c r="B728">
        <v>67566</v>
      </c>
      <c r="C728" t="s">
        <v>770</v>
      </c>
      <c r="D728" t="s">
        <v>342</v>
      </c>
    </row>
    <row r="729" spans="2:4" x14ac:dyDescent="0.3">
      <c r="B729">
        <v>84759</v>
      </c>
      <c r="C729" t="s">
        <v>770</v>
      </c>
      <c r="D729" t="s">
        <v>280</v>
      </c>
    </row>
    <row r="730" spans="2:4" x14ac:dyDescent="0.3">
      <c r="B730">
        <v>84729</v>
      </c>
      <c r="C730" t="s">
        <v>770</v>
      </c>
      <c r="D730" t="s">
        <v>757</v>
      </c>
    </row>
    <row r="731" spans="2:4" x14ac:dyDescent="0.3">
      <c r="B731">
        <v>47408</v>
      </c>
      <c r="C731" t="s">
        <v>770</v>
      </c>
      <c r="D731" t="s">
        <v>169</v>
      </c>
    </row>
    <row r="732" spans="2:4" x14ac:dyDescent="0.3">
      <c r="B732">
        <v>84725</v>
      </c>
      <c r="C732" t="s">
        <v>770</v>
      </c>
      <c r="D732" t="s">
        <v>328</v>
      </c>
    </row>
    <row r="733" spans="2:4" x14ac:dyDescent="0.3">
      <c r="B733">
        <v>84726</v>
      </c>
      <c r="C733" t="s">
        <v>770</v>
      </c>
      <c r="D733" t="s">
        <v>351</v>
      </c>
    </row>
    <row r="734" spans="2:4" x14ac:dyDescent="0.3">
      <c r="B734">
        <v>84748</v>
      </c>
      <c r="C734" t="s">
        <v>770</v>
      </c>
      <c r="D734" t="s">
        <v>485</v>
      </c>
    </row>
    <row r="735" spans="2:4" x14ac:dyDescent="0.3">
      <c r="B735">
        <v>84745</v>
      </c>
      <c r="C735" t="s">
        <v>770</v>
      </c>
      <c r="D735" t="s">
        <v>488</v>
      </c>
    </row>
    <row r="736" spans="2:4" x14ac:dyDescent="0.3">
      <c r="B736">
        <v>84724</v>
      </c>
      <c r="C736" t="s">
        <v>770</v>
      </c>
      <c r="D736" t="s">
        <v>758</v>
      </c>
    </row>
    <row r="737" spans="2:4" x14ac:dyDescent="0.3">
      <c r="B737">
        <v>84751</v>
      </c>
      <c r="C737" t="s">
        <v>770</v>
      </c>
      <c r="D737" t="s">
        <v>491</v>
      </c>
    </row>
    <row r="738" spans="2:4" x14ac:dyDescent="0.3">
      <c r="B738">
        <v>84756</v>
      </c>
      <c r="C738" t="s">
        <v>770</v>
      </c>
      <c r="D738" t="s">
        <v>493</v>
      </c>
    </row>
    <row r="739" spans="2:4" x14ac:dyDescent="0.3">
      <c r="B739">
        <v>84750</v>
      </c>
      <c r="C739" t="s">
        <v>770</v>
      </c>
      <c r="D739" t="s">
        <v>589</v>
      </c>
    </row>
    <row r="740" spans="2:4" x14ac:dyDescent="0.3">
      <c r="B740">
        <v>84747</v>
      </c>
      <c r="C740" t="s">
        <v>770</v>
      </c>
      <c r="D740" t="s">
        <v>510</v>
      </c>
    </row>
    <row r="741" spans="2:4" x14ac:dyDescent="0.3">
      <c r="B741">
        <v>84749</v>
      </c>
      <c r="C741" t="s">
        <v>770</v>
      </c>
      <c r="D741" t="s">
        <v>513</v>
      </c>
    </row>
    <row r="742" spans="2:4" x14ac:dyDescent="0.3">
      <c r="B742">
        <v>84753</v>
      </c>
      <c r="C742" t="s">
        <v>770</v>
      </c>
      <c r="D742" t="s">
        <v>517</v>
      </c>
    </row>
    <row r="743" spans="2:4" x14ac:dyDescent="0.3">
      <c r="B743">
        <v>87158</v>
      </c>
      <c r="C743" t="s">
        <v>770</v>
      </c>
      <c r="D743" t="s">
        <v>395</v>
      </c>
    </row>
    <row r="744" spans="2:4" x14ac:dyDescent="0.3">
      <c r="B744">
        <v>87164</v>
      </c>
      <c r="C744" t="s">
        <v>770</v>
      </c>
      <c r="D744" t="s">
        <v>123</v>
      </c>
    </row>
    <row r="745" spans="2:4" x14ac:dyDescent="0.3">
      <c r="B745">
        <v>87166</v>
      </c>
      <c r="C745" t="s">
        <v>770</v>
      </c>
      <c r="D745" t="s">
        <v>759</v>
      </c>
    </row>
    <row r="746" spans="2:4" x14ac:dyDescent="0.3">
      <c r="B746">
        <v>88097</v>
      </c>
      <c r="C746" t="s">
        <v>770</v>
      </c>
      <c r="D746" t="s">
        <v>521</v>
      </c>
    </row>
    <row r="747" spans="2:4" x14ac:dyDescent="0.3">
      <c r="B747">
        <v>88098</v>
      </c>
      <c r="C747" t="s">
        <v>770</v>
      </c>
      <c r="D747" t="s">
        <v>216</v>
      </c>
    </row>
    <row r="748" spans="2:4" x14ac:dyDescent="0.3">
      <c r="B748">
        <v>88147</v>
      </c>
      <c r="C748" t="s">
        <v>770</v>
      </c>
      <c r="D748" t="s">
        <v>449</v>
      </c>
    </row>
    <row r="749" spans="2:4" x14ac:dyDescent="0.3">
      <c r="B749">
        <v>88149</v>
      </c>
      <c r="C749" t="s">
        <v>770</v>
      </c>
      <c r="D749" t="s">
        <v>431</v>
      </c>
    </row>
    <row r="750" spans="2:4" x14ac:dyDescent="0.3">
      <c r="B750">
        <v>62825</v>
      </c>
      <c r="C750" t="s">
        <v>770</v>
      </c>
      <c r="D750" t="s">
        <v>191</v>
      </c>
    </row>
    <row r="751" spans="2:4" x14ac:dyDescent="0.3">
      <c r="B751">
        <v>87235</v>
      </c>
      <c r="C751" t="s">
        <v>770</v>
      </c>
      <c r="D751" t="s">
        <v>191</v>
      </c>
    </row>
    <row r="752" spans="2:4" x14ac:dyDescent="0.3">
      <c r="B752">
        <v>62824</v>
      </c>
      <c r="C752" t="s">
        <v>770</v>
      </c>
      <c r="D752" t="s">
        <v>191</v>
      </c>
    </row>
    <row r="753" spans="2:4" x14ac:dyDescent="0.3">
      <c r="B753">
        <v>87238</v>
      </c>
      <c r="C753" t="s">
        <v>770</v>
      </c>
      <c r="D753" t="s">
        <v>191</v>
      </c>
    </row>
    <row r="754" spans="2:4" x14ac:dyDescent="0.3">
      <c r="B754">
        <v>89328</v>
      </c>
      <c r="C754" t="s">
        <v>770</v>
      </c>
      <c r="D754" t="s">
        <v>761</v>
      </c>
    </row>
    <row r="755" spans="2:4" x14ac:dyDescent="0.3">
      <c r="B755">
        <v>88196</v>
      </c>
      <c r="C755" t="s">
        <v>770</v>
      </c>
      <c r="D755" t="s">
        <v>738</v>
      </c>
    </row>
    <row r="756" spans="2:4" x14ac:dyDescent="0.3">
      <c r="B756">
        <v>88197</v>
      </c>
      <c r="C756" t="s">
        <v>770</v>
      </c>
      <c r="D756" t="s">
        <v>738</v>
      </c>
    </row>
    <row r="757" spans="2:4" x14ac:dyDescent="0.3">
      <c r="B757">
        <v>88198</v>
      </c>
      <c r="C757" t="s">
        <v>770</v>
      </c>
      <c r="D757" t="s">
        <v>738</v>
      </c>
    </row>
    <row r="758" spans="2:4" x14ac:dyDescent="0.3">
      <c r="B758">
        <v>88188</v>
      </c>
      <c r="C758" t="s">
        <v>770</v>
      </c>
      <c r="D758" t="s">
        <v>212</v>
      </c>
    </row>
    <row r="759" spans="2:4" x14ac:dyDescent="0.3">
      <c r="B759">
        <v>88189</v>
      </c>
      <c r="C759" t="s">
        <v>770</v>
      </c>
      <c r="D759" t="s">
        <v>212</v>
      </c>
    </row>
    <row r="760" spans="2:4" x14ac:dyDescent="0.3">
      <c r="B760">
        <v>88190</v>
      </c>
      <c r="C760" t="s">
        <v>770</v>
      </c>
      <c r="D760" t="s">
        <v>212</v>
      </c>
    </row>
    <row r="761" spans="2:4" x14ac:dyDescent="0.3">
      <c r="B761">
        <v>88206</v>
      </c>
      <c r="C761" t="s">
        <v>770</v>
      </c>
      <c r="D761" t="s">
        <v>342</v>
      </c>
    </row>
    <row r="762" spans="2:4" x14ac:dyDescent="0.3">
      <c r="B762">
        <v>88186</v>
      </c>
      <c r="C762" t="s">
        <v>770</v>
      </c>
      <c r="D762" t="s">
        <v>219</v>
      </c>
    </row>
    <row r="763" spans="2:4" x14ac:dyDescent="0.3">
      <c r="B763">
        <v>88191</v>
      </c>
      <c r="C763" t="s">
        <v>770</v>
      </c>
      <c r="D763" t="s">
        <v>219</v>
      </c>
    </row>
    <row r="764" spans="2:4" x14ac:dyDescent="0.3">
      <c r="B764">
        <v>88195</v>
      </c>
      <c r="C764" t="s">
        <v>770</v>
      </c>
      <c r="D764" t="s">
        <v>219</v>
      </c>
    </row>
    <row r="765" spans="2:4" x14ac:dyDescent="0.3">
      <c r="B765">
        <v>88150</v>
      </c>
      <c r="C765" t="s">
        <v>770</v>
      </c>
      <c r="D765" t="s">
        <v>120</v>
      </c>
    </row>
    <row r="766" spans="2:4" x14ac:dyDescent="0.3">
      <c r="B766">
        <v>88199</v>
      </c>
      <c r="C766" t="s">
        <v>770</v>
      </c>
      <c r="D766" t="s">
        <v>384</v>
      </c>
    </row>
    <row r="767" spans="2:4" x14ac:dyDescent="0.3">
      <c r="B767">
        <v>88200</v>
      </c>
      <c r="C767" t="s">
        <v>770</v>
      </c>
      <c r="D767" t="s">
        <v>384</v>
      </c>
    </row>
    <row r="768" spans="2:4" x14ac:dyDescent="0.3">
      <c r="B768">
        <v>88201</v>
      </c>
      <c r="C768" t="s">
        <v>770</v>
      </c>
      <c r="D768" t="s">
        <v>384</v>
      </c>
    </row>
    <row r="769" spans="2:4" x14ac:dyDescent="0.3">
      <c r="B769">
        <v>88146</v>
      </c>
      <c r="C769" t="s">
        <v>770</v>
      </c>
      <c r="D769" t="s">
        <v>228</v>
      </c>
    </row>
    <row r="770" spans="2:4" x14ac:dyDescent="0.3">
      <c r="B770">
        <v>88183</v>
      </c>
      <c r="C770" t="s">
        <v>770</v>
      </c>
      <c r="D770" t="s">
        <v>228</v>
      </c>
    </row>
    <row r="771" spans="2:4" x14ac:dyDescent="0.3">
      <c r="B771">
        <v>88171</v>
      </c>
      <c r="C771" t="s">
        <v>770</v>
      </c>
      <c r="D771" t="s">
        <v>228</v>
      </c>
    </row>
    <row r="772" spans="2:4" x14ac:dyDescent="0.3">
      <c r="B772">
        <v>89662</v>
      </c>
      <c r="C772" t="s">
        <v>770</v>
      </c>
      <c r="D772" t="s">
        <v>335</v>
      </c>
    </row>
    <row r="773" spans="2:4" x14ac:dyDescent="0.3">
      <c r="B773">
        <v>89663</v>
      </c>
      <c r="C773" t="s">
        <v>770</v>
      </c>
      <c r="D773" t="s">
        <v>762</v>
      </c>
    </row>
    <row r="774" spans="2:4" x14ac:dyDescent="0.3">
      <c r="B774">
        <v>89820</v>
      </c>
      <c r="C774" t="s">
        <v>770</v>
      </c>
      <c r="D774" t="s">
        <v>763</v>
      </c>
    </row>
    <row r="775" spans="2:4" x14ac:dyDescent="0.3">
      <c r="B775">
        <v>89961</v>
      </c>
      <c r="C775" t="s">
        <v>770</v>
      </c>
      <c r="D775" t="s">
        <v>360</v>
      </c>
    </row>
    <row r="776" spans="2:4" x14ac:dyDescent="0.3">
      <c r="B776">
        <v>89985</v>
      </c>
      <c r="C776" t="s">
        <v>770</v>
      </c>
      <c r="D776" t="s">
        <v>451</v>
      </c>
    </row>
    <row r="777" spans="2:4" x14ac:dyDescent="0.3">
      <c r="B777">
        <v>90321</v>
      </c>
      <c r="C777" t="s">
        <v>770</v>
      </c>
      <c r="D777" t="s">
        <v>585</v>
      </c>
    </row>
    <row r="778" spans="2:4" x14ac:dyDescent="0.3">
      <c r="B778">
        <v>90322</v>
      </c>
      <c r="C778" t="s">
        <v>770</v>
      </c>
      <c r="D778" t="s">
        <v>418</v>
      </c>
    </row>
    <row r="779" spans="2:4" x14ac:dyDescent="0.3">
      <c r="B779">
        <v>90346</v>
      </c>
      <c r="C779" t="s">
        <v>770</v>
      </c>
      <c r="D779" t="s">
        <v>764</v>
      </c>
    </row>
    <row r="780" spans="2:4" x14ac:dyDescent="0.3">
      <c r="B780">
        <v>90345</v>
      </c>
      <c r="C780" t="s">
        <v>770</v>
      </c>
      <c r="D780" t="s">
        <v>765</v>
      </c>
    </row>
    <row r="781" spans="2:4" x14ac:dyDescent="0.3">
      <c r="B781">
        <v>91132</v>
      </c>
      <c r="C781" t="s">
        <v>770</v>
      </c>
      <c r="D781" t="s">
        <v>519</v>
      </c>
    </row>
    <row r="782" spans="2:4" x14ac:dyDescent="0.3">
      <c r="B782">
        <v>91277</v>
      </c>
      <c r="C782" t="s">
        <v>770</v>
      </c>
      <c r="D782" t="s">
        <v>528</v>
      </c>
    </row>
    <row r="783" spans="2:4" x14ac:dyDescent="0.3">
      <c r="B783">
        <v>91378</v>
      </c>
      <c r="C783" t="s">
        <v>770</v>
      </c>
      <c r="D783" t="s">
        <v>452</v>
      </c>
    </row>
    <row r="784" spans="2:4" x14ac:dyDescent="0.3">
      <c r="B784">
        <v>91616</v>
      </c>
      <c r="C784" t="s">
        <v>770</v>
      </c>
      <c r="D784" t="s">
        <v>329</v>
      </c>
    </row>
    <row r="785" spans="2:4" x14ac:dyDescent="0.3">
      <c r="B785">
        <v>92235</v>
      </c>
      <c r="C785" t="s">
        <v>770</v>
      </c>
      <c r="D785" t="s">
        <v>551</v>
      </c>
    </row>
    <row r="786" spans="2:4" x14ac:dyDescent="0.3">
      <c r="B786">
        <v>92150</v>
      </c>
      <c r="C786" t="s">
        <v>770</v>
      </c>
      <c r="D786" t="s">
        <v>443</v>
      </c>
    </row>
    <row r="787" spans="2:4" x14ac:dyDescent="0.3">
      <c r="B787">
        <v>95328</v>
      </c>
      <c r="C787" t="s">
        <v>770</v>
      </c>
      <c r="D787" t="s">
        <v>346</v>
      </c>
    </row>
    <row r="788" spans="2:4" x14ac:dyDescent="0.3">
      <c r="B788">
        <v>95994</v>
      </c>
      <c r="C788" t="s">
        <v>770</v>
      </c>
      <c r="D788" t="s">
        <v>766</v>
      </c>
    </row>
    <row r="789" spans="2:4" x14ac:dyDescent="0.3">
      <c r="B789">
        <v>96003</v>
      </c>
      <c r="C789" t="s">
        <v>770</v>
      </c>
      <c r="D789" t="s">
        <v>535</v>
      </c>
    </row>
    <row r="790" spans="2:4" x14ac:dyDescent="0.3">
      <c r="B790">
        <v>96171</v>
      </c>
      <c r="C790" t="s">
        <v>770</v>
      </c>
      <c r="D790" t="s">
        <v>767</v>
      </c>
    </row>
    <row r="791" spans="2:4" x14ac:dyDescent="0.3">
      <c r="B791">
        <v>96379</v>
      </c>
      <c r="C791" t="s">
        <v>770</v>
      </c>
      <c r="D791" t="s">
        <v>768</v>
      </c>
    </row>
    <row r="792" spans="2:4" x14ac:dyDescent="0.3">
      <c r="B792">
        <v>96519</v>
      </c>
      <c r="C792" t="s">
        <v>770</v>
      </c>
      <c r="D792" t="s">
        <v>769</v>
      </c>
    </row>
    <row r="793" spans="2:4" x14ac:dyDescent="0.3">
      <c r="B793">
        <v>97177</v>
      </c>
      <c r="C793" t="s">
        <v>770</v>
      </c>
      <c r="D793" t="s">
        <v>500</v>
      </c>
    </row>
    <row r="794" spans="2:4" x14ac:dyDescent="0.3">
      <c r="B794">
        <v>97694</v>
      </c>
      <c r="C794" t="s">
        <v>770</v>
      </c>
      <c r="D794" t="s">
        <v>771</v>
      </c>
    </row>
    <row r="795" spans="2:4" x14ac:dyDescent="0.3">
      <c r="B795">
        <v>97756</v>
      </c>
      <c r="C795" t="s">
        <v>770</v>
      </c>
      <c r="D795" t="s">
        <v>298</v>
      </c>
    </row>
    <row r="796" spans="2:4" x14ac:dyDescent="0.3">
      <c r="B796">
        <v>97588</v>
      </c>
      <c r="C796" t="s">
        <v>770</v>
      </c>
      <c r="D796" t="s">
        <v>249</v>
      </c>
    </row>
    <row r="797" spans="2:4" x14ac:dyDescent="0.3">
      <c r="B797">
        <v>98185</v>
      </c>
      <c r="C797" t="s">
        <v>770</v>
      </c>
      <c r="D797" t="s">
        <v>303</v>
      </c>
    </row>
    <row r="798" spans="2:4" x14ac:dyDescent="0.3">
      <c r="B798">
        <v>98395</v>
      </c>
      <c r="C798" t="s">
        <v>770</v>
      </c>
      <c r="D798" t="s">
        <v>298</v>
      </c>
    </row>
    <row r="799" spans="2:4" x14ac:dyDescent="0.3">
      <c r="B799">
        <v>99568</v>
      </c>
      <c r="C799" t="s">
        <v>770</v>
      </c>
      <c r="D799" t="s">
        <v>430</v>
      </c>
    </row>
    <row r="800" spans="2:4" x14ac:dyDescent="0.3">
      <c r="B800">
        <v>99974</v>
      </c>
      <c r="C800" t="s">
        <v>770</v>
      </c>
      <c r="D800" t="s">
        <v>772</v>
      </c>
    </row>
    <row r="801" spans="2:4" x14ac:dyDescent="0.3">
      <c r="B801">
        <v>100635</v>
      </c>
      <c r="C801" t="s">
        <v>770</v>
      </c>
      <c r="D801" t="s">
        <v>380</v>
      </c>
    </row>
    <row r="802" spans="2:4" x14ac:dyDescent="0.3">
      <c r="B802">
        <v>100895</v>
      </c>
      <c r="C802" t="s">
        <v>770</v>
      </c>
      <c r="D802" t="s">
        <v>605</v>
      </c>
    </row>
    <row r="803" spans="2:4" x14ac:dyDescent="0.3">
      <c r="B803">
        <v>101092</v>
      </c>
      <c r="C803" t="s">
        <v>770</v>
      </c>
      <c r="D803" t="s">
        <v>337</v>
      </c>
    </row>
    <row r="804" spans="2:4" x14ac:dyDescent="0.3">
      <c r="B804">
        <v>102032</v>
      </c>
      <c r="C804" t="s">
        <v>770</v>
      </c>
      <c r="D804" t="s">
        <v>341</v>
      </c>
    </row>
    <row r="805" spans="2:4" x14ac:dyDescent="0.3">
      <c r="B805">
        <v>102380</v>
      </c>
      <c r="C805" t="s">
        <v>770</v>
      </c>
      <c r="D805" t="s">
        <v>252</v>
      </c>
    </row>
    <row r="806" spans="2:4" x14ac:dyDescent="0.3">
      <c r="B806">
        <v>102425</v>
      </c>
      <c r="C806" t="s">
        <v>770</v>
      </c>
      <c r="D806" t="s">
        <v>773</v>
      </c>
    </row>
    <row r="807" spans="2:4" x14ac:dyDescent="0.3">
      <c r="B807">
        <v>102605</v>
      </c>
      <c r="C807" t="s">
        <v>770</v>
      </c>
      <c r="D807" t="s">
        <v>774</v>
      </c>
    </row>
    <row r="808" spans="2:4" x14ac:dyDescent="0.3">
      <c r="B808">
        <v>102615</v>
      </c>
      <c r="C808" t="s">
        <v>770</v>
      </c>
      <c r="D808" t="s">
        <v>125</v>
      </c>
    </row>
    <row r="809" spans="2:4" x14ac:dyDescent="0.3">
      <c r="B809">
        <v>102731</v>
      </c>
      <c r="C809" t="s">
        <v>770</v>
      </c>
      <c r="D809" t="s">
        <v>480</v>
      </c>
    </row>
    <row r="810" spans="2:4" x14ac:dyDescent="0.3">
      <c r="B810">
        <v>102820</v>
      </c>
      <c r="C810" t="s">
        <v>770</v>
      </c>
      <c r="D810" t="s">
        <v>720</v>
      </c>
    </row>
    <row r="811" spans="2:4" x14ac:dyDescent="0.3">
      <c r="B811">
        <v>102859</v>
      </c>
      <c r="C811" t="s">
        <v>770</v>
      </c>
      <c r="D811" t="s">
        <v>323</v>
      </c>
    </row>
    <row r="812" spans="2:4" x14ac:dyDescent="0.3">
      <c r="B812">
        <v>89960</v>
      </c>
      <c r="C812" t="s">
        <v>770</v>
      </c>
      <c r="D812" t="s">
        <v>589</v>
      </c>
    </row>
    <row r="813" spans="2:4" x14ac:dyDescent="0.3">
      <c r="B813">
        <v>103300</v>
      </c>
      <c r="C813" t="s">
        <v>770</v>
      </c>
      <c r="D813" t="s">
        <v>515</v>
      </c>
    </row>
    <row r="814" spans="2:4" x14ac:dyDescent="0.3">
      <c r="B814">
        <v>103106</v>
      </c>
      <c r="C814" t="s">
        <v>770</v>
      </c>
      <c r="D814" t="s">
        <v>126</v>
      </c>
    </row>
    <row r="815" spans="2:4" x14ac:dyDescent="0.3">
      <c r="B815">
        <v>140298</v>
      </c>
      <c r="C815" t="s">
        <v>770</v>
      </c>
      <c r="D815" t="s">
        <v>611</v>
      </c>
    </row>
    <row r="816" spans="2:4" x14ac:dyDescent="0.3">
      <c r="B816">
        <v>99867</v>
      </c>
      <c r="C816" t="s">
        <v>770</v>
      </c>
      <c r="D816" t="s">
        <v>232</v>
      </c>
    </row>
    <row r="817" spans="2:4" x14ac:dyDescent="0.3">
      <c r="B817">
        <v>141671</v>
      </c>
      <c r="C817" t="s">
        <v>770</v>
      </c>
      <c r="D817" t="s">
        <v>775</v>
      </c>
    </row>
    <row r="818" spans="2:4" x14ac:dyDescent="0.3">
      <c r="B818">
        <v>142936</v>
      </c>
      <c r="C818" t="s">
        <v>770</v>
      </c>
      <c r="D818" t="s">
        <v>580</v>
      </c>
    </row>
    <row r="819" spans="2:4" x14ac:dyDescent="0.3">
      <c r="B819">
        <v>144004</v>
      </c>
      <c r="C819" t="s">
        <v>770</v>
      </c>
      <c r="D819" t="s">
        <v>777</v>
      </c>
    </row>
    <row r="820" spans="2:4" x14ac:dyDescent="0.3">
      <c r="B820">
        <v>143993</v>
      </c>
      <c r="C820" t="s">
        <v>770</v>
      </c>
      <c r="D820" t="s">
        <v>349</v>
      </c>
    </row>
    <row r="821" spans="2:4" x14ac:dyDescent="0.3">
      <c r="B821">
        <v>99810</v>
      </c>
      <c r="C821" t="s">
        <v>770</v>
      </c>
      <c r="D821" t="s">
        <v>540</v>
      </c>
    </row>
    <row r="822" spans="2:4" x14ac:dyDescent="0.3">
      <c r="B822">
        <v>144684</v>
      </c>
      <c r="C822" t="s">
        <v>770</v>
      </c>
      <c r="D822" t="s">
        <v>242</v>
      </c>
    </row>
    <row r="823" spans="2:4" x14ac:dyDescent="0.3">
      <c r="B823">
        <v>145193</v>
      </c>
      <c r="C823" t="s">
        <v>770</v>
      </c>
      <c r="D823" t="s">
        <v>169</v>
      </c>
    </row>
    <row r="824" spans="2:4" x14ac:dyDescent="0.3">
      <c r="B824">
        <v>145194</v>
      </c>
      <c r="C824" t="s">
        <v>770</v>
      </c>
      <c r="D824" t="s">
        <v>169</v>
      </c>
    </row>
    <row r="825" spans="2:4" x14ac:dyDescent="0.3">
      <c r="B825">
        <v>56427</v>
      </c>
      <c r="C825" t="s">
        <v>770</v>
      </c>
      <c r="D825" t="s">
        <v>169</v>
      </c>
    </row>
    <row r="826" spans="2:4" x14ac:dyDescent="0.3">
      <c r="B826">
        <v>146086</v>
      </c>
      <c r="C826" t="s">
        <v>770</v>
      </c>
      <c r="D826" t="s">
        <v>298</v>
      </c>
    </row>
    <row r="827" spans="2:4" x14ac:dyDescent="0.3">
      <c r="B827">
        <v>146085</v>
      </c>
      <c r="C827" t="s">
        <v>770</v>
      </c>
      <c r="D827" t="s">
        <v>298</v>
      </c>
    </row>
    <row r="828" spans="2:4" x14ac:dyDescent="0.3">
      <c r="B828">
        <v>146243</v>
      </c>
      <c r="C828" t="s">
        <v>770</v>
      </c>
      <c r="D828" t="s">
        <v>385</v>
      </c>
    </row>
    <row r="829" spans="2:4" x14ac:dyDescent="0.3">
      <c r="B829">
        <v>146816</v>
      </c>
      <c r="C829" t="s">
        <v>770</v>
      </c>
      <c r="D829" t="s">
        <v>487</v>
      </c>
    </row>
    <row r="830" spans="2:4" x14ac:dyDescent="0.3">
      <c r="B830">
        <v>148420</v>
      </c>
      <c r="C830" t="s">
        <v>770</v>
      </c>
      <c r="D830" t="s">
        <v>203</v>
      </c>
    </row>
    <row r="831" spans="2:4" x14ac:dyDescent="0.3">
      <c r="B831">
        <v>148495</v>
      </c>
      <c r="C831" t="s">
        <v>770</v>
      </c>
      <c r="D831" t="s">
        <v>368</v>
      </c>
    </row>
    <row r="832" spans="2:4" x14ac:dyDescent="0.3">
      <c r="B832">
        <v>148752</v>
      </c>
      <c r="C832" t="s">
        <v>770</v>
      </c>
      <c r="D832" t="s">
        <v>432</v>
      </c>
    </row>
    <row r="833" spans="2:4" x14ac:dyDescent="0.3">
      <c r="B833">
        <v>149039</v>
      </c>
      <c r="C833" t="s">
        <v>770</v>
      </c>
      <c r="D833" t="s">
        <v>474</v>
      </c>
    </row>
    <row r="834" spans="2:4" x14ac:dyDescent="0.3">
      <c r="B834">
        <v>149722</v>
      </c>
      <c r="C834" t="s">
        <v>770</v>
      </c>
      <c r="D834" t="s">
        <v>325</v>
      </c>
    </row>
    <row r="835" spans="2:4" x14ac:dyDescent="0.3">
      <c r="B835">
        <v>150122</v>
      </c>
      <c r="C835" t="s">
        <v>770</v>
      </c>
      <c r="D835" t="s">
        <v>298</v>
      </c>
    </row>
    <row r="836" spans="2:4" x14ac:dyDescent="0.3">
      <c r="B836">
        <v>150182</v>
      </c>
      <c r="C836" t="s">
        <v>770</v>
      </c>
      <c r="D836" t="s">
        <v>619</v>
      </c>
    </row>
    <row r="837" spans="2:4" x14ac:dyDescent="0.3">
      <c r="B837">
        <v>150249</v>
      </c>
      <c r="C837" t="s">
        <v>770</v>
      </c>
      <c r="D837" t="s">
        <v>358</v>
      </c>
    </row>
    <row r="838" spans="2:4" x14ac:dyDescent="0.3">
      <c r="B838">
        <v>150814</v>
      </c>
      <c r="C838" t="s">
        <v>770</v>
      </c>
      <c r="D838" t="s">
        <v>238</v>
      </c>
    </row>
    <row r="839" spans="2:4" x14ac:dyDescent="0.3">
      <c r="B839">
        <v>151291</v>
      </c>
      <c r="C839" t="s">
        <v>770</v>
      </c>
      <c r="D839" t="s">
        <v>396</v>
      </c>
    </row>
    <row r="840" spans="2:4" x14ac:dyDescent="0.3">
      <c r="B840">
        <v>151290</v>
      </c>
      <c r="C840" t="s">
        <v>770</v>
      </c>
      <c r="D840" t="s">
        <v>206</v>
      </c>
    </row>
    <row r="841" spans="2:4" x14ac:dyDescent="0.3">
      <c r="B841">
        <v>151394</v>
      </c>
      <c r="C841" t="s">
        <v>770</v>
      </c>
      <c r="D841" t="s">
        <v>626</v>
      </c>
    </row>
    <row r="842" spans="2:4" x14ac:dyDescent="0.3">
      <c r="B842">
        <v>151416</v>
      </c>
      <c r="C842" t="s">
        <v>770</v>
      </c>
      <c r="D842" t="s">
        <v>778</v>
      </c>
    </row>
    <row r="843" spans="2:4" x14ac:dyDescent="0.3">
      <c r="B843">
        <v>151549</v>
      </c>
      <c r="C843" t="s">
        <v>770</v>
      </c>
      <c r="D843" t="s">
        <v>779</v>
      </c>
    </row>
    <row r="844" spans="2:4" x14ac:dyDescent="0.3">
      <c r="B844">
        <v>151780</v>
      </c>
      <c r="C844" t="s">
        <v>770</v>
      </c>
      <c r="D844" t="s">
        <v>239</v>
      </c>
    </row>
    <row r="845" spans="2:4" x14ac:dyDescent="0.3">
      <c r="B845">
        <v>155002</v>
      </c>
      <c r="C845" t="s">
        <v>770</v>
      </c>
      <c r="D845" t="s">
        <v>759</v>
      </c>
    </row>
    <row r="846" spans="2:4" x14ac:dyDescent="0.3">
      <c r="B846">
        <v>155277</v>
      </c>
      <c r="C846" t="s">
        <v>770</v>
      </c>
      <c r="D846" t="s">
        <v>402</v>
      </c>
    </row>
    <row r="847" spans="2:4" x14ac:dyDescent="0.3">
      <c r="B847">
        <v>155433</v>
      </c>
      <c r="C847" t="s">
        <v>770</v>
      </c>
      <c r="D847" t="s">
        <v>433</v>
      </c>
    </row>
    <row r="848" spans="2:4" x14ac:dyDescent="0.3">
      <c r="B848">
        <v>155034</v>
      </c>
      <c r="C848" t="s">
        <v>770</v>
      </c>
      <c r="D848" t="s">
        <v>409</v>
      </c>
    </row>
    <row r="849" spans="2:4" x14ac:dyDescent="0.3">
      <c r="B849">
        <v>155675</v>
      </c>
      <c r="C849" t="s">
        <v>770</v>
      </c>
      <c r="D849" t="s">
        <v>780</v>
      </c>
    </row>
    <row r="850" spans="2:4" x14ac:dyDescent="0.3">
      <c r="B850">
        <v>155676</v>
      </c>
      <c r="C850" t="s">
        <v>770</v>
      </c>
      <c r="D850" t="s">
        <v>781</v>
      </c>
    </row>
    <row r="851" spans="2:4" x14ac:dyDescent="0.3">
      <c r="B851">
        <v>156325</v>
      </c>
      <c r="C851" t="s">
        <v>770</v>
      </c>
      <c r="D851" t="s">
        <v>483</v>
      </c>
    </row>
    <row r="852" spans="2:4" x14ac:dyDescent="0.3">
      <c r="B852">
        <v>156446</v>
      </c>
      <c r="C852" t="s">
        <v>770</v>
      </c>
      <c r="D852" t="s">
        <v>550</v>
      </c>
    </row>
    <row r="853" spans="2:4" x14ac:dyDescent="0.3">
      <c r="B853">
        <v>156995</v>
      </c>
      <c r="C853" t="s">
        <v>770</v>
      </c>
      <c r="D853" t="s">
        <v>394</v>
      </c>
    </row>
    <row r="854" spans="2:4" x14ac:dyDescent="0.3">
      <c r="B854">
        <v>156479</v>
      </c>
      <c r="C854" t="s">
        <v>770</v>
      </c>
      <c r="D854" t="s">
        <v>507</v>
      </c>
    </row>
    <row r="855" spans="2:4" x14ac:dyDescent="0.3">
      <c r="B855">
        <v>157564</v>
      </c>
      <c r="C855" t="s">
        <v>770</v>
      </c>
      <c r="D855" t="s">
        <v>218</v>
      </c>
    </row>
    <row r="856" spans="2:4" x14ac:dyDescent="0.3">
      <c r="B856">
        <v>157747</v>
      </c>
      <c r="C856" t="s">
        <v>770</v>
      </c>
      <c r="D856" t="s">
        <v>209</v>
      </c>
    </row>
    <row r="857" spans="2:4" x14ac:dyDescent="0.3">
      <c r="B857">
        <v>158899</v>
      </c>
      <c r="C857" t="s">
        <v>770</v>
      </c>
      <c r="D857" t="s">
        <v>191</v>
      </c>
    </row>
    <row r="858" spans="2:4" x14ac:dyDescent="0.3">
      <c r="B858">
        <v>158015</v>
      </c>
      <c r="C858" t="s">
        <v>770</v>
      </c>
      <c r="D858" t="s">
        <v>782</v>
      </c>
    </row>
    <row r="859" spans="2:4" x14ac:dyDescent="0.3">
      <c r="B859">
        <v>161071</v>
      </c>
      <c r="C859" t="s">
        <v>770</v>
      </c>
      <c r="D859" t="s">
        <v>414</v>
      </c>
    </row>
    <row r="860" spans="2:4" x14ac:dyDescent="0.3">
      <c r="B860">
        <v>161407</v>
      </c>
      <c r="C860" t="s">
        <v>770</v>
      </c>
      <c r="D860" t="s">
        <v>574</v>
      </c>
    </row>
    <row r="861" spans="2:4" x14ac:dyDescent="0.3">
      <c r="B861">
        <v>161888</v>
      </c>
      <c r="C861" t="s">
        <v>770</v>
      </c>
      <c r="D861" t="s">
        <v>419</v>
      </c>
    </row>
    <row r="862" spans="2:4" x14ac:dyDescent="0.3">
      <c r="B862">
        <v>162912</v>
      </c>
      <c r="C862" t="s">
        <v>770</v>
      </c>
      <c r="D862" t="s">
        <v>602</v>
      </c>
    </row>
    <row r="863" spans="2:4" x14ac:dyDescent="0.3">
      <c r="B863">
        <v>162981</v>
      </c>
      <c r="C863" t="s">
        <v>770</v>
      </c>
      <c r="D863" t="s">
        <v>783</v>
      </c>
    </row>
    <row r="864" spans="2:4" x14ac:dyDescent="0.3">
      <c r="B864">
        <v>162563</v>
      </c>
      <c r="C864" t="s">
        <v>770</v>
      </c>
      <c r="D864" t="s">
        <v>784</v>
      </c>
    </row>
    <row r="865" spans="2:4" x14ac:dyDescent="0.3">
      <c r="B865">
        <v>162562</v>
      </c>
      <c r="C865" t="s">
        <v>770</v>
      </c>
      <c r="D865" t="s">
        <v>785</v>
      </c>
    </row>
    <row r="866" spans="2:4" x14ac:dyDescent="0.3">
      <c r="B866">
        <v>163537</v>
      </c>
      <c r="C866" t="s">
        <v>770</v>
      </c>
      <c r="D866" t="s">
        <v>320</v>
      </c>
    </row>
    <row r="867" spans="2:4" x14ac:dyDescent="0.3">
      <c r="B867">
        <v>163646</v>
      </c>
      <c r="C867" t="s">
        <v>770</v>
      </c>
      <c r="D867" t="s">
        <v>381</v>
      </c>
    </row>
    <row r="868" spans="2:4" x14ac:dyDescent="0.3">
      <c r="B868">
        <v>67568</v>
      </c>
      <c r="C868" t="s">
        <v>770</v>
      </c>
      <c r="D868" t="s">
        <v>482</v>
      </c>
    </row>
    <row r="869" spans="2:4" x14ac:dyDescent="0.3">
      <c r="B869">
        <v>156675</v>
      </c>
      <c r="C869" t="s">
        <v>770</v>
      </c>
      <c r="D869" t="s">
        <v>566</v>
      </c>
    </row>
    <row r="870" spans="2:4" x14ac:dyDescent="0.3">
      <c r="B870">
        <v>164277</v>
      </c>
      <c r="C870" t="s">
        <v>770</v>
      </c>
      <c r="D870" t="s">
        <v>217</v>
      </c>
    </row>
    <row r="871" spans="2:4" x14ac:dyDescent="0.3">
      <c r="B871">
        <v>164913</v>
      </c>
      <c r="C871" t="s">
        <v>770</v>
      </c>
      <c r="D871" t="s">
        <v>541</v>
      </c>
    </row>
    <row r="872" spans="2:4" x14ac:dyDescent="0.3">
      <c r="B872">
        <v>165603</v>
      </c>
      <c r="C872" t="s">
        <v>770</v>
      </c>
      <c r="D872" t="s">
        <v>440</v>
      </c>
    </row>
    <row r="873" spans="2:4" x14ac:dyDescent="0.3">
      <c r="B873">
        <v>166128</v>
      </c>
      <c r="C873" t="s">
        <v>770</v>
      </c>
      <c r="D873" t="s">
        <v>388</v>
      </c>
    </row>
    <row r="874" spans="2:4" x14ac:dyDescent="0.3">
      <c r="B874">
        <v>166257</v>
      </c>
      <c r="C874" t="s">
        <v>770</v>
      </c>
      <c r="D874" t="s">
        <v>622</v>
      </c>
    </row>
    <row r="875" spans="2:4" x14ac:dyDescent="0.3">
      <c r="B875">
        <v>166374</v>
      </c>
      <c r="C875" t="s">
        <v>770</v>
      </c>
      <c r="D875" t="s">
        <v>383</v>
      </c>
    </row>
    <row r="876" spans="2:4" x14ac:dyDescent="0.3">
      <c r="B876">
        <v>166464</v>
      </c>
      <c r="C876" t="s">
        <v>770</v>
      </c>
      <c r="D876" t="s">
        <v>390</v>
      </c>
    </row>
    <row r="877" spans="2:4" x14ac:dyDescent="0.3">
      <c r="B877">
        <v>156113</v>
      </c>
      <c r="C877" t="s">
        <v>770</v>
      </c>
      <c r="D877" t="s">
        <v>539</v>
      </c>
    </row>
    <row r="878" spans="2:4" x14ac:dyDescent="0.3">
      <c r="B878">
        <v>167131</v>
      </c>
      <c r="C878" t="s">
        <v>770</v>
      </c>
      <c r="D878" t="s">
        <v>568</v>
      </c>
    </row>
    <row r="879" spans="2:4" x14ac:dyDescent="0.3">
      <c r="B879">
        <v>168392</v>
      </c>
      <c r="C879" t="s">
        <v>770</v>
      </c>
      <c r="D879" t="s">
        <v>494</v>
      </c>
    </row>
    <row r="880" spans="2:4" x14ac:dyDescent="0.3">
      <c r="B880">
        <v>168613</v>
      </c>
      <c r="C880" t="s">
        <v>770</v>
      </c>
      <c r="D880" t="s">
        <v>555</v>
      </c>
    </row>
    <row r="881" spans="2:4" x14ac:dyDescent="0.3">
      <c r="B881">
        <v>168732</v>
      </c>
      <c r="C881" t="s">
        <v>770</v>
      </c>
      <c r="D881" t="s">
        <v>469</v>
      </c>
    </row>
    <row r="882" spans="2:4" x14ac:dyDescent="0.3">
      <c r="B882">
        <v>169060</v>
      </c>
      <c r="C882" t="s">
        <v>770</v>
      </c>
      <c r="D882" t="s">
        <v>503</v>
      </c>
    </row>
    <row r="883" spans="2:4" x14ac:dyDescent="0.3">
      <c r="B883">
        <v>156674</v>
      </c>
      <c r="C883" t="s">
        <v>770</v>
      </c>
      <c r="D883" t="s">
        <v>468</v>
      </c>
    </row>
    <row r="884" spans="2:4" x14ac:dyDescent="0.3">
      <c r="B884">
        <v>194044</v>
      </c>
      <c r="C884" t="s">
        <v>770</v>
      </c>
      <c r="D884" t="s">
        <v>514</v>
      </c>
    </row>
    <row r="885" spans="2:4" x14ac:dyDescent="0.3">
      <c r="B885">
        <v>196116</v>
      </c>
      <c r="C885" t="s">
        <v>770</v>
      </c>
      <c r="D885" t="s">
        <v>531</v>
      </c>
    </row>
    <row r="886" spans="2:4" x14ac:dyDescent="0.3">
      <c r="B886">
        <v>202343</v>
      </c>
      <c r="C886" t="s">
        <v>770</v>
      </c>
      <c r="D886" t="s">
        <v>449</v>
      </c>
    </row>
    <row r="887" spans="2:4" x14ac:dyDescent="0.3">
      <c r="B887">
        <v>202826</v>
      </c>
      <c r="C887" t="s">
        <v>770</v>
      </c>
      <c r="D887" t="s">
        <v>522</v>
      </c>
    </row>
    <row r="888" spans="2:4" x14ac:dyDescent="0.3">
      <c r="B888">
        <v>203034</v>
      </c>
      <c r="C888" t="s">
        <v>770</v>
      </c>
      <c r="D888" t="s">
        <v>479</v>
      </c>
    </row>
    <row r="889" spans="2:4" x14ac:dyDescent="0.3">
      <c r="B889">
        <v>207194</v>
      </c>
      <c r="C889" t="s">
        <v>770</v>
      </c>
      <c r="D889" t="s">
        <v>594</v>
      </c>
    </row>
    <row r="890" spans="2:4" x14ac:dyDescent="0.3">
      <c r="B890">
        <v>207319</v>
      </c>
      <c r="C890" t="s">
        <v>770</v>
      </c>
      <c r="D890" t="s">
        <v>319</v>
      </c>
    </row>
    <row r="891" spans="2:4" x14ac:dyDescent="0.3">
      <c r="B891">
        <v>207318</v>
      </c>
      <c r="C891" t="s">
        <v>770</v>
      </c>
      <c r="D891" t="s">
        <v>317</v>
      </c>
    </row>
    <row r="892" spans="2:4" x14ac:dyDescent="0.3">
      <c r="B892">
        <v>207317</v>
      </c>
      <c r="C892" t="s">
        <v>770</v>
      </c>
      <c r="D892" t="s">
        <v>786</v>
      </c>
    </row>
    <row r="893" spans="2:4" x14ac:dyDescent="0.3">
      <c r="B893">
        <v>207316</v>
      </c>
      <c r="C893" t="s">
        <v>770</v>
      </c>
      <c r="D893" t="s">
        <v>787</v>
      </c>
    </row>
    <row r="894" spans="2:4" x14ac:dyDescent="0.3">
      <c r="B894">
        <v>211419</v>
      </c>
      <c r="C894" t="s">
        <v>770</v>
      </c>
      <c r="D894" t="s">
        <v>297</v>
      </c>
    </row>
    <row r="895" spans="2:4" x14ac:dyDescent="0.3">
      <c r="B895">
        <v>211551</v>
      </c>
      <c r="C895" t="s">
        <v>770</v>
      </c>
      <c r="D895" t="s">
        <v>333</v>
      </c>
    </row>
    <row r="896" spans="2:4" x14ac:dyDescent="0.3">
      <c r="B896">
        <v>211556</v>
      </c>
      <c r="C896" t="s">
        <v>770</v>
      </c>
      <c r="D896" t="s">
        <v>446</v>
      </c>
    </row>
    <row r="897" spans="2:4" x14ac:dyDescent="0.3">
      <c r="B897">
        <v>214419</v>
      </c>
      <c r="C897" t="s">
        <v>770</v>
      </c>
      <c r="D897" t="s">
        <v>415</v>
      </c>
    </row>
    <row r="898" spans="2:4" x14ac:dyDescent="0.3">
      <c r="B898">
        <v>214492</v>
      </c>
      <c r="C898" t="s">
        <v>770</v>
      </c>
      <c r="D898" t="s">
        <v>615</v>
      </c>
    </row>
    <row r="899" spans="2:4" x14ac:dyDescent="0.3">
      <c r="B899">
        <v>214557</v>
      </c>
      <c r="C899" t="s">
        <v>770</v>
      </c>
      <c r="D899" t="s">
        <v>564</v>
      </c>
    </row>
    <row r="900" spans="2:4" x14ac:dyDescent="0.3">
      <c r="B900">
        <v>215115</v>
      </c>
      <c r="C900" t="s">
        <v>770</v>
      </c>
      <c r="D900" t="s">
        <v>543</v>
      </c>
    </row>
    <row r="901" spans="2:4" x14ac:dyDescent="0.3">
      <c r="B901">
        <v>215511</v>
      </c>
      <c r="C901" t="s">
        <v>770</v>
      </c>
      <c r="D901" t="s">
        <v>309</v>
      </c>
    </row>
    <row r="902" spans="2:4" x14ac:dyDescent="0.3">
      <c r="B902">
        <v>215114</v>
      </c>
      <c r="C902" t="s">
        <v>770</v>
      </c>
      <c r="D902" t="s">
        <v>472</v>
      </c>
    </row>
    <row r="903" spans="2:4" x14ac:dyDescent="0.3">
      <c r="B903">
        <v>216882</v>
      </c>
      <c r="C903" t="s">
        <v>770</v>
      </c>
      <c r="D903" t="s">
        <v>285</v>
      </c>
    </row>
    <row r="904" spans="2:4" x14ac:dyDescent="0.3">
      <c r="B904">
        <v>156482</v>
      </c>
      <c r="C904" t="s">
        <v>770</v>
      </c>
      <c r="D904" t="s">
        <v>511</v>
      </c>
    </row>
    <row r="905" spans="2:4" x14ac:dyDescent="0.3">
      <c r="B905">
        <v>156115</v>
      </c>
      <c r="C905" t="s">
        <v>770</v>
      </c>
      <c r="D905" t="s">
        <v>420</v>
      </c>
    </row>
    <row r="906" spans="2:4" x14ac:dyDescent="0.3">
      <c r="B906">
        <v>222210</v>
      </c>
      <c r="C906" t="s">
        <v>770</v>
      </c>
      <c r="D906" t="s">
        <v>306</v>
      </c>
    </row>
    <row r="907" spans="2:4" x14ac:dyDescent="0.3">
      <c r="B907">
        <v>156481</v>
      </c>
      <c r="C907" t="s">
        <v>770</v>
      </c>
      <c r="D907" t="s">
        <v>788</v>
      </c>
    </row>
    <row r="908" spans="2:4" x14ac:dyDescent="0.3">
      <c r="B908">
        <v>222827</v>
      </c>
      <c r="C908" t="s">
        <v>770</v>
      </c>
      <c r="D908" t="s">
        <v>128</v>
      </c>
    </row>
    <row r="909" spans="2:4" x14ac:dyDescent="0.3">
      <c r="B909">
        <v>224023</v>
      </c>
      <c r="C909" t="s">
        <v>770</v>
      </c>
      <c r="D909" t="s">
        <v>428</v>
      </c>
    </row>
    <row r="910" spans="2:4" x14ac:dyDescent="0.3">
      <c r="B910">
        <v>224127</v>
      </c>
      <c r="C910" t="s">
        <v>770</v>
      </c>
      <c r="D910" t="s">
        <v>212</v>
      </c>
    </row>
    <row r="911" spans="2:4" x14ac:dyDescent="0.3">
      <c r="B911">
        <v>225831</v>
      </c>
      <c r="C911" t="s">
        <v>770</v>
      </c>
      <c r="D911" t="s">
        <v>445</v>
      </c>
    </row>
    <row r="912" spans="2:4" x14ac:dyDescent="0.3">
      <c r="B912">
        <v>226001</v>
      </c>
      <c r="C912" t="s">
        <v>770</v>
      </c>
      <c r="D912" t="s">
        <v>544</v>
      </c>
    </row>
    <row r="913" spans="2:4" x14ac:dyDescent="0.3">
      <c r="B913">
        <v>226397</v>
      </c>
      <c r="C913" t="s">
        <v>770</v>
      </c>
      <c r="D913" t="s">
        <v>429</v>
      </c>
    </row>
    <row r="914" spans="2:4" x14ac:dyDescent="0.3">
      <c r="B914">
        <v>226653</v>
      </c>
      <c r="C914" t="s">
        <v>770</v>
      </c>
      <c r="D914" t="s">
        <v>591</v>
      </c>
    </row>
    <row r="915" spans="2:4" x14ac:dyDescent="0.3">
      <c r="B915">
        <v>226738</v>
      </c>
      <c r="C915" t="s">
        <v>770</v>
      </c>
      <c r="D915" t="s">
        <v>311</v>
      </c>
    </row>
    <row r="916" spans="2:4" x14ac:dyDescent="0.3">
      <c r="B916">
        <v>226739</v>
      </c>
      <c r="C916" t="s">
        <v>770</v>
      </c>
      <c r="D916" t="s">
        <v>617</v>
      </c>
    </row>
    <row r="917" spans="2:4" x14ac:dyDescent="0.3">
      <c r="B917">
        <v>158017</v>
      </c>
      <c r="C917" t="s">
        <v>770</v>
      </c>
      <c r="D917" t="s">
        <v>423</v>
      </c>
    </row>
    <row r="918" spans="2:4" x14ac:dyDescent="0.3">
      <c r="B918">
        <v>226997</v>
      </c>
      <c r="C918" t="s">
        <v>770</v>
      </c>
      <c r="D918" t="s">
        <v>577</v>
      </c>
    </row>
    <row r="919" spans="2:4" x14ac:dyDescent="0.3">
      <c r="B919">
        <v>226893</v>
      </c>
      <c r="C919" t="s">
        <v>770</v>
      </c>
      <c r="D919" t="s">
        <v>401</v>
      </c>
    </row>
    <row r="920" spans="2:4" x14ac:dyDescent="0.3">
      <c r="B920">
        <v>226892</v>
      </c>
      <c r="C920" t="s">
        <v>770</v>
      </c>
      <c r="D920" t="s">
        <v>458</v>
      </c>
    </row>
    <row r="921" spans="2:4" x14ac:dyDescent="0.3">
      <c r="B921">
        <v>227236</v>
      </c>
      <c r="C921" t="s">
        <v>770</v>
      </c>
      <c r="D921" t="s">
        <v>560</v>
      </c>
    </row>
    <row r="922" spans="2:4" x14ac:dyDescent="0.3">
      <c r="B922">
        <v>195185</v>
      </c>
      <c r="C922" t="s">
        <v>770</v>
      </c>
      <c r="D922" t="s">
        <v>393</v>
      </c>
    </row>
    <row r="923" spans="2:4" x14ac:dyDescent="0.3">
      <c r="B923">
        <v>227969</v>
      </c>
      <c r="C923" t="s">
        <v>770</v>
      </c>
      <c r="D923" t="s">
        <v>435</v>
      </c>
    </row>
    <row r="924" spans="2:4" x14ac:dyDescent="0.3">
      <c r="B924">
        <v>230287</v>
      </c>
      <c r="C924" t="s">
        <v>770</v>
      </c>
      <c r="D924" t="s">
        <v>437</v>
      </c>
    </row>
    <row r="925" spans="2:4" x14ac:dyDescent="0.3">
      <c r="B925">
        <v>156696</v>
      </c>
      <c r="C925" t="s">
        <v>770</v>
      </c>
      <c r="D925" t="s">
        <v>434</v>
      </c>
    </row>
    <row r="926" spans="2:4" x14ac:dyDescent="0.3">
      <c r="B926">
        <v>230870</v>
      </c>
      <c r="C926" t="s">
        <v>770</v>
      </c>
      <c r="D926" t="s">
        <v>304</v>
      </c>
    </row>
    <row r="927" spans="2:4" x14ac:dyDescent="0.3">
      <c r="B927">
        <v>230914</v>
      </c>
      <c r="C927" t="s">
        <v>770</v>
      </c>
      <c r="D927" t="s">
        <v>465</v>
      </c>
    </row>
    <row r="928" spans="2:4" x14ac:dyDescent="0.3">
      <c r="B928">
        <v>231373</v>
      </c>
      <c r="C928" t="s">
        <v>770</v>
      </c>
      <c r="D928" t="s">
        <v>481</v>
      </c>
    </row>
    <row r="929" spans="2:4" x14ac:dyDescent="0.3">
      <c r="B929">
        <v>149576</v>
      </c>
      <c r="C929" t="s">
        <v>770</v>
      </c>
      <c r="D929" t="s">
        <v>124</v>
      </c>
    </row>
    <row r="930" spans="2:4" x14ac:dyDescent="0.3">
      <c r="B930">
        <v>231967</v>
      </c>
      <c r="C930" t="s">
        <v>770</v>
      </c>
      <c r="D930" t="s">
        <v>584</v>
      </c>
    </row>
    <row r="931" spans="2:4" x14ac:dyDescent="0.3">
      <c r="B931">
        <v>231965</v>
      </c>
      <c r="C931" t="s">
        <v>770</v>
      </c>
      <c r="D931" t="s">
        <v>235</v>
      </c>
    </row>
    <row r="932" spans="2:4" x14ac:dyDescent="0.3">
      <c r="B932">
        <v>232652</v>
      </c>
      <c r="C932" t="s">
        <v>770</v>
      </c>
      <c r="D932" t="s">
        <v>520</v>
      </c>
    </row>
    <row r="933" spans="2:4" x14ac:dyDescent="0.3">
      <c r="B933">
        <v>232737</v>
      </c>
      <c r="C933" t="s">
        <v>770</v>
      </c>
      <c r="D933" t="s">
        <v>478</v>
      </c>
    </row>
    <row r="934" spans="2:4" x14ac:dyDescent="0.3">
      <c r="B934">
        <v>232752</v>
      </c>
      <c r="C934" t="s">
        <v>770</v>
      </c>
      <c r="D934" t="s">
        <v>573</v>
      </c>
    </row>
    <row r="935" spans="2:4" x14ac:dyDescent="0.3">
      <c r="B935">
        <v>156118</v>
      </c>
      <c r="C935" t="s">
        <v>770</v>
      </c>
      <c r="D935" t="s">
        <v>403</v>
      </c>
    </row>
    <row r="936" spans="2:4" x14ac:dyDescent="0.3">
      <c r="B936">
        <v>232837</v>
      </c>
      <c r="C936" t="s">
        <v>770</v>
      </c>
      <c r="D936" t="s">
        <v>789</v>
      </c>
    </row>
    <row r="937" spans="2:4" x14ac:dyDescent="0.3">
      <c r="B937">
        <v>233861</v>
      </c>
      <c r="C937" t="s">
        <v>770</v>
      </c>
      <c r="D937" t="s">
        <v>586</v>
      </c>
    </row>
    <row r="938" spans="2:4" x14ac:dyDescent="0.3">
      <c r="B938">
        <v>234097</v>
      </c>
      <c r="C938" t="s">
        <v>770</v>
      </c>
      <c r="D938" t="s">
        <v>397</v>
      </c>
    </row>
    <row r="939" spans="2:4" x14ac:dyDescent="0.3">
      <c r="B939">
        <v>234096</v>
      </c>
      <c r="C939" t="s">
        <v>770</v>
      </c>
      <c r="D939" t="s">
        <v>411</v>
      </c>
    </row>
    <row r="940" spans="2:4" x14ac:dyDescent="0.3">
      <c r="B940">
        <v>234095</v>
      </c>
      <c r="C940" t="s">
        <v>770</v>
      </c>
      <c r="D940" t="s">
        <v>492</v>
      </c>
    </row>
    <row r="941" spans="2:4" x14ac:dyDescent="0.3">
      <c r="B941">
        <v>234829</v>
      </c>
      <c r="C941" t="s">
        <v>770</v>
      </c>
      <c r="D941" t="s">
        <v>205</v>
      </c>
    </row>
    <row r="942" spans="2:4" x14ac:dyDescent="0.3">
      <c r="B942">
        <v>235593</v>
      </c>
      <c r="C942" t="s">
        <v>770</v>
      </c>
      <c r="D942" t="s">
        <v>197</v>
      </c>
    </row>
    <row r="943" spans="2:4" x14ac:dyDescent="0.3">
      <c r="B943">
        <v>245337</v>
      </c>
      <c r="C943" t="s">
        <v>770</v>
      </c>
      <c r="D943" t="s">
        <v>244</v>
      </c>
    </row>
    <row r="944" spans="2:4" x14ac:dyDescent="0.3">
      <c r="B944">
        <v>245989</v>
      </c>
      <c r="C944" t="s">
        <v>770</v>
      </c>
      <c r="D944" t="s">
        <v>263</v>
      </c>
    </row>
    <row r="945" spans="2:4" x14ac:dyDescent="0.3">
      <c r="B945">
        <v>246793</v>
      </c>
      <c r="C945" t="s">
        <v>770</v>
      </c>
      <c r="D945" t="s">
        <v>459</v>
      </c>
    </row>
    <row r="946" spans="2:4" x14ac:dyDescent="0.3">
      <c r="B946">
        <v>250240</v>
      </c>
      <c r="C946" t="s">
        <v>770</v>
      </c>
      <c r="D946" t="s">
        <v>296</v>
      </c>
    </row>
    <row r="947" spans="2:4" x14ac:dyDescent="0.3">
      <c r="B947">
        <v>155375</v>
      </c>
      <c r="C947" t="s">
        <v>770</v>
      </c>
      <c r="D947" t="s">
        <v>598</v>
      </c>
    </row>
    <row r="948" spans="2:4" x14ac:dyDescent="0.3">
      <c r="B948">
        <v>250467</v>
      </c>
      <c r="C948" t="s">
        <v>770</v>
      </c>
      <c r="D948" t="s">
        <v>595</v>
      </c>
    </row>
    <row r="949" spans="2:4" x14ac:dyDescent="0.3">
      <c r="B949">
        <v>263500</v>
      </c>
      <c r="C949" t="s">
        <v>770</v>
      </c>
      <c r="D949" t="s">
        <v>379</v>
      </c>
    </row>
    <row r="950" spans="2:4" x14ac:dyDescent="0.3">
      <c r="B950">
        <v>264025</v>
      </c>
      <c r="C950" t="s">
        <v>770</v>
      </c>
      <c r="D950" t="s">
        <v>417</v>
      </c>
    </row>
    <row r="951" spans="2:4" x14ac:dyDescent="0.3">
      <c r="B951">
        <v>265621</v>
      </c>
      <c r="C951" t="s">
        <v>770</v>
      </c>
      <c r="D951" t="s">
        <v>407</v>
      </c>
    </row>
    <row r="952" spans="2:4" x14ac:dyDescent="0.3">
      <c r="B952">
        <v>265955</v>
      </c>
      <c r="C952" t="s">
        <v>770</v>
      </c>
      <c r="D952" t="s">
        <v>590</v>
      </c>
    </row>
    <row r="953" spans="2:4" x14ac:dyDescent="0.3">
      <c r="B953">
        <v>269566</v>
      </c>
      <c r="C953" t="s">
        <v>770</v>
      </c>
      <c r="D953" t="s">
        <v>559</v>
      </c>
    </row>
    <row r="954" spans="2:4" x14ac:dyDescent="0.3">
      <c r="B954">
        <v>269631</v>
      </c>
      <c r="C954" t="s">
        <v>770</v>
      </c>
      <c r="D954" t="s">
        <v>516</v>
      </c>
    </row>
    <row r="955" spans="2:4" x14ac:dyDescent="0.3">
      <c r="B955">
        <v>273161</v>
      </c>
      <c r="C955" t="s">
        <v>770</v>
      </c>
      <c r="D955" t="s">
        <v>556</v>
      </c>
    </row>
    <row r="956" spans="2:4" x14ac:dyDescent="0.3">
      <c r="B956">
        <v>274905</v>
      </c>
      <c r="C956" t="s">
        <v>770</v>
      </c>
      <c r="D956" t="s">
        <v>464</v>
      </c>
    </row>
    <row r="957" spans="2:4" x14ac:dyDescent="0.3">
      <c r="B957">
        <v>275877</v>
      </c>
      <c r="C957" t="s">
        <v>770</v>
      </c>
      <c r="D957" t="s">
        <v>790</v>
      </c>
    </row>
    <row r="958" spans="2:4" x14ac:dyDescent="0.3">
      <c r="B958">
        <v>275876</v>
      </c>
      <c r="C958" t="s">
        <v>770</v>
      </c>
      <c r="D958" t="s">
        <v>267</v>
      </c>
    </row>
    <row r="959" spans="2:4" x14ac:dyDescent="0.3">
      <c r="B959">
        <v>276517</v>
      </c>
      <c r="C959" t="s">
        <v>770</v>
      </c>
      <c r="D959" t="s">
        <v>597</v>
      </c>
    </row>
    <row r="960" spans="2:4" x14ac:dyDescent="0.3">
      <c r="B960">
        <v>282153</v>
      </c>
      <c r="C960" t="s">
        <v>770</v>
      </c>
      <c r="D960" t="s">
        <v>607</v>
      </c>
    </row>
    <row r="961" spans="2:4" x14ac:dyDescent="0.3">
      <c r="B961">
        <v>282205</v>
      </c>
      <c r="C961" t="s">
        <v>770</v>
      </c>
      <c r="D961" t="s">
        <v>198</v>
      </c>
    </row>
    <row r="962" spans="2:4" x14ac:dyDescent="0.3">
      <c r="B962">
        <v>283724</v>
      </c>
      <c r="C962" t="s">
        <v>770</v>
      </c>
      <c r="D962" t="s">
        <v>632</v>
      </c>
    </row>
    <row r="963" spans="2:4" x14ac:dyDescent="0.3">
      <c r="B963">
        <v>284141</v>
      </c>
      <c r="C963" t="s">
        <v>770</v>
      </c>
      <c r="D963" t="s">
        <v>554</v>
      </c>
    </row>
    <row r="964" spans="2:4" x14ac:dyDescent="0.3">
      <c r="B964">
        <v>284881</v>
      </c>
      <c r="C964" t="s">
        <v>770</v>
      </c>
      <c r="D964" t="s">
        <v>236</v>
      </c>
    </row>
    <row r="965" spans="2:4" x14ac:dyDescent="0.3">
      <c r="B965">
        <v>156679</v>
      </c>
      <c r="C965" t="s">
        <v>770</v>
      </c>
      <c r="D965" t="s">
        <v>240</v>
      </c>
    </row>
    <row r="966" spans="2:4" x14ac:dyDescent="0.3">
      <c r="B966">
        <v>285529</v>
      </c>
      <c r="C966" t="s">
        <v>770</v>
      </c>
      <c r="D966" t="s">
        <v>192</v>
      </c>
    </row>
    <row r="967" spans="2:4" x14ac:dyDescent="0.3">
      <c r="B967">
        <v>285528</v>
      </c>
      <c r="C967" t="s">
        <v>770</v>
      </c>
      <c r="D967" t="s">
        <v>647</v>
      </c>
    </row>
    <row r="968" spans="2:4" x14ac:dyDescent="0.3">
      <c r="B968">
        <v>285728</v>
      </c>
      <c r="C968" t="s">
        <v>770</v>
      </c>
      <c r="D968" t="s">
        <v>376</v>
      </c>
    </row>
    <row r="969" spans="2:4" x14ac:dyDescent="0.3">
      <c r="B969">
        <v>285810</v>
      </c>
      <c r="C969" t="s">
        <v>770</v>
      </c>
      <c r="D969" t="s">
        <v>571</v>
      </c>
    </row>
    <row r="970" spans="2:4" x14ac:dyDescent="0.3">
      <c r="B970">
        <v>285811</v>
      </c>
      <c r="C970" t="s">
        <v>770</v>
      </c>
      <c r="D970" t="s">
        <v>604</v>
      </c>
    </row>
    <row r="971" spans="2:4" x14ac:dyDescent="0.3">
      <c r="B971">
        <v>286782</v>
      </c>
      <c r="C971" t="s">
        <v>770</v>
      </c>
      <c r="D971" t="s">
        <v>486</v>
      </c>
    </row>
    <row r="972" spans="2:4" x14ac:dyDescent="0.3">
      <c r="B972">
        <v>287034</v>
      </c>
      <c r="C972" t="s">
        <v>770</v>
      </c>
      <c r="D972" t="s">
        <v>694</v>
      </c>
    </row>
    <row r="973" spans="2:4" x14ac:dyDescent="0.3">
      <c r="B973">
        <v>287127</v>
      </c>
      <c r="C973" t="s">
        <v>770</v>
      </c>
      <c r="D973" t="s">
        <v>387</v>
      </c>
    </row>
    <row r="974" spans="2:4" x14ac:dyDescent="0.3">
      <c r="B974">
        <v>288727</v>
      </c>
      <c r="C974" t="s">
        <v>770</v>
      </c>
      <c r="D974" t="s">
        <v>416</v>
      </c>
    </row>
    <row r="975" spans="2:4" x14ac:dyDescent="0.3">
      <c r="B975">
        <v>289290</v>
      </c>
      <c r="C975" t="s">
        <v>770</v>
      </c>
      <c r="D975" t="s">
        <v>391</v>
      </c>
    </row>
    <row r="976" spans="2:4" x14ac:dyDescent="0.3">
      <c r="B976">
        <v>289546</v>
      </c>
      <c r="C976" t="s">
        <v>770</v>
      </c>
      <c r="D976" t="s">
        <v>693</v>
      </c>
    </row>
    <row r="977" spans="2:4" x14ac:dyDescent="0.3">
      <c r="B977">
        <v>289582</v>
      </c>
      <c r="C977" t="s">
        <v>770</v>
      </c>
      <c r="D977" t="s">
        <v>702</v>
      </c>
    </row>
    <row r="978" spans="2:4" x14ac:dyDescent="0.3">
      <c r="B978">
        <v>292138</v>
      </c>
      <c r="C978" t="s">
        <v>770</v>
      </c>
      <c r="D978" t="s">
        <v>725</v>
      </c>
    </row>
    <row r="979" spans="2:4" x14ac:dyDescent="0.3">
      <c r="B979">
        <v>292514</v>
      </c>
      <c r="C979" t="s">
        <v>770</v>
      </c>
      <c r="D979" t="s">
        <v>686</v>
      </c>
    </row>
    <row r="980" spans="2:4" x14ac:dyDescent="0.3">
      <c r="B980">
        <v>293040</v>
      </c>
      <c r="C980" t="s">
        <v>770</v>
      </c>
      <c r="D980" t="s">
        <v>682</v>
      </c>
    </row>
    <row r="981" spans="2:4" x14ac:dyDescent="0.3">
      <c r="B981">
        <v>293436</v>
      </c>
      <c r="C981" t="s">
        <v>770</v>
      </c>
      <c r="D981" t="s">
        <v>224</v>
      </c>
    </row>
    <row r="982" spans="2:4" x14ac:dyDescent="0.3">
      <c r="B982">
        <v>156119</v>
      </c>
      <c r="C982" t="s">
        <v>770</v>
      </c>
      <c r="D982" t="s">
        <v>506</v>
      </c>
    </row>
    <row r="983" spans="2:4" x14ac:dyDescent="0.3">
      <c r="B983">
        <v>294712</v>
      </c>
      <c r="C983" t="s">
        <v>770</v>
      </c>
      <c r="D983" t="s">
        <v>606</v>
      </c>
    </row>
    <row r="984" spans="2:4" x14ac:dyDescent="0.3">
      <c r="B984">
        <v>296048</v>
      </c>
      <c r="C984" t="s">
        <v>770</v>
      </c>
      <c r="D984" t="s">
        <v>711</v>
      </c>
    </row>
    <row r="985" spans="2:4" x14ac:dyDescent="0.3">
      <c r="B985">
        <v>296136</v>
      </c>
      <c r="C985" t="s">
        <v>770</v>
      </c>
      <c r="D985" t="s">
        <v>689</v>
      </c>
    </row>
    <row r="986" spans="2:4" x14ac:dyDescent="0.3">
      <c r="B986">
        <v>296827</v>
      </c>
      <c r="C986" t="s">
        <v>770</v>
      </c>
      <c r="D986" t="s">
        <v>691</v>
      </c>
    </row>
    <row r="987" spans="2:4" x14ac:dyDescent="0.3">
      <c r="B987">
        <v>6033</v>
      </c>
      <c r="C987" t="s">
        <v>770</v>
      </c>
      <c r="D987" t="s">
        <v>701</v>
      </c>
    </row>
    <row r="988" spans="2:4" x14ac:dyDescent="0.3">
      <c r="B988">
        <v>19</v>
      </c>
      <c r="C988" t="s">
        <v>754</v>
      </c>
      <c r="D988" t="s">
        <v>228</v>
      </c>
    </row>
    <row r="989" spans="2:4" x14ac:dyDescent="0.3">
      <c r="B989">
        <v>330879</v>
      </c>
      <c r="C989" t="s">
        <v>736</v>
      </c>
      <c r="D989" t="s">
        <v>726</v>
      </c>
    </row>
    <row r="990" spans="2:4" x14ac:dyDescent="0.3">
      <c r="B990">
        <v>330984</v>
      </c>
      <c r="C990" t="s">
        <v>736</v>
      </c>
      <c r="D990" t="s">
        <v>727</v>
      </c>
    </row>
    <row r="991" spans="2:4" x14ac:dyDescent="0.3">
      <c r="B991">
        <v>331057</v>
      </c>
      <c r="C991" t="s">
        <v>736</v>
      </c>
      <c r="D991" t="s">
        <v>728</v>
      </c>
    </row>
    <row r="992" spans="2:4" x14ac:dyDescent="0.3">
      <c r="B992">
        <v>330879</v>
      </c>
      <c r="C992" t="s">
        <v>770</v>
      </c>
      <c r="D992" t="s">
        <v>726</v>
      </c>
    </row>
    <row r="993" spans="2:4" x14ac:dyDescent="0.3">
      <c r="B993">
        <v>330984</v>
      </c>
      <c r="C993" t="s">
        <v>770</v>
      </c>
      <c r="D993" t="s">
        <v>727</v>
      </c>
    </row>
    <row r="994" spans="2:4" x14ac:dyDescent="0.3">
      <c r="B994">
        <v>331057</v>
      </c>
      <c r="C994" t="s">
        <v>770</v>
      </c>
      <c r="D994" t="s">
        <v>728</v>
      </c>
    </row>
    <row r="995" spans="2:4" x14ac:dyDescent="0.3">
      <c r="B995">
        <v>480</v>
      </c>
      <c r="C995" t="s">
        <v>754</v>
      </c>
      <c r="D995" t="s">
        <v>439</v>
      </c>
    </row>
    <row r="996" spans="2:4" x14ac:dyDescent="0.3">
      <c r="B996">
        <v>6075</v>
      </c>
      <c r="C996" t="s">
        <v>754</v>
      </c>
      <c r="D996" t="s">
        <v>730</v>
      </c>
    </row>
    <row r="997" spans="2:4" x14ac:dyDescent="0.3">
      <c r="B997">
        <v>6078</v>
      </c>
      <c r="C997" t="s">
        <v>754</v>
      </c>
      <c r="D997" t="s">
        <v>729</v>
      </c>
    </row>
    <row r="998" spans="2:4" x14ac:dyDescent="0.3">
      <c r="B998">
        <v>6033</v>
      </c>
      <c r="C998" t="s">
        <v>754</v>
      </c>
      <c r="D998" t="s">
        <v>701</v>
      </c>
    </row>
    <row r="999" spans="2:4" x14ac:dyDescent="0.3">
      <c r="B999">
        <v>331652</v>
      </c>
      <c r="C999" t="s">
        <v>736</v>
      </c>
      <c r="D999" t="s">
        <v>363</v>
      </c>
    </row>
    <row r="1000" spans="2:4" x14ac:dyDescent="0.3">
      <c r="B1000">
        <v>331611</v>
      </c>
      <c r="C1000" t="s">
        <v>736</v>
      </c>
      <c r="D1000" t="s">
        <v>704</v>
      </c>
    </row>
    <row r="1001" spans="2:4" x14ac:dyDescent="0.3">
      <c r="B1001">
        <v>331873</v>
      </c>
      <c r="C1001" t="s">
        <v>736</v>
      </c>
      <c r="D1001" t="s">
        <v>706</v>
      </c>
    </row>
    <row r="1002" spans="2:4" x14ac:dyDescent="0.3">
      <c r="B1002">
        <v>333131</v>
      </c>
      <c r="C1002" t="s">
        <v>736</v>
      </c>
      <c r="D1002" t="s">
        <v>730</v>
      </c>
    </row>
  </sheetData>
  <autoFilter ref="A1:C1002" xr:uid="{1CB377CC-65FE-4DD9-A727-266DE960CB3D}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A1FAAF-7F73-41A8-9131-14D0C45B1B53}">
  <sheetPr codeName="Hoja10"/>
  <dimension ref="A1:H1279"/>
  <sheetViews>
    <sheetView workbookViewId="0">
      <selection activeCell="B684" sqref="B684"/>
    </sheetView>
  </sheetViews>
  <sheetFormatPr baseColWidth="10" defaultRowHeight="14.4" x14ac:dyDescent="0.3"/>
  <cols>
    <col min="1" max="1" width="20.44140625" bestFit="1" customWidth="1"/>
    <col min="2" max="2" width="79" bestFit="1" customWidth="1"/>
    <col min="3" max="3" width="17.33203125" bestFit="1" customWidth="1"/>
    <col min="4" max="4" width="20.109375" bestFit="1" customWidth="1"/>
    <col min="5" max="5" width="21.5546875" bestFit="1" customWidth="1"/>
    <col min="6" max="6" width="18.5546875" bestFit="1" customWidth="1"/>
    <col min="7" max="7" width="12.6640625" bestFit="1" customWidth="1"/>
    <col min="8" max="9" width="11.5546875" bestFit="1" customWidth="1"/>
    <col min="10" max="14" width="12.5546875" bestFit="1" customWidth="1"/>
    <col min="15" max="18" width="11.5546875" bestFit="1" customWidth="1"/>
    <col min="19" max="24" width="12.5546875" bestFit="1" customWidth="1"/>
    <col min="25" max="35" width="11.5546875" bestFit="1" customWidth="1"/>
    <col min="36" max="36" width="11.33203125" bestFit="1" customWidth="1"/>
    <col min="37" max="37" width="12.6640625" bestFit="1" customWidth="1"/>
  </cols>
  <sheetData>
    <row r="1" spans="1:8" x14ac:dyDescent="0.3">
      <c r="A1" t="s">
        <v>117</v>
      </c>
      <c r="B1" t="s">
        <v>176</v>
      </c>
      <c r="C1" t="s">
        <v>177</v>
      </c>
      <c r="D1" t="s">
        <v>178</v>
      </c>
      <c r="E1" t="s">
        <v>179</v>
      </c>
      <c r="F1" t="s">
        <v>180</v>
      </c>
      <c r="G1" t="s">
        <v>798</v>
      </c>
      <c r="H1" t="s">
        <v>1619</v>
      </c>
    </row>
    <row r="2" spans="1:8" x14ac:dyDescent="0.3">
      <c r="A2">
        <v>66</v>
      </c>
      <c r="B2" s="123" t="s">
        <v>372</v>
      </c>
      <c r="C2">
        <v>2099.92</v>
      </c>
      <c r="D2">
        <v>0</v>
      </c>
      <c r="E2" s="123" t="s">
        <v>185</v>
      </c>
      <c r="F2" s="123" t="s">
        <v>672</v>
      </c>
      <c r="G2">
        <v>2099.92</v>
      </c>
    </row>
    <row r="3" spans="1:8" x14ac:dyDescent="0.3">
      <c r="A3">
        <v>5100</v>
      </c>
      <c r="B3" s="123" t="s">
        <v>364</v>
      </c>
      <c r="C3">
        <v>0</v>
      </c>
      <c r="D3">
        <v>0</v>
      </c>
      <c r="E3" s="123" t="s">
        <v>185</v>
      </c>
      <c r="F3" s="123" t="s">
        <v>672</v>
      </c>
      <c r="G3">
        <v>0</v>
      </c>
    </row>
    <row r="4" spans="1:8" x14ac:dyDescent="0.3">
      <c r="A4">
        <v>5263</v>
      </c>
      <c r="B4" s="123" t="s">
        <v>453</v>
      </c>
      <c r="C4">
        <v>0</v>
      </c>
      <c r="D4">
        <v>0</v>
      </c>
      <c r="E4" s="123" t="s">
        <v>185</v>
      </c>
      <c r="F4" s="123" t="s">
        <v>672</v>
      </c>
      <c r="G4">
        <v>0</v>
      </c>
    </row>
    <row r="5" spans="1:8" x14ac:dyDescent="0.3">
      <c r="A5">
        <v>5194</v>
      </c>
      <c r="B5" s="123" t="s">
        <v>408</v>
      </c>
      <c r="C5">
        <v>0</v>
      </c>
      <c r="D5">
        <v>0</v>
      </c>
      <c r="E5" s="123" t="s">
        <v>185</v>
      </c>
      <c r="F5" s="123" t="s">
        <v>672</v>
      </c>
      <c r="G5">
        <v>0</v>
      </c>
    </row>
    <row r="6" spans="1:8" x14ac:dyDescent="0.3">
      <c r="A6">
        <v>5202</v>
      </c>
      <c r="B6" s="123" t="s">
        <v>623</v>
      </c>
      <c r="C6">
        <v>0</v>
      </c>
      <c r="D6">
        <v>0</v>
      </c>
      <c r="E6" s="123" t="s">
        <v>185</v>
      </c>
      <c r="F6" s="123" t="s">
        <v>672</v>
      </c>
      <c r="G6">
        <v>0</v>
      </c>
    </row>
    <row r="7" spans="1:8" x14ac:dyDescent="0.3">
      <c r="A7">
        <v>1019</v>
      </c>
      <c r="B7" s="123" t="s">
        <v>275</v>
      </c>
      <c r="C7">
        <v>0</v>
      </c>
      <c r="D7">
        <v>0</v>
      </c>
      <c r="E7" s="123" t="s">
        <v>185</v>
      </c>
      <c r="F7" s="123" t="s">
        <v>672</v>
      </c>
      <c r="G7">
        <v>0</v>
      </c>
    </row>
    <row r="8" spans="1:8" x14ac:dyDescent="0.3">
      <c r="A8">
        <v>5097</v>
      </c>
      <c r="B8" s="123" t="s">
        <v>193</v>
      </c>
      <c r="C8">
        <v>-90804.33</v>
      </c>
      <c r="D8">
        <v>0</v>
      </c>
      <c r="E8" s="123" t="s">
        <v>185</v>
      </c>
      <c r="F8" s="123" t="s">
        <v>672</v>
      </c>
      <c r="G8">
        <v>-90804.33</v>
      </c>
    </row>
    <row r="9" spans="1:8" x14ac:dyDescent="0.3">
      <c r="A9">
        <v>5046</v>
      </c>
      <c r="B9" s="123" t="s">
        <v>361</v>
      </c>
      <c r="C9">
        <v>0</v>
      </c>
      <c r="D9">
        <v>0</v>
      </c>
      <c r="E9" s="123" t="s">
        <v>185</v>
      </c>
      <c r="F9" s="123" t="s">
        <v>672</v>
      </c>
      <c r="G9">
        <v>0</v>
      </c>
    </row>
    <row r="10" spans="1:8" x14ac:dyDescent="0.3">
      <c r="A10">
        <v>5120</v>
      </c>
      <c r="B10" s="123" t="s">
        <v>542</v>
      </c>
      <c r="C10">
        <v>0</v>
      </c>
      <c r="D10">
        <v>0</v>
      </c>
      <c r="E10" s="123" t="s">
        <v>185</v>
      </c>
      <c r="F10" s="123" t="s">
        <v>672</v>
      </c>
      <c r="G10">
        <v>0</v>
      </c>
    </row>
    <row r="11" spans="1:8" x14ac:dyDescent="0.3">
      <c r="A11">
        <v>1027</v>
      </c>
      <c r="B11" s="123" t="s">
        <v>269</v>
      </c>
      <c r="C11">
        <v>-56515.05</v>
      </c>
      <c r="D11">
        <v>0</v>
      </c>
      <c r="E11" s="123" t="s">
        <v>185</v>
      </c>
      <c r="F11" s="123" t="s">
        <v>672</v>
      </c>
      <c r="G11">
        <v>-56515.05</v>
      </c>
    </row>
    <row r="12" spans="1:8" x14ac:dyDescent="0.3">
      <c r="A12">
        <v>121</v>
      </c>
      <c r="B12" s="123" t="s">
        <v>473</v>
      </c>
      <c r="C12">
        <v>-110.77</v>
      </c>
      <c r="D12">
        <v>0</v>
      </c>
      <c r="E12" s="123" t="s">
        <v>185</v>
      </c>
      <c r="F12" s="123" t="s">
        <v>672</v>
      </c>
      <c r="G12">
        <v>-110.77</v>
      </c>
    </row>
    <row r="13" spans="1:8" x14ac:dyDescent="0.3">
      <c r="A13">
        <v>1002</v>
      </c>
      <c r="B13" s="123" t="s">
        <v>284</v>
      </c>
      <c r="C13">
        <v>0</v>
      </c>
      <c r="D13">
        <v>0</v>
      </c>
      <c r="E13" s="123" t="s">
        <v>185</v>
      </c>
      <c r="F13" s="123" t="s">
        <v>672</v>
      </c>
      <c r="G13">
        <v>0</v>
      </c>
    </row>
    <row r="14" spans="1:8" x14ac:dyDescent="0.3">
      <c r="A14">
        <v>6012</v>
      </c>
      <c r="B14" s="123" t="s">
        <v>464</v>
      </c>
      <c r="C14">
        <v>-275706583.43000001</v>
      </c>
      <c r="D14">
        <v>0.01</v>
      </c>
      <c r="E14" s="123" t="s">
        <v>185</v>
      </c>
      <c r="F14" s="123" t="s">
        <v>672</v>
      </c>
      <c r="G14">
        <v>-275706583.42000002</v>
      </c>
    </row>
    <row r="15" spans="1:8" x14ac:dyDescent="0.3">
      <c r="A15">
        <v>5850</v>
      </c>
      <c r="B15" s="123" t="s">
        <v>673</v>
      </c>
      <c r="C15">
        <v>0</v>
      </c>
      <c r="D15">
        <v>0</v>
      </c>
      <c r="E15" s="123" t="s">
        <v>185</v>
      </c>
      <c r="F15" s="123" t="s">
        <v>672</v>
      </c>
      <c r="G15">
        <v>0</v>
      </c>
    </row>
    <row r="16" spans="1:8" x14ac:dyDescent="0.3">
      <c r="A16">
        <v>5021</v>
      </c>
      <c r="B16" s="123" t="s">
        <v>674</v>
      </c>
      <c r="C16">
        <v>0</v>
      </c>
      <c r="D16">
        <v>0</v>
      </c>
      <c r="E16" s="123" t="s">
        <v>185</v>
      </c>
      <c r="F16" s="123" t="s">
        <v>672</v>
      </c>
      <c r="G16">
        <v>0</v>
      </c>
    </row>
    <row r="17" spans="1:7" x14ac:dyDescent="0.3">
      <c r="A17">
        <v>5006</v>
      </c>
      <c r="B17" s="123" t="s">
        <v>253</v>
      </c>
      <c r="C17">
        <v>0</v>
      </c>
      <c r="D17">
        <v>0</v>
      </c>
      <c r="E17" s="123" t="s">
        <v>185</v>
      </c>
      <c r="F17" s="123" t="s">
        <v>672</v>
      </c>
      <c r="G17">
        <v>0</v>
      </c>
    </row>
    <row r="18" spans="1:7" x14ac:dyDescent="0.3">
      <c r="A18">
        <v>5035</v>
      </c>
      <c r="B18" s="123" t="s">
        <v>259</v>
      </c>
      <c r="C18">
        <v>0</v>
      </c>
      <c r="D18">
        <v>0</v>
      </c>
      <c r="E18" s="123" t="s">
        <v>185</v>
      </c>
      <c r="F18" s="123" t="s">
        <v>672</v>
      </c>
      <c r="G18">
        <v>0</v>
      </c>
    </row>
    <row r="19" spans="1:7" x14ac:dyDescent="0.3">
      <c r="A19">
        <v>5179</v>
      </c>
      <c r="B19" s="123" t="s">
        <v>268</v>
      </c>
      <c r="C19">
        <v>20960.78</v>
      </c>
      <c r="D19">
        <v>0</v>
      </c>
      <c r="E19" s="123" t="s">
        <v>185</v>
      </c>
      <c r="F19" s="123" t="s">
        <v>672</v>
      </c>
      <c r="G19">
        <v>20960.78</v>
      </c>
    </row>
    <row r="20" spans="1:7" x14ac:dyDescent="0.3">
      <c r="A20">
        <v>5238</v>
      </c>
      <c r="B20" s="123" t="s">
        <v>276</v>
      </c>
      <c r="C20">
        <v>611.52</v>
      </c>
      <c r="D20">
        <v>0</v>
      </c>
      <c r="E20" s="123" t="s">
        <v>185</v>
      </c>
      <c r="F20" s="123" t="s">
        <v>672</v>
      </c>
      <c r="G20">
        <v>611.52</v>
      </c>
    </row>
    <row r="21" spans="1:7" x14ac:dyDescent="0.3">
      <c r="A21">
        <v>5067</v>
      </c>
      <c r="B21" s="123" t="s">
        <v>518</v>
      </c>
      <c r="C21">
        <v>0</v>
      </c>
      <c r="D21">
        <v>0</v>
      </c>
      <c r="E21" s="123" t="s">
        <v>185</v>
      </c>
      <c r="F21" s="123" t="s">
        <v>672</v>
      </c>
      <c r="G21">
        <v>0</v>
      </c>
    </row>
    <row r="22" spans="1:7" x14ac:dyDescent="0.3">
      <c r="A22">
        <v>5101</v>
      </c>
      <c r="B22" s="123" t="s">
        <v>569</v>
      </c>
      <c r="C22">
        <v>0</v>
      </c>
      <c r="D22">
        <v>0</v>
      </c>
      <c r="E22" s="123" t="s">
        <v>185</v>
      </c>
      <c r="F22" s="123" t="s">
        <v>672</v>
      </c>
      <c r="G22">
        <v>0</v>
      </c>
    </row>
    <row r="23" spans="1:7" x14ac:dyDescent="0.3">
      <c r="A23">
        <v>264</v>
      </c>
      <c r="B23" s="123" t="s">
        <v>248</v>
      </c>
      <c r="C23">
        <v>1337.25</v>
      </c>
      <c r="D23">
        <v>0</v>
      </c>
      <c r="E23" s="123" t="s">
        <v>185</v>
      </c>
      <c r="F23" s="123" t="s">
        <v>672</v>
      </c>
      <c r="G23">
        <v>1337.25</v>
      </c>
    </row>
    <row r="24" spans="1:7" x14ac:dyDescent="0.3">
      <c r="A24">
        <v>5223</v>
      </c>
      <c r="B24" s="123" t="s">
        <v>675</v>
      </c>
      <c r="C24">
        <v>0</v>
      </c>
      <c r="D24">
        <v>0</v>
      </c>
      <c r="E24" s="123" t="s">
        <v>185</v>
      </c>
      <c r="F24" s="123" t="s">
        <v>672</v>
      </c>
      <c r="G24">
        <v>0</v>
      </c>
    </row>
    <row r="25" spans="1:7" x14ac:dyDescent="0.3">
      <c r="A25">
        <v>6089</v>
      </c>
      <c r="B25" s="123" t="s">
        <v>803</v>
      </c>
      <c r="C25">
        <v>16118.39</v>
      </c>
      <c r="D25">
        <v>0</v>
      </c>
      <c r="E25" s="123" t="s">
        <v>185</v>
      </c>
      <c r="F25" s="123" t="s">
        <v>672</v>
      </c>
      <c r="G25">
        <v>16118.39</v>
      </c>
    </row>
    <row r="26" spans="1:7" x14ac:dyDescent="0.3">
      <c r="A26">
        <v>6090</v>
      </c>
      <c r="B26" s="123" t="s">
        <v>804</v>
      </c>
      <c r="C26">
        <v>0.8</v>
      </c>
      <c r="D26">
        <v>0</v>
      </c>
      <c r="E26" s="123" t="s">
        <v>185</v>
      </c>
      <c r="F26" s="123" t="s">
        <v>672</v>
      </c>
      <c r="G26">
        <v>0.8</v>
      </c>
    </row>
    <row r="27" spans="1:7" x14ac:dyDescent="0.3">
      <c r="A27">
        <v>6095</v>
      </c>
      <c r="B27" s="123" t="s">
        <v>845</v>
      </c>
      <c r="C27">
        <v>0</v>
      </c>
      <c r="D27">
        <v>0</v>
      </c>
      <c r="E27" s="123" t="s">
        <v>185</v>
      </c>
      <c r="F27" s="123" t="s">
        <v>672</v>
      </c>
      <c r="G27">
        <v>0</v>
      </c>
    </row>
    <row r="28" spans="1:7" x14ac:dyDescent="0.3">
      <c r="A28">
        <v>5096</v>
      </c>
      <c r="B28" s="123" t="s">
        <v>824</v>
      </c>
      <c r="C28">
        <v>0</v>
      </c>
      <c r="D28">
        <v>0</v>
      </c>
      <c r="E28" s="123" t="s">
        <v>185</v>
      </c>
      <c r="F28" s="123" t="s">
        <v>672</v>
      </c>
      <c r="G28">
        <v>0</v>
      </c>
    </row>
    <row r="29" spans="1:7" x14ac:dyDescent="0.3">
      <c r="A29">
        <v>6096</v>
      </c>
      <c r="B29" s="123" t="s">
        <v>1498</v>
      </c>
      <c r="C29">
        <v>40481.03</v>
      </c>
      <c r="D29">
        <v>0</v>
      </c>
      <c r="E29" s="123" t="s">
        <v>185</v>
      </c>
      <c r="F29" s="123" t="s">
        <v>672</v>
      </c>
      <c r="G29">
        <v>40481.03</v>
      </c>
    </row>
    <row r="30" spans="1:7" x14ac:dyDescent="0.3">
      <c r="A30">
        <v>5297</v>
      </c>
      <c r="B30" s="123" t="s">
        <v>827</v>
      </c>
      <c r="C30">
        <v>0</v>
      </c>
      <c r="D30">
        <v>0</v>
      </c>
      <c r="E30" s="123" t="s">
        <v>185</v>
      </c>
      <c r="F30" s="123" t="s">
        <v>672</v>
      </c>
      <c r="G30">
        <v>0</v>
      </c>
    </row>
    <row r="31" spans="1:7" x14ac:dyDescent="0.3">
      <c r="A31">
        <v>6097</v>
      </c>
      <c r="B31" s="123" t="s">
        <v>840</v>
      </c>
      <c r="C31">
        <v>962.32</v>
      </c>
      <c r="D31">
        <v>0</v>
      </c>
      <c r="E31" s="123" t="s">
        <v>185</v>
      </c>
      <c r="F31" s="123" t="s">
        <v>672</v>
      </c>
      <c r="G31">
        <v>962.32</v>
      </c>
    </row>
    <row r="32" spans="1:7" x14ac:dyDescent="0.3">
      <c r="A32">
        <v>6098</v>
      </c>
      <c r="B32" s="123" t="s">
        <v>857</v>
      </c>
      <c r="C32">
        <v>2016.77</v>
      </c>
      <c r="D32">
        <v>0</v>
      </c>
      <c r="E32" s="123" t="s">
        <v>185</v>
      </c>
      <c r="F32" s="123" t="s">
        <v>672</v>
      </c>
      <c r="G32">
        <v>2016.77</v>
      </c>
    </row>
    <row r="33" spans="1:7" x14ac:dyDescent="0.3">
      <c r="A33">
        <v>6100</v>
      </c>
      <c r="B33" s="123" t="s">
        <v>855</v>
      </c>
      <c r="C33">
        <v>0</v>
      </c>
      <c r="D33">
        <v>0</v>
      </c>
      <c r="E33" s="123" t="s">
        <v>185</v>
      </c>
      <c r="F33" s="123" t="s">
        <v>672</v>
      </c>
      <c r="G33">
        <v>0</v>
      </c>
    </row>
    <row r="34" spans="1:7" x14ac:dyDescent="0.3">
      <c r="A34">
        <v>6101</v>
      </c>
      <c r="B34" s="123" t="s">
        <v>874</v>
      </c>
      <c r="C34">
        <v>26231699.420000002</v>
      </c>
      <c r="D34">
        <v>0</v>
      </c>
      <c r="E34" s="123" t="s">
        <v>185</v>
      </c>
      <c r="F34" s="123" t="s">
        <v>672</v>
      </c>
      <c r="G34">
        <v>26231699.420000002</v>
      </c>
    </row>
    <row r="35" spans="1:7" x14ac:dyDescent="0.3">
      <c r="A35">
        <v>6105</v>
      </c>
      <c r="B35" s="123" t="s">
        <v>847</v>
      </c>
      <c r="C35">
        <v>0</v>
      </c>
      <c r="D35">
        <v>0</v>
      </c>
      <c r="E35" s="123" t="s">
        <v>185</v>
      </c>
      <c r="F35" s="123" t="s">
        <v>672</v>
      </c>
      <c r="G35">
        <v>0</v>
      </c>
    </row>
    <row r="36" spans="1:7" x14ac:dyDescent="0.3">
      <c r="A36">
        <v>6106</v>
      </c>
      <c r="B36" s="123" t="s">
        <v>848</v>
      </c>
      <c r="C36">
        <v>40.950000000000003</v>
      </c>
      <c r="D36">
        <v>0</v>
      </c>
      <c r="E36" s="123" t="s">
        <v>185</v>
      </c>
      <c r="F36" s="123" t="s">
        <v>672</v>
      </c>
      <c r="G36">
        <v>40.950000000000003</v>
      </c>
    </row>
    <row r="37" spans="1:7" x14ac:dyDescent="0.3">
      <c r="A37">
        <v>6107</v>
      </c>
      <c r="B37" s="123" t="s">
        <v>858</v>
      </c>
      <c r="C37">
        <v>0.28999999999999998</v>
      </c>
      <c r="D37">
        <v>0</v>
      </c>
      <c r="E37" s="123" t="s">
        <v>185</v>
      </c>
      <c r="F37" s="123" t="s">
        <v>672</v>
      </c>
      <c r="G37">
        <v>0.28999999999999998</v>
      </c>
    </row>
    <row r="38" spans="1:7" x14ac:dyDescent="0.3">
      <c r="A38">
        <v>5845</v>
      </c>
      <c r="B38" s="123" t="s">
        <v>856</v>
      </c>
      <c r="C38">
        <v>0</v>
      </c>
      <c r="D38">
        <v>0</v>
      </c>
      <c r="E38" s="123" t="s">
        <v>185</v>
      </c>
      <c r="F38" s="123" t="s">
        <v>672</v>
      </c>
      <c r="G38">
        <v>0</v>
      </c>
    </row>
    <row r="39" spans="1:7" x14ac:dyDescent="0.3">
      <c r="A39">
        <v>6108</v>
      </c>
      <c r="B39" s="123" t="s">
        <v>899</v>
      </c>
      <c r="C39">
        <v>13213.02</v>
      </c>
      <c r="D39">
        <v>0</v>
      </c>
      <c r="E39" s="123" t="s">
        <v>185</v>
      </c>
      <c r="F39" s="123" t="s">
        <v>672</v>
      </c>
      <c r="G39">
        <v>13213.02</v>
      </c>
    </row>
    <row r="40" spans="1:7" x14ac:dyDescent="0.3">
      <c r="A40">
        <v>6110</v>
      </c>
      <c r="B40" s="123" t="s">
        <v>900</v>
      </c>
      <c r="C40">
        <v>-70162.16</v>
      </c>
      <c r="D40">
        <v>0</v>
      </c>
      <c r="E40" s="123" t="s">
        <v>185</v>
      </c>
      <c r="F40" s="123" t="s">
        <v>672</v>
      </c>
      <c r="G40">
        <v>-70162.16</v>
      </c>
    </row>
    <row r="41" spans="1:7" x14ac:dyDescent="0.3">
      <c r="A41">
        <v>6112</v>
      </c>
      <c r="B41" s="123" t="s">
        <v>875</v>
      </c>
      <c r="C41">
        <v>0</v>
      </c>
      <c r="D41">
        <v>0</v>
      </c>
      <c r="E41" s="123" t="s">
        <v>185</v>
      </c>
      <c r="F41" s="123" t="s">
        <v>672</v>
      </c>
      <c r="G41">
        <v>0</v>
      </c>
    </row>
    <row r="42" spans="1:7" x14ac:dyDescent="0.3">
      <c r="A42">
        <v>6114</v>
      </c>
      <c r="B42" s="123" t="s">
        <v>1520</v>
      </c>
      <c r="C42">
        <v>0</v>
      </c>
      <c r="D42">
        <v>0</v>
      </c>
      <c r="E42" s="123" t="s">
        <v>185</v>
      </c>
      <c r="F42" s="123" t="s">
        <v>672</v>
      </c>
      <c r="G42">
        <v>0</v>
      </c>
    </row>
    <row r="43" spans="1:7" x14ac:dyDescent="0.3">
      <c r="A43">
        <v>6115</v>
      </c>
      <c r="B43" s="123" t="s">
        <v>1602</v>
      </c>
      <c r="C43">
        <v>0</v>
      </c>
      <c r="D43">
        <v>0</v>
      </c>
      <c r="E43" s="123" t="s">
        <v>185</v>
      </c>
      <c r="F43" s="123" t="s">
        <v>672</v>
      </c>
      <c r="G43">
        <v>0</v>
      </c>
    </row>
    <row r="44" spans="1:7" x14ac:dyDescent="0.3">
      <c r="A44">
        <v>6118</v>
      </c>
      <c r="B44" s="123" t="s">
        <v>1510</v>
      </c>
      <c r="C44">
        <v>-55688.87</v>
      </c>
      <c r="D44">
        <v>0</v>
      </c>
      <c r="E44" s="123" t="s">
        <v>185</v>
      </c>
      <c r="F44" s="123" t="s">
        <v>672</v>
      </c>
      <c r="G44">
        <v>-55688.87</v>
      </c>
    </row>
    <row r="45" spans="1:7" x14ac:dyDescent="0.3">
      <c r="A45">
        <v>6116</v>
      </c>
      <c r="B45" s="123" t="s">
        <v>1475</v>
      </c>
      <c r="C45">
        <v>226522.9</v>
      </c>
      <c r="D45">
        <v>0</v>
      </c>
      <c r="E45" s="123" t="s">
        <v>185</v>
      </c>
      <c r="F45" s="123" t="s">
        <v>672</v>
      </c>
      <c r="G45">
        <v>226522.9</v>
      </c>
    </row>
    <row r="46" spans="1:7" x14ac:dyDescent="0.3">
      <c r="A46">
        <v>5285</v>
      </c>
      <c r="B46" s="123" t="s">
        <v>378</v>
      </c>
      <c r="C46">
        <v>0</v>
      </c>
      <c r="D46">
        <v>0</v>
      </c>
      <c r="E46" s="123" t="s">
        <v>185</v>
      </c>
      <c r="F46" s="123" t="s">
        <v>672</v>
      </c>
      <c r="G46">
        <v>0</v>
      </c>
    </row>
    <row r="47" spans="1:7" x14ac:dyDescent="0.3">
      <c r="A47">
        <v>5227</v>
      </c>
      <c r="B47" s="123" t="s">
        <v>367</v>
      </c>
      <c r="C47">
        <v>0</v>
      </c>
      <c r="D47">
        <v>0</v>
      </c>
      <c r="E47" s="123" t="s">
        <v>185</v>
      </c>
      <c r="F47" s="123" t="s">
        <v>672</v>
      </c>
      <c r="G47">
        <v>0</v>
      </c>
    </row>
    <row r="48" spans="1:7" x14ac:dyDescent="0.3">
      <c r="A48">
        <v>5122</v>
      </c>
      <c r="B48" s="123" t="s">
        <v>490</v>
      </c>
      <c r="C48">
        <v>0</v>
      </c>
      <c r="D48">
        <v>0</v>
      </c>
      <c r="E48" s="123" t="s">
        <v>185</v>
      </c>
      <c r="F48" s="123" t="s">
        <v>672</v>
      </c>
      <c r="G48">
        <v>0</v>
      </c>
    </row>
    <row r="49" spans="1:7" x14ac:dyDescent="0.3">
      <c r="A49">
        <v>1006</v>
      </c>
      <c r="B49" s="123" t="s">
        <v>285</v>
      </c>
      <c r="C49">
        <v>0</v>
      </c>
      <c r="D49">
        <v>0</v>
      </c>
      <c r="E49" s="123" t="s">
        <v>185</v>
      </c>
      <c r="F49" s="123" t="s">
        <v>672</v>
      </c>
      <c r="G49">
        <v>0</v>
      </c>
    </row>
    <row r="50" spans="1:7" x14ac:dyDescent="0.3">
      <c r="A50">
        <v>1007</v>
      </c>
      <c r="B50" s="123" t="s">
        <v>273</v>
      </c>
      <c r="C50">
        <v>-129388.89</v>
      </c>
      <c r="D50">
        <v>0</v>
      </c>
      <c r="E50" s="123" t="s">
        <v>185</v>
      </c>
      <c r="F50" s="123" t="s">
        <v>672</v>
      </c>
      <c r="G50">
        <v>-129388.89</v>
      </c>
    </row>
    <row r="51" spans="1:7" x14ac:dyDescent="0.3">
      <c r="A51">
        <v>1010</v>
      </c>
      <c r="B51" s="123" t="s">
        <v>271</v>
      </c>
      <c r="C51">
        <v>-32613.17</v>
      </c>
      <c r="D51">
        <v>0</v>
      </c>
      <c r="E51" s="123" t="s">
        <v>185</v>
      </c>
      <c r="F51" s="123" t="s">
        <v>672</v>
      </c>
      <c r="G51">
        <v>-32613.17</v>
      </c>
    </row>
    <row r="52" spans="1:7" x14ac:dyDescent="0.3">
      <c r="A52">
        <v>1011</v>
      </c>
      <c r="B52" s="123" t="s">
        <v>272</v>
      </c>
      <c r="C52">
        <v>0</v>
      </c>
      <c r="D52">
        <v>0</v>
      </c>
      <c r="E52" s="123" t="s">
        <v>185</v>
      </c>
      <c r="F52" s="123" t="s">
        <v>672</v>
      </c>
      <c r="G52">
        <v>0</v>
      </c>
    </row>
    <row r="53" spans="1:7" x14ac:dyDescent="0.3">
      <c r="A53">
        <v>5235</v>
      </c>
      <c r="B53" s="123" t="s">
        <v>373</v>
      </c>
      <c r="C53">
        <v>0</v>
      </c>
      <c r="D53">
        <v>0</v>
      </c>
      <c r="E53" s="123" t="s">
        <v>185</v>
      </c>
      <c r="F53" s="123" t="s">
        <v>672</v>
      </c>
      <c r="G53">
        <v>0</v>
      </c>
    </row>
    <row r="54" spans="1:7" x14ac:dyDescent="0.3">
      <c r="A54">
        <v>5040</v>
      </c>
      <c r="B54" s="123" t="s">
        <v>576</v>
      </c>
      <c r="C54">
        <v>0</v>
      </c>
      <c r="D54">
        <v>0</v>
      </c>
      <c r="E54" s="123" t="s">
        <v>185</v>
      </c>
      <c r="F54" s="123" t="s">
        <v>672</v>
      </c>
      <c r="G54">
        <v>0</v>
      </c>
    </row>
    <row r="55" spans="1:7" x14ac:dyDescent="0.3">
      <c r="A55">
        <v>5213</v>
      </c>
      <c r="B55" s="123" t="s">
        <v>583</v>
      </c>
      <c r="C55">
        <v>0</v>
      </c>
      <c r="D55">
        <v>0</v>
      </c>
      <c r="E55" s="123" t="s">
        <v>185</v>
      </c>
      <c r="F55" s="123" t="s">
        <v>672</v>
      </c>
      <c r="G55">
        <v>0</v>
      </c>
    </row>
    <row r="56" spans="1:7" x14ac:dyDescent="0.3">
      <c r="A56">
        <v>5114</v>
      </c>
      <c r="B56" s="123" t="s">
        <v>582</v>
      </c>
      <c r="C56">
        <v>0</v>
      </c>
      <c r="D56">
        <v>0</v>
      </c>
      <c r="E56" s="123" t="s">
        <v>185</v>
      </c>
      <c r="F56" s="123" t="s">
        <v>672</v>
      </c>
      <c r="G56">
        <v>0</v>
      </c>
    </row>
    <row r="57" spans="1:7" x14ac:dyDescent="0.3">
      <c r="A57">
        <v>5018</v>
      </c>
      <c r="B57" s="123" t="s">
        <v>375</v>
      </c>
      <c r="C57">
        <v>0</v>
      </c>
      <c r="D57">
        <v>0</v>
      </c>
      <c r="E57" s="123" t="s">
        <v>185</v>
      </c>
      <c r="F57" s="123" t="s">
        <v>672</v>
      </c>
      <c r="G57">
        <v>0</v>
      </c>
    </row>
    <row r="58" spans="1:7" x14ac:dyDescent="0.3">
      <c r="A58">
        <v>5052</v>
      </c>
      <c r="B58" s="123" t="s">
        <v>278</v>
      </c>
      <c r="C58">
        <v>0</v>
      </c>
      <c r="D58">
        <v>0</v>
      </c>
      <c r="E58" s="123" t="s">
        <v>185</v>
      </c>
      <c r="F58" s="123" t="s">
        <v>672</v>
      </c>
      <c r="G58">
        <v>0</v>
      </c>
    </row>
    <row r="59" spans="1:7" x14ac:dyDescent="0.3">
      <c r="A59">
        <v>5052</v>
      </c>
      <c r="B59" s="123" t="s">
        <v>278</v>
      </c>
      <c r="C59">
        <v>0</v>
      </c>
      <c r="D59">
        <v>0</v>
      </c>
      <c r="E59" s="123" t="s">
        <v>799</v>
      </c>
      <c r="F59" s="123" t="s">
        <v>676</v>
      </c>
      <c r="G59">
        <v>0</v>
      </c>
    </row>
    <row r="60" spans="1:7" x14ac:dyDescent="0.3">
      <c r="A60">
        <v>5018</v>
      </c>
      <c r="B60" s="123" t="s">
        <v>375</v>
      </c>
      <c r="C60">
        <v>0</v>
      </c>
      <c r="D60">
        <v>0</v>
      </c>
      <c r="E60" s="123" t="s">
        <v>799</v>
      </c>
      <c r="F60" s="123" t="s">
        <v>676</v>
      </c>
      <c r="G60">
        <v>0</v>
      </c>
    </row>
    <row r="61" spans="1:7" x14ac:dyDescent="0.3">
      <c r="A61">
        <v>5114</v>
      </c>
      <c r="B61" s="123" t="s">
        <v>582</v>
      </c>
      <c r="C61">
        <v>0</v>
      </c>
      <c r="D61">
        <v>0</v>
      </c>
      <c r="E61" s="123" t="s">
        <v>799</v>
      </c>
      <c r="F61" s="123" t="s">
        <v>676</v>
      </c>
      <c r="G61">
        <v>0</v>
      </c>
    </row>
    <row r="62" spans="1:7" x14ac:dyDescent="0.3">
      <c r="A62">
        <v>5213</v>
      </c>
      <c r="B62" s="123" t="s">
        <v>583</v>
      </c>
      <c r="C62">
        <v>0</v>
      </c>
      <c r="D62">
        <v>0</v>
      </c>
      <c r="E62" s="123" t="s">
        <v>799</v>
      </c>
      <c r="F62" s="123" t="s">
        <v>676</v>
      </c>
      <c r="G62">
        <v>0</v>
      </c>
    </row>
    <row r="63" spans="1:7" x14ac:dyDescent="0.3">
      <c r="A63">
        <v>5040</v>
      </c>
      <c r="B63" s="123" t="s">
        <v>576</v>
      </c>
      <c r="C63">
        <v>0</v>
      </c>
      <c r="D63">
        <v>0</v>
      </c>
      <c r="E63" s="123" t="s">
        <v>799</v>
      </c>
      <c r="F63" s="123" t="s">
        <v>676</v>
      </c>
      <c r="G63">
        <v>0</v>
      </c>
    </row>
    <row r="64" spans="1:7" x14ac:dyDescent="0.3">
      <c r="A64">
        <v>5235</v>
      </c>
      <c r="B64" s="123" t="s">
        <v>373</v>
      </c>
      <c r="C64">
        <v>0</v>
      </c>
      <c r="D64">
        <v>0</v>
      </c>
      <c r="E64" s="123" t="s">
        <v>799</v>
      </c>
      <c r="F64" s="123" t="s">
        <v>676</v>
      </c>
      <c r="G64">
        <v>0</v>
      </c>
    </row>
    <row r="65" spans="1:7" x14ac:dyDescent="0.3">
      <c r="A65">
        <v>5122</v>
      </c>
      <c r="B65" s="123" t="s">
        <v>490</v>
      </c>
      <c r="C65">
        <v>0</v>
      </c>
      <c r="D65">
        <v>0</v>
      </c>
      <c r="E65" s="123" t="s">
        <v>799</v>
      </c>
      <c r="F65" s="123" t="s">
        <v>676</v>
      </c>
      <c r="G65">
        <v>0</v>
      </c>
    </row>
    <row r="66" spans="1:7" x14ac:dyDescent="0.3">
      <c r="A66">
        <v>5227</v>
      </c>
      <c r="B66" s="123" t="s">
        <v>367</v>
      </c>
      <c r="C66">
        <v>0</v>
      </c>
      <c r="D66">
        <v>0</v>
      </c>
      <c r="E66" s="123" t="s">
        <v>799</v>
      </c>
      <c r="F66" s="123" t="s">
        <v>676</v>
      </c>
      <c r="G66">
        <v>0</v>
      </c>
    </row>
    <row r="67" spans="1:7" x14ac:dyDescent="0.3">
      <c r="A67">
        <v>6116</v>
      </c>
      <c r="B67" s="123" t="s">
        <v>1475</v>
      </c>
      <c r="C67">
        <v>202146.74</v>
      </c>
      <c r="D67">
        <v>0</v>
      </c>
      <c r="E67" s="123" t="s">
        <v>799</v>
      </c>
      <c r="F67" s="123" t="s">
        <v>676</v>
      </c>
      <c r="G67">
        <v>202146.74</v>
      </c>
    </row>
    <row r="68" spans="1:7" x14ac:dyDescent="0.3">
      <c r="A68">
        <v>6118</v>
      </c>
      <c r="B68" s="123" t="s">
        <v>1510</v>
      </c>
      <c r="C68">
        <v>92.2</v>
      </c>
      <c r="D68">
        <v>0</v>
      </c>
      <c r="E68" s="123" t="s">
        <v>799</v>
      </c>
      <c r="F68" s="123" t="s">
        <v>676</v>
      </c>
      <c r="G68">
        <v>92.2</v>
      </c>
    </row>
    <row r="69" spans="1:7" x14ac:dyDescent="0.3">
      <c r="A69">
        <v>6120</v>
      </c>
      <c r="B69" s="123" t="s">
        <v>1511</v>
      </c>
      <c r="C69">
        <v>0</v>
      </c>
      <c r="D69">
        <v>0</v>
      </c>
      <c r="E69" s="123" t="s">
        <v>799</v>
      </c>
      <c r="F69" s="123" t="s">
        <v>676</v>
      </c>
      <c r="G69">
        <v>0</v>
      </c>
    </row>
    <row r="70" spans="1:7" x14ac:dyDescent="0.3">
      <c r="A70">
        <v>6123</v>
      </c>
      <c r="B70" s="123" t="s">
        <v>1620</v>
      </c>
      <c r="C70">
        <v>2000</v>
      </c>
      <c r="D70">
        <v>0</v>
      </c>
      <c r="E70" s="123" t="s">
        <v>799</v>
      </c>
      <c r="F70" s="123" t="s">
        <v>676</v>
      </c>
      <c r="G70">
        <v>2000</v>
      </c>
    </row>
    <row r="71" spans="1:7" x14ac:dyDescent="0.3">
      <c r="A71">
        <v>6115</v>
      </c>
      <c r="B71" s="123" t="s">
        <v>1602</v>
      </c>
      <c r="C71">
        <v>0.2</v>
      </c>
      <c r="D71">
        <v>0</v>
      </c>
      <c r="E71" s="123" t="s">
        <v>799</v>
      </c>
      <c r="F71" s="123" t="s">
        <v>676</v>
      </c>
      <c r="G71">
        <v>0.2</v>
      </c>
    </row>
    <row r="72" spans="1:7" x14ac:dyDescent="0.3">
      <c r="A72">
        <v>6110</v>
      </c>
      <c r="B72" s="123" t="s">
        <v>900</v>
      </c>
      <c r="C72">
        <v>8800</v>
      </c>
      <c r="D72">
        <v>0</v>
      </c>
      <c r="E72" s="123" t="s">
        <v>799</v>
      </c>
      <c r="F72" s="123" t="s">
        <v>676</v>
      </c>
      <c r="G72">
        <v>8800</v>
      </c>
    </row>
    <row r="73" spans="1:7" x14ac:dyDescent="0.3">
      <c r="A73">
        <v>6108</v>
      </c>
      <c r="B73" s="123" t="s">
        <v>899</v>
      </c>
      <c r="C73">
        <v>81.650000000000006</v>
      </c>
      <c r="D73">
        <v>0</v>
      </c>
      <c r="E73" s="123" t="s">
        <v>799</v>
      </c>
      <c r="F73" s="123" t="s">
        <v>676</v>
      </c>
      <c r="G73">
        <v>81.650000000000006</v>
      </c>
    </row>
    <row r="74" spans="1:7" x14ac:dyDescent="0.3">
      <c r="A74">
        <v>6106</v>
      </c>
      <c r="B74" s="123" t="s">
        <v>848</v>
      </c>
      <c r="C74">
        <v>0</v>
      </c>
      <c r="D74">
        <v>0</v>
      </c>
      <c r="E74" s="123" t="s">
        <v>799</v>
      </c>
      <c r="F74" s="123" t="s">
        <v>676</v>
      </c>
      <c r="G74">
        <v>0</v>
      </c>
    </row>
    <row r="75" spans="1:7" x14ac:dyDescent="0.3">
      <c r="A75">
        <v>5297</v>
      </c>
      <c r="B75" s="123" t="s">
        <v>827</v>
      </c>
      <c r="C75">
        <v>0</v>
      </c>
      <c r="D75">
        <v>0</v>
      </c>
      <c r="E75" s="123" t="s">
        <v>799</v>
      </c>
      <c r="F75" s="123" t="s">
        <v>676</v>
      </c>
      <c r="G75">
        <v>0</v>
      </c>
    </row>
    <row r="76" spans="1:7" x14ac:dyDescent="0.3">
      <c r="A76">
        <v>5062</v>
      </c>
      <c r="B76" s="123" t="s">
        <v>677</v>
      </c>
      <c r="C76">
        <v>0</v>
      </c>
      <c r="D76">
        <v>0</v>
      </c>
      <c r="E76" s="123" t="s">
        <v>799</v>
      </c>
      <c r="F76" s="123" t="s">
        <v>676</v>
      </c>
      <c r="G76">
        <v>0</v>
      </c>
    </row>
    <row r="77" spans="1:7" x14ac:dyDescent="0.3">
      <c r="A77">
        <v>264</v>
      </c>
      <c r="B77" s="123" t="s">
        <v>248</v>
      </c>
      <c r="C77">
        <v>0</v>
      </c>
      <c r="D77">
        <v>0</v>
      </c>
      <c r="E77" s="123" t="s">
        <v>799</v>
      </c>
      <c r="F77" s="123" t="s">
        <v>676</v>
      </c>
      <c r="G77">
        <v>0</v>
      </c>
    </row>
    <row r="78" spans="1:7" x14ac:dyDescent="0.3">
      <c r="A78">
        <v>5101</v>
      </c>
      <c r="B78" s="123" t="s">
        <v>569</v>
      </c>
      <c r="C78">
        <v>0</v>
      </c>
      <c r="D78">
        <v>0</v>
      </c>
      <c r="E78" s="123" t="s">
        <v>799</v>
      </c>
      <c r="F78" s="123" t="s">
        <v>676</v>
      </c>
      <c r="G78">
        <v>0</v>
      </c>
    </row>
    <row r="79" spans="1:7" x14ac:dyDescent="0.3">
      <c r="A79">
        <v>5067</v>
      </c>
      <c r="B79" s="123" t="s">
        <v>518</v>
      </c>
      <c r="C79">
        <v>0</v>
      </c>
      <c r="D79">
        <v>0</v>
      </c>
      <c r="E79" s="123" t="s">
        <v>799</v>
      </c>
      <c r="F79" s="123" t="s">
        <v>676</v>
      </c>
      <c r="G79">
        <v>0</v>
      </c>
    </row>
    <row r="80" spans="1:7" x14ac:dyDescent="0.3">
      <c r="A80">
        <v>5238</v>
      </c>
      <c r="B80" s="123" t="s">
        <v>276</v>
      </c>
      <c r="C80">
        <v>0</v>
      </c>
      <c r="D80">
        <v>0</v>
      </c>
      <c r="E80" s="123" t="s">
        <v>799</v>
      </c>
      <c r="F80" s="123" t="s">
        <v>676</v>
      </c>
      <c r="G80">
        <v>0</v>
      </c>
    </row>
    <row r="81" spans="1:7" x14ac:dyDescent="0.3">
      <c r="A81">
        <v>5035</v>
      </c>
      <c r="B81" s="123" t="s">
        <v>259</v>
      </c>
      <c r="C81">
        <v>0</v>
      </c>
      <c r="D81">
        <v>0</v>
      </c>
      <c r="E81" s="123" t="s">
        <v>799</v>
      </c>
      <c r="F81" s="123" t="s">
        <v>676</v>
      </c>
      <c r="G81">
        <v>0</v>
      </c>
    </row>
    <row r="82" spans="1:7" x14ac:dyDescent="0.3">
      <c r="A82">
        <v>5006</v>
      </c>
      <c r="B82" s="123" t="s">
        <v>253</v>
      </c>
      <c r="C82">
        <v>0</v>
      </c>
      <c r="D82">
        <v>0</v>
      </c>
      <c r="E82" s="123" t="s">
        <v>799</v>
      </c>
      <c r="F82" s="123" t="s">
        <v>676</v>
      </c>
      <c r="G82">
        <v>0</v>
      </c>
    </row>
    <row r="83" spans="1:7" x14ac:dyDescent="0.3">
      <c r="A83">
        <v>5021</v>
      </c>
      <c r="B83" s="123" t="s">
        <v>674</v>
      </c>
      <c r="C83">
        <v>0</v>
      </c>
      <c r="D83">
        <v>0</v>
      </c>
      <c r="E83" s="123" t="s">
        <v>799</v>
      </c>
      <c r="F83" s="123" t="s">
        <v>676</v>
      </c>
      <c r="G83">
        <v>0</v>
      </c>
    </row>
    <row r="84" spans="1:7" x14ac:dyDescent="0.3">
      <c r="A84">
        <v>121</v>
      </c>
      <c r="B84" s="123" t="s">
        <v>473</v>
      </c>
      <c r="C84">
        <v>0</v>
      </c>
      <c r="D84">
        <v>0</v>
      </c>
      <c r="E84" s="123" t="s">
        <v>799</v>
      </c>
      <c r="F84" s="123" t="s">
        <v>676</v>
      </c>
      <c r="G84">
        <v>0</v>
      </c>
    </row>
    <row r="85" spans="1:7" x14ac:dyDescent="0.3">
      <c r="A85">
        <v>5120</v>
      </c>
      <c r="B85" s="123" t="s">
        <v>542</v>
      </c>
      <c r="C85">
        <v>0</v>
      </c>
      <c r="D85">
        <v>0</v>
      </c>
      <c r="E85" s="123" t="s">
        <v>799</v>
      </c>
      <c r="F85" s="123" t="s">
        <v>676</v>
      </c>
      <c r="G85">
        <v>0</v>
      </c>
    </row>
    <row r="86" spans="1:7" x14ac:dyDescent="0.3">
      <c r="A86">
        <v>5097</v>
      </c>
      <c r="B86" s="123" t="s">
        <v>193</v>
      </c>
      <c r="C86">
        <v>0</v>
      </c>
      <c r="D86">
        <v>0</v>
      </c>
      <c r="E86" s="123" t="s">
        <v>799</v>
      </c>
      <c r="F86" s="123" t="s">
        <v>676</v>
      </c>
      <c r="G86">
        <v>0</v>
      </c>
    </row>
    <row r="87" spans="1:7" x14ac:dyDescent="0.3">
      <c r="A87">
        <v>1013</v>
      </c>
      <c r="B87" s="123" t="s">
        <v>286</v>
      </c>
      <c r="C87">
        <v>0</v>
      </c>
      <c r="D87">
        <v>0</v>
      </c>
      <c r="E87" s="123" t="s">
        <v>799</v>
      </c>
      <c r="F87" s="123" t="s">
        <v>676</v>
      </c>
      <c r="G87">
        <v>0</v>
      </c>
    </row>
    <row r="88" spans="1:7" x14ac:dyDescent="0.3">
      <c r="A88">
        <v>5100</v>
      </c>
      <c r="B88" s="123" t="s">
        <v>364</v>
      </c>
      <c r="C88">
        <v>0</v>
      </c>
      <c r="D88">
        <v>0</v>
      </c>
      <c r="E88" s="123" t="s">
        <v>799</v>
      </c>
      <c r="F88" s="123" t="s">
        <v>676</v>
      </c>
      <c r="G88">
        <v>0</v>
      </c>
    </row>
    <row r="89" spans="1:7" x14ac:dyDescent="0.3">
      <c r="A89">
        <v>5100</v>
      </c>
      <c r="B89" s="123" t="s">
        <v>364</v>
      </c>
      <c r="C89">
        <v>0</v>
      </c>
      <c r="D89">
        <v>0</v>
      </c>
      <c r="E89" s="123" t="s">
        <v>188</v>
      </c>
      <c r="F89" s="123" t="s">
        <v>678</v>
      </c>
      <c r="G89">
        <v>0</v>
      </c>
    </row>
    <row r="90" spans="1:7" x14ac:dyDescent="0.3">
      <c r="A90">
        <v>5097</v>
      </c>
      <c r="B90" s="123" t="s">
        <v>193</v>
      </c>
      <c r="C90">
        <v>0</v>
      </c>
      <c r="D90">
        <v>0</v>
      </c>
      <c r="E90" s="123" t="s">
        <v>188</v>
      </c>
      <c r="F90" s="123" t="s">
        <v>678</v>
      </c>
      <c r="G90">
        <v>0</v>
      </c>
    </row>
    <row r="91" spans="1:7" x14ac:dyDescent="0.3">
      <c r="A91">
        <v>5120</v>
      </c>
      <c r="B91" s="123" t="s">
        <v>542</v>
      </c>
      <c r="C91">
        <v>0</v>
      </c>
      <c r="D91">
        <v>0</v>
      </c>
      <c r="E91" s="123" t="s">
        <v>188</v>
      </c>
      <c r="F91" s="123" t="s">
        <v>678</v>
      </c>
      <c r="G91">
        <v>0</v>
      </c>
    </row>
    <row r="92" spans="1:7" x14ac:dyDescent="0.3">
      <c r="A92">
        <v>5006</v>
      </c>
      <c r="B92" s="123" t="s">
        <v>253</v>
      </c>
      <c r="C92">
        <v>0</v>
      </c>
      <c r="D92">
        <v>0</v>
      </c>
      <c r="E92" s="123" t="s">
        <v>188</v>
      </c>
      <c r="F92" s="123" t="s">
        <v>678</v>
      </c>
      <c r="G92">
        <v>0</v>
      </c>
    </row>
    <row r="93" spans="1:7" x14ac:dyDescent="0.3">
      <c r="A93">
        <v>5035</v>
      </c>
      <c r="B93" s="123" t="s">
        <v>259</v>
      </c>
      <c r="C93">
        <v>0</v>
      </c>
      <c r="D93">
        <v>0</v>
      </c>
      <c r="E93" s="123" t="s">
        <v>188</v>
      </c>
      <c r="F93" s="123" t="s">
        <v>678</v>
      </c>
      <c r="G93">
        <v>0</v>
      </c>
    </row>
    <row r="94" spans="1:7" x14ac:dyDescent="0.3">
      <c r="A94">
        <v>5238</v>
      </c>
      <c r="B94" s="123" t="s">
        <v>276</v>
      </c>
      <c r="C94">
        <v>0</v>
      </c>
      <c r="D94">
        <v>0</v>
      </c>
      <c r="E94" s="123" t="s">
        <v>188</v>
      </c>
      <c r="F94" s="123" t="s">
        <v>678</v>
      </c>
      <c r="G94">
        <v>0</v>
      </c>
    </row>
    <row r="95" spans="1:7" x14ac:dyDescent="0.3">
      <c r="A95">
        <v>5067</v>
      </c>
      <c r="B95" s="123" t="s">
        <v>518</v>
      </c>
      <c r="C95">
        <v>0</v>
      </c>
      <c r="D95">
        <v>0</v>
      </c>
      <c r="E95" s="123" t="s">
        <v>188</v>
      </c>
      <c r="F95" s="123" t="s">
        <v>678</v>
      </c>
      <c r="G95">
        <v>0</v>
      </c>
    </row>
    <row r="96" spans="1:7" x14ac:dyDescent="0.3">
      <c r="A96">
        <v>5297</v>
      </c>
      <c r="B96" s="123" t="s">
        <v>827</v>
      </c>
      <c r="C96">
        <v>0</v>
      </c>
      <c r="D96">
        <v>0</v>
      </c>
      <c r="E96" s="123" t="s">
        <v>188</v>
      </c>
      <c r="F96" s="123" t="s">
        <v>678</v>
      </c>
      <c r="G96">
        <v>0</v>
      </c>
    </row>
    <row r="97" spans="1:7" x14ac:dyDescent="0.3">
      <c r="A97">
        <v>5285</v>
      </c>
      <c r="B97" s="123" t="s">
        <v>378</v>
      </c>
      <c r="C97">
        <v>0</v>
      </c>
      <c r="D97">
        <v>0</v>
      </c>
      <c r="E97" s="123" t="s">
        <v>188</v>
      </c>
      <c r="F97" s="123" t="s">
        <v>678</v>
      </c>
      <c r="G97">
        <v>0</v>
      </c>
    </row>
    <row r="98" spans="1:7" x14ac:dyDescent="0.3">
      <c r="A98">
        <v>5227</v>
      </c>
      <c r="B98" s="123" t="s">
        <v>367</v>
      </c>
      <c r="C98">
        <v>0</v>
      </c>
      <c r="D98">
        <v>0</v>
      </c>
      <c r="E98" s="123" t="s">
        <v>188</v>
      </c>
      <c r="F98" s="123" t="s">
        <v>678</v>
      </c>
      <c r="G98">
        <v>0</v>
      </c>
    </row>
    <row r="99" spans="1:7" x14ac:dyDescent="0.3">
      <c r="A99">
        <v>5122</v>
      </c>
      <c r="B99" s="123" t="s">
        <v>490</v>
      </c>
      <c r="C99">
        <v>0</v>
      </c>
      <c r="D99">
        <v>0</v>
      </c>
      <c r="E99" s="123" t="s">
        <v>188</v>
      </c>
      <c r="F99" s="123" t="s">
        <v>678</v>
      </c>
      <c r="G99">
        <v>0</v>
      </c>
    </row>
    <row r="100" spans="1:7" x14ac:dyDescent="0.3">
      <c r="A100">
        <v>5235</v>
      </c>
      <c r="B100" s="123" t="s">
        <v>373</v>
      </c>
      <c r="C100">
        <v>0</v>
      </c>
      <c r="D100">
        <v>0</v>
      </c>
      <c r="E100" s="123" t="s">
        <v>188</v>
      </c>
      <c r="F100" s="123" t="s">
        <v>678</v>
      </c>
      <c r="G100">
        <v>0</v>
      </c>
    </row>
    <row r="101" spans="1:7" x14ac:dyDescent="0.3">
      <c r="A101">
        <v>5040</v>
      </c>
      <c r="B101" s="123" t="s">
        <v>576</v>
      </c>
      <c r="C101">
        <v>0</v>
      </c>
      <c r="D101">
        <v>0</v>
      </c>
      <c r="E101" s="123" t="s">
        <v>188</v>
      </c>
      <c r="F101" s="123" t="s">
        <v>678</v>
      </c>
      <c r="G101">
        <v>0</v>
      </c>
    </row>
    <row r="102" spans="1:7" x14ac:dyDescent="0.3">
      <c r="A102">
        <v>5213</v>
      </c>
      <c r="B102" s="123" t="s">
        <v>583</v>
      </c>
      <c r="C102">
        <v>0</v>
      </c>
      <c r="D102">
        <v>0</v>
      </c>
      <c r="E102" s="123" t="s">
        <v>188</v>
      </c>
      <c r="F102" s="123" t="s">
        <v>678</v>
      </c>
      <c r="G102">
        <v>0</v>
      </c>
    </row>
    <row r="103" spans="1:7" x14ac:dyDescent="0.3">
      <c r="A103">
        <v>5114</v>
      </c>
      <c r="B103" s="123" t="s">
        <v>582</v>
      </c>
      <c r="C103">
        <v>0</v>
      </c>
      <c r="D103">
        <v>0</v>
      </c>
      <c r="E103" s="123" t="s">
        <v>188</v>
      </c>
      <c r="F103" s="123" t="s">
        <v>678</v>
      </c>
      <c r="G103">
        <v>0</v>
      </c>
    </row>
    <row r="104" spans="1:7" x14ac:dyDescent="0.3">
      <c r="A104">
        <v>6012</v>
      </c>
      <c r="B104" s="123" t="s">
        <v>464</v>
      </c>
      <c r="C104">
        <v>-59803.09</v>
      </c>
      <c r="D104">
        <v>224689.66</v>
      </c>
      <c r="E104" s="123" t="s">
        <v>801</v>
      </c>
      <c r="F104" s="123" t="s">
        <v>679</v>
      </c>
      <c r="G104">
        <v>164886.57</v>
      </c>
    </row>
    <row r="105" spans="1:7" x14ac:dyDescent="0.3">
      <c r="A105">
        <v>66</v>
      </c>
      <c r="B105" s="123" t="s">
        <v>372</v>
      </c>
      <c r="C105">
        <v>0</v>
      </c>
      <c r="D105">
        <v>0</v>
      </c>
      <c r="E105" s="123" t="s">
        <v>801</v>
      </c>
      <c r="F105" s="123" t="s">
        <v>679</v>
      </c>
      <c r="G105">
        <v>0</v>
      </c>
    </row>
    <row r="106" spans="1:7" x14ac:dyDescent="0.3">
      <c r="A106">
        <v>6</v>
      </c>
      <c r="B106" s="123" t="s">
        <v>196</v>
      </c>
      <c r="C106">
        <v>398963.75</v>
      </c>
      <c r="D106">
        <v>0.01</v>
      </c>
      <c r="E106" s="123" t="s">
        <v>185</v>
      </c>
      <c r="F106" s="123" t="s">
        <v>672</v>
      </c>
      <c r="G106">
        <v>398963.76</v>
      </c>
    </row>
    <row r="107" spans="1:7" x14ac:dyDescent="0.3">
      <c r="A107">
        <v>64</v>
      </c>
      <c r="B107" s="123" t="s">
        <v>366</v>
      </c>
      <c r="C107">
        <v>0</v>
      </c>
      <c r="D107">
        <v>0.01</v>
      </c>
      <c r="E107" s="123" t="s">
        <v>185</v>
      </c>
      <c r="F107" s="123" t="s">
        <v>672</v>
      </c>
      <c r="G107">
        <v>0.01</v>
      </c>
    </row>
    <row r="108" spans="1:7" x14ac:dyDescent="0.3">
      <c r="A108">
        <v>117</v>
      </c>
      <c r="B108" s="123" t="s">
        <v>463</v>
      </c>
      <c r="C108">
        <v>2462.54</v>
      </c>
      <c r="D108">
        <v>0</v>
      </c>
      <c r="E108" s="123" t="s">
        <v>185</v>
      </c>
      <c r="F108" s="123" t="s">
        <v>672</v>
      </c>
      <c r="G108">
        <v>2462.54</v>
      </c>
    </row>
    <row r="109" spans="1:7" x14ac:dyDescent="0.3">
      <c r="A109">
        <v>125</v>
      </c>
      <c r="B109" s="123" t="s">
        <v>351</v>
      </c>
      <c r="C109">
        <v>4.16</v>
      </c>
      <c r="D109">
        <v>0.02</v>
      </c>
      <c r="E109" s="123" t="s">
        <v>185</v>
      </c>
      <c r="F109" s="123" t="s">
        <v>672</v>
      </c>
      <c r="G109">
        <v>4.18</v>
      </c>
    </row>
    <row r="110" spans="1:7" x14ac:dyDescent="0.3">
      <c r="A110">
        <v>137</v>
      </c>
      <c r="B110" s="123" t="s">
        <v>493</v>
      </c>
      <c r="C110">
        <v>0</v>
      </c>
      <c r="D110">
        <v>0</v>
      </c>
      <c r="E110" s="123" t="s">
        <v>185</v>
      </c>
      <c r="F110" s="123" t="s">
        <v>672</v>
      </c>
      <c r="G110">
        <v>0</v>
      </c>
    </row>
    <row r="111" spans="1:7" x14ac:dyDescent="0.3">
      <c r="A111">
        <v>145</v>
      </c>
      <c r="B111" s="123" t="s">
        <v>508</v>
      </c>
      <c r="C111">
        <v>0</v>
      </c>
      <c r="D111">
        <v>0</v>
      </c>
      <c r="E111" s="123" t="s">
        <v>185</v>
      </c>
      <c r="F111" s="123" t="s">
        <v>672</v>
      </c>
      <c r="G111">
        <v>0</v>
      </c>
    </row>
    <row r="112" spans="1:7" x14ac:dyDescent="0.3">
      <c r="A112">
        <v>521</v>
      </c>
      <c r="B112" s="123" t="s">
        <v>504</v>
      </c>
      <c r="C112">
        <v>0</v>
      </c>
      <c r="D112">
        <v>0</v>
      </c>
      <c r="E112" s="123" t="s">
        <v>185</v>
      </c>
      <c r="F112" s="123" t="s">
        <v>672</v>
      </c>
      <c r="G112">
        <v>0</v>
      </c>
    </row>
    <row r="113" spans="1:7" x14ac:dyDescent="0.3">
      <c r="A113">
        <v>320</v>
      </c>
      <c r="B113" s="123" t="s">
        <v>566</v>
      </c>
      <c r="C113">
        <v>0</v>
      </c>
      <c r="D113">
        <v>0</v>
      </c>
      <c r="E113" s="123" t="s">
        <v>185</v>
      </c>
      <c r="F113" s="123" t="s">
        <v>672</v>
      </c>
      <c r="G113">
        <v>0</v>
      </c>
    </row>
    <row r="114" spans="1:7" x14ac:dyDescent="0.3">
      <c r="A114">
        <v>145</v>
      </c>
      <c r="B114" s="123" t="s">
        <v>508</v>
      </c>
      <c r="C114">
        <v>0</v>
      </c>
      <c r="D114">
        <v>0</v>
      </c>
      <c r="E114" s="123" t="s">
        <v>799</v>
      </c>
      <c r="F114" s="123" t="s">
        <v>676</v>
      </c>
      <c r="G114">
        <v>0</v>
      </c>
    </row>
    <row r="115" spans="1:7" x14ac:dyDescent="0.3">
      <c r="A115">
        <v>137</v>
      </c>
      <c r="B115" s="123" t="s">
        <v>493</v>
      </c>
      <c r="C115">
        <v>0</v>
      </c>
      <c r="D115">
        <v>0</v>
      </c>
      <c r="E115" s="123" t="s">
        <v>799</v>
      </c>
      <c r="F115" s="123" t="s">
        <v>676</v>
      </c>
      <c r="G115">
        <v>0</v>
      </c>
    </row>
    <row r="116" spans="1:7" x14ac:dyDescent="0.3">
      <c r="A116">
        <v>117</v>
      </c>
      <c r="B116" s="123" t="s">
        <v>463</v>
      </c>
      <c r="C116">
        <v>0</v>
      </c>
      <c r="D116">
        <v>0</v>
      </c>
      <c r="E116" s="123" t="s">
        <v>799</v>
      </c>
      <c r="F116" s="123" t="s">
        <v>676</v>
      </c>
      <c r="G116">
        <v>0</v>
      </c>
    </row>
    <row r="117" spans="1:7" x14ac:dyDescent="0.3">
      <c r="A117">
        <v>64</v>
      </c>
      <c r="B117" s="123" t="s">
        <v>366</v>
      </c>
      <c r="C117">
        <v>22.74</v>
      </c>
      <c r="D117">
        <v>0</v>
      </c>
      <c r="E117" s="123" t="s">
        <v>799</v>
      </c>
      <c r="F117" s="123" t="s">
        <v>676</v>
      </c>
      <c r="G117">
        <v>22.74</v>
      </c>
    </row>
    <row r="118" spans="1:7" x14ac:dyDescent="0.3">
      <c r="A118">
        <v>6</v>
      </c>
      <c r="B118" s="123" t="s">
        <v>196</v>
      </c>
      <c r="C118">
        <v>76.2</v>
      </c>
      <c r="D118">
        <v>0</v>
      </c>
      <c r="E118" s="123" t="s">
        <v>799</v>
      </c>
      <c r="F118" s="123" t="s">
        <v>676</v>
      </c>
      <c r="G118">
        <v>76.2</v>
      </c>
    </row>
    <row r="119" spans="1:7" x14ac:dyDescent="0.3">
      <c r="A119">
        <v>64</v>
      </c>
      <c r="B119" s="123" t="s">
        <v>366</v>
      </c>
      <c r="C119">
        <v>18.29</v>
      </c>
      <c r="D119">
        <v>0</v>
      </c>
      <c r="E119" s="123" t="s">
        <v>188</v>
      </c>
      <c r="F119" s="123" t="s">
        <v>678</v>
      </c>
      <c r="G119">
        <v>18.29</v>
      </c>
    </row>
    <row r="120" spans="1:7" x14ac:dyDescent="0.3">
      <c r="A120">
        <v>137</v>
      </c>
      <c r="B120" s="123" t="s">
        <v>493</v>
      </c>
      <c r="C120">
        <v>0</v>
      </c>
      <c r="D120">
        <v>0</v>
      </c>
      <c r="E120" s="123" t="s">
        <v>188</v>
      </c>
      <c r="F120" s="123" t="s">
        <v>678</v>
      </c>
      <c r="G120">
        <v>0</v>
      </c>
    </row>
    <row r="121" spans="1:7" x14ac:dyDescent="0.3">
      <c r="A121">
        <v>137</v>
      </c>
      <c r="B121" s="123" t="s">
        <v>493</v>
      </c>
      <c r="C121">
        <v>0</v>
      </c>
      <c r="D121">
        <v>0</v>
      </c>
      <c r="E121" s="123" t="s">
        <v>801</v>
      </c>
      <c r="F121" s="123" t="s">
        <v>679</v>
      </c>
      <c r="G121">
        <v>0</v>
      </c>
    </row>
    <row r="122" spans="1:7" x14ac:dyDescent="0.3">
      <c r="A122">
        <v>125</v>
      </c>
      <c r="B122" s="123" t="s">
        <v>351</v>
      </c>
      <c r="C122">
        <v>0</v>
      </c>
      <c r="D122">
        <v>0</v>
      </c>
      <c r="E122" s="123" t="s">
        <v>801</v>
      </c>
      <c r="F122" s="123" t="s">
        <v>679</v>
      </c>
      <c r="G122">
        <v>0</v>
      </c>
    </row>
    <row r="123" spans="1:7" x14ac:dyDescent="0.3">
      <c r="A123">
        <v>117</v>
      </c>
      <c r="B123" s="123" t="s">
        <v>463</v>
      </c>
      <c r="C123">
        <v>0</v>
      </c>
      <c r="D123">
        <v>0</v>
      </c>
      <c r="E123" s="123" t="s">
        <v>801</v>
      </c>
      <c r="F123" s="123" t="s">
        <v>679</v>
      </c>
      <c r="G123">
        <v>0</v>
      </c>
    </row>
    <row r="124" spans="1:7" x14ac:dyDescent="0.3">
      <c r="A124">
        <v>64</v>
      </c>
      <c r="B124" s="123" t="s">
        <v>366</v>
      </c>
      <c r="C124">
        <v>0</v>
      </c>
      <c r="D124">
        <v>0</v>
      </c>
      <c r="E124" s="123" t="s">
        <v>801</v>
      </c>
      <c r="F124" s="123" t="s">
        <v>679</v>
      </c>
      <c r="G124">
        <v>0</v>
      </c>
    </row>
    <row r="125" spans="1:7" x14ac:dyDescent="0.3">
      <c r="A125">
        <v>6</v>
      </c>
      <c r="B125" s="123" t="s">
        <v>196</v>
      </c>
      <c r="C125">
        <v>2700</v>
      </c>
      <c r="D125">
        <v>3207.88</v>
      </c>
      <c r="E125" s="123" t="s">
        <v>801</v>
      </c>
      <c r="F125" s="123" t="s">
        <v>679</v>
      </c>
      <c r="G125">
        <v>5907.88</v>
      </c>
    </row>
    <row r="126" spans="1:7" x14ac:dyDescent="0.3">
      <c r="A126">
        <v>320</v>
      </c>
      <c r="B126" s="123" t="s">
        <v>566</v>
      </c>
      <c r="C126">
        <v>0</v>
      </c>
      <c r="D126">
        <v>0</v>
      </c>
      <c r="E126" s="123" t="s">
        <v>801</v>
      </c>
      <c r="F126" s="123" t="s">
        <v>679</v>
      </c>
      <c r="G126">
        <v>0</v>
      </c>
    </row>
    <row r="127" spans="1:7" x14ac:dyDescent="0.3">
      <c r="A127">
        <v>323</v>
      </c>
      <c r="B127" s="123" t="s">
        <v>368</v>
      </c>
      <c r="C127">
        <v>0</v>
      </c>
      <c r="D127">
        <v>0.04</v>
      </c>
      <c r="E127" s="123" t="s">
        <v>185</v>
      </c>
      <c r="F127" s="123" t="s">
        <v>672</v>
      </c>
      <c r="G127">
        <v>0.04</v>
      </c>
    </row>
    <row r="128" spans="1:7" x14ac:dyDescent="0.3">
      <c r="A128">
        <v>306</v>
      </c>
      <c r="B128" s="123" t="s">
        <v>487</v>
      </c>
      <c r="C128">
        <v>107.63</v>
      </c>
      <c r="D128">
        <v>0.01</v>
      </c>
      <c r="E128" s="123" t="s">
        <v>185</v>
      </c>
      <c r="F128" s="123" t="s">
        <v>672</v>
      </c>
      <c r="G128">
        <v>107.64</v>
      </c>
    </row>
    <row r="129" spans="1:7" x14ac:dyDescent="0.3">
      <c r="A129">
        <v>267</v>
      </c>
      <c r="B129" s="123" t="s">
        <v>383</v>
      </c>
      <c r="C129">
        <v>0</v>
      </c>
      <c r="D129">
        <v>0.06</v>
      </c>
      <c r="E129" s="123" t="s">
        <v>185</v>
      </c>
      <c r="F129" s="123" t="s">
        <v>672</v>
      </c>
      <c r="G129">
        <v>0.06</v>
      </c>
    </row>
    <row r="130" spans="1:7" x14ac:dyDescent="0.3">
      <c r="A130">
        <v>273</v>
      </c>
      <c r="B130" s="123" t="s">
        <v>323</v>
      </c>
      <c r="C130">
        <v>0</v>
      </c>
      <c r="D130">
        <v>0</v>
      </c>
      <c r="E130" s="123" t="s">
        <v>185</v>
      </c>
      <c r="F130" s="123" t="s">
        <v>672</v>
      </c>
      <c r="G130">
        <v>0</v>
      </c>
    </row>
    <row r="131" spans="1:7" x14ac:dyDescent="0.3">
      <c r="A131">
        <v>341</v>
      </c>
      <c r="B131" s="123" t="s">
        <v>239</v>
      </c>
      <c r="C131">
        <v>-13319424.199999999</v>
      </c>
      <c r="D131">
        <v>0.03</v>
      </c>
      <c r="E131" s="123" t="s">
        <v>185</v>
      </c>
      <c r="F131" s="123" t="s">
        <v>672</v>
      </c>
      <c r="G131">
        <v>-13319424.17</v>
      </c>
    </row>
    <row r="132" spans="1:7" x14ac:dyDescent="0.3">
      <c r="A132">
        <v>347</v>
      </c>
      <c r="B132" s="123" t="s">
        <v>221</v>
      </c>
      <c r="C132">
        <v>0</v>
      </c>
      <c r="D132">
        <v>0.01</v>
      </c>
      <c r="E132" s="123" t="s">
        <v>185</v>
      </c>
      <c r="F132" s="123" t="s">
        <v>672</v>
      </c>
      <c r="G132">
        <v>0.01</v>
      </c>
    </row>
    <row r="133" spans="1:7" x14ac:dyDescent="0.3">
      <c r="A133">
        <v>346</v>
      </c>
      <c r="B133" s="123" t="s">
        <v>433</v>
      </c>
      <c r="C133">
        <v>22.53</v>
      </c>
      <c r="D133">
        <v>0</v>
      </c>
      <c r="E133" s="123" t="s">
        <v>185</v>
      </c>
      <c r="F133" s="123" t="s">
        <v>672</v>
      </c>
      <c r="G133">
        <v>22.53</v>
      </c>
    </row>
    <row r="134" spans="1:7" x14ac:dyDescent="0.3">
      <c r="A134">
        <v>360</v>
      </c>
      <c r="B134" s="123" t="s">
        <v>507</v>
      </c>
      <c r="C134">
        <v>0</v>
      </c>
      <c r="D134">
        <v>0.02</v>
      </c>
      <c r="E134" s="123" t="s">
        <v>185</v>
      </c>
      <c r="F134" s="123" t="s">
        <v>672</v>
      </c>
      <c r="G134">
        <v>0.02</v>
      </c>
    </row>
    <row r="135" spans="1:7" x14ac:dyDescent="0.3">
      <c r="A135">
        <v>559</v>
      </c>
      <c r="B135" s="123" t="s">
        <v>501</v>
      </c>
      <c r="C135">
        <v>-10737.38</v>
      </c>
      <c r="D135">
        <v>0</v>
      </c>
      <c r="E135" s="123" t="s">
        <v>185</v>
      </c>
      <c r="F135" s="123" t="s">
        <v>672</v>
      </c>
      <c r="G135">
        <v>-10737.38</v>
      </c>
    </row>
    <row r="136" spans="1:7" x14ac:dyDescent="0.3">
      <c r="A136">
        <v>569</v>
      </c>
      <c r="B136" s="123" t="s">
        <v>512</v>
      </c>
      <c r="C136">
        <v>0</v>
      </c>
      <c r="D136">
        <v>0</v>
      </c>
      <c r="E136" s="123" t="s">
        <v>185</v>
      </c>
      <c r="F136" s="123" t="s">
        <v>672</v>
      </c>
      <c r="G136">
        <v>0</v>
      </c>
    </row>
    <row r="137" spans="1:7" x14ac:dyDescent="0.3">
      <c r="A137">
        <v>571</v>
      </c>
      <c r="B137" s="123" t="s">
        <v>195</v>
      </c>
      <c r="C137">
        <v>0</v>
      </c>
      <c r="D137">
        <v>0</v>
      </c>
      <c r="E137" s="123" t="s">
        <v>185</v>
      </c>
      <c r="F137" s="123" t="s">
        <v>672</v>
      </c>
      <c r="G137">
        <v>0</v>
      </c>
    </row>
    <row r="138" spans="1:7" x14ac:dyDescent="0.3">
      <c r="A138">
        <v>6053</v>
      </c>
      <c r="B138" s="123" t="s">
        <v>682</v>
      </c>
      <c r="C138">
        <v>-10913162.789999999</v>
      </c>
      <c r="D138">
        <v>0</v>
      </c>
      <c r="E138" s="123" t="s">
        <v>185</v>
      </c>
      <c r="F138" s="123" t="s">
        <v>672</v>
      </c>
      <c r="G138">
        <v>-10913162.789999999</v>
      </c>
    </row>
    <row r="139" spans="1:7" x14ac:dyDescent="0.3">
      <c r="A139">
        <v>6023</v>
      </c>
      <c r="B139" s="123" t="s">
        <v>680</v>
      </c>
      <c r="C139">
        <v>2765.88</v>
      </c>
      <c r="D139">
        <v>0</v>
      </c>
      <c r="E139" s="123" t="s">
        <v>185</v>
      </c>
      <c r="F139" s="123" t="s">
        <v>672</v>
      </c>
      <c r="G139">
        <v>2765.88</v>
      </c>
    </row>
    <row r="140" spans="1:7" x14ac:dyDescent="0.3">
      <c r="A140">
        <v>6024</v>
      </c>
      <c r="B140" s="123" t="s">
        <v>681</v>
      </c>
      <c r="C140">
        <v>0.28000000000000003</v>
      </c>
      <c r="D140">
        <v>0</v>
      </c>
      <c r="E140" s="123" t="s">
        <v>185</v>
      </c>
      <c r="F140" s="123" t="s">
        <v>672</v>
      </c>
      <c r="G140">
        <v>0.28000000000000003</v>
      </c>
    </row>
    <row r="141" spans="1:7" x14ac:dyDescent="0.3">
      <c r="A141">
        <v>6027</v>
      </c>
      <c r="B141" s="123" t="s">
        <v>537</v>
      </c>
      <c r="C141">
        <v>-7000000</v>
      </c>
      <c r="D141">
        <v>0</v>
      </c>
      <c r="E141" s="123" t="s">
        <v>185</v>
      </c>
      <c r="F141" s="123" t="s">
        <v>672</v>
      </c>
      <c r="G141">
        <v>-7000000</v>
      </c>
    </row>
    <row r="142" spans="1:7" x14ac:dyDescent="0.3">
      <c r="A142">
        <v>223</v>
      </c>
      <c r="B142" s="123" t="s">
        <v>346</v>
      </c>
      <c r="C142">
        <v>-113.33</v>
      </c>
      <c r="D142">
        <v>-0.16</v>
      </c>
      <c r="E142" s="123" t="s">
        <v>185</v>
      </c>
      <c r="F142" s="123" t="s">
        <v>672</v>
      </c>
      <c r="G142">
        <v>-113.49</v>
      </c>
    </row>
    <row r="143" spans="1:7" x14ac:dyDescent="0.3">
      <c r="A143">
        <v>224</v>
      </c>
      <c r="B143" s="123" t="s">
        <v>344</v>
      </c>
      <c r="C143">
        <v>-24801.07</v>
      </c>
      <c r="D143">
        <v>0</v>
      </c>
      <c r="E143" s="123" t="s">
        <v>185</v>
      </c>
      <c r="F143" s="123" t="s">
        <v>672</v>
      </c>
      <c r="G143">
        <v>-24801.07</v>
      </c>
    </row>
    <row r="144" spans="1:7" x14ac:dyDescent="0.3">
      <c r="A144">
        <v>225</v>
      </c>
      <c r="B144" s="123" t="s">
        <v>348</v>
      </c>
      <c r="C144">
        <v>-28315.1</v>
      </c>
      <c r="D144">
        <v>0.01</v>
      </c>
      <c r="E144" s="123" t="s">
        <v>185</v>
      </c>
      <c r="F144" s="123" t="s">
        <v>672</v>
      </c>
      <c r="G144">
        <v>-28315.09</v>
      </c>
    </row>
    <row r="145" spans="1:7" x14ac:dyDescent="0.3">
      <c r="A145">
        <v>234</v>
      </c>
      <c r="B145" s="123" t="s">
        <v>500</v>
      </c>
      <c r="C145">
        <v>-112303644.98</v>
      </c>
      <c r="D145">
        <v>0.01</v>
      </c>
      <c r="E145" s="123" t="s">
        <v>185</v>
      </c>
      <c r="F145" s="123" t="s">
        <v>672</v>
      </c>
      <c r="G145">
        <v>-112303644.97</v>
      </c>
    </row>
    <row r="146" spans="1:7" x14ac:dyDescent="0.3">
      <c r="A146">
        <v>256</v>
      </c>
      <c r="B146" s="123" t="s">
        <v>380</v>
      </c>
      <c r="C146">
        <v>0</v>
      </c>
      <c r="D146">
        <v>0</v>
      </c>
      <c r="E146" s="123" t="s">
        <v>185</v>
      </c>
      <c r="F146" s="123" t="s">
        <v>672</v>
      </c>
      <c r="G146">
        <v>0</v>
      </c>
    </row>
    <row r="147" spans="1:7" x14ac:dyDescent="0.3">
      <c r="A147">
        <v>58</v>
      </c>
      <c r="B147" s="123" t="s">
        <v>347</v>
      </c>
      <c r="C147">
        <v>144.99</v>
      </c>
      <c r="D147">
        <v>0</v>
      </c>
      <c r="E147" s="123" t="s">
        <v>185</v>
      </c>
      <c r="F147" s="123" t="s">
        <v>672</v>
      </c>
      <c r="G147">
        <v>144.99</v>
      </c>
    </row>
    <row r="148" spans="1:7" x14ac:dyDescent="0.3">
      <c r="A148">
        <v>44</v>
      </c>
      <c r="B148" s="123" t="s">
        <v>301</v>
      </c>
      <c r="C148">
        <v>-759.72</v>
      </c>
      <c r="D148">
        <v>0.05</v>
      </c>
      <c r="E148" s="123" t="s">
        <v>185</v>
      </c>
      <c r="F148" s="123" t="s">
        <v>672</v>
      </c>
      <c r="G148">
        <v>-759.67</v>
      </c>
    </row>
    <row r="149" spans="1:7" x14ac:dyDescent="0.3">
      <c r="A149">
        <v>48</v>
      </c>
      <c r="B149" s="123" t="s">
        <v>314</v>
      </c>
      <c r="C149">
        <v>-2208000</v>
      </c>
      <c r="D149">
        <v>0.22</v>
      </c>
      <c r="E149" s="123" t="s">
        <v>185</v>
      </c>
      <c r="F149" s="123" t="s">
        <v>672</v>
      </c>
      <c r="G149">
        <v>-2207999.7799999998</v>
      </c>
    </row>
    <row r="150" spans="1:7" x14ac:dyDescent="0.3">
      <c r="A150">
        <v>51</v>
      </c>
      <c r="B150" s="123" t="s">
        <v>323</v>
      </c>
      <c r="C150">
        <v>-72843636.030000001</v>
      </c>
      <c r="D150">
        <v>-77263106.859999999</v>
      </c>
      <c r="E150" s="123" t="s">
        <v>185</v>
      </c>
      <c r="F150" s="123" t="s">
        <v>672</v>
      </c>
      <c r="G150">
        <v>-150106742.88999999</v>
      </c>
    </row>
    <row r="151" spans="1:7" x14ac:dyDescent="0.3">
      <c r="A151">
        <v>37</v>
      </c>
      <c r="B151" s="123" t="s">
        <v>260</v>
      </c>
      <c r="C151">
        <v>0</v>
      </c>
      <c r="D151">
        <v>0.01</v>
      </c>
      <c r="E151" s="123" t="s">
        <v>185</v>
      </c>
      <c r="F151" s="123" t="s">
        <v>672</v>
      </c>
      <c r="G151">
        <v>0.01</v>
      </c>
    </row>
    <row r="152" spans="1:7" x14ac:dyDescent="0.3">
      <c r="A152">
        <v>18</v>
      </c>
      <c r="B152" s="123" t="s">
        <v>226</v>
      </c>
      <c r="C152">
        <v>0</v>
      </c>
      <c r="D152">
        <v>0.03</v>
      </c>
      <c r="E152" s="123" t="s">
        <v>185</v>
      </c>
      <c r="F152" s="123" t="s">
        <v>672</v>
      </c>
      <c r="G152">
        <v>0.03</v>
      </c>
    </row>
    <row r="153" spans="1:7" x14ac:dyDescent="0.3">
      <c r="A153">
        <v>35</v>
      </c>
      <c r="B153" s="123" t="s">
        <v>277</v>
      </c>
      <c r="C153">
        <v>-19296.5</v>
      </c>
      <c r="D153">
        <v>7.0000000000000007E-2</v>
      </c>
      <c r="E153" s="123" t="s">
        <v>185</v>
      </c>
      <c r="F153" s="123" t="s">
        <v>672</v>
      </c>
      <c r="G153">
        <v>-19296.43</v>
      </c>
    </row>
    <row r="154" spans="1:7" x14ac:dyDescent="0.3">
      <c r="A154">
        <v>1000</v>
      </c>
      <c r="B154" s="123" t="s">
        <v>609</v>
      </c>
      <c r="C154">
        <v>24.74</v>
      </c>
      <c r="D154">
        <v>0</v>
      </c>
      <c r="E154" s="123" t="s">
        <v>185</v>
      </c>
      <c r="F154" s="123" t="s">
        <v>672</v>
      </c>
      <c r="G154">
        <v>24.74</v>
      </c>
    </row>
    <row r="155" spans="1:7" x14ac:dyDescent="0.3">
      <c r="A155">
        <v>454</v>
      </c>
      <c r="B155" s="123" t="s">
        <v>338</v>
      </c>
      <c r="C155">
        <v>-4491768.5599999996</v>
      </c>
      <c r="D155">
        <v>0.02</v>
      </c>
      <c r="E155" s="123" t="s">
        <v>185</v>
      </c>
      <c r="F155" s="123" t="s">
        <v>672</v>
      </c>
      <c r="G155">
        <v>-4491768.54</v>
      </c>
    </row>
    <row r="156" spans="1:7" x14ac:dyDescent="0.3">
      <c r="A156">
        <v>474</v>
      </c>
      <c r="B156" s="123" t="s">
        <v>615</v>
      </c>
      <c r="C156">
        <v>0</v>
      </c>
      <c r="D156">
        <v>-0.03</v>
      </c>
      <c r="E156" s="123" t="s">
        <v>185</v>
      </c>
      <c r="F156" s="123" t="s">
        <v>672</v>
      </c>
      <c r="G156">
        <v>-0.03</v>
      </c>
    </row>
    <row r="157" spans="1:7" x14ac:dyDescent="0.3">
      <c r="A157">
        <v>107</v>
      </c>
      <c r="B157" s="123" t="s">
        <v>345</v>
      </c>
      <c r="C157">
        <v>0</v>
      </c>
      <c r="D157">
        <v>-0.15</v>
      </c>
      <c r="E157" s="123" t="s">
        <v>185</v>
      </c>
      <c r="F157" s="123" t="s">
        <v>672</v>
      </c>
      <c r="G157">
        <v>-0.15</v>
      </c>
    </row>
    <row r="158" spans="1:7" x14ac:dyDescent="0.3">
      <c r="A158">
        <v>78</v>
      </c>
      <c r="B158" s="123" t="s">
        <v>395</v>
      </c>
      <c r="C158">
        <v>0</v>
      </c>
      <c r="D158">
        <v>0</v>
      </c>
      <c r="E158" s="123" t="s">
        <v>185</v>
      </c>
      <c r="F158" s="123" t="s">
        <v>672</v>
      </c>
      <c r="G158">
        <v>0</v>
      </c>
    </row>
    <row r="159" spans="1:7" x14ac:dyDescent="0.3">
      <c r="A159">
        <v>514</v>
      </c>
      <c r="B159" s="123" t="s">
        <v>536</v>
      </c>
      <c r="C159">
        <v>-1651560</v>
      </c>
      <c r="D159">
        <v>-0.01</v>
      </c>
      <c r="E159" s="123" t="s">
        <v>185</v>
      </c>
      <c r="F159" s="123" t="s">
        <v>672</v>
      </c>
      <c r="G159">
        <v>-1651560.01</v>
      </c>
    </row>
    <row r="160" spans="1:7" x14ac:dyDescent="0.3">
      <c r="A160">
        <v>89</v>
      </c>
      <c r="B160" s="123" t="s">
        <v>418</v>
      </c>
      <c r="C160">
        <v>0</v>
      </c>
      <c r="D160">
        <v>0.06</v>
      </c>
      <c r="E160" s="123" t="s">
        <v>185</v>
      </c>
      <c r="F160" s="123" t="s">
        <v>672</v>
      </c>
      <c r="G160">
        <v>0.06</v>
      </c>
    </row>
    <row r="161" spans="1:7" x14ac:dyDescent="0.3">
      <c r="A161">
        <v>92</v>
      </c>
      <c r="B161" s="123" t="s">
        <v>422</v>
      </c>
      <c r="C161">
        <v>0</v>
      </c>
      <c r="D161">
        <v>-0.01</v>
      </c>
      <c r="E161" s="123" t="s">
        <v>185</v>
      </c>
      <c r="F161" s="123" t="s">
        <v>672</v>
      </c>
      <c r="G161">
        <v>-0.01</v>
      </c>
    </row>
    <row r="162" spans="1:7" x14ac:dyDescent="0.3">
      <c r="A162">
        <v>141</v>
      </c>
      <c r="B162" s="123" t="s">
        <v>502</v>
      </c>
      <c r="C162">
        <v>26655.66</v>
      </c>
      <c r="D162">
        <v>0</v>
      </c>
      <c r="E162" s="123" t="s">
        <v>185</v>
      </c>
      <c r="F162" s="123" t="s">
        <v>672</v>
      </c>
      <c r="G162">
        <v>26655.66</v>
      </c>
    </row>
    <row r="163" spans="1:7" x14ac:dyDescent="0.3">
      <c r="A163">
        <v>143</v>
      </c>
      <c r="B163" s="123" t="s">
        <v>432</v>
      </c>
      <c r="C163">
        <v>-12900000</v>
      </c>
      <c r="D163">
        <v>7.0000000000000007E-2</v>
      </c>
      <c r="E163" s="123" t="s">
        <v>185</v>
      </c>
      <c r="F163" s="123" t="s">
        <v>672</v>
      </c>
      <c r="G163">
        <v>-12899999.93</v>
      </c>
    </row>
    <row r="164" spans="1:7" x14ac:dyDescent="0.3">
      <c r="A164">
        <v>156</v>
      </c>
      <c r="B164" s="123" t="s">
        <v>527</v>
      </c>
      <c r="C164">
        <v>-15045875.65</v>
      </c>
      <c r="D164">
        <v>0</v>
      </c>
      <c r="E164" s="123" t="s">
        <v>185</v>
      </c>
      <c r="F164" s="123" t="s">
        <v>672</v>
      </c>
      <c r="G164">
        <v>-15045875.65</v>
      </c>
    </row>
    <row r="165" spans="1:7" x14ac:dyDescent="0.3">
      <c r="A165">
        <v>162</v>
      </c>
      <c r="B165" s="123" t="s">
        <v>304</v>
      </c>
      <c r="C165">
        <v>0.4</v>
      </c>
      <c r="D165">
        <v>0.01</v>
      </c>
      <c r="E165" s="123" t="s">
        <v>185</v>
      </c>
      <c r="F165" s="123" t="s">
        <v>672</v>
      </c>
      <c r="G165">
        <v>0.41</v>
      </c>
    </row>
    <row r="166" spans="1:7" x14ac:dyDescent="0.3">
      <c r="A166">
        <v>542</v>
      </c>
      <c r="B166" s="123" t="s">
        <v>234</v>
      </c>
      <c r="C166">
        <v>0</v>
      </c>
      <c r="D166">
        <v>-0.01</v>
      </c>
      <c r="E166" s="123" t="s">
        <v>185</v>
      </c>
      <c r="F166" s="123" t="s">
        <v>672</v>
      </c>
      <c r="G166">
        <v>-0.01</v>
      </c>
    </row>
    <row r="167" spans="1:7" x14ac:dyDescent="0.3">
      <c r="A167">
        <v>542</v>
      </c>
      <c r="B167" s="123" t="s">
        <v>234</v>
      </c>
      <c r="C167">
        <v>0</v>
      </c>
      <c r="D167">
        <v>0</v>
      </c>
      <c r="E167" s="123" t="s">
        <v>799</v>
      </c>
      <c r="F167" s="123" t="s">
        <v>676</v>
      </c>
      <c r="G167">
        <v>0</v>
      </c>
    </row>
    <row r="168" spans="1:7" x14ac:dyDescent="0.3">
      <c r="A168">
        <v>143</v>
      </c>
      <c r="B168" s="123" t="s">
        <v>432</v>
      </c>
      <c r="C168">
        <v>2905.66</v>
      </c>
      <c r="D168">
        <v>0</v>
      </c>
      <c r="E168" s="123" t="s">
        <v>799</v>
      </c>
      <c r="F168" s="123" t="s">
        <v>676</v>
      </c>
      <c r="G168">
        <v>2905.66</v>
      </c>
    </row>
    <row r="169" spans="1:7" x14ac:dyDescent="0.3">
      <c r="A169">
        <v>141</v>
      </c>
      <c r="B169" s="123" t="s">
        <v>502</v>
      </c>
      <c r="C169">
        <v>0.54</v>
      </c>
      <c r="D169">
        <v>0</v>
      </c>
      <c r="E169" s="123" t="s">
        <v>799</v>
      </c>
      <c r="F169" s="123" t="s">
        <v>676</v>
      </c>
      <c r="G169">
        <v>0.54</v>
      </c>
    </row>
    <row r="170" spans="1:7" x14ac:dyDescent="0.3">
      <c r="A170">
        <v>92</v>
      </c>
      <c r="B170" s="123" t="s">
        <v>422</v>
      </c>
      <c r="C170">
        <v>0.84</v>
      </c>
      <c r="D170">
        <v>0</v>
      </c>
      <c r="E170" s="123" t="s">
        <v>799</v>
      </c>
      <c r="F170" s="123" t="s">
        <v>676</v>
      </c>
      <c r="G170">
        <v>0.84</v>
      </c>
    </row>
    <row r="171" spans="1:7" x14ac:dyDescent="0.3">
      <c r="A171">
        <v>89</v>
      </c>
      <c r="B171" s="123" t="s">
        <v>418</v>
      </c>
      <c r="C171">
        <v>0</v>
      </c>
      <c r="D171">
        <v>0</v>
      </c>
      <c r="E171" s="123" t="s">
        <v>799</v>
      </c>
      <c r="F171" s="123" t="s">
        <v>676</v>
      </c>
      <c r="G171">
        <v>0</v>
      </c>
    </row>
    <row r="172" spans="1:7" x14ac:dyDescent="0.3">
      <c r="A172">
        <v>78</v>
      </c>
      <c r="B172" s="123" t="s">
        <v>395</v>
      </c>
      <c r="C172">
        <v>483.88</v>
      </c>
      <c r="D172">
        <v>0</v>
      </c>
      <c r="E172" s="123" t="s">
        <v>799</v>
      </c>
      <c r="F172" s="123" t="s">
        <v>676</v>
      </c>
      <c r="G172">
        <v>483.88</v>
      </c>
    </row>
    <row r="173" spans="1:7" x14ac:dyDescent="0.3">
      <c r="A173">
        <v>107</v>
      </c>
      <c r="B173" s="123" t="s">
        <v>345</v>
      </c>
      <c r="C173">
        <v>921.89</v>
      </c>
      <c r="D173">
        <v>0</v>
      </c>
      <c r="E173" s="123" t="s">
        <v>799</v>
      </c>
      <c r="F173" s="123" t="s">
        <v>676</v>
      </c>
      <c r="G173">
        <v>921.89</v>
      </c>
    </row>
    <row r="174" spans="1:7" x14ac:dyDescent="0.3">
      <c r="A174">
        <v>1000</v>
      </c>
      <c r="B174" s="123" t="s">
        <v>609</v>
      </c>
      <c r="C174">
        <v>0</v>
      </c>
      <c r="D174">
        <v>0</v>
      </c>
      <c r="E174" s="123" t="s">
        <v>799</v>
      </c>
      <c r="F174" s="123" t="s">
        <v>676</v>
      </c>
      <c r="G174">
        <v>0</v>
      </c>
    </row>
    <row r="175" spans="1:7" x14ac:dyDescent="0.3">
      <c r="A175">
        <v>35</v>
      </c>
      <c r="B175" s="123" t="s">
        <v>277</v>
      </c>
      <c r="C175">
        <v>11999.06</v>
      </c>
      <c r="D175">
        <v>0</v>
      </c>
      <c r="E175" s="123" t="s">
        <v>799</v>
      </c>
      <c r="F175" s="123" t="s">
        <v>676</v>
      </c>
      <c r="G175">
        <v>11999.06</v>
      </c>
    </row>
    <row r="176" spans="1:7" x14ac:dyDescent="0.3">
      <c r="A176">
        <v>51</v>
      </c>
      <c r="B176" s="123" t="s">
        <v>323</v>
      </c>
      <c r="C176">
        <v>82359.649999999994</v>
      </c>
      <c r="D176">
        <v>0</v>
      </c>
      <c r="E176" s="123" t="s">
        <v>799</v>
      </c>
      <c r="F176" s="123" t="s">
        <v>676</v>
      </c>
      <c r="G176">
        <v>82359.649999999994</v>
      </c>
    </row>
    <row r="177" spans="1:7" x14ac:dyDescent="0.3">
      <c r="A177">
        <v>48</v>
      </c>
      <c r="B177" s="123" t="s">
        <v>314</v>
      </c>
      <c r="C177">
        <v>1.06</v>
      </c>
      <c r="D177">
        <v>0</v>
      </c>
      <c r="E177" s="123" t="s">
        <v>799</v>
      </c>
      <c r="F177" s="123" t="s">
        <v>676</v>
      </c>
      <c r="G177">
        <v>1.06</v>
      </c>
    </row>
    <row r="178" spans="1:7" x14ac:dyDescent="0.3">
      <c r="A178">
        <v>44</v>
      </c>
      <c r="B178" s="123" t="s">
        <v>301</v>
      </c>
      <c r="C178">
        <v>0</v>
      </c>
      <c r="D178">
        <v>0</v>
      </c>
      <c r="E178" s="123" t="s">
        <v>799</v>
      </c>
      <c r="F178" s="123" t="s">
        <v>676</v>
      </c>
      <c r="G178">
        <v>0</v>
      </c>
    </row>
    <row r="179" spans="1:7" x14ac:dyDescent="0.3">
      <c r="A179">
        <v>234</v>
      </c>
      <c r="B179" s="123" t="s">
        <v>500</v>
      </c>
      <c r="C179">
        <v>960.15</v>
      </c>
      <c r="D179">
        <v>0</v>
      </c>
      <c r="E179" s="123" t="s">
        <v>799</v>
      </c>
      <c r="F179" s="123" t="s">
        <v>676</v>
      </c>
      <c r="G179">
        <v>960.15</v>
      </c>
    </row>
    <row r="180" spans="1:7" x14ac:dyDescent="0.3">
      <c r="A180">
        <v>225</v>
      </c>
      <c r="B180" s="123" t="s">
        <v>348</v>
      </c>
      <c r="C180">
        <v>0</v>
      </c>
      <c r="D180">
        <v>0</v>
      </c>
      <c r="E180" s="123" t="s">
        <v>799</v>
      </c>
      <c r="F180" s="123" t="s">
        <v>676</v>
      </c>
      <c r="G180">
        <v>0</v>
      </c>
    </row>
    <row r="181" spans="1:7" x14ac:dyDescent="0.3">
      <c r="A181">
        <v>224</v>
      </c>
      <c r="B181" s="123" t="s">
        <v>344</v>
      </c>
      <c r="C181">
        <v>4835.66</v>
      </c>
      <c r="D181">
        <v>0</v>
      </c>
      <c r="E181" s="123" t="s">
        <v>799</v>
      </c>
      <c r="F181" s="123" t="s">
        <v>676</v>
      </c>
      <c r="G181">
        <v>4835.66</v>
      </c>
    </row>
    <row r="182" spans="1:7" x14ac:dyDescent="0.3">
      <c r="A182">
        <v>223</v>
      </c>
      <c r="B182" s="123" t="s">
        <v>346</v>
      </c>
      <c r="C182">
        <v>-5</v>
      </c>
      <c r="D182">
        <v>0</v>
      </c>
      <c r="E182" s="123" t="s">
        <v>799</v>
      </c>
      <c r="F182" s="123" t="s">
        <v>676</v>
      </c>
      <c r="G182">
        <v>-5</v>
      </c>
    </row>
    <row r="183" spans="1:7" x14ac:dyDescent="0.3">
      <c r="A183">
        <v>6024</v>
      </c>
      <c r="B183" s="123" t="s">
        <v>681</v>
      </c>
      <c r="C183">
        <v>51.63</v>
      </c>
      <c r="D183">
        <v>0</v>
      </c>
      <c r="E183" s="123" t="s">
        <v>799</v>
      </c>
      <c r="F183" s="123" t="s">
        <v>676</v>
      </c>
      <c r="G183">
        <v>51.63</v>
      </c>
    </row>
    <row r="184" spans="1:7" x14ac:dyDescent="0.3">
      <c r="A184">
        <v>9002</v>
      </c>
      <c r="B184" s="123" t="s">
        <v>246</v>
      </c>
      <c r="C184">
        <v>0</v>
      </c>
      <c r="D184">
        <v>0</v>
      </c>
      <c r="E184" s="123" t="s">
        <v>799</v>
      </c>
      <c r="F184" s="123" t="s">
        <v>676</v>
      </c>
      <c r="G184">
        <v>0</v>
      </c>
    </row>
    <row r="185" spans="1:7" x14ac:dyDescent="0.3">
      <c r="A185">
        <v>9003</v>
      </c>
      <c r="B185" s="123" t="s">
        <v>247</v>
      </c>
      <c r="C185">
        <v>0</v>
      </c>
      <c r="D185">
        <v>0</v>
      </c>
      <c r="E185" s="123" t="s">
        <v>799</v>
      </c>
      <c r="F185" s="123" t="s">
        <v>676</v>
      </c>
      <c r="G185">
        <v>0</v>
      </c>
    </row>
    <row r="186" spans="1:7" x14ac:dyDescent="0.3">
      <c r="A186">
        <v>559</v>
      </c>
      <c r="B186" s="123" t="s">
        <v>501</v>
      </c>
      <c r="C186">
        <v>0</v>
      </c>
      <c r="D186">
        <v>0</v>
      </c>
      <c r="E186" s="123" t="s">
        <v>799</v>
      </c>
      <c r="F186" s="123" t="s">
        <v>676</v>
      </c>
      <c r="G186">
        <v>0</v>
      </c>
    </row>
    <row r="187" spans="1:7" x14ac:dyDescent="0.3">
      <c r="A187">
        <v>6018</v>
      </c>
      <c r="B187" s="123" t="s">
        <v>593</v>
      </c>
      <c r="C187">
        <v>0</v>
      </c>
      <c r="D187">
        <v>0</v>
      </c>
      <c r="E187" s="123" t="s">
        <v>799</v>
      </c>
      <c r="F187" s="123" t="s">
        <v>676</v>
      </c>
      <c r="G187">
        <v>0</v>
      </c>
    </row>
    <row r="188" spans="1:7" x14ac:dyDescent="0.3">
      <c r="A188">
        <v>6021</v>
      </c>
      <c r="B188" s="123" t="s">
        <v>201</v>
      </c>
      <c r="C188">
        <v>0</v>
      </c>
      <c r="D188">
        <v>0</v>
      </c>
      <c r="E188" s="123" t="s">
        <v>799</v>
      </c>
      <c r="F188" s="123" t="s">
        <v>676</v>
      </c>
      <c r="G188">
        <v>0</v>
      </c>
    </row>
    <row r="189" spans="1:7" x14ac:dyDescent="0.3">
      <c r="A189">
        <v>360</v>
      </c>
      <c r="B189" s="123" t="s">
        <v>507</v>
      </c>
      <c r="C189">
        <v>0</v>
      </c>
      <c r="D189">
        <v>0</v>
      </c>
      <c r="E189" s="123" t="s">
        <v>799</v>
      </c>
      <c r="F189" s="123" t="s">
        <v>676</v>
      </c>
      <c r="G189">
        <v>0</v>
      </c>
    </row>
    <row r="190" spans="1:7" x14ac:dyDescent="0.3">
      <c r="A190">
        <v>341</v>
      </c>
      <c r="B190" s="123" t="s">
        <v>239</v>
      </c>
      <c r="C190">
        <v>0</v>
      </c>
      <c r="D190">
        <v>0</v>
      </c>
      <c r="E190" s="123" t="s">
        <v>799</v>
      </c>
      <c r="F190" s="123" t="s">
        <v>676</v>
      </c>
      <c r="G190">
        <v>0</v>
      </c>
    </row>
    <row r="191" spans="1:7" x14ac:dyDescent="0.3">
      <c r="A191">
        <v>306</v>
      </c>
      <c r="B191" s="123" t="s">
        <v>487</v>
      </c>
      <c r="C191">
        <v>0.05</v>
      </c>
      <c r="D191">
        <v>0</v>
      </c>
      <c r="E191" s="123" t="s">
        <v>799</v>
      </c>
      <c r="F191" s="123" t="s">
        <v>676</v>
      </c>
      <c r="G191">
        <v>0.05</v>
      </c>
    </row>
    <row r="192" spans="1:7" x14ac:dyDescent="0.3">
      <c r="A192">
        <v>323</v>
      </c>
      <c r="B192" s="123" t="s">
        <v>368</v>
      </c>
      <c r="C192">
        <v>0</v>
      </c>
      <c r="D192">
        <v>0</v>
      </c>
      <c r="E192" s="123" t="s">
        <v>799</v>
      </c>
      <c r="F192" s="123" t="s">
        <v>676</v>
      </c>
      <c r="G192">
        <v>0</v>
      </c>
    </row>
    <row r="193" spans="1:7" x14ac:dyDescent="0.3">
      <c r="A193">
        <v>223</v>
      </c>
      <c r="B193" s="123" t="s">
        <v>346</v>
      </c>
      <c r="C193">
        <v>359.96</v>
      </c>
      <c r="D193">
        <v>0</v>
      </c>
      <c r="E193" s="123" t="s">
        <v>188</v>
      </c>
      <c r="F193" s="123" t="s">
        <v>678</v>
      </c>
      <c r="G193">
        <v>359.96</v>
      </c>
    </row>
    <row r="194" spans="1:7" x14ac:dyDescent="0.3">
      <c r="A194">
        <v>224</v>
      </c>
      <c r="B194" s="123" t="s">
        <v>344</v>
      </c>
      <c r="C194">
        <v>25.34</v>
      </c>
      <c r="D194">
        <v>0</v>
      </c>
      <c r="E194" s="123" t="s">
        <v>188</v>
      </c>
      <c r="F194" s="123" t="s">
        <v>678</v>
      </c>
      <c r="G194">
        <v>25.34</v>
      </c>
    </row>
    <row r="195" spans="1:7" x14ac:dyDescent="0.3">
      <c r="A195">
        <v>225</v>
      </c>
      <c r="B195" s="123" t="s">
        <v>348</v>
      </c>
      <c r="C195">
        <v>20.23</v>
      </c>
      <c r="D195">
        <v>0</v>
      </c>
      <c r="E195" s="123" t="s">
        <v>188</v>
      </c>
      <c r="F195" s="123" t="s">
        <v>678</v>
      </c>
      <c r="G195">
        <v>20.23</v>
      </c>
    </row>
    <row r="196" spans="1:7" x14ac:dyDescent="0.3">
      <c r="A196">
        <v>48</v>
      </c>
      <c r="B196" s="123" t="s">
        <v>314</v>
      </c>
      <c r="C196">
        <v>0</v>
      </c>
      <c r="D196">
        <v>0</v>
      </c>
      <c r="E196" s="123" t="s">
        <v>188</v>
      </c>
      <c r="F196" s="123" t="s">
        <v>678</v>
      </c>
      <c r="G196">
        <v>0</v>
      </c>
    </row>
    <row r="197" spans="1:7" x14ac:dyDescent="0.3">
      <c r="A197">
        <v>51</v>
      </c>
      <c r="B197" s="123" t="s">
        <v>323</v>
      </c>
      <c r="C197">
        <v>7.0000000000000007E-2</v>
      </c>
      <c r="D197">
        <v>0</v>
      </c>
      <c r="E197" s="123" t="s">
        <v>188</v>
      </c>
      <c r="F197" s="123" t="s">
        <v>678</v>
      </c>
      <c r="G197">
        <v>7.0000000000000007E-2</v>
      </c>
    </row>
    <row r="198" spans="1:7" x14ac:dyDescent="0.3">
      <c r="A198">
        <v>35</v>
      </c>
      <c r="B198" s="123" t="s">
        <v>277</v>
      </c>
      <c r="C198">
        <v>35.61</v>
      </c>
      <c r="D198">
        <v>0</v>
      </c>
      <c r="E198" s="123" t="s">
        <v>188</v>
      </c>
      <c r="F198" s="123" t="s">
        <v>678</v>
      </c>
      <c r="G198">
        <v>35.61</v>
      </c>
    </row>
    <row r="199" spans="1:7" x14ac:dyDescent="0.3">
      <c r="A199">
        <v>107</v>
      </c>
      <c r="B199" s="123" t="s">
        <v>345</v>
      </c>
      <c r="C199">
        <v>0</v>
      </c>
      <c r="D199">
        <v>0</v>
      </c>
      <c r="E199" s="123" t="s">
        <v>188</v>
      </c>
      <c r="F199" s="123" t="s">
        <v>678</v>
      </c>
      <c r="G199">
        <v>0</v>
      </c>
    </row>
    <row r="200" spans="1:7" x14ac:dyDescent="0.3">
      <c r="A200">
        <v>78</v>
      </c>
      <c r="B200" s="123" t="s">
        <v>395</v>
      </c>
      <c r="C200">
        <v>247.75</v>
      </c>
      <c r="D200">
        <v>0</v>
      </c>
      <c r="E200" s="123" t="s">
        <v>188</v>
      </c>
      <c r="F200" s="123" t="s">
        <v>678</v>
      </c>
      <c r="G200">
        <v>247.75</v>
      </c>
    </row>
    <row r="201" spans="1:7" x14ac:dyDescent="0.3">
      <c r="A201">
        <v>89</v>
      </c>
      <c r="B201" s="123" t="s">
        <v>418</v>
      </c>
      <c r="C201">
        <v>0</v>
      </c>
      <c r="D201">
        <v>4440</v>
      </c>
      <c r="E201" s="123" t="s">
        <v>801</v>
      </c>
      <c r="F201" s="123" t="s">
        <v>679</v>
      </c>
      <c r="G201">
        <v>4440</v>
      </c>
    </row>
    <row r="202" spans="1:7" x14ac:dyDescent="0.3">
      <c r="A202">
        <v>107</v>
      </c>
      <c r="B202" s="123" t="s">
        <v>345</v>
      </c>
      <c r="C202">
        <v>6157.59</v>
      </c>
      <c r="D202">
        <v>0</v>
      </c>
      <c r="E202" s="123" t="s">
        <v>801</v>
      </c>
      <c r="F202" s="123" t="s">
        <v>679</v>
      </c>
      <c r="G202">
        <v>6157.59</v>
      </c>
    </row>
    <row r="203" spans="1:7" x14ac:dyDescent="0.3">
      <c r="A203">
        <v>143</v>
      </c>
      <c r="B203" s="123" t="s">
        <v>432</v>
      </c>
      <c r="C203">
        <v>0</v>
      </c>
      <c r="D203">
        <v>0</v>
      </c>
      <c r="E203" s="123" t="s">
        <v>801</v>
      </c>
      <c r="F203" s="123" t="s">
        <v>679</v>
      </c>
      <c r="G203">
        <v>0</v>
      </c>
    </row>
    <row r="204" spans="1:7" x14ac:dyDescent="0.3">
      <c r="A204">
        <v>35</v>
      </c>
      <c r="B204" s="123" t="s">
        <v>277</v>
      </c>
      <c r="C204">
        <v>0</v>
      </c>
      <c r="D204">
        <v>0</v>
      </c>
      <c r="E204" s="123" t="s">
        <v>801</v>
      </c>
      <c r="F204" s="123" t="s">
        <v>679</v>
      </c>
      <c r="G204">
        <v>0</v>
      </c>
    </row>
    <row r="205" spans="1:7" x14ac:dyDescent="0.3">
      <c r="A205">
        <v>18</v>
      </c>
      <c r="B205" s="123" t="s">
        <v>226</v>
      </c>
      <c r="C205">
        <v>0</v>
      </c>
      <c r="D205">
        <v>0</v>
      </c>
      <c r="E205" s="123" t="s">
        <v>801</v>
      </c>
      <c r="F205" s="123" t="s">
        <v>679</v>
      </c>
      <c r="G205">
        <v>0</v>
      </c>
    </row>
    <row r="206" spans="1:7" x14ac:dyDescent="0.3">
      <c r="A206">
        <v>37</v>
      </c>
      <c r="B206" s="123" t="s">
        <v>260</v>
      </c>
      <c r="C206">
        <v>0</v>
      </c>
      <c r="D206">
        <v>0</v>
      </c>
      <c r="E206" s="123" t="s">
        <v>801</v>
      </c>
      <c r="F206" s="123" t="s">
        <v>679</v>
      </c>
      <c r="G206">
        <v>0</v>
      </c>
    </row>
    <row r="207" spans="1:7" x14ac:dyDescent="0.3">
      <c r="A207">
        <v>51</v>
      </c>
      <c r="B207" s="123" t="s">
        <v>323</v>
      </c>
      <c r="C207">
        <v>-322.36</v>
      </c>
      <c r="D207">
        <v>22233.279999999999</v>
      </c>
      <c r="E207" s="123" t="s">
        <v>801</v>
      </c>
      <c r="F207" s="123" t="s">
        <v>679</v>
      </c>
      <c r="G207">
        <v>21910.92</v>
      </c>
    </row>
    <row r="208" spans="1:7" x14ac:dyDescent="0.3">
      <c r="A208">
        <v>48</v>
      </c>
      <c r="B208" s="123" t="s">
        <v>314</v>
      </c>
      <c r="C208">
        <v>0</v>
      </c>
      <c r="D208">
        <v>0</v>
      </c>
      <c r="E208" s="123" t="s">
        <v>801</v>
      </c>
      <c r="F208" s="123" t="s">
        <v>679</v>
      </c>
      <c r="G208">
        <v>0</v>
      </c>
    </row>
    <row r="209" spans="1:7" x14ac:dyDescent="0.3">
      <c r="A209">
        <v>44</v>
      </c>
      <c r="B209" s="123" t="s">
        <v>301</v>
      </c>
      <c r="C209">
        <v>0</v>
      </c>
      <c r="D209">
        <v>0</v>
      </c>
      <c r="E209" s="123" t="s">
        <v>801</v>
      </c>
      <c r="F209" s="123" t="s">
        <v>679</v>
      </c>
      <c r="G209">
        <v>0</v>
      </c>
    </row>
    <row r="210" spans="1:7" x14ac:dyDescent="0.3">
      <c r="A210">
        <v>58</v>
      </c>
      <c r="B210" s="123" t="s">
        <v>347</v>
      </c>
      <c r="C210">
        <v>0</v>
      </c>
      <c r="D210">
        <v>0</v>
      </c>
      <c r="E210" s="123" t="s">
        <v>801</v>
      </c>
      <c r="F210" s="123" t="s">
        <v>679</v>
      </c>
      <c r="G210">
        <v>0</v>
      </c>
    </row>
    <row r="211" spans="1:7" x14ac:dyDescent="0.3">
      <c r="A211">
        <v>1000</v>
      </c>
      <c r="B211" s="123" t="s">
        <v>609</v>
      </c>
      <c r="C211">
        <v>0</v>
      </c>
      <c r="D211">
        <v>0</v>
      </c>
      <c r="E211" s="123" t="s">
        <v>801</v>
      </c>
      <c r="F211" s="123" t="s">
        <v>679</v>
      </c>
      <c r="G211">
        <v>0</v>
      </c>
    </row>
    <row r="212" spans="1:7" x14ac:dyDescent="0.3">
      <c r="A212">
        <v>474</v>
      </c>
      <c r="B212" s="123" t="s">
        <v>615</v>
      </c>
      <c r="C212">
        <v>0</v>
      </c>
      <c r="D212">
        <v>0</v>
      </c>
      <c r="E212" s="123" t="s">
        <v>801</v>
      </c>
      <c r="F212" s="123" t="s">
        <v>679</v>
      </c>
      <c r="G212">
        <v>0</v>
      </c>
    </row>
    <row r="213" spans="1:7" x14ac:dyDescent="0.3">
      <c r="A213">
        <v>223</v>
      </c>
      <c r="B213" s="123" t="s">
        <v>346</v>
      </c>
      <c r="C213">
        <v>0</v>
      </c>
      <c r="D213">
        <v>0</v>
      </c>
      <c r="E213" s="123" t="s">
        <v>801</v>
      </c>
      <c r="F213" s="123" t="s">
        <v>679</v>
      </c>
      <c r="G213">
        <v>0</v>
      </c>
    </row>
    <row r="214" spans="1:7" x14ac:dyDescent="0.3">
      <c r="A214">
        <v>234</v>
      </c>
      <c r="B214" s="123" t="s">
        <v>500</v>
      </c>
      <c r="C214">
        <v>0</v>
      </c>
      <c r="D214">
        <v>14492.31</v>
      </c>
      <c r="E214" s="123" t="s">
        <v>801</v>
      </c>
      <c r="F214" s="123" t="s">
        <v>679</v>
      </c>
      <c r="G214">
        <v>14492.31</v>
      </c>
    </row>
    <row r="215" spans="1:7" x14ac:dyDescent="0.3">
      <c r="A215">
        <v>256</v>
      </c>
      <c r="B215" s="123" t="s">
        <v>380</v>
      </c>
      <c r="C215">
        <v>0</v>
      </c>
      <c r="D215">
        <v>0</v>
      </c>
      <c r="E215" s="123" t="s">
        <v>801</v>
      </c>
      <c r="F215" s="123" t="s">
        <v>679</v>
      </c>
      <c r="G215">
        <v>0</v>
      </c>
    </row>
    <row r="216" spans="1:7" x14ac:dyDescent="0.3">
      <c r="A216">
        <v>6053</v>
      </c>
      <c r="B216" s="123" t="s">
        <v>682</v>
      </c>
      <c r="C216">
        <v>-25434.66</v>
      </c>
      <c r="D216">
        <v>44450.07</v>
      </c>
      <c r="E216" s="123" t="s">
        <v>801</v>
      </c>
      <c r="F216" s="123" t="s">
        <v>679</v>
      </c>
      <c r="G216">
        <v>19015.41</v>
      </c>
    </row>
    <row r="217" spans="1:7" x14ac:dyDescent="0.3">
      <c r="A217">
        <v>323</v>
      </c>
      <c r="B217" s="123" t="s">
        <v>368</v>
      </c>
      <c r="C217">
        <v>0</v>
      </c>
      <c r="D217">
        <v>0</v>
      </c>
      <c r="E217" s="123" t="s">
        <v>801</v>
      </c>
      <c r="F217" s="123" t="s">
        <v>679</v>
      </c>
      <c r="G217">
        <v>0</v>
      </c>
    </row>
    <row r="218" spans="1:7" x14ac:dyDescent="0.3">
      <c r="A218">
        <v>306</v>
      </c>
      <c r="B218" s="123" t="s">
        <v>487</v>
      </c>
      <c r="C218">
        <v>0</v>
      </c>
      <c r="D218">
        <v>0</v>
      </c>
      <c r="E218" s="123" t="s">
        <v>801</v>
      </c>
      <c r="F218" s="123" t="s">
        <v>679</v>
      </c>
      <c r="G218">
        <v>0</v>
      </c>
    </row>
    <row r="219" spans="1:7" x14ac:dyDescent="0.3">
      <c r="A219">
        <v>273</v>
      </c>
      <c r="B219" s="123" t="s">
        <v>323</v>
      </c>
      <c r="C219">
        <v>0</v>
      </c>
      <c r="D219">
        <v>0</v>
      </c>
      <c r="E219" s="123" t="s">
        <v>801</v>
      </c>
      <c r="F219" s="123" t="s">
        <v>679</v>
      </c>
      <c r="G219">
        <v>0</v>
      </c>
    </row>
    <row r="220" spans="1:7" x14ac:dyDescent="0.3">
      <c r="A220">
        <v>267</v>
      </c>
      <c r="B220" s="123" t="s">
        <v>383</v>
      </c>
      <c r="C220">
        <v>0</v>
      </c>
      <c r="D220">
        <v>0</v>
      </c>
      <c r="E220" s="123" t="s">
        <v>801</v>
      </c>
      <c r="F220" s="123" t="s">
        <v>679</v>
      </c>
      <c r="G220">
        <v>0</v>
      </c>
    </row>
    <row r="221" spans="1:7" x14ac:dyDescent="0.3">
      <c r="A221">
        <v>341</v>
      </c>
      <c r="B221" s="123" t="s">
        <v>239</v>
      </c>
      <c r="C221">
        <v>0</v>
      </c>
      <c r="D221">
        <v>0</v>
      </c>
      <c r="E221" s="123" t="s">
        <v>801</v>
      </c>
      <c r="F221" s="123" t="s">
        <v>679</v>
      </c>
      <c r="G221">
        <v>0</v>
      </c>
    </row>
    <row r="222" spans="1:7" x14ac:dyDescent="0.3">
      <c r="A222">
        <v>346</v>
      </c>
      <c r="B222" s="123" t="s">
        <v>433</v>
      </c>
      <c r="C222">
        <v>0</v>
      </c>
      <c r="D222">
        <v>0</v>
      </c>
      <c r="E222" s="123" t="s">
        <v>801</v>
      </c>
      <c r="F222" s="123" t="s">
        <v>679</v>
      </c>
      <c r="G222">
        <v>0</v>
      </c>
    </row>
    <row r="223" spans="1:7" x14ac:dyDescent="0.3">
      <c r="A223">
        <v>360</v>
      </c>
      <c r="B223" s="123" t="s">
        <v>507</v>
      </c>
      <c r="C223">
        <v>0</v>
      </c>
      <c r="D223">
        <v>0</v>
      </c>
      <c r="E223" s="123" t="s">
        <v>801</v>
      </c>
      <c r="F223" s="123" t="s">
        <v>679</v>
      </c>
      <c r="G223">
        <v>0</v>
      </c>
    </row>
    <row r="224" spans="1:7" x14ac:dyDescent="0.3">
      <c r="A224">
        <v>337</v>
      </c>
      <c r="B224" s="123" t="s">
        <v>396</v>
      </c>
      <c r="C224">
        <v>1287.43</v>
      </c>
      <c r="D224">
        <v>0</v>
      </c>
      <c r="E224" s="123" t="s">
        <v>185</v>
      </c>
      <c r="F224" s="123" t="s">
        <v>672</v>
      </c>
      <c r="G224">
        <v>1287.43</v>
      </c>
    </row>
    <row r="225" spans="1:7" x14ac:dyDescent="0.3">
      <c r="A225">
        <v>383</v>
      </c>
      <c r="B225" s="123" t="s">
        <v>404</v>
      </c>
      <c r="C225">
        <v>-18279.740000000002</v>
      </c>
      <c r="D225">
        <v>-0.02</v>
      </c>
      <c r="E225" s="123" t="s">
        <v>185</v>
      </c>
      <c r="F225" s="123" t="s">
        <v>672</v>
      </c>
      <c r="G225">
        <v>-18279.759999999998</v>
      </c>
    </row>
    <row r="226" spans="1:7" x14ac:dyDescent="0.3">
      <c r="A226">
        <v>276</v>
      </c>
      <c r="B226" s="123" t="s">
        <v>331</v>
      </c>
      <c r="C226">
        <v>2353.91</v>
      </c>
      <c r="D226">
        <v>0</v>
      </c>
      <c r="E226" s="123" t="s">
        <v>185</v>
      </c>
      <c r="F226" s="123" t="s">
        <v>672</v>
      </c>
      <c r="G226">
        <v>2353.91</v>
      </c>
    </row>
    <row r="227" spans="1:7" x14ac:dyDescent="0.3">
      <c r="A227">
        <v>326</v>
      </c>
      <c r="B227" s="123" t="s">
        <v>227</v>
      </c>
      <c r="C227">
        <v>3928.97</v>
      </c>
      <c r="D227">
        <v>0</v>
      </c>
      <c r="E227" s="123" t="s">
        <v>185</v>
      </c>
      <c r="F227" s="123" t="s">
        <v>672</v>
      </c>
      <c r="G227">
        <v>3928.97</v>
      </c>
    </row>
    <row r="228" spans="1:7" x14ac:dyDescent="0.3">
      <c r="A228">
        <v>327</v>
      </c>
      <c r="B228" s="123" t="s">
        <v>322</v>
      </c>
      <c r="C228">
        <v>-1209.19</v>
      </c>
      <c r="D228">
        <v>0.11</v>
      </c>
      <c r="E228" s="123" t="s">
        <v>185</v>
      </c>
      <c r="F228" s="123" t="s">
        <v>672</v>
      </c>
      <c r="G228">
        <v>-1209.08</v>
      </c>
    </row>
    <row r="229" spans="1:7" x14ac:dyDescent="0.3">
      <c r="A229">
        <v>292</v>
      </c>
      <c r="B229" s="123" t="s">
        <v>355</v>
      </c>
      <c r="C229">
        <v>0</v>
      </c>
      <c r="D229">
        <v>0.02</v>
      </c>
      <c r="E229" s="123" t="s">
        <v>185</v>
      </c>
      <c r="F229" s="123" t="s">
        <v>672</v>
      </c>
      <c r="G229">
        <v>0.02</v>
      </c>
    </row>
    <row r="230" spans="1:7" x14ac:dyDescent="0.3">
      <c r="A230">
        <v>468</v>
      </c>
      <c r="B230" s="123" t="s">
        <v>229</v>
      </c>
      <c r="C230">
        <v>0</v>
      </c>
      <c r="D230">
        <v>0</v>
      </c>
      <c r="E230" s="123" t="s">
        <v>185</v>
      </c>
      <c r="F230" s="123" t="s">
        <v>672</v>
      </c>
      <c r="G230">
        <v>0</v>
      </c>
    </row>
    <row r="231" spans="1:7" x14ac:dyDescent="0.3">
      <c r="A231">
        <v>453</v>
      </c>
      <c r="B231" s="123" t="s">
        <v>523</v>
      </c>
      <c r="C231">
        <v>-5904.19</v>
      </c>
      <c r="D231">
        <v>-0.01</v>
      </c>
      <c r="E231" s="123" t="s">
        <v>185</v>
      </c>
      <c r="F231" s="123" t="s">
        <v>672</v>
      </c>
      <c r="G231">
        <v>-5904.2</v>
      </c>
    </row>
    <row r="232" spans="1:7" x14ac:dyDescent="0.3">
      <c r="A232">
        <v>65</v>
      </c>
      <c r="B232" s="123" t="s">
        <v>370</v>
      </c>
      <c r="C232">
        <v>-189752.5</v>
      </c>
      <c r="D232">
        <v>0.01</v>
      </c>
      <c r="E232" s="123" t="s">
        <v>185</v>
      </c>
      <c r="F232" s="123" t="s">
        <v>672</v>
      </c>
      <c r="G232">
        <v>-189752.49</v>
      </c>
    </row>
    <row r="233" spans="1:7" x14ac:dyDescent="0.3">
      <c r="A233">
        <v>13</v>
      </c>
      <c r="B233" s="123" t="s">
        <v>215</v>
      </c>
      <c r="C233">
        <v>2.34</v>
      </c>
      <c r="D233">
        <v>0.01</v>
      </c>
      <c r="E233" s="123" t="s">
        <v>185</v>
      </c>
      <c r="F233" s="123" t="s">
        <v>672</v>
      </c>
      <c r="G233">
        <v>2.35</v>
      </c>
    </row>
    <row r="234" spans="1:7" x14ac:dyDescent="0.3">
      <c r="A234">
        <v>29</v>
      </c>
      <c r="B234" s="123" t="s">
        <v>266</v>
      </c>
      <c r="C234">
        <v>-3017.56</v>
      </c>
      <c r="D234">
        <v>0</v>
      </c>
      <c r="E234" s="123" t="s">
        <v>185</v>
      </c>
      <c r="F234" s="123" t="s">
        <v>672</v>
      </c>
      <c r="G234">
        <v>-3017.56</v>
      </c>
    </row>
    <row r="235" spans="1:7" x14ac:dyDescent="0.3">
      <c r="A235">
        <v>21</v>
      </c>
      <c r="B235" s="123" t="s">
        <v>237</v>
      </c>
      <c r="C235">
        <v>0</v>
      </c>
      <c r="D235">
        <v>0.04</v>
      </c>
      <c r="E235" s="123" t="s">
        <v>185</v>
      </c>
      <c r="F235" s="123" t="s">
        <v>672</v>
      </c>
      <c r="G235">
        <v>0.04</v>
      </c>
    </row>
    <row r="236" spans="1:7" x14ac:dyDescent="0.3">
      <c r="A236">
        <v>91</v>
      </c>
      <c r="B236" s="123" t="s">
        <v>336</v>
      </c>
      <c r="C236">
        <v>-526093.80000000005</v>
      </c>
      <c r="D236">
        <v>0.05</v>
      </c>
      <c r="E236" s="123" t="s">
        <v>185</v>
      </c>
      <c r="F236" s="123" t="s">
        <v>672</v>
      </c>
      <c r="G236">
        <v>-526093.75</v>
      </c>
    </row>
    <row r="237" spans="1:7" x14ac:dyDescent="0.3">
      <c r="A237">
        <v>94</v>
      </c>
      <c r="B237" s="123" t="s">
        <v>425</v>
      </c>
      <c r="C237">
        <v>98793901.980000004</v>
      </c>
      <c r="D237">
        <v>0.13</v>
      </c>
      <c r="E237" s="123" t="s">
        <v>185</v>
      </c>
      <c r="F237" s="123" t="s">
        <v>672</v>
      </c>
      <c r="G237">
        <v>98793902.109999999</v>
      </c>
    </row>
    <row r="238" spans="1:7" x14ac:dyDescent="0.3">
      <c r="A238">
        <v>76</v>
      </c>
      <c r="B238" s="123" t="s">
        <v>222</v>
      </c>
      <c r="C238">
        <v>0</v>
      </c>
      <c r="D238">
        <v>0</v>
      </c>
      <c r="E238" s="123" t="s">
        <v>185</v>
      </c>
      <c r="F238" s="123" t="s">
        <v>672</v>
      </c>
      <c r="G238">
        <v>0</v>
      </c>
    </row>
    <row r="239" spans="1:7" x14ac:dyDescent="0.3">
      <c r="A239">
        <v>76</v>
      </c>
      <c r="B239" s="123" t="s">
        <v>222</v>
      </c>
      <c r="C239">
        <v>3.19</v>
      </c>
      <c r="D239">
        <v>0</v>
      </c>
      <c r="E239" s="123" t="s">
        <v>799</v>
      </c>
      <c r="F239" s="123" t="s">
        <v>676</v>
      </c>
      <c r="G239">
        <v>3.19</v>
      </c>
    </row>
    <row r="240" spans="1:7" x14ac:dyDescent="0.3">
      <c r="A240">
        <v>94</v>
      </c>
      <c r="B240" s="123" t="s">
        <v>425</v>
      </c>
      <c r="C240">
        <v>75204.61</v>
      </c>
      <c r="D240">
        <v>0</v>
      </c>
      <c r="E240" s="123" t="s">
        <v>799</v>
      </c>
      <c r="F240" s="123" t="s">
        <v>676</v>
      </c>
      <c r="G240">
        <v>75204.61</v>
      </c>
    </row>
    <row r="241" spans="1:7" x14ac:dyDescent="0.3">
      <c r="A241">
        <v>91</v>
      </c>
      <c r="B241" s="123" t="s">
        <v>336</v>
      </c>
      <c r="C241">
        <v>10036.02</v>
      </c>
      <c r="D241">
        <v>0</v>
      </c>
      <c r="E241" s="123" t="s">
        <v>799</v>
      </c>
      <c r="F241" s="123" t="s">
        <v>676</v>
      </c>
      <c r="G241">
        <v>10036.02</v>
      </c>
    </row>
    <row r="242" spans="1:7" x14ac:dyDescent="0.3">
      <c r="A242">
        <v>21</v>
      </c>
      <c r="B242" s="123" t="s">
        <v>237</v>
      </c>
      <c r="C242">
        <v>0</v>
      </c>
      <c r="D242">
        <v>0</v>
      </c>
      <c r="E242" s="123" t="s">
        <v>799</v>
      </c>
      <c r="F242" s="123" t="s">
        <v>676</v>
      </c>
      <c r="G242">
        <v>0</v>
      </c>
    </row>
    <row r="243" spans="1:7" x14ac:dyDescent="0.3">
      <c r="A243">
        <v>29</v>
      </c>
      <c r="B243" s="123" t="s">
        <v>266</v>
      </c>
      <c r="C243">
        <v>2303.31</v>
      </c>
      <c r="D243">
        <v>0</v>
      </c>
      <c r="E243" s="123" t="s">
        <v>799</v>
      </c>
      <c r="F243" s="123" t="s">
        <v>676</v>
      </c>
      <c r="G243">
        <v>2303.31</v>
      </c>
    </row>
    <row r="244" spans="1:7" x14ac:dyDescent="0.3">
      <c r="A244">
        <v>13</v>
      </c>
      <c r="B244" s="123" t="s">
        <v>215</v>
      </c>
      <c r="C244">
        <v>0</v>
      </c>
      <c r="D244">
        <v>0</v>
      </c>
      <c r="E244" s="123" t="s">
        <v>799</v>
      </c>
      <c r="F244" s="123" t="s">
        <v>676</v>
      </c>
      <c r="G244">
        <v>0</v>
      </c>
    </row>
    <row r="245" spans="1:7" x14ac:dyDescent="0.3">
      <c r="A245">
        <v>65</v>
      </c>
      <c r="B245" s="123" t="s">
        <v>370</v>
      </c>
      <c r="C245">
        <v>0</v>
      </c>
      <c r="D245">
        <v>0</v>
      </c>
      <c r="E245" s="123" t="s">
        <v>799</v>
      </c>
      <c r="F245" s="123" t="s">
        <v>676</v>
      </c>
      <c r="G245">
        <v>0</v>
      </c>
    </row>
    <row r="246" spans="1:7" x14ac:dyDescent="0.3">
      <c r="A246">
        <v>453</v>
      </c>
      <c r="B246" s="123" t="s">
        <v>523</v>
      </c>
      <c r="C246">
        <v>0</v>
      </c>
      <c r="D246">
        <v>0</v>
      </c>
      <c r="E246" s="123" t="s">
        <v>799</v>
      </c>
      <c r="F246" s="123" t="s">
        <v>676</v>
      </c>
      <c r="G246">
        <v>0</v>
      </c>
    </row>
    <row r="247" spans="1:7" x14ac:dyDescent="0.3">
      <c r="A247">
        <v>292</v>
      </c>
      <c r="B247" s="123" t="s">
        <v>355</v>
      </c>
      <c r="C247">
        <v>0</v>
      </c>
      <c r="D247">
        <v>0</v>
      </c>
      <c r="E247" s="123" t="s">
        <v>799</v>
      </c>
      <c r="F247" s="123" t="s">
        <v>676</v>
      </c>
      <c r="G247">
        <v>0</v>
      </c>
    </row>
    <row r="248" spans="1:7" x14ac:dyDescent="0.3">
      <c r="A248">
        <v>327</v>
      </c>
      <c r="B248" s="123" t="s">
        <v>322</v>
      </c>
      <c r="C248">
        <v>0</v>
      </c>
      <c r="D248">
        <v>0</v>
      </c>
      <c r="E248" s="123" t="s">
        <v>799</v>
      </c>
      <c r="F248" s="123" t="s">
        <v>676</v>
      </c>
      <c r="G248">
        <v>0</v>
      </c>
    </row>
    <row r="249" spans="1:7" x14ac:dyDescent="0.3">
      <c r="A249">
        <v>326</v>
      </c>
      <c r="B249" s="123" t="s">
        <v>227</v>
      </c>
      <c r="C249">
        <v>0</v>
      </c>
      <c r="D249">
        <v>0</v>
      </c>
      <c r="E249" s="123" t="s">
        <v>799</v>
      </c>
      <c r="F249" s="123" t="s">
        <v>676</v>
      </c>
      <c r="G249">
        <v>0</v>
      </c>
    </row>
    <row r="250" spans="1:7" x14ac:dyDescent="0.3">
      <c r="A250">
        <v>276</v>
      </c>
      <c r="B250" s="123" t="s">
        <v>331</v>
      </c>
      <c r="C250">
        <v>0</v>
      </c>
      <c r="D250">
        <v>0</v>
      </c>
      <c r="E250" s="123" t="s">
        <v>799</v>
      </c>
      <c r="F250" s="123" t="s">
        <v>676</v>
      </c>
      <c r="G250">
        <v>0</v>
      </c>
    </row>
    <row r="251" spans="1:7" x14ac:dyDescent="0.3">
      <c r="A251">
        <v>383</v>
      </c>
      <c r="B251" s="123" t="s">
        <v>404</v>
      </c>
      <c r="C251">
        <v>0.37</v>
      </c>
      <c r="D251">
        <v>0</v>
      </c>
      <c r="E251" s="123" t="s">
        <v>799</v>
      </c>
      <c r="F251" s="123" t="s">
        <v>676</v>
      </c>
      <c r="G251">
        <v>0.37</v>
      </c>
    </row>
    <row r="252" spans="1:7" x14ac:dyDescent="0.3">
      <c r="A252">
        <v>337</v>
      </c>
      <c r="B252" s="123" t="s">
        <v>396</v>
      </c>
      <c r="C252">
        <v>0</v>
      </c>
      <c r="D252">
        <v>0</v>
      </c>
      <c r="E252" s="123" t="s">
        <v>799</v>
      </c>
      <c r="F252" s="123" t="s">
        <v>676</v>
      </c>
      <c r="G252">
        <v>0</v>
      </c>
    </row>
    <row r="253" spans="1:7" x14ac:dyDescent="0.3">
      <c r="A253">
        <v>29</v>
      </c>
      <c r="B253" s="123" t="s">
        <v>266</v>
      </c>
      <c r="C253">
        <v>141.08000000000001</v>
      </c>
      <c r="D253">
        <v>0</v>
      </c>
      <c r="E253" s="123" t="s">
        <v>188</v>
      </c>
      <c r="F253" s="123" t="s">
        <v>678</v>
      </c>
      <c r="G253">
        <v>141.08000000000001</v>
      </c>
    </row>
    <row r="254" spans="1:7" x14ac:dyDescent="0.3">
      <c r="A254">
        <v>29</v>
      </c>
      <c r="B254" s="123" t="s">
        <v>266</v>
      </c>
      <c r="C254">
        <v>0</v>
      </c>
      <c r="D254">
        <v>0</v>
      </c>
      <c r="E254" s="123" t="s">
        <v>801</v>
      </c>
      <c r="F254" s="123" t="s">
        <v>679</v>
      </c>
      <c r="G254">
        <v>0</v>
      </c>
    </row>
    <row r="255" spans="1:7" x14ac:dyDescent="0.3">
      <c r="A255">
        <v>21</v>
      </c>
      <c r="B255" s="123" t="s">
        <v>237</v>
      </c>
      <c r="C255">
        <v>0</v>
      </c>
      <c r="D255">
        <v>0</v>
      </c>
      <c r="E255" s="123" t="s">
        <v>801</v>
      </c>
      <c r="F255" s="123" t="s">
        <v>679</v>
      </c>
      <c r="G255">
        <v>0</v>
      </c>
    </row>
    <row r="256" spans="1:7" x14ac:dyDescent="0.3">
      <c r="A256">
        <v>13</v>
      </c>
      <c r="B256" s="123" t="s">
        <v>215</v>
      </c>
      <c r="C256">
        <v>0</v>
      </c>
      <c r="D256">
        <v>0</v>
      </c>
      <c r="E256" s="123" t="s">
        <v>801</v>
      </c>
      <c r="F256" s="123" t="s">
        <v>679</v>
      </c>
      <c r="G256">
        <v>0</v>
      </c>
    </row>
    <row r="257" spans="1:7" x14ac:dyDescent="0.3">
      <c r="A257">
        <v>91</v>
      </c>
      <c r="B257" s="123" t="s">
        <v>336</v>
      </c>
      <c r="C257">
        <v>0</v>
      </c>
      <c r="D257">
        <v>0</v>
      </c>
      <c r="E257" s="123" t="s">
        <v>801</v>
      </c>
      <c r="F257" s="123" t="s">
        <v>679</v>
      </c>
      <c r="G257">
        <v>0</v>
      </c>
    </row>
    <row r="258" spans="1:7" x14ac:dyDescent="0.3">
      <c r="A258">
        <v>94</v>
      </c>
      <c r="B258" s="123" t="s">
        <v>425</v>
      </c>
      <c r="C258">
        <v>0</v>
      </c>
      <c r="D258">
        <v>0</v>
      </c>
      <c r="E258" s="123" t="s">
        <v>801</v>
      </c>
      <c r="F258" s="123" t="s">
        <v>679</v>
      </c>
      <c r="G258">
        <v>0</v>
      </c>
    </row>
    <row r="259" spans="1:7" x14ac:dyDescent="0.3">
      <c r="A259">
        <v>77</v>
      </c>
      <c r="B259" s="123" t="s">
        <v>392</v>
      </c>
      <c r="C259">
        <v>1723.07</v>
      </c>
      <c r="D259">
        <v>0</v>
      </c>
      <c r="E259" s="123" t="s">
        <v>185</v>
      </c>
      <c r="F259" s="123" t="s">
        <v>672</v>
      </c>
      <c r="G259">
        <v>1723.07</v>
      </c>
    </row>
    <row r="260" spans="1:7" x14ac:dyDescent="0.3">
      <c r="A260">
        <v>105</v>
      </c>
      <c r="B260" s="123" t="s">
        <v>438</v>
      </c>
      <c r="C260">
        <v>1007.7</v>
      </c>
      <c r="D260">
        <v>0</v>
      </c>
      <c r="E260" s="123" t="s">
        <v>185</v>
      </c>
      <c r="F260" s="123" t="s">
        <v>672</v>
      </c>
      <c r="G260">
        <v>1007.7</v>
      </c>
    </row>
    <row r="261" spans="1:7" x14ac:dyDescent="0.3">
      <c r="A261">
        <v>502</v>
      </c>
      <c r="B261" s="123" t="s">
        <v>606</v>
      </c>
      <c r="C261">
        <v>15.15</v>
      </c>
      <c r="D261">
        <v>0</v>
      </c>
      <c r="E261" s="123" t="s">
        <v>185</v>
      </c>
      <c r="F261" s="123" t="s">
        <v>672</v>
      </c>
      <c r="G261">
        <v>15.15</v>
      </c>
    </row>
    <row r="262" spans="1:7" x14ac:dyDescent="0.3">
      <c r="A262">
        <v>512</v>
      </c>
      <c r="B262" s="123" t="s">
        <v>263</v>
      </c>
      <c r="C262">
        <v>-27960.15</v>
      </c>
      <c r="D262">
        <v>0</v>
      </c>
      <c r="E262" s="123" t="s">
        <v>185</v>
      </c>
      <c r="F262" s="123" t="s">
        <v>672</v>
      </c>
      <c r="G262">
        <v>-27960.15</v>
      </c>
    </row>
    <row r="263" spans="1:7" x14ac:dyDescent="0.3">
      <c r="A263">
        <v>159</v>
      </c>
      <c r="B263" s="123" t="s">
        <v>530</v>
      </c>
      <c r="C263">
        <v>-1651.09</v>
      </c>
      <c r="D263">
        <v>-0.02</v>
      </c>
      <c r="E263" s="123" t="s">
        <v>185</v>
      </c>
      <c r="F263" s="123" t="s">
        <v>672</v>
      </c>
      <c r="G263">
        <v>-1651.11</v>
      </c>
    </row>
    <row r="264" spans="1:7" x14ac:dyDescent="0.3">
      <c r="A264">
        <v>531</v>
      </c>
      <c r="B264" s="123" t="s">
        <v>683</v>
      </c>
      <c r="C264">
        <v>0</v>
      </c>
      <c r="D264">
        <v>0</v>
      </c>
      <c r="E264" s="123" t="s">
        <v>185</v>
      </c>
      <c r="F264" s="123" t="s">
        <v>672</v>
      </c>
      <c r="G264">
        <v>0</v>
      </c>
    </row>
    <row r="265" spans="1:7" x14ac:dyDescent="0.3">
      <c r="A265">
        <v>165</v>
      </c>
      <c r="B265" s="123" t="s">
        <v>535</v>
      </c>
      <c r="C265">
        <v>-3184.83</v>
      </c>
      <c r="D265">
        <v>0</v>
      </c>
      <c r="E265" s="123" t="s">
        <v>185</v>
      </c>
      <c r="F265" s="123" t="s">
        <v>672</v>
      </c>
      <c r="G265">
        <v>-3184.83</v>
      </c>
    </row>
    <row r="266" spans="1:7" x14ac:dyDescent="0.3">
      <c r="A266">
        <v>171</v>
      </c>
      <c r="B266" s="123" t="s">
        <v>220</v>
      </c>
      <c r="C266">
        <v>0</v>
      </c>
      <c r="D266">
        <v>0.03</v>
      </c>
      <c r="E266" s="123" t="s">
        <v>185</v>
      </c>
      <c r="F266" s="123" t="s">
        <v>672</v>
      </c>
      <c r="G266">
        <v>0.03</v>
      </c>
    </row>
    <row r="267" spans="1:7" x14ac:dyDescent="0.3">
      <c r="A267">
        <v>23</v>
      </c>
      <c r="B267" s="123" t="s">
        <v>245</v>
      </c>
      <c r="C267">
        <v>-11724.9</v>
      </c>
      <c r="D267">
        <v>0.04</v>
      </c>
      <c r="E267" s="123" t="s">
        <v>185</v>
      </c>
      <c r="F267" s="123" t="s">
        <v>672</v>
      </c>
      <c r="G267">
        <v>-11724.86</v>
      </c>
    </row>
    <row r="268" spans="1:7" x14ac:dyDescent="0.3">
      <c r="A268">
        <v>41</v>
      </c>
      <c r="B268" s="123" t="s">
        <v>293</v>
      </c>
      <c r="C268">
        <v>-10086292.039999999</v>
      </c>
      <c r="D268">
        <v>-0.06</v>
      </c>
      <c r="E268" s="123" t="s">
        <v>185</v>
      </c>
      <c r="F268" s="123" t="s">
        <v>672</v>
      </c>
      <c r="G268">
        <v>-10086292.1</v>
      </c>
    </row>
    <row r="269" spans="1:7" x14ac:dyDescent="0.3">
      <c r="A269">
        <v>430</v>
      </c>
      <c r="B269" s="123" t="s">
        <v>503</v>
      </c>
      <c r="C269">
        <v>0.01</v>
      </c>
      <c r="D269">
        <v>0</v>
      </c>
      <c r="E269" s="123" t="s">
        <v>185</v>
      </c>
      <c r="F269" s="123" t="s">
        <v>672</v>
      </c>
      <c r="G269">
        <v>0.01</v>
      </c>
    </row>
    <row r="270" spans="1:7" x14ac:dyDescent="0.3">
      <c r="A270">
        <v>342</v>
      </c>
      <c r="B270" s="123" t="s">
        <v>511</v>
      </c>
      <c r="C270">
        <v>0</v>
      </c>
      <c r="D270">
        <v>0</v>
      </c>
      <c r="E270" s="123" t="s">
        <v>185</v>
      </c>
      <c r="F270" s="123" t="s">
        <v>672</v>
      </c>
      <c r="G270">
        <v>0</v>
      </c>
    </row>
    <row r="271" spans="1:7" x14ac:dyDescent="0.3">
      <c r="A271">
        <v>354</v>
      </c>
      <c r="B271" s="123" t="s">
        <v>420</v>
      </c>
      <c r="C271">
        <v>502652.89</v>
      </c>
      <c r="D271">
        <v>0</v>
      </c>
      <c r="E271" s="123" t="s">
        <v>185</v>
      </c>
      <c r="F271" s="123" t="s">
        <v>672</v>
      </c>
      <c r="G271">
        <v>502652.89</v>
      </c>
    </row>
    <row r="272" spans="1:7" x14ac:dyDescent="0.3">
      <c r="A272">
        <v>406</v>
      </c>
      <c r="B272" s="123" t="s">
        <v>477</v>
      </c>
      <c r="C272">
        <v>1751.56</v>
      </c>
      <c r="D272">
        <v>0</v>
      </c>
      <c r="E272" s="123" t="s">
        <v>185</v>
      </c>
      <c r="F272" s="123" t="s">
        <v>672</v>
      </c>
      <c r="G272">
        <v>1751.56</v>
      </c>
    </row>
    <row r="273" spans="1:7" x14ac:dyDescent="0.3">
      <c r="A273">
        <v>414</v>
      </c>
      <c r="B273" s="123" t="s">
        <v>484</v>
      </c>
      <c r="C273">
        <v>6762.49</v>
      </c>
      <c r="D273">
        <v>0</v>
      </c>
      <c r="E273" s="123" t="s">
        <v>185</v>
      </c>
      <c r="F273" s="123" t="s">
        <v>672</v>
      </c>
      <c r="G273">
        <v>6762.49</v>
      </c>
    </row>
    <row r="274" spans="1:7" x14ac:dyDescent="0.3">
      <c r="A274">
        <v>402</v>
      </c>
      <c r="B274" s="123" t="s">
        <v>581</v>
      </c>
      <c r="C274">
        <v>0</v>
      </c>
      <c r="D274">
        <v>0</v>
      </c>
      <c r="E274" s="123" t="s">
        <v>185</v>
      </c>
      <c r="F274" s="123" t="s">
        <v>672</v>
      </c>
      <c r="G274">
        <v>0</v>
      </c>
    </row>
    <row r="275" spans="1:7" x14ac:dyDescent="0.3">
      <c r="A275">
        <v>266</v>
      </c>
      <c r="B275" s="123" t="s">
        <v>202</v>
      </c>
      <c r="C275">
        <v>0</v>
      </c>
      <c r="D275">
        <v>0.03</v>
      </c>
      <c r="E275" s="123" t="s">
        <v>185</v>
      </c>
      <c r="F275" s="123" t="s">
        <v>672</v>
      </c>
      <c r="G275">
        <v>0.03</v>
      </c>
    </row>
    <row r="276" spans="1:7" x14ac:dyDescent="0.3">
      <c r="A276">
        <v>281</v>
      </c>
      <c r="B276" s="123" t="s">
        <v>684</v>
      </c>
      <c r="C276">
        <v>0</v>
      </c>
      <c r="D276">
        <v>0</v>
      </c>
      <c r="E276" s="123" t="s">
        <v>185</v>
      </c>
      <c r="F276" s="123" t="s">
        <v>672</v>
      </c>
      <c r="G276">
        <v>0</v>
      </c>
    </row>
    <row r="277" spans="1:7" x14ac:dyDescent="0.3">
      <c r="A277">
        <v>325</v>
      </c>
      <c r="B277" s="123" t="s">
        <v>405</v>
      </c>
      <c r="C277">
        <v>0</v>
      </c>
      <c r="D277">
        <v>0.2</v>
      </c>
      <c r="E277" s="123" t="s">
        <v>185</v>
      </c>
      <c r="F277" s="123" t="s">
        <v>672</v>
      </c>
      <c r="G277">
        <v>0.2</v>
      </c>
    </row>
    <row r="278" spans="1:7" x14ac:dyDescent="0.3">
      <c r="A278">
        <v>6058</v>
      </c>
      <c r="B278" s="123" t="s">
        <v>685</v>
      </c>
      <c r="C278">
        <v>0</v>
      </c>
      <c r="D278">
        <v>0</v>
      </c>
      <c r="E278" s="123" t="s">
        <v>185</v>
      </c>
      <c r="F278" s="123" t="s">
        <v>672</v>
      </c>
      <c r="G278">
        <v>0</v>
      </c>
    </row>
    <row r="279" spans="1:7" x14ac:dyDescent="0.3">
      <c r="A279">
        <v>6040</v>
      </c>
      <c r="B279" s="123" t="s">
        <v>649</v>
      </c>
      <c r="C279">
        <v>-4.32</v>
      </c>
      <c r="D279">
        <v>0</v>
      </c>
      <c r="E279" s="123" t="s">
        <v>185</v>
      </c>
      <c r="F279" s="123" t="s">
        <v>672</v>
      </c>
      <c r="G279">
        <v>-4.32</v>
      </c>
    </row>
    <row r="280" spans="1:7" x14ac:dyDescent="0.3">
      <c r="A280">
        <v>221</v>
      </c>
      <c r="B280" s="123" t="s">
        <v>549</v>
      </c>
      <c r="C280">
        <v>2463.3000000000002</v>
      </c>
      <c r="D280">
        <v>0</v>
      </c>
      <c r="E280" s="123" t="s">
        <v>185</v>
      </c>
      <c r="F280" s="123" t="s">
        <v>672</v>
      </c>
      <c r="G280">
        <v>2463.3000000000002</v>
      </c>
    </row>
    <row r="281" spans="1:7" x14ac:dyDescent="0.3">
      <c r="A281">
        <v>231</v>
      </c>
      <c r="B281" s="123" t="s">
        <v>540</v>
      </c>
      <c r="C281">
        <v>5487197.46</v>
      </c>
      <c r="D281">
        <v>0.76</v>
      </c>
      <c r="E281" s="123" t="s">
        <v>185</v>
      </c>
      <c r="F281" s="123" t="s">
        <v>672</v>
      </c>
      <c r="G281">
        <v>5487198.2199999997</v>
      </c>
    </row>
    <row r="282" spans="1:7" x14ac:dyDescent="0.3">
      <c r="A282">
        <v>210</v>
      </c>
      <c r="B282" s="123" t="s">
        <v>480</v>
      </c>
      <c r="C282">
        <v>0</v>
      </c>
      <c r="D282">
        <v>0</v>
      </c>
      <c r="E282" s="123" t="s">
        <v>185</v>
      </c>
      <c r="F282" s="123" t="s">
        <v>672</v>
      </c>
      <c r="G282">
        <v>0</v>
      </c>
    </row>
    <row r="283" spans="1:7" x14ac:dyDescent="0.3">
      <c r="A283">
        <v>213</v>
      </c>
      <c r="B283" s="123" t="s">
        <v>528</v>
      </c>
      <c r="C283">
        <v>0</v>
      </c>
      <c r="D283">
        <v>0</v>
      </c>
      <c r="E283" s="123" t="s">
        <v>185</v>
      </c>
      <c r="F283" s="123" t="s">
        <v>672</v>
      </c>
      <c r="G283">
        <v>0</v>
      </c>
    </row>
    <row r="284" spans="1:7" x14ac:dyDescent="0.3">
      <c r="A284">
        <v>200</v>
      </c>
      <c r="B284" s="123" t="s">
        <v>442</v>
      </c>
      <c r="C284">
        <v>0</v>
      </c>
      <c r="D284">
        <v>0.03</v>
      </c>
      <c r="E284" s="123" t="s">
        <v>185</v>
      </c>
      <c r="F284" s="123" t="s">
        <v>672</v>
      </c>
      <c r="G284">
        <v>0.03</v>
      </c>
    </row>
    <row r="285" spans="1:7" x14ac:dyDescent="0.3">
      <c r="A285">
        <v>417</v>
      </c>
      <c r="B285" s="123" t="s">
        <v>616</v>
      </c>
      <c r="C285">
        <v>-45.84</v>
      </c>
      <c r="D285">
        <v>-0.01</v>
      </c>
      <c r="E285" s="123" t="s">
        <v>185</v>
      </c>
      <c r="F285" s="123" t="s">
        <v>672</v>
      </c>
      <c r="G285">
        <v>-45.85</v>
      </c>
    </row>
    <row r="286" spans="1:7" x14ac:dyDescent="0.3">
      <c r="A286">
        <v>417</v>
      </c>
      <c r="B286" s="123" t="s">
        <v>616</v>
      </c>
      <c r="C286">
        <v>8.8800000000000008</v>
      </c>
      <c r="D286">
        <v>0</v>
      </c>
      <c r="E286" s="123" t="s">
        <v>799</v>
      </c>
      <c r="F286" s="123" t="s">
        <v>676</v>
      </c>
      <c r="G286">
        <v>8.8800000000000008</v>
      </c>
    </row>
    <row r="287" spans="1:7" x14ac:dyDescent="0.3">
      <c r="A287">
        <v>200</v>
      </c>
      <c r="B287" s="123" t="s">
        <v>442</v>
      </c>
      <c r="C287">
        <v>0</v>
      </c>
      <c r="D287">
        <v>0</v>
      </c>
      <c r="E287" s="123" t="s">
        <v>799</v>
      </c>
      <c r="F287" s="123" t="s">
        <v>676</v>
      </c>
      <c r="G287">
        <v>0</v>
      </c>
    </row>
    <row r="288" spans="1:7" x14ac:dyDescent="0.3">
      <c r="A288">
        <v>210</v>
      </c>
      <c r="B288" s="123" t="s">
        <v>480</v>
      </c>
      <c r="C288">
        <v>0</v>
      </c>
      <c r="D288">
        <v>0</v>
      </c>
      <c r="E288" s="123" t="s">
        <v>799</v>
      </c>
      <c r="F288" s="123" t="s">
        <v>676</v>
      </c>
      <c r="G288">
        <v>0</v>
      </c>
    </row>
    <row r="289" spans="1:7" x14ac:dyDescent="0.3">
      <c r="A289">
        <v>221</v>
      </c>
      <c r="B289" s="123" t="s">
        <v>549</v>
      </c>
      <c r="C289">
        <v>0</v>
      </c>
      <c r="D289">
        <v>0</v>
      </c>
      <c r="E289" s="123" t="s">
        <v>799</v>
      </c>
      <c r="F289" s="123" t="s">
        <v>676</v>
      </c>
      <c r="G289">
        <v>0</v>
      </c>
    </row>
    <row r="290" spans="1:7" x14ac:dyDescent="0.3">
      <c r="A290">
        <v>6040</v>
      </c>
      <c r="B290" s="123" t="s">
        <v>649</v>
      </c>
      <c r="C290">
        <v>1.86</v>
      </c>
      <c r="D290">
        <v>0</v>
      </c>
      <c r="E290" s="123" t="s">
        <v>799</v>
      </c>
      <c r="F290" s="123" t="s">
        <v>676</v>
      </c>
      <c r="G290">
        <v>1.86</v>
      </c>
    </row>
    <row r="291" spans="1:7" x14ac:dyDescent="0.3">
      <c r="A291">
        <v>325</v>
      </c>
      <c r="B291" s="123" t="s">
        <v>405</v>
      </c>
      <c r="C291">
        <v>-0.01</v>
      </c>
      <c r="D291">
        <v>0</v>
      </c>
      <c r="E291" s="123" t="s">
        <v>799</v>
      </c>
      <c r="F291" s="123" t="s">
        <v>676</v>
      </c>
      <c r="G291">
        <v>-0.01</v>
      </c>
    </row>
    <row r="292" spans="1:7" x14ac:dyDescent="0.3">
      <c r="A292">
        <v>266</v>
      </c>
      <c r="B292" s="123" t="s">
        <v>202</v>
      </c>
      <c r="C292">
        <v>0</v>
      </c>
      <c r="D292">
        <v>0</v>
      </c>
      <c r="E292" s="123" t="s">
        <v>799</v>
      </c>
      <c r="F292" s="123" t="s">
        <v>676</v>
      </c>
      <c r="G292">
        <v>0</v>
      </c>
    </row>
    <row r="293" spans="1:7" x14ac:dyDescent="0.3">
      <c r="A293">
        <v>402</v>
      </c>
      <c r="B293" s="123" t="s">
        <v>581</v>
      </c>
      <c r="C293">
        <v>0</v>
      </c>
      <c r="D293">
        <v>0</v>
      </c>
      <c r="E293" s="123" t="s">
        <v>799</v>
      </c>
      <c r="F293" s="123" t="s">
        <v>676</v>
      </c>
      <c r="G293">
        <v>0</v>
      </c>
    </row>
    <row r="294" spans="1:7" x14ac:dyDescent="0.3">
      <c r="A294">
        <v>414</v>
      </c>
      <c r="B294" s="123" t="s">
        <v>484</v>
      </c>
      <c r="C294">
        <v>0</v>
      </c>
      <c r="D294">
        <v>0</v>
      </c>
      <c r="E294" s="123" t="s">
        <v>799</v>
      </c>
      <c r="F294" s="123" t="s">
        <v>676</v>
      </c>
      <c r="G294">
        <v>0</v>
      </c>
    </row>
    <row r="295" spans="1:7" x14ac:dyDescent="0.3">
      <c r="A295">
        <v>406</v>
      </c>
      <c r="B295" s="123" t="s">
        <v>477</v>
      </c>
      <c r="C295">
        <v>0</v>
      </c>
      <c r="D295">
        <v>0</v>
      </c>
      <c r="E295" s="123" t="s">
        <v>799</v>
      </c>
      <c r="F295" s="123" t="s">
        <v>676</v>
      </c>
      <c r="G295">
        <v>0</v>
      </c>
    </row>
    <row r="296" spans="1:7" x14ac:dyDescent="0.3">
      <c r="A296">
        <v>354</v>
      </c>
      <c r="B296" s="123" t="s">
        <v>420</v>
      </c>
      <c r="C296">
        <v>0</v>
      </c>
      <c r="D296">
        <v>0</v>
      </c>
      <c r="E296" s="123" t="s">
        <v>799</v>
      </c>
      <c r="F296" s="123" t="s">
        <v>676</v>
      </c>
      <c r="G296">
        <v>0</v>
      </c>
    </row>
    <row r="297" spans="1:7" x14ac:dyDescent="0.3">
      <c r="A297">
        <v>41</v>
      </c>
      <c r="B297" s="123" t="s">
        <v>293</v>
      </c>
      <c r="C297">
        <v>0</v>
      </c>
      <c r="D297">
        <v>0</v>
      </c>
      <c r="E297" s="123" t="s">
        <v>799</v>
      </c>
      <c r="F297" s="123" t="s">
        <v>676</v>
      </c>
      <c r="G297">
        <v>0</v>
      </c>
    </row>
    <row r="298" spans="1:7" x14ac:dyDescent="0.3">
      <c r="A298">
        <v>23</v>
      </c>
      <c r="B298" s="123" t="s">
        <v>245</v>
      </c>
      <c r="C298">
        <v>0</v>
      </c>
      <c r="D298">
        <v>0</v>
      </c>
      <c r="E298" s="123" t="s">
        <v>799</v>
      </c>
      <c r="F298" s="123" t="s">
        <v>676</v>
      </c>
      <c r="G298">
        <v>0</v>
      </c>
    </row>
    <row r="299" spans="1:7" x14ac:dyDescent="0.3">
      <c r="A299">
        <v>171</v>
      </c>
      <c r="B299" s="123" t="s">
        <v>220</v>
      </c>
      <c r="C299">
        <v>0</v>
      </c>
      <c r="D299">
        <v>0</v>
      </c>
      <c r="E299" s="123" t="s">
        <v>799</v>
      </c>
      <c r="F299" s="123" t="s">
        <v>676</v>
      </c>
      <c r="G299">
        <v>0</v>
      </c>
    </row>
    <row r="300" spans="1:7" x14ac:dyDescent="0.3">
      <c r="A300">
        <v>165</v>
      </c>
      <c r="B300" s="123" t="s">
        <v>535</v>
      </c>
      <c r="C300">
        <v>0</v>
      </c>
      <c r="D300">
        <v>0</v>
      </c>
      <c r="E300" s="123" t="s">
        <v>799</v>
      </c>
      <c r="F300" s="123" t="s">
        <v>676</v>
      </c>
      <c r="G300">
        <v>0</v>
      </c>
    </row>
    <row r="301" spans="1:7" x14ac:dyDescent="0.3">
      <c r="A301">
        <v>159</v>
      </c>
      <c r="B301" s="123" t="s">
        <v>530</v>
      </c>
      <c r="C301">
        <v>0</v>
      </c>
      <c r="D301">
        <v>0</v>
      </c>
      <c r="E301" s="123" t="s">
        <v>799</v>
      </c>
      <c r="F301" s="123" t="s">
        <v>676</v>
      </c>
      <c r="G301">
        <v>0</v>
      </c>
    </row>
    <row r="302" spans="1:7" x14ac:dyDescent="0.3">
      <c r="A302">
        <v>512</v>
      </c>
      <c r="B302" s="123" t="s">
        <v>263</v>
      </c>
      <c r="C302">
        <v>0</v>
      </c>
      <c r="D302">
        <v>0</v>
      </c>
      <c r="E302" s="123" t="s">
        <v>799</v>
      </c>
      <c r="F302" s="123" t="s">
        <v>676</v>
      </c>
      <c r="G302">
        <v>0</v>
      </c>
    </row>
    <row r="303" spans="1:7" x14ac:dyDescent="0.3">
      <c r="A303">
        <v>105</v>
      </c>
      <c r="B303" s="123" t="s">
        <v>438</v>
      </c>
      <c r="C303">
        <v>0</v>
      </c>
      <c r="D303">
        <v>0</v>
      </c>
      <c r="E303" s="123" t="s">
        <v>799</v>
      </c>
      <c r="F303" s="123" t="s">
        <v>676</v>
      </c>
      <c r="G303">
        <v>0</v>
      </c>
    </row>
    <row r="304" spans="1:7" x14ac:dyDescent="0.3">
      <c r="A304">
        <v>77</v>
      </c>
      <c r="B304" s="123" t="s">
        <v>392</v>
      </c>
      <c r="C304">
        <v>0</v>
      </c>
      <c r="D304">
        <v>0</v>
      </c>
      <c r="E304" s="123" t="s">
        <v>799</v>
      </c>
      <c r="F304" s="123" t="s">
        <v>676</v>
      </c>
      <c r="G304">
        <v>0</v>
      </c>
    </row>
    <row r="305" spans="1:7" x14ac:dyDescent="0.3">
      <c r="A305">
        <v>23</v>
      </c>
      <c r="B305" s="123" t="s">
        <v>245</v>
      </c>
      <c r="C305">
        <v>0.01</v>
      </c>
      <c r="D305">
        <v>0</v>
      </c>
      <c r="E305" s="123" t="s">
        <v>188</v>
      </c>
      <c r="F305" s="123" t="s">
        <v>678</v>
      </c>
      <c r="G305">
        <v>0.01</v>
      </c>
    </row>
    <row r="306" spans="1:7" x14ac:dyDescent="0.3">
      <c r="A306">
        <v>41</v>
      </c>
      <c r="B306" s="123" t="s">
        <v>293</v>
      </c>
      <c r="C306">
        <v>2.6</v>
      </c>
      <c r="D306">
        <v>0</v>
      </c>
      <c r="E306" s="123" t="s">
        <v>188</v>
      </c>
      <c r="F306" s="123" t="s">
        <v>678</v>
      </c>
      <c r="G306">
        <v>2.6</v>
      </c>
    </row>
    <row r="307" spans="1:7" x14ac:dyDescent="0.3">
      <c r="A307">
        <v>213</v>
      </c>
      <c r="B307" s="123" t="s">
        <v>528</v>
      </c>
      <c r="C307">
        <v>0</v>
      </c>
      <c r="D307">
        <v>0</v>
      </c>
      <c r="E307" s="123" t="s">
        <v>188</v>
      </c>
      <c r="F307" s="123" t="s">
        <v>678</v>
      </c>
      <c r="G307">
        <v>0</v>
      </c>
    </row>
    <row r="308" spans="1:7" x14ac:dyDescent="0.3">
      <c r="A308">
        <v>417</v>
      </c>
      <c r="B308" s="123" t="s">
        <v>616</v>
      </c>
      <c r="C308">
        <v>0.39</v>
      </c>
      <c r="D308">
        <v>0</v>
      </c>
      <c r="E308" s="123" t="s">
        <v>188</v>
      </c>
      <c r="F308" s="123" t="s">
        <v>678</v>
      </c>
      <c r="G308">
        <v>0.39</v>
      </c>
    </row>
    <row r="309" spans="1:7" x14ac:dyDescent="0.3">
      <c r="A309">
        <v>213</v>
      </c>
      <c r="B309" s="123" t="s">
        <v>528</v>
      </c>
      <c r="C309">
        <v>0</v>
      </c>
      <c r="D309">
        <v>0</v>
      </c>
      <c r="E309" s="123" t="s">
        <v>801</v>
      </c>
      <c r="F309" s="123" t="s">
        <v>679</v>
      </c>
      <c r="G309">
        <v>0</v>
      </c>
    </row>
    <row r="310" spans="1:7" x14ac:dyDescent="0.3">
      <c r="A310">
        <v>210</v>
      </c>
      <c r="B310" s="123" t="s">
        <v>480</v>
      </c>
      <c r="C310">
        <v>0</v>
      </c>
      <c r="D310">
        <v>0</v>
      </c>
      <c r="E310" s="123" t="s">
        <v>801</v>
      </c>
      <c r="F310" s="123" t="s">
        <v>679</v>
      </c>
      <c r="G310">
        <v>0</v>
      </c>
    </row>
    <row r="311" spans="1:7" x14ac:dyDescent="0.3">
      <c r="A311">
        <v>231</v>
      </c>
      <c r="B311" s="123" t="s">
        <v>540</v>
      </c>
      <c r="C311">
        <v>0</v>
      </c>
      <c r="D311">
        <v>0</v>
      </c>
      <c r="E311" s="123" t="s">
        <v>801</v>
      </c>
      <c r="F311" s="123" t="s">
        <v>679</v>
      </c>
      <c r="G311">
        <v>0</v>
      </c>
    </row>
    <row r="312" spans="1:7" x14ac:dyDescent="0.3">
      <c r="A312">
        <v>354</v>
      </c>
      <c r="B312" s="123" t="s">
        <v>420</v>
      </c>
      <c r="C312">
        <v>0</v>
      </c>
      <c r="D312">
        <v>0</v>
      </c>
      <c r="E312" s="123" t="s">
        <v>801</v>
      </c>
      <c r="F312" s="123" t="s">
        <v>679</v>
      </c>
      <c r="G312">
        <v>0</v>
      </c>
    </row>
    <row r="313" spans="1:7" x14ac:dyDescent="0.3">
      <c r="A313">
        <v>342</v>
      </c>
      <c r="B313" s="123" t="s">
        <v>511</v>
      </c>
      <c r="C313">
        <v>0</v>
      </c>
      <c r="D313">
        <v>0</v>
      </c>
      <c r="E313" s="123" t="s">
        <v>801</v>
      </c>
      <c r="F313" s="123" t="s">
        <v>679</v>
      </c>
      <c r="G313">
        <v>0</v>
      </c>
    </row>
    <row r="314" spans="1:7" x14ac:dyDescent="0.3">
      <c r="A314">
        <v>41</v>
      </c>
      <c r="B314" s="123" t="s">
        <v>293</v>
      </c>
      <c r="C314">
        <v>0</v>
      </c>
      <c r="D314">
        <v>0</v>
      </c>
      <c r="E314" s="123" t="s">
        <v>801</v>
      </c>
      <c r="F314" s="123" t="s">
        <v>679</v>
      </c>
      <c r="G314">
        <v>0</v>
      </c>
    </row>
    <row r="315" spans="1:7" x14ac:dyDescent="0.3">
      <c r="A315">
        <v>23</v>
      </c>
      <c r="B315" s="123" t="s">
        <v>245</v>
      </c>
      <c r="C315">
        <v>0</v>
      </c>
      <c r="D315">
        <v>0</v>
      </c>
      <c r="E315" s="123" t="s">
        <v>801</v>
      </c>
      <c r="F315" s="123" t="s">
        <v>679</v>
      </c>
      <c r="G315">
        <v>0</v>
      </c>
    </row>
    <row r="316" spans="1:7" x14ac:dyDescent="0.3">
      <c r="A316">
        <v>430</v>
      </c>
      <c r="B316" s="123" t="s">
        <v>503</v>
      </c>
      <c r="C316">
        <v>0</v>
      </c>
      <c r="D316">
        <v>0</v>
      </c>
      <c r="E316" s="123" t="s">
        <v>801</v>
      </c>
      <c r="F316" s="123" t="s">
        <v>679</v>
      </c>
      <c r="G316">
        <v>0</v>
      </c>
    </row>
    <row r="317" spans="1:7" x14ac:dyDescent="0.3">
      <c r="A317">
        <v>77</v>
      </c>
      <c r="B317" s="123" t="s">
        <v>392</v>
      </c>
      <c r="C317">
        <v>0</v>
      </c>
      <c r="D317">
        <v>0</v>
      </c>
      <c r="E317" s="123" t="s">
        <v>801</v>
      </c>
      <c r="F317" s="123" t="s">
        <v>679</v>
      </c>
      <c r="G317">
        <v>0</v>
      </c>
    </row>
    <row r="318" spans="1:7" x14ac:dyDescent="0.3">
      <c r="A318">
        <v>512</v>
      </c>
      <c r="B318" s="123" t="s">
        <v>263</v>
      </c>
      <c r="C318">
        <v>0</v>
      </c>
      <c r="D318">
        <v>0</v>
      </c>
      <c r="E318" s="123" t="s">
        <v>801</v>
      </c>
      <c r="F318" s="123" t="s">
        <v>679</v>
      </c>
      <c r="G318">
        <v>0</v>
      </c>
    </row>
    <row r="319" spans="1:7" x14ac:dyDescent="0.3">
      <c r="A319">
        <v>502</v>
      </c>
      <c r="B319" s="123" t="s">
        <v>606</v>
      </c>
      <c r="C319">
        <v>0</v>
      </c>
      <c r="D319">
        <v>0</v>
      </c>
      <c r="E319" s="123" t="s">
        <v>801</v>
      </c>
      <c r="F319" s="123" t="s">
        <v>679</v>
      </c>
      <c r="G319">
        <v>0</v>
      </c>
    </row>
    <row r="320" spans="1:7" x14ac:dyDescent="0.3">
      <c r="A320">
        <v>165</v>
      </c>
      <c r="B320" s="123" t="s">
        <v>535</v>
      </c>
      <c r="C320">
        <v>0</v>
      </c>
      <c r="D320">
        <v>0</v>
      </c>
      <c r="E320" s="123" t="s">
        <v>801</v>
      </c>
      <c r="F320" s="123" t="s">
        <v>679</v>
      </c>
      <c r="G320">
        <v>0</v>
      </c>
    </row>
    <row r="321" spans="1:7" x14ac:dyDescent="0.3">
      <c r="A321">
        <v>140</v>
      </c>
      <c r="B321" s="123" t="s">
        <v>499</v>
      </c>
      <c r="C321">
        <v>0</v>
      </c>
      <c r="D321">
        <v>0.05</v>
      </c>
      <c r="E321" s="123" t="s">
        <v>185</v>
      </c>
      <c r="F321" s="123" t="s">
        <v>672</v>
      </c>
      <c r="G321">
        <v>0.05</v>
      </c>
    </row>
    <row r="322" spans="1:7" x14ac:dyDescent="0.3">
      <c r="A322">
        <v>59</v>
      </c>
      <c r="B322" s="123" t="s">
        <v>120</v>
      </c>
      <c r="C322">
        <v>0</v>
      </c>
      <c r="D322">
        <v>0</v>
      </c>
      <c r="E322" s="123" t="s">
        <v>185</v>
      </c>
      <c r="F322" s="123" t="s">
        <v>672</v>
      </c>
      <c r="G322">
        <v>0</v>
      </c>
    </row>
    <row r="323" spans="1:7" x14ac:dyDescent="0.3">
      <c r="A323">
        <v>60</v>
      </c>
      <c r="B323" s="123" t="s">
        <v>353</v>
      </c>
      <c r="C323">
        <v>0</v>
      </c>
      <c r="D323">
        <v>-0.01</v>
      </c>
      <c r="E323" s="123" t="s">
        <v>185</v>
      </c>
      <c r="F323" s="123" t="s">
        <v>672</v>
      </c>
      <c r="G323">
        <v>-0.01</v>
      </c>
    </row>
    <row r="324" spans="1:7" x14ac:dyDescent="0.3">
      <c r="A324">
        <v>190</v>
      </c>
      <c r="B324" s="123" t="s">
        <v>120</v>
      </c>
      <c r="C324">
        <v>0</v>
      </c>
      <c r="D324">
        <v>0</v>
      </c>
      <c r="E324" s="123" t="s">
        <v>185</v>
      </c>
      <c r="F324" s="123" t="s">
        <v>672</v>
      </c>
      <c r="G324">
        <v>0</v>
      </c>
    </row>
    <row r="325" spans="1:7" x14ac:dyDescent="0.3">
      <c r="A325">
        <v>60</v>
      </c>
      <c r="B325" s="123" t="s">
        <v>353</v>
      </c>
      <c r="C325">
        <v>0</v>
      </c>
      <c r="D325">
        <v>0</v>
      </c>
      <c r="E325" s="123" t="s">
        <v>799</v>
      </c>
      <c r="F325" s="123" t="s">
        <v>676</v>
      </c>
      <c r="G325">
        <v>0</v>
      </c>
    </row>
    <row r="326" spans="1:7" x14ac:dyDescent="0.3">
      <c r="A326">
        <v>140</v>
      </c>
      <c r="B326" s="123" t="s">
        <v>499</v>
      </c>
      <c r="C326">
        <v>0</v>
      </c>
      <c r="D326">
        <v>0</v>
      </c>
      <c r="E326" s="123" t="s">
        <v>799</v>
      </c>
      <c r="F326" s="123" t="s">
        <v>676</v>
      </c>
      <c r="G326">
        <v>0</v>
      </c>
    </row>
    <row r="327" spans="1:7" x14ac:dyDescent="0.3">
      <c r="A327">
        <v>59</v>
      </c>
      <c r="B327" s="123" t="s">
        <v>120</v>
      </c>
      <c r="C327">
        <v>5682.4</v>
      </c>
      <c r="D327">
        <v>0</v>
      </c>
      <c r="E327" s="123" t="s">
        <v>188</v>
      </c>
      <c r="F327" s="123" t="s">
        <v>678</v>
      </c>
      <c r="G327">
        <v>5682.4</v>
      </c>
    </row>
    <row r="328" spans="1:7" x14ac:dyDescent="0.3">
      <c r="A328">
        <v>59</v>
      </c>
      <c r="B328" s="123" t="s">
        <v>120</v>
      </c>
      <c r="C328">
        <v>0</v>
      </c>
      <c r="D328">
        <v>0</v>
      </c>
      <c r="E328" s="123" t="s">
        <v>801</v>
      </c>
      <c r="F328" s="123" t="s">
        <v>679</v>
      </c>
      <c r="G328">
        <v>0</v>
      </c>
    </row>
    <row r="329" spans="1:7" x14ac:dyDescent="0.3">
      <c r="A329">
        <v>60</v>
      </c>
      <c r="B329" s="123" t="s">
        <v>353</v>
      </c>
      <c r="C329">
        <v>0</v>
      </c>
      <c r="D329">
        <v>0</v>
      </c>
      <c r="E329" s="123" t="s">
        <v>801</v>
      </c>
      <c r="F329" s="123" t="s">
        <v>679</v>
      </c>
      <c r="G329">
        <v>0</v>
      </c>
    </row>
    <row r="330" spans="1:7" x14ac:dyDescent="0.3">
      <c r="A330">
        <v>190</v>
      </c>
      <c r="B330" s="123" t="s">
        <v>120</v>
      </c>
      <c r="C330">
        <v>0</v>
      </c>
      <c r="D330">
        <v>0</v>
      </c>
      <c r="E330" s="123" t="s">
        <v>801</v>
      </c>
      <c r="F330" s="123" t="s">
        <v>679</v>
      </c>
      <c r="G330">
        <v>0</v>
      </c>
    </row>
    <row r="331" spans="1:7" x14ac:dyDescent="0.3">
      <c r="A331">
        <v>61</v>
      </c>
      <c r="B331" s="123" t="s">
        <v>357</v>
      </c>
      <c r="C331">
        <v>75774949.560000002</v>
      </c>
      <c r="D331">
        <v>16484967.359999999</v>
      </c>
      <c r="E331" s="123" t="s">
        <v>185</v>
      </c>
      <c r="F331" s="123" t="s">
        <v>672</v>
      </c>
      <c r="G331">
        <v>92259916.920000002</v>
      </c>
    </row>
    <row r="332" spans="1:7" x14ac:dyDescent="0.3">
      <c r="A332">
        <v>47</v>
      </c>
      <c r="B332" s="123" t="s">
        <v>309</v>
      </c>
      <c r="C332">
        <v>10982876.59</v>
      </c>
      <c r="D332">
        <v>0</v>
      </c>
      <c r="E332" s="123" t="s">
        <v>185</v>
      </c>
      <c r="F332" s="123" t="s">
        <v>672</v>
      </c>
      <c r="G332">
        <v>10982876.59</v>
      </c>
    </row>
    <row r="333" spans="1:7" x14ac:dyDescent="0.3">
      <c r="A333">
        <v>478</v>
      </c>
      <c r="B333" s="123" t="s">
        <v>309</v>
      </c>
      <c r="C333">
        <v>-43732911.270000003</v>
      </c>
      <c r="D333">
        <v>0</v>
      </c>
      <c r="E333" s="123" t="s">
        <v>185</v>
      </c>
      <c r="F333" s="123" t="s">
        <v>672</v>
      </c>
      <c r="G333">
        <v>-43732911.270000003</v>
      </c>
    </row>
    <row r="334" spans="1:7" x14ac:dyDescent="0.3">
      <c r="A334">
        <v>111</v>
      </c>
      <c r="B334" s="123" t="s">
        <v>365</v>
      </c>
      <c r="C334">
        <v>-57.56</v>
      </c>
      <c r="D334">
        <v>0</v>
      </c>
      <c r="E334" s="123" t="s">
        <v>185</v>
      </c>
      <c r="F334" s="123" t="s">
        <v>672</v>
      </c>
      <c r="G334">
        <v>-57.56</v>
      </c>
    </row>
    <row r="335" spans="1:7" x14ac:dyDescent="0.3">
      <c r="A335">
        <v>111</v>
      </c>
      <c r="B335" s="123" t="s">
        <v>365</v>
      </c>
      <c r="C335">
        <v>1898.06</v>
      </c>
      <c r="D335">
        <v>0</v>
      </c>
      <c r="E335" s="123" t="s">
        <v>799</v>
      </c>
      <c r="F335" s="123" t="s">
        <v>676</v>
      </c>
      <c r="G335">
        <v>1898.06</v>
      </c>
    </row>
    <row r="336" spans="1:7" x14ac:dyDescent="0.3">
      <c r="A336">
        <v>47</v>
      </c>
      <c r="B336" s="123" t="s">
        <v>309</v>
      </c>
      <c r="C336">
        <v>1099.55</v>
      </c>
      <c r="D336">
        <v>0</v>
      </c>
      <c r="E336" s="123" t="s">
        <v>799</v>
      </c>
      <c r="F336" s="123" t="s">
        <v>676</v>
      </c>
      <c r="G336">
        <v>1099.55</v>
      </c>
    </row>
    <row r="337" spans="1:7" x14ac:dyDescent="0.3">
      <c r="A337">
        <v>61</v>
      </c>
      <c r="B337" s="123" t="s">
        <v>357</v>
      </c>
      <c r="C337">
        <v>37920.949999999997</v>
      </c>
      <c r="D337">
        <v>0</v>
      </c>
      <c r="E337" s="123" t="s">
        <v>799</v>
      </c>
      <c r="F337" s="123" t="s">
        <v>676</v>
      </c>
      <c r="G337">
        <v>37920.949999999997</v>
      </c>
    </row>
    <row r="338" spans="1:7" x14ac:dyDescent="0.3">
      <c r="A338">
        <v>61</v>
      </c>
      <c r="B338" s="123" t="s">
        <v>357</v>
      </c>
      <c r="C338">
        <v>-0.96</v>
      </c>
      <c r="D338">
        <v>0</v>
      </c>
      <c r="E338" s="123" t="s">
        <v>188</v>
      </c>
      <c r="F338" s="123" t="s">
        <v>678</v>
      </c>
      <c r="G338">
        <v>-0.96</v>
      </c>
    </row>
    <row r="339" spans="1:7" x14ac:dyDescent="0.3">
      <c r="A339">
        <v>47</v>
      </c>
      <c r="B339" s="123" t="s">
        <v>309</v>
      </c>
      <c r="C339">
        <v>27.79</v>
      </c>
      <c r="D339">
        <v>0</v>
      </c>
      <c r="E339" s="123" t="s">
        <v>188</v>
      </c>
      <c r="F339" s="123" t="s">
        <v>678</v>
      </c>
      <c r="G339">
        <v>27.79</v>
      </c>
    </row>
    <row r="340" spans="1:7" x14ac:dyDescent="0.3">
      <c r="A340">
        <v>47</v>
      </c>
      <c r="B340" s="123" t="s">
        <v>309</v>
      </c>
      <c r="C340">
        <v>-155250.69</v>
      </c>
      <c r="D340">
        <v>0</v>
      </c>
      <c r="E340" s="123" t="s">
        <v>801</v>
      </c>
      <c r="F340" s="123" t="s">
        <v>679</v>
      </c>
      <c r="G340">
        <v>-155250.69</v>
      </c>
    </row>
    <row r="341" spans="1:7" x14ac:dyDescent="0.3">
      <c r="A341">
        <v>61</v>
      </c>
      <c r="B341" s="123" t="s">
        <v>357</v>
      </c>
      <c r="C341">
        <v>-210</v>
      </c>
      <c r="D341">
        <v>0</v>
      </c>
      <c r="E341" s="123" t="s">
        <v>801</v>
      </c>
      <c r="F341" s="123" t="s">
        <v>679</v>
      </c>
      <c r="G341">
        <v>-210</v>
      </c>
    </row>
    <row r="342" spans="1:7" x14ac:dyDescent="0.3">
      <c r="A342">
        <v>478</v>
      </c>
      <c r="B342" s="123" t="s">
        <v>309</v>
      </c>
      <c r="C342">
        <v>-85478.33</v>
      </c>
      <c r="D342">
        <v>0</v>
      </c>
      <c r="E342" s="123" t="s">
        <v>801</v>
      </c>
      <c r="F342" s="123" t="s">
        <v>679</v>
      </c>
      <c r="G342">
        <v>-85478.33</v>
      </c>
    </row>
    <row r="343" spans="1:7" x14ac:dyDescent="0.3">
      <c r="A343">
        <v>101</v>
      </c>
      <c r="B343" s="123" t="s">
        <v>431</v>
      </c>
      <c r="C343">
        <v>-743232.29</v>
      </c>
      <c r="D343">
        <v>-1.53</v>
      </c>
      <c r="E343" s="123" t="s">
        <v>185</v>
      </c>
      <c r="F343" s="123" t="s">
        <v>672</v>
      </c>
      <c r="G343">
        <v>-743233.82</v>
      </c>
    </row>
    <row r="344" spans="1:7" x14ac:dyDescent="0.3">
      <c r="A344">
        <v>88</v>
      </c>
      <c r="B344" s="123" t="s">
        <v>413</v>
      </c>
      <c r="C344">
        <v>527.37</v>
      </c>
      <c r="D344">
        <v>0.02</v>
      </c>
      <c r="E344" s="123" t="s">
        <v>185</v>
      </c>
      <c r="F344" s="123" t="s">
        <v>672</v>
      </c>
      <c r="G344">
        <v>527.39</v>
      </c>
    </row>
    <row r="345" spans="1:7" x14ac:dyDescent="0.3">
      <c r="A345">
        <v>173</v>
      </c>
      <c r="B345" s="123" t="s">
        <v>431</v>
      </c>
      <c r="C345">
        <v>0</v>
      </c>
      <c r="D345">
        <v>0</v>
      </c>
      <c r="E345" s="123" t="s">
        <v>185</v>
      </c>
      <c r="F345" s="123" t="s">
        <v>672</v>
      </c>
      <c r="G345">
        <v>0</v>
      </c>
    </row>
    <row r="346" spans="1:7" x14ac:dyDescent="0.3">
      <c r="A346">
        <v>88</v>
      </c>
      <c r="B346" s="123" t="s">
        <v>413</v>
      </c>
      <c r="C346">
        <v>44.14</v>
      </c>
      <c r="D346">
        <v>23.31</v>
      </c>
      <c r="E346" s="123" t="s">
        <v>799</v>
      </c>
      <c r="F346" s="123" t="s">
        <v>676</v>
      </c>
      <c r="G346">
        <v>67.45</v>
      </c>
    </row>
    <row r="347" spans="1:7" x14ac:dyDescent="0.3">
      <c r="A347">
        <v>101</v>
      </c>
      <c r="B347" s="123" t="s">
        <v>431</v>
      </c>
      <c r="C347">
        <v>231725.53</v>
      </c>
      <c r="D347">
        <v>0</v>
      </c>
      <c r="E347" s="123" t="s">
        <v>799</v>
      </c>
      <c r="F347" s="123" t="s">
        <v>676</v>
      </c>
      <c r="G347">
        <v>231725.53</v>
      </c>
    </row>
    <row r="348" spans="1:7" x14ac:dyDescent="0.3">
      <c r="A348">
        <v>101</v>
      </c>
      <c r="B348" s="123" t="s">
        <v>431</v>
      </c>
      <c r="C348">
        <v>-33.97</v>
      </c>
      <c r="D348">
        <v>0</v>
      </c>
      <c r="E348" s="123" t="s">
        <v>188</v>
      </c>
      <c r="F348" s="123" t="s">
        <v>678</v>
      </c>
      <c r="G348">
        <v>-33.97</v>
      </c>
    </row>
    <row r="349" spans="1:7" x14ac:dyDescent="0.3">
      <c r="A349">
        <v>88</v>
      </c>
      <c r="B349" s="123" t="s">
        <v>413</v>
      </c>
      <c r="C349">
        <v>17.95</v>
      </c>
      <c r="D349">
        <v>0</v>
      </c>
      <c r="E349" s="123" t="s">
        <v>188</v>
      </c>
      <c r="F349" s="123" t="s">
        <v>678</v>
      </c>
      <c r="G349">
        <v>17.95</v>
      </c>
    </row>
    <row r="350" spans="1:7" x14ac:dyDescent="0.3">
      <c r="A350">
        <v>88</v>
      </c>
      <c r="B350" s="123" t="s">
        <v>413</v>
      </c>
      <c r="C350">
        <v>25869.1</v>
      </c>
      <c r="D350">
        <v>94592.26</v>
      </c>
      <c r="E350" s="123" t="s">
        <v>801</v>
      </c>
      <c r="F350" s="123" t="s">
        <v>679</v>
      </c>
      <c r="G350">
        <v>120461.36</v>
      </c>
    </row>
    <row r="351" spans="1:7" x14ac:dyDescent="0.3">
      <c r="A351">
        <v>101</v>
      </c>
      <c r="B351" s="123" t="s">
        <v>431</v>
      </c>
      <c r="C351">
        <v>0</v>
      </c>
      <c r="D351">
        <v>0</v>
      </c>
      <c r="E351" s="123" t="s">
        <v>801</v>
      </c>
      <c r="F351" s="123" t="s">
        <v>679</v>
      </c>
      <c r="G351">
        <v>0</v>
      </c>
    </row>
    <row r="352" spans="1:7" x14ac:dyDescent="0.3">
      <c r="A352">
        <v>173</v>
      </c>
      <c r="B352" s="123" t="s">
        <v>431</v>
      </c>
      <c r="C352">
        <v>0</v>
      </c>
      <c r="D352">
        <v>0</v>
      </c>
      <c r="E352" s="123" t="s">
        <v>801</v>
      </c>
      <c r="F352" s="123" t="s">
        <v>679</v>
      </c>
      <c r="G352">
        <v>0</v>
      </c>
    </row>
    <row r="353" spans="1:7" x14ac:dyDescent="0.3">
      <c r="A353">
        <v>22</v>
      </c>
      <c r="B353" s="123" t="s">
        <v>241</v>
      </c>
      <c r="C353">
        <v>0</v>
      </c>
      <c r="D353">
        <v>0.02</v>
      </c>
      <c r="E353" s="123" t="s">
        <v>185</v>
      </c>
      <c r="F353" s="123" t="s">
        <v>672</v>
      </c>
      <c r="G353">
        <v>0.02</v>
      </c>
    </row>
    <row r="354" spans="1:7" x14ac:dyDescent="0.3">
      <c r="A354">
        <v>22</v>
      </c>
      <c r="B354" s="123" t="s">
        <v>241</v>
      </c>
      <c r="C354">
        <v>-0.08</v>
      </c>
      <c r="D354">
        <v>0</v>
      </c>
      <c r="E354" s="123" t="s">
        <v>799</v>
      </c>
      <c r="F354" s="123" t="s">
        <v>676</v>
      </c>
      <c r="G354">
        <v>-0.08</v>
      </c>
    </row>
    <row r="355" spans="1:7" x14ac:dyDescent="0.3">
      <c r="A355">
        <v>22</v>
      </c>
      <c r="B355" s="123" t="s">
        <v>241</v>
      </c>
      <c r="C355">
        <v>0</v>
      </c>
      <c r="D355">
        <v>0</v>
      </c>
      <c r="E355" s="123" t="s">
        <v>801</v>
      </c>
      <c r="F355" s="123" t="s">
        <v>679</v>
      </c>
      <c r="G355">
        <v>0</v>
      </c>
    </row>
    <row r="356" spans="1:7" x14ac:dyDescent="0.3">
      <c r="A356">
        <v>53</v>
      </c>
      <c r="B356" s="123" t="s">
        <v>330</v>
      </c>
      <c r="C356">
        <v>-88800553.299999997</v>
      </c>
      <c r="D356">
        <v>0.04</v>
      </c>
      <c r="E356" s="123" t="s">
        <v>185</v>
      </c>
      <c r="F356" s="123" t="s">
        <v>672</v>
      </c>
      <c r="G356">
        <v>-88800553.260000005</v>
      </c>
    </row>
    <row r="357" spans="1:7" x14ac:dyDescent="0.3">
      <c r="A357">
        <v>57</v>
      </c>
      <c r="B357" s="123" t="s">
        <v>343</v>
      </c>
      <c r="C357">
        <v>393.97</v>
      </c>
      <c r="D357">
        <v>0</v>
      </c>
      <c r="E357" s="123" t="s">
        <v>185</v>
      </c>
      <c r="F357" s="123" t="s">
        <v>672</v>
      </c>
      <c r="G357">
        <v>393.97</v>
      </c>
    </row>
    <row r="358" spans="1:7" x14ac:dyDescent="0.3">
      <c r="A358">
        <v>169</v>
      </c>
      <c r="B358" s="123" t="s">
        <v>521</v>
      </c>
      <c r="C358">
        <v>2875000</v>
      </c>
      <c r="D358">
        <v>0</v>
      </c>
      <c r="E358" s="123" t="s">
        <v>185</v>
      </c>
      <c r="F358" s="123" t="s">
        <v>672</v>
      </c>
      <c r="G358">
        <v>2875000</v>
      </c>
    </row>
    <row r="359" spans="1:7" x14ac:dyDescent="0.3">
      <c r="A359">
        <v>99</v>
      </c>
      <c r="B359" s="123" t="s">
        <v>428</v>
      </c>
      <c r="C359">
        <v>0</v>
      </c>
      <c r="D359">
        <v>-0.01</v>
      </c>
      <c r="E359" s="123" t="s">
        <v>185</v>
      </c>
      <c r="F359" s="123" t="s">
        <v>672</v>
      </c>
      <c r="G359">
        <v>-0.01</v>
      </c>
    </row>
    <row r="360" spans="1:7" x14ac:dyDescent="0.3">
      <c r="A360">
        <v>362</v>
      </c>
      <c r="B360" s="123" t="s">
        <v>209</v>
      </c>
      <c r="C360">
        <v>12810.93</v>
      </c>
      <c r="D360">
        <v>-0.01</v>
      </c>
      <c r="E360" s="123" t="s">
        <v>185</v>
      </c>
      <c r="F360" s="123" t="s">
        <v>672</v>
      </c>
      <c r="G360">
        <v>12810.92</v>
      </c>
    </row>
    <row r="361" spans="1:7" x14ac:dyDescent="0.3">
      <c r="A361">
        <v>362</v>
      </c>
      <c r="B361" s="123" t="s">
        <v>209</v>
      </c>
      <c r="C361">
        <v>0</v>
      </c>
      <c r="D361">
        <v>0</v>
      </c>
      <c r="E361" s="123" t="s">
        <v>799</v>
      </c>
      <c r="F361" s="123" t="s">
        <v>676</v>
      </c>
      <c r="G361">
        <v>0</v>
      </c>
    </row>
    <row r="362" spans="1:7" x14ac:dyDescent="0.3">
      <c r="A362">
        <v>57</v>
      </c>
      <c r="B362" s="123" t="s">
        <v>343</v>
      </c>
      <c r="C362">
        <v>97243.5</v>
      </c>
      <c r="D362">
        <v>0</v>
      </c>
      <c r="E362" s="123" t="s">
        <v>799</v>
      </c>
      <c r="F362" s="123" t="s">
        <v>676</v>
      </c>
      <c r="G362">
        <v>97243.5</v>
      </c>
    </row>
    <row r="363" spans="1:7" x14ac:dyDescent="0.3">
      <c r="A363">
        <v>53</v>
      </c>
      <c r="B363" s="123" t="s">
        <v>330</v>
      </c>
      <c r="C363">
        <v>15958.14</v>
      </c>
      <c r="D363">
        <v>0</v>
      </c>
      <c r="E363" s="123" t="s">
        <v>799</v>
      </c>
      <c r="F363" s="123" t="s">
        <v>676</v>
      </c>
      <c r="G363">
        <v>15958.14</v>
      </c>
    </row>
    <row r="364" spans="1:7" x14ac:dyDescent="0.3">
      <c r="A364">
        <v>57</v>
      </c>
      <c r="B364" s="123" t="s">
        <v>343</v>
      </c>
      <c r="C364">
        <v>10000.14</v>
      </c>
      <c r="D364">
        <v>0</v>
      </c>
      <c r="E364" s="123" t="s">
        <v>188</v>
      </c>
      <c r="F364" s="123" t="s">
        <v>678</v>
      </c>
      <c r="G364">
        <v>10000.14</v>
      </c>
    </row>
    <row r="365" spans="1:7" x14ac:dyDescent="0.3">
      <c r="A365">
        <v>57</v>
      </c>
      <c r="B365" s="123" t="s">
        <v>343</v>
      </c>
      <c r="C365">
        <v>5580</v>
      </c>
      <c r="D365">
        <v>5854</v>
      </c>
      <c r="E365" s="123" t="s">
        <v>801</v>
      </c>
      <c r="F365" s="123" t="s">
        <v>679</v>
      </c>
      <c r="G365">
        <v>11434</v>
      </c>
    </row>
    <row r="366" spans="1:7" x14ac:dyDescent="0.3">
      <c r="A366">
        <v>53</v>
      </c>
      <c r="B366" s="123" t="s">
        <v>330</v>
      </c>
      <c r="C366">
        <v>-2900</v>
      </c>
      <c r="D366">
        <v>0</v>
      </c>
      <c r="E366" s="123" t="s">
        <v>801</v>
      </c>
      <c r="F366" s="123" t="s">
        <v>679</v>
      </c>
      <c r="G366">
        <v>-2900</v>
      </c>
    </row>
    <row r="367" spans="1:7" x14ac:dyDescent="0.3">
      <c r="A367">
        <v>99</v>
      </c>
      <c r="B367" s="123" t="s">
        <v>428</v>
      </c>
      <c r="C367">
        <v>0</v>
      </c>
      <c r="D367">
        <v>0</v>
      </c>
      <c r="E367" s="123" t="s">
        <v>801</v>
      </c>
      <c r="F367" s="123" t="s">
        <v>679</v>
      </c>
      <c r="G367">
        <v>0</v>
      </c>
    </row>
    <row r="368" spans="1:7" x14ac:dyDescent="0.3">
      <c r="A368">
        <v>169</v>
      </c>
      <c r="B368" s="123" t="s">
        <v>521</v>
      </c>
      <c r="C368">
        <v>0</v>
      </c>
      <c r="D368">
        <v>18750</v>
      </c>
      <c r="E368" s="123" t="s">
        <v>801</v>
      </c>
      <c r="F368" s="123" t="s">
        <v>679</v>
      </c>
      <c r="G368">
        <v>18750</v>
      </c>
    </row>
    <row r="369" spans="1:7" x14ac:dyDescent="0.3">
      <c r="A369">
        <v>362</v>
      </c>
      <c r="B369" s="123" t="s">
        <v>209</v>
      </c>
      <c r="C369">
        <v>0</v>
      </c>
      <c r="D369">
        <v>0</v>
      </c>
      <c r="E369" s="123" t="s">
        <v>801</v>
      </c>
      <c r="F369" s="123" t="s">
        <v>679</v>
      </c>
      <c r="G369">
        <v>0</v>
      </c>
    </row>
    <row r="370" spans="1:7" x14ac:dyDescent="0.3">
      <c r="A370">
        <v>211</v>
      </c>
      <c r="B370" s="123" t="s">
        <v>249</v>
      </c>
      <c r="C370">
        <v>0</v>
      </c>
      <c r="D370">
        <v>0</v>
      </c>
      <c r="E370" s="123" t="s">
        <v>185</v>
      </c>
      <c r="F370" s="123" t="s">
        <v>672</v>
      </c>
      <c r="G370">
        <v>0</v>
      </c>
    </row>
    <row r="371" spans="1:7" x14ac:dyDescent="0.3">
      <c r="A371">
        <v>133</v>
      </c>
      <c r="B371" s="123" t="s">
        <v>488</v>
      </c>
      <c r="C371">
        <v>-50145276.049999997</v>
      </c>
      <c r="D371">
        <v>0.01</v>
      </c>
      <c r="E371" s="123" t="s">
        <v>185</v>
      </c>
      <c r="F371" s="123" t="s">
        <v>672</v>
      </c>
      <c r="G371">
        <v>-50145276.039999999</v>
      </c>
    </row>
    <row r="372" spans="1:7" x14ac:dyDescent="0.3">
      <c r="A372">
        <v>45</v>
      </c>
      <c r="B372" s="123" t="s">
        <v>305</v>
      </c>
      <c r="C372">
        <v>143629199.25999999</v>
      </c>
      <c r="D372">
        <v>0.02</v>
      </c>
      <c r="E372" s="123" t="s">
        <v>185</v>
      </c>
      <c r="F372" s="123" t="s">
        <v>672</v>
      </c>
      <c r="G372">
        <v>143629199.28</v>
      </c>
    </row>
    <row r="373" spans="1:7" x14ac:dyDescent="0.3">
      <c r="A373">
        <v>26</v>
      </c>
      <c r="B373" s="123" t="s">
        <v>258</v>
      </c>
      <c r="C373">
        <v>-290724.40000000002</v>
      </c>
      <c r="D373">
        <v>0</v>
      </c>
      <c r="E373" s="123" t="s">
        <v>185</v>
      </c>
      <c r="F373" s="123" t="s">
        <v>672</v>
      </c>
      <c r="G373">
        <v>-290724.40000000002</v>
      </c>
    </row>
    <row r="374" spans="1:7" x14ac:dyDescent="0.3">
      <c r="A374">
        <v>30</v>
      </c>
      <c r="B374" s="123" t="s">
        <v>270</v>
      </c>
      <c r="C374">
        <v>-71223199.180000007</v>
      </c>
      <c r="D374">
        <v>-0.03</v>
      </c>
      <c r="E374" s="123" t="s">
        <v>185</v>
      </c>
      <c r="F374" s="123" t="s">
        <v>672</v>
      </c>
      <c r="G374">
        <v>-71223199.209999993</v>
      </c>
    </row>
    <row r="375" spans="1:7" x14ac:dyDescent="0.3">
      <c r="A375">
        <v>449</v>
      </c>
      <c r="B375" s="123" t="s">
        <v>594</v>
      </c>
      <c r="C375">
        <v>0</v>
      </c>
      <c r="D375">
        <v>0</v>
      </c>
      <c r="E375" s="123" t="s">
        <v>185</v>
      </c>
      <c r="F375" s="123" t="s">
        <v>672</v>
      </c>
      <c r="G375">
        <v>0</v>
      </c>
    </row>
    <row r="376" spans="1:7" x14ac:dyDescent="0.3">
      <c r="A376">
        <v>30</v>
      </c>
      <c r="B376" s="123" t="s">
        <v>270</v>
      </c>
      <c r="C376">
        <v>-5.29</v>
      </c>
      <c r="D376">
        <v>0</v>
      </c>
      <c r="E376" s="123" t="s">
        <v>799</v>
      </c>
      <c r="F376" s="123" t="s">
        <v>676</v>
      </c>
      <c r="G376">
        <v>-5.29</v>
      </c>
    </row>
    <row r="377" spans="1:7" x14ac:dyDescent="0.3">
      <c r="A377">
        <v>45</v>
      </c>
      <c r="B377" s="123" t="s">
        <v>305</v>
      </c>
      <c r="C377">
        <v>0.6</v>
      </c>
      <c r="D377">
        <v>0</v>
      </c>
      <c r="E377" s="123" t="s">
        <v>799</v>
      </c>
      <c r="F377" s="123" t="s">
        <v>676</v>
      </c>
      <c r="G377">
        <v>0.6</v>
      </c>
    </row>
    <row r="378" spans="1:7" x14ac:dyDescent="0.3">
      <c r="A378">
        <v>133</v>
      </c>
      <c r="B378" s="123" t="s">
        <v>488</v>
      </c>
      <c r="C378">
        <v>-50705.04</v>
      </c>
      <c r="D378">
        <v>0</v>
      </c>
      <c r="E378" s="123" t="s">
        <v>799</v>
      </c>
      <c r="F378" s="123" t="s">
        <v>676</v>
      </c>
      <c r="G378">
        <v>-50705.04</v>
      </c>
    </row>
    <row r="379" spans="1:7" x14ac:dyDescent="0.3">
      <c r="A379">
        <v>133</v>
      </c>
      <c r="B379" s="123" t="s">
        <v>488</v>
      </c>
      <c r="C379">
        <v>-0.06</v>
      </c>
      <c r="D379">
        <v>0</v>
      </c>
      <c r="E379" s="123" t="s">
        <v>188</v>
      </c>
      <c r="F379" s="123" t="s">
        <v>678</v>
      </c>
      <c r="G379">
        <v>-0.06</v>
      </c>
    </row>
    <row r="380" spans="1:7" x14ac:dyDescent="0.3">
      <c r="A380">
        <v>30</v>
      </c>
      <c r="B380" s="123" t="s">
        <v>270</v>
      </c>
      <c r="C380">
        <v>0</v>
      </c>
      <c r="D380">
        <v>0</v>
      </c>
      <c r="E380" s="123" t="s">
        <v>188</v>
      </c>
      <c r="F380" s="123" t="s">
        <v>678</v>
      </c>
      <c r="G380">
        <v>0</v>
      </c>
    </row>
    <row r="381" spans="1:7" x14ac:dyDescent="0.3">
      <c r="A381">
        <v>26</v>
      </c>
      <c r="B381" s="123" t="s">
        <v>258</v>
      </c>
      <c r="C381">
        <v>-503.4</v>
      </c>
      <c r="D381">
        <v>0</v>
      </c>
      <c r="E381" s="123" t="s">
        <v>801</v>
      </c>
      <c r="F381" s="123" t="s">
        <v>679</v>
      </c>
      <c r="G381">
        <v>-503.4</v>
      </c>
    </row>
    <row r="382" spans="1:7" x14ac:dyDescent="0.3">
      <c r="A382">
        <v>45</v>
      </c>
      <c r="B382" s="123" t="s">
        <v>305</v>
      </c>
      <c r="C382">
        <v>0</v>
      </c>
      <c r="D382">
        <v>0</v>
      </c>
      <c r="E382" s="123" t="s">
        <v>801</v>
      </c>
      <c r="F382" s="123" t="s">
        <v>679</v>
      </c>
      <c r="G382">
        <v>0</v>
      </c>
    </row>
    <row r="383" spans="1:7" x14ac:dyDescent="0.3">
      <c r="A383">
        <v>449</v>
      </c>
      <c r="B383" s="123" t="s">
        <v>594</v>
      </c>
      <c r="C383">
        <v>0</v>
      </c>
      <c r="D383">
        <v>0</v>
      </c>
      <c r="E383" s="123" t="s">
        <v>801</v>
      </c>
      <c r="F383" s="123" t="s">
        <v>679</v>
      </c>
      <c r="G383">
        <v>0</v>
      </c>
    </row>
    <row r="384" spans="1:7" x14ac:dyDescent="0.3">
      <c r="A384">
        <v>133</v>
      </c>
      <c r="B384" s="123" t="s">
        <v>488</v>
      </c>
      <c r="C384">
        <v>-2882.82</v>
      </c>
      <c r="D384">
        <v>3184.9</v>
      </c>
      <c r="E384" s="123" t="s">
        <v>801</v>
      </c>
      <c r="F384" s="123" t="s">
        <v>679</v>
      </c>
      <c r="G384">
        <v>302.08</v>
      </c>
    </row>
    <row r="385" spans="1:7" x14ac:dyDescent="0.3">
      <c r="A385">
        <v>211</v>
      </c>
      <c r="B385" s="123" t="s">
        <v>249</v>
      </c>
      <c r="C385">
        <v>0</v>
      </c>
      <c r="D385">
        <v>0</v>
      </c>
      <c r="E385" s="123" t="s">
        <v>801</v>
      </c>
      <c r="F385" s="123" t="s">
        <v>679</v>
      </c>
      <c r="G385">
        <v>0</v>
      </c>
    </row>
    <row r="386" spans="1:7" x14ac:dyDescent="0.3">
      <c r="A386">
        <v>249</v>
      </c>
      <c r="B386" s="123" t="s">
        <v>232</v>
      </c>
      <c r="C386">
        <v>-0.01</v>
      </c>
      <c r="D386">
        <v>-0.01</v>
      </c>
      <c r="E386" s="123" t="s">
        <v>185</v>
      </c>
      <c r="F386" s="123" t="s">
        <v>672</v>
      </c>
      <c r="G386">
        <v>-0.02</v>
      </c>
    </row>
    <row r="387" spans="1:7" x14ac:dyDescent="0.3">
      <c r="A387">
        <v>352</v>
      </c>
      <c r="B387" s="123" t="s">
        <v>403</v>
      </c>
      <c r="C387">
        <v>0</v>
      </c>
      <c r="D387">
        <v>0</v>
      </c>
      <c r="E387" s="123" t="s">
        <v>185</v>
      </c>
      <c r="F387" s="123" t="s">
        <v>672</v>
      </c>
      <c r="G387">
        <v>0</v>
      </c>
    </row>
    <row r="388" spans="1:7" x14ac:dyDescent="0.3">
      <c r="A388">
        <v>367</v>
      </c>
      <c r="B388" s="123" t="s">
        <v>394</v>
      </c>
      <c r="C388">
        <v>12069.81</v>
      </c>
      <c r="D388">
        <v>0</v>
      </c>
      <c r="E388" s="123" t="s">
        <v>185</v>
      </c>
      <c r="F388" s="123" t="s">
        <v>672</v>
      </c>
      <c r="G388">
        <v>12069.81</v>
      </c>
    </row>
    <row r="389" spans="1:7" x14ac:dyDescent="0.3">
      <c r="A389">
        <v>280</v>
      </c>
      <c r="B389" s="123" t="s">
        <v>580</v>
      </c>
      <c r="C389">
        <v>0</v>
      </c>
      <c r="D389">
        <v>0.02</v>
      </c>
      <c r="E389" s="123" t="s">
        <v>185</v>
      </c>
      <c r="F389" s="123" t="s">
        <v>672</v>
      </c>
      <c r="G389">
        <v>0.02</v>
      </c>
    </row>
    <row r="390" spans="1:7" x14ac:dyDescent="0.3">
      <c r="A390">
        <v>286</v>
      </c>
      <c r="B390" s="123" t="s">
        <v>611</v>
      </c>
      <c r="C390">
        <v>-48742764.600000001</v>
      </c>
      <c r="D390">
        <v>-0.06</v>
      </c>
      <c r="E390" s="123" t="s">
        <v>185</v>
      </c>
      <c r="F390" s="123" t="s">
        <v>672</v>
      </c>
      <c r="G390">
        <v>-48742764.659999996</v>
      </c>
    </row>
    <row r="391" spans="1:7" x14ac:dyDescent="0.3">
      <c r="A391">
        <v>128</v>
      </c>
      <c r="B391" s="123" t="s">
        <v>482</v>
      </c>
      <c r="C391">
        <v>-101.21</v>
      </c>
      <c r="D391">
        <v>0</v>
      </c>
      <c r="E391" s="123" t="s">
        <v>185</v>
      </c>
      <c r="F391" s="123" t="s">
        <v>672</v>
      </c>
      <c r="G391">
        <v>-101.21</v>
      </c>
    </row>
    <row r="392" spans="1:7" x14ac:dyDescent="0.3">
      <c r="A392">
        <v>506</v>
      </c>
      <c r="B392" s="123" t="s">
        <v>376</v>
      </c>
      <c r="C392">
        <v>-7698.88</v>
      </c>
      <c r="D392">
        <v>0</v>
      </c>
      <c r="E392" s="123" t="s">
        <v>185</v>
      </c>
      <c r="F392" s="123" t="s">
        <v>672</v>
      </c>
      <c r="G392">
        <v>-7698.88</v>
      </c>
    </row>
    <row r="393" spans="1:7" x14ac:dyDescent="0.3">
      <c r="A393">
        <v>450</v>
      </c>
      <c r="B393" s="123" t="s">
        <v>578</v>
      </c>
      <c r="C393">
        <v>1869.56</v>
      </c>
      <c r="D393">
        <v>0</v>
      </c>
      <c r="E393" s="123" t="s">
        <v>185</v>
      </c>
      <c r="F393" s="123" t="s">
        <v>672</v>
      </c>
      <c r="G393">
        <v>1869.56</v>
      </c>
    </row>
    <row r="394" spans="1:7" x14ac:dyDescent="0.3">
      <c r="A394">
        <v>455</v>
      </c>
      <c r="B394" s="123" t="s">
        <v>505</v>
      </c>
      <c r="C394">
        <v>488750</v>
      </c>
      <c r="D394">
        <v>0.01</v>
      </c>
      <c r="E394" s="123" t="s">
        <v>185</v>
      </c>
      <c r="F394" s="123" t="s">
        <v>672</v>
      </c>
      <c r="G394">
        <v>488750.01</v>
      </c>
    </row>
    <row r="395" spans="1:7" x14ac:dyDescent="0.3">
      <c r="A395">
        <v>444</v>
      </c>
      <c r="B395" s="123" t="s">
        <v>522</v>
      </c>
      <c r="C395">
        <v>-9002.11</v>
      </c>
      <c r="D395">
        <v>0.04</v>
      </c>
      <c r="E395" s="123" t="s">
        <v>185</v>
      </c>
      <c r="F395" s="123" t="s">
        <v>672</v>
      </c>
      <c r="G395">
        <v>-9002.07</v>
      </c>
    </row>
    <row r="396" spans="1:7" x14ac:dyDescent="0.3">
      <c r="A396">
        <v>467</v>
      </c>
      <c r="B396" s="123" t="s">
        <v>1512</v>
      </c>
      <c r="C396">
        <v>-164030.39999999999</v>
      </c>
      <c r="D396">
        <v>0</v>
      </c>
      <c r="E396" s="123" t="s">
        <v>185</v>
      </c>
      <c r="F396" s="123" t="s">
        <v>672</v>
      </c>
      <c r="G396">
        <v>-164030.39999999999</v>
      </c>
    </row>
    <row r="397" spans="1:7" x14ac:dyDescent="0.3">
      <c r="A397">
        <v>467</v>
      </c>
      <c r="B397" s="123" t="s">
        <v>1512</v>
      </c>
      <c r="C397">
        <v>120260.66</v>
      </c>
      <c r="D397">
        <v>0</v>
      </c>
      <c r="E397" s="123" t="s">
        <v>799</v>
      </c>
      <c r="F397" s="123" t="s">
        <v>676</v>
      </c>
      <c r="G397">
        <v>120260.66</v>
      </c>
    </row>
    <row r="398" spans="1:7" x14ac:dyDescent="0.3">
      <c r="A398">
        <v>444</v>
      </c>
      <c r="B398" s="123" t="s">
        <v>522</v>
      </c>
      <c r="C398">
        <v>0.05</v>
      </c>
      <c r="D398">
        <v>0</v>
      </c>
      <c r="E398" s="123" t="s">
        <v>799</v>
      </c>
      <c r="F398" s="123" t="s">
        <v>676</v>
      </c>
      <c r="G398">
        <v>0.05</v>
      </c>
    </row>
    <row r="399" spans="1:7" x14ac:dyDescent="0.3">
      <c r="A399">
        <v>455</v>
      </c>
      <c r="B399" s="123" t="s">
        <v>505</v>
      </c>
      <c r="C399">
        <v>0</v>
      </c>
      <c r="D399">
        <v>0</v>
      </c>
      <c r="E399" s="123" t="s">
        <v>799</v>
      </c>
      <c r="F399" s="123" t="s">
        <v>676</v>
      </c>
      <c r="G399">
        <v>0</v>
      </c>
    </row>
    <row r="400" spans="1:7" x14ac:dyDescent="0.3">
      <c r="A400">
        <v>450</v>
      </c>
      <c r="B400" s="123" t="s">
        <v>578</v>
      </c>
      <c r="C400">
        <v>0</v>
      </c>
      <c r="D400">
        <v>0</v>
      </c>
      <c r="E400" s="123" t="s">
        <v>799</v>
      </c>
      <c r="F400" s="123" t="s">
        <v>676</v>
      </c>
      <c r="G400">
        <v>0</v>
      </c>
    </row>
    <row r="401" spans="1:7" x14ac:dyDescent="0.3">
      <c r="A401">
        <v>286</v>
      </c>
      <c r="B401" s="123" t="s">
        <v>611</v>
      </c>
      <c r="C401">
        <v>3.72</v>
      </c>
      <c r="D401">
        <v>0</v>
      </c>
      <c r="E401" s="123" t="s">
        <v>799</v>
      </c>
      <c r="F401" s="123" t="s">
        <v>676</v>
      </c>
      <c r="G401">
        <v>3.72</v>
      </c>
    </row>
    <row r="402" spans="1:7" x14ac:dyDescent="0.3">
      <c r="A402">
        <v>455</v>
      </c>
      <c r="B402" s="123" t="s">
        <v>505</v>
      </c>
      <c r="C402">
        <v>898.52</v>
      </c>
      <c r="D402">
        <v>0</v>
      </c>
      <c r="E402" s="123" t="s">
        <v>188</v>
      </c>
      <c r="F402" s="123" t="s">
        <v>678</v>
      </c>
      <c r="G402">
        <v>898.52</v>
      </c>
    </row>
    <row r="403" spans="1:7" x14ac:dyDescent="0.3">
      <c r="A403">
        <v>444</v>
      </c>
      <c r="B403" s="123" t="s">
        <v>522</v>
      </c>
      <c r="C403">
        <v>0</v>
      </c>
      <c r="D403">
        <v>0</v>
      </c>
      <c r="E403" s="123" t="s">
        <v>188</v>
      </c>
      <c r="F403" s="123" t="s">
        <v>678</v>
      </c>
      <c r="G403">
        <v>0</v>
      </c>
    </row>
    <row r="404" spans="1:7" x14ac:dyDescent="0.3">
      <c r="A404">
        <v>444</v>
      </c>
      <c r="B404" s="123" t="s">
        <v>522</v>
      </c>
      <c r="C404">
        <v>0</v>
      </c>
      <c r="D404">
        <v>0</v>
      </c>
      <c r="E404" s="123" t="s">
        <v>801</v>
      </c>
      <c r="F404" s="123" t="s">
        <v>679</v>
      </c>
      <c r="G404">
        <v>0</v>
      </c>
    </row>
    <row r="405" spans="1:7" x14ac:dyDescent="0.3">
      <c r="A405">
        <v>455</v>
      </c>
      <c r="B405" s="123" t="s">
        <v>505</v>
      </c>
      <c r="C405">
        <v>0</v>
      </c>
      <c r="D405">
        <v>0</v>
      </c>
      <c r="E405" s="123" t="s">
        <v>801</v>
      </c>
      <c r="F405" s="123" t="s">
        <v>679</v>
      </c>
      <c r="G405">
        <v>0</v>
      </c>
    </row>
    <row r="406" spans="1:7" x14ac:dyDescent="0.3">
      <c r="A406">
        <v>506</v>
      </c>
      <c r="B406" s="123" t="s">
        <v>376</v>
      </c>
      <c r="C406">
        <v>0</v>
      </c>
      <c r="D406">
        <v>0</v>
      </c>
      <c r="E406" s="123" t="s">
        <v>801</v>
      </c>
      <c r="F406" s="123" t="s">
        <v>679</v>
      </c>
      <c r="G406">
        <v>0</v>
      </c>
    </row>
    <row r="407" spans="1:7" x14ac:dyDescent="0.3">
      <c r="A407">
        <v>128</v>
      </c>
      <c r="B407" s="123" t="s">
        <v>482</v>
      </c>
      <c r="C407">
        <v>0</v>
      </c>
      <c r="D407">
        <v>112322.38</v>
      </c>
      <c r="E407" s="123" t="s">
        <v>801</v>
      </c>
      <c r="F407" s="123" t="s">
        <v>679</v>
      </c>
      <c r="G407">
        <v>112322.38</v>
      </c>
    </row>
    <row r="408" spans="1:7" x14ac:dyDescent="0.3">
      <c r="A408">
        <v>286</v>
      </c>
      <c r="B408" s="123" t="s">
        <v>611</v>
      </c>
      <c r="C408">
        <v>0</v>
      </c>
      <c r="D408">
        <v>18322.78</v>
      </c>
      <c r="E408" s="123" t="s">
        <v>801</v>
      </c>
      <c r="F408" s="123" t="s">
        <v>679</v>
      </c>
      <c r="G408">
        <v>18322.78</v>
      </c>
    </row>
    <row r="409" spans="1:7" x14ac:dyDescent="0.3">
      <c r="A409">
        <v>280</v>
      </c>
      <c r="B409" s="123" t="s">
        <v>580</v>
      </c>
      <c r="C409">
        <v>0</v>
      </c>
      <c r="D409">
        <v>0</v>
      </c>
      <c r="E409" s="123" t="s">
        <v>801</v>
      </c>
      <c r="F409" s="123" t="s">
        <v>679</v>
      </c>
      <c r="G409">
        <v>0</v>
      </c>
    </row>
    <row r="410" spans="1:7" x14ac:dyDescent="0.3">
      <c r="A410">
        <v>367</v>
      </c>
      <c r="B410" s="123" t="s">
        <v>394</v>
      </c>
      <c r="C410">
        <v>0</v>
      </c>
      <c r="D410">
        <v>0</v>
      </c>
      <c r="E410" s="123" t="s">
        <v>801</v>
      </c>
      <c r="F410" s="123" t="s">
        <v>679</v>
      </c>
      <c r="G410">
        <v>0</v>
      </c>
    </row>
    <row r="411" spans="1:7" x14ac:dyDescent="0.3">
      <c r="A411">
        <v>352</v>
      </c>
      <c r="B411" s="123" t="s">
        <v>403</v>
      </c>
      <c r="C411">
        <v>0</v>
      </c>
      <c r="D411">
        <v>0</v>
      </c>
      <c r="E411" s="123" t="s">
        <v>801</v>
      </c>
      <c r="F411" s="123" t="s">
        <v>679</v>
      </c>
      <c r="G411">
        <v>0</v>
      </c>
    </row>
    <row r="412" spans="1:7" x14ac:dyDescent="0.3">
      <c r="A412">
        <v>249</v>
      </c>
      <c r="B412" s="123" t="s">
        <v>232</v>
      </c>
      <c r="C412">
        <v>0</v>
      </c>
      <c r="D412">
        <v>0</v>
      </c>
      <c r="E412" s="123" t="s">
        <v>801</v>
      </c>
      <c r="F412" s="123" t="s">
        <v>679</v>
      </c>
      <c r="G412">
        <v>0</v>
      </c>
    </row>
    <row r="413" spans="1:7" x14ac:dyDescent="0.3">
      <c r="A413">
        <v>232</v>
      </c>
      <c r="B413" s="123" t="s">
        <v>242</v>
      </c>
      <c r="C413">
        <v>-19176.89</v>
      </c>
      <c r="D413">
        <v>0.02</v>
      </c>
      <c r="E413" s="123" t="s">
        <v>185</v>
      </c>
      <c r="F413" s="123" t="s">
        <v>672</v>
      </c>
      <c r="G413">
        <v>-19176.87</v>
      </c>
    </row>
    <row r="414" spans="1:7" x14ac:dyDescent="0.3">
      <c r="A414">
        <v>55</v>
      </c>
      <c r="B414" s="123" t="s">
        <v>339</v>
      </c>
      <c r="C414">
        <v>-0.37</v>
      </c>
      <c r="D414">
        <v>0</v>
      </c>
      <c r="E414" s="123" t="s">
        <v>185</v>
      </c>
      <c r="F414" s="123" t="s">
        <v>672</v>
      </c>
      <c r="G414">
        <v>-0.37</v>
      </c>
    </row>
    <row r="415" spans="1:7" x14ac:dyDescent="0.3">
      <c r="A415">
        <v>55</v>
      </c>
      <c r="B415" s="123" t="s">
        <v>339</v>
      </c>
      <c r="C415">
        <v>59.35</v>
      </c>
      <c r="D415">
        <v>0</v>
      </c>
      <c r="E415" s="123" t="s">
        <v>799</v>
      </c>
      <c r="F415" s="123" t="s">
        <v>676</v>
      </c>
      <c r="G415">
        <v>59.35</v>
      </c>
    </row>
    <row r="416" spans="1:7" x14ac:dyDescent="0.3">
      <c r="A416">
        <v>232</v>
      </c>
      <c r="B416" s="123" t="s">
        <v>242</v>
      </c>
      <c r="C416">
        <v>0</v>
      </c>
      <c r="D416">
        <v>0</v>
      </c>
      <c r="E416" s="123" t="s">
        <v>799</v>
      </c>
      <c r="F416" s="123" t="s">
        <v>676</v>
      </c>
      <c r="G416">
        <v>0</v>
      </c>
    </row>
    <row r="417" spans="1:7" x14ac:dyDescent="0.3">
      <c r="A417">
        <v>232</v>
      </c>
      <c r="B417" s="123" t="s">
        <v>242</v>
      </c>
      <c r="C417">
        <v>166.28</v>
      </c>
      <c r="D417">
        <v>0</v>
      </c>
      <c r="E417" s="123" t="s">
        <v>188</v>
      </c>
      <c r="F417" s="123" t="s">
        <v>678</v>
      </c>
      <c r="G417">
        <v>166.28</v>
      </c>
    </row>
    <row r="418" spans="1:7" x14ac:dyDescent="0.3">
      <c r="A418">
        <v>55</v>
      </c>
      <c r="B418" s="123" t="s">
        <v>339</v>
      </c>
      <c r="C418">
        <v>0</v>
      </c>
      <c r="D418">
        <v>0</v>
      </c>
      <c r="E418" s="123" t="s">
        <v>188</v>
      </c>
      <c r="F418" s="123" t="s">
        <v>678</v>
      </c>
      <c r="G418">
        <v>0</v>
      </c>
    </row>
    <row r="419" spans="1:7" x14ac:dyDescent="0.3">
      <c r="A419">
        <v>55</v>
      </c>
      <c r="B419" s="123" t="s">
        <v>339</v>
      </c>
      <c r="C419">
        <v>0</v>
      </c>
      <c r="D419">
        <v>0</v>
      </c>
      <c r="E419" s="123" t="s">
        <v>801</v>
      </c>
      <c r="F419" s="123" t="s">
        <v>679</v>
      </c>
      <c r="G419">
        <v>0</v>
      </c>
    </row>
    <row r="420" spans="1:7" x14ac:dyDescent="0.3">
      <c r="A420">
        <v>232</v>
      </c>
      <c r="B420" s="123" t="s">
        <v>242</v>
      </c>
      <c r="C420">
        <v>0</v>
      </c>
      <c r="D420">
        <v>0</v>
      </c>
      <c r="E420" s="123" t="s">
        <v>801</v>
      </c>
      <c r="F420" s="123" t="s">
        <v>679</v>
      </c>
      <c r="G420">
        <v>0</v>
      </c>
    </row>
    <row r="421" spans="1:7" x14ac:dyDescent="0.3">
      <c r="A421">
        <v>303</v>
      </c>
      <c r="B421" s="123" t="s">
        <v>509</v>
      </c>
      <c r="C421">
        <v>0</v>
      </c>
      <c r="D421">
        <v>-0.02</v>
      </c>
      <c r="E421" s="123" t="s">
        <v>185</v>
      </c>
      <c r="F421" s="123" t="s">
        <v>672</v>
      </c>
      <c r="G421">
        <v>-0.02</v>
      </c>
    </row>
    <row r="422" spans="1:7" x14ac:dyDescent="0.3">
      <c r="A422">
        <v>464</v>
      </c>
      <c r="B422" s="123" t="s">
        <v>588</v>
      </c>
      <c r="C422">
        <v>-551.88</v>
      </c>
      <c r="D422">
        <v>0</v>
      </c>
      <c r="E422" s="123" t="s">
        <v>185</v>
      </c>
      <c r="F422" s="123" t="s">
        <v>672</v>
      </c>
      <c r="G422">
        <v>-551.88</v>
      </c>
    </row>
    <row r="423" spans="1:7" x14ac:dyDescent="0.3">
      <c r="A423">
        <v>465</v>
      </c>
      <c r="B423" s="123" t="s">
        <v>416</v>
      </c>
      <c r="C423">
        <v>0</v>
      </c>
      <c r="D423">
        <v>0.01</v>
      </c>
      <c r="E423" s="123" t="s">
        <v>185</v>
      </c>
      <c r="F423" s="123" t="s">
        <v>672</v>
      </c>
      <c r="G423">
        <v>0.01</v>
      </c>
    </row>
    <row r="424" spans="1:7" x14ac:dyDescent="0.3">
      <c r="A424">
        <v>465</v>
      </c>
      <c r="B424" s="123" t="s">
        <v>416</v>
      </c>
      <c r="C424">
        <v>49.28</v>
      </c>
      <c r="D424">
        <v>0</v>
      </c>
      <c r="E424" s="123" t="s">
        <v>799</v>
      </c>
      <c r="F424" s="123" t="s">
        <v>676</v>
      </c>
      <c r="G424">
        <v>49.28</v>
      </c>
    </row>
    <row r="425" spans="1:7" x14ac:dyDescent="0.3">
      <c r="A425">
        <v>464</v>
      </c>
      <c r="B425" s="123" t="s">
        <v>588</v>
      </c>
      <c r="C425">
        <v>0</v>
      </c>
      <c r="D425">
        <v>0</v>
      </c>
      <c r="E425" s="123" t="s">
        <v>799</v>
      </c>
      <c r="F425" s="123" t="s">
        <v>676</v>
      </c>
      <c r="G425">
        <v>0</v>
      </c>
    </row>
    <row r="426" spans="1:7" x14ac:dyDescent="0.3">
      <c r="A426">
        <v>303</v>
      </c>
      <c r="B426" s="123" t="s">
        <v>509</v>
      </c>
      <c r="C426">
        <v>-0.16</v>
      </c>
      <c r="D426">
        <v>0</v>
      </c>
      <c r="E426" s="123" t="s">
        <v>799</v>
      </c>
      <c r="F426" s="123" t="s">
        <v>676</v>
      </c>
      <c r="G426">
        <v>-0.16</v>
      </c>
    </row>
    <row r="427" spans="1:7" x14ac:dyDescent="0.3">
      <c r="A427">
        <v>303</v>
      </c>
      <c r="B427" s="123" t="s">
        <v>509</v>
      </c>
      <c r="C427">
        <v>0</v>
      </c>
      <c r="D427">
        <v>0</v>
      </c>
      <c r="E427" s="123" t="s">
        <v>801</v>
      </c>
      <c r="F427" s="123" t="s">
        <v>679</v>
      </c>
      <c r="G427">
        <v>0</v>
      </c>
    </row>
    <row r="428" spans="1:7" x14ac:dyDescent="0.3">
      <c r="A428">
        <v>338</v>
      </c>
      <c r="B428" s="123" t="s">
        <v>206</v>
      </c>
      <c r="C428">
        <v>0</v>
      </c>
      <c r="D428">
        <v>0</v>
      </c>
      <c r="E428" s="123" t="s">
        <v>185</v>
      </c>
      <c r="F428" s="123" t="s">
        <v>672</v>
      </c>
      <c r="G428">
        <v>0</v>
      </c>
    </row>
    <row r="429" spans="1:7" x14ac:dyDescent="0.3">
      <c r="A429">
        <v>393</v>
      </c>
      <c r="B429" s="123" t="s">
        <v>257</v>
      </c>
      <c r="C429">
        <v>0</v>
      </c>
      <c r="D429">
        <v>0.01</v>
      </c>
      <c r="E429" s="123" t="s">
        <v>185</v>
      </c>
      <c r="F429" s="123" t="s">
        <v>672</v>
      </c>
      <c r="G429">
        <v>0.01</v>
      </c>
    </row>
    <row r="430" spans="1:7" x14ac:dyDescent="0.3">
      <c r="A430">
        <v>247</v>
      </c>
      <c r="B430" s="123" t="s">
        <v>474</v>
      </c>
      <c r="C430">
        <v>13.56</v>
      </c>
      <c r="D430">
        <v>0</v>
      </c>
      <c r="E430" s="123" t="s">
        <v>185</v>
      </c>
      <c r="F430" s="123" t="s">
        <v>672</v>
      </c>
      <c r="G430">
        <v>13.56</v>
      </c>
    </row>
    <row r="431" spans="1:7" x14ac:dyDescent="0.3">
      <c r="A431">
        <v>466</v>
      </c>
      <c r="B431" s="123" t="s">
        <v>544</v>
      </c>
      <c r="C431">
        <v>-5000000</v>
      </c>
      <c r="D431">
        <v>0.01</v>
      </c>
      <c r="E431" s="123" t="s">
        <v>185</v>
      </c>
      <c r="F431" s="123" t="s">
        <v>672</v>
      </c>
      <c r="G431">
        <v>-4999999.99</v>
      </c>
    </row>
    <row r="432" spans="1:7" x14ac:dyDescent="0.3">
      <c r="A432">
        <v>49</v>
      </c>
      <c r="B432" s="123" t="s">
        <v>318</v>
      </c>
      <c r="C432">
        <v>-109727.71</v>
      </c>
      <c r="D432">
        <v>0</v>
      </c>
      <c r="E432" s="123" t="s">
        <v>185</v>
      </c>
      <c r="F432" s="123" t="s">
        <v>672</v>
      </c>
      <c r="G432">
        <v>-109727.71</v>
      </c>
    </row>
    <row r="433" spans="1:7" x14ac:dyDescent="0.3">
      <c r="A433">
        <v>31</v>
      </c>
      <c r="B433" s="123" t="s">
        <v>274</v>
      </c>
      <c r="C433">
        <v>230.99</v>
      </c>
      <c r="D433">
        <v>207457211</v>
      </c>
      <c r="E433" s="123" t="s">
        <v>185</v>
      </c>
      <c r="F433" s="123" t="s">
        <v>672</v>
      </c>
      <c r="G433">
        <v>207457441.99000001</v>
      </c>
    </row>
    <row r="434" spans="1:7" x14ac:dyDescent="0.3">
      <c r="A434">
        <v>136</v>
      </c>
      <c r="B434" s="123" t="s">
        <v>491</v>
      </c>
      <c r="C434">
        <v>0</v>
      </c>
      <c r="D434">
        <v>0.02</v>
      </c>
      <c r="E434" s="123" t="s">
        <v>185</v>
      </c>
      <c r="F434" s="123" t="s">
        <v>672</v>
      </c>
      <c r="G434">
        <v>0.02</v>
      </c>
    </row>
    <row r="435" spans="1:7" x14ac:dyDescent="0.3">
      <c r="A435">
        <v>158</v>
      </c>
      <c r="B435" s="123" t="s">
        <v>382</v>
      </c>
      <c r="C435">
        <v>0</v>
      </c>
      <c r="D435">
        <v>0</v>
      </c>
      <c r="E435" s="123" t="s">
        <v>185</v>
      </c>
      <c r="F435" s="123" t="s">
        <v>672</v>
      </c>
      <c r="G435">
        <v>0</v>
      </c>
    </row>
    <row r="436" spans="1:7" x14ac:dyDescent="0.3">
      <c r="A436">
        <v>109</v>
      </c>
      <c r="B436" s="123" t="s">
        <v>447</v>
      </c>
      <c r="C436">
        <v>-1350582.37</v>
      </c>
      <c r="D436">
        <v>0.57999999999999996</v>
      </c>
      <c r="E436" s="123" t="s">
        <v>185</v>
      </c>
      <c r="F436" s="123" t="s">
        <v>672</v>
      </c>
      <c r="G436">
        <v>-1350581.79</v>
      </c>
    </row>
    <row r="437" spans="1:7" x14ac:dyDescent="0.3">
      <c r="A437">
        <v>115</v>
      </c>
      <c r="B437" s="123" t="s">
        <v>456</v>
      </c>
      <c r="C437">
        <v>-6679786947.5699997</v>
      </c>
      <c r="D437">
        <v>-3.97</v>
      </c>
      <c r="E437" s="123" t="s">
        <v>185</v>
      </c>
      <c r="F437" s="123" t="s">
        <v>672</v>
      </c>
      <c r="G437">
        <v>-6679786951.54</v>
      </c>
    </row>
    <row r="438" spans="1:7" x14ac:dyDescent="0.3">
      <c r="A438">
        <v>115</v>
      </c>
      <c r="B438" s="123" t="s">
        <v>456</v>
      </c>
      <c r="C438">
        <v>-3715303.85</v>
      </c>
      <c r="D438">
        <v>0</v>
      </c>
      <c r="E438" s="123" t="s">
        <v>799</v>
      </c>
      <c r="F438" s="123" t="s">
        <v>676</v>
      </c>
      <c r="G438">
        <v>-3715303.85</v>
      </c>
    </row>
    <row r="439" spans="1:7" x14ac:dyDescent="0.3">
      <c r="A439">
        <v>109</v>
      </c>
      <c r="B439" s="123" t="s">
        <v>447</v>
      </c>
      <c r="C439">
        <v>2.2400000000000002</v>
      </c>
      <c r="D439">
        <v>6600</v>
      </c>
      <c r="E439" s="123" t="s">
        <v>799</v>
      </c>
      <c r="F439" s="123" t="s">
        <v>676</v>
      </c>
      <c r="G439">
        <v>6602.24</v>
      </c>
    </row>
    <row r="440" spans="1:7" x14ac:dyDescent="0.3">
      <c r="A440">
        <v>31</v>
      </c>
      <c r="B440" s="123" t="s">
        <v>274</v>
      </c>
      <c r="C440">
        <v>5610.79</v>
      </c>
      <c r="D440">
        <v>0</v>
      </c>
      <c r="E440" s="123" t="s">
        <v>799</v>
      </c>
      <c r="F440" s="123" t="s">
        <v>676</v>
      </c>
      <c r="G440">
        <v>5610.79</v>
      </c>
    </row>
    <row r="441" spans="1:7" x14ac:dyDescent="0.3">
      <c r="A441">
        <v>49</v>
      </c>
      <c r="B441" s="123" t="s">
        <v>318</v>
      </c>
      <c r="C441">
        <v>0</v>
      </c>
      <c r="D441">
        <v>0</v>
      </c>
      <c r="E441" s="123" t="s">
        <v>799</v>
      </c>
      <c r="F441" s="123" t="s">
        <v>676</v>
      </c>
      <c r="G441">
        <v>0</v>
      </c>
    </row>
    <row r="442" spans="1:7" x14ac:dyDescent="0.3">
      <c r="A442">
        <v>466</v>
      </c>
      <c r="B442" s="123" t="s">
        <v>544</v>
      </c>
      <c r="C442">
        <v>10.58</v>
      </c>
      <c r="D442">
        <v>0</v>
      </c>
      <c r="E442" s="123" t="s">
        <v>799</v>
      </c>
      <c r="F442" s="123" t="s">
        <v>676</v>
      </c>
      <c r="G442">
        <v>10.58</v>
      </c>
    </row>
    <row r="443" spans="1:7" x14ac:dyDescent="0.3">
      <c r="A443">
        <v>247</v>
      </c>
      <c r="B443" s="123" t="s">
        <v>474</v>
      </c>
      <c r="C443">
        <v>0</v>
      </c>
      <c r="D443">
        <v>0</v>
      </c>
      <c r="E443" s="123" t="s">
        <v>799</v>
      </c>
      <c r="F443" s="123" t="s">
        <v>676</v>
      </c>
      <c r="G443">
        <v>0</v>
      </c>
    </row>
    <row r="444" spans="1:7" x14ac:dyDescent="0.3">
      <c r="A444">
        <v>49</v>
      </c>
      <c r="B444" s="123" t="s">
        <v>318</v>
      </c>
      <c r="C444">
        <v>285.83999999999997</v>
      </c>
      <c r="D444">
        <v>0</v>
      </c>
      <c r="E444" s="123" t="s">
        <v>188</v>
      </c>
      <c r="F444" s="123" t="s">
        <v>678</v>
      </c>
      <c r="G444">
        <v>285.83999999999997</v>
      </c>
    </row>
    <row r="445" spans="1:7" x14ac:dyDescent="0.3">
      <c r="A445">
        <v>31</v>
      </c>
      <c r="B445" s="123" t="s">
        <v>274</v>
      </c>
      <c r="C445">
        <v>412.17</v>
      </c>
      <c r="D445">
        <v>0</v>
      </c>
      <c r="E445" s="123" t="s">
        <v>188</v>
      </c>
      <c r="F445" s="123" t="s">
        <v>678</v>
      </c>
      <c r="G445">
        <v>412.17</v>
      </c>
    </row>
    <row r="446" spans="1:7" x14ac:dyDescent="0.3">
      <c r="A446">
        <v>109</v>
      </c>
      <c r="B446" s="123" t="s">
        <v>447</v>
      </c>
      <c r="C446">
        <v>44.69</v>
      </c>
      <c r="D446">
        <v>0</v>
      </c>
      <c r="E446" s="123" t="s">
        <v>188</v>
      </c>
      <c r="F446" s="123" t="s">
        <v>678</v>
      </c>
      <c r="G446">
        <v>44.69</v>
      </c>
    </row>
    <row r="447" spans="1:7" x14ac:dyDescent="0.3">
      <c r="A447">
        <v>115</v>
      </c>
      <c r="B447" s="123" t="s">
        <v>456</v>
      </c>
      <c r="C447">
        <v>443.35</v>
      </c>
      <c r="D447">
        <v>0</v>
      </c>
      <c r="E447" s="123" t="s">
        <v>188</v>
      </c>
      <c r="F447" s="123" t="s">
        <v>678</v>
      </c>
      <c r="G447">
        <v>443.35</v>
      </c>
    </row>
    <row r="448" spans="1:7" x14ac:dyDescent="0.3">
      <c r="A448">
        <v>115</v>
      </c>
      <c r="B448" s="123" t="s">
        <v>456</v>
      </c>
      <c r="C448">
        <v>0</v>
      </c>
      <c r="D448">
        <v>0</v>
      </c>
      <c r="E448" s="123" t="s">
        <v>801</v>
      </c>
      <c r="F448" s="123" t="s">
        <v>679</v>
      </c>
      <c r="G448">
        <v>0</v>
      </c>
    </row>
    <row r="449" spans="1:7" x14ac:dyDescent="0.3">
      <c r="A449">
        <v>109</v>
      </c>
      <c r="B449" s="123" t="s">
        <v>447</v>
      </c>
      <c r="C449">
        <v>750</v>
      </c>
      <c r="D449">
        <v>2936.74</v>
      </c>
      <c r="E449" s="123" t="s">
        <v>801</v>
      </c>
      <c r="F449" s="123" t="s">
        <v>679</v>
      </c>
      <c r="G449">
        <v>3686.74</v>
      </c>
    </row>
    <row r="450" spans="1:7" x14ac:dyDescent="0.3">
      <c r="A450">
        <v>136</v>
      </c>
      <c r="B450" s="123" t="s">
        <v>491</v>
      </c>
      <c r="C450">
        <v>0</v>
      </c>
      <c r="D450">
        <v>0</v>
      </c>
      <c r="E450" s="123" t="s">
        <v>801</v>
      </c>
      <c r="F450" s="123" t="s">
        <v>679</v>
      </c>
      <c r="G450">
        <v>0</v>
      </c>
    </row>
    <row r="451" spans="1:7" x14ac:dyDescent="0.3">
      <c r="A451">
        <v>31</v>
      </c>
      <c r="B451" s="123" t="s">
        <v>274</v>
      </c>
      <c r="C451">
        <v>0</v>
      </c>
      <c r="D451">
        <v>10558.14</v>
      </c>
      <c r="E451" s="123" t="s">
        <v>801</v>
      </c>
      <c r="F451" s="123" t="s">
        <v>679</v>
      </c>
      <c r="G451">
        <v>10558.14</v>
      </c>
    </row>
    <row r="452" spans="1:7" x14ac:dyDescent="0.3">
      <c r="A452">
        <v>49</v>
      </c>
      <c r="B452" s="123" t="s">
        <v>318</v>
      </c>
      <c r="C452">
        <v>-5670.99</v>
      </c>
      <c r="D452">
        <v>906.69</v>
      </c>
      <c r="E452" s="123" t="s">
        <v>801</v>
      </c>
      <c r="F452" s="123" t="s">
        <v>679</v>
      </c>
      <c r="G452">
        <v>-4764.3</v>
      </c>
    </row>
    <row r="453" spans="1:7" x14ac:dyDescent="0.3">
      <c r="A453">
        <v>466</v>
      </c>
      <c r="B453" s="123" t="s">
        <v>544</v>
      </c>
      <c r="C453">
        <v>0</v>
      </c>
      <c r="D453">
        <v>0</v>
      </c>
      <c r="E453" s="123" t="s">
        <v>801</v>
      </c>
      <c r="F453" s="123" t="s">
        <v>679</v>
      </c>
      <c r="G453">
        <v>0</v>
      </c>
    </row>
    <row r="454" spans="1:7" x14ac:dyDescent="0.3">
      <c r="A454">
        <v>247</v>
      </c>
      <c r="B454" s="123" t="s">
        <v>474</v>
      </c>
      <c r="C454">
        <v>-0.01</v>
      </c>
      <c r="D454">
        <v>0</v>
      </c>
      <c r="E454" s="123" t="s">
        <v>801</v>
      </c>
      <c r="F454" s="123" t="s">
        <v>679</v>
      </c>
      <c r="G454">
        <v>-0.01</v>
      </c>
    </row>
    <row r="455" spans="1:7" x14ac:dyDescent="0.3">
      <c r="A455">
        <v>338</v>
      </c>
      <c r="B455" s="123" t="s">
        <v>206</v>
      </c>
      <c r="C455">
        <v>0</v>
      </c>
      <c r="D455">
        <v>0</v>
      </c>
      <c r="E455" s="123" t="s">
        <v>801</v>
      </c>
      <c r="F455" s="123" t="s">
        <v>679</v>
      </c>
      <c r="G455">
        <v>0</v>
      </c>
    </row>
    <row r="456" spans="1:7" x14ac:dyDescent="0.3">
      <c r="A456">
        <v>356</v>
      </c>
      <c r="B456" s="123" t="s">
        <v>539</v>
      </c>
      <c r="C456">
        <v>0.84</v>
      </c>
      <c r="D456">
        <v>0</v>
      </c>
      <c r="E456" s="123" t="s">
        <v>185</v>
      </c>
      <c r="F456" s="123" t="s">
        <v>672</v>
      </c>
      <c r="G456">
        <v>0.84</v>
      </c>
    </row>
    <row r="457" spans="1:7" x14ac:dyDescent="0.3">
      <c r="A457">
        <v>301</v>
      </c>
      <c r="B457" s="123" t="s">
        <v>440</v>
      </c>
      <c r="C457">
        <v>-107293314.05</v>
      </c>
      <c r="D457">
        <v>0</v>
      </c>
      <c r="E457" s="123" t="s">
        <v>185</v>
      </c>
      <c r="F457" s="123" t="s">
        <v>672</v>
      </c>
      <c r="G457">
        <v>-107293314.05</v>
      </c>
    </row>
    <row r="458" spans="1:7" x14ac:dyDescent="0.3">
      <c r="A458">
        <v>288</v>
      </c>
      <c r="B458" s="123" t="s">
        <v>412</v>
      </c>
      <c r="C458">
        <v>-1878.28</v>
      </c>
      <c r="D458">
        <v>0.05</v>
      </c>
      <c r="E458" s="123" t="s">
        <v>185</v>
      </c>
      <c r="F458" s="123" t="s">
        <v>672</v>
      </c>
      <c r="G458">
        <v>-1878.23</v>
      </c>
    </row>
    <row r="459" spans="1:7" x14ac:dyDescent="0.3">
      <c r="A459">
        <v>68</v>
      </c>
      <c r="B459" s="123" t="s">
        <v>377</v>
      </c>
      <c r="C459">
        <v>-96696.94</v>
      </c>
      <c r="D459">
        <v>-0.01</v>
      </c>
      <c r="E459" s="123" t="s">
        <v>185</v>
      </c>
      <c r="F459" s="123" t="s">
        <v>672</v>
      </c>
      <c r="G459">
        <v>-96696.95</v>
      </c>
    </row>
    <row r="460" spans="1:7" x14ac:dyDescent="0.3">
      <c r="A460">
        <v>39</v>
      </c>
      <c r="B460" s="123" t="s">
        <v>290</v>
      </c>
      <c r="C460">
        <v>-6226.22</v>
      </c>
      <c r="D460">
        <v>0</v>
      </c>
      <c r="E460" s="123" t="s">
        <v>185</v>
      </c>
      <c r="F460" s="123" t="s">
        <v>672</v>
      </c>
      <c r="G460">
        <v>-6226.22</v>
      </c>
    </row>
    <row r="461" spans="1:7" x14ac:dyDescent="0.3">
      <c r="A461">
        <v>63</v>
      </c>
      <c r="B461" s="123" t="s">
        <v>362</v>
      </c>
      <c r="C461">
        <v>-15250.77</v>
      </c>
      <c r="D461">
        <v>0</v>
      </c>
      <c r="E461" s="123" t="s">
        <v>185</v>
      </c>
      <c r="F461" s="123" t="s">
        <v>672</v>
      </c>
      <c r="G461">
        <v>-15250.77</v>
      </c>
    </row>
    <row r="462" spans="1:7" x14ac:dyDescent="0.3">
      <c r="A462">
        <v>63</v>
      </c>
      <c r="B462" s="123" t="s">
        <v>362</v>
      </c>
      <c r="C462">
        <v>0</v>
      </c>
      <c r="D462">
        <v>0</v>
      </c>
      <c r="E462" s="123" t="s">
        <v>799</v>
      </c>
      <c r="F462" s="123" t="s">
        <v>676</v>
      </c>
      <c r="G462">
        <v>0</v>
      </c>
    </row>
    <row r="463" spans="1:7" x14ac:dyDescent="0.3">
      <c r="A463">
        <v>39</v>
      </c>
      <c r="B463" s="123" t="s">
        <v>290</v>
      </c>
      <c r="C463">
        <v>4112.05</v>
      </c>
      <c r="D463">
        <v>0</v>
      </c>
      <c r="E463" s="123" t="s">
        <v>799</v>
      </c>
      <c r="F463" s="123" t="s">
        <v>676</v>
      </c>
      <c r="G463">
        <v>4112.05</v>
      </c>
    </row>
    <row r="464" spans="1:7" x14ac:dyDescent="0.3">
      <c r="A464">
        <v>68</v>
      </c>
      <c r="B464" s="123" t="s">
        <v>377</v>
      </c>
      <c r="C464">
        <v>286.27999999999997</v>
      </c>
      <c r="D464">
        <v>0</v>
      </c>
      <c r="E464" s="123" t="s">
        <v>799</v>
      </c>
      <c r="F464" s="123" t="s">
        <v>676</v>
      </c>
      <c r="G464">
        <v>286.27999999999997</v>
      </c>
    </row>
    <row r="465" spans="1:7" x14ac:dyDescent="0.3">
      <c r="A465">
        <v>301</v>
      </c>
      <c r="B465" s="123" t="s">
        <v>440</v>
      </c>
      <c r="C465">
        <v>9.86</v>
      </c>
      <c r="D465">
        <v>0</v>
      </c>
      <c r="E465" s="123" t="s">
        <v>799</v>
      </c>
      <c r="F465" s="123" t="s">
        <v>676</v>
      </c>
      <c r="G465">
        <v>9.86</v>
      </c>
    </row>
    <row r="466" spans="1:7" x14ac:dyDescent="0.3">
      <c r="A466">
        <v>356</v>
      </c>
      <c r="B466" s="123" t="s">
        <v>539</v>
      </c>
      <c r="C466">
        <v>0</v>
      </c>
      <c r="D466">
        <v>0</v>
      </c>
      <c r="E466" s="123" t="s">
        <v>799</v>
      </c>
      <c r="F466" s="123" t="s">
        <v>676</v>
      </c>
      <c r="G466">
        <v>0</v>
      </c>
    </row>
    <row r="467" spans="1:7" x14ac:dyDescent="0.3">
      <c r="A467">
        <v>288</v>
      </c>
      <c r="B467" s="123" t="s">
        <v>412</v>
      </c>
      <c r="C467">
        <v>0</v>
      </c>
      <c r="D467">
        <v>0</v>
      </c>
      <c r="E467" s="123" t="s">
        <v>188</v>
      </c>
      <c r="F467" s="123" t="s">
        <v>678</v>
      </c>
      <c r="G467">
        <v>0</v>
      </c>
    </row>
    <row r="468" spans="1:7" x14ac:dyDescent="0.3">
      <c r="A468">
        <v>68</v>
      </c>
      <c r="B468" s="123" t="s">
        <v>377</v>
      </c>
      <c r="C468">
        <v>1076.2</v>
      </c>
      <c r="D468">
        <v>0</v>
      </c>
      <c r="E468" s="123" t="s">
        <v>188</v>
      </c>
      <c r="F468" s="123" t="s">
        <v>678</v>
      </c>
      <c r="G468">
        <v>1076.2</v>
      </c>
    </row>
    <row r="469" spans="1:7" x14ac:dyDescent="0.3">
      <c r="A469">
        <v>39</v>
      </c>
      <c r="B469" s="123" t="s">
        <v>290</v>
      </c>
      <c r="C469">
        <v>-7.0000000000000007E-2</v>
      </c>
      <c r="D469">
        <v>0</v>
      </c>
      <c r="E469" s="123" t="s">
        <v>188</v>
      </c>
      <c r="F469" s="123" t="s">
        <v>678</v>
      </c>
      <c r="G469">
        <v>-7.0000000000000007E-2</v>
      </c>
    </row>
    <row r="470" spans="1:7" x14ac:dyDescent="0.3">
      <c r="A470">
        <v>39</v>
      </c>
      <c r="B470" s="123" t="s">
        <v>290</v>
      </c>
      <c r="C470">
        <v>-0.01</v>
      </c>
      <c r="D470">
        <v>0</v>
      </c>
      <c r="E470" s="123" t="s">
        <v>801</v>
      </c>
      <c r="F470" s="123" t="s">
        <v>679</v>
      </c>
      <c r="G470">
        <v>-0.01</v>
      </c>
    </row>
    <row r="471" spans="1:7" x14ac:dyDescent="0.3">
      <c r="A471">
        <v>63</v>
      </c>
      <c r="B471" s="123" t="s">
        <v>362</v>
      </c>
      <c r="C471">
        <v>-0.01</v>
      </c>
      <c r="D471">
        <v>0</v>
      </c>
      <c r="E471" s="123" t="s">
        <v>801</v>
      </c>
      <c r="F471" s="123" t="s">
        <v>679</v>
      </c>
      <c r="G471">
        <v>-0.01</v>
      </c>
    </row>
    <row r="472" spans="1:7" x14ac:dyDescent="0.3">
      <c r="A472">
        <v>68</v>
      </c>
      <c r="B472" s="123" t="s">
        <v>377</v>
      </c>
      <c r="C472">
        <v>-2823.84</v>
      </c>
      <c r="D472">
        <v>5136.97</v>
      </c>
      <c r="E472" s="123" t="s">
        <v>801</v>
      </c>
      <c r="F472" s="123" t="s">
        <v>679</v>
      </c>
      <c r="G472">
        <v>2313.13</v>
      </c>
    </row>
    <row r="473" spans="1:7" x14ac:dyDescent="0.3">
      <c r="A473">
        <v>301</v>
      </c>
      <c r="B473" s="123" t="s">
        <v>440</v>
      </c>
      <c r="C473">
        <v>-7489.13</v>
      </c>
      <c r="D473">
        <v>142102.42000000001</v>
      </c>
      <c r="E473" s="123" t="s">
        <v>801</v>
      </c>
      <c r="F473" s="123" t="s">
        <v>679</v>
      </c>
      <c r="G473">
        <v>134613.29</v>
      </c>
    </row>
    <row r="474" spans="1:7" x14ac:dyDescent="0.3">
      <c r="A474">
        <v>302</v>
      </c>
      <c r="B474" s="123" t="s">
        <v>625</v>
      </c>
      <c r="C474">
        <v>2820.94</v>
      </c>
      <c r="D474">
        <v>0</v>
      </c>
      <c r="E474" s="123" t="s">
        <v>185</v>
      </c>
      <c r="F474" s="123" t="s">
        <v>672</v>
      </c>
      <c r="G474">
        <v>2820.94</v>
      </c>
    </row>
    <row r="475" spans="1:7" x14ac:dyDescent="0.3">
      <c r="A475">
        <v>209</v>
      </c>
      <c r="B475" s="123" t="s">
        <v>455</v>
      </c>
      <c r="C475">
        <v>0</v>
      </c>
      <c r="D475">
        <v>0</v>
      </c>
      <c r="E475" s="123" t="s">
        <v>185</v>
      </c>
      <c r="F475" s="123" t="s">
        <v>672</v>
      </c>
      <c r="G475">
        <v>0</v>
      </c>
    </row>
    <row r="476" spans="1:7" x14ac:dyDescent="0.3">
      <c r="A476">
        <v>279</v>
      </c>
      <c r="B476" s="123" t="s">
        <v>256</v>
      </c>
      <c r="C476">
        <v>1780.96</v>
      </c>
      <c r="D476">
        <v>0</v>
      </c>
      <c r="E476" s="123" t="s">
        <v>185</v>
      </c>
      <c r="F476" s="123" t="s">
        <v>672</v>
      </c>
      <c r="G476">
        <v>1780.96</v>
      </c>
    </row>
    <row r="477" spans="1:7" x14ac:dyDescent="0.3">
      <c r="A477">
        <v>274</v>
      </c>
      <c r="B477" s="123" t="s">
        <v>126</v>
      </c>
      <c r="C477">
        <v>0</v>
      </c>
      <c r="D477">
        <v>0</v>
      </c>
      <c r="E477" s="123" t="s">
        <v>185</v>
      </c>
      <c r="F477" s="123" t="s">
        <v>672</v>
      </c>
      <c r="G477">
        <v>0</v>
      </c>
    </row>
    <row r="478" spans="1:7" x14ac:dyDescent="0.3">
      <c r="A478">
        <v>357</v>
      </c>
      <c r="B478" s="123" t="s">
        <v>483</v>
      </c>
      <c r="C478">
        <v>0.98</v>
      </c>
      <c r="D478">
        <v>0.01</v>
      </c>
      <c r="E478" s="123" t="s">
        <v>185</v>
      </c>
      <c r="F478" s="123" t="s">
        <v>672</v>
      </c>
      <c r="G478">
        <v>0.99</v>
      </c>
    </row>
    <row r="479" spans="1:7" x14ac:dyDescent="0.3">
      <c r="A479">
        <v>403</v>
      </c>
      <c r="B479" s="123" t="s">
        <v>354</v>
      </c>
      <c r="C479">
        <v>13.42</v>
      </c>
      <c r="D479">
        <v>0</v>
      </c>
      <c r="E479" s="123" t="s">
        <v>185</v>
      </c>
      <c r="F479" s="123" t="s">
        <v>672</v>
      </c>
      <c r="G479">
        <v>13.42</v>
      </c>
    </row>
    <row r="480" spans="1:7" x14ac:dyDescent="0.3">
      <c r="A480">
        <v>404</v>
      </c>
      <c r="B480" s="123" t="s">
        <v>352</v>
      </c>
      <c r="C480">
        <v>-17.21</v>
      </c>
      <c r="D480">
        <v>0</v>
      </c>
      <c r="E480" s="123" t="s">
        <v>185</v>
      </c>
      <c r="F480" s="123" t="s">
        <v>672</v>
      </c>
      <c r="G480">
        <v>-17.21</v>
      </c>
    </row>
    <row r="481" spans="1:7" x14ac:dyDescent="0.3">
      <c r="A481">
        <v>400</v>
      </c>
      <c r="B481" s="123" t="s">
        <v>300</v>
      </c>
      <c r="C481">
        <v>-2022.72</v>
      </c>
      <c r="D481">
        <v>0.01</v>
      </c>
      <c r="E481" s="123" t="s">
        <v>185</v>
      </c>
      <c r="F481" s="123" t="s">
        <v>672</v>
      </c>
      <c r="G481">
        <v>-2022.71</v>
      </c>
    </row>
    <row r="482" spans="1:7" x14ac:dyDescent="0.3">
      <c r="A482">
        <v>253</v>
      </c>
      <c r="B482" s="123" t="s">
        <v>125</v>
      </c>
      <c r="C482">
        <v>0</v>
      </c>
      <c r="D482">
        <v>0</v>
      </c>
      <c r="E482" s="123" t="s">
        <v>185</v>
      </c>
      <c r="F482" s="123" t="s">
        <v>672</v>
      </c>
      <c r="G482">
        <v>0</v>
      </c>
    </row>
    <row r="483" spans="1:7" x14ac:dyDescent="0.3">
      <c r="A483">
        <v>237</v>
      </c>
      <c r="B483" s="123" t="s">
        <v>230</v>
      </c>
      <c r="C483">
        <v>0.28999999999999998</v>
      </c>
      <c r="D483">
        <v>0</v>
      </c>
      <c r="E483" s="123" t="s">
        <v>185</v>
      </c>
      <c r="F483" s="123" t="s">
        <v>672</v>
      </c>
      <c r="G483">
        <v>0.28999999999999998</v>
      </c>
    </row>
    <row r="484" spans="1:7" x14ac:dyDescent="0.3">
      <c r="A484">
        <v>243</v>
      </c>
      <c r="B484" s="123" t="s">
        <v>386</v>
      </c>
      <c r="C484">
        <v>0</v>
      </c>
      <c r="D484">
        <v>0</v>
      </c>
      <c r="E484" s="123" t="s">
        <v>185</v>
      </c>
      <c r="F484" s="123" t="s">
        <v>672</v>
      </c>
      <c r="G484">
        <v>0</v>
      </c>
    </row>
    <row r="485" spans="1:7" x14ac:dyDescent="0.3">
      <c r="A485">
        <v>208</v>
      </c>
      <c r="B485" s="123" t="s">
        <v>475</v>
      </c>
      <c r="C485">
        <v>3889.56</v>
      </c>
      <c r="D485">
        <v>0</v>
      </c>
      <c r="E485" s="123" t="s">
        <v>185</v>
      </c>
      <c r="F485" s="123" t="s">
        <v>672</v>
      </c>
      <c r="G485">
        <v>3889.56</v>
      </c>
    </row>
    <row r="486" spans="1:7" x14ac:dyDescent="0.3">
      <c r="A486">
        <v>217</v>
      </c>
      <c r="B486" s="123" t="s">
        <v>217</v>
      </c>
      <c r="C486">
        <v>0</v>
      </c>
      <c r="D486">
        <v>0.03</v>
      </c>
      <c r="E486" s="123" t="s">
        <v>185</v>
      </c>
      <c r="F486" s="123" t="s">
        <v>672</v>
      </c>
      <c r="G486">
        <v>0.03</v>
      </c>
    </row>
    <row r="487" spans="1:7" x14ac:dyDescent="0.3">
      <c r="A487">
        <v>203</v>
      </c>
      <c r="B487" s="123" t="s">
        <v>451</v>
      </c>
      <c r="C487">
        <v>0</v>
      </c>
      <c r="D487">
        <v>-0.01</v>
      </c>
      <c r="E487" s="123" t="s">
        <v>185</v>
      </c>
      <c r="F487" s="123" t="s">
        <v>672</v>
      </c>
      <c r="G487">
        <v>-0.01</v>
      </c>
    </row>
    <row r="488" spans="1:7" x14ac:dyDescent="0.3">
      <c r="A488">
        <v>205</v>
      </c>
      <c r="B488" s="123" t="s">
        <v>585</v>
      </c>
      <c r="C488">
        <v>11.88</v>
      </c>
      <c r="D488">
        <v>0</v>
      </c>
      <c r="E488" s="123" t="s">
        <v>185</v>
      </c>
      <c r="F488" s="123" t="s">
        <v>672</v>
      </c>
      <c r="G488">
        <v>11.88</v>
      </c>
    </row>
    <row r="489" spans="1:7" x14ac:dyDescent="0.3">
      <c r="A489">
        <v>206</v>
      </c>
      <c r="B489" s="123" t="s">
        <v>551</v>
      </c>
      <c r="C489">
        <v>0</v>
      </c>
      <c r="D489">
        <v>-0.01</v>
      </c>
      <c r="E489" s="123" t="s">
        <v>185</v>
      </c>
      <c r="F489" s="123" t="s">
        <v>672</v>
      </c>
      <c r="G489">
        <v>-0.01</v>
      </c>
    </row>
    <row r="490" spans="1:7" x14ac:dyDescent="0.3">
      <c r="A490">
        <v>198</v>
      </c>
      <c r="B490" s="123" t="s">
        <v>335</v>
      </c>
      <c r="C490">
        <v>1656.4</v>
      </c>
      <c r="D490">
        <v>0</v>
      </c>
      <c r="E490" s="123" t="s">
        <v>185</v>
      </c>
      <c r="F490" s="123" t="s">
        <v>672</v>
      </c>
      <c r="G490">
        <v>1656.4</v>
      </c>
    </row>
    <row r="491" spans="1:7" x14ac:dyDescent="0.3">
      <c r="A491">
        <v>152</v>
      </c>
      <c r="B491" s="123" t="s">
        <v>329</v>
      </c>
      <c r="C491">
        <v>0</v>
      </c>
      <c r="D491">
        <v>0</v>
      </c>
      <c r="E491" s="123" t="s">
        <v>185</v>
      </c>
      <c r="F491" s="123" t="s">
        <v>672</v>
      </c>
      <c r="G491">
        <v>0</v>
      </c>
    </row>
    <row r="492" spans="1:7" x14ac:dyDescent="0.3">
      <c r="A492">
        <v>166</v>
      </c>
      <c r="B492" s="123" t="s">
        <v>123</v>
      </c>
      <c r="C492">
        <v>0</v>
      </c>
      <c r="D492">
        <v>0</v>
      </c>
      <c r="E492" s="123" t="s">
        <v>185</v>
      </c>
      <c r="F492" s="123" t="s">
        <v>672</v>
      </c>
      <c r="G492">
        <v>0</v>
      </c>
    </row>
    <row r="493" spans="1:7" x14ac:dyDescent="0.3">
      <c r="A493">
        <v>518</v>
      </c>
      <c r="B493" s="123" t="s">
        <v>573</v>
      </c>
      <c r="C493">
        <v>561.80999999999995</v>
      </c>
      <c r="D493">
        <v>0</v>
      </c>
      <c r="E493" s="123" t="s">
        <v>185</v>
      </c>
      <c r="F493" s="123" t="s">
        <v>672</v>
      </c>
      <c r="G493">
        <v>561.80999999999995</v>
      </c>
    </row>
    <row r="494" spans="1:7" x14ac:dyDescent="0.3">
      <c r="A494">
        <v>528</v>
      </c>
      <c r="B494" s="123" t="s">
        <v>302</v>
      </c>
      <c r="C494">
        <v>-10112.27</v>
      </c>
      <c r="D494">
        <v>0</v>
      </c>
      <c r="E494" s="123" t="s">
        <v>185</v>
      </c>
      <c r="F494" s="123" t="s">
        <v>672</v>
      </c>
      <c r="G494">
        <v>-10112.27</v>
      </c>
    </row>
    <row r="495" spans="1:7" x14ac:dyDescent="0.3">
      <c r="A495">
        <v>377</v>
      </c>
      <c r="B495" s="123" t="s">
        <v>621</v>
      </c>
      <c r="C495">
        <v>-0.01</v>
      </c>
      <c r="D495">
        <v>0</v>
      </c>
      <c r="E495" s="123" t="s">
        <v>185</v>
      </c>
      <c r="F495" s="123" t="s">
        <v>672</v>
      </c>
      <c r="G495">
        <v>-0.01</v>
      </c>
    </row>
    <row r="496" spans="1:7" x14ac:dyDescent="0.3">
      <c r="A496">
        <v>528</v>
      </c>
      <c r="B496" s="123" t="s">
        <v>302</v>
      </c>
      <c r="C496">
        <v>177.1</v>
      </c>
      <c r="D496">
        <v>0</v>
      </c>
      <c r="E496" s="123" t="s">
        <v>799</v>
      </c>
      <c r="F496" s="123" t="s">
        <v>676</v>
      </c>
      <c r="G496">
        <v>177.1</v>
      </c>
    </row>
    <row r="497" spans="1:7" x14ac:dyDescent="0.3">
      <c r="A497">
        <v>166</v>
      </c>
      <c r="B497" s="123" t="s">
        <v>123</v>
      </c>
      <c r="C497">
        <v>0</v>
      </c>
      <c r="D497">
        <v>0</v>
      </c>
      <c r="E497" s="123" t="s">
        <v>799</v>
      </c>
      <c r="F497" s="123" t="s">
        <v>676</v>
      </c>
      <c r="G497">
        <v>0</v>
      </c>
    </row>
    <row r="498" spans="1:7" x14ac:dyDescent="0.3">
      <c r="A498">
        <v>152</v>
      </c>
      <c r="B498" s="123" t="s">
        <v>329</v>
      </c>
      <c r="C498">
        <v>0</v>
      </c>
      <c r="D498">
        <v>0</v>
      </c>
      <c r="E498" s="123" t="s">
        <v>799</v>
      </c>
      <c r="F498" s="123" t="s">
        <v>676</v>
      </c>
      <c r="G498">
        <v>0</v>
      </c>
    </row>
    <row r="499" spans="1:7" x14ac:dyDescent="0.3">
      <c r="A499">
        <v>198</v>
      </c>
      <c r="B499" s="123" t="s">
        <v>335</v>
      </c>
      <c r="C499">
        <v>0</v>
      </c>
      <c r="D499">
        <v>0</v>
      </c>
      <c r="E499" s="123" t="s">
        <v>799</v>
      </c>
      <c r="F499" s="123" t="s">
        <v>676</v>
      </c>
      <c r="G499">
        <v>0</v>
      </c>
    </row>
    <row r="500" spans="1:7" x14ac:dyDescent="0.3">
      <c r="A500">
        <v>206</v>
      </c>
      <c r="B500" s="123" t="s">
        <v>551</v>
      </c>
      <c r="C500">
        <v>0</v>
      </c>
      <c r="D500">
        <v>0</v>
      </c>
      <c r="E500" s="123" t="s">
        <v>799</v>
      </c>
      <c r="F500" s="123" t="s">
        <v>676</v>
      </c>
      <c r="G500">
        <v>0</v>
      </c>
    </row>
    <row r="501" spans="1:7" x14ac:dyDescent="0.3">
      <c r="A501">
        <v>203</v>
      </c>
      <c r="B501" s="123" t="s">
        <v>451</v>
      </c>
      <c r="C501">
        <v>0</v>
      </c>
      <c r="D501">
        <v>0</v>
      </c>
      <c r="E501" s="123" t="s">
        <v>799</v>
      </c>
      <c r="F501" s="123" t="s">
        <v>676</v>
      </c>
      <c r="G501">
        <v>0</v>
      </c>
    </row>
    <row r="502" spans="1:7" x14ac:dyDescent="0.3">
      <c r="A502">
        <v>217</v>
      </c>
      <c r="B502" s="123" t="s">
        <v>217</v>
      </c>
      <c r="C502">
        <v>7.0000000000000007E-2</v>
      </c>
      <c r="D502">
        <v>0</v>
      </c>
      <c r="E502" s="123" t="s">
        <v>799</v>
      </c>
      <c r="F502" s="123" t="s">
        <v>676</v>
      </c>
      <c r="G502">
        <v>7.0000000000000007E-2</v>
      </c>
    </row>
    <row r="503" spans="1:7" x14ac:dyDescent="0.3">
      <c r="A503">
        <v>208</v>
      </c>
      <c r="B503" s="123" t="s">
        <v>475</v>
      </c>
      <c r="C503">
        <v>50.32</v>
      </c>
      <c r="D503">
        <v>0</v>
      </c>
      <c r="E503" s="123" t="s">
        <v>799</v>
      </c>
      <c r="F503" s="123" t="s">
        <v>676</v>
      </c>
      <c r="G503">
        <v>50.32</v>
      </c>
    </row>
    <row r="504" spans="1:7" x14ac:dyDescent="0.3">
      <c r="A504">
        <v>243</v>
      </c>
      <c r="B504" s="123" t="s">
        <v>386</v>
      </c>
      <c r="C504">
        <v>0</v>
      </c>
      <c r="D504">
        <v>0</v>
      </c>
      <c r="E504" s="123" t="s">
        <v>799</v>
      </c>
      <c r="F504" s="123" t="s">
        <v>676</v>
      </c>
      <c r="G504">
        <v>0</v>
      </c>
    </row>
    <row r="505" spans="1:7" x14ac:dyDescent="0.3">
      <c r="A505">
        <v>237</v>
      </c>
      <c r="B505" s="123" t="s">
        <v>230</v>
      </c>
      <c r="C505">
        <v>0</v>
      </c>
      <c r="D505">
        <v>0</v>
      </c>
      <c r="E505" s="123" t="s">
        <v>799</v>
      </c>
      <c r="F505" s="123" t="s">
        <v>676</v>
      </c>
      <c r="G505">
        <v>0</v>
      </c>
    </row>
    <row r="506" spans="1:7" x14ac:dyDescent="0.3">
      <c r="A506">
        <v>253</v>
      </c>
      <c r="B506" s="123" t="s">
        <v>125</v>
      </c>
      <c r="C506">
        <v>0</v>
      </c>
      <c r="D506">
        <v>0</v>
      </c>
      <c r="E506" s="123" t="s">
        <v>799</v>
      </c>
      <c r="F506" s="123" t="s">
        <v>676</v>
      </c>
      <c r="G506">
        <v>0</v>
      </c>
    </row>
    <row r="507" spans="1:7" x14ac:dyDescent="0.3">
      <c r="A507">
        <v>400</v>
      </c>
      <c r="B507" s="123" t="s">
        <v>300</v>
      </c>
      <c r="C507">
        <v>-15266.91</v>
      </c>
      <c r="D507">
        <v>0</v>
      </c>
      <c r="E507" s="123" t="s">
        <v>799</v>
      </c>
      <c r="F507" s="123" t="s">
        <v>676</v>
      </c>
      <c r="G507">
        <v>-15266.91</v>
      </c>
    </row>
    <row r="508" spans="1:7" x14ac:dyDescent="0.3">
      <c r="A508">
        <v>404</v>
      </c>
      <c r="B508" s="123" t="s">
        <v>352</v>
      </c>
      <c r="C508">
        <v>0</v>
      </c>
      <c r="D508">
        <v>0</v>
      </c>
      <c r="E508" s="123" t="s">
        <v>799</v>
      </c>
      <c r="F508" s="123" t="s">
        <v>676</v>
      </c>
      <c r="G508">
        <v>0</v>
      </c>
    </row>
    <row r="509" spans="1:7" x14ac:dyDescent="0.3">
      <c r="A509">
        <v>403</v>
      </c>
      <c r="B509" s="123" t="s">
        <v>354</v>
      </c>
      <c r="C509">
        <v>-0.02</v>
      </c>
      <c r="D509">
        <v>0</v>
      </c>
      <c r="E509" s="123" t="s">
        <v>799</v>
      </c>
      <c r="F509" s="123" t="s">
        <v>676</v>
      </c>
      <c r="G509">
        <v>-0.02</v>
      </c>
    </row>
    <row r="510" spans="1:7" x14ac:dyDescent="0.3">
      <c r="A510">
        <v>274</v>
      </c>
      <c r="B510" s="123" t="s">
        <v>126</v>
      </c>
      <c r="C510">
        <v>0</v>
      </c>
      <c r="D510">
        <v>0</v>
      </c>
      <c r="E510" s="123" t="s">
        <v>799</v>
      </c>
      <c r="F510" s="123" t="s">
        <v>676</v>
      </c>
      <c r="G510">
        <v>0</v>
      </c>
    </row>
    <row r="511" spans="1:7" x14ac:dyDescent="0.3">
      <c r="A511">
        <v>279</v>
      </c>
      <c r="B511" s="123" t="s">
        <v>256</v>
      </c>
      <c r="C511">
        <v>0</v>
      </c>
      <c r="D511">
        <v>0</v>
      </c>
      <c r="E511" s="123" t="s">
        <v>799</v>
      </c>
      <c r="F511" s="123" t="s">
        <v>676</v>
      </c>
      <c r="G511">
        <v>0</v>
      </c>
    </row>
    <row r="512" spans="1:7" x14ac:dyDescent="0.3">
      <c r="A512">
        <v>302</v>
      </c>
      <c r="B512" s="123" t="s">
        <v>625</v>
      </c>
      <c r="C512">
        <v>0</v>
      </c>
      <c r="D512">
        <v>0</v>
      </c>
      <c r="E512" s="123" t="s">
        <v>799</v>
      </c>
      <c r="F512" s="123" t="s">
        <v>676</v>
      </c>
      <c r="G512">
        <v>0</v>
      </c>
    </row>
    <row r="513" spans="1:7" x14ac:dyDescent="0.3">
      <c r="A513">
        <v>274</v>
      </c>
      <c r="B513" s="123" t="s">
        <v>126</v>
      </c>
      <c r="C513">
        <v>2519.52</v>
      </c>
      <c r="D513">
        <v>0</v>
      </c>
      <c r="E513" s="123" t="s">
        <v>188</v>
      </c>
      <c r="F513" s="123" t="s">
        <v>678</v>
      </c>
      <c r="G513">
        <v>2519.52</v>
      </c>
    </row>
    <row r="514" spans="1:7" x14ac:dyDescent="0.3">
      <c r="A514">
        <v>400</v>
      </c>
      <c r="B514" s="123" t="s">
        <v>300</v>
      </c>
      <c r="C514">
        <v>107.79</v>
      </c>
      <c r="D514">
        <v>0</v>
      </c>
      <c r="E514" s="123" t="s">
        <v>188</v>
      </c>
      <c r="F514" s="123" t="s">
        <v>678</v>
      </c>
      <c r="G514">
        <v>107.79</v>
      </c>
    </row>
    <row r="515" spans="1:7" x14ac:dyDescent="0.3">
      <c r="A515">
        <v>253</v>
      </c>
      <c r="B515" s="123" t="s">
        <v>125</v>
      </c>
      <c r="C515">
        <v>2392.9299999999998</v>
      </c>
      <c r="D515">
        <v>0</v>
      </c>
      <c r="E515" s="123" t="s">
        <v>188</v>
      </c>
      <c r="F515" s="123" t="s">
        <v>678</v>
      </c>
      <c r="G515">
        <v>2392.9299999999998</v>
      </c>
    </row>
    <row r="516" spans="1:7" x14ac:dyDescent="0.3">
      <c r="A516">
        <v>152</v>
      </c>
      <c r="B516" s="123" t="s">
        <v>329</v>
      </c>
      <c r="C516">
        <v>0</v>
      </c>
      <c r="D516">
        <v>0</v>
      </c>
      <c r="E516" s="123" t="s">
        <v>188</v>
      </c>
      <c r="F516" s="123" t="s">
        <v>678</v>
      </c>
      <c r="G516">
        <v>0</v>
      </c>
    </row>
    <row r="517" spans="1:7" x14ac:dyDescent="0.3">
      <c r="A517">
        <v>166</v>
      </c>
      <c r="B517" s="123" t="s">
        <v>123</v>
      </c>
      <c r="C517">
        <v>30</v>
      </c>
      <c r="D517">
        <v>0</v>
      </c>
      <c r="E517" s="123" t="s">
        <v>188</v>
      </c>
      <c r="F517" s="123" t="s">
        <v>678</v>
      </c>
      <c r="G517">
        <v>30</v>
      </c>
    </row>
    <row r="518" spans="1:7" x14ac:dyDescent="0.3">
      <c r="A518">
        <v>528</v>
      </c>
      <c r="B518" s="123" t="s">
        <v>302</v>
      </c>
      <c r="C518">
        <v>33.950000000000003</v>
      </c>
      <c r="D518">
        <v>0</v>
      </c>
      <c r="E518" s="123" t="s">
        <v>188</v>
      </c>
      <c r="F518" s="123" t="s">
        <v>678</v>
      </c>
      <c r="G518">
        <v>33.950000000000003</v>
      </c>
    </row>
    <row r="519" spans="1:7" x14ac:dyDescent="0.3">
      <c r="A519">
        <v>528</v>
      </c>
      <c r="B519" s="123" t="s">
        <v>302</v>
      </c>
      <c r="C519">
        <v>0</v>
      </c>
      <c r="D519">
        <v>0</v>
      </c>
      <c r="E519" s="123" t="s">
        <v>801</v>
      </c>
      <c r="F519" s="123" t="s">
        <v>679</v>
      </c>
      <c r="G519">
        <v>0</v>
      </c>
    </row>
    <row r="520" spans="1:7" x14ac:dyDescent="0.3">
      <c r="A520">
        <v>166</v>
      </c>
      <c r="B520" s="123" t="s">
        <v>123</v>
      </c>
      <c r="C520">
        <v>0</v>
      </c>
      <c r="D520">
        <v>0</v>
      </c>
      <c r="E520" s="123" t="s">
        <v>801</v>
      </c>
      <c r="F520" s="123" t="s">
        <v>679</v>
      </c>
      <c r="G520">
        <v>0</v>
      </c>
    </row>
    <row r="521" spans="1:7" x14ac:dyDescent="0.3">
      <c r="A521">
        <v>518</v>
      </c>
      <c r="B521" s="123" t="s">
        <v>573</v>
      </c>
      <c r="C521">
        <v>0</v>
      </c>
      <c r="D521">
        <v>0</v>
      </c>
      <c r="E521" s="123" t="s">
        <v>801</v>
      </c>
      <c r="F521" s="123" t="s">
        <v>679</v>
      </c>
      <c r="G521">
        <v>0</v>
      </c>
    </row>
    <row r="522" spans="1:7" x14ac:dyDescent="0.3">
      <c r="A522">
        <v>152</v>
      </c>
      <c r="B522" s="123" t="s">
        <v>329</v>
      </c>
      <c r="C522">
        <v>0</v>
      </c>
      <c r="D522">
        <v>0</v>
      </c>
      <c r="E522" s="123" t="s">
        <v>801</v>
      </c>
      <c r="F522" s="123" t="s">
        <v>679</v>
      </c>
      <c r="G522">
        <v>0</v>
      </c>
    </row>
    <row r="523" spans="1:7" x14ac:dyDescent="0.3">
      <c r="A523">
        <v>253</v>
      </c>
      <c r="B523" s="123" t="s">
        <v>125</v>
      </c>
      <c r="C523">
        <v>0</v>
      </c>
      <c r="D523">
        <v>0</v>
      </c>
      <c r="E523" s="123" t="s">
        <v>801</v>
      </c>
      <c r="F523" s="123" t="s">
        <v>679</v>
      </c>
      <c r="G523">
        <v>0</v>
      </c>
    </row>
    <row r="524" spans="1:7" x14ac:dyDescent="0.3">
      <c r="A524">
        <v>217</v>
      </c>
      <c r="B524" s="123" t="s">
        <v>217</v>
      </c>
      <c r="C524">
        <v>0</v>
      </c>
      <c r="D524">
        <v>0</v>
      </c>
      <c r="E524" s="123" t="s">
        <v>801</v>
      </c>
      <c r="F524" s="123" t="s">
        <v>679</v>
      </c>
      <c r="G524">
        <v>0</v>
      </c>
    </row>
    <row r="525" spans="1:7" x14ac:dyDescent="0.3">
      <c r="A525">
        <v>203</v>
      </c>
      <c r="B525" s="123" t="s">
        <v>451</v>
      </c>
      <c r="C525">
        <v>0</v>
      </c>
      <c r="D525">
        <v>0</v>
      </c>
      <c r="E525" s="123" t="s">
        <v>801</v>
      </c>
      <c r="F525" s="123" t="s">
        <v>679</v>
      </c>
      <c r="G525">
        <v>0</v>
      </c>
    </row>
    <row r="526" spans="1:7" x14ac:dyDescent="0.3">
      <c r="A526">
        <v>205</v>
      </c>
      <c r="B526" s="123" t="s">
        <v>585</v>
      </c>
      <c r="C526">
        <v>0</v>
      </c>
      <c r="D526">
        <v>0</v>
      </c>
      <c r="E526" s="123" t="s">
        <v>801</v>
      </c>
      <c r="F526" s="123" t="s">
        <v>679</v>
      </c>
      <c r="G526">
        <v>0</v>
      </c>
    </row>
    <row r="527" spans="1:7" x14ac:dyDescent="0.3">
      <c r="A527">
        <v>206</v>
      </c>
      <c r="B527" s="123" t="s">
        <v>551</v>
      </c>
      <c r="C527">
        <v>0</v>
      </c>
      <c r="D527">
        <v>0</v>
      </c>
      <c r="E527" s="123" t="s">
        <v>801</v>
      </c>
      <c r="F527" s="123" t="s">
        <v>679</v>
      </c>
      <c r="G527">
        <v>0</v>
      </c>
    </row>
    <row r="528" spans="1:7" x14ac:dyDescent="0.3">
      <c r="A528">
        <v>198</v>
      </c>
      <c r="B528" s="123" t="s">
        <v>335</v>
      </c>
      <c r="C528">
        <v>0</v>
      </c>
      <c r="D528">
        <v>0</v>
      </c>
      <c r="E528" s="123" t="s">
        <v>801</v>
      </c>
      <c r="F528" s="123" t="s">
        <v>679</v>
      </c>
      <c r="G528">
        <v>0</v>
      </c>
    </row>
    <row r="529" spans="1:7" x14ac:dyDescent="0.3">
      <c r="A529">
        <v>400</v>
      </c>
      <c r="B529" s="123" t="s">
        <v>300</v>
      </c>
      <c r="C529">
        <v>0</v>
      </c>
      <c r="D529">
        <v>0</v>
      </c>
      <c r="E529" s="123" t="s">
        <v>801</v>
      </c>
      <c r="F529" s="123" t="s">
        <v>679</v>
      </c>
      <c r="G529">
        <v>0</v>
      </c>
    </row>
    <row r="530" spans="1:7" x14ac:dyDescent="0.3">
      <c r="A530">
        <v>357</v>
      </c>
      <c r="B530" s="123" t="s">
        <v>483</v>
      </c>
      <c r="C530">
        <v>0</v>
      </c>
      <c r="D530">
        <v>0</v>
      </c>
      <c r="E530" s="123" t="s">
        <v>801</v>
      </c>
      <c r="F530" s="123" t="s">
        <v>679</v>
      </c>
      <c r="G530">
        <v>0</v>
      </c>
    </row>
    <row r="531" spans="1:7" x14ac:dyDescent="0.3">
      <c r="A531">
        <v>274</v>
      </c>
      <c r="B531" s="123" t="s">
        <v>126</v>
      </c>
      <c r="C531">
        <v>0</v>
      </c>
      <c r="D531">
        <v>0</v>
      </c>
      <c r="E531" s="123" t="s">
        <v>801</v>
      </c>
      <c r="F531" s="123" t="s">
        <v>679</v>
      </c>
      <c r="G531">
        <v>0</v>
      </c>
    </row>
    <row r="532" spans="1:7" x14ac:dyDescent="0.3">
      <c r="A532">
        <v>291</v>
      </c>
      <c r="B532" s="123" t="s">
        <v>554</v>
      </c>
      <c r="C532">
        <v>0</v>
      </c>
      <c r="D532">
        <v>0</v>
      </c>
      <c r="E532" s="123" t="s">
        <v>185</v>
      </c>
      <c r="F532" s="123" t="s">
        <v>672</v>
      </c>
      <c r="G532">
        <v>0</v>
      </c>
    </row>
    <row r="533" spans="1:7" x14ac:dyDescent="0.3">
      <c r="A533">
        <v>150</v>
      </c>
      <c r="B533" s="123" t="s">
        <v>513</v>
      </c>
      <c r="C533">
        <v>0</v>
      </c>
      <c r="D533">
        <v>0</v>
      </c>
      <c r="E533" s="123" t="s">
        <v>185</v>
      </c>
      <c r="F533" s="123" t="s">
        <v>672</v>
      </c>
      <c r="G533">
        <v>0</v>
      </c>
    </row>
    <row r="534" spans="1:7" x14ac:dyDescent="0.3">
      <c r="A534">
        <v>150</v>
      </c>
      <c r="B534" s="123" t="s">
        <v>513</v>
      </c>
      <c r="C534">
        <v>0</v>
      </c>
      <c r="D534">
        <v>0.02</v>
      </c>
      <c r="E534" s="123" t="s">
        <v>799</v>
      </c>
      <c r="F534" s="123" t="s">
        <v>676</v>
      </c>
      <c r="G534">
        <v>0.02</v>
      </c>
    </row>
    <row r="535" spans="1:7" x14ac:dyDescent="0.3">
      <c r="A535">
        <v>150</v>
      </c>
      <c r="B535" s="123" t="s">
        <v>513</v>
      </c>
      <c r="C535">
        <v>6.87</v>
      </c>
      <c r="D535">
        <v>0</v>
      </c>
      <c r="E535" s="123" t="s">
        <v>188</v>
      </c>
      <c r="F535" s="123" t="s">
        <v>678</v>
      </c>
      <c r="G535">
        <v>6.87</v>
      </c>
    </row>
    <row r="536" spans="1:7" x14ac:dyDescent="0.3">
      <c r="A536">
        <v>150</v>
      </c>
      <c r="B536" s="123" t="s">
        <v>513</v>
      </c>
      <c r="C536">
        <v>0</v>
      </c>
      <c r="D536">
        <v>0</v>
      </c>
      <c r="E536" s="123" t="s">
        <v>801</v>
      </c>
      <c r="F536" s="123" t="s">
        <v>679</v>
      </c>
      <c r="G536">
        <v>0</v>
      </c>
    </row>
    <row r="537" spans="1:7" x14ac:dyDescent="0.3">
      <c r="A537">
        <v>291</v>
      </c>
      <c r="B537" s="123" t="s">
        <v>554</v>
      </c>
      <c r="C537">
        <v>0</v>
      </c>
      <c r="D537">
        <v>0</v>
      </c>
      <c r="E537" s="123" t="s">
        <v>801</v>
      </c>
      <c r="F537" s="123" t="s">
        <v>679</v>
      </c>
      <c r="G537">
        <v>0</v>
      </c>
    </row>
    <row r="538" spans="1:7" x14ac:dyDescent="0.3">
      <c r="A538">
        <v>207</v>
      </c>
      <c r="B538" s="123" t="s">
        <v>589</v>
      </c>
      <c r="C538">
        <v>-208135.61</v>
      </c>
      <c r="D538">
        <v>0</v>
      </c>
      <c r="E538" s="123" t="s">
        <v>185</v>
      </c>
      <c r="F538" s="123" t="s">
        <v>672</v>
      </c>
      <c r="G538">
        <v>-208135.61</v>
      </c>
    </row>
    <row r="539" spans="1:7" x14ac:dyDescent="0.3">
      <c r="A539">
        <v>207</v>
      </c>
      <c r="B539" s="123" t="s">
        <v>589</v>
      </c>
      <c r="C539">
        <v>-1001</v>
      </c>
      <c r="D539">
        <v>0</v>
      </c>
      <c r="E539" s="123" t="s">
        <v>801</v>
      </c>
      <c r="F539" s="123" t="s">
        <v>679</v>
      </c>
      <c r="G539">
        <v>-1001</v>
      </c>
    </row>
    <row r="540" spans="1:7" x14ac:dyDescent="0.3">
      <c r="A540">
        <v>199</v>
      </c>
      <c r="B540" s="123" t="s">
        <v>462</v>
      </c>
      <c r="C540">
        <v>133417305.67</v>
      </c>
      <c r="D540">
        <v>0.02</v>
      </c>
      <c r="E540" s="123" t="s">
        <v>185</v>
      </c>
      <c r="F540" s="123" t="s">
        <v>672</v>
      </c>
      <c r="G540">
        <v>133417305.69</v>
      </c>
    </row>
    <row r="541" spans="1:7" x14ac:dyDescent="0.3">
      <c r="A541">
        <v>172</v>
      </c>
      <c r="B541" s="123" t="s">
        <v>449</v>
      </c>
      <c r="C541">
        <v>-2472662.77</v>
      </c>
      <c r="D541">
        <v>0</v>
      </c>
      <c r="E541" s="123" t="s">
        <v>185</v>
      </c>
      <c r="F541" s="123" t="s">
        <v>672</v>
      </c>
      <c r="G541">
        <v>-2472662.77</v>
      </c>
    </row>
    <row r="542" spans="1:7" x14ac:dyDescent="0.3">
      <c r="A542">
        <v>110</v>
      </c>
      <c r="B542" s="123" t="s">
        <v>449</v>
      </c>
      <c r="C542">
        <v>-3225027869.23</v>
      </c>
      <c r="D542">
        <v>0.27</v>
      </c>
      <c r="E542" s="123" t="s">
        <v>185</v>
      </c>
      <c r="F542" s="123" t="s">
        <v>672</v>
      </c>
      <c r="G542">
        <v>-3225027868.96</v>
      </c>
    </row>
    <row r="543" spans="1:7" x14ac:dyDescent="0.3">
      <c r="A543">
        <v>69</v>
      </c>
      <c r="B543" s="123" t="s">
        <v>122</v>
      </c>
      <c r="C543">
        <v>-193406135.87</v>
      </c>
      <c r="D543">
        <v>0</v>
      </c>
      <c r="E543" s="123" t="s">
        <v>185</v>
      </c>
      <c r="F543" s="123" t="s">
        <v>672</v>
      </c>
      <c r="G543">
        <v>-193406135.87</v>
      </c>
    </row>
    <row r="544" spans="1:7" x14ac:dyDescent="0.3">
      <c r="A544">
        <v>446</v>
      </c>
      <c r="B544" s="123" t="s">
        <v>449</v>
      </c>
      <c r="C544">
        <v>-736984.17</v>
      </c>
      <c r="D544">
        <v>0</v>
      </c>
      <c r="E544" s="123" t="s">
        <v>185</v>
      </c>
      <c r="F544" s="123" t="s">
        <v>672</v>
      </c>
      <c r="G544">
        <v>-736984.17</v>
      </c>
    </row>
    <row r="545" spans="1:7" x14ac:dyDescent="0.3">
      <c r="A545">
        <v>69</v>
      </c>
      <c r="B545" s="123" t="s">
        <v>122</v>
      </c>
      <c r="C545">
        <v>2031.54</v>
      </c>
      <c r="D545">
        <v>25000</v>
      </c>
      <c r="E545" s="123" t="s">
        <v>799</v>
      </c>
      <c r="F545" s="123" t="s">
        <v>676</v>
      </c>
      <c r="G545">
        <v>27031.54</v>
      </c>
    </row>
    <row r="546" spans="1:7" x14ac:dyDescent="0.3">
      <c r="A546">
        <v>110</v>
      </c>
      <c r="B546" s="123" t="s">
        <v>449</v>
      </c>
      <c r="C546">
        <v>768.48</v>
      </c>
      <c r="D546">
        <v>0</v>
      </c>
      <c r="E546" s="123" t="s">
        <v>799</v>
      </c>
      <c r="F546" s="123" t="s">
        <v>676</v>
      </c>
      <c r="G546">
        <v>768.48</v>
      </c>
    </row>
    <row r="547" spans="1:7" x14ac:dyDescent="0.3">
      <c r="A547">
        <v>199</v>
      </c>
      <c r="B547" s="123" t="s">
        <v>462</v>
      </c>
      <c r="C547">
        <v>26.49</v>
      </c>
      <c r="D547">
        <v>-0.03</v>
      </c>
      <c r="E547" s="123" t="s">
        <v>799</v>
      </c>
      <c r="F547" s="123" t="s">
        <v>676</v>
      </c>
      <c r="G547">
        <v>26.46</v>
      </c>
    </row>
    <row r="548" spans="1:7" x14ac:dyDescent="0.3">
      <c r="A548">
        <v>199</v>
      </c>
      <c r="B548" s="123" t="s">
        <v>462</v>
      </c>
      <c r="C548">
        <v>63.55</v>
      </c>
      <c r="D548">
        <v>0</v>
      </c>
      <c r="E548" s="123" t="s">
        <v>188</v>
      </c>
      <c r="F548" s="123" t="s">
        <v>678</v>
      </c>
      <c r="G548">
        <v>63.55</v>
      </c>
    </row>
    <row r="549" spans="1:7" x14ac:dyDescent="0.3">
      <c r="A549">
        <v>110</v>
      </c>
      <c r="B549" s="123" t="s">
        <v>449</v>
      </c>
      <c r="C549">
        <v>0</v>
      </c>
      <c r="D549">
        <v>0</v>
      </c>
      <c r="E549" s="123" t="s">
        <v>188</v>
      </c>
      <c r="F549" s="123" t="s">
        <v>678</v>
      </c>
      <c r="G549">
        <v>0</v>
      </c>
    </row>
    <row r="550" spans="1:7" x14ac:dyDescent="0.3">
      <c r="A550">
        <v>69</v>
      </c>
      <c r="B550" s="123" t="s">
        <v>122</v>
      </c>
      <c r="C550">
        <v>0</v>
      </c>
      <c r="D550">
        <v>0</v>
      </c>
      <c r="E550" s="123" t="s">
        <v>188</v>
      </c>
      <c r="F550" s="123" t="s">
        <v>678</v>
      </c>
      <c r="G550">
        <v>0</v>
      </c>
    </row>
    <row r="551" spans="1:7" x14ac:dyDescent="0.3">
      <c r="A551">
        <v>69</v>
      </c>
      <c r="B551" s="123" t="s">
        <v>122</v>
      </c>
      <c r="C551">
        <v>-200380.33</v>
      </c>
      <c r="D551">
        <v>84406.58</v>
      </c>
      <c r="E551" s="123" t="s">
        <v>801</v>
      </c>
      <c r="F551" s="123" t="s">
        <v>679</v>
      </c>
      <c r="G551">
        <v>-115973.75</v>
      </c>
    </row>
    <row r="552" spans="1:7" x14ac:dyDescent="0.3">
      <c r="A552">
        <v>110</v>
      </c>
      <c r="B552" s="123" t="s">
        <v>449</v>
      </c>
      <c r="C552">
        <v>826764.43</v>
      </c>
      <c r="D552">
        <v>383383.74</v>
      </c>
      <c r="E552" s="123" t="s">
        <v>801</v>
      </c>
      <c r="F552" s="123" t="s">
        <v>679</v>
      </c>
      <c r="G552">
        <v>1210148.17</v>
      </c>
    </row>
    <row r="553" spans="1:7" x14ac:dyDescent="0.3">
      <c r="A553">
        <v>172</v>
      </c>
      <c r="B553" s="123" t="s">
        <v>449</v>
      </c>
      <c r="C553">
        <v>-366057.78</v>
      </c>
      <c r="D553">
        <v>0</v>
      </c>
      <c r="E553" s="123" t="s">
        <v>801</v>
      </c>
      <c r="F553" s="123" t="s">
        <v>679</v>
      </c>
      <c r="G553">
        <v>-366057.78</v>
      </c>
    </row>
    <row r="554" spans="1:7" x14ac:dyDescent="0.3">
      <c r="A554">
        <v>446</v>
      </c>
      <c r="B554" s="123" t="s">
        <v>449</v>
      </c>
      <c r="C554">
        <v>-425706.65</v>
      </c>
      <c r="D554">
        <v>0</v>
      </c>
      <c r="E554" s="123" t="s">
        <v>801</v>
      </c>
      <c r="F554" s="123" t="s">
        <v>679</v>
      </c>
      <c r="G554">
        <v>-425706.65</v>
      </c>
    </row>
    <row r="555" spans="1:7" x14ac:dyDescent="0.3">
      <c r="A555">
        <v>199</v>
      </c>
      <c r="B555" s="123" t="s">
        <v>462</v>
      </c>
      <c r="C555">
        <v>1900</v>
      </c>
      <c r="D555">
        <v>800</v>
      </c>
      <c r="E555" s="123" t="s">
        <v>801</v>
      </c>
      <c r="F555" s="123" t="s">
        <v>679</v>
      </c>
      <c r="G555">
        <v>2700</v>
      </c>
    </row>
    <row r="556" spans="1:7" x14ac:dyDescent="0.3">
      <c r="A556">
        <v>6072</v>
      </c>
      <c r="B556" s="123" t="s">
        <v>689</v>
      </c>
      <c r="C556">
        <v>-643.88</v>
      </c>
      <c r="D556">
        <v>0</v>
      </c>
      <c r="E556" s="123" t="s">
        <v>185</v>
      </c>
      <c r="F556" s="123" t="s">
        <v>672</v>
      </c>
      <c r="G556">
        <v>-643.88</v>
      </c>
    </row>
    <row r="557" spans="1:7" x14ac:dyDescent="0.3">
      <c r="A557">
        <v>6077</v>
      </c>
      <c r="B557" s="123" t="s">
        <v>690</v>
      </c>
      <c r="C557">
        <v>-132968.09</v>
      </c>
      <c r="D557">
        <v>0</v>
      </c>
      <c r="E557" s="123" t="s">
        <v>185</v>
      </c>
      <c r="F557" s="123" t="s">
        <v>672</v>
      </c>
      <c r="G557">
        <v>-132968.09</v>
      </c>
    </row>
    <row r="558" spans="1:7" x14ac:dyDescent="0.3">
      <c r="A558">
        <v>178</v>
      </c>
      <c r="B558" s="123" t="s">
        <v>495</v>
      </c>
      <c r="C558">
        <v>675.98</v>
      </c>
      <c r="D558">
        <v>-5.19</v>
      </c>
      <c r="E558" s="123" t="s">
        <v>185</v>
      </c>
      <c r="F558" s="123" t="s">
        <v>672</v>
      </c>
      <c r="G558">
        <v>670.79</v>
      </c>
    </row>
    <row r="559" spans="1:7" x14ac:dyDescent="0.3">
      <c r="A559">
        <v>236</v>
      </c>
      <c r="B559" s="123" t="s">
        <v>124</v>
      </c>
      <c r="C559">
        <v>0.48</v>
      </c>
      <c r="D559">
        <v>-0.01</v>
      </c>
      <c r="E559" s="123" t="s">
        <v>185</v>
      </c>
      <c r="F559" s="123" t="s">
        <v>672</v>
      </c>
      <c r="G559">
        <v>0.47</v>
      </c>
    </row>
    <row r="560" spans="1:7" x14ac:dyDescent="0.3">
      <c r="A560">
        <v>6041</v>
      </c>
      <c r="B560" s="123" t="s">
        <v>650</v>
      </c>
      <c r="C560">
        <v>15585.52</v>
      </c>
      <c r="D560">
        <v>0</v>
      </c>
      <c r="E560" s="123" t="s">
        <v>185</v>
      </c>
      <c r="F560" s="123" t="s">
        <v>672</v>
      </c>
      <c r="G560">
        <v>15585.52</v>
      </c>
    </row>
    <row r="561" spans="1:7" x14ac:dyDescent="0.3">
      <c r="A561">
        <v>6039</v>
      </c>
      <c r="B561" s="123" t="s">
        <v>686</v>
      </c>
      <c r="C561">
        <v>4740875</v>
      </c>
      <c r="D561">
        <v>0</v>
      </c>
      <c r="E561" s="123" t="s">
        <v>185</v>
      </c>
      <c r="F561" s="123" t="s">
        <v>672</v>
      </c>
      <c r="G561">
        <v>4740875</v>
      </c>
    </row>
    <row r="562" spans="1:7" x14ac:dyDescent="0.3">
      <c r="A562">
        <v>6064</v>
      </c>
      <c r="B562" s="123" t="s">
        <v>688</v>
      </c>
      <c r="C562">
        <v>-136702.92000000001</v>
      </c>
      <c r="D562">
        <v>0</v>
      </c>
      <c r="E562" s="123" t="s">
        <v>185</v>
      </c>
      <c r="F562" s="123" t="s">
        <v>672</v>
      </c>
      <c r="G562">
        <v>-136702.92000000001</v>
      </c>
    </row>
    <row r="563" spans="1:7" x14ac:dyDescent="0.3">
      <c r="A563">
        <v>6046</v>
      </c>
      <c r="B563" s="123" t="s">
        <v>687</v>
      </c>
      <c r="C563">
        <v>199.02</v>
      </c>
      <c r="D563">
        <v>0</v>
      </c>
      <c r="E563" s="123" t="s">
        <v>185</v>
      </c>
      <c r="F563" s="123" t="s">
        <v>672</v>
      </c>
      <c r="G563">
        <v>199.02</v>
      </c>
    </row>
    <row r="564" spans="1:7" x14ac:dyDescent="0.3">
      <c r="A564">
        <v>572</v>
      </c>
      <c r="B564" s="123" t="s">
        <v>692</v>
      </c>
      <c r="C564">
        <v>-86732.75</v>
      </c>
      <c r="D564">
        <v>0</v>
      </c>
      <c r="E564" s="123" t="s">
        <v>185</v>
      </c>
      <c r="F564" s="123" t="s">
        <v>672</v>
      </c>
      <c r="G564">
        <v>-86732.75</v>
      </c>
    </row>
    <row r="565" spans="1:7" x14ac:dyDescent="0.3">
      <c r="A565">
        <v>6005</v>
      </c>
      <c r="B565" s="123" t="s">
        <v>556</v>
      </c>
      <c r="C565">
        <v>16519.03</v>
      </c>
      <c r="D565">
        <v>-0.03</v>
      </c>
      <c r="E565" s="123" t="s">
        <v>185</v>
      </c>
      <c r="F565" s="123" t="s">
        <v>672</v>
      </c>
      <c r="G565">
        <v>16519</v>
      </c>
    </row>
    <row r="566" spans="1:7" x14ac:dyDescent="0.3">
      <c r="A566">
        <v>6007</v>
      </c>
      <c r="B566" s="123" t="s">
        <v>265</v>
      </c>
      <c r="C566">
        <v>0</v>
      </c>
      <c r="D566">
        <v>0</v>
      </c>
      <c r="E566" s="123" t="s">
        <v>185</v>
      </c>
      <c r="F566" s="123" t="s">
        <v>672</v>
      </c>
      <c r="G566">
        <v>0</v>
      </c>
    </row>
    <row r="567" spans="1:7" x14ac:dyDescent="0.3">
      <c r="A567">
        <v>5089</v>
      </c>
      <c r="B567" s="123" t="s">
        <v>565</v>
      </c>
      <c r="C567">
        <v>0</v>
      </c>
      <c r="D567">
        <v>0</v>
      </c>
      <c r="E567" s="123" t="s">
        <v>185</v>
      </c>
      <c r="F567" s="123" t="s">
        <v>672</v>
      </c>
      <c r="G567">
        <v>0</v>
      </c>
    </row>
    <row r="568" spans="1:7" x14ac:dyDescent="0.3">
      <c r="A568">
        <v>552</v>
      </c>
      <c r="B568" s="123" t="s">
        <v>613</v>
      </c>
      <c r="C568">
        <v>0.8</v>
      </c>
      <c r="D568">
        <v>0</v>
      </c>
      <c r="E568" s="123" t="s">
        <v>185</v>
      </c>
      <c r="F568" s="123" t="s">
        <v>672</v>
      </c>
      <c r="G568">
        <v>0.8</v>
      </c>
    </row>
    <row r="569" spans="1:7" x14ac:dyDescent="0.3">
      <c r="A569">
        <v>6001</v>
      </c>
      <c r="B569" s="123" t="s">
        <v>559</v>
      </c>
      <c r="C569">
        <v>-70169.210000000006</v>
      </c>
      <c r="D569">
        <v>0</v>
      </c>
      <c r="E569" s="123" t="s">
        <v>185</v>
      </c>
      <c r="F569" s="123" t="s">
        <v>672</v>
      </c>
      <c r="G569">
        <v>-70169.210000000006</v>
      </c>
    </row>
    <row r="570" spans="1:7" x14ac:dyDescent="0.3">
      <c r="A570">
        <v>6002</v>
      </c>
      <c r="B570" s="123" t="s">
        <v>516</v>
      </c>
      <c r="C570">
        <v>2892.72</v>
      </c>
      <c r="D570">
        <v>0</v>
      </c>
      <c r="E570" s="123" t="s">
        <v>185</v>
      </c>
      <c r="F570" s="123" t="s">
        <v>672</v>
      </c>
      <c r="G570">
        <v>2892.72</v>
      </c>
    </row>
    <row r="571" spans="1:7" x14ac:dyDescent="0.3">
      <c r="A571">
        <v>563</v>
      </c>
      <c r="B571" s="123" t="s">
        <v>600</v>
      </c>
      <c r="C571">
        <v>-0.02</v>
      </c>
      <c r="D571">
        <v>0</v>
      </c>
      <c r="E571" s="123" t="s">
        <v>185</v>
      </c>
      <c r="F571" s="123" t="s">
        <v>672</v>
      </c>
      <c r="G571">
        <v>-0.02</v>
      </c>
    </row>
    <row r="572" spans="1:7" x14ac:dyDescent="0.3">
      <c r="A572">
        <v>566</v>
      </c>
      <c r="B572" s="123" t="s">
        <v>450</v>
      </c>
      <c r="C572">
        <v>0</v>
      </c>
      <c r="D572">
        <v>0</v>
      </c>
      <c r="E572" s="123" t="s">
        <v>185</v>
      </c>
      <c r="F572" s="123" t="s">
        <v>672</v>
      </c>
      <c r="G572">
        <v>0</v>
      </c>
    </row>
    <row r="573" spans="1:7" x14ac:dyDescent="0.3">
      <c r="A573">
        <v>568</v>
      </c>
      <c r="B573" s="123" t="s">
        <v>691</v>
      </c>
      <c r="C573">
        <v>0</v>
      </c>
      <c r="D573">
        <v>0</v>
      </c>
      <c r="E573" s="123" t="s">
        <v>185</v>
      </c>
      <c r="F573" s="123" t="s">
        <v>672</v>
      </c>
      <c r="G573">
        <v>0</v>
      </c>
    </row>
    <row r="574" spans="1:7" x14ac:dyDescent="0.3">
      <c r="A574">
        <v>317</v>
      </c>
      <c r="B574" s="123" t="s">
        <v>312</v>
      </c>
      <c r="C574">
        <v>0</v>
      </c>
      <c r="D574">
        <v>0</v>
      </c>
      <c r="E574" s="123" t="s">
        <v>185</v>
      </c>
      <c r="F574" s="123" t="s">
        <v>672</v>
      </c>
      <c r="G574">
        <v>0</v>
      </c>
    </row>
    <row r="575" spans="1:7" x14ac:dyDescent="0.3">
      <c r="A575">
        <v>300</v>
      </c>
      <c r="B575" s="123" t="s">
        <v>349</v>
      </c>
      <c r="C575">
        <v>0</v>
      </c>
      <c r="D575">
        <v>0.01</v>
      </c>
      <c r="E575" s="123" t="s">
        <v>185</v>
      </c>
      <c r="F575" s="123" t="s">
        <v>672</v>
      </c>
      <c r="G575">
        <v>0.01</v>
      </c>
    </row>
    <row r="576" spans="1:7" x14ac:dyDescent="0.3">
      <c r="A576">
        <v>308</v>
      </c>
      <c r="B576" s="123" t="s">
        <v>169</v>
      </c>
      <c r="C576">
        <v>0</v>
      </c>
      <c r="D576">
        <v>0</v>
      </c>
      <c r="E576" s="123" t="s">
        <v>185</v>
      </c>
      <c r="F576" s="123" t="s">
        <v>672</v>
      </c>
      <c r="G576">
        <v>0</v>
      </c>
    </row>
    <row r="577" spans="1:7" x14ac:dyDescent="0.3">
      <c r="A577">
        <v>309</v>
      </c>
      <c r="B577" s="123" t="s">
        <v>169</v>
      </c>
      <c r="C577">
        <v>0</v>
      </c>
      <c r="D577">
        <v>0</v>
      </c>
      <c r="E577" s="123" t="s">
        <v>185</v>
      </c>
      <c r="F577" s="123" t="s">
        <v>672</v>
      </c>
      <c r="G577">
        <v>0</v>
      </c>
    </row>
    <row r="578" spans="1:7" x14ac:dyDescent="0.3">
      <c r="A578">
        <v>265</v>
      </c>
      <c r="B578" s="123" t="s">
        <v>515</v>
      </c>
      <c r="C578">
        <v>0</v>
      </c>
      <c r="D578">
        <v>0.01</v>
      </c>
      <c r="E578" s="123" t="s">
        <v>185</v>
      </c>
      <c r="F578" s="123" t="s">
        <v>672</v>
      </c>
      <c r="G578">
        <v>0.01</v>
      </c>
    </row>
    <row r="579" spans="1:7" x14ac:dyDescent="0.3">
      <c r="A579">
        <v>368</v>
      </c>
      <c r="B579" s="123" t="s">
        <v>406</v>
      </c>
      <c r="C579">
        <v>-134.5</v>
      </c>
      <c r="D579">
        <v>0</v>
      </c>
      <c r="E579" s="123" t="s">
        <v>185</v>
      </c>
      <c r="F579" s="123" t="s">
        <v>672</v>
      </c>
      <c r="G579">
        <v>-134.5</v>
      </c>
    </row>
    <row r="580" spans="1:7" x14ac:dyDescent="0.3">
      <c r="A580">
        <v>375</v>
      </c>
      <c r="B580" s="123" t="s">
        <v>191</v>
      </c>
      <c r="C580">
        <v>-8369.89</v>
      </c>
      <c r="D580">
        <v>0</v>
      </c>
      <c r="E580" s="123" t="s">
        <v>185</v>
      </c>
      <c r="F580" s="123" t="s">
        <v>672</v>
      </c>
      <c r="G580">
        <v>-8369.89</v>
      </c>
    </row>
    <row r="581" spans="1:7" x14ac:dyDescent="0.3">
      <c r="A581">
        <v>343</v>
      </c>
      <c r="B581" s="123" t="s">
        <v>598</v>
      </c>
      <c r="C581">
        <v>25851.39</v>
      </c>
      <c r="D581">
        <v>0.03</v>
      </c>
      <c r="E581" s="123" t="s">
        <v>185</v>
      </c>
      <c r="F581" s="123" t="s">
        <v>672</v>
      </c>
      <c r="G581">
        <v>25851.42</v>
      </c>
    </row>
    <row r="582" spans="1:7" x14ac:dyDescent="0.3">
      <c r="A582">
        <v>401</v>
      </c>
      <c r="B582" s="123" t="s">
        <v>332</v>
      </c>
      <c r="C582">
        <v>36692.06</v>
      </c>
      <c r="D582">
        <v>0</v>
      </c>
      <c r="E582" s="123" t="s">
        <v>185</v>
      </c>
      <c r="F582" s="123" t="s">
        <v>672</v>
      </c>
      <c r="G582">
        <v>36692.06</v>
      </c>
    </row>
    <row r="583" spans="1:7" x14ac:dyDescent="0.3">
      <c r="A583">
        <v>408</v>
      </c>
      <c r="B583" s="123" t="s">
        <v>424</v>
      </c>
      <c r="C583">
        <v>3442.2</v>
      </c>
      <c r="D583">
        <v>0</v>
      </c>
      <c r="E583" s="123" t="s">
        <v>185</v>
      </c>
      <c r="F583" s="123" t="s">
        <v>672</v>
      </c>
      <c r="G583">
        <v>3442.2</v>
      </c>
    </row>
    <row r="584" spans="1:7" x14ac:dyDescent="0.3">
      <c r="A584">
        <v>371</v>
      </c>
      <c r="B584" s="123" t="s">
        <v>596</v>
      </c>
      <c r="C584">
        <v>0</v>
      </c>
      <c r="D584">
        <v>0</v>
      </c>
      <c r="E584" s="123" t="s">
        <v>185</v>
      </c>
      <c r="F584" s="123" t="s">
        <v>672</v>
      </c>
      <c r="G584">
        <v>0</v>
      </c>
    </row>
    <row r="585" spans="1:7" x14ac:dyDescent="0.3">
      <c r="A585">
        <v>386</v>
      </c>
      <c r="B585" s="123" t="s">
        <v>572</v>
      </c>
      <c r="C585">
        <v>0.28000000000000003</v>
      </c>
      <c r="D585">
        <v>0</v>
      </c>
      <c r="E585" s="123" t="s">
        <v>185</v>
      </c>
      <c r="F585" s="123" t="s">
        <v>672</v>
      </c>
      <c r="G585">
        <v>0.28000000000000003</v>
      </c>
    </row>
    <row r="586" spans="1:7" x14ac:dyDescent="0.3">
      <c r="A586">
        <v>447</v>
      </c>
      <c r="B586" s="123" t="s">
        <v>525</v>
      </c>
      <c r="C586">
        <v>991.75</v>
      </c>
      <c r="D586">
        <v>0</v>
      </c>
      <c r="E586" s="123" t="s">
        <v>185</v>
      </c>
      <c r="F586" s="123" t="s">
        <v>672</v>
      </c>
      <c r="G586">
        <v>991.75</v>
      </c>
    </row>
    <row r="587" spans="1:7" x14ac:dyDescent="0.3">
      <c r="A587">
        <v>445</v>
      </c>
      <c r="B587" s="123" t="s">
        <v>526</v>
      </c>
      <c r="C587">
        <v>1239.33</v>
      </c>
      <c r="D587">
        <v>0</v>
      </c>
      <c r="E587" s="123" t="s">
        <v>185</v>
      </c>
      <c r="F587" s="123" t="s">
        <v>672</v>
      </c>
      <c r="G587">
        <v>1239.33</v>
      </c>
    </row>
    <row r="588" spans="1:7" x14ac:dyDescent="0.3">
      <c r="A588">
        <v>433</v>
      </c>
      <c r="B588" s="123" t="s">
        <v>603</v>
      </c>
      <c r="C588">
        <v>-49873320.380000003</v>
      </c>
      <c r="D588">
        <v>0.01</v>
      </c>
      <c r="E588" s="123" t="s">
        <v>185</v>
      </c>
      <c r="F588" s="123" t="s">
        <v>672</v>
      </c>
      <c r="G588">
        <v>-49873320.369999997</v>
      </c>
    </row>
    <row r="589" spans="1:7" x14ac:dyDescent="0.3">
      <c r="A589">
        <v>438</v>
      </c>
      <c r="B589" s="123" t="s">
        <v>613</v>
      </c>
      <c r="C589">
        <v>0</v>
      </c>
      <c r="D589">
        <v>0</v>
      </c>
      <c r="E589" s="123" t="s">
        <v>185</v>
      </c>
      <c r="F589" s="123" t="s">
        <v>672</v>
      </c>
      <c r="G589">
        <v>0</v>
      </c>
    </row>
    <row r="590" spans="1:7" x14ac:dyDescent="0.3">
      <c r="A590">
        <v>442</v>
      </c>
      <c r="B590" s="123" t="s">
        <v>529</v>
      </c>
      <c r="C590">
        <v>-748.86</v>
      </c>
      <c r="D590">
        <v>0</v>
      </c>
      <c r="E590" s="123" t="s">
        <v>185</v>
      </c>
      <c r="F590" s="123" t="s">
        <v>672</v>
      </c>
      <c r="G590">
        <v>-748.86</v>
      </c>
    </row>
    <row r="591" spans="1:7" x14ac:dyDescent="0.3">
      <c r="A591">
        <v>422</v>
      </c>
      <c r="B591" s="123" t="s">
        <v>299</v>
      </c>
      <c r="C591">
        <v>8080.12</v>
      </c>
      <c r="D591">
        <v>0</v>
      </c>
      <c r="E591" s="123" t="s">
        <v>185</v>
      </c>
      <c r="F591" s="123" t="s">
        <v>672</v>
      </c>
      <c r="G591">
        <v>8080.12</v>
      </c>
    </row>
    <row r="592" spans="1:7" x14ac:dyDescent="0.3">
      <c r="A592">
        <v>431</v>
      </c>
      <c r="B592" s="123" t="s">
        <v>489</v>
      </c>
      <c r="C592">
        <v>0</v>
      </c>
      <c r="D592">
        <v>0</v>
      </c>
      <c r="E592" s="123" t="s">
        <v>185</v>
      </c>
      <c r="F592" s="123" t="s">
        <v>672</v>
      </c>
      <c r="G592">
        <v>0</v>
      </c>
    </row>
    <row r="593" spans="1:7" x14ac:dyDescent="0.3">
      <c r="A593">
        <v>1012</v>
      </c>
      <c r="B593" s="123" t="s">
        <v>279</v>
      </c>
      <c r="C593">
        <v>0</v>
      </c>
      <c r="D593">
        <v>0</v>
      </c>
      <c r="E593" s="123" t="s">
        <v>185</v>
      </c>
      <c r="F593" s="123" t="s">
        <v>672</v>
      </c>
      <c r="G593">
        <v>0</v>
      </c>
    </row>
    <row r="594" spans="1:7" x14ac:dyDescent="0.3">
      <c r="A594">
        <v>426</v>
      </c>
      <c r="B594" s="123" t="s">
        <v>371</v>
      </c>
      <c r="C594">
        <v>0</v>
      </c>
      <c r="D594">
        <v>0</v>
      </c>
      <c r="E594" s="123" t="s">
        <v>185</v>
      </c>
      <c r="F594" s="123" t="s">
        <v>672</v>
      </c>
      <c r="G594">
        <v>0</v>
      </c>
    </row>
    <row r="595" spans="1:7" x14ac:dyDescent="0.3">
      <c r="A595">
        <v>427</v>
      </c>
      <c r="B595" s="123" t="s">
        <v>555</v>
      </c>
      <c r="C595">
        <v>0</v>
      </c>
      <c r="D595">
        <v>0</v>
      </c>
      <c r="E595" s="123" t="s">
        <v>185</v>
      </c>
      <c r="F595" s="123" t="s">
        <v>672</v>
      </c>
      <c r="G595">
        <v>0</v>
      </c>
    </row>
    <row r="596" spans="1:7" x14ac:dyDescent="0.3">
      <c r="A596">
        <v>5038</v>
      </c>
      <c r="B596" s="123" t="s">
        <v>326</v>
      </c>
      <c r="C596">
        <v>0</v>
      </c>
      <c r="D596">
        <v>0</v>
      </c>
      <c r="E596" s="123" t="s">
        <v>185</v>
      </c>
      <c r="F596" s="123" t="s">
        <v>672</v>
      </c>
      <c r="G596">
        <v>0</v>
      </c>
    </row>
    <row r="597" spans="1:7" x14ac:dyDescent="0.3">
      <c r="A597">
        <v>462</v>
      </c>
      <c r="B597" s="123" t="s">
        <v>398</v>
      </c>
      <c r="C597">
        <v>0</v>
      </c>
      <c r="D597">
        <v>0</v>
      </c>
      <c r="E597" s="123" t="s">
        <v>185</v>
      </c>
      <c r="F597" s="123" t="s">
        <v>672</v>
      </c>
      <c r="G597">
        <v>0</v>
      </c>
    </row>
    <row r="598" spans="1:7" x14ac:dyDescent="0.3">
      <c r="A598">
        <v>458</v>
      </c>
      <c r="B598" s="123" t="s">
        <v>446</v>
      </c>
      <c r="C598">
        <v>0</v>
      </c>
      <c r="D598">
        <v>0</v>
      </c>
      <c r="E598" s="123" t="s">
        <v>185</v>
      </c>
      <c r="F598" s="123" t="s">
        <v>672</v>
      </c>
      <c r="G598">
        <v>0</v>
      </c>
    </row>
    <row r="599" spans="1:7" x14ac:dyDescent="0.3">
      <c r="A599">
        <v>457</v>
      </c>
      <c r="B599" s="123" t="s">
        <v>297</v>
      </c>
      <c r="C599">
        <v>9927.4699999999993</v>
      </c>
      <c r="D599">
        <v>-0.01</v>
      </c>
      <c r="E599" s="123" t="s">
        <v>185</v>
      </c>
      <c r="F599" s="123" t="s">
        <v>672</v>
      </c>
      <c r="G599">
        <v>9927.4599999999991</v>
      </c>
    </row>
    <row r="600" spans="1:7" x14ac:dyDescent="0.3">
      <c r="A600">
        <v>479</v>
      </c>
      <c r="B600" s="123" t="s">
        <v>472</v>
      </c>
      <c r="C600">
        <v>0</v>
      </c>
      <c r="D600">
        <v>0</v>
      </c>
      <c r="E600" s="123" t="s">
        <v>185</v>
      </c>
      <c r="F600" s="123" t="s">
        <v>672</v>
      </c>
      <c r="G600">
        <v>0</v>
      </c>
    </row>
    <row r="601" spans="1:7" x14ac:dyDescent="0.3">
      <c r="A601">
        <v>477</v>
      </c>
      <c r="B601" s="123" t="s">
        <v>543</v>
      </c>
      <c r="C601">
        <v>0</v>
      </c>
      <c r="D601">
        <v>0</v>
      </c>
      <c r="E601" s="123" t="s">
        <v>185</v>
      </c>
      <c r="F601" s="123" t="s">
        <v>672</v>
      </c>
      <c r="G601">
        <v>0</v>
      </c>
    </row>
    <row r="602" spans="1:7" x14ac:dyDescent="0.3">
      <c r="A602">
        <v>5106</v>
      </c>
      <c r="B602" s="123" t="s">
        <v>471</v>
      </c>
      <c r="C602">
        <v>0</v>
      </c>
      <c r="D602">
        <v>0</v>
      </c>
      <c r="E602" s="123" t="s">
        <v>185</v>
      </c>
      <c r="F602" s="123" t="s">
        <v>672</v>
      </c>
      <c r="G602">
        <v>0</v>
      </c>
    </row>
    <row r="603" spans="1:7" x14ac:dyDescent="0.3">
      <c r="A603">
        <v>482</v>
      </c>
      <c r="B603" s="123" t="s">
        <v>563</v>
      </c>
      <c r="C603">
        <v>-3783.93</v>
      </c>
      <c r="D603">
        <v>0.03</v>
      </c>
      <c r="E603" s="123" t="s">
        <v>185</v>
      </c>
      <c r="F603" s="123" t="s">
        <v>672</v>
      </c>
      <c r="G603">
        <v>-3783.9</v>
      </c>
    </row>
    <row r="604" spans="1:7" x14ac:dyDescent="0.3">
      <c r="A604">
        <v>485</v>
      </c>
      <c r="B604" s="123" t="s">
        <v>557</v>
      </c>
      <c r="C604">
        <v>-3470.54</v>
      </c>
      <c r="D604">
        <v>0.1</v>
      </c>
      <c r="E604" s="123" t="s">
        <v>185</v>
      </c>
      <c r="F604" s="123" t="s">
        <v>672</v>
      </c>
      <c r="G604">
        <v>-3470.44</v>
      </c>
    </row>
    <row r="605" spans="1:7" x14ac:dyDescent="0.3">
      <c r="A605">
        <v>5118</v>
      </c>
      <c r="B605" s="123" t="s">
        <v>627</v>
      </c>
      <c r="C605">
        <v>0</v>
      </c>
      <c r="D605">
        <v>0</v>
      </c>
      <c r="E605" s="123" t="s">
        <v>185</v>
      </c>
      <c r="F605" s="123" t="s">
        <v>672</v>
      </c>
      <c r="G605">
        <v>0</v>
      </c>
    </row>
    <row r="606" spans="1:7" x14ac:dyDescent="0.3">
      <c r="A606">
        <v>5240</v>
      </c>
      <c r="B606" s="123" t="s">
        <v>610</v>
      </c>
      <c r="C606">
        <v>0</v>
      </c>
      <c r="D606">
        <v>0</v>
      </c>
      <c r="E606" s="123" t="s">
        <v>185</v>
      </c>
      <c r="F606" s="123" t="s">
        <v>672</v>
      </c>
      <c r="G606">
        <v>0</v>
      </c>
    </row>
    <row r="607" spans="1:7" x14ac:dyDescent="0.3">
      <c r="A607">
        <v>5203</v>
      </c>
      <c r="B607" s="123" t="s">
        <v>496</v>
      </c>
      <c r="C607">
        <v>0</v>
      </c>
      <c r="D607">
        <v>0</v>
      </c>
      <c r="E607" s="123" t="s">
        <v>185</v>
      </c>
      <c r="F607" s="123" t="s">
        <v>672</v>
      </c>
      <c r="G607">
        <v>0</v>
      </c>
    </row>
    <row r="608" spans="1:7" x14ac:dyDescent="0.3">
      <c r="A608">
        <v>5</v>
      </c>
      <c r="B608" s="123" t="s">
        <v>191</v>
      </c>
      <c r="C608">
        <v>344142425.38</v>
      </c>
      <c r="D608">
        <v>2.21</v>
      </c>
      <c r="E608" s="123" t="s">
        <v>185</v>
      </c>
      <c r="F608" s="123" t="s">
        <v>672</v>
      </c>
      <c r="G608">
        <v>344142427.58999997</v>
      </c>
    </row>
    <row r="609" spans="1:7" x14ac:dyDescent="0.3">
      <c r="A609">
        <v>4</v>
      </c>
      <c r="B609" s="123" t="s">
        <v>169</v>
      </c>
      <c r="C609">
        <v>-2818089.6</v>
      </c>
      <c r="D609">
        <v>0</v>
      </c>
      <c r="E609" s="123" t="s">
        <v>185</v>
      </c>
      <c r="F609" s="123" t="s">
        <v>672</v>
      </c>
      <c r="G609">
        <v>-2818089.6</v>
      </c>
    </row>
    <row r="610" spans="1:7" x14ac:dyDescent="0.3">
      <c r="A610">
        <v>86</v>
      </c>
      <c r="B610" s="123" t="s">
        <v>737</v>
      </c>
      <c r="C610">
        <v>0</v>
      </c>
      <c r="D610">
        <v>0</v>
      </c>
      <c r="E610" s="123" t="s">
        <v>185</v>
      </c>
      <c r="F610" s="123" t="s">
        <v>672</v>
      </c>
      <c r="G610">
        <v>0</v>
      </c>
    </row>
    <row r="611" spans="1:7" x14ac:dyDescent="0.3">
      <c r="A611">
        <v>7</v>
      </c>
      <c r="B611" s="123" t="s">
        <v>200</v>
      </c>
      <c r="C611">
        <v>-11548.88</v>
      </c>
      <c r="D611">
        <v>-0.42</v>
      </c>
      <c r="E611" s="123" t="s">
        <v>185</v>
      </c>
      <c r="F611" s="123" t="s">
        <v>672</v>
      </c>
      <c r="G611">
        <v>-11549.3</v>
      </c>
    </row>
    <row r="612" spans="1:7" x14ac:dyDescent="0.3">
      <c r="A612">
        <v>175</v>
      </c>
      <c r="B612" s="123" t="s">
        <v>191</v>
      </c>
      <c r="C612">
        <v>-44905180.43</v>
      </c>
      <c r="D612">
        <v>0</v>
      </c>
      <c r="E612" s="123" t="s">
        <v>185</v>
      </c>
      <c r="F612" s="123" t="s">
        <v>672</v>
      </c>
      <c r="G612">
        <v>-44905180.43</v>
      </c>
    </row>
    <row r="613" spans="1:7" x14ac:dyDescent="0.3">
      <c r="A613">
        <v>176</v>
      </c>
      <c r="B613" s="123" t="s">
        <v>191</v>
      </c>
      <c r="C613">
        <v>88654351.099999994</v>
      </c>
      <c r="D613">
        <v>0</v>
      </c>
      <c r="E613" s="123" t="s">
        <v>185</v>
      </c>
      <c r="F613" s="123" t="s">
        <v>672</v>
      </c>
      <c r="G613">
        <v>88654351.099999994</v>
      </c>
    </row>
    <row r="614" spans="1:7" x14ac:dyDescent="0.3">
      <c r="A614">
        <v>533</v>
      </c>
      <c r="B614" s="123" t="s">
        <v>296</v>
      </c>
      <c r="C614">
        <v>-426965</v>
      </c>
      <c r="D614">
        <v>0.01</v>
      </c>
      <c r="E614" s="123" t="s">
        <v>185</v>
      </c>
      <c r="F614" s="123" t="s">
        <v>672</v>
      </c>
      <c r="G614">
        <v>-426964.99</v>
      </c>
    </row>
    <row r="615" spans="1:7" x14ac:dyDescent="0.3">
      <c r="A615">
        <v>522</v>
      </c>
      <c r="B615" s="123" t="s">
        <v>693</v>
      </c>
      <c r="C615">
        <v>14.05</v>
      </c>
      <c r="D615">
        <v>0</v>
      </c>
      <c r="E615" s="123" t="s">
        <v>185</v>
      </c>
      <c r="F615" s="123" t="s">
        <v>672</v>
      </c>
      <c r="G615">
        <v>14.05</v>
      </c>
    </row>
    <row r="616" spans="1:7" x14ac:dyDescent="0.3">
      <c r="A616">
        <v>516</v>
      </c>
      <c r="B616" s="123" t="s">
        <v>584</v>
      </c>
      <c r="C616">
        <v>0</v>
      </c>
      <c r="D616">
        <v>0</v>
      </c>
      <c r="E616" s="123" t="s">
        <v>185</v>
      </c>
      <c r="F616" s="123" t="s">
        <v>672</v>
      </c>
      <c r="G616">
        <v>0</v>
      </c>
    </row>
    <row r="617" spans="1:7" x14ac:dyDescent="0.3">
      <c r="A617">
        <v>524</v>
      </c>
      <c r="B617" s="123" t="s">
        <v>231</v>
      </c>
      <c r="C617">
        <v>0</v>
      </c>
      <c r="D617">
        <v>0</v>
      </c>
      <c r="E617" s="123" t="s">
        <v>185</v>
      </c>
      <c r="F617" s="123" t="s">
        <v>672</v>
      </c>
      <c r="G617">
        <v>0</v>
      </c>
    </row>
    <row r="618" spans="1:7" x14ac:dyDescent="0.3">
      <c r="A618">
        <v>154</v>
      </c>
      <c r="B618" s="123" t="s">
        <v>498</v>
      </c>
      <c r="C618">
        <v>-30000000</v>
      </c>
      <c r="D618">
        <v>0.03</v>
      </c>
      <c r="E618" s="123" t="s">
        <v>185</v>
      </c>
      <c r="F618" s="123" t="s">
        <v>672</v>
      </c>
      <c r="G618">
        <v>-29999999.969999999</v>
      </c>
    </row>
    <row r="619" spans="1:7" x14ac:dyDescent="0.3">
      <c r="A619">
        <v>120</v>
      </c>
      <c r="B619" s="123" t="s">
        <v>211</v>
      </c>
      <c r="C619">
        <v>2769.84</v>
      </c>
      <c r="D619">
        <v>0</v>
      </c>
      <c r="E619" s="123" t="s">
        <v>185</v>
      </c>
      <c r="F619" s="123" t="s">
        <v>672</v>
      </c>
      <c r="G619">
        <v>2769.84</v>
      </c>
    </row>
    <row r="620" spans="1:7" x14ac:dyDescent="0.3">
      <c r="A620">
        <v>124</v>
      </c>
      <c r="B620" s="123" t="s">
        <v>328</v>
      </c>
      <c r="C620">
        <v>0</v>
      </c>
      <c r="D620">
        <v>0</v>
      </c>
      <c r="E620" s="123" t="s">
        <v>185</v>
      </c>
      <c r="F620" s="123" t="s">
        <v>672</v>
      </c>
      <c r="G620">
        <v>0</v>
      </c>
    </row>
    <row r="621" spans="1:7" x14ac:dyDescent="0.3">
      <c r="A621">
        <v>123</v>
      </c>
      <c r="B621" s="123" t="s">
        <v>169</v>
      </c>
      <c r="C621">
        <v>-1174214.57</v>
      </c>
      <c r="D621">
        <v>0</v>
      </c>
      <c r="E621" s="123" t="s">
        <v>185</v>
      </c>
      <c r="F621" s="123" t="s">
        <v>672</v>
      </c>
      <c r="G621">
        <v>-1174214.57</v>
      </c>
    </row>
    <row r="622" spans="1:7" x14ac:dyDescent="0.3">
      <c r="A622">
        <v>52</v>
      </c>
      <c r="B622" s="123" t="s">
        <v>327</v>
      </c>
      <c r="C622">
        <v>0</v>
      </c>
      <c r="D622">
        <v>0</v>
      </c>
      <c r="E622" s="123" t="s">
        <v>185</v>
      </c>
      <c r="F622" s="123" t="s">
        <v>672</v>
      </c>
      <c r="G622">
        <v>0</v>
      </c>
    </row>
    <row r="623" spans="1:7" x14ac:dyDescent="0.3">
      <c r="A623">
        <v>119</v>
      </c>
      <c r="B623" s="123" t="s">
        <v>214</v>
      </c>
      <c r="C623">
        <v>0</v>
      </c>
      <c r="D623">
        <v>0</v>
      </c>
      <c r="E623" s="123" t="s">
        <v>185</v>
      </c>
      <c r="F623" s="123" t="s">
        <v>672</v>
      </c>
      <c r="G623">
        <v>0</v>
      </c>
    </row>
    <row r="624" spans="1:7" x14ac:dyDescent="0.3">
      <c r="A624">
        <v>116</v>
      </c>
      <c r="B624" s="123" t="s">
        <v>460</v>
      </c>
      <c r="C624">
        <v>1125.07</v>
      </c>
      <c r="D624">
        <v>-0.03</v>
      </c>
      <c r="E624" s="123" t="s">
        <v>185</v>
      </c>
      <c r="F624" s="123" t="s">
        <v>672</v>
      </c>
      <c r="G624">
        <v>1125.04</v>
      </c>
    </row>
    <row r="625" spans="1:7" x14ac:dyDescent="0.3">
      <c r="A625">
        <v>515</v>
      </c>
      <c r="B625" s="123" t="s">
        <v>235</v>
      </c>
      <c r="C625">
        <v>0</v>
      </c>
      <c r="D625">
        <v>0</v>
      </c>
      <c r="E625" s="123" t="s">
        <v>185</v>
      </c>
      <c r="F625" s="123" t="s">
        <v>672</v>
      </c>
      <c r="G625">
        <v>0</v>
      </c>
    </row>
    <row r="626" spans="1:7" x14ac:dyDescent="0.3">
      <c r="A626">
        <v>509</v>
      </c>
      <c r="B626" s="123" t="s">
        <v>478</v>
      </c>
      <c r="C626">
        <v>16376.3</v>
      </c>
      <c r="D626">
        <v>0</v>
      </c>
      <c r="E626" s="123" t="s">
        <v>185</v>
      </c>
      <c r="F626" s="123" t="s">
        <v>672</v>
      </c>
      <c r="G626">
        <v>16376.3</v>
      </c>
    </row>
    <row r="627" spans="1:7" x14ac:dyDescent="0.3">
      <c r="A627">
        <v>5065</v>
      </c>
      <c r="B627" s="123" t="s">
        <v>562</v>
      </c>
      <c r="C627">
        <v>0</v>
      </c>
      <c r="D627">
        <v>0</v>
      </c>
      <c r="E627" s="123" t="s">
        <v>185</v>
      </c>
      <c r="F627" s="123" t="s">
        <v>672</v>
      </c>
      <c r="G627">
        <v>0</v>
      </c>
    </row>
    <row r="628" spans="1:7" x14ac:dyDescent="0.3">
      <c r="A628">
        <v>481</v>
      </c>
      <c r="B628" s="123" t="s">
        <v>369</v>
      </c>
      <c r="C628">
        <v>170006.99</v>
      </c>
      <c r="D628">
        <v>0</v>
      </c>
      <c r="E628" s="123" t="s">
        <v>185</v>
      </c>
      <c r="F628" s="123" t="s">
        <v>672</v>
      </c>
      <c r="G628">
        <v>170006.99</v>
      </c>
    </row>
    <row r="629" spans="1:7" x14ac:dyDescent="0.3">
      <c r="A629">
        <v>489</v>
      </c>
      <c r="B629" s="123" t="s">
        <v>128</v>
      </c>
      <c r="C629">
        <v>-45.47</v>
      </c>
      <c r="D629">
        <v>0</v>
      </c>
      <c r="E629" s="123" t="s">
        <v>185</v>
      </c>
      <c r="F629" s="123" t="s">
        <v>672</v>
      </c>
      <c r="G629">
        <v>-45.47</v>
      </c>
    </row>
    <row r="630" spans="1:7" x14ac:dyDescent="0.3">
      <c r="A630">
        <v>490</v>
      </c>
      <c r="B630" s="123" t="s">
        <v>694</v>
      </c>
      <c r="C630">
        <v>-45.48</v>
      </c>
      <c r="D630">
        <v>0</v>
      </c>
      <c r="E630" s="123" t="s">
        <v>185</v>
      </c>
      <c r="F630" s="123" t="s">
        <v>672</v>
      </c>
      <c r="G630">
        <v>-45.48</v>
      </c>
    </row>
    <row r="631" spans="1:7" x14ac:dyDescent="0.3">
      <c r="A631">
        <v>494</v>
      </c>
      <c r="B631" s="123" t="s">
        <v>313</v>
      </c>
      <c r="C631">
        <v>0</v>
      </c>
      <c r="D631">
        <v>0</v>
      </c>
      <c r="E631" s="123" t="s">
        <v>185</v>
      </c>
      <c r="F631" s="123" t="s">
        <v>672</v>
      </c>
      <c r="G631">
        <v>0</v>
      </c>
    </row>
    <row r="632" spans="1:7" x14ac:dyDescent="0.3">
      <c r="A632">
        <v>421</v>
      </c>
      <c r="B632" s="123" t="s">
        <v>205</v>
      </c>
      <c r="C632">
        <v>-52599.3</v>
      </c>
      <c r="D632">
        <v>0.02</v>
      </c>
      <c r="E632" s="123" t="s">
        <v>185</v>
      </c>
      <c r="F632" s="123" t="s">
        <v>672</v>
      </c>
      <c r="G632">
        <v>-52599.28</v>
      </c>
    </row>
    <row r="633" spans="1:7" x14ac:dyDescent="0.3">
      <c r="A633">
        <v>419</v>
      </c>
      <c r="B633" s="123" t="s">
        <v>400</v>
      </c>
      <c r="C633">
        <v>1647.53</v>
      </c>
      <c r="D633">
        <v>0</v>
      </c>
      <c r="E633" s="123" t="s">
        <v>185</v>
      </c>
      <c r="F633" s="123" t="s">
        <v>672</v>
      </c>
      <c r="G633">
        <v>1647.53</v>
      </c>
    </row>
    <row r="634" spans="1:7" x14ac:dyDescent="0.3">
      <c r="A634">
        <v>419</v>
      </c>
      <c r="B634" s="123" t="s">
        <v>400</v>
      </c>
      <c r="C634">
        <v>-0.18</v>
      </c>
      <c r="D634">
        <v>0</v>
      </c>
      <c r="E634" s="123" t="s">
        <v>799</v>
      </c>
      <c r="F634" s="123" t="s">
        <v>676</v>
      </c>
      <c r="G634">
        <v>-0.18</v>
      </c>
    </row>
    <row r="635" spans="1:7" x14ac:dyDescent="0.3">
      <c r="A635">
        <v>494</v>
      </c>
      <c r="B635" s="123" t="s">
        <v>313</v>
      </c>
      <c r="C635">
        <v>0</v>
      </c>
      <c r="D635">
        <v>0</v>
      </c>
      <c r="E635" s="123" t="s">
        <v>799</v>
      </c>
      <c r="F635" s="123" t="s">
        <v>676</v>
      </c>
      <c r="G635">
        <v>0</v>
      </c>
    </row>
    <row r="636" spans="1:7" x14ac:dyDescent="0.3">
      <c r="A636">
        <v>490</v>
      </c>
      <c r="B636" s="123" t="s">
        <v>694</v>
      </c>
      <c r="C636">
        <v>329.15</v>
      </c>
      <c r="D636">
        <v>0</v>
      </c>
      <c r="E636" s="123" t="s">
        <v>799</v>
      </c>
      <c r="F636" s="123" t="s">
        <v>676</v>
      </c>
      <c r="G636">
        <v>329.15</v>
      </c>
    </row>
    <row r="637" spans="1:7" x14ac:dyDescent="0.3">
      <c r="A637">
        <v>489</v>
      </c>
      <c r="B637" s="123" t="s">
        <v>128</v>
      </c>
      <c r="C637">
        <v>3954.5</v>
      </c>
      <c r="D637">
        <v>0</v>
      </c>
      <c r="E637" s="123" t="s">
        <v>799</v>
      </c>
      <c r="F637" s="123" t="s">
        <v>676</v>
      </c>
      <c r="G637">
        <v>3954.5</v>
      </c>
    </row>
    <row r="638" spans="1:7" x14ac:dyDescent="0.3">
      <c r="A638">
        <v>481</v>
      </c>
      <c r="B638" s="123" t="s">
        <v>369</v>
      </c>
      <c r="C638">
        <v>0.8</v>
      </c>
      <c r="D638">
        <v>0</v>
      </c>
      <c r="E638" s="123" t="s">
        <v>799</v>
      </c>
      <c r="F638" s="123" t="s">
        <v>676</v>
      </c>
      <c r="G638">
        <v>0.8</v>
      </c>
    </row>
    <row r="639" spans="1:7" x14ac:dyDescent="0.3">
      <c r="A639">
        <v>116</v>
      </c>
      <c r="B639" s="123" t="s">
        <v>460</v>
      </c>
      <c r="C639">
        <v>0</v>
      </c>
      <c r="D639">
        <v>0</v>
      </c>
      <c r="E639" s="123" t="s">
        <v>799</v>
      </c>
      <c r="F639" s="123" t="s">
        <v>676</v>
      </c>
      <c r="G639">
        <v>0</v>
      </c>
    </row>
    <row r="640" spans="1:7" x14ac:dyDescent="0.3">
      <c r="A640">
        <v>119</v>
      </c>
      <c r="B640" s="123" t="s">
        <v>214</v>
      </c>
      <c r="C640">
        <v>0</v>
      </c>
      <c r="D640">
        <v>0</v>
      </c>
      <c r="E640" s="123" t="s">
        <v>799</v>
      </c>
      <c r="F640" s="123" t="s">
        <v>676</v>
      </c>
      <c r="G640">
        <v>0</v>
      </c>
    </row>
    <row r="641" spans="1:7" x14ac:dyDescent="0.3">
      <c r="A641">
        <v>123</v>
      </c>
      <c r="B641" s="123" t="s">
        <v>169</v>
      </c>
      <c r="C641">
        <v>0</v>
      </c>
      <c r="D641">
        <v>0</v>
      </c>
      <c r="E641" s="123" t="s">
        <v>799</v>
      </c>
      <c r="F641" s="123" t="s">
        <v>676</v>
      </c>
      <c r="G641">
        <v>0</v>
      </c>
    </row>
    <row r="642" spans="1:7" x14ac:dyDescent="0.3">
      <c r="A642">
        <v>154</v>
      </c>
      <c r="B642" s="123" t="s">
        <v>498</v>
      </c>
      <c r="C642">
        <v>0.13</v>
      </c>
      <c r="D642">
        <v>0</v>
      </c>
      <c r="E642" s="123" t="s">
        <v>799</v>
      </c>
      <c r="F642" s="123" t="s">
        <v>676</v>
      </c>
      <c r="G642">
        <v>0.13</v>
      </c>
    </row>
    <row r="643" spans="1:7" x14ac:dyDescent="0.3">
      <c r="A643">
        <v>524</v>
      </c>
      <c r="B643" s="123" t="s">
        <v>231</v>
      </c>
      <c r="C643">
        <v>0</v>
      </c>
      <c r="D643">
        <v>0</v>
      </c>
      <c r="E643" s="123" t="s">
        <v>799</v>
      </c>
      <c r="F643" s="123" t="s">
        <v>676</v>
      </c>
      <c r="G643">
        <v>0</v>
      </c>
    </row>
    <row r="644" spans="1:7" x14ac:dyDescent="0.3">
      <c r="A644">
        <v>533</v>
      </c>
      <c r="B644" s="123" t="s">
        <v>296</v>
      </c>
      <c r="C644">
        <v>123.48</v>
      </c>
      <c r="D644">
        <v>0</v>
      </c>
      <c r="E644" s="123" t="s">
        <v>799</v>
      </c>
      <c r="F644" s="123" t="s">
        <v>676</v>
      </c>
      <c r="G644">
        <v>123.48</v>
      </c>
    </row>
    <row r="645" spans="1:7" x14ac:dyDescent="0.3">
      <c r="A645">
        <v>7</v>
      </c>
      <c r="B645" s="123" t="s">
        <v>200</v>
      </c>
      <c r="C645">
        <v>0</v>
      </c>
      <c r="D645">
        <v>0</v>
      </c>
      <c r="E645" s="123" t="s">
        <v>799</v>
      </c>
      <c r="F645" s="123" t="s">
        <v>676</v>
      </c>
      <c r="G645">
        <v>0</v>
      </c>
    </row>
    <row r="646" spans="1:7" x14ac:dyDescent="0.3">
      <c r="A646">
        <v>4</v>
      </c>
      <c r="B646" s="123" t="s">
        <v>169</v>
      </c>
      <c r="C646">
        <v>0</v>
      </c>
      <c r="D646">
        <v>0</v>
      </c>
      <c r="E646" s="123" t="s">
        <v>799</v>
      </c>
      <c r="F646" s="123" t="s">
        <v>676</v>
      </c>
      <c r="G646">
        <v>0</v>
      </c>
    </row>
    <row r="647" spans="1:7" x14ac:dyDescent="0.3">
      <c r="A647">
        <v>5</v>
      </c>
      <c r="B647" s="123" t="s">
        <v>191</v>
      </c>
      <c r="C647">
        <v>0.01</v>
      </c>
      <c r="D647">
        <v>0</v>
      </c>
      <c r="E647" s="123" t="s">
        <v>799</v>
      </c>
      <c r="F647" s="123" t="s">
        <v>676</v>
      </c>
      <c r="G647">
        <v>0.01</v>
      </c>
    </row>
    <row r="648" spans="1:7" x14ac:dyDescent="0.3">
      <c r="A648">
        <v>5203</v>
      </c>
      <c r="B648" s="123" t="s">
        <v>496</v>
      </c>
      <c r="C648">
        <v>0</v>
      </c>
      <c r="D648">
        <v>0</v>
      </c>
      <c r="E648" s="123" t="s">
        <v>799</v>
      </c>
      <c r="F648" s="123" t="s">
        <v>676</v>
      </c>
      <c r="G648">
        <v>0</v>
      </c>
    </row>
    <row r="649" spans="1:7" x14ac:dyDescent="0.3">
      <c r="A649">
        <v>5240</v>
      </c>
      <c r="B649" s="123" t="s">
        <v>610</v>
      </c>
      <c r="C649">
        <v>0</v>
      </c>
      <c r="D649">
        <v>0</v>
      </c>
      <c r="E649" s="123" t="s">
        <v>799</v>
      </c>
      <c r="F649" s="123" t="s">
        <v>676</v>
      </c>
      <c r="G649">
        <v>0</v>
      </c>
    </row>
    <row r="650" spans="1:7" x14ac:dyDescent="0.3">
      <c r="A650">
        <v>485</v>
      </c>
      <c r="B650" s="123" t="s">
        <v>557</v>
      </c>
      <c r="C650">
        <v>0</v>
      </c>
      <c r="D650">
        <v>0</v>
      </c>
      <c r="E650" s="123" t="s">
        <v>799</v>
      </c>
      <c r="F650" s="123" t="s">
        <v>676</v>
      </c>
      <c r="G650">
        <v>0</v>
      </c>
    </row>
    <row r="651" spans="1:7" x14ac:dyDescent="0.3">
      <c r="A651">
        <v>482</v>
      </c>
      <c r="B651" s="123" t="s">
        <v>563</v>
      </c>
      <c r="C651">
        <v>0</v>
      </c>
      <c r="D651">
        <v>0</v>
      </c>
      <c r="E651" s="123" t="s">
        <v>799</v>
      </c>
      <c r="F651" s="123" t="s">
        <v>676</v>
      </c>
      <c r="G651">
        <v>0</v>
      </c>
    </row>
    <row r="652" spans="1:7" x14ac:dyDescent="0.3">
      <c r="A652">
        <v>5106</v>
      </c>
      <c r="B652" s="123" t="s">
        <v>471</v>
      </c>
      <c r="C652">
        <v>0</v>
      </c>
      <c r="D652">
        <v>0</v>
      </c>
      <c r="E652" s="123" t="s">
        <v>799</v>
      </c>
      <c r="F652" s="123" t="s">
        <v>676</v>
      </c>
      <c r="G652">
        <v>0</v>
      </c>
    </row>
    <row r="653" spans="1:7" x14ac:dyDescent="0.3">
      <c r="A653">
        <v>457</v>
      </c>
      <c r="B653" s="123" t="s">
        <v>297</v>
      </c>
      <c r="C653">
        <v>47.2</v>
      </c>
      <c r="D653">
        <v>0</v>
      </c>
      <c r="E653" s="123" t="s">
        <v>799</v>
      </c>
      <c r="F653" s="123" t="s">
        <v>676</v>
      </c>
      <c r="G653">
        <v>47.2</v>
      </c>
    </row>
    <row r="654" spans="1:7" x14ac:dyDescent="0.3">
      <c r="A654">
        <v>5038</v>
      </c>
      <c r="B654" s="123" t="s">
        <v>326</v>
      </c>
      <c r="C654">
        <v>0</v>
      </c>
      <c r="D654">
        <v>0</v>
      </c>
      <c r="E654" s="123" t="s">
        <v>799</v>
      </c>
      <c r="F654" s="123" t="s">
        <v>676</v>
      </c>
      <c r="G654">
        <v>0</v>
      </c>
    </row>
    <row r="655" spans="1:7" x14ac:dyDescent="0.3">
      <c r="A655">
        <v>426</v>
      </c>
      <c r="B655" s="123" t="s">
        <v>371</v>
      </c>
      <c r="C655">
        <v>50.45</v>
      </c>
      <c r="D655">
        <v>0</v>
      </c>
      <c r="E655" s="123" t="s">
        <v>799</v>
      </c>
      <c r="F655" s="123" t="s">
        <v>676</v>
      </c>
      <c r="G655">
        <v>50.45</v>
      </c>
    </row>
    <row r="656" spans="1:7" x14ac:dyDescent="0.3">
      <c r="A656">
        <v>1012</v>
      </c>
      <c r="B656" s="123" t="s">
        <v>279</v>
      </c>
      <c r="C656">
        <v>0</v>
      </c>
      <c r="D656">
        <v>0</v>
      </c>
      <c r="E656" s="123" t="s">
        <v>799</v>
      </c>
      <c r="F656" s="123" t="s">
        <v>676</v>
      </c>
      <c r="G656">
        <v>0</v>
      </c>
    </row>
    <row r="657" spans="1:7" x14ac:dyDescent="0.3">
      <c r="A657">
        <v>431</v>
      </c>
      <c r="B657" s="123" t="s">
        <v>489</v>
      </c>
      <c r="C657">
        <v>0</v>
      </c>
      <c r="D657">
        <v>0</v>
      </c>
      <c r="E657" s="123" t="s">
        <v>799</v>
      </c>
      <c r="F657" s="123" t="s">
        <v>676</v>
      </c>
      <c r="G657">
        <v>0</v>
      </c>
    </row>
    <row r="658" spans="1:7" x14ac:dyDescent="0.3">
      <c r="A658">
        <v>422</v>
      </c>
      <c r="B658" s="123" t="s">
        <v>299</v>
      </c>
      <c r="C658">
        <v>344.57</v>
      </c>
      <c r="D658">
        <v>0</v>
      </c>
      <c r="E658" s="123" t="s">
        <v>799</v>
      </c>
      <c r="F658" s="123" t="s">
        <v>676</v>
      </c>
      <c r="G658">
        <v>344.57</v>
      </c>
    </row>
    <row r="659" spans="1:7" x14ac:dyDescent="0.3">
      <c r="A659">
        <v>421</v>
      </c>
      <c r="B659" s="123" t="s">
        <v>205</v>
      </c>
      <c r="C659">
        <v>33.75</v>
      </c>
      <c r="D659">
        <v>0</v>
      </c>
      <c r="E659" s="123" t="s">
        <v>799</v>
      </c>
      <c r="F659" s="123" t="s">
        <v>676</v>
      </c>
      <c r="G659">
        <v>33.75</v>
      </c>
    </row>
    <row r="660" spans="1:7" x14ac:dyDescent="0.3">
      <c r="A660">
        <v>442</v>
      </c>
      <c r="B660" s="123" t="s">
        <v>529</v>
      </c>
      <c r="C660">
        <v>0</v>
      </c>
      <c r="D660">
        <v>0</v>
      </c>
      <c r="E660" s="123" t="s">
        <v>799</v>
      </c>
      <c r="F660" s="123" t="s">
        <v>676</v>
      </c>
      <c r="G660">
        <v>0</v>
      </c>
    </row>
    <row r="661" spans="1:7" x14ac:dyDescent="0.3">
      <c r="A661">
        <v>433</v>
      </c>
      <c r="B661" s="123" t="s">
        <v>603</v>
      </c>
      <c r="C661">
        <v>-1744393.64</v>
      </c>
      <c r="D661">
        <v>0</v>
      </c>
      <c r="E661" s="123" t="s">
        <v>799</v>
      </c>
      <c r="F661" s="123" t="s">
        <v>676</v>
      </c>
      <c r="G661">
        <v>-1744393.64</v>
      </c>
    </row>
    <row r="662" spans="1:7" x14ac:dyDescent="0.3">
      <c r="A662">
        <v>445</v>
      </c>
      <c r="B662" s="123" t="s">
        <v>526</v>
      </c>
      <c r="C662">
        <v>0</v>
      </c>
      <c r="D662">
        <v>0</v>
      </c>
      <c r="E662" s="123" t="s">
        <v>799</v>
      </c>
      <c r="F662" s="123" t="s">
        <v>676</v>
      </c>
      <c r="G662">
        <v>0</v>
      </c>
    </row>
    <row r="663" spans="1:7" x14ac:dyDescent="0.3">
      <c r="A663">
        <v>447</v>
      </c>
      <c r="B663" s="123" t="s">
        <v>525</v>
      </c>
      <c r="C663">
        <v>0</v>
      </c>
      <c r="D663">
        <v>0</v>
      </c>
      <c r="E663" s="123" t="s">
        <v>799</v>
      </c>
      <c r="F663" s="123" t="s">
        <v>676</v>
      </c>
      <c r="G663">
        <v>0</v>
      </c>
    </row>
    <row r="664" spans="1:7" x14ac:dyDescent="0.3">
      <c r="A664">
        <v>371</v>
      </c>
      <c r="B664" s="123" t="s">
        <v>596</v>
      </c>
      <c r="C664">
        <v>0</v>
      </c>
      <c r="D664">
        <v>0</v>
      </c>
      <c r="E664" s="123" t="s">
        <v>799</v>
      </c>
      <c r="F664" s="123" t="s">
        <v>676</v>
      </c>
      <c r="G664">
        <v>0</v>
      </c>
    </row>
    <row r="665" spans="1:7" x14ac:dyDescent="0.3">
      <c r="A665">
        <v>408</v>
      </c>
      <c r="B665" s="123" t="s">
        <v>424</v>
      </c>
      <c r="C665">
        <v>0.44</v>
      </c>
      <c r="D665">
        <v>0</v>
      </c>
      <c r="E665" s="123" t="s">
        <v>799</v>
      </c>
      <c r="F665" s="123" t="s">
        <v>676</v>
      </c>
      <c r="G665">
        <v>0.44</v>
      </c>
    </row>
    <row r="666" spans="1:7" x14ac:dyDescent="0.3">
      <c r="A666">
        <v>343</v>
      </c>
      <c r="B666" s="123" t="s">
        <v>598</v>
      </c>
      <c r="C666">
        <v>-2.33</v>
      </c>
      <c r="D666">
        <v>0</v>
      </c>
      <c r="E666" s="123" t="s">
        <v>799</v>
      </c>
      <c r="F666" s="123" t="s">
        <v>676</v>
      </c>
      <c r="G666">
        <v>-2.33</v>
      </c>
    </row>
    <row r="667" spans="1:7" x14ac:dyDescent="0.3">
      <c r="A667">
        <v>317</v>
      </c>
      <c r="B667" s="123" t="s">
        <v>312</v>
      </c>
      <c r="C667">
        <v>2.4</v>
      </c>
      <c r="D667">
        <v>0</v>
      </c>
      <c r="E667" s="123" t="s">
        <v>799</v>
      </c>
      <c r="F667" s="123" t="s">
        <v>676</v>
      </c>
      <c r="G667">
        <v>2.4</v>
      </c>
    </row>
    <row r="668" spans="1:7" x14ac:dyDescent="0.3">
      <c r="A668">
        <v>566</v>
      </c>
      <c r="B668" s="123" t="s">
        <v>450</v>
      </c>
      <c r="C668">
        <v>0.39</v>
      </c>
      <c r="D668">
        <v>0</v>
      </c>
      <c r="E668" s="123" t="s">
        <v>799</v>
      </c>
      <c r="F668" s="123" t="s">
        <v>676</v>
      </c>
      <c r="G668">
        <v>0.39</v>
      </c>
    </row>
    <row r="669" spans="1:7" x14ac:dyDescent="0.3">
      <c r="A669">
        <v>563</v>
      </c>
      <c r="B669" s="123" t="s">
        <v>600</v>
      </c>
      <c r="C669">
        <v>0</v>
      </c>
      <c r="D669">
        <v>0</v>
      </c>
      <c r="E669" s="123" t="s">
        <v>799</v>
      </c>
      <c r="F669" s="123" t="s">
        <v>676</v>
      </c>
      <c r="G669">
        <v>0</v>
      </c>
    </row>
    <row r="670" spans="1:7" x14ac:dyDescent="0.3">
      <c r="A670">
        <v>6002</v>
      </c>
      <c r="B670" s="123" t="s">
        <v>516</v>
      </c>
      <c r="C670">
        <v>7.41</v>
      </c>
      <c r="D670">
        <v>0</v>
      </c>
      <c r="E670" s="123" t="s">
        <v>799</v>
      </c>
      <c r="F670" s="123" t="s">
        <v>676</v>
      </c>
      <c r="G670">
        <v>7.41</v>
      </c>
    </row>
    <row r="671" spans="1:7" x14ac:dyDescent="0.3">
      <c r="A671">
        <v>6001</v>
      </c>
      <c r="B671" s="123" t="s">
        <v>559</v>
      </c>
      <c r="C671">
        <v>7.5</v>
      </c>
      <c r="D671">
        <v>0</v>
      </c>
      <c r="E671" s="123" t="s">
        <v>799</v>
      </c>
      <c r="F671" s="123" t="s">
        <v>676</v>
      </c>
      <c r="G671">
        <v>7.5</v>
      </c>
    </row>
    <row r="672" spans="1:7" x14ac:dyDescent="0.3">
      <c r="A672">
        <v>6005</v>
      </c>
      <c r="B672" s="123" t="s">
        <v>556</v>
      </c>
      <c r="C672">
        <v>0</v>
      </c>
      <c r="D672">
        <v>0</v>
      </c>
      <c r="E672" s="123" t="s">
        <v>799</v>
      </c>
      <c r="F672" s="123" t="s">
        <v>676</v>
      </c>
      <c r="G672">
        <v>0</v>
      </c>
    </row>
    <row r="673" spans="1:7" x14ac:dyDescent="0.3">
      <c r="A673">
        <v>572</v>
      </c>
      <c r="B673" s="123" t="s">
        <v>692</v>
      </c>
      <c r="C673">
        <v>173.56</v>
      </c>
      <c r="D673">
        <v>0</v>
      </c>
      <c r="E673" s="123" t="s">
        <v>799</v>
      </c>
      <c r="F673" s="123" t="s">
        <v>676</v>
      </c>
      <c r="G673">
        <v>173.56</v>
      </c>
    </row>
    <row r="674" spans="1:7" x14ac:dyDescent="0.3">
      <c r="A674">
        <v>6046</v>
      </c>
      <c r="B674" s="123" t="s">
        <v>687</v>
      </c>
      <c r="C674">
        <v>0</v>
      </c>
      <c r="D674">
        <v>0</v>
      </c>
      <c r="E674" s="123" t="s">
        <v>799</v>
      </c>
      <c r="F674" s="123" t="s">
        <v>676</v>
      </c>
      <c r="G674">
        <v>0</v>
      </c>
    </row>
    <row r="675" spans="1:7" x14ac:dyDescent="0.3">
      <c r="A675">
        <v>6041</v>
      </c>
      <c r="B675" s="123" t="s">
        <v>650</v>
      </c>
      <c r="C675">
        <v>13913.86</v>
      </c>
      <c r="D675">
        <v>0</v>
      </c>
      <c r="E675" s="123" t="s">
        <v>799</v>
      </c>
      <c r="F675" s="123" t="s">
        <v>676</v>
      </c>
      <c r="G675">
        <v>13913.86</v>
      </c>
    </row>
    <row r="676" spans="1:7" x14ac:dyDescent="0.3">
      <c r="A676">
        <v>236</v>
      </c>
      <c r="B676" s="123" t="s">
        <v>124</v>
      </c>
      <c r="C676">
        <v>0.66</v>
      </c>
      <c r="D676">
        <v>-0.01</v>
      </c>
      <c r="E676" s="123" t="s">
        <v>799</v>
      </c>
      <c r="F676" s="123" t="s">
        <v>676</v>
      </c>
      <c r="G676">
        <v>0.65</v>
      </c>
    </row>
    <row r="677" spans="1:7" x14ac:dyDescent="0.3">
      <c r="A677">
        <v>236</v>
      </c>
      <c r="B677" s="123" t="s">
        <v>124</v>
      </c>
      <c r="C677">
        <v>1699.94</v>
      </c>
      <c r="D677">
        <v>0</v>
      </c>
      <c r="E677" s="123" t="s">
        <v>188</v>
      </c>
      <c r="F677" s="123" t="s">
        <v>678</v>
      </c>
      <c r="G677">
        <v>1699.94</v>
      </c>
    </row>
    <row r="678" spans="1:7" x14ac:dyDescent="0.3">
      <c r="A678">
        <v>6077</v>
      </c>
      <c r="B678" s="123" t="s">
        <v>690</v>
      </c>
      <c r="C678">
        <v>-33211</v>
      </c>
      <c r="D678">
        <v>0</v>
      </c>
      <c r="E678" s="123" t="s">
        <v>188</v>
      </c>
      <c r="F678" s="123" t="s">
        <v>678</v>
      </c>
      <c r="G678">
        <v>-33211</v>
      </c>
    </row>
    <row r="679" spans="1:7" x14ac:dyDescent="0.3">
      <c r="A679">
        <v>401</v>
      </c>
      <c r="B679" s="123" t="s">
        <v>332</v>
      </c>
      <c r="C679">
        <v>0</v>
      </c>
      <c r="D679">
        <v>0</v>
      </c>
      <c r="E679" s="123" t="s">
        <v>188</v>
      </c>
      <c r="F679" s="123" t="s">
        <v>678</v>
      </c>
      <c r="G679">
        <v>0</v>
      </c>
    </row>
    <row r="680" spans="1:7" x14ac:dyDescent="0.3">
      <c r="A680">
        <v>433</v>
      </c>
      <c r="B680" s="123" t="s">
        <v>603</v>
      </c>
      <c r="C680">
        <v>274.08</v>
      </c>
      <c r="D680">
        <v>0</v>
      </c>
      <c r="E680" s="123" t="s">
        <v>188</v>
      </c>
      <c r="F680" s="123" t="s">
        <v>678</v>
      </c>
      <c r="G680">
        <v>274.08</v>
      </c>
    </row>
    <row r="681" spans="1:7" x14ac:dyDescent="0.3">
      <c r="A681">
        <v>422</v>
      </c>
      <c r="B681" s="123" t="s">
        <v>299</v>
      </c>
      <c r="C681">
        <v>0.5</v>
      </c>
      <c r="D681">
        <v>0</v>
      </c>
      <c r="E681" s="123" t="s">
        <v>188</v>
      </c>
      <c r="F681" s="123" t="s">
        <v>678</v>
      </c>
      <c r="G681">
        <v>0.5</v>
      </c>
    </row>
    <row r="682" spans="1:7" x14ac:dyDescent="0.3">
      <c r="A682">
        <v>5106</v>
      </c>
      <c r="B682" s="123" t="s">
        <v>471</v>
      </c>
      <c r="C682">
        <v>0</v>
      </c>
      <c r="D682">
        <v>0</v>
      </c>
      <c r="E682" s="123" t="s">
        <v>188</v>
      </c>
      <c r="F682" s="123" t="s">
        <v>678</v>
      </c>
      <c r="G682">
        <v>0</v>
      </c>
    </row>
    <row r="683" spans="1:7" x14ac:dyDescent="0.3">
      <c r="A683">
        <v>482</v>
      </c>
      <c r="B683" s="123" t="s">
        <v>563</v>
      </c>
      <c r="C683">
        <v>0</v>
      </c>
      <c r="D683">
        <v>0</v>
      </c>
      <c r="E683" s="123" t="s">
        <v>188</v>
      </c>
      <c r="F683" s="123" t="s">
        <v>678</v>
      </c>
      <c r="G683">
        <v>0</v>
      </c>
    </row>
    <row r="684" spans="1:7" x14ac:dyDescent="0.3">
      <c r="A684">
        <v>485</v>
      </c>
      <c r="B684" s="123" t="s">
        <v>557</v>
      </c>
      <c r="C684">
        <v>-0.22</v>
      </c>
      <c r="D684">
        <v>0</v>
      </c>
      <c r="E684" s="123" t="s">
        <v>188</v>
      </c>
      <c r="F684" s="123" t="s">
        <v>678</v>
      </c>
      <c r="G684">
        <v>-0.22</v>
      </c>
    </row>
    <row r="685" spans="1:7" x14ac:dyDescent="0.3">
      <c r="A685">
        <v>5240</v>
      </c>
      <c r="B685" s="123" t="s">
        <v>610</v>
      </c>
      <c r="C685">
        <v>0</v>
      </c>
      <c r="D685">
        <v>0</v>
      </c>
      <c r="E685" s="123" t="s">
        <v>188</v>
      </c>
      <c r="F685" s="123" t="s">
        <v>678</v>
      </c>
      <c r="G685">
        <v>0</v>
      </c>
    </row>
    <row r="686" spans="1:7" x14ac:dyDescent="0.3">
      <c r="A686">
        <v>5118</v>
      </c>
      <c r="B686" s="123" t="s">
        <v>627</v>
      </c>
      <c r="C686">
        <v>0</v>
      </c>
      <c r="D686">
        <v>0</v>
      </c>
      <c r="E686" s="123" t="s">
        <v>188</v>
      </c>
      <c r="F686" s="123" t="s">
        <v>678</v>
      </c>
      <c r="G686">
        <v>0</v>
      </c>
    </row>
    <row r="687" spans="1:7" x14ac:dyDescent="0.3">
      <c r="A687">
        <v>5203</v>
      </c>
      <c r="B687" s="123" t="s">
        <v>496</v>
      </c>
      <c r="C687">
        <v>0</v>
      </c>
      <c r="D687">
        <v>0</v>
      </c>
      <c r="E687" s="123" t="s">
        <v>188</v>
      </c>
      <c r="F687" s="123" t="s">
        <v>678</v>
      </c>
      <c r="G687">
        <v>0</v>
      </c>
    </row>
    <row r="688" spans="1:7" x14ac:dyDescent="0.3">
      <c r="A688">
        <v>5</v>
      </c>
      <c r="B688" s="123" t="s">
        <v>191</v>
      </c>
      <c r="C688">
        <v>160003.04</v>
      </c>
      <c r="D688">
        <v>0</v>
      </c>
      <c r="E688" s="123" t="s">
        <v>188</v>
      </c>
      <c r="F688" s="123" t="s">
        <v>678</v>
      </c>
      <c r="G688">
        <v>160003.04</v>
      </c>
    </row>
    <row r="689" spans="1:7" x14ac:dyDescent="0.3">
      <c r="A689">
        <v>4</v>
      </c>
      <c r="B689" s="123" t="s">
        <v>169</v>
      </c>
      <c r="C689">
        <v>0</v>
      </c>
      <c r="D689">
        <v>0</v>
      </c>
      <c r="E689" s="123" t="s">
        <v>188</v>
      </c>
      <c r="F689" s="123" t="s">
        <v>678</v>
      </c>
      <c r="G689">
        <v>0</v>
      </c>
    </row>
    <row r="690" spans="1:7" x14ac:dyDescent="0.3">
      <c r="A690">
        <v>154</v>
      </c>
      <c r="B690" s="123" t="s">
        <v>498</v>
      </c>
      <c r="C690">
        <v>0</v>
      </c>
      <c r="D690">
        <v>0</v>
      </c>
      <c r="E690" s="123" t="s">
        <v>188</v>
      </c>
      <c r="F690" s="123" t="s">
        <v>678</v>
      </c>
      <c r="G690">
        <v>0</v>
      </c>
    </row>
    <row r="691" spans="1:7" x14ac:dyDescent="0.3">
      <c r="A691">
        <v>123</v>
      </c>
      <c r="B691" s="123" t="s">
        <v>169</v>
      </c>
      <c r="C691">
        <v>-1055.24</v>
      </c>
      <c r="D691">
        <v>0</v>
      </c>
      <c r="E691" s="123" t="s">
        <v>188</v>
      </c>
      <c r="F691" s="123" t="s">
        <v>678</v>
      </c>
      <c r="G691">
        <v>-1055.24</v>
      </c>
    </row>
    <row r="692" spans="1:7" x14ac:dyDescent="0.3">
      <c r="A692">
        <v>119</v>
      </c>
      <c r="B692" s="123" t="s">
        <v>214</v>
      </c>
      <c r="C692">
        <v>0</v>
      </c>
      <c r="D692">
        <v>0</v>
      </c>
      <c r="E692" s="123" t="s">
        <v>188</v>
      </c>
      <c r="F692" s="123" t="s">
        <v>678</v>
      </c>
      <c r="G692">
        <v>0</v>
      </c>
    </row>
    <row r="693" spans="1:7" x14ac:dyDescent="0.3">
      <c r="A693">
        <v>124</v>
      </c>
      <c r="B693" s="123" t="s">
        <v>328</v>
      </c>
      <c r="C693">
        <v>0</v>
      </c>
      <c r="D693">
        <v>0</v>
      </c>
      <c r="E693" s="123" t="s">
        <v>188</v>
      </c>
      <c r="F693" s="123" t="s">
        <v>678</v>
      </c>
      <c r="G693">
        <v>0</v>
      </c>
    </row>
    <row r="694" spans="1:7" x14ac:dyDescent="0.3">
      <c r="A694">
        <v>120</v>
      </c>
      <c r="B694" s="123" t="s">
        <v>211</v>
      </c>
      <c r="C694">
        <v>5.7</v>
      </c>
      <c r="D694">
        <v>0</v>
      </c>
      <c r="E694" s="123" t="s">
        <v>188</v>
      </c>
      <c r="F694" s="123" t="s">
        <v>678</v>
      </c>
      <c r="G694">
        <v>5.7</v>
      </c>
    </row>
    <row r="695" spans="1:7" x14ac:dyDescent="0.3">
      <c r="A695">
        <v>489</v>
      </c>
      <c r="B695" s="123" t="s">
        <v>128</v>
      </c>
      <c r="C695">
        <v>246345.52</v>
      </c>
      <c r="D695">
        <v>100011.75</v>
      </c>
      <c r="E695" s="123" t="s">
        <v>188</v>
      </c>
      <c r="F695" s="123" t="s">
        <v>678</v>
      </c>
      <c r="G695">
        <v>346357.27</v>
      </c>
    </row>
    <row r="696" spans="1:7" x14ac:dyDescent="0.3">
      <c r="A696">
        <v>490</v>
      </c>
      <c r="B696" s="123" t="s">
        <v>694</v>
      </c>
      <c r="C696">
        <v>142975.85</v>
      </c>
      <c r="D696">
        <v>100011.75</v>
      </c>
      <c r="E696" s="123" t="s">
        <v>188</v>
      </c>
      <c r="F696" s="123" t="s">
        <v>678</v>
      </c>
      <c r="G696">
        <v>242987.6</v>
      </c>
    </row>
    <row r="697" spans="1:7" x14ac:dyDescent="0.3">
      <c r="A697">
        <v>494</v>
      </c>
      <c r="B697" s="123" t="s">
        <v>313</v>
      </c>
      <c r="C697">
        <v>0</v>
      </c>
      <c r="D697">
        <v>0</v>
      </c>
      <c r="E697" s="123" t="s">
        <v>188</v>
      </c>
      <c r="F697" s="123" t="s">
        <v>678</v>
      </c>
      <c r="G697">
        <v>0</v>
      </c>
    </row>
    <row r="698" spans="1:7" x14ac:dyDescent="0.3">
      <c r="A698">
        <v>490</v>
      </c>
      <c r="B698" s="123" t="s">
        <v>694</v>
      </c>
      <c r="C698">
        <v>5650</v>
      </c>
      <c r="D698">
        <v>11309.14</v>
      </c>
      <c r="E698" s="123" t="s">
        <v>801</v>
      </c>
      <c r="F698" s="123" t="s">
        <v>679</v>
      </c>
      <c r="G698">
        <v>16959.14</v>
      </c>
    </row>
    <row r="699" spans="1:7" x14ac:dyDescent="0.3">
      <c r="A699">
        <v>489</v>
      </c>
      <c r="B699" s="123" t="s">
        <v>128</v>
      </c>
      <c r="C699">
        <v>679.08</v>
      </c>
      <c r="D699">
        <v>0</v>
      </c>
      <c r="E699" s="123" t="s">
        <v>801</v>
      </c>
      <c r="F699" s="123" t="s">
        <v>679</v>
      </c>
      <c r="G699">
        <v>679.08</v>
      </c>
    </row>
    <row r="700" spans="1:7" x14ac:dyDescent="0.3">
      <c r="A700">
        <v>509</v>
      </c>
      <c r="B700" s="123" t="s">
        <v>478</v>
      </c>
      <c r="C700">
        <v>0</v>
      </c>
      <c r="D700">
        <v>0</v>
      </c>
      <c r="E700" s="123" t="s">
        <v>801</v>
      </c>
      <c r="F700" s="123" t="s">
        <v>679</v>
      </c>
      <c r="G700">
        <v>0</v>
      </c>
    </row>
    <row r="701" spans="1:7" x14ac:dyDescent="0.3">
      <c r="A701">
        <v>515</v>
      </c>
      <c r="B701" s="123" t="s">
        <v>235</v>
      </c>
      <c r="C701">
        <v>0</v>
      </c>
      <c r="D701">
        <v>0</v>
      </c>
      <c r="E701" s="123" t="s">
        <v>801</v>
      </c>
      <c r="F701" s="123" t="s">
        <v>679</v>
      </c>
      <c r="G701">
        <v>0</v>
      </c>
    </row>
    <row r="702" spans="1:7" x14ac:dyDescent="0.3">
      <c r="A702">
        <v>52</v>
      </c>
      <c r="B702" s="123" t="s">
        <v>327</v>
      </c>
      <c r="C702">
        <v>0</v>
      </c>
      <c r="D702">
        <v>0</v>
      </c>
      <c r="E702" s="123" t="s">
        <v>801</v>
      </c>
      <c r="F702" s="123" t="s">
        <v>679</v>
      </c>
      <c r="G702">
        <v>0</v>
      </c>
    </row>
    <row r="703" spans="1:7" x14ac:dyDescent="0.3">
      <c r="A703">
        <v>123</v>
      </c>
      <c r="B703" s="123" t="s">
        <v>169</v>
      </c>
      <c r="C703">
        <v>0</v>
      </c>
      <c r="D703">
        <v>0</v>
      </c>
      <c r="E703" s="123" t="s">
        <v>801</v>
      </c>
      <c r="F703" s="123" t="s">
        <v>679</v>
      </c>
      <c r="G703">
        <v>0</v>
      </c>
    </row>
    <row r="704" spans="1:7" x14ac:dyDescent="0.3">
      <c r="A704">
        <v>154</v>
      </c>
      <c r="B704" s="123" t="s">
        <v>498</v>
      </c>
      <c r="C704">
        <v>0</v>
      </c>
      <c r="D704">
        <v>0</v>
      </c>
      <c r="E704" s="123" t="s">
        <v>801</v>
      </c>
      <c r="F704" s="123" t="s">
        <v>679</v>
      </c>
      <c r="G704">
        <v>0</v>
      </c>
    </row>
    <row r="705" spans="1:7" x14ac:dyDescent="0.3">
      <c r="A705">
        <v>533</v>
      </c>
      <c r="B705" s="123" t="s">
        <v>296</v>
      </c>
      <c r="C705">
        <v>-2.11</v>
      </c>
      <c r="D705">
        <v>0</v>
      </c>
      <c r="E705" s="123" t="s">
        <v>801</v>
      </c>
      <c r="F705" s="123" t="s">
        <v>679</v>
      </c>
      <c r="G705">
        <v>-2.11</v>
      </c>
    </row>
    <row r="706" spans="1:7" x14ac:dyDescent="0.3">
      <c r="A706">
        <v>522</v>
      </c>
      <c r="B706" s="123" t="s">
        <v>693</v>
      </c>
      <c r="C706">
        <v>-0.01</v>
      </c>
      <c r="D706">
        <v>0</v>
      </c>
      <c r="E706" s="123" t="s">
        <v>801</v>
      </c>
      <c r="F706" s="123" t="s">
        <v>679</v>
      </c>
      <c r="G706">
        <v>-0.01</v>
      </c>
    </row>
    <row r="707" spans="1:7" x14ac:dyDescent="0.3">
      <c r="A707">
        <v>516</v>
      </c>
      <c r="B707" s="123" t="s">
        <v>584</v>
      </c>
      <c r="C707">
        <v>0</v>
      </c>
      <c r="D707">
        <v>0</v>
      </c>
      <c r="E707" s="123" t="s">
        <v>801</v>
      </c>
      <c r="F707" s="123" t="s">
        <v>679</v>
      </c>
      <c r="G707">
        <v>0</v>
      </c>
    </row>
    <row r="708" spans="1:7" x14ac:dyDescent="0.3">
      <c r="A708">
        <v>175</v>
      </c>
      <c r="B708" s="123" t="s">
        <v>191</v>
      </c>
      <c r="C708">
        <v>-17225395.079999998</v>
      </c>
      <c r="D708">
        <v>0</v>
      </c>
      <c r="E708" s="123" t="s">
        <v>801</v>
      </c>
      <c r="F708" s="123" t="s">
        <v>679</v>
      </c>
      <c r="G708">
        <v>-17225395.079999998</v>
      </c>
    </row>
    <row r="709" spans="1:7" x14ac:dyDescent="0.3">
      <c r="A709">
        <v>4</v>
      </c>
      <c r="B709" s="123" t="s">
        <v>169</v>
      </c>
      <c r="C709">
        <v>0</v>
      </c>
      <c r="D709">
        <v>0</v>
      </c>
      <c r="E709" s="123" t="s">
        <v>801</v>
      </c>
      <c r="F709" s="123" t="s">
        <v>679</v>
      </c>
      <c r="G709">
        <v>0</v>
      </c>
    </row>
    <row r="710" spans="1:7" x14ac:dyDescent="0.3">
      <c r="A710">
        <v>7</v>
      </c>
      <c r="B710" s="123" t="s">
        <v>200</v>
      </c>
      <c r="C710">
        <v>0</v>
      </c>
      <c r="D710">
        <v>0</v>
      </c>
      <c r="E710" s="123" t="s">
        <v>801</v>
      </c>
      <c r="F710" s="123" t="s">
        <v>679</v>
      </c>
      <c r="G710">
        <v>0</v>
      </c>
    </row>
    <row r="711" spans="1:7" x14ac:dyDescent="0.3">
      <c r="A711">
        <v>86</v>
      </c>
      <c r="B711" s="123" t="s">
        <v>737</v>
      </c>
      <c r="C711">
        <v>0</v>
      </c>
      <c r="D711">
        <v>0</v>
      </c>
      <c r="E711" s="123" t="s">
        <v>801</v>
      </c>
      <c r="F711" s="123" t="s">
        <v>679</v>
      </c>
      <c r="G711">
        <v>0</v>
      </c>
    </row>
    <row r="712" spans="1:7" x14ac:dyDescent="0.3">
      <c r="A712">
        <v>5</v>
      </c>
      <c r="B712" s="123" t="s">
        <v>191</v>
      </c>
      <c r="C712">
        <v>17223295.079999998</v>
      </c>
      <c r="D712">
        <v>0</v>
      </c>
      <c r="E712" s="123" t="s">
        <v>801</v>
      </c>
      <c r="F712" s="123" t="s">
        <v>679</v>
      </c>
      <c r="G712">
        <v>17223295.079999998</v>
      </c>
    </row>
    <row r="713" spans="1:7" x14ac:dyDescent="0.3">
      <c r="A713">
        <v>485</v>
      </c>
      <c r="B713" s="123" t="s">
        <v>557</v>
      </c>
      <c r="C713">
        <v>0</v>
      </c>
      <c r="D713">
        <v>0</v>
      </c>
      <c r="E713" s="123" t="s">
        <v>801</v>
      </c>
      <c r="F713" s="123" t="s">
        <v>679</v>
      </c>
      <c r="G713">
        <v>0</v>
      </c>
    </row>
    <row r="714" spans="1:7" x14ac:dyDescent="0.3">
      <c r="A714">
        <v>477</v>
      </c>
      <c r="B714" s="123" t="s">
        <v>543</v>
      </c>
      <c r="C714">
        <v>0</v>
      </c>
      <c r="D714">
        <v>0</v>
      </c>
      <c r="E714" s="123" t="s">
        <v>801</v>
      </c>
      <c r="F714" s="123" t="s">
        <v>679</v>
      </c>
      <c r="G714">
        <v>0</v>
      </c>
    </row>
    <row r="715" spans="1:7" x14ac:dyDescent="0.3">
      <c r="A715">
        <v>479</v>
      </c>
      <c r="B715" s="123" t="s">
        <v>472</v>
      </c>
      <c r="C715">
        <v>0</v>
      </c>
      <c r="D715">
        <v>0</v>
      </c>
      <c r="E715" s="123" t="s">
        <v>801</v>
      </c>
      <c r="F715" s="123" t="s">
        <v>679</v>
      </c>
      <c r="G715">
        <v>0</v>
      </c>
    </row>
    <row r="716" spans="1:7" x14ac:dyDescent="0.3">
      <c r="A716">
        <v>457</v>
      </c>
      <c r="B716" s="123" t="s">
        <v>297</v>
      </c>
      <c r="C716">
        <v>0</v>
      </c>
      <c r="D716">
        <v>0</v>
      </c>
      <c r="E716" s="123" t="s">
        <v>801</v>
      </c>
      <c r="F716" s="123" t="s">
        <v>679</v>
      </c>
      <c r="G716">
        <v>0</v>
      </c>
    </row>
    <row r="717" spans="1:7" x14ac:dyDescent="0.3">
      <c r="A717">
        <v>458</v>
      </c>
      <c r="B717" s="123" t="s">
        <v>446</v>
      </c>
      <c r="C717">
        <v>0</v>
      </c>
      <c r="D717">
        <v>10220.200000000001</v>
      </c>
      <c r="E717" s="123" t="s">
        <v>801</v>
      </c>
      <c r="F717" s="123" t="s">
        <v>679</v>
      </c>
      <c r="G717">
        <v>10220.200000000001</v>
      </c>
    </row>
    <row r="718" spans="1:7" x14ac:dyDescent="0.3">
      <c r="A718">
        <v>422</v>
      </c>
      <c r="B718" s="123" t="s">
        <v>299</v>
      </c>
      <c r="C718">
        <v>0</v>
      </c>
      <c r="D718">
        <v>0</v>
      </c>
      <c r="E718" s="123" t="s">
        <v>801</v>
      </c>
      <c r="F718" s="123" t="s">
        <v>679</v>
      </c>
      <c r="G718">
        <v>0</v>
      </c>
    </row>
    <row r="719" spans="1:7" x14ac:dyDescent="0.3">
      <c r="A719">
        <v>421</v>
      </c>
      <c r="B719" s="123" t="s">
        <v>205</v>
      </c>
      <c r="C719">
        <v>0</v>
      </c>
      <c r="D719">
        <v>0</v>
      </c>
      <c r="E719" s="123" t="s">
        <v>801</v>
      </c>
      <c r="F719" s="123" t="s">
        <v>679</v>
      </c>
      <c r="G719">
        <v>0</v>
      </c>
    </row>
    <row r="720" spans="1:7" x14ac:dyDescent="0.3">
      <c r="A720">
        <v>427</v>
      </c>
      <c r="B720" s="123" t="s">
        <v>555</v>
      </c>
      <c r="C720">
        <v>0</v>
      </c>
      <c r="D720">
        <v>0</v>
      </c>
      <c r="E720" s="123" t="s">
        <v>801</v>
      </c>
      <c r="F720" s="123" t="s">
        <v>679</v>
      </c>
      <c r="G720">
        <v>0</v>
      </c>
    </row>
    <row r="721" spans="1:7" x14ac:dyDescent="0.3">
      <c r="A721">
        <v>433</v>
      </c>
      <c r="B721" s="123" t="s">
        <v>603</v>
      </c>
      <c r="C721">
        <v>0</v>
      </c>
      <c r="D721">
        <v>0</v>
      </c>
      <c r="E721" s="123" t="s">
        <v>801</v>
      </c>
      <c r="F721" s="123" t="s">
        <v>679</v>
      </c>
      <c r="G721">
        <v>0</v>
      </c>
    </row>
    <row r="722" spans="1:7" x14ac:dyDescent="0.3">
      <c r="A722">
        <v>375</v>
      </c>
      <c r="B722" s="123" t="s">
        <v>191</v>
      </c>
      <c r="C722">
        <v>2100</v>
      </c>
      <c r="D722">
        <v>0</v>
      </c>
      <c r="E722" s="123" t="s">
        <v>801</v>
      </c>
      <c r="F722" s="123" t="s">
        <v>679</v>
      </c>
      <c r="G722">
        <v>2100</v>
      </c>
    </row>
    <row r="723" spans="1:7" x14ac:dyDescent="0.3">
      <c r="A723">
        <v>309</v>
      </c>
      <c r="B723" s="123" t="s">
        <v>169</v>
      </c>
      <c r="C723">
        <v>0</v>
      </c>
      <c r="D723">
        <v>0</v>
      </c>
      <c r="E723" s="123" t="s">
        <v>801</v>
      </c>
      <c r="F723" s="123" t="s">
        <v>679</v>
      </c>
      <c r="G723">
        <v>0</v>
      </c>
    </row>
    <row r="724" spans="1:7" x14ac:dyDescent="0.3">
      <c r="A724">
        <v>308</v>
      </c>
      <c r="B724" s="123" t="s">
        <v>169</v>
      </c>
      <c r="C724">
        <v>0</v>
      </c>
      <c r="D724">
        <v>0</v>
      </c>
      <c r="E724" s="123" t="s">
        <v>801</v>
      </c>
      <c r="F724" s="123" t="s">
        <v>679</v>
      </c>
      <c r="G724">
        <v>0</v>
      </c>
    </row>
    <row r="725" spans="1:7" x14ac:dyDescent="0.3">
      <c r="A725">
        <v>300</v>
      </c>
      <c r="B725" s="123" t="s">
        <v>349</v>
      </c>
      <c r="C725">
        <v>0</v>
      </c>
      <c r="D725">
        <v>0</v>
      </c>
      <c r="E725" s="123" t="s">
        <v>801</v>
      </c>
      <c r="F725" s="123" t="s">
        <v>679</v>
      </c>
      <c r="G725">
        <v>0</v>
      </c>
    </row>
    <row r="726" spans="1:7" x14ac:dyDescent="0.3">
      <c r="A726">
        <v>236</v>
      </c>
      <c r="B726" s="123" t="s">
        <v>124</v>
      </c>
      <c r="C726">
        <v>0</v>
      </c>
      <c r="D726">
        <v>0</v>
      </c>
      <c r="E726" s="123" t="s">
        <v>801</v>
      </c>
      <c r="F726" s="123" t="s">
        <v>679</v>
      </c>
      <c r="G726">
        <v>0</v>
      </c>
    </row>
    <row r="727" spans="1:7" x14ac:dyDescent="0.3">
      <c r="A727">
        <v>6072</v>
      </c>
      <c r="B727" s="123" t="s">
        <v>689</v>
      </c>
      <c r="C727">
        <v>0</v>
      </c>
      <c r="D727">
        <v>0</v>
      </c>
      <c r="E727" s="123" t="s">
        <v>801</v>
      </c>
      <c r="F727" s="123" t="s">
        <v>679</v>
      </c>
      <c r="G727">
        <v>0</v>
      </c>
    </row>
    <row r="728" spans="1:7" x14ac:dyDescent="0.3">
      <c r="A728">
        <v>6039</v>
      </c>
      <c r="B728" s="123" t="s">
        <v>686</v>
      </c>
      <c r="C728">
        <v>0</v>
      </c>
      <c r="D728">
        <v>19968</v>
      </c>
      <c r="E728" s="123" t="s">
        <v>801</v>
      </c>
      <c r="F728" s="123" t="s">
        <v>679</v>
      </c>
      <c r="G728">
        <v>19968</v>
      </c>
    </row>
    <row r="729" spans="1:7" x14ac:dyDescent="0.3">
      <c r="A729">
        <v>6005</v>
      </c>
      <c r="B729" s="123" t="s">
        <v>556</v>
      </c>
      <c r="C729">
        <v>0</v>
      </c>
      <c r="D729">
        <v>0</v>
      </c>
      <c r="E729" s="123" t="s">
        <v>801</v>
      </c>
      <c r="F729" s="123" t="s">
        <v>679</v>
      </c>
      <c r="G729">
        <v>0</v>
      </c>
    </row>
    <row r="730" spans="1:7" x14ac:dyDescent="0.3">
      <c r="A730">
        <v>6001</v>
      </c>
      <c r="B730" s="123" t="s">
        <v>559</v>
      </c>
      <c r="C730">
        <v>0</v>
      </c>
      <c r="D730">
        <v>0</v>
      </c>
      <c r="E730" s="123" t="s">
        <v>801</v>
      </c>
      <c r="F730" s="123" t="s">
        <v>679</v>
      </c>
      <c r="G730">
        <v>0</v>
      </c>
    </row>
    <row r="731" spans="1:7" x14ac:dyDescent="0.3">
      <c r="A731">
        <v>6002</v>
      </c>
      <c r="B731" s="123" t="s">
        <v>516</v>
      </c>
      <c r="C731">
        <v>0</v>
      </c>
      <c r="D731">
        <v>0</v>
      </c>
      <c r="E731" s="123" t="s">
        <v>801</v>
      </c>
      <c r="F731" s="123" t="s">
        <v>679</v>
      </c>
      <c r="G731">
        <v>0</v>
      </c>
    </row>
    <row r="732" spans="1:7" x14ac:dyDescent="0.3">
      <c r="A732">
        <v>568</v>
      </c>
      <c r="B732" s="123" t="s">
        <v>691</v>
      </c>
      <c r="C732">
        <v>0</v>
      </c>
      <c r="D732">
        <v>0</v>
      </c>
      <c r="E732" s="123" t="s">
        <v>801</v>
      </c>
      <c r="F732" s="123" t="s">
        <v>679</v>
      </c>
      <c r="G732">
        <v>0</v>
      </c>
    </row>
    <row r="733" spans="1:7" x14ac:dyDescent="0.3">
      <c r="A733">
        <v>305</v>
      </c>
      <c r="B733" s="123" t="s">
        <v>434</v>
      </c>
      <c r="C733">
        <v>5083.6499999999996</v>
      </c>
      <c r="D733">
        <v>0</v>
      </c>
      <c r="E733" s="123" t="s">
        <v>185</v>
      </c>
      <c r="F733" s="123" t="s">
        <v>672</v>
      </c>
      <c r="G733">
        <v>5083.6499999999996</v>
      </c>
    </row>
    <row r="734" spans="1:7" x14ac:dyDescent="0.3">
      <c r="A734">
        <v>269</v>
      </c>
      <c r="B734" s="123" t="s">
        <v>341</v>
      </c>
      <c r="C734">
        <v>-55407844.390000001</v>
      </c>
      <c r="D734">
        <v>-0.04</v>
      </c>
      <c r="E734" s="123" t="s">
        <v>185</v>
      </c>
      <c r="F734" s="123" t="s">
        <v>672</v>
      </c>
      <c r="G734">
        <v>-55407844.43</v>
      </c>
    </row>
    <row r="735" spans="1:7" x14ac:dyDescent="0.3">
      <c r="A735">
        <v>390</v>
      </c>
      <c r="B735" s="123" t="s">
        <v>320</v>
      </c>
      <c r="C735">
        <v>0</v>
      </c>
      <c r="D735">
        <v>0</v>
      </c>
      <c r="E735" s="123" t="s">
        <v>185</v>
      </c>
      <c r="F735" s="123" t="s">
        <v>672</v>
      </c>
      <c r="G735">
        <v>0</v>
      </c>
    </row>
    <row r="736" spans="1:7" x14ac:dyDescent="0.3">
      <c r="A736">
        <v>269</v>
      </c>
      <c r="B736" s="123" t="s">
        <v>341</v>
      </c>
      <c r="C736">
        <v>37314.449999999997</v>
      </c>
      <c r="D736">
        <v>0</v>
      </c>
      <c r="E736" s="123" t="s">
        <v>799</v>
      </c>
      <c r="F736" s="123" t="s">
        <v>676</v>
      </c>
      <c r="G736">
        <v>37314.449999999997</v>
      </c>
    </row>
    <row r="737" spans="1:7" x14ac:dyDescent="0.3">
      <c r="A737">
        <v>269</v>
      </c>
      <c r="B737" s="123" t="s">
        <v>341</v>
      </c>
      <c r="C737">
        <v>0</v>
      </c>
      <c r="D737">
        <v>0</v>
      </c>
      <c r="E737" s="123" t="s">
        <v>801</v>
      </c>
      <c r="F737" s="123" t="s">
        <v>679</v>
      </c>
      <c r="G737">
        <v>0</v>
      </c>
    </row>
    <row r="738" spans="1:7" x14ac:dyDescent="0.3">
      <c r="A738">
        <v>390</v>
      </c>
      <c r="B738" s="123" t="s">
        <v>320</v>
      </c>
      <c r="C738">
        <v>0</v>
      </c>
      <c r="D738">
        <v>0</v>
      </c>
      <c r="E738" s="123" t="s">
        <v>801</v>
      </c>
      <c r="F738" s="123" t="s">
        <v>679</v>
      </c>
      <c r="G738">
        <v>0</v>
      </c>
    </row>
    <row r="739" spans="1:7" x14ac:dyDescent="0.3">
      <c r="A739">
        <v>364</v>
      </c>
      <c r="B739" s="123" t="s">
        <v>846</v>
      </c>
      <c r="C739">
        <v>-3016.9</v>
      </c>
      <c r="D739">
        <v>0</v>
      </c>
      <c r="E739" s="123" t="s">
        <v>185</v>
      </c>
      <c r="F739" s="123" t="s">
        <v>672</v>
      </c>
      <c r="G739">
        <v>-3016.9</v>
      </c>
    </row>
    <row r="740" spans="1:7" x14ac:dyDescent="0.3">
      <c r="A740">
        <v>36</v>
      </c>
      <c r="B740" s="123" t="s">
        <v>282</v>
      </c>
      <c r="C740">
        <v>0</v>
      </c>
      <c r="D740">
        <v>0</v>
      </c>
      <c r="E740" s="123" t="s">
        <v>185</v>
      </c>
      <c r="F740" s="123" t="s">
        <v>672</v>
      </c>
      <c r="G740">
        <v>0</v>
      </c>
    </row>
    <row r="741" spans="1:7" x14ac:dyDescent="0.3">
      <c r="A741">
        <v>36</v>
      </c>
      <c r="B741" s="123" t="s">
        <v>282</v>
      </c>
      <c r="C741">
        <v>0</v>
      </c>
      <c r="D741">
        <v>0</v>
      </c>
      <c r="E741" s="123" t="s">
        <v>801</v>
      </c>
      <c r="F741" s="123" t="s">
        <v>679</v>
      </c>
      <c r="G741">
        <v>0</v>
      </c>
    </row>
    <row r="742" spans="1:7" x14ac:dyDescent="0.3">
      <c r="A742">
        <v>364</v>
      </c>
      <c r="B742" s="123" t="s">
        <v>846</v>
      </c>
      <c r="C742">
        <v>0</v>
      </c>
      <c r="D742">
        <v>0</v>
      </c>
      <c r="E742" s="123" t="s">
        <v>801</v>
      </c>
      <c r="F742" s="123" t="s">
        <v>679</v>
      </c>
      <c r="G742">
        <v>0</v>
      </c>
    </row>
    <row r="743" spans="1:7" x14ac:dyDescent="0.3">
      <c r="A743">
        <v>259</v>
      </c>
      <c r="B743" s="123" t="s">
        <v>385</v>
      </c>
      <c r="C743">
        <v>0</v>
      </c>
      <c r="D743">
        <v>0</v>
      </c>
      <c r="E743" s="123" t="s">
        <v>185</v>
      </c>
      <c r="F743" s="123" t="s">
        <v>672</v>
      </c>
      <c r="G743">
        <v>0</v>
      </c>
    </row>
    <row r="744" spans="1:7" x14ac:dyDescent="0.3">
      <c r="A744">
        <v>259</v>
      </c>
      <c r="B744" s="123" t="s">
        <v>385</v>
      </c>
      <c r="C744">
        <v>0.52</v>
      </c>
      <c r="D744">
        <v>0</v>
      </c>
      <c r="E744" s="123" t="s">
        <v>799</v>
      </c>
      <c r="F744" s="123" t="s">
        <v>676</v>
      </c>
      <c r="G744">
        <v>0.52</v>
      </c>
    </row>
    <row r="745" spans="1:7" x14ac:dyDescent="0.3">
      <c r="A745">
        <v>259</v>
      </c>
      <c r="B745" s="123" t="s">
        <v>385</v>
      </c>
      <c r="C745">
        <v>0</v>
      </c>
      <c r="D745">
        <v>0</v>
      </c>
      <c r="E745" s="123" t="s">
        <v>801</v>
      </c>
      <c r="F745" s="123" t="s">
        <v>679</v>
      </c>
      <c r="G745">
        <v>0</v>
      </c>
    </row>
    <row r="746" spans="1:7" x14ac:dyDescent="0.3">
      <c r="A746">
        <v>258</v>
      </c>
      <c r="B746" s="123" t="s">
        <v>605</v>
      </c>
      <c r="C746">
        <v>9.26</v>
      </c>
      <c r="D746">
        <v>0.02</v>
      </c>
      <c r="E746" s="123" t="s">
        <v>185</v>
      </c>
      <c r="F746" s="123" t="s">
        <v>672</v>
      </c>
      <c r="G746">
        <v>9.2799999999999994</v>
      </c>
    </row>
    <row r="747" spans="1:7" x14ac:dyDescent="0.3">
      <c r="A747">
        <v>235</v>
      </c>
      <c r="B747" s="123" t="s">
        <v>620</v>
      </c>
      <c r="C747">
        <v>0</v>
      </c>
      <c r="D747">
        <v>0.01</v>
      </c>
      <c r="E747" s="123" t="s">
        <v>185</v>
      </c>
      <c r="F747" s="123" t="s">
        <v>672</v>
      </c>
      <c r="G747">
        <v>0.01</v>
      </c>
    </row>
    <row r="748" spans="1:7" x14ac:dyDescent="0.3">
      <c r="A748">
        <v>215</v>
      </c>
      <c r="B748" s="123" t="s">
        <v>492</v>
      </c>
      <c r="C748">
        <v>10052.299999999999</v>
      </c>
      <c r="D748">
        <v>0.02</v>
      </c>
      <c r="E748" s="123" t="s">
        <v>185</v>
      </c>
      <c r="F748" s="123" t="s">
        <v>672</v>
      </c>
      <c r="G748">
        <v>10052.32</v>
      </c>
    </row>
    <row r="749" spans="1:7" x14ac:dyDescent="0.3">
      <c r="A749">
        <v>233</v>
      </c>
      <c r="B749" s="123" t="s">
        <v>646</v>
      </c>
      <c r="C749">
        <v>0</v>
      </c>
      <c r="D749">
        <v>0</v>
      </c>
      <c r="E749" s="123" t="s">
        <v>185</v>
      </c>
      <c r="F749" s="123" t="s">
        <v>672</v>
      </c>
      <c r="G749">
        <v>0</v>
      </c>
    </row>
    <row r="750" spans="1:7" x14ac:dyDescent="0.3">
      <c r="A750">
        <v>395</v>
      </c>
      <c r="B750" s="123" t="s">
        <v>541</v>
      </c>
      <c r="C750">
        <v>-67172164.640000001</v>
      </c>
      <c r="D750">
        <v>0.01</v>
      </c>
      <c r="E750" s="123" t="s">
        <v>185</v>
      </c>
      <c r="F750" s="123" t="s">
        <v>672</v>
      </c>
      <c r="G750">
        <v>-67172164.629999995</v>
      </c>
    </row>
    <row r="751" spans="1:7" x14ac:dyDescent="0.3">
      <c r="A751">
        <v>396</v>
      </c>
      <c r="B751" s="123" t="s">
        <v>397</v>
      </c>
      <c r="C751">
        <v>0</v>
      </c>
      <c r="D751">
        <v>0.02</v>
      </c>
      <c r="E751" s="123" t="s">
        <v>185</v>
      </c>
      <c r="F751" s="123" t="s">
        <v>672</v>
      </c>
      <c r="G751">
        <v>0.02</v>
      </c>
    </row>
    <row r="752" spans="1:7" x14ac:dyDescent="0.3">
      <c r="A752">
        <v>81</v>
      </c>
      <c r="B752" s="123" t="s">
        <v>402</v>
      </c>
      <c r="C752">
        <v>-5929903.1900000004</v>
      </c>
      <c r="D752">
        <v>-1.52</v>
      </c>
      <c r="E752" s="123" t="s">
        <v>185</v>
      </c>
      <c r="F752" s="123" t="s">
        <v>672</v>
      </c>
      <c r="G752">
        <v>-5929904.71</v>
      </c>
    </row>
    <row r="753" spans="1:7" x14ac:dyDescent="0.3">
      <c r="A753">
        <v>81</v>
      </c>
      <c r="B753" s="123" t="s">
        <v>402</v>
      </c>
      <c r="C753">
        <v>0</v>
      </c>
      <c r="D753">
        <v>5010.62</v>
      </c>
      <c r="E753" s="123" t="s">
        <v>799</v>
      </c>
      <c r="F753" s="123" t="s">
        <v>676</v>
      </c>
      <c r="G753">
        <v>5010.62</v>
      </c>
    </row>
    <row r="754" spans="1:7" x14ac:dyDescent="0.3">
      <c r="A754">
        <v>396</v>
      </c>
      <c r="B754" s="123" t="s">
        <v>397</v>
      </c>
      <c r="C754">
        <v>0</v>
      </c>
      <c r="D754">
        <v>0</v>
      </c>
      <c r="E754" s="123" t="s">
        <v>799</v>
      </c>
      <c r="F754" s="123" t="s">
        <v>676</v>
      </c>
      <c r="G754">
        <v>0</v>
      </c>
    </row>
    <row r="755" spans="1:7" x14ac:dyDescent="0.3">
      <c r="A755">
        <v>395</v>
      </c>
      <c r="B755" s="123" t="s">
        <v>541</v>
      </c>
      <c r="C755">
        <v>0</v>
      </c>
      <c r="D755">
        <v>0</v>
      </c>
      <c r="E755" s="123" t="s">
        <v>799</v>
      </c>
      <c r="F755" s="123" t="s">
        <v>676</v>
      </c>
      <c r="G755">
        <v>0</v>
      </c>
    </row>
    <row r="756" spans="1:7" x14ac:dyDescent="0.3">
      <c r="A756">
        <v>235</v>
      </c>
      <c r="B756" s="123" t="s">
        <v>620</v>
      </c>
      <c r="C756">
        <v>1110.5</v>
      </c>
      <c r="D756">
        <v>0</v>
      </c>
      <c r="E756" s="123" t="s">
        <v>799</v>
      </c>
      <c r="F756" s="123" t="s">
        <v>676</v>
      </c>
      <c r="G756">
        <v>1110.5</v>
      </c>
    </row>
    <row r="757" spans="1:7" x14ac:dyDescent="0.3">
      <c r="A757">
        <v>258</v>
      </c>
      <c r="B757" s="123" t="s">
        <v>605</v>
      </c>
      <c r="C757">
        <v>0</v>
      </c>
      <c r="D757">
        <v>0</v>
      </c>
      <c r="E757" s="123" t="s">
        <v>799</v>
      </c>
      <c r="F757" s="123" t="s">
        <v>676</v>
      </c>
      <c r="G757">
        <v>0</v>
      </c>
    </row>
    <row r="758" spans="1:7" x14ac:dyDescent="0.3">
      <c r="A758">
        <v>235</v>
      </c>
      <c r="B758" s="123" t="s">
        <v>620</v>
      </c>
      <c r="C758">
        <v>0</v>
      </c>
      <c r="D758">
        <v>0</v>
      </c>
      <c r="E758" s="123" t="s">
        <v>188</v>
      </c>
      <c r="F758" s="123" t="s">
        <v>678</v>
      </c>
      <c r="G758">
        <v>0</v>
      </c>
    </row>
    <row r="759" spans="1:7" x14ac:dyDescent="0.3">
      <c r="A759">
        <v>215</v>
      </c>
      <c r="B759" s="123" t="s">
        <v>492</v>
      </c>
      <c r="C759">
        <v>0</v>
      </c>
      <c r="D759">
        <v>0</v>
      </c>
      <c r="E759" s="123" t="s">
        <v>188</v>
      </c>
      <c r="F759" s="123" t="s">
        <v>678</v>
      </c>
      <c r="G759">
        <v>0</v>
      </c>
    </row>
    <row r="760" spans="1:7" x14ac:dyDescent="0.3">
      <c r="A760">
        <v>258</v>
      </c>
      <c r="B760" s="123" t="s">
        <v>605</v>
      </c>
      <c r="C760">
        <v>-1.1200000000000001</v>
      </c>
      <c r="D760">
        <v>0</v>
      </c>
      <c r="E760" s="123" t="s">
        <v>801</v>
      </c>
      <c r="F760" s="123" t="s">
        <v>679</v>
      </c>
      <c r="G760">
        <v>-1.1200000000000001</v>
      </c>
    </row>
    <row r="761" spans="1:7" x14ac:dyDescent="0.3">
      <c r="A761">
        <v>395</v>
      </c>
      <c r="B761" s="123" t="s">
        <v>541</v>
      </c>
      <c r="C761">
        <v>0</v>
      </c>
      <c r="D761">
        <v>62549.74</v>
      </c>
      <c r="E761" s="123" t="s">
        <v>801</v>
      </c>
      <c r="F761" s="123" t="s">
        <v>679</v>
      </c>
      <c r="G761">
        <v>62549.74</v>
      </c>
    </row>
    <row r="762" spans="1:7" x14ac:dyDescent="0.3">
      <c r="A762">
        <v>81</v>
      </c>
      <c r="B762" s="123" t="s">
        <v>402</v>
      </c>
      <c r="C762">
        <v>-58860.54</v>
      </c>
      <c r="D762">
        <v>144044.82999999999</v>
      </c>
      <c r="E762" s="123" t="s">
        <v>801</v>
      </c>
      <c r="F762" s="123" t="s">
        <v>679</v>
      </c>
      <c r="G762">
        <v>85184.29</v>
      </c>
    </row>
    <row r="763" spans="1:7" x14ac:dyDescent="0.3">
      <c r="A763">
        <v>79</v>
      </c>
      <c r="B763" s="123" t="s">
        <v>399</v>
      </c>
      <c r="C763">
        <v>13.94</v>
      </c>
      <c r="D763">
        <v>0.01</v>
      </c>
      <c r="E763" s="123" t="s">
        <v>185</v>
      </c>
      <c r="F763" s="123" t="s">
        <v>672</v>
      </c>
      <c r="G763">
        <v>13.95</v>
      </c>
    </row>
    <row r="764" spans="1:7" x14ac:dyDescent="0.3">
      <c r="A764">
        <v>73</v>
      </c>
      <c r="B764" s="123" t="s">
        <v>384</v>
      </c>
      <c r="C764">
        <v>4121420.53</v>
      </c>
      <c r="D764">
        <v>0.01</v>
      </c>
      <c r="E764" s="123" t="s">
        <v>185</v>
      </c>
      <c r="F764" s="123" t="s">
        <v>672</v>
      </c>
      <c r="G764">
        <v>4121420.54</v>
      </c>
    </row>
    <row r="765" spans="1:7" x14ac:dyDescent="0.3">
      <c r="A765">
        <v>164</v>
      </c>
      <c r="B765" s="123" t="s">
        <v>189</v>
      </c>
      <c r="C765">
        <v>0</v>
      </c>
      <c r="D765">
        <v>0</v>
      </c>
      <c r="E765" s="123" t="s">
        <v>185</v>
      </c>
      <c r="F765" s="123" t="s">
        <v>672</v>
      </c>
      <c r="G765">
        <v>0</v>
      </c>
    </row>
    <row r="766" spans="1:7" x14ac:dyDescent="0.3">
      <c r="A766">
        <v>127</v>
      </c>
      <c r="B766" s="123" t="s">
        <v>429</v>
      </c>
      <c r="C766">
        <v>22.56</v>
      </c>
      <c r="D766">
        <v>0.71</v>
      </c>
      <c r="E766" s="123" t="s">
        <v>185</v>
      </c>
      <c r="F766" s="123" t="s">
        <v>672</v>
      </c>
      <c r="G766">
        <v>23.27</v>
      </c>
    </row>
    <row r="767" spans="1:7" x14ac:dyDescent="0.3">
      <c r="A767">
        <v>460</v>
      </c>
      <c r="B767" s="123" t="s">
        <v>333</v>
      </c>
      <c r="C767">
        <v>228.23</v>
      </c>
      <c r="D767">
        <v>0</v>
      </c>
      <c r="E767" s="123" t="s">
        <v>185</v>
      </c>
      <c r="F767" s="123" t="s">
        <v>672</v>
      </c>
      <c r="G767">
        <v>228.23</v>
      </c>
    </row>
    <row r="768" spans="1:7" x14ac:dyDescent="0.3">
      <c r="A768">
        <v>472</v>
      </c>
      <c r="B768" s="123" t="s">
        <v>465</v>
      </c>
      <c r="C768">
        <v>-9901.48</v>
      </c>
      <c r="D768">
        <v>0</v>
      </c>
      <c r="E768" s="123" t="s">
        <v>185</v>
      </c>
      <c r="F768" s="123" t="s">
        <v>672</v>
      </c>
      <c r="G768">
        <v>-9901.48</v>
      </c>
    </row>
    <row r="769" spans="1:7" x14ac:dyDescent="0.3">
      <c r="A769">
        <v>43</v>
      </c>
      <c r="B769" s="123" t="s">
        <v>298</v>
      </c>
      <c r="C769">
        <v>-5.69</v>
      </c>
      <c r="D769">
        <v>0</v>
      </c>
      <c r="E769" s="123" t="s">
        <v>185</v>
      </c>
      <c r="F769" s="123" t="s">
        <v>672</v>
      </c>
      <c r="G769">
        <v>-5.69</v>
      </c>
    </row>
    <row r="770" spans="1:7" x14ac:dyDescent="0.3">
      <c r="A770">
        <v>28</v>
      </c>
      <c r="B770" s="123" t="s">
        <v>261</v>
      </c>
      <c r="C770">
        <v>-1636358.28</v>
      </c>
      <c r="D770">
        <v>0.22</v>
      </c>
      <c r="E770" s="123" t="s">
        <v>185</v>
      </c>
      <c r="F770" s="123" t="s">
        <v>672</v>
      </c>
      <c r="G770">
        <v>-1636358.06</v>
      </c>
    </row>
    <row r="771" spans="1:7" x14ac:dyDescent="0.3">
      <c r="A771">
        <v>335</v>
      </c>
      <c r="B771" s="123" t="s">
        <v>619</v>
      </c>
      <c r="C771">
        <v>38573.760000000002</v>
      </c>
      <c r="D771">
        <v>0.02</v>
      </c>
      <c r="E771" s="123" t="s">
        <v>185</v>
      </c>
      <c r="F771" s="123" t="s">
        <v>672</v>
      </c>
      <c r="G771">
        <v>38573.78</v>
      </c>
    </row>
    <row r="772" spans="1:7" x14ac:dyDescent="0.3">
      <c r="A772">
        <v>333</v>
      </c>
      <c r="B772" s="123" t="s">
        <v>298</v>
      </c>
      <c r="C772">
        <v>0</v>
      </c>
      <c r="D772">
        <v>0</v>
      </c>
      <c r="E772" s="123" t="s">
        <v>185</v>
      </c>
      <c r="F772" s="123" t="s">
        <v>672</v>
      </c>
      <c r="G772">
        <v>0</v>
      </c>
    </row>
    <row r="773" spans="1:7" x14ac:dyDescent="0.3">
      <c r="A773">
        <v>242</v>
      </c>
      <c r="B773" s="123" t="s">
        <v>298</v>
      </c>
      <c r="C773">
        <v>0</v>
      </c>
      <c r="D773">
        <v>0</v>
      </c>
      <c r="E773" s="123" t="s">
        <v>185</v>
      </c>
      <c r="F773" s="123" t="s">
        <v>672</v>
      </c>
      <c r="G773">
        <v>0</v>
      </c>
    </row>
    <row r="774" spans="1:7" x14ac:dyDescent="0.3">
      <c r="A774">
        <v>294</v>
      </c>
      <c r="B774" s="123" t="s">
        <v>476</v>
      </c>
      <c r="C774">
        <v>0</v>
      </c>
      <c r="D774">
        <v>0</v>
      </c>
      <c r="E774" s="123" t="s">
        <v>185</v>
      </c>
      <c r="F774" s="123" t="s">
        <v>672</v>
      </c>
      <c r="G774">
        <v>0</v>
      </c>
    </row>
    <row r="775" spans="1:7" x14ac:dyDescent="0.3">
      <c r="A775">
        <v>313</v>
      </c>
      <c r="B775" s="123" t="s">
        <v>298</v>
      </c>
      <c r="C775">
        <v>0</v>
      </c>
      <c r="D775">
        <v>0</v>
      </c>
      <c r="E775" s="123" t="s">
        <v>185</v>
      </c>
      <c r="F775" s="123" t="s">
        <v>672</v>
      </c>
      <c r="G775">
        <v>0</v>
      </c>
    </row>
    <row r="776" spans="1:7" x14ac:dyDescent="0.3">
      <c r="A776">
        <v>312</v>
      </c>
      <c r="B776" s="123" t="s">
        <v>298</v>
      </c>
      <c r="C776">
        <v>5.69</v>
      </c>
      <c r="D776">
        <v>0</v>
      </c>
      <c r="E776" s="123" t="s">
        <v>185</v>
      </c>
      <c r="F776" s="123" t="s">
        <v>672</v>
      </c>
      <c r="G776">
        <v>5.69</v>
      </c>
    </row>
    <row r="777" spans="1:7" x14ac:dyDescent="0.3">
      <c r="A777">
        <v>239</v>
      </c>
      <c r="B777" s="123" t="s">
        <v>298</v>
      </c>
      <c r="C777">
        <v>0</v>
      </c>
      <c r="D777">
        <v>0</v>
      </c>
      <c r="E777" s="123" t="s">
        <v>185</v>
      </c>
      <c r="F777" s="123" t="s">
        <v>672</v>
      </c>
      <c r="G777">
        <v>0</v>
      </c>
    </row>
    <row r="778" spans="1:7" x14ac:dyDescent="0.3">
      <c r="A778">
        <v>245</v>
      </c>
      <c r="B778" s="123" t="s">
        <v>430</v>
      </c>
      <c r="C778">
        <v>0</v>
      </c>
      <c r="D778">
        <v>0</v>
      </c>
      <c r="E778" s="123" t="s">
        <v>185</v>
      </c>
      <c r="F778" s="123" t="s">
        <v>672</v>
      </c>
      <c r="G778">
        <v>0</v>
      </c>
    </row>
    <row r="779" spans="1:7" x14ac:dyDescent="0.3">
      <c r="A779">
        <v>218</v>
      </c>
      <c r="B779" s="123" t="s">
        <v>443</v>
      </c>
      <c r="C779">
        <v>3362.98</v>
      </c>
      <c r="D779">
        <v>0</v>
      </c>
      <c r="E779" s="123" t="s">
        <v>185</v>
      </c>
      <c r="F779" s="123" t="s">
        <v>672</v>
      </c>
      <c r="G779">
        <v>3362.98</v>
      </c>
    </row>
    <row r="780" spans="1:7" x14ac:dyDescent="0.3">
      <c r="A780">
        <v>214</v>
      </c>
      <c r="B780" s="123" t="s">
        <v>452</v>
      </c>
      <c r="C780">
        <v>-165600.37</v>
      </c>
      <c r="D780">
        <v>0</v>
      </c>
      <c r="E780" s="123" t="s">
        <v>185</v>
      </c>
      <c r="F780" s="123" t="s">
        <v>672</v>
      </c>
      <c r="G780">
        <v>-165600.37</v>
      </c>
    </row>
    <row r="781" spans="1:7" x14ac:dyDescent="0.3">
      <c r="A781">
        <v>191</v>
      </c>
      <c r="B781" s="123" t="s">
        <v>384</v>
      </c>
      <c r="C781">
        <v>0</v>
      </c>
      <c r="D781">
        <v>0</v>
      </c>
      <c r="E781" s="123" t="s">
        <v>185</v>
      </c>
      <c r="F781" s="123" t="s">
        <v>672</v>
      </c>
      <c r="G781">
        <v>0</v>
      </c>
    </row>
    <row r="782" spans="1:7" x14ac:dyDescent="0.3">
      <c r="A782">
        <v>192</v>
      </c>
      <c r="B782" s="123" t="s">
        <v>384</v>
      </c>
      <c r="C782">
        <v>0</v>
      </c>
      <c r="D782">
        <v>0</v>
      </c>
      <c r="E782" s="123" t="s">
        <v>185</v>
      </c>
      <c r="F782" s="123" t="s">
        <v>672</v>
      </c>
      <c r="G782">
        <v>0</v>
      </c>
    </row>
    <row r="783" spans="1:7" x14ac:dyDescent="0.3">
      <c r="A783">
        <v>193</v>
      </c>
      <c r="B783" s="123" t="s">
        <v>384</v>
      </c>
      <c r="C783">
        <v>0</v>
      </c>
      <c r="D783">
        <v>0</v>
      </c>
      <c r="E783" s="123" t="s">
        <v>185</v>
      </c>
      <c r="F783" s="123" t="s">
        <v>672</v>
      </c>
      <c r="G783">
        <v>0</v>
      </c>
    </row>
    <row r="784" spans="1:7" x14ac:dyDescent="0.3">
      <c r="A784">
        <v>192</v>
      </c>
      <c r="B784" s="123" t="s">
        <v>384</v>
      </c>
      <c r="C784">
        <v>0</v>
      </c>
      <c r="D784">
        <v>0</v>
      </c>
      <c r="E784" s="123" t="s">
        <v>799</v>
      </c>
      <c r="F784" s="123" t="s">
        <v>676</v>
      </c>
      <c r="G784">
        <v>0</v>
      </c>
    </row>
    <row r="785" spans="1:7" x14ac:dyDescent="0.3">
      <c r="A785">
        <v>191</v>
      </c>
      <c r="B785" s="123" t="s">
        <v>384</v>
      </c>
      <c r="C785">
        <v>0</v>
      </c>
      <c r="D785">
        <v>0</v>
      </c>
      <c r="E785" s="123" t="s">
        <v>799</v>
      </c>
      <c r="F785" s="123" t="s">
        <v>676</v>
      </c>
      <c r="G785">
        <v>0</v>
      </c>
    </row>
    <row r="786" spans="1:7" x14ac:dyDescent="0.3">
      <c r="A786">
        <v>335</v>
      </c>
      <c r="B786" s="123" t="s">
        <v>619</v>
      </c>
      <c r="C786">
        <v>301400</v>
      </c>
      <c r="D786">
        <v>0</v>
      </c>
      <c r="E786" s="123" t="s">
        <v>799</v>
      </c>
      <c r="F786" s="123" t="s">
        <v>676</v>
      </c>
      <c r="G786">
        <v>301400</v>
      </c>
    </row>
    <row r="787" spans="1:7" x14ac:dyDescent="0.3">
      <c r="A787">
        <v>28</v>
      </c>
      <c r="B787" s="123" t="s">
        <v>261</v>
      </c>
      <c r="C787">
        <v>2193.7800000000002</v>
      </c>
      <c r="D787">
        <v>0</v>
      </c>
      <c r="E787" s="123" t="s">
        <v>799</v>
      </c>
      <c r="F787" s="123" t="s">
        <v>676</v>
      </c>
      <c r="G787">
        <v>2193.7800000000002</v>
      </c>
    </row>
    <row r="788" spans="1:7" x14ac:dyDescent="0.3">
      <c r="A788">
        <v>472</v>
      </c>
      <c r="B788" s="123" t="s">
        <v>465</v>
      </c>
      <c r="C788">
        <v>0</v>
      </c>
      <c r="D788">
        <v>0</v>
      </c>
      <c r="E788" s="123" t="s">
        <v>799</v>
      </c>
      <c r="F788" s="123" t="s">
        <v>676</v>
      </c>
      <c r="G788">
        <v>0</v>
      </c>
    </row>
    <row r="789" spans="1:7" x14ac:dyDescent="0.3">
      <c r="A789">
        <v>460</v>
      </c>
      <c r="B789" s="123" t="s">
        <v>333</v>
      </c>
      <c r="C789">
        <v>0</v>
      </c>
      <c r="D789">
        <v>0</v>
      </c>
      <c r="E789" s="123" t="s">
        <v>799</v>
      </c>
      <c r="F789" s="123" t="s">
        <v>676</v>
      </c>
      <c r="G789">
        <v>0</v>
      </c>
    </row>
    <row r="790" spans="1:7" x14ac:dyDescent="0.3">
      <c r="A790">
        <v>127</v>
      </c>
      <c r="B790" s="123" t="s">
        <v>429</v>
      </c>
      <c r="C790">
        <v>0.13</v>
      </c>
      <c r="D790">
        <v>0</v>
      </c>
      <c r="E790" s="123" t="s">
        <v>799</v>
      </c>
      <c r="F790" s="123" t="s">
        <v>676</v>
      </c>
      <c r="G790">
        <v>0.13</v>
      </c>
    </row>
    <row r="791" spans="1:7" x14ac:dyDescent="0.3">
      <c r="A791">
        <v>73</v>
      </c>
      <c r="B791" s="123" t="s">
        <v>384</v>
      </c>
      <c r="C791">
        <v>0</v>
      </c>
      <c r="D791">
        <v>28478.77</v>
      </c>
      <c r="E791" s="123" t="s">
        <v>799</v>
      </c>
      <c r="F791" s="123" t="s">
        <v>676</v>
      </c>
      <c r="G791">
        <v>28478.77</v>
      </c>
    </row>
    <row r="792" spans="1:7" x14ac:dyDescent="0.3">
      <c r="A792">
        <v>79</v>
      </c>
      <c r="B792" s="123" t="s">
        <v>399</v>
      </c>
      <c r="C792">
        <v>0</v>
      </c>
      <c r="D792">
        <v>0</v>
      </c>
      <c r="E792" s="123" t="s">
        <v>799</v>
      </c>
      <c r="F792" s="123" t="s">
        <v>676</v>
      </c>
      <c r="G792">
        <v>0</v>
      </c>
    </row>
    <row r="793" spans="1:7" x14ac:dyDescent="0.3">
      <c r="A793">
        <v>73</v>
      </c>
      <c r="B793" s="123" t="s">
        <v>384</v>
      </c>
      <c r="C793">
        <v>25235</v>
      </c>
      <c r="D793">
        <v>0</v>
      </c>
      <c r="E793" s="123" t="s">
        <v>188</v>
      </c>
      <c r="F793" s="123" t="s">
        <v>678</v>
      </c>
      <c r="G793">
        <v>25235</v>
      </c>
    </row>
    <row r="794" spans="1:7" x14ac:dyDescent="0.3">
      <c r="A794">
        <v>28</v>
      </c>
      <c r="B794" s="123" t="s">
        <v>261</v>
      </c>
      <c r="C794">
        <v>7.32</v>
      </c>
      <c r="D794">
        <v>0</v>
      </c>
      <c r="E794" s="123" t="s">
        <v>188</v>
      </c>
      <c r="F794" s="123" t="s">
        <v>678</v>
      </c>
      <c r="G794">
        <v>7.32</v>
      </c>
    </row>
    <row r="795" spans="1:7" x14ac:dyDescent="0.3">
      <c r="A795">
        <v>28</v>
      </c>
      <c r="B795" s="123" t="s">
        <v>261</v>
      </c>
      <c r="C795">
        <v>0</v>
      </c>
      <c r="D795">
        <v>0</v>
      </c>
      <c r="E795" s="123" t="s">
        <v>801</v>
      </c>
      <c r="F795" s="123" t="s">
        <v>679</v>
      </c>
      <c r="G795">
        <v>0</v>
      </c>
    </row>
    <row r="796" spans="1:7" x14ac:dyDescent="0.3">
      <c r="A796">
        <v>43</v>
      </c>
      <c r="B796" s="123" t="s">
        <v>298</v>
      </c>
      <c r="C796">
        <v>0</v>
      </c>
      <c r="D796">
        <v>1525</v>
      </c>
      <c r="E796" s="123" t="s">
        <v>801</v>
      </c>
      <c r="F796" s="123" t="s">
        <v>679</v>
      </c>
      <c r="G796">
        <v>1525</v>
      </c>
    </row>
    <row r="797" spans="1:7" x14ac:dyDescent="0.3">
      <c r="A797">
        <v>73</v>
      </c>
      <c r="B797" s="123" t="s">
        <v>384</v>
      </c>
      <c r="C797">
        <v>0</v>
      </c>
      <c r="D797">
        <v>75237.960000000006</v>
      </c>
      <c r="E797" s="123" t="s">
        <v>801</v>
      </c>
      <c r="F797" s="123" t="s">
        <v>679</v>
      </c>
      <c r="G797">
        <v>75237.960000000006</v>
      </c>
    </row>
    <row r="798" spans="1:7" x14ac:dyDescent="0.3">
      <c r="A798">
        <v>79</v>
      </c>
      <c r="B798" s="123" t="s">
        <v>399</v>
      </c>
      <c r="C798">
        <v>-0.01</v>
      </c>
      <c r="D798">
        <v>0</v>
      </c>
      <c r="E798" s="123" t="s">
        <v>801</v>
      </c>
      <c r="F798" s="123" t="s">
        <v>679</v>
      </c>
      <c r="G798">
        <v>-0.01</v>
      </c>
    </row>
    <row r="799" spans="1:7" x14ac:dyDescent="0.3">
      <c r="A799">
        <v>164</v>
      </c>
      <c r="B799" s="123" t="s">
        <v>189</v>
      </c>
      <c r="C799">
        <v>0</v>
      </c>
      <c r="D799">
        <v>0</v>
      </c>
      <c r="E799" s="123" t="s">
        <v>801</v>
      </c>
      <c r="F799" s="123" t="s">
        <v>679</v>
      </c>
      <c r="G799">
        <v>0</v>
      </c>
    </row>
    <row r="800" spans="1:7" x14ac:dyDescent="0.3">
      <c r="A800">
        <v>335</v>
      </c>
      <c r="B800" s="123" t="s">
        <v>619</v>
      </c>
      <c r="C800">
        <v>0</v>
      </c>
      <c r="D800">
        <v>0</v>
      </c>
      <c r="E800" s="123" t="s">
        <v>801</v>
      </c>
      <c r="F800" s="123" t="s">
        <v>679</v>
      </c>
      <c r="G800">
        <v>0</v>
      </c>
    </row>
    <row r="801" spans="1:7" x14ac:dyDescent="0.3">
      <c r="A801">
        <v>333</v>
      </c>
      <c r="B801" s="123" t="s">
        <v>298</v>
      </c>
      <c r="C801">
        <v>0</v>
      </c>
      <c r="D801">
        <v>0</v>
      </c>
      <c r="E801" s="123" t="s">
        <v>801</v>
      </c>
      <c r="F801" s="123" t="s">
        <v>679</v>
      </c>
      <c r="G801">
        <v>0</v>
      </c>
    </row>
    <row r="802" spans="1:7" x14ac:dyDescent="0.3">
      <c r="A802">
        <v>312</v>
      </c>
      <c r="B802" s="123" t="s">
        <v>298</v>
      </c>
      <c r="C802">
        <v>0</v>
      </c>
      <c r="D802">
        <v>0</v>
      </c>
      <c r="E802" s="123" t="s">
        <v>801</v>
      </c>
      <c r="F802" s="123" t="s">
        <v>679</v>
      </c>
      <c r="G802">
        <v>0</v>
      </c>
    </row>
    <row r="803" spans="1:7" x14ac:dyDescent="0.3">
      <c r="A803">
        <v>313</v>
      </c>
      <c r="B803" s="123" t="s">
        <v>298</v>
      </c>
      <c r="C803">
        <v>0</v>
      </c>
      <c r="D803">
        <v>0</v>
      </c>
      <c r="E803" s="123" t="s">
        <v>801</v>
      </c>
      <c r="F803" s="123" t="s">
        <v>679</v>
      </c>
      <c r="G803">
        <v>0</v>
      </c>
    </row>
    <row r="804" spans="1:7" x14ac:dyDescent="0.3">
      <c r="A804">
        <v>242</v>
      </c>
      <c r="B804" s="123" t="s">
        <v>298</v>
      </c>
      <c r="C804">
        <v>0</v>
      </c>
      <c r="D804">
        <v>0</v>
      </c>
      <c r="E804" s="123" t="s">
        <v>801</v>
      </c>
      <c r="F804" s="123" t="s">
        <v>679</v>
      </c>
      <c r="G804">
        <v>0</v>
      </c>
    </row>
    <row r="805" spans="1:7" x14ac:dyDescent="0.3">
      <c r="A805">
        <v>191</v>
      </c>
      <c r="B805" s="123" t="s">
        <v>384</v>
      </c>
      <c r="C805">
        <v>0</v>
      </c>
      <c r="D805">
        <v>0</v>
      </c>
      <c r="E805" s="123" t="s">
        <v>801</v>
      </c>
      <c r="F805" s="123" t="s">
        <v>679</v>
      </c>
      <c r="G805">
        <v>0</v>
      </c>
    </row>
    <row r="806" spans="1:7" x14ac:dyDescent="0.3">
      <c r="A806">
        <v>192</v>
      </c>
      <c r="B806" s="123" t="s">
        <v>384</v>
      </c>
      <c r="C806">
        <v>0</v>
      </c>
      <c r="D806">
        <v>0</v>
      </c>
      <c r="E806" s="123" t="s">
        <v>801</v>
      </c>
      <c r="F806" s="123" t="s">
        <v>679</v>
      </c>
      <c r="G806">
        <v>0</v>
      </c>
    </row>
    <row r="807" spans="1:7" x14ac:dyDescent="0.3">
      <c r="A807">
        <v>193</v>
      </c>
      <c r="B807" s="123" t="s">
        <v>384</v>
      </c>
      <c r="C807">
        <v>0</v>
      </c>
      <c r="D807">
        <v>0</v>
      </c>
      <c r="E807" s="123" t="s">
        <v>801</v>
      </c>
      <c r="F807" s="123" t="s">
        <v>679</v>
      </c>
      <c r="G807">
        <v>0</v>
      </c>
    </row>
    <row r="808" spans="1:7" x14ac:dyDescent="0.3">
      <c r="A808">
        <v>214</v>
      </c>
      <c r="B808" s="123" t="s">
        <v>452</v>
      </c>
      <c r="C808">
        <v>-8650</v>
      </c>
      <c r="D808">
        <v>0</v>
      </c>
      <c r="E808" s="123" t="s">
        <v>801</v>
      </c>
      <c r="F808" s="123" t="s">
        <v>679</v>
      </c>
      <c r="G808">
        <v>-8650</v>
      </c>
    </row>
    <row r="809" spans="1:7" x14ac:dyDescent="0.3">
      <c r="A809">
        <v>218</v>
      </c>
      <c r="B809" s="123" t="s">
        <v>443</v>
      </c>
      <c r="C809">
        <v>0</v>
      </c>
      <c r="D809">
        <v>0</v>
      </c>
      <c r="E809" s="123" t="s">
        <v>801</v>
      </c>
      <c r="F809" s="123" t="s">
        <v>679</v>
      </c>
      <c r="G809">
        <v>0</v>
      </c>
    </row>
    <row r="810" spans="1:7" x14ac:dyDescent="0.3">
      <c r="A810">
        <v>245</v>
      </c>
      <c r="B810" s="123" t="s">
        <v>430</v>
      </c>
      <c r="C810">
        <v>0</v>
      </c>
      <c r="D810">
        <v>0</v>
      </c>
      <c r="E810" s="123" t="s">
        <v>801</v>
      </c>
      <c r="F810" s="123" t="s">
        <v>679</v>
      </c>
      <c r="G810">
        <v>0</v>
      </c>
    </row>
    <row r="811" spans="1:7" x14ac:dyDescent="0.3">
      <c r="A811">
        <v>239</v>
      </c>
      <c r="B811" s="123" t="s">
        <v>298</v>
      </c>
      <c r="C811">
        <v>0</v>
      </c>
      <c r="D811">
        <v>0</v>
      </c>
      <c r="E811" s="123" t="s">
        <v>801</v>
      </c>
      <c r="F811" s="123" t="s">
        <v>679</v>
      </c>
      <c r="G811">
        <v>0</v>
      </c>
    </row>
    <row r="812" spans="1:7" x14ac:dyDescent="0.3">
      <c r="A812">
        <v>380</v>
      </c>
      <c r="B812" s="123" t="s">
        <v>419</v>
      </c>
      <c r="C812">
        <v>0</v>
      </c>
      <c r="D812">
        <v>0</v>
      </c>
      <c r="E812" s="123" t="s">
        <v>185</v>
      </c>
      <c r="F812" s="123" t="s">
        <v>672</v>
      </c>
      <c r="G812">
        <v>0</v>
      </c>
    </row>
    <row r="813" spans="1:7" x14ac:dyDescent="0.3">
      <c r="A813">
        <v>8</v>
      </c>
      <c r="B813" s="123" t="s">
        <v>204</v>
      </c>
      <c r="C813">
        <v>0</v>
      </c>
      <c r="D813">
        <v>0</v>
      </c>
      <c r="E813" s="123" t="s">
        <v>185</v>
      </c>
      <c r="F813" s="123" t="s">
        <v>672</v>
      </c>
      <c r="G813">
        <v>0</v>
      </c>
    </row>
    <row r="814" spans="1:7" x14ac:dyDescent="0.3">
      <c r="A814">
        <v>9</v>
      </c>
      <c r="B814" s="123" t="s">
        <v>207</v>
      </c>
      <c r="C814">
        <v>1.91</v>
      </c>
      <c r="D814">
        <v>0</v>
      </c>
      <c r="E814" s="123" t="s">
        <v>185</v>
      </c>
      <c r="F814" s="123" t="s">
        <v>672</v>
      </c>
      <c r="G814">
        <v>1.91</v>
      </c>
    </row>
    <row r="815" spans="1:7" x14ac:dyDescent="0.3">
      <c r="A815">
        <v>435</v>
      </c>
      <c r="B815" s="123" t="s">
        <v>1603</v>
      </c>
      <c r="C815">
        <v>-0.2</v>
      </c>
      <c r="D815">
        <v>0</v>
      </c>
      <c r="E815" s="123" t="s">
        <v>185</v>
      </c>
      <c r="F815" s="123" t="s">
        <v>672</v>
      </c>
      <c r="G815">
        <v>-0.2</v>
      </c>
    </row>
    <row r="816" spans="1:7" x14ac:dyDescent="0.3">
      <c r="A816">
        <v>435</v>
      </c>
      <c r="B816" s="123" t="s">
        <v>1603</v>
      </c>
      <c r="C816">
        <v>0</v>
      </c>
      <c r="D816">
        <v>0</v>
      </c>
      <c r="E816" s="123" t="s">
        <v>799</v>
      </c>
      <c r="F816" s="123" t="s">
        <v>676</v>
      </c>
      <c r="G816">
        <v>0</v>
      </c>
    </row>
    <row r="817" spans="1:7" x14ac:dyDescent="0.3">
      <c r="A817">
        <v>9</v>
      </c>
      <c r="B817" s="123" t="s">
        <v>207</v>
      </c>
      <c r="C817">
        <v>0</v>
      </c>
      <c r="D817">
        <v>10328</v>
      </c>
      <c r="E817" s="123" t="s">
        <v>799</v>
      </c>
      <c r="F817" s="123" t="s">
        <v>676</v>
      </c>
      <c r="G817">
        <v>10328</v>
      </c>
    </row>
    <row r="818" spans="1:7" x14ac:dyDescent="0.3">
      <c r="A818">
        <v>380</v>
      </c>
      <c r="B818" s="123" t="s">
        <v>419</v>
      </c>
      <c r="C818">
        <v>0</v>
      </c>
      <c r="D818">
        <v>0</v>
      </c>
      <c r="E818" s="123" t="s">
        <v>799</v>
      </c>
      <c r="F818" s="123" t="s">
        <v>676</v>
      </c>
      <c r="G818">
        <v>0</v>
      </c>
    </row>
    <row r="819" spans="1:7" x14ac:dyDescent="0.3">
      <c r="A819">
        <v>9</v>
      </c>
      <c r="B819" s="123" t="s">
        <v>207</v>
      </c>
      <c r="C819">
        <v>1248.5999999999999</v>
      </c>
      <c r="D819">
        <v>0</v>
      </c>
      <c r="E819" s="123" t="s">
        <v>188</v>
      </c>
      <c r="F819" s="123" t="s">
        <v>678</v>
      </c>
      <c r="G819">
        <v>1248.5999999999999</v>
      </c>
    </row>
    <row r="820" spans="1:7" x14ac:dyDescent="0.3">
      <c r="A820">
        <v>8</v>
      </c>
      <c r="B820" s="123" t="s">
        <v>204</v>
      </c>
      <c r="C820">
        <v>1567.73</v>
      </c>
      <c r="D820">
        <v>0</v>
      </c>
      <c r="E820" s="123" t="s">
        <v>188</v>
      </c>
      <c r="F820" s="123" t="s">
        <v>678</v>
      </c>
      <c r="G820">
        <v>1567.73</v>
      </c>
    </row>
    <row r="821" spans="1:7" x14ac:dyDescent="0.3">
      <c r="A821">
        <v>9</v>
      </c>
      <c r="B821" s="123" t="s">
        <v>207</v>
      </c>
      <c r="C821">
        <v>-2052.42</v>
      </c>
      <c r="D821">
        <v>0</v>
      </c>
      <c r="E821" s="123" t="s">
        <v>801</v>
      </c>
      <c r="F821" s="123" t="s">
        <v>679</v>
      </c>
      <c r="G821">
        <v>-2052.42</v>
      </c>
    </row>
    <row r="822" spans="1:7" x14ac:dyDescent="0.3">
      <c r="A822">
        <v>380</v>
      </c>
      <c r="B822" s="123" t="s">
        <v>419</v>
      </c>
      <c r="C822">
        <v>0</v>
      </c>
      <c r="D822">
        <v>0</v>
      </c>
      <c r="E822" s="123" t="s">
        <v>801</v>
      </c>
      <c r="F822" s="123" t="s">
        <v>679</v>
      </c>
      <c r="G822">
        <v>0</v>
      </c>
    </row>
    <row r="823" spans="1:7" x14ac:dyDescent="0.3">
      <c r="A823">
        <v>358</v>
      </c>
      <c r="B823" s="123" t="s">
        <v>550</v>
      </c>
      <c r="C823">
        <v>0</v>
      </c>
      <c r="D823">
        <v>-0.01</v>
      </c>
      <c r="E823" s="123" t="s">
        <v>185</v>
      </c>
      <c r="F823" s="123" t="s">
        <v>672</v>
      </c>
      <c r="G823">
        <v>-0.01</v>
      </c>
    </row>
    <row r="824" spans="1:7" x14ac:dyDescent="0.3">
      <c r="A824">
        <v>358</v>
      </c>
      <c r="B824" s="123" t="s">
        <v>550</v>
      </c>
      <c r="C824">
        <v>0</v>
      </c>
      <c r="D824">
        <v>0</v>
      </c>
      <c r="E824" s="123" t="s">
        <v>801</v>
      </c>
      <c r="F824" s="123" t="s">
        <v>679</v>
      </c>
      <c r="G824">
        <v>0</v>
      </c>
    </row>
    <row r="825" spans="1:7" x14ac:dyDescent="0.3">
      <c r="A825">
        <v>353</v>
      </c>
      <c r="B825" s="123" t="s">
        <v>423</v>
      </c>
      <c r="C825">
        <v>-178127436.63999999</v>
      </c>
      <c r="D825">
        <v>0</v>
      </c>
      <c r="E825" s="123" t="s">
        <v>185</v>
      </c>
      <c r="F825" s="123" t="s">
        <v>672</v>
      </c>
      <c r="G825">
        <v>-178127436.63999999</v>
      </c>
    </row>
    <row r="826" spans="1:7" x14ac:dyDescent="0.3">
      <c r="A826">
        <v>353</v>
      </c>
      <c r="B826" s="123" t="s">
        <v>423</v>
      </c>
      <c r="C826">
        <v>0</v>
      </c>
      <c r="D826">
        <v>0</v>
      </c>
      <c r="E826" s="123" t="s">
        <v>799</v>
      </c>
      <c r="F826" s="123" t="s">
        <v>676</v>
      </c>
      <c r="G826">
        <v>0</v>
      </c>
    </row>
    <row r="827" spans="1:7" x14ac:dyDescent="0.3">
      <c r="A827">
        <v>443</v>
      </c>
      <c r="B827" s="123" t="s">
        <v>531</v>
      </c>
      <c r="C827">
        <v>103904402.56999999</v>
      </c>
      <c r="D827">
        <v>0</v>
      </c>
      <c r="E827" s="123" t="s">
        <v>185</v>
      </c>
      <c r="F827" s="123" t="s">
        <v>672</v>
      </c>
      <c r="G827">
        <v>103904402.56999999</v>
      </c>
    </row>
    <row r="828" spans="1:7" x14ac:dyDescent="0.3">
      <c r="A828">
        <v>443</v>
      </c>
      <c r="B828" s="123" t="s">
        <v>531</v>
      </c>
      <c r="C828">
        <v>-10.85</v>
      </c>
      <c r="D828">
        <v>0</v>
      </c>
      <c r="E828" s="123" t="s">
        <v>799</v>
      </c>
      <c r="F828" s="123" t="s">
        <v>676</v>
      </c>
      <c r="G828">
        <v>-10.85</v>
      </c>
    </row>
    <row r="829" spans="1:7" x14ac:dyDescent="0.3">
      <c r="A829">
        <v>443</v>
      </c>
      <c r="B829" s="123" t="s">
        <v>531</v>
      </c>
      <c r="C829">
        <v>9250</v>
      </c>
      <c r="D829">
        <v>1784452.35</v>
      </c>
      <c r="E829" s="123" t="s">
        <v>801</v>
      </c>
      <c r="F829" s="123" t="s">
        <v>679</v>
      </c>
      <c r="G829">
        <v>1793702.35</v>
      </c>
    </row>
    <row r="830" spans="1:7" x14ac:dyDescent="0.3">
      <c r="A830">
        <v>151</v>
      </c>
      <c r="B830" s="123" t="s">
        <v>517</v>
      </c>
      <c r="C830">
        <v>0</v>
      </c>
      <c r="D830">
        <v>0.44</v>
      </c>
      <c r="E830" s="123" t="s">
        <v>185</v>
      </c>
      <c r="F830" s="123" t="s">
        <v>672</v>
      </c>
      <c r="G830">
        <v>0.44</v>
      </c>
    </row>
    <row r="831" spans="1:7" x14ac:dyDescent="0.3">
      <c r="A831">
        <v>151</v>
      </c>
      <c r="B831" s="123" t="s">
        <v>517</v>
      </c>
      <c r="C831">
        <v>0</v>
      </c>
      <c r="D831">
        <v>0</v>
      </c>
      <c r="E831" s="123" t="s">
        <v>801</v>
      </c>
      <c r="F831" s="123" t="s">
        <v>679</v>
      </c>
      <c r="G831">
        <v>0</v>
      </c>
    </row>
    <row r="832" spans="1:7" x14ac:dyDescent="0.3">
      <c r="A832">
        <v>67</v>
      </c>
      <c r="B832" s="123" t="s">
        <v>374</v>
      </c>
      <c r="C832">
        <v>-19.23</v>
      </c>
      <c r="D832">
        <v>0</v>
      </c>
      <c r="E832" s="123" t="s">
        <v>185</v>
      </c>
      <c r="F832" s="123" t="s">
        <v>672</v>
      </c>
      <c r="G832">
        <v>-19.23</v>
      </c>
    </row>
    <row r="833" spans="1:7" x14ac:dyDescent="0.3">
      <c r="A833">
        <v>374</v>
      </c>
      <c r="B833" s="123" t="s">
        <v>574</v>
      </c>
      <c r="C833">
        <v>-10081250</v>
      </c>
      <c r="D833">
        <v>44553.01</v>
      </c>
      <c r="E833" s="123" t="s">
        <v>185</v>
      </c>
      <c r="F833" s="123" t="s">
        <v>672</v>
      </c>
      <c r="G833">
        <v>-10036696.99</v>
      </c>
    </row>
    <row r="834" spans="1:7" x14ac:dyDescent="0.3">
      <c r="A834">
        <v>394</v>
      </c>
      <c r="B834" s="123" t="s">
        <v>612</v>
      </c>
      <c r="C834">
        <v>0</v>
      </c>
      <c r="D834">
        <v>0</v>
      </c>
      <c r="E834" s="123" t="s">
        <v>185</v>
      </c>
      <c r="F834" s="123" t="s">
        <v>672</v>
      </c>
      <c r="G834">
        <v>0</v>
      </c>
    </row>
    <row r="835" spans="1:7" x14ac:dyDescent="0.3">
      <c r="A835">
        <v>409</v>
      </c>
      <c r="B835" s="123" t="s">
        <v>622</v>
      </c>
      <c r="C835">
        <v>0</v>
      </c>
      <c r="D835">
        <v>0</v>
      </c>
      <c r="E835" s="123" t="s">
        <v>185</v>
      </c>
      <c r="F835" s="123" t="s">
        <v>672</v>
      </c>
      <c r="G835">
        <v>0</v>
      </c>
    </row>
    <row r="836" spans="1:7" x14ac:dyDescent="0.3">
      <c r="A836">
        <v>374</v>
      </c>
      <c r="B836" s="123" t="s">
        <v>574</v>
      </c>
      <c r="C836">
        <v>23.57</v>
      </c>
      <c r="D836">
        <v>0</v>
      </c>
      <c r="E836" s="123" t="s">
        <v>799</v>
      </c>
      <c r="F836" s="123" t="s">
        <v>676</v>
      </c>
      <c r="G836">
        <v>23.57</v>
      </c>
    </row>
    <row r="837" spans="1:7" x14ac:dyDescent="0.3">
      <c r="A837">
        <v>67</v>
      </c>
      <c r="B837" s="123" t="s">
        <v>374</v>
      </c>
      <c r="C837">
        <v>50.75</v>
      </c>
      <c r="D837">
        <v>0</v>
      </c>
      <c r="E837" s="123" t="s">
        <v>799</v>
      </c>
      <c r="F837" s="123" t="s">
        <v>676</v>
      </c>
      <c r="G837">
        <v>50.75</v>
      </c>
    </row>
    <row r="838" spans="1:7" x14ac:dyDescent="0.3">
      <c r="A838">
        <v>374</v>
      </c>
      <c r="B838" s="123" t="s">
        <v>574</v>
      </c>
      <c r="C838">
        <v>-2.86</v>
      </c>
      <c r="D838">
        <v>0</v>
      </c>
      <c r="E838" s="123" t="s">
        <v>188</v>
      </c>
      <c r="F838" s="123" t="s">
        <v>678</v>
      </c>
      <c r="G838">
        <v>-2.86</v>
      </c>
    </row>
    <row r="839" spans="1:7" x14ac:dyDescent="0.3">
      <c r="A839">
        <v>374</v>
      </c>
      <c r="B839" s="123" t="s">
        <v>574</v>
      </c>
      <c r="C839">
        <v>0</v>
      </c>
      <c r="D839">
        <v>0</v>
      </c>
      <c r="E839" s="123" t="s">
        <v>801</v>
      </c>
      <c r="F839" s="123" t="s">
        <v>679</v>
      </c>
      <c r="G839">
        <v>0</v>
      </c>
    </row>
    <row r="840" spans="1:7" x14ac:dyDescent="0.3">
      <c r="A840">
        <v>409</v>
      </c>
      <c r="B840" s="123" t="s">
        <v>622</v>
      </c>
      <c r="C840">
        <v>0</v>
      </c>
      <c r="D840">
        <v>0</v>
      </c>
      <c r="E840" s="123" t="s">
        <v>801</v>
      </c>
      <c r="F840" s="123" t="s">
        <v>679</v>
      </c>
      <c r="G840">
        <v>0</v>
      </c>
    </row>
    <row r="841" spans="1:7" x14ac:dyDescent="0.3">
      <c r="A841">
        <v>67</v>
      </c>
      <c r="B841" s="123" t="s">
        <v>374</v>
      </c>
      <c r="C841">
        <v>-1.92</v>
      </c>
      <c r="D841">
        <v>0</v>
      </c>
      <c r="E841" s="123" t="s">
        <v>801</v>
      </c>
      <c r="F841" s="123" t="s">
        <v>679</v>
      </c>
      <c r="G841">
        <v>-1.92</v>
      </c>
    </row>
    <row r="842" spans="1:7" x14ac:dyDescent="0.3">
      <c r="A842">
        <v>495</v>
      </c>
      <c r="B842" s="123" t="s">
        <v>311</v>
      </c>
      <c r="C842">
        <v>506.14</v>
      </c>
      <c r="D842">
        <v>0.01</v>
      </c>
      <c r="E842" s="123" t="s">
        <v>185</v>
      </c>
      <c r="F842" s="123" t="s">
        <v>672</v>
      </c>
      <c r="G842">
        <v>506.15</v>
      </c>
    </row>
    <row r="843" spans="1:7" x14ac:dyDescent="0.3">
      <c r="A843">
        <v>497</v>
      </c>
      <c r="B843" s="123" t="s">
        <v>310</v>
      </c>
      <c r="C843">
        <v>0</v>
      </c>
      <c r="D843">
        <v>0</v>
      </c>
      <c r="E843" s="123" t="s">
        <v>185</v>
      </c>
      <c r="F843" s="123" t="s">
        <v>672</v>
      </c>
      <c r="G843">
        <v>0</v>
      </c>
    </row>
    <row r="844" spans="1:7" x14ac:dyDescent="0.3">
      <c r="A844">
        <v>498</v>
      </c>
      <c r="B844" s="123" t="s">
        <v>617</v>
      </c>
      <c r="C844">
        <v>0</v>
      </c>
      <c r="D844">
        <v>0</v>
      </c>
      <c r="E844" s="123" t="s">
        <v>185</v>
      </c>
      <c r="F844" s="123" t="s">
        <v>672</v>
      </c>
      <c r="G844">
        <v>0</v>
      </c>
    </row>
    <row r="845" spans="1:7" x14ac:dyDescent="0.3">
      <c r="A845">
        <v>130</v>
      </c>
      <c r="B845" s="123" t="s">
        <v>485</v>
      </c>
      <c r="C845">
        <v>-7331.22</v>
      </c>
      <c r="D845">
        <v>-0.14000000000000001</v>
      </c>
      <c r="E845" s="123" t="s">
        <v>185</v>
      </c>
      <c r="F845" s="123" t="s">
        <v>672</v>
      </c>
      <c r="G845">
        <v>-7331.36</v>
      </c>
    </row>
    <row r="846" spans="1:7" x14ac:dyDescent="0.3">
      <c r="A846">
        <v>429</v>
      </c>
      <c r="B846" s="123" t="s">
        <v>469</v>
      </c>
      <c r="C846">
        <v>-13212183.140000001</v>
      </c>
      <c r="D846">
        <v>0</v>
      </c>
      <c r="E846" s="123" t="s">
        <v>185</v>
      </c>
      <c r="F846" s="123" t="s">
        <v>672</v>
      </c>
      <c r="G846">
        <v>-13212183.140000001</v>
      </c>
    </row>
    <row r="847" spans="1:7" x14ac:dyDescent="0.3">
      <c r="A847">
        <v>483</v>
      </c>
      <c r="B847" s="123" t="s">
        <v>401</v>
      </c>
      <c r="C847">
        <v>0</v>
      </c>
      <c r="D847">
        <v>-0.01</v>
      </c>
      <c r="E847" s="123" t="s">
        <v>185</v>
      </c>
      <c r="F847" s="123" t="s">
        <v>672</v>
      </c>
      <c r="G847">
        <v>-0.01</v>
      </c>
    </row>
    <row r="848" spans="1:7" x14ac:dyDescent="0.3">
      <c r="A848">
        <v>54</v>
      </c>
      <c r="B848" s="123" t="s">
        <v>334</v>
      </c>
      <c r="C848">
        <v>-28057.75</v>
      </c>
      <c r="D848">
        <v>0</v>
      </c>
      <c r="E848" s="123" t="s">
        <v>185</v>
      </c>
      <c r="F848" s="123" t="s">
        <v>672</v>
      </c>
      <c r="G848">
        <v>-28057.75</v>
      </c>
    </row>
    <row r="849" spans="1:7" x14ac:dyDescent="0.3">
      <c r="A849">
        <v>329</v>
      </c>
      <c r="B849" s="123" t="s">
        <v>325</v>
      </c>
      <c r="C849">
        <v>18942.95</v>
      </c>
      <c r="D849">
        <v>0</v>
      </c>
      <c r="E849" s="123" t="s">
        <v>185</v>
      </c>
      <c r="F849" s="123" t="s">
        <v>672</v>
      </c>
      <c r="G849">
        <v>18942.95</v>
      </c>
    </row>
    <row r="850" spans="1:7" x14ac:dyDescent="0.3">
      <c r="A850">
        <v>330</v>
      </c>
      <c r="B850" s="123" t="s">
        <v>626</v>
      </c>
      <c r="C850">
        <v>59573.66</v>
      </c>
      <c r="D850">
        <v>0</v>
      </c>
      <c r="E850" s="123" t="s">
        <v>185</v>
      </c>
      <c r="F850" s="123" t="s">
        <v>672</v>
      </c>
      <c r="G850">
        <v>59573.66</v>
      </c>
    </row>
    <row r="851" spans="1:7" x14ac:dyDescent="0.3">
      <c r="A851">
        <v>322</v>
      </c>
      <c r="B851" s="123" t="s">
        <v>468</v>
      </c>
      <c r="C851">
        <v>0</v>
      </c>
      <c r="D851">
        <v>0.09</v>
      </c>
      <c r="E851" s="123" t="s">
        <v>185</v>
      </c>
      <c r="F851" s="123" t="s">
        <v>672</v>
      </c>
      <c r="G851">
        <v>0.09</v>
      </c>
    </row>
    <row r="852" spans="1:7" x14ac:dyDescent="0.3">
      <c r="A852">
        <v>321</v>
      </c>
      <c r="B852" s="123" t="s">
        <v>203</v>
      </c>
      <c r="C852">
        <v>0.37</v>
      </c>
      <c r="D852">
        <v>0</v>
      </c>
      <c r="E852" s="123" t="s">
        <v>185</v>
      </c>
      <c r="F852" s="123" t="s">
        <v>672</v>
      </c>
      <c r="G852">
        <v>0.37</v>
      </c>
    </row>
    <row r="853" spans="1:7" x14ac:dyDescent="0.3">
      <c r="A853">
        <v>212</v>
      </c>
      <c r="B853" s="123" t="s">
        <v>519</v>
      </c>
      <c r="C853">
        <v>-1987.4</v>
      </c>
      <c r="D853">
        <v>0</v>
      </c>
      <c r="E853" s="123" t="s">
        <v>185</v>
      </c>
      <c r="F853" s="123" t="s">
        <v>672</v>
      </c>
      <c r="G853">
        <v>-1987.4</v>
      </c>
    </row>
    <row r="854" spans="1:7" x14ac:dyDescent="0.3">
      <c r="A854">
        <v>330</v>
      </c>
      <c r="B854" s="123" t="s">
        <v>626</v>
      </c>
      <c r="C854">
        <v>-5.63</v>
      </c>
      <c r="D854">
        <v>0</v>
      </c>
      <c r="E854" s="123" t="s">
        <v>799</v>
      </c>
      <c r="F854" s="123" t="s">
        <v>676</v>
      </c>
      <c r="G854">
        <v>-5.63</v>
      </c>
    </row>
    <row r="855" spans="1:7" x14ac:dyDescent="0.3">
      <c r="A855">
        <v>329</v>
      </c>
      <c r="B855" s="123" t="s">
        <v>325</v>
      </c>
      <c r="C855">
        <v>-3.23</v>
      </c>
      <c r="D855">
        <v>0</v>
      </c>
      <c r="E855" s="123" t="s">
        <v>799</v>
      </c>
      <c r="F855" s="123" t="s">
        <v>676</v>
      </c>
      <c r="G855">
        <v>-3.23</v>
      </c>
    </row>
    <row r="856" spans="1:7" x14ac:dyDescent="0.3">
      <c r="A856">
        <v>54</v>
      </c>
      <c r="B856" s="123" t="s">
        <v>334</v>
      </c>
      <c r="C856">
        <v>0</v>
      </c>
      <c r="D856">
        <v>0</v>
      </c>
      <c r="E856" s="123" t="s">
        <v>799</v>
      </c>
      <c r="F856" s="123" t="s">
        <v>676</v>
      </c>
      <c r="G856">
        <v>0</v>
      </c>
    </row>
    <row r="857" spans="1:7" x14ac:dyDescent="0.3">
      <c r="A857">
        <v>130</v>
      </c>
      <c r="B857" s="123" t="s">
        <v>485</v>
      </c>
      <c r="C857">
        <v>-90015.6</v>
      </c>
      <c r="D857">
        <v>0</v>
      </c>
      <c r="E857" s="123" t="s">
        <v>799</v>
      </c>
      <c r="F857" s="123" t="s">
        <v>676</v>
      </c>
      <c r="G857">
        <v>-90015.6</v>
      </c>
    </row>
    <row r="858" spans="1:7" x14ac:dyDescent="0.3">
      <c r="A858">
        <v>498</v>
      </c>
      <c r="B858" s="123" t="s">
        <v>617</v>
      </c>
      <c r="C858">
        <v>0</v>
      </c>
      <c r="D858">
        <v>0</v>
      </c>
      <c r="E858" s="123" t="s">
        <v>799</v>
      </c>
      <c r="F858" s="123" t="s">
        <v>676</v>
      </c>
      <c r="G858">
        <v>0</v>
      </c>
    </row>
    <row r="859" spans="1:7" x14ac:dyDescent="0.3">
      <c r="A859">
        <v>497</v>
      </c>
      <c r="B859" s="123" t="s">
        <v>310</v>
      </c>
      <c r="C859">
        <v>0</v>
      </c>
      <c r="D859">
        <v>0</v>
      </c>
      <c r="E859" s="123" t="s">
        <v>799</v>
      </c>
      <c r="F859" s="123" t="s">
        <v>676</v>
      </c>
      <c r="G859">
        <v>0</v>
      </c>
    </row>
    <row r="860" spans="1:7" x14ac:dyDescent="0.3">
      <c r="A860">
        <v>495</v>
      </c>
      <c r="B860" s="123" t="s">
        <v>311</v>
      </c>
      <c r="C860">
        <v>4.84</v>
      </c>
      <c r="D860">
        <v>0</v>
      </c>
      <c r="E860" s="123" t="s">
        <v>799</v>
      </c>
      <c r="F860" s="123" t="s">
        <v>676</v>
      </c>
      <c r="G860">
        <v>4.84</v>
      </c>
    </row>
    <row r="861" spans="1:7" x14ac:dyDescent="0.3">
      <c r="A861">
        <v>130</v>
      </c>
      <c r="B861" s="123" t="s">
        <v>485</v>
      </c>
      <c r="C861">
        <v>1189.83</v>
      </c>
      <c r="D861">
        <v>0</v>
      </c>
      <c r="E861" s="123" t="s">
        <v>188</v>
      </c>
      <c r="F861" s="123" t="s">
        <v>678</v>
      </c>
      <c r="G861">
        <v>1189.83</v>
      </c>
    </row>
    <row r="862" spans="1:7" x14ac:dyDescent="0.3">
      <c r="A862">
        <v>54</v>
      </c>
      <c r="B862" s="123" t="s">
        <v>334</v>
      </c>
      <c r="C862">
        <v>109755.8</v>
      </c>
      <c r="D862">
        <v>0</v>
      </c>
      <c r="E862" s="123" t="s">
        <v>188</v>
      </c>
      <c r="F862" s="123" t="s">
        <v>678</v>
      </c>
      <c r="G862">
        <v>109755.8</v>
      </c>
    </row>
    <row r="863" spans="1:7" x14ac:dyDescent="0.3">
      <c r="A863">
        <v>329</v>
      </c>
      <c r="B863" s="123" t="s">
        <v>325</v>
      </c>
      <c r="C863">
        <v>0.1</v>
      </c>
      <c r="D863">
        <v>0</v>
      </c>
      <c r="E863" s="123" t="s">
        <v>188</v>
      </c>
      <c r="F863" s="123" t="s">
        <v>678</v>
      </c>
      <c r="G863">
        <v>0.1</v>
      </c>
    </row>
    <row r="864" spans="1:7" x14ac:dyDescent="0.3">
      <c r="A864">
        <v>330</v>
      </c>
      <c r="B864" s="123" t="s">
        <v>626</v>
      </c>
      <c r="C864">
        <v>2.25</v>
      </c>
      <c r="D864">
        <v>0</v>
      </c>
      <c r="E864" s="123" t="s">
        <v>188</v>
      </c>
      <c r="F864" s="123" t="s">
        <v>678</v>
      </c>
      <c r="G864">
        <v>2.25</v>
      </c>
    </row>
    <row r="865" spans="1:7" x14ac:dyDescent="0.3">
      <c r="A865">
        <v>330</v>
      </c>
      <c r="B865" s="123" t="s">
        <v>626</v>
      </c>
      <c r="C865">
        <v>0</v>
      </c>
      <c r="D865">
        <v>0</v>
      </c>
      <c r="E865" s="123" t="s">
        <v>801</v>
      </c>
      <c r="F865" s="123" t="s">
        <v>679</v>
      </c>
      <c r="G865">
        <v>0</v>
      </c>
    </row>
    <row r="866" spans="1:7" x14ac:dyDescent="0.3">
      <c r="A866">
        <v>321</v>
      </c>
      <c r="B866" s="123" t="s">
        <v>203</v>
      </c>
      <c r="C866">
        <v>0</v>
      </c>
      <c r="D866">
        <v>11217.89</v>
      </c>
      <c r="E866" s="123" t="s">
        <v>801</v>
      </c>
      <c r="F866" s="123" t="s">
        <v>679</v>
      </c>
      <c r="G866">
        <v>11217.89</v>
      </c>
    </row>
    <row r="867" spans="1:7" x14ac:dyDescent="0.3">
      <c r="A867">
        <v>322</v>
      </c>
      <c r="B867" s="123" t="s">
        <v>468</v>
      </c>
      <c r="C867">
        <v>0</v>
      </c>
      <c r="D867">
        <v>0</v>
      </c>
      <c r="E867" s="123" t="s">
        <v>801</v>
      </c>
      <c r="F867" s="123" t="s">
        <v>679</v>
      </c>
      <c r="G867">
        <v>0</v>
      </c>
    </row>
    <row r="868" spans="1:7" x14ac:dyDescent="0.3">
      <c r="A868">
        <v>212</v>
      </c>
      <c r="B868" s="123" t="s">
        <v>519</v>
      </c>
      <c r="C868">
        <v>0</v>
      </c>
      <c r="D868">
        <v>0</v>
      </c>
      <c r="E868" s="123" t="s">
        <v>801</v>
      </c>
      <c r="F868" s="123" t="s">
        <v>679</v>
      </c>
      <c r="G868">
        <v>0</v>
      </c>
    </row>
    <row r="869" spans="1:7" x14ac:dyDescent="0.3">
      <c r="A869">
        <v>54</v>
      </c>
      <c r="B869" s="123" t="s">
        <v>334</v>
      </c>
      <c r="C869">
        <v>0</v>
      </c>
      <c r="D869">
        <v>0</v>
      </c>
      <c r="E869" s="123" t="s">
        <v>801</v>
      </c>
      <c r="F869" s="123" t="s">
        <v>679</v>
      </c>
      <c r="G869">
        <v>0</v>
      </c>
    </row>
    <row r="870" spans="1:7" x14ac:dyDescent="0.3">
      <c r="A870">
        <v>429</v>
      </c>
      <c r="B870" s="123" t="s">
        <v>469</v>
      </c>
      <c r="C870">
        <v>0</v>
      </c>
      <c r="D870">
        <v>53182.96</v>
      </c>
      <c r="E870" s="123" t="s">
        <v>801</v>
      </c>
      <c r="F870" s="123" t="s">
        <v>679</v>
      </c>
      <c r="G870">
        <v>53182.96</v>
      </c>
    </row>
    <row r="871" spans="1:7" x14ac:dyDescent="0.3">
      <c r="A871">
        <v>130</v>
      </c>
      <c r="B871" s="123" t="s">
        <v>485</v>
      </c>
      <c r="C871">
        <v>-6</v>
      </c>
      <c r="D871">
        <v>0</v>
      </c>
      <c r="E871" s="123" t="s">
        <v>801</v>
      </c>
      <c r="F871" s="123" t="s">
        <v>679</v>
      </c>
      <c r="G871">
        <v>-6</v>
      </c>
    </row>
    <row r="872" spans="1:7" x14ac:dyDescent="0.3">
      <c r="A872">
        <v>74</v>
      </c>
      <c r="B872" s="123" t="s">
        <v>388</v>
      </c>
      <c r="C872">
        <v>25533.46</v>
      </c>
      <c r="D872">
        <v>-61594818.960000001</v>
      </c>
      <c r="E872" s="123" t="s">
        <v>185</v>
      </c>
      <c r="F872" s="123" t="s">
        <v>672</v>
      </c>
      <c r="G872">
        <v>-61569285.5</v>
      </c>
    </row>
    <row r="873" spans="1:7" x14ac:dyDescent="0.3">
      <c r="A873">
        <v>411</v>
      </c>
      <c r="B873" s="123" t="s">
        <v>558</v>
      </c>
      <c r="C873">
        <v>-0.2</v>
      </c>
      <c r="D873">
        <v>0</v>
      </c>
      <c r="E873" s="123" t="s">
        <v>185</v>
      </c>
      <c r="F873" s="123" t="s">
        <v>672</v>
      </c>
      <c r="G873">
        <v>-0.2</v>
      </c>
    </row>
    <row r="874" spans="1:7" x14ac:dyDescent="0.3">
      <c r="A874">
        <v>411</v>
      </c>
      <c r="B874" s="123" t="s">
        <v>558</v>
      </c>
      <c r="C874">
        <v>0</v>
      </c>
      <c r="D874">
        <v>0</v>
      </c>
      <c r="E874" s="123" t="s">
        <v>799</v>
      </c>
      <c r="F874" s="123" t="s">
        <v>676</v>
      </c>
      <c r="G874">
        <v>0</v>
      </c>
    </row>
    <row r="875" spans="1:7" x14ac:dyDescent="0.3">
      <c r="A875">
        <v>74</v>
      </c>
      <c r="B875" s="123" t="s">
        <v>388</v>
      </c>
      <c r="C875">
        <v>1217.93</v>
      </c>
      <c r="D875">
        <v>0</v>
      </c>
      <c r="E875" s="123" t="s">
        <v>799</v>
      </c>
      <c r="F875" s="123" t="s">
        <v>676</v>
      </c>
      <c r="G875">
        <v>1217.93</v>
      </c>
    </row>
    <row r="876" spans="1:7" x14ac:dyDescent="0.3">
      <c r="A876">
        <v>74</v>
      </c>
      <c r="B876" s="123" t="s">
        <v>388</v>
      </c>
      <c r="C876">
        <v>7.85</v>
      </c>
      <c r="D876">
        <v>0</v>
      </c>
      <c r="E876" s="123" t="s">
        <v>188</v>
      </c>
      <c r="F876" s="123" t="s">
        <v>678</v>
      </c>
      <c r="G876">
        <v>7.85</v>
      </c>
    </row>
    <row r="877" spans="1:7" x14ac:dyDescent="0.3">
      <c r="A877">
        <v>74</v>
      </c>
      <c r="B877" s="123" t="s">
        <v>388</v>
      </c>
      <c r="C877">
        <v>0</v>
      </c>
      <c r="D877">
        <v>9208.92</v>
      </c>
      <c r="E877" s="123" t="s">
        <v>801</v>
      </c>
      <c r="F877" s="123" t="s">
        <v>679</v>
      </c>
      <c r="G877">
        <v>9208.92</v>
      </c>
    </row>
    <row r="878" spans="1:7" x14ac:dyDescent="0.3">
      <c r="A878">
        <v>412</v>
      </c>
      <c r="B878" s="123" t="s">
        <v>388</v>
      </c>
      <c r="C878">
        <v>0</v>
      </c>
      <c r="D878">
        <v>0</v>
      </c>
      <c r="E878" s="123" t="s">
        <v>801</v>
      </c>
      <c r="F878" s="123" t="s">
        <v>679</v>
      </c>
      <c r="G878">
        <v>0</v>
      </c>
    </row>
    <row r="879" spans="1:7" x14ac:dyDescent="0.3">
      <c r="A879">
        <v>387</v>
      </c>
      <c r="B879" s="123" t="s">
        <v>602</v>
      </c>
      <c r="C879">
        <v>-0.01</v>
      </c>
      <c r="D879">
        <v>0</v>
      </c>
      <c r="E879" s="123" t="s">
        <v>185</v>
      </c>
      <c r="F879" s="123" t="s">
        <v>672</v>
      </c>
      <c r="G879">
        <v>-0.01</v>
      </c>
    </row>
    <row r="880" spans="1:7" x14ac:dyDescent="0.3">
      <c r="A880">
        <v>351</v>
      </c>
      <c r="B880" s="123" t="s">
        <v>506</v>
      </c>
      <c r="C880">
        <v>0</v>
      </c>
      <c r="D880">
        <v>0.01</v>
      </c>
      <c r="E880" s="123" t="s">
        <v>185</v>
      </c>
      <c r="F880" s="123" t="s">
        <v>672</v>
      </c>
      <c r="G880">
        <v>0.01</v>
      </c>
    </row>
    <row r="881" spans="1:7" x14ac:dyDescent="0.3">
      <c r="A881">
        <v>499</v>
      </c>
      <c r="B881" s="123" t="s">
        <v>295</v>
      </c>
      <c r="C881">
        <v>2890.07</v>
      </c>
      <c r="D881">
        <v>0</v>
      </c>
      <c r="E881" s="123" t="s">
        <v>185</v>
      </c>
      <c r="F881" s="123" t="s">
        <v>672</v>
      </c>
      <c r="G881">
        <v>2890.07</v>
      </c>
    </row>
    <row r="882" spans="1:7" x14ac:dyDescent="0.3">
      <c r="A882">
        <v>142</v>
      </c>
      <c r="B882" s="123" t="s">
        <v>409</v>
      </c>
      <c r="C882">
        <v>0</v>
      </c>
      <c r="D882">
        <v>0.06</v>
      </c>
      <c r="E882" s="123" t="s">
        <v>185</v>
      </c>
      <c r="F882" s="123" t="s">
        <v>672</v>
      </c>
      <c r="G882">
        <v>0.06</v>
      </c>
    </row>
    <row r="883" spans="1:7" x14ac:dyDescent="0.3">
      <c r="A883">
        <v>476</v>
      </c>
      <c r="B883" s="123" t="s">
        <v>601</v>
      </c>
      <c r="C883">
        <v>0</v>
      </c>
      <c r="D883">
        <v>0</v>
      </c>
      <c r="E883" s="123" t="s">
        <v>185</v>
      </c>
      <c r="F883" s="123" t="s">
        <v>672</v>
      </c>
      <c r="G883">
        <v>0</v>
      </c>
    </row>
    <row r="884" spans="1:7" x14ac:dyDescent="0.3">
      <c r="A884">
        <v>142</v>
      </c>
      <c r="B884" s="123" t="s">
        <v>409</v>
      </c>
      <c r="C884">
        <v>0</v>
      </c>
      <c r="D884">
        <v>0</v>
      </c>
      <c r="E884" s="123" t="s">
        <v>799</v>
      </c>
      <c r="F884" s="123" t="s">
        <v>676</v>
      </c>
      <c r="G884">
        <v>0</v>
      </c>
    </row>
    <row r="885" spans="1:7" x14ac:dyDescent="0.3">
      <c r="A885">
        <v>499</v>
      </c>
      <c r="B885" s="123" t="s">
        <v>295</v>
      </c>
      <c r="C885">
        <v>0</v>
      </c>
      <c r="D885">
        <v>0</v>
      </c>
      <c r="E885" s="123" t="s">
        <v>799</v>
      </c>
      <c r="F885" s="123" t="s">
        <v>676</v>
      </c>
      <c r="G885">
        <v>0</v>
      </c>
    </row>
    <row r="886" spans="1:7" x14ac:dyDescent="0.3">
      <c r="A886">
        <v>351</v>
      </c>
      <c r="B886" s="123" t="s">
        <v>506</v>
      </c>
      <c r="C886">
        <v>0</v>
      </c>
      <c r="D886">
        <v>0</v>
      </c>
      <c r="E886" s="123" t="s">
        <v>799</v>
      </c>
      <c r="F886" s="123" t="s">
        <v>676</v>
      </c>
      <c r="G886">
        <v>0</v>
      </c>
    </row>
    <row r="887" spans="1:7" x14ac:dyDescent="0.3">
      <c r="A887">
        <v>351</v>
      </c>
      <c r="B887" s="123" t="s">
        <v>506</v>
      </c>
      <c r="C887">
        <v>0</v>
      </c>
      <c r="D887">
        <v>0</v>
      </c>
      <c r="E887" s="123" t="s">
        <v>801</v>
      </c>
      <c r="F887" s="123" t="s">
        <v>679</v>
      </c>
      <c r="G887">
        <v>0</v>
      </c>
    </row>
    <row r="888" spans="1:7" x14ac:dyDescent="0.3">
      <c r="A888">
        <v>387</v>
      </c>
      <c r="B888" s="123" t="s">
        <v>602</v>
      </c>
      <c r="C888">
        <v>0</v>
      </c>
      <c r="D888">
        <v>0</v>
      </c>
      <c r="E888" s="123" t="s">
        <v>801</v>
      </c>
      <c r="F888" s="123" t="s">
        <v>679</v>
      </c>
      <c r="G888">
        <v>0</v>
      </c>
    </row>
    <row r="889" spans="1:7" x14ac:dyDescent="0.3">
      <c r="A889">
        <v>142</v>
      </c>
      <c r="B889" s="123" t="s">
        <v>409</v>
      </c>
      <c r="C889">
        <v>0</v>
      </c>
      <c r="D889">
        <v>0</v>
      </c>
      <c r="E889" s="123" t="s">
        <v>801</v>
      </c>
      <c r="F889" s="123" t="s">
        <v>679</v>
      </c>
      <c r="G889">
        <v>0</v>
      </c>
    </row>
    <row r="890" spans="1:7" x14ac:dyDescent="0.3">
      <c r="A890">
        <v>476</v>
      </c>
      <c r="B890" s="123" t="s">
        <v>601</v>
      </c>
      <c r="C890">
        <v>0</v>
      </c>
      <c r="D890">
        <v>0</v>
      </c>
      <c r="E890" s="123" t="s">
        <v>801</v>
      </c>
      <c r="F890" s="123" t="s">
        <v>679</v>
      </c>
      <c r="G890">
        <v>0</v>
      </c>
    </row>
    <row r="891" spans="1:7" x14ac:dyDescent="0.3">
      <c r="A891">
        <v>473</v>
      </c>
      <c r="B891" s="123" t="s">
        <v>415</v>
      </c>
      <c r="C891">
        <v>0</v>
      </c>
      <c r="D891">
        <v>0</v>
      </c>
      <c r="E891" s="123" t="s">
        <v>185</v>
      </c>
      <c r="F891" s="123" t="s">
        <v>672</v>
      </c>
      <c r="G891">
        <v>0</v>
      </c>
    </row>
    <row r="892" spans="1:7" x14ac:dyDescent="0.3">
      <c r="A892">
        <v>441</v>
      </c>
      <c r="B892" s="123" t="s">
        <v>459</v>
      </c>
      <c r="C892">
        <v>0</v>
      </c>
      <c r="D892">
        <v>0</v>
      </c>
      <c r="E892" s="123" t="s">
        <v>185</v>
      </c>
      <c r="F892" s="123" t="s">
        <v>672</v>
      </c>
      <c r="G892">
        <v>0</v>
      </c>
    </row>
    <row r="893" spans="1:7" x14ac:dyDescent="0.3">
      <c r="A893">
        <v>436</v>
      </c>
      <c r="B893" s="123" t="s">
        <v>458</v>
      </c>
      <c r="C893">
        <v>0</v>
      </c>
      <c r="D893">
        <v>0.02</v>
      </c>
      <c r="E893" s="123" t="s">
        <v>185</v>
      </c>
      <c r="F893" s="123" t="s">
        <v>672</v>
      </c>
      <c r="G893">
        <v>0.02</v>
      </c>
    </row>
    <row r="894" spans="1:7" x14ac:dyDescent="0.3">
      <c r="A894">
        <v>163</v>
      </c>
      <c r="B894" s="123" t="s">
        <v>421</v>
      </c>
      <c r="C894">
        <v>0</v>
      </c>
      <c r="D894">
        <v>0</v>
      </c>
      <c r="E894" s="123" t="s">
        <v>185</v>
      </c>
      <c r="F894" s="123" t="s">
        <v>672</v>
      </c>
      <c r="G894">
        <v>0</v>
      </c>
    </row>
    <row r="895" spans="1:7" x14ac:dyDescent="0.3">
      <c r="A895">
        <v>488</v>
      </c>
      <c r="B895" s="123" t="s">
        <v>445</v>
      </c>
      <c r="C895">
        <v>14096.02</v>
      </c>
      <c r="D895">
        <v>0.02</v>
      </c>
      <c r="E895" s="123" t="s">
        <v>185</v>
      </c>
      <c r="F895" s="123" t="s">
        <v>672</v>
      </c>
      <c r="G895">
        <v>14096.04</v>
      </c>
    </row>
    <row r="896" spans="1:7" x14ac:dyDescent="0.3">
      <c r="A896">
        <v>413</v>
      </c>
      <c r="B896" s="123" t="s">
        <v>570</v>
      </c>
      <c r="C896">
        <v>0.4</v>
      </c>
      <c r="D896">
        <v>3695242.99</v>
      </c>
      <c r="E896" s="123" t="s">
        <v>185</v>
      </c>
      <c r="F896" s="123" t="s">
        <v>672</v>
      </c>
      <c r="G896">
        <v>3695243.39</v>
      </c>
    </row>
    <row r="897" spans="1:7" x14ac:dyDescent="0.3">
      <c r="A897">
        <v>398</v>
      </c>
      <c r="B897" s="123" t="s">
        <v>695</v>
      </c>
      <c r="C897">
        <v>31769.49</v>
      </c>
      <c r="D897">
        <v>0</v>
      </c>
      <c r="E897" s="123" t="s">
        <v>185</v>
      </c>
      <c r="F897" s="123" t="s">
        <v>672</v>
      </c>
      <c r="G897">
        <v>31769.49</v>
      </c>
    </row>
    <row r="898" spans="1:7" x14ac:dyDescent="0.3">
      <c r="A898">
        <v>369</v>
      </c>
      <c r="B898" s="123" t="s">
        <v>546</v>
      </c>
      <c r="C898">
        <v>-607940077.05999994</v>
      </c>
      <c r="D898">
        <v>0</v>
      </c>
      <c r="E898" s="123" t="s">
        <v>185</v>
      </c>
      <c r="F898" s="123" t="s">
        <v>672</v>
      </c>
      <c r="G898">
        <v>-607940077.05999994</v>
      </c>
    </row>
    <row r="899" spans="1:7" x14ac:dyDescent="0.3">
      <c r="A899">
        <v>246</v>
      </c>
      <c r="B899" s="123" t="s">
        <v>356</v>
      </c>
      <c r="C899">
        <v>2599.1799999999998</v>
      </c>
      <c r="D899">
        <v>0</v>
      </c>
      <c r="E899" s="123" t="s">
        <v>185</v>
      </c>
      <c r="F899" s="123" t="s">
        <v>672</v>
      </c>
      <c r="G899">
        <v>2599.1799999999998</v>
      </c>
    </row>
    <row r="900" spans="1:7" x14ac:dyDescent="0.3">
      <c r="A900">
        <v>246</v>
      </c>
      <c r="B900" s="123" t="s">
        <v>356</v>
      </c>
      <c r="C900">
        <v>0</v>
      </c>
      <c r="D900">
        <v>0</v>
      </c>
      <c r="E900" s="123" t="s">
        <v>799</v>
      </c>
      <c r="F900" s="123" t="s">
        <v>676</v>
      </c>
      <c r="G900">
        <v>0</v>
      </c>
    </row>
    <row r="901" spans="1:7" x14ac:dyDescent="0.3">
      <c r="A901">
        <v>369</v>
      </c>
      <c r="B901" s="123" t="s">
        <v>546</v>
      </c>
      <c r="C901">
        <v>1600.63</v>
      </c>
      <c r="D901">
        <v>0</v>
      </c>
      <c r="E901" s="123" t="s">
        <v>799</v>
      </c>
      <c r="F901" s="123" t="s">
        <v>676</v>
      </c>
      <c r="G901">
        <v>1600.63</v>
      </c>
    </row>
    <row r="902" spans="1:7" x14ac:dyDescent="0.3">
      <c r="A902">
        <v>398</v>
      </c>
      <c r="B902" s="123" t="s">
        <v>695</v>
      </c>
      <c r="C902">
        <v>-0.21</v>
      </c>
      <c r="D902">
        <v>0</v>
      </c>
      <c r="E902" s="123" t="s">
        <v>799</v>
      </c>
      <c r="F902" s="123" t="s">
        <v>676</v>
      </c>
      <c r="G902">
        <v>-0.21</v>
      </c>
    </row>
    <row r="903" spans="1:7" x14ac:dyDescent="0.3">
      <c r="A903">
        <v>488</v>
      </c>
      <c r="B903" s="123" t="s">
        <v>445</v>
      </c>
      <c r="C903">
        <v>-0.09</v>
      </c>
      <c r="D903">
        <v>0</v>
      </c>
      <c r="E903" s="123" t="s">
        <v>799</v>
      </c>
      <c r="F903" s="123" t="s">
        <v>676</v>
      </c>
      <c r="G903">
        <v>-0.09</v>
      </c>
    </row>
    <row r="904" spans="1:7" x14ac:dyDescent="0.3">
      <c r="A904">
        <v>163</v>
      </c>
      <c r="B904" s="123" t="s">
        <v>421</v>
      </c>
      <c r="C904">
        <v>0</v>
      </c>
      <c r="D904">
        <v>0</v>
      </c>
      <c r="E904" s="123" t="s">
        <v>799</v>
      </c>
      <c r="F904" s="123" t="s">
        <v>676</v>
      </c>
      <c r="G904">
        <v>0</v>
      </c>
    </row>
    <row r="905" spans="1:7" x14ac:dyDescent="0.3">
      <c r="A905">
        <v>441</v>
      </c>
      <c r="B905" s="123" t="s">
        <v>459</v>
      </c>
      <c r="C905">
        <v>2.02</v>
      </c>
      <c r="D905">
        <v>0</v>
      </c>
      <c r="E905" s="123" t="s">
        <v>799</v>
      </c>
      <c r="F905" s="123" t="s">
        <v>676</v>
      </c>
      <c r="G905">
        <v>2.02</v>
      </c>
    </row>
    <row r="906" spans="1:7" x14ac:dyDescent="0.3">
      <c r="A906">
        <v>473</v>
      </c>
      <c r="B906" s="123" t="s">
        <v>415</v>
      </c>
      <c r="C906">
        <v>0</v>
      </c>
      <c r="D906">
        <v>0</v>
      </c>
      <c r="E906" s="123" t="s">
        <v>799</v>
      </c>
      <c r="F906" s="123" t="s">
        <v>676</v>
      </c>
      <c r="G906">
        <v>0</v>
      </c>
    </row>
    <row r="907" spans="1:7" x14ac:dyDescent="0.3">
      <c r="A907">
        <v>473</v>
      </c>
      <c r="B907" s="123" t="s">
        <v>415</v>
      </c>
      <c r="C907">
        <v>0</v>
      </c>
      <c r="D907">
        <v>0</v>
      </c>
      <c r="E907" s="123" t="s">
        <v>801</v>
      </c>
      <c r="F907" s="123" t="s">
        <v>679</v>
      </c>
      <c r="G907">
        <v>0</v>
      </c>
    </row>
    <row r="908" spans="1:7" x14ac:dyDescent="0.3">
      <c r="A908">
        <v>441</v>
      </c>
      <c r="B908" s="123" t="s">
        <v>459</v>
      </c>
      <c r="C908">
        <v>0</v>
      </c>
      <c r="D908">
        <v>0</v>
      </c>
      <c r="E908" s="123" t="s">
        <v>801</v>
      </c>
      <c r="F908" s="123" t="s">
        <v>679</v>
      </c>
      <c r="G908">
        <v>0</v>
      </c>
    </row>
    <row r="909" spans="1:7" x14ac:dyDescent="0.3">
      <c r="A909">
        <v>436</v>
      </c>
      <c r="B909" s="123" t="s">
        <v>458</v>
      </c>
      <c r="C909">
        <v>0</v>
      </c>
      <c r="D909">
        <v>0</v>
      </c>
      <c r="E909" s="123" t="s">
        <v>801</v>
      </c>
      <c r="F909" s="123" t="s">
        <v>679</v>
      </c>
      <c r="G909">
        <v>0</v>
      </c>
    </row>
    <row r="910" spans="1:7" x14ac:dyDescent="0.3">
      <c r="A910">
        <v>488</v>
      </c>
      <c r="B910" s="123" t="s">
        <v>445</v>
      </c>
      <c r="C910">
        <v>0</v>
      </c>
      <c r="D910">
        <v>0</v>
      </c>
      <c r="E910" s="123" t="s">
        <v>801</v>
      </c>
      <c r="F910" s="123" t="s">
        <v>679</v>
      </c>
      <c r="G910">
        <v>0</v>
      </c>
    </row>
    <row r="911" spans="1:7" x14ac:dyDescent="0.3">
      <c r="A911">
        <v>423</v>
      </c>
      <c r="B911" s="123" t="s">
        <v>614</v>
      </c>
      <c r="C911">
        <v>3567</v>
      </c>
      <c r="D911">
        <v>0</v>
      </c>
      <c r="E911" s="123" t="s">
        <v>185</v>
      </c>
      <c r="F911" s="123" t="s">
        <v>672</v>
      </c>
      <c r="G911">
        <v>3567</v>
      </c>
    </row>
    <row r="912" spans="1:7" x14ac:dyDescent="0.3">
      <c r="A912">
        <v>410</v>
      </c>
      <c r="B912" s="123" t="s">
        <v>548</v>
      </c>
      <c r="C912">
        <v>0</v>
      </c>
      <c r="D912">
        <v>0</v>
      </c>
      <c r="E912" s="123" t="s">
        <v>185</v>
      </c>
      <c r="F912" s="123" t="s">
        <v>672</v>
      </c>
      <c r="G912">
        <v>0</v>
      </c>
    </row>
    <row r="913" spans="1:7" x14ac:dyDescent="0.3">
      <c r="A913">
        <v>410</v>
      </c>
      <c r="B913" s="123" t="s">
        <v>548</v>
      </c>
      <c r="C913">
        <v>0</v>
      </c>
      <c r="D913">
        <v>0</v>
      </c>
      <c r="E913" s="123" t="s">
        <v>799</v>
      </c>
      <c r="F913" s="123" t="s">
        <v>676</v>
      </c>
      <c r="G913">
        <v>0</v>
      </c>
    </row>
    <row r="914" spans="1:7" x14ac:dyDescent="0.3">
      <c r="A914">
        <v>423</v>
      </c>
      <c r="B914" s="123" t="s">
        <v>614</v>
      </c>
      <c r="C914">
        <v>0</v>
      </c>
      <c r="D914">
        <v>0</v>
      </c>
      <c r="E914" s="123" t="s">
        <v>799</v>
      </c>
      <c r="F914" s="123" t="s">
        <v>676</v>
      </c>
      <c r="G914">
        <v>0</v>
      </c>
    </row>
    <row r="915" spans="1:7" x14ac:dyDescent="0.3">
      <c r="A915">
        <v>452</v>
      </c>
      <c r="B915" s="123" t="s">
        <v>479</v>
      </c>
      <c r="C915">
        <v>0.39</v>
      </c>
      <c r="D915">
        <v>0</v>
      </c>
      <c r="E915" s="123" t="s">
        <v>185</v>
      </c>
      <c r="F915" s="123" t="s">
        <v>672</v>
      </c>
      <c r="G915">
        <v>0.39</v>
      </c>
    </row>
    <row r="916" spans="1:7" x14ac:dyDescent="0.3">
      <c r="A916">
        <v>1020</v>
      </c>
      <c r="B916" s="123" t="s">
        <v>281</v>
      </c>
      <c r="C916">
        <v>0</v>
      </c>
      <c r="D916">
        <v>0</v>
      </c>
      <c r="E916" s="123" t="s">
        <v>185</v>
      </c>
      <c r="F916" s="123" t="s">
        <v>672</v>
      </c>
      <c r="G916">
        <v>0</v>
      </c>
    </row>
    <row r="917" spans="1:7" x14ac:dyDescent="0.3">
      <c r="A917">
        <v>1021</v>
      </c>
      <c r="B917" s="123" t="s">
        <v>283</v>
      </c>
      <c r="C917">
        <v>-863.85</v>
      </c>
      <c r="D917">
        <v>0</v>
      </c>
      <c r="E917" s="123" t="s">
        <v>185</v>
      </c>
      <c r="F917" s="123" t="s">
        <v>672</v>
      </c>
      <c r="G917">
        <v>-863.85</v>
      </c>
    </row>
    <row r="918" spans="1:7" x14ac:dyDescent="0.3">
      <c r="A918">
        <v>19</v>
      </c>
      <c r="B918" s="123" t="s">
        <v>228</v>
      </c>
      <c r="C918">
        <v>-363363375.82999998</v>
      </c>
      <c r="D918">
        <v>0</v>
      </c>
      <c r="E918" s="123" t="s">
        <v>185</v>
      </c>
      <c r="F918" s="123" t="s">
        <v>672</v>
      </c>
      <c r="G918">
        <v>-363363375.82999998</v>
      </c>
    </row>
    <row r="919" spans="1:7" x14ac:dyDescent="0.3">
      <c r="A919">
        <v>493</v>
      </c>
      <c r="B919" s="123" t="s">
        <v>262</v>
      </c>
      <c r="C919">
        <v>-0.1</v>
      </c>
      <c r="D919">
        <v>0</v>
      </c>
      <c r="E919" s="123" t="s">
        <v>185</v>
      </c>
      <c r="F919" s="123" t="s">
        <v>672</v>
      </c>
      <c r="G919">
        <v>-0.1</v>
      </c>
    </row>
    <row r="920" spans="1:7" x14ac:dyDescent="0.3">
      <c r="A920">
        <v>1022</v>
      </c>
      <c r="B920" s="123" t="s">
        <v>288</v>
      </c>
      <c r="C920">
        <v>0</v>
      </c>
      <c r="D920">
        <v>0</v>
      </c>
      <c r="E920" s="123" t="s">
        <v>185</v>
      </c>
      <c r="F920" s="123" t="s">
        <v>672</v>
      </c>
      <c r="G920">
        <v>0</v>
      </c>
    </row>
    <row r="921" spans="1:7" x14ac:dyDescent="0.3">
      <c r="A921">
        <v>1024</v>
      </c>
      <c r="B921" s="123" t="s">
        <v>800</v>
      </c>
      <c r="C921">
        <v>0</v>
      </c>
      <c r="D921">
        <v>0</v>
      </c>
      <c r="E921" s="123" t="s">
        <v>185</v>
      </c>
      <c r="F921" s="123" t="s">
        <v>672</v>
      </c>
      <c r="G921">
        <v>0</v>
      </c>
    </row>
    <row r="922" spans="1:7" x14ac:dyDescent="0.3">
      <c r="A922">
        <v>1023</v>
      </c>
      <c r="B922" s="123" t="s">
        <v>630</v>
      </c>
      <c r="C922">
        <v>0</v>
      </c>
      <c r="D922">
        <v>0</v>
      </c>
      <c r="E922" s="123" t="s">
        <v>185</v>
      </c>
      <c r="F922" s="123" t="s">
        <v>672</v>
      </c>
      <c r="G922">
        <v>0</v>
      </c>
    </row>
    <row r="923" spans="1:7" x14ac:dyDescent="0.3">
      <c r="A923">
        <v>155</v>
      </c>
      <c r="B923" s="123" t="s">
        <v>228</v>
      </c>
      <c r="C923">
        <v>-159703925.84999999</v>
      </c>
      <c r="D923">
        <v>0</v>
      </c>
      <c r="E923" s="123" t="s">
        <v>185</v>
      </c>
      <c r="F923" s="123" t="s">
        <v>672</v>
      </c>
      <c r="G923">
        <v>-159703925.84999999</v>
      </c>
    </row>
    <row r="924" spans="1:7" x14ac:dyDescent="0.3">
      <c r="A924">
        <v>525</v>
      </c>
      <c r="B924" s="123" t="s">
        <v>534</v>
      </c>
      <c r="C924">
        <v>0</v>
      </c>
      <c r="D924">
        <v>0</v>
      </c>
      <c r="E924" s="123" t="s">
        <v>185</v>
      </c>
      <c r="F924" s="123" t="s">
        <v>672</v>
      </c>
      <c r="G924">
        <v>0</v>
      </c>
    </row>
    <row r="925" spans="1:7" x14ac:dyDescent="0.3">
      <c r="A925">
        <v>1028</v>
      </c>
      <c r="B925" s="123" t="s">
        <v>426</v>
      </c>
      <c r="C925">
        <v>0</v>
      </c>
      <c r="D925">
        <v>0</v>
      </c>
      <c r="E925" s="123" t="s">
        <v>185</v>
      </c>
      <c r="F925" s="123" t="s">
        <v>672</v>
      </c>
      <c r="G925">
        <v>0</v>
      </c>
    </row>
    <row r="926" spans="1:7" x14ac:dyDescent="0.3">
      <c r="A926">
        <v>1029</v>
      </c>
      <c r="B926" s="123" t="s">
        <v>427</v>
      </c>
      <c r="C926">
        <v>0</v>
      </c>
      <c r="D926">
        <v>0</v>
      </c>
      <c r="E926" s="123" t="s">
        <v>185</v>
      </c>
      <c r="F926" s="123" t="s">
        <v>672</v>
      </c>
      <c r="G926">
        <v>0</v>
      </c>
    </row>
    <row r="927" spans="1:7" x14ac:dyDescent="0.3">
      <c r="A927">
        <v>391</v>
      </c>
      <c r="B927" s="123" t="s">
        <v>381</v>
      </c>
      <c r="C927">
        <v>0.03</v>
      </c>
      <c r="D927">
        <v>0</v>
      </c>
      <c r="E927" s="123" t="s">
        <v>185</v>
      </c>
      <c r="F927" s="123" t="s">
        <v>672</v>
      </c>
      <c r="G927">
        <v>0.03</v>
      </c>
    </row>
    <row r="928" spans="1:7" x14ac:dyDescent="0.3">
      <c r="A928">
        <v>385</v>
      </c>
      <c r="B928" s="123" t="s">
        <v>199</v>
      </c>
      <c r="C928">
        <v>-369.19</v>
      </c>
      <c r="D928">
        <v>0.04</v>
      </c>
      <c r="E928" s="123" t="s">
        <v>185</v>
      </c>
      <c r="F928" s="123" t="s">
        <v>672</v>
      </c>
      <c r="G928">
        <v>-369.15</v>
      </c>
    </row>
    <row r="929" spans="1:7" x14ac:dyDescent="0.3">
      <c r="A929">
        <v>376</v>
      </c>
      <c r="B929" s="123" t="s">
        <v>552</v>
      </c>
      <c r="C929">
        <v>2933.42</v>
      </c>
      <c r="D929">
        <v>0</v>
      </c>
      <c r="E929" s="123" t="s">
        <v>185</v>
      </c>
      <c r="F929" s="123" t="s">
        <v>672</v>
      </c>
      <c r="G929">
        <v>2933.42</v>
      </c>
    </row>
    <row r="930" spans="1:7" x14ac:dyDescent="0.3">
      <c r="A930">
        <v>272</v>
      </c>
      <c r="B930" s="123" t="s">
        <v>252</v>
      </c>
      <c r="C930">
        <v>-1477351938.0599999</v>
      </c>
      <c r="D930">
        <v>0</v>
      </c>
      <c r="E930" s="123" t="s">
        <v>185</v>
      </c>
      <c r="F930" s="123" t="s">
        <v>672</v>
      </c>
      <c r="G930">
        <v>-1477351938.0599999</v>
      </c>
    </row>
    <row r="931" spans="1:7" x14ac:dyDescent="0.3">
      <c r="A931">
        <v>194</v>
      </c>
      <c r="B931" s="123" t="s">
        <v>228</v>
      </c>
      <c r="C931">
        <v>475865822</v>
      </c>
      <c r="D931">
        <v>0</v>
      </c>
      <c r="E931" s="123" t="s">
        <v>185</v>
      </c>
      <c r="F931" s="123" t="s">
        <v>672</v>
      </c>
      <c r="G931">
        <v>475865822</v>
      </c>
    </row>
    <row r="932" spans="1:7" x14ac:dyDescent="0.3">
      <c r="A932">
        <v>195</v>
      </c>
      <c r="B932" s="123" t="s">
        <v>228</v>
      </c>
      <c r="C932">
        <v>18701479.48</v>
      </c>
      <c r="D932">
        <v>0</v>
      </c>
      <c r="E932" s="123" t="s">
        <v>185</v>
      </c>
      <c r="F932" s="123" t="s">
        <v>672</v>
      </c>
      <c r="G932">
        <v>18701479.48</v>
      </c>
    </row>
    <row r="933" spans="1:7" x14ac:dyDescent="0.3">
      <c r="A933">
        <v>564</v>
      </c>
      <c r="B933" s="123" t="s">
        <v>538</v>
      </c>
      <c r="C933">
        <v>-1306.4000000000001</v>
      </c>
      <c r="D933">
        <v>0</v>
      </c>
      <c r="E933" s="123" t="s">
        <v>185</v>
      </c>
      <c r="F933" s="123" t="s">
        <v>672</v>
      </c>
      <c r="G933">
        <v>-1306.4000000000001</v>
      </c>
    </row>
    <row r="934" spans="1:7" x14ac:dyDescent="0.3">
      <c r="A934">
        <v>6003</v>
      </c>
      <c r="B934" s="123" t="s">
        <v>264</v>
      </c>
      <c r="C934">
        <v>-0.65</v>
      </c>
      <c r="D934">
        <v>0</v>
      </c>
      <c r="E934" s="123" t="s">
        <v>185</v>
      </c>
      <c r="F934" s="123" t="s">
        <v>672</v>
      </c>
      <c r="G934">
        <v>-0.65</v>
      </c>
    </row>
    <row r="935" spans="1:7" x14ac:dyDescent="0.3">
      <c r="A935">
        <v>5200</v>
      </c>
      <c r="B935" s="123" t="s">
        <v>316</v>
      </c>
      <c r="C935">
        <v>0</v>
      </c>
      <c r="D935">
        <v>0</v>
      </c>
      <c r="E935" s="123" t="s">
        <v>185</v>
      </c>
      <c r="F935" s="123" t="s">
        <v>672</v>
      </c>
      <c r="G935">
        <v>0</v>
      </c>
    </row>
    <row r="936" spans="1:7" x14ac:dyDescent="0.3">
      <c r="A936">
        <v>560</v>
      </c>
      <c r="B936" s="123" t="s">
        <v>553</v>
      </c>
      <c r="C936">
        <v>-0.16</v>
      </c>
      <c r="D936">
        <v>0</v>
      </c>
      <c r="E936" s="123" t="s">
        <v>185</v>
      </c>
      <c r="F936" s="123" t="s">
        <v>672</v>
      </c>
      <c r="G936">
        <v>-0.16</v>
      </c>
    </row>
    <row r="937" spans="1:7" x14ac:dyDescent="0.3">
      <c r="A937">
        <v>5292</v>
      </c>
      <c r="B937" s="123" t="s">
        <v>441</v>
      </c>
      <c r="C937">
        <v>0</v>
      </c>
      <c r="D937">
        <v>0</v>
      </c>
      <c r="E937" s="123" t="s">
        <v>185</v>
      </c>
      <c r="F937" s="123" t="s">
        <v>672</v>
      </c>
      <c r="G937">
        <v>0</v>
      </c>
    </row>
    <row r="938" spans="1:7" x14ac:dyDescent="0.3">
      <c r="A938">
        <v>6008</v>
      </c>
      <c r="B938" s="123" t="s">
        <v>532</v>
      </c>
      <c r="C938">
        <v>64182.97</v>
      </c>
      <c r="D938">
        <v>0</v>
      </c>
      <c r="E938" s="123" t="s">
        <v>185</v>
      </c>
      <c r="F938" s="123" t="s">
        <v>672</v>
      </c>
      <c r="G938">
        <v>64182.97</v>
      </c>
    </row>
    <row r="939" spans="1:7" x14ac:dyDescent="0.3">
      <c r="A939">
        <v>6016</v>
      </c>
      <c r="B939" s="123" t="s">
        <v>628</v>
      </c>
      <c r="C939">
        <v>0</v>
      </c>
      <c r="D939">
        <v>0</v>
      </c>
      <c r="E939" s="123" t="s">
        <v>185</v>
      </c>
      <c r="F939" s="123" t="s">
        <v>672</v>
      </c>
      <c r="G939">
        <v>0</v>
      </c>
    </row>
    <row r="940" spans="1:7" x14ac:dyDescent="0.3">
      <c r="A940">
        <v>420</v>
      </c>
      <c r="B940" s="123" t="s">
        <v>618</v>
      </c>
      <c r="C940">
        <v>0.11</v>
      </c>
      <c r="D940">
        <v>-0.01</v>
      </c>
      <c r="E940" s="123" t="s">
        <v>185</v>
      </c>
      <c r="F940" s="123" t="s">
        <v>672</v>
      </c>
      <c r="G940">
        <v>0.1</v>
      </c>
    </row>
    <row r="941" spans="1:7" x14ac:dyDescent="0.3">
      <c r="A941">
        <v>420</v>
      </c>
      <c r="B941" s="123" t="s">
        <v>618</v>
      </c>
      <c r="C941">
        <v>0.86</v>
      </c>
      <c r="D941">
        <v>0</v>
      </c>
      <c r="E941" s="123" t="s">
        <v>799</v>
      </c>
      <c r="F941" s="123" t="s">
        <v>676</v>
      </c>
      <c r="G941">
        <v>0.86</v>
      </c>
    </row>
    <row r="942" spans="1:7" x14ac:dyDescent="0.3">
      <c r="A942">
        <v>6016</v>
      </c>
      <c r="B942" s="123" t="s">
        <v>628</v>
      </c>
      <c r="C942">
        <v>0.53</v>
      </c>
      <c r="D942">
        <v>0</v>
      </c>
      <c r="E942" s="123" t="s">
        <v>799</v>
      </c>
      <c r="F942" s="123" t="s">
        <v>676</v>
      </c>
      <c r="G942">
        <v>0.53</v>
      </c>
    </row>
    <row r="943" spans="1:7" x14ac:dyDescent="0.3">
      <c r="A943">
        <v>6008</v>
      </c>
      <c r="B943" s="123" t="s">
        <v>532</v>
      </c>
      <c r="C943">
        <v>1.85</v>
      </c>
      <c r="D943">
        <v>0</v>
      </c>
      <c r="E943" s="123" t="s">
        <v>799</v>
      </c>
      <c r="F943" s="123" t="s">
        <v>676</v>
      </c>
      <c r="G943">
        <v>1.85</v>
      </c>
    </row>
    <row r="944" spans="1:7" x14ac:dyDescent="0.3">
      <c r="A944">
        <v>272</v>
      </c>
      <c r="B944" s="123" t="s">
        <v>252</v>
      </c>
      <c r="C944">
        <v>517.5</v>
      </c>
      <c r="D944">
        <v>0</v>
      </c>
      <c r="E944" s="123" t="s">
        <v>799</v>
      </c>
      <c r="F944" s="123" t="s">
        <v>676</v>
      </c>
      <c r="G944">
        <v>517.5</v>
      </c>
    </row>
    <row r="945" spans="1:7" x14ac:dyDescent="0.3">
      <c r="A945">
        <v>376</v>
      </c>
      <c r="B945" s="123" t="s">
        <v>552</v>
      </c>
      <c r="C945">
        <v>0</v>
      </c>
      <c r="D945">
        <v>0</v>
      </c>
      <c r="E945" s="123" t="s">
        <v>799</v>
      </c>
      <c r="F945" s="123" t="s">
        <v>676</v>
      </c>
      <c r="G945">
        <v>0</v>
      </c>
    </row>
    <row r="946" spans="1:7" x14ac:dyDescent="0.3">
      <c r="A946">
        <v>385</v>
      </c>
      <c r="B946" s="123" t="s">
        <v>199</v>
      </c>
      <c r="C946">
        <v>0</v>
      </c>
      <c r="D946">
        <v>0</v>
      </c>
      <c r="E946" s="123" t="s">
        <v>799</v>
      </c>
      <c r="F946" s="123" t="s">
        <v>676</v>
      </c>
      <c r="G946">
        <v>0</v>
      </c>
    </row>
    <row r="947" spans="1:7" x14ac:dyDescent="0.3">
      <c r="A947">
        <v>525</v>
      </c>
      <c r="B947" s="123" t="s">
        <v>534</v>
      </c>
      <c r="C947">
        <v>0</v>
      </c>
      <c r="D947">
        <v>0</v>
      </c>
      <c r="E947" s="123" t="s">
        <v>799</v>
      </c>
      <c r="F947" s="123" t="s">
        <v>676</v>
      </c>
      <c r="G947">
        <v>0</v>
      </c>
    </row>
    <row r="948" spans="1:7" x14ac:dyDescent="0.3">
      <c r="A948">
        <v>19</v>
      </c>
      <c r="B948" s="123" t="s">
        <v>228</v>
      </c>
      <c r="C948">
        <v>0</v>
      </c>
      <c r="D948">
        <v>4387.6899999999996</v>
      </c>
      <c r="E948" s="123" t="s">
        <v>799</v>
      </c>
      <c r="F948" s="123" t="s">
        <v>676</v>
      </c>
      <c r="G948">
        <v>4387.6899999999996</v>
      </c>
    </row>
    <row r="949" spans="1:7" x14ac:dyDescent="0.3">
      <c r="A949">
        <v>452</v>
      </c>
      <c r="B949" s="123" t="s">
        <v>479</v>
      </c>
      <c r="C949">
        <v>430.68</v>
      </c>
      <c r="D949">
        <v>0</v>
      </c>
      <c r="E949" s="123" t="s">
        <v>799</v>
      </c>
      <c r="F949" s="123" t="s">
        <v>676</v>
      </c>
      <c r="G949">
        <v>430.68</v>
      </c>
    </row>
    <row r="950" spans="1:7" x14ac:dyDescent="0.3">
      <c r="A950">
        <v>19</v>
      </c>
      <c r="B950" s="123" t="s">
        <v>228</v>
      </c>
      <c r="C950">
        <v>8465.24</v>
      </c>
      <c r="D950">
        <v>491.23</v>
      </c>
      <c r="E950" s="123" t="s">
        <v>188</v>
      </c>
      <c r="F950" s="123" t="s">
        <v>678</v>
      </c>
      <c r="G950">
        <v>8956.4699999999993</v>
      </c>
    </row>
    <row r="951" spans="1:7" x14ac:dyDescent="0.3">
      <c r="A951">
        <v>525</v>
      </c>
      <c r="B951" s="123" t="s">
        <v>534</v>
      </c>
      <c r="C951">
        <v>0</v>
      </c>
      <c r="D951">
        <v>0</v>
      </c>
      <c r="E951" s="123" t="s">
        <v>188</v>
      </c>
      <c r="F951" s="123" t="s">
        <v>678</v>
      </c>
      <c r="G951">
        <v>0</v>
      </c>
    </row>
    <row r="952" spans="1:7" x14ac:dyDescent="0.3">
      <c r="A952">
        <v>493</v>
      </c>
      <c r="B952" s="123" t="s">
        <v>262</v>
      </c>
      <c r="C952">
        <v>-0.02</v>
      </c>
      <c r="D952">
        <v>0</v>
      </c>
      <c r="E952" s="123" t="s">
        <v>188</v>
      </c>
      <c r="F952" s="123" t="s">
        <v>678</v>
      </c>
      <c r="G952">
        <v>-0.02</v>
      </c>
    </row>
    <row r="953" spans="1:7" x14ac:dyDescent="0.3">
      <c r="A953">
        <v>155</v>
      </c>
      <c r="B953" s="123" t="s">
        <v>228</v>
      </c>
      <c r="C953">
        <v>67788.67</v>
      </c>
      <c r="D953">
        <v>0</v>
      </c>
      <c r="E953" s="123" t="s">
        <v>801</v>
      </c>
      <c r="F953" s="123" t="s">
        <v>679</v>
      </c>
      <c r="G953">
        <v>67788.67</v>
      </c>
    </row>
    <row r="954" spans="1:7" x14ac:dyDescent="0.3">
      <c r="A954">
        <v>19</v>
      </c>
      <c r="B954" s="123" t="s">
        <v>228</v>
      </c>
      <c r="C954">
        <v>-1316274.0900000001</v>
      </c>
      <c r="D954">
        <v>1445581.74</v>
      </c>
      <c r="E954" s="123" t="s">
        <v>801</v>
      </c>
      <c r="F954" s="123" t="s">
        <v>679</v>
      </c>
      <c r="G954">
        <v>129307.65</v>
      </c>
    </row>
    <row r="955" spans="1:7" x14ac:dyDescent="0.3">
      <c r="A955">
        <v>391</v>
      </c>
      <c r="B955" s="123" t="s">
        <v>381</v>
      </c>
      <c r="C955">
        <v>0</v>
      </c>
      <c r="D955">
        <v>0</v>
      </c>
      <c r="E955" s="123" t="s">
        <v>801</v>
      </c>
      <c r="F955" s="123" t="s">
        <v>679</v>
      </c>
      <c r="G955">
        <v>0</v>
      </c>
    </row>
    <row r="956" spans="1:7" x14ac:dyDescent="0.3">
      <c r="A956">
        <v>272</v>
      </c>
      <c r="B956" s="123" t="s">
        <v>252</v>
      </c>
      <c r="C956">
        <v>0</v>
      </c>
      <c r="D956">
        <v>10625</v>
      </c>
      <c r="E956" s="123" t="s">
        <v>801</v>
      </c>
      <c r="F956" s="123" t="s">
        <v>679</v>
      </c>
      <c r="G956">
        <v>10625</v>
      </c>
    </row>
    <row r="957" spans="1:7" x14ac:dyDescent="0.3">
      <c r="A957">
        <v>195</v>
      </c>
      <c r="B957" s="123" t="s">
        <v>228</v>
      </c>
      <c r="C957">
        <v>1129883.51</v>
      </c>
      <c r="D957">
        <v>0</v>
      </c>
      <c r="E957" s="123" t="s">
        <v>801</v>
      </c>
      <c r="F957" s="123" t="s">
        <v>679</v>
      </c>
      <c r="G957">
        <v>1129883.51</v>
      </c>
    </row>
    <row r="958" spans="1:7" x14ac:dyDescent="0.3">
      <c r="A958">
        <v>194</v>
      </c>
      <c r="B958" s="123" t="s">
        <v>228</v>
      </c>
      <c r="C958">
        <v>126701.91</v>
      </c>
      <c r="D958">
        <v>0</v>
      </c>
      <c r="E958" s="123" t="s">
        <v>801</v>
      </c>
      <c r="F958" s="123" t="s">
        <v>679</v>
      </c>
      <c r="G958">
        <v>126701.91</v>
      </c>
    </row>
    <row r="959" spans="1:7" x14ac:dyDescent="0.3">
      <c r="A959">
        <v>424</v>
      </c>
      <c r="B959" s="123" t="s">
        <v>494</v>
      </c>
      <c r="C959">
        <v>0</v>
      </c>
      <c r="D959">
        <v>0</v>
      </c>
      <c r="E959" s="123" t="s">
        <v>185</v>
      </c>
      <c r="F959" s="123" t="s">
        <v>672</v>
      </c>
      <c r="G959">
        <v>0</v>
      </c>
    </row>
    <row r="960" spans="1:7" x14ac:dyDescent="0.3">
      <c r="A960">
        <v>480</v>
      </c>
      <c r="B960" s="123" t="s">
        <v>439</v>
      </c>
      <c r="C960">
        <v>0.28000000000000003</v>
      </c>
      <c r="D960">
        <v>-0.01</v>
      </c>
      <c r="E960" s="123" t="s">
        <v>185</v>
      </c>
      <c r="F960" s="123" t="s">
        <v>672</v>
      </c>
      <c r="G960">
        <v>0.27</v>
      </c>
    </row>
    <row r="961" spans="1:7" x14ac:dyDescent="0.3">
      <c r="A961">
        <v>513</v>
      </c>
      <c r="B961" s="123" t="s">
        <v>340</v>
      </c>
      <c r="C961">
        <v>485.34</v>
      </c>
      <c r="D961">
        <v>0</v>
      </c>
      <c r="E961" s="123" t="s">
        <v>185</v>
      </c>
      <c r="F961" s="123" t="s">
        <v>672</v>
      </c>
      <c r="G961">
        <v>485.34</v>
      </c>
    </row>
    <row r="962" spans="1:7" x14ac:dyDescent="0.3">
      <c r="A962">
        <v>480</v>
      </c>
      <c r="B962" s="123" t="s">
        <v>439</v>
      </c>
      <c r="C962">
        <v>-0.49</v>
      </c>
      <c r="D962">
        <v>0</v>
      </c>
      <c r="E962" s="123" t="s">
        <v>799</v>
      </c>
      <c r="F962" s="123" t="s">
        <v>676</v>
      </c>
      <c r="G962">
        <v>-0.49</v>
      </c>
    </row>
    <row r="963" spans="1:7" x14ac:dyDescent="0.3">
      <c r="A963">
        <v>480</v>
      </c>
      <c r="B963" s="123" t="s">
        <v>439</v>
      </c>
      <c r="C963">
        <v>0</v>
      </c>
      <c r="D963">
        <v>0</v>
      </c>
      <c r="E963" s="123" t="s">
        <v>801</v>
      </c>
      <c r="F963" s="123" t="s">
        <v>679</v>
      </c>
      <c r="G963">
        <v>0</v>
      </c>
    </row>
    <row r="964" spans="1:7" x14ac:dyDescent="0.3">
      <c r="A964">
        <v>424</v>
      </c>
      <c r="B964" s="123" t="s">
        <v>494</v>
      </c>
      <c r="C964">
        <v>0</v>
      </c>
      <c r="D964">
        <v>0</v>
      </c>
      <c r="E964" s="123" t="s">
        <v>801</v>
      </c>
      <c r="F964" s="123" t="s">
        <v>679</v>
      </c>
      <c r="G964">
        <v>0</v>
      </c>
    </row>
    <row r="965" spans="1:7" x14ac:dyDescent="0.3">
      <c r="A965">
        <v>293</v>
      </c>
      <c r="B965" s="123" t="s">
        <v>647</v>
      </c>
      <c r="C965">
        <v>7.23</v>
      </c>
      <c r="D965">
        <v>0</v>
      </c>
      <c r="E965" s="123" t="s">
        <v>185</v>
      </c>
      <c r="F965" s="123" t="s">
        <v>672</v>
      </c>
      <c r="G965">
        <v>7.23</v>
      </c>
    </row>
    <row r="966" spans="1:7" x14ac:dyDescent="0.3">
      <c r="A966">
        <v>293</v>
      </c>
      <c r="B966" s="123" t="s">
        <v>647</v>
      </c>
      <c r="C966">
        <v>8032.42</v>
      </c>
      <c r="D966">
        <v>0</v>
      </c>
      <c r="E966" s="123" t="s">
        <v>799</v>
      </c>
      <c r="F966" s="123" t="s">
        <v>676</v>
      </c>
      <c r="G966">
        <v>8032.42</v>
      </c>
    </row>
    <row r="967" spans="1:7" x14ac:dyDescent="0.3">
      <c r="A967">
        <v>293</v>
      </c>
      <c r="B967" s="123" t="s">
        <v>647</v>
      </c>
      <c r="C967">
        <v>0</v>
      </c>
      <c r="D967">
        <v>7946.19</v>
      </c>
      <c r="E967" s="123" t="s">
        <v>801</v>
      </c>
      <c r="F967" s="123" t="s">
        <v>679</v>
      </c>
      <c r="G967">
        <v>7946.19</v>
      </c>
    </row>
    <row r="968" spans="1:7" x14ac:dyDescent="0.3">
      <c r="A968">
        <v>392</v>
      </c>
      <c r="B968" s="123" t="s">
        <v>208</v>
      </c>
      <c r="C968">
        <v>0.45</v>
      </c>
      <c r="D968">
        <v>0.12</v>
      </c>
      <c r="E968" s="123" t="s">
        <v>185</v>
      </c>
      <c r="F968" s="123" t="s">
        <v>672</v>
      </c>
      <c r="G968">
        <v>0.56999999999999995</v>
      </c>
    </row>
    <row r="969" spans="1:7" x14ac:dyDescent="0.3">
      <c r="A969">
        <v>381</v>
      </c>
      <c r="B969" s="123" t="s">
        <v>411</v>
      </c>
      <c r="C969">
        <v>0</v>
      </c>
      <c r="D969">
        <v>0</v>
      </c>
      <c r="E969" s="123" t="s">
        <v>185</v>
      </c>
      <c r="F969" s="123" t="s">
        <v>672</v>
      </c>
      <c r="G969">
        <v>0</v>
      </c>
    </row>
    <row r="970" spans="1:7" x14ac:dyDescent="0.3">
      <c r="A970">
        <v>6073</v>
      </c>
      <c r="B970" s="123" t="s">
        <v>696</v>
      </c>
      <c r="C970">
        <v>0.78</v>
      </c>
      <c r="D970">
        <v>0</v>
      </c>
      <c r="E970" s="123" t="s">
        <v>185</v>
      </c>
      <c r="F970" s="123" t="s">
        <v>672</v>
      </c>
      <c r="G970">
        <v>0.78</v>
      </c>
    </row>
    <row r="971" spans="1:7" x14ac:dyDescent="0.3">
      <c r="A971">
        <v>538</v>
      </c>
      <c r="B971" s="123" t="s">
        <v>410</v>
      </c>
      <c r="C971">
        <v>0</v>
      </c>
      <c r="D971">
        <v>0</v>
      </c>
      <c r="E971" s="123" t="s">
        <v>185</v>
      </c>
      <c r="F971" s="123" t="s">
        <v>672</v>
      </c>
      <c r="G971">
        <v>0</v>
      </c>
    </row>
    <row r="972" spans="1:7" x14ac:dyDescent="0.3">
      <c r="A972">
        <v>5022</v>
      </c>
      <c r="B972" s="123" t="s">
        <v>470</v>
      </c>
      <c r="C972">
        <v>0</v>
      </c>
      <c r="D972">
        <v>0</v>
      </c>
      <c r="E972" s="123" t="s">
        <v>185</v>
      </c>
      <c r="F972" s="123" t="s">
        <v>672</v>
      </c>
      <c r="G972">
        <v>0</v>
      </c>
    </row>
    <row r="973" spans="1:7" x14ac:dyDescent="0.3">
      <c r="A973">
        <v>1038</v>
      </c>
      <c r="B973" s="123" t="s">
        <v>1617</v>
      </c>
      <c r="C973">
        <v>0</v>
      </c>
      <c r="D973">
        <v>0</v>
      </c>
      <c r="E973" s="123" t="s">
        <v>185</v>
      </c>
      <c r="F973" s="123" t="s">
        <v>672</v>
      </c>
      <c r="G973">
        <v>0</v>
      </c>
    </row>
    <row r="974" spans="1:7" x14ac:dyDescent="0.3">
      <c r="A974">
        <v>5105</v>
      </c>
      <c r="B974" s="123" t="s">
        <v>699</v>
      </c>
      <c r="C974">
        <v>0</v>
      </c>
      <c r="D974">
        <v>0</v>
      </c>
      <c r="E974" s="123" t="s">
        <v>185</v>
      </c>
      <c r="F974" s="123" t="s">
        <v>672</v>
      </c>
      <c r="G974">
        <v>0</v>
      </c>
    </row>
    <row r="975" spans="1:7" x14ac:dyDescent="0.3">
      <c r="A975">
        <v>5008</v>
      </c>
      <c r="B975" s="123" t="s">
        <v>697</v>
      </c>
      <c r="C975">
        <v>0</v>
      </c>
      <c r="D975">
        <v>0</v>
      </c>
      <c r="E975" s="123" t="s">
        <v>185</v>
      </c>
      <c r="F975" s="123" t="s">
        <v>672</v>
      </c>
      <c r="G975">
        <v>0</v>
      </c>
    </row>
    <row r="976" spans="1:7" x14ac:dyDescent="0.3">
      <c r="A976">
        <v>5070</v>
      </c>
      <c r="B976" s="123" t="s">
        <v>698</v>
      </c>
      <c r="C976">
        <v>0</v>
      </c>
      <c r="D976">
        <v>0</v>
      </c>
      <c r="E976" s="123" t="s">
        <v>185</v>
      </c>
      <c r="F976" s="123" t="s">
        <v>672</v>
      </c>
      <c r="G976">
        <v>0</v>
      </c>
    </row>
    <row r="977" spans="1:7" x14ac:dyDescent="0.3">
      <c r="A977">
        <v>432</v>
      </c>
      <c r="B977" s="123" t="s">
        <v>564</v>
      </c>
      <c r="C977">
        <v>2315.31</v>
      </c>
      <c r="D977">
        <v>0.01</v>
      </c>
      <c r="E977" s="123" t="s">
        <v>185</v>
      </c>
      <c r="F977" s="123" t="s">
        <v>672</v>
      </c>
      <c r="G977">
        <v>2315.3200000000002</v>
      </c>
    </row>
    <row r="978" spans="1:7" x14ac:dyDescent="0.3">
      <c r="A978">
        <v>511</v>
      </c>
      <c r="B978" s="123" t="s">
        <v>590</v>
      </c>
      <c r="C978">
        <v>8873379.2899999991</v>
      </c>
      <c r="D978">
        <v>5278819.92</v>
      </c>
      <c r="E978" s="123" t="s">
        <v>185</v>
      </c>
      <c r="F978" s="123" t="s">
        <v>672</v>
      </c>
      <c r="G978">
        <v>14152199.210000001</v>
      </c>
    </row>
    <row r="979" spans="1:7" x14ac:dyDescent="0.3">
      <c r="A979">
        <v>501</v>
      </c>
      <c r="B979" s="123" t="s">
        <v>586</v>
      </c>
      <c r="C979">
        <v>0.44</v>
      </c>
      <c r="D979">
        <v>0</v>
      </c>
      <c r="E979" s="123" t="s">
        <v>185</v>
      </c>
      <c r="F979" s="123" t="s">
        <v>672</v>
      </c>
      <c r="G979">
        <v>0.44</v>
      </c>
    </row>
    <row r="980" spans="1:7" x14ac:dyDescent="0.3">
      <c r="A980">
        <v>5086</v>
      </c>
      <c r="B980" s="123" t="s">
        <v>497</v>
      </c>
      <c r="C980">
        <v>0</v>
      </c>
      <c r="D980">
        <v>0</v>
      </c>
      <c r="E980" s="123" t="s">
        <v>185</v>
      </c>
      <c r="F980" s="123" t="s">
        <v>672</v>
      </c>
      <c r="G980">
        <v>0</v>
      </c>
    </row>
    <row r="981" spans="1:7" x14ac:dyDescent="0.3">
      <c r="A981">
        <v>5265</v>
      </c>
      <c r="B981" s="123" t="s">
        <v>359</v>
      </c>
      <c r="C981">
        <v>0</v>
      </c>
      <c r="D981">
        <v>0</v>
      </c>
      <c r="E981" s="123" t="s">
        <v>185</v>
      </c>
      <c r="F981" s="123" t="s">
        <v>672</v>
      </c>
      <c r="G981">
        <v>0</v>
      </c>
    </row>
    <row r="982" spans="1:7" x14ac:dyDescent="0.3">
      <c r="A982">
        <v>517</v>
      </c>
      <c r="B982" s="123" t="s">
        <v>520</v>
      </c>
      <c r="C982">
        <v>0</v>
      </c>
      <c r="D982">
        <v>0</v>
      </c>
      <c r="E982" s="123" t="s">
        <v>185</v>
      </c>
      <c r="F982" s="123" t="s">
        <v>672</v>
      </c>
      <c r="G982">
        <v>0</v>
      </c>
    </row>
    <row r="983" spans="1:7" x14ac:dyDescent="0.3">
      <c r="A983">
        <v>5265</v>
      </c>
      <c r="B983" s="123" t="s">
        <v>359</v>
      </c>
      <c r="C983">
        <v>0</v>
      </c>
      <c r="D983">
        <v>0</v>
      </c>
      <c r="E983" s="123" t="s">
        <v>799</v>
      </c>
      <c r="F983" s="123" t="s">
        <v>676</v>
      </c>
      <c r="G983">
        <v>0</v>
      </c>
    </row>
    <row r="984" spans="1:7" x14ac:dyDescent="0.3">
      <c r="A984">
        <v>511</v>
      </c>
      <c r="B984" s="123" t="s">
        <v>590</v>
      </c>
      <c r="C984">
        <v>0</v>
      </c>
      <c r="D984">
        <v>0</v>
      </c>
      <c r="E984" s="123" t="s">
        <v>799</v>
      </c>
      <c r="F984" s="123" t="s">
        <v>676</v>
      </c>
      <c r="G984">
        <v>0</v>
      </c>
    </row>
    <row r="985" spans="1:7" x14ac:dyDescent="0.3">
      <c r="A985">
        <v>432</v>
      </c>
      <c r="B985" s="123" t="s">
        <v>564</v>
      </c>
      <c r="C985">
        <v>0</v>
      </c>
      <c r="D985">
        <v>0</v>
      </c>
      <c r="E985" s="123" t="s">
        <v>799</v>
      </c>
      <c r="F985" s="123" t="s">
        <v>676</v>
      </c>
      <c r="G985">
        <v>0</v>
      </c>
    </row>
    <row r="986" spans="1:7" x14ac:dyDescent="0.3">
      <c r="A986">
        <v>6073</v>
      </c>
      <c r="B986" s="123" t="s">
        <v>696</v>
      </c>
      <c r="C986">
        <v>0</v>
      </c>
      <c r="D986">
        <v>0</v>
      </c>
      <c r="E986" s="123" t="s">
        <v>799</v>
      </c>
      <c r="F986" s="123" t="s">
        <v>676</v>
      </c>
      <c r="G986">
        <v>0</v>
      </c>
    </row>
    <row r="987" spans="1:7" x14ac:dyDescent="0.3">
      <c r="A987">
        <v>381</v>
      </c>
      <c r="B987" s="123" t="s">
        <v>411</v>
      </c>
      <c r="C987">
        <v>237.8</v>
      </c>
      <c r="D987">
        <v>0</v>
      </c>
      <c r="E987" s="123" t="s">
        <v>799</v>
      </c>
      <c r="F987" s="123" t="s">
        <v>676</v>
      </c>
      <c r="G987">
        <v>237.8</v>
      </c>
    </row>
    <row r="988" spans="1:7" x14ac:dyDescent="0.3">
      <c r="A988">
        <v>392</v>
      </c>
      <c r="B988" s="123" t="s">
        <v>208</v>
      </c>
      <c r="C988">
        <v>0</v>
      </c>
      <c r="D988">
        <v>0</v>
      </c>
      <c r="E988" s="123" t="s">
        <v>799</v>
      </c>
      <c r="F988" s="123" t="s">
        <v>676</v>
      </c>
      <c r="G988">
        <v>0</v>
      </c>
    </row>
    <row r="989" spans="1:7" x14ac:dyDescent="0.3">
      <c r="A989">
        <v>5022</v>
      </c>
      <c r="B989" s="123" t="s">
        <v>470</v>
      </c>
      <c r="C989">
        <v>0</v>
      </c>
      <c r="D989">
        <v>0</v>
      </c>
      <c r="E989" s="123" t="s">
        <v>188</v>
      </c>
      <c r="F989" s="123" t="s">
        <v>678</v>
      </c>
      <c r="G989">
        <v>0</v>
      </c>
    </row>
    <row r="990" spans="1:7" x14ac:dyDescent="0.3">
      <c r="A990">
        <v>381</v>
      </c>
      <c r="B990" s="123" t="s">
        <v>411</v>
      </c>
      <c r="C990">
        <v>0</v>
      </c>
      <c r="D990">
        <v>0</v>
      </c>
      <c r="E990" s="123" t="s">
        <v>801</v>
      </c>
      <c r="F990" s="123" t="s">
        <v>679</v>
      </c>
      <c r="G990">
        <v>0</v>
      </c>
    </row>
    <row r="991" spans="1:7" x14ac:dyDescent="0.3">
      <c r="A991">
        <v>511</v>
      </c>
      <c r="B991" s="123" t="s">
        <v>590</v>
      </c>
      <c r="C991">
        <v>0</v>
      </c>
      <c r="D991">
        <v>206627.77</v>
      </c>
      <c r="E991" s="123" t="s">
        <v>801</v>
      </c>
      <c r="F991" s="123" t="s">
        <v>679</v>
      </c>
      <c r="G991">
        <v>206627.77</v>
      </c>
    </row>
    <row r="992" spans="1:7" x14ac:dyDescent="0.3">
      <c r="A992">
        <v>517</v>
      </c>
      <c r="B992" s="123" t="s">
        <v>520</v>
      </c>
      <c r="C992">
        <v>0</v>
      </c>
      <c r="D992">
        <v>0</v>
      </c>
      <c r="E992" s="123" t="s">
        <v>801</v>
      </c>
      <c r="F992" s="123" t="s">
        <v>679</v>
      </c>
      <c r="G992">
        <v>0</v>
      </c>
    </row>
    <row r="993" spans="1:7" x14ac:dyDescent="0.3">
      <c r="A993">
        <v>1014</v>
      </c>
      <c r="B993" s="123" t="s">
        <v>319</v>
      </c>
      <c r="C993">
        <v>0</v>
      </c>
      <c r="D993">
        <v>0</v>
      </c>
      <c r="E993" s="123" t="s">
        <v>185</v>
      </c>
      <c r="F993" s="123" t="s">
        <v>672</v>
      </c>
      <c r="G993">
        <v>0</v>
      </c>
    </row>
    <row r="994" spans="1:7" x14ac:dyDescent="0.3">
      <c r="A994">
        <v>437</v>
      </c>
      <c r="B994" s="123" t="s">
        <v>514</v>
      </c>
      <c r="C994">
        <v>0</v>
      </c>
      <c r="D994">
        <v>0</v>
      </c>
      <c r="E994" s="123" t="s">
        <v>185</v>
      </c>
      <c r="F994" s="123" t="s">
        <v>672</v>
      </c>
      <c r="G994">
        <v>0</v>
      </c>
    </row>
    <row r="995" spans="1:7" x14ac:dyDescent="0.3">
      <c r="A995">
        <v>1015</v>
      </c>
      <c r="B995" s="123" t="s">
        <v>317</v>
      </c>
      <c r="C995">
        <v>0.18</v>
      </c>
      <c r="D995">
        <v>0</v>
      </c>
      <c r="E995" s="123" t="s">
        <v>185</v>
      </c>
      <c r="F995" s="123" t="s">
        <v>672</v>
      </c>
      <c r="G995">
        <v>0.18</v>
      </c>
    </row>
    <row r="996" spans="1:7" x14ac:dyDescent="0.3">
      <c r="A996">
        <v>382</v>
      </c>
      <c r="B996" s="123" t="s">
        <v>294</v>
      </c>
      <c r="C996">
        <v>107.95</v>
      </c>
      <c r="D996">
        <v>0</v>
      </c>
      <c r="E996" s="123" t="s">
        <v>185</v>
      </c>
      <c r="F996" s="123" t="s">
        <v>672</v>
      </c>
      <c r="G996">
        <v>107.95</v>
      </c>
    </row>
    <row r="997" spans="1:7" x14ac:dyDescent="0.3">
      <c r="A997">
        <v>418</v>
      </c>
      <c r="B997" s="123" t="s">
        <v>568</v>
      </c>
      <c r="C997">
        <v>0</v>
      </c>
      <c r="D997">
        <v>0</v>
      </c>
      <c r="E997" s="123" t="s">
        <v>185</v>
      </c>
      <c r="F997" s="123" t="s">
        <v>672</v>
      </c>
      <c r="G997">
        <v>0</v>
      </c>
    </row>
    <row r="998" spans="1:7" x14ac:dyDescent="0.3">
      <c r="A998">
        <v>382</v>
      </c>
      <c r="B998" s="123" t="s">
        <v>294</v>
      </c>
      <c r="C998">
        <v>0</v>
      </c>
      <c r="D998">
        <v>0</v>
      </c>
      <c r="E998" s="123" t="s">
        <v>799</v>
      </c>
      <c r="F998" s="123" t="s">
        <v>676</v>
      </c>
      <c r="G998">
        <v>0</v>
      </c>
    </row>
    <row r="999" spans="1:7" x14ac:dyDescent="0.3">
      <c r="A999">
        <v>1015</v>
      </c>
      <c r="B999" s="123" t="s">
        <v>317</v>
      </c>
      <c r="C999">
        <v>0</v>
      </c>
      <c r="D999">
        <v>0</v>
      </c>
      <c r="E999" s="123" t="s">
        <v>801</v>
      </c>
      <c r="F999" s="123" t="s">
        <v>679</v>
      </c>
      <c r="G999">
        <v>0</v>
      </c>
    </row>
    <row r="1000" spans="1:7" x14ac:dyDescent="0.3">
      <c r="A1000">
        <v>437</v>
      </c>
      <c r="B1000" s="123" t="s">
        <v>514</v>
      </c>
      <c r="C1000">
        <v>0</v>
      </c>
      <c r="D1000">
        <v>0</v>
      </c>
      <c r="E1000" s="123" t="s">
        <v>801</v>
      </c>
      <c r="F1000" s="123" t="s">
        <v>679</v>
      </c>
      <c r="G1000">
        <v>0</v>
      </c>
    </row>
    <row r="1001" spans="1:7" x14ac:dyDescent="0.3">
      <c r="A1001">
        <v>1014</v>
      </c>
      <c r="B1001" s="123" t="s">
        <v>319</v>
      </c>
      <c r="C1001">
        <v>0</v>
      </c>
      <c r="D1001">
        <v>0</v>
      </c>
      <c r="E1001" s="123" t="s">
        <v>801</v>
      </c>
      <c r="F1001" s="123" t="s">
        <v>679</v>
      </c>
      <c r="G1001">
        <v>0</v>
      </c>
    </row>
    <row r="1002" spans="1:7" x14ac:dyDescent="0.3">
      <c r="A1002">
        <v>418</v>
      </c>
      <c r="B1002" s="123" t="s">
        <v>568</v>
      </c>
      <c r="C1002">
        <v>0</v>
      </c>
      <c r="D1002">
        <v>0</v>
      </c>
      <c r="E1002" s="123" t="s">
        <v>801</v>
      </c>
      <c r="F1002" s="123" t="s">
        <v>679</v>
      </c>
      <c r="G1002">
        <v>0</v>
      </c>
    </row>
    <row r="1003" spans="1:7" x14ac:dyDescent="0.3">
      <c r="A1003">
        <v>268</v>
      </c>
      <c r="B1003" s="123" t="s">
        <v>363</v>
      </c>
      <c r="C1003">
        <v>-10014665.74</v>
      </c>
      <c r="D1003">
        <v>0</v>
      </c>
      <c r="E1003" s="123" t="s">
        <v>185</v>
      </c>
      <c r="F1003" s="123" t="s">
        <v>672</v>
      </c>
      <c r="G1003">
        <v>-10014665.74</v>
      </c>
    </row>
    <row r="1004" spans="1:7" x14ac:dyDescent="0.3">
      <c r="A1004">
        <v>268</v>
      </c>
      <c r="B1004" s="123" t="s">
        <v>363</v>
      </c>
      <c r="C1004">
        <v>81.72</v>
      </c>
      <c r="D1004">
        <v>0</v>
      </c>
      <c r="E1004" s="123" t="s">
        <v>799</v>
      </c>
      <c r="F1004" s="123" t="s">
        <v>676</v>
      </c>
      <c r="G1004">
        <v>81.72</v>
      </c>
    </row>
    <row r="1005" spans="1:7" x14ac:dyDescent="0.3">
      <c r="A1005">
        <v>202</v>
      </c>
      <c r="B1005" s="123" t="s">
        <v>360</v>
      </c>
      <c r="C1005">
        <v>-129405.5</v>
      </c>
      <c r="D1005">
        <v>0</v>
      </c>
      <c r="E1005" s="123" t="s">
        <v>185</v>
      </c>
      <c r="F1005" s="123" t="s">
        <v>672</v>
      </c>
      <c r="G1005">
        <v>-129405.5</v>
      </c>
    </row>
    <row r="1006" spans="1:7" x14ac:dyDescent="0.3">
      <c r="A1006">
        <v>202</v>
      </c>
      <c r="B1006" s="123" t="s">
        <v>360</v>
      </c>
      <c r="C1006">
        <v>-425</v>
      </c>
      <c r="D1006">
        <v>0</v>
      </c>
      <c r="E1006" s="123" t="s">
        <v>801</v>
      </c>
      <c r="F1006" s="123" t="s">
        <v>679</v>
      </c>
      <c r="G1006">
        <v>-425</v>
      </c>
    </row>
    <row r="1007" spans="1:7" x14ac:dyDescent="0.3">
      <c r="A1007">
        <v>496</v>
      </c>
      <c r="B1007" s="123" t="s">
        <v>457</v>
      </c>
      <c r="C1007">
        <v>0</v>
      </c>
      <c r="D1007">
        <v>0</v>
      </c>
      <c r="E1007" s="123" t="s">
        <v>185</v>
      </c>
      <c r="F1007" s="123" t="s">
        <v>672</v>
      </c>
      <c r="G1007">
        <v>0</v>
      </c>
    </row>
    <row r="1008" spans="1:7" x14ac:dyDescent="0.3">
      <c r="A1008">
        <v>496</v>
      </c>
      <c r="B1008" s="123" t="s">
        <v>457</v>
      </c>
      <c r="C1008">
        <v>0</v>
      </c>
      <c r="D1008">
        <v>0</v>
      </c>
      <c r="E1008" s="123" t="s">
        <v>799</v>
      </c>
      <c r="F1008" s="123" t="s">
        <v>676</v>
      </c>
      <c r="G1008">
        <v>0</v>
      </c>
    </row>
    <row r="1009" spans="1:7" x14ac:dyDescent="0.3">
      <c r="A1009">
        <v>507</v>
      </c>
      <c r="B1009" s="123" t="s">
        <v>560</v>
      </c>
      <c r="C1009">
        <v>0</v>
      </c>
      <c r="D1009">
        <v>0.01</v>
      </c>
      <c r="E1009" s="123" t="s">
        <v>185</v>
      </c>
      <c r="F1009" s="123" t="s">
        <v>672</v>
      </c>
      <c r="G1009">
        <v>0.01</v>
      </c>
    </row>
    <row r="1010" spans="1:7" x14ac:dyDescent="0.3">
      <c r="A1010">
        <v>519</v>
      </c>
      <c r="B1010" s="123" t="s">
        <v>444</v>
      </c>
      <c r="C1010">
        <v>-3132.63</v>
      </c>
      <c r="D1010">
        <v>0</v>
      </c>
      <c r="E1010" s="123" t="s">
        <v>185</v>
      </c>
      <c r="F1010" s="123" t="s">
        <v>672</v>
      </c>
      <c r="G1010">
        <v>-3132.63</v>
      </c>
    </row>
    <row r="1011" spans="1:7" x14ac:dyDescent="0.3">
      <c r="A1011">
        <v>541</v>
      </c>
      <c r="B1011" s="123" t="s">
        <v>567</v>
      </c>
      <c r="C1011">
        <v>0</v>
      </c>
      <c r="D1011">
        <v>0</v>
      </c>
      <c r="E1011" s="123" t="s">
        <v>185</v>
      </c>
      <c r="F1011" s="123" t="s">
        <v>672</v>
      </c>
      <c r="G1011">
        <v>0</v>
      </c>
    </row>
    <row r="1012" spans="1:7" x14ac:dyDescent="0.3">
      <c r="A1012">
        <v>535</v>
      </c>
      <c r="B1012" s="123" t="s">
        <v>467</v>
      </c>
      <c r="C1012">
        <v>0</v>
      </c>
      <c r="D1012">
        <v>0</v>
      </c>
      <c r="E1012" s="123" t="s">
        <v>185</v>
      </c>
      <c r="F1012" s="123" t="s">
        <v>672</v>
      </c>
      <c r="G1012">
        <v>0</v>
      </c>
    </row>
    <row r="1013" spans="1:7" x14ac:dyDescent="0.3">
      <c r="A1013">
        <v>543</v>
      </c>
      <c r="B1013" s="123" t="s">
        <v>454</v>
      </c>
      <c r="C1013">
        <v>-364517.22</v>
      </c>
      <c r="D1013">
        <v>-0.01</v>
      </c>
      <c r="E1013" s="123" t="s">
        <v>185</v>
      </c>
      <c r="F1013" s="123" t="s">
        <v>672</v>
      </c>
      <c r="G1013">
        <v>-364517.23</v>
      </c>
    </row>
    <row r="1014" spans="1:7" x14ac:dyDescent="0.3">
      <c r="A1014">
        <v>545</v>
      </c>
      <c r="B1014" s="123" t="s">
        <v>407</v>
      </c>
      <c r="C1014">
        <v>2576148.7799999998</v>
      </c>
      <c r="D1014">
        <v>-0.01</v>
      </c>
      <c r="E1014" s="123" t="s">
        <v>185</v>
      </c>
      <c r="F1014" s="123" t="s">
        <v>672</v>
      </c>
      <c r="G1014">
        <v>2576148.77</v>
      </c>
    </row>
    <row r="1015" spans="1:7" x14ac:dyDescent="0.3">
      <c r="A1015">
        <v>520</v>
      </c>
      <c r="B1015" s="123" t="s">
        <v>533</v>
      </c>
      <c r="C1015">
        <v>-758.24</v>
      </c>
      <c r="D1015">
        <v>0</v>
      </c>
      <c r="E1015" s="123" t="s">
        <v>185</v>
      </c>
      <c r="F1015" s="123" t="s">
        <v>672</v>
      </c>
      <c r="G1015">
        <v>-758.24</v>
      </c>
    </row>
    <row r="1016" spans="1:7" x14ac:dyDescent="0.3">
      <c r="A1016">
        <v>6004</v>
      </c>
      <c r="B1016" s="123" t="s">
        <v>292</v>
      </c>
      <c r="C1016">
        <v>0</v>
      </c>
      <c r="D1016">
        <v>0</v>
      </c>
      <c r="E1016" s="123" t="s">
        <v>185</v>
      </c>
      <c r="F1016" s="123" t="s">
        <v>672</v>
      </c>
      <c r="G1016">
        <v>0</v>
      </c>
    </row>
    <row r="1017" spans="1:7" x14ac:dyDescent="0.3">
      <c r="A1017">
        <v>551</v>
      </c>
      <c r="B1017" s="123" t="s">
        <v>575</v>
      </c>
      <c r="C1017">
        <v>-4391.26</v>
      </c>
      <c r="D1017">
        <v>0</v>
      </c>
      <c r="E1017" s="123" t="s">
        <v>185</v>
      </c>
      <c r="F1017" s="123" t="s">
        <v>672</v>
      </c>
      <c r="G1017">
        <v>-4391.26</v>
      </c>
    </row>
    <row r="1018" spans="1:7" x14ac:dyDescent="0.3">
      <c r="A1018">
        <v>307</v>
      </c>
      <c r="B1018" s="123" t="s">
        <v>577</v>
      </c>
      <c r="C1018">
        <v>0</v>
      </c>
      <c r="D1018">
        <v>0.19</v>
      </c>
      <c r="E1018" s="123" t="s">
        <v>185</v>
      </c>
      <c r="F1018" s="123" t="s">
        <v>672</v>
      </c>
      <c r="G1018">
        <v>0.19</v>
      </c>
    </row>
    <row r="1019" spans="1:7" x14ac:dyDescent="0.3">
      <c r="A1019">
        <v>372</v>
      </c>
      <c r="B1019" s="123" t="s">
        <v>700</v>
      </c>
      <c r="C1019">
        <v>0</v>
      </c>
      <c r="D1019">
        <v>49066560</v>
      </c>
      <c r="E1019" s="123" t="s">
        <v>185</v>
      </c>
      <c r="F1019" s="123" t="s">
        <v>672</v>
      </c>
      <c r="G1019">
        <v>49066560</v>
      </c>
    </row>
    <row r="1020" spans="1:7" x14ac:dyDescent="0.3">
      <c r="A1020">
        <v>6004</v>
      </c>
      <c r="B1020" s="123" t="s">
        <v>292</v>
      </c>
      <c r="C1020">
        <v>1.05</v>
      </c>
      <c r="D1020">
        <v>0</v>
      </c>
      <c r="E1020" s="123" t="s">
        <v>799</v>
      </c>
      <c r="F1020" s="123" t="s">
        <v>676</v>
      </c>
      <c r="G1020">
        <v>1.05</v>
      </c>
    </row>
    <row r="1021" spans="1:7" x14ac:dyDescent="0.3">
      <c r="A1021">
        <v>543</v>
      </c>
      <c r="B1021" s="123" t="s">
        <v>454</v>
      </c>
      <c r="C1021">
        <v>14444.73</v>
      </c>
      <c r="D1021">
        <v>0</v>
      </c>
      <c r="E1021" s="123" t="s">
        <v>799</v>
      </c>
      <c r="F1021" s="123" t="s">
        <v>676</v>
      </c>
      <c r="G1021">
        <v>14444.73</v>
      </c>
    </row>
    <row r="1022" spans="1:7" x14ac:dyDescent="0.3">
      <c r="A1022">
        <v>535</v>
      </c>
      <c r="B1022" s="123" t="s">
        <v>467</v>
      </c>
      <c r="C1022">
        <v>0</v>
      </c>
      <c r="D1022">
        <v>0</v>
      </c>
      <c r="E1022" s="123" t="s">
        <v>799</v>
      </c>
      <c r="F1022" s="123" t="s">
        <v>676</v>
      </c>
      <c r="G1022">
        <v>0</v>
      </c>
    </row>
    <row r="1023" spans="1:7" x14ac:dyDescent="0.3">
      <c r="A1023">
        <v>535</v>
      </c>
      <c r="B1023" s="123" t="s">
        <v>467</v>
      </c>
      <c r="C1023">
        <v>0.39</v>
      </c>
      <c r="D1023">
        <v>0</v>
      </c>
      <c r="E1023" s="123" t="s">
        <v>188</v>
      </c>
      <c r="F1023" s="123" t="s">
        <v>678</v>
      </c>
      <c r="G1023">
        <v>0.39</v>
      </c>
    </row>
    <row r="1024" spans="1:7" x14ac:dyDescent="0.3">
      <c r="A1024">
        <v>543</v>
      </c>
      <c r="B1024" s="123" t="s">
        <v>454</v>
      </c>
      <c r="C1024">
        <v>0.92</v>
      </c>
      <c r="D1024">
        <v>0</v>
      </c>
      <c r="E1024" s="123" t="s">
        <v>188</v>
      </c>
      <c r="F1024" s="123" t="s">
        <v>678</v>
      </c>
      <c r="G1024">
        <v>0.92</v>
      </c>
    </row>
    <row r="1025" spans="1:7" x14ac:dyDescent="0.3">
      <c r="A1025">
        <v>519</v>
      </c>
      <c r="B1025" s="123" t="s">
        <v>444</v>
      </c>
      <c r="C1025">
        <v>0.04</v>
      </c>
      <c r="D1025">
        <v>0</v>
      </c>
      <c r="E1025" s="123" t="s">
        <v>188</v>
      </c>
      <c r="F1025" s="123" t="s">
        <v>678</v>
      </c>
      <c r="G1025">
        <v>0.04</v>
      </c>
    </row>
    <row r="1026" spans="1:7" x14ac:dyDescent="0.3">
      <c r="A1026">
        <v>545</v>
      </c>
      <c r="B1026" s="123" t="s">
        <v>407</v>
      </c>
      <c r="C1026">
        <v>0</v>
      </c>
      <c r="D1026">
        <v>0</v>
      </c>
      <c r="E1026" s="123" t="s">
        <v>801</v>
      </c>
      <c r="F1026" s="123" t="s">
        <v>679</v>
      </c>
      <c r="G1026">
        <v>0</v>
      </c>
    </row>
    <row r="1027" spans="1:7" x14ac:dyDescent="0.3">
      <c r="A1027">
        <v>546</v>
      </c>
      <c r="B1027" s="123" t="s">
        <v>595</v>
      </c>
      <c r="C1027">
        <v>0</v>
      </c>
      <c r="D1027">
        <v>0</v>
      </c>
      <c r="E1027" s="123" t="s">
        <v>185</v>
      </c>
      <c r="F1027" s="123" t="s">
        <v>672</v>
      </c>
      <c r="G1027">
        <v>0</v>
      </c>
    </row>
    <row r="1028" spans="1:7" x14ac:dyDescent="0.3">
      <c r="A1028">
        <v>153</v>
      </c>
      <c r="B1028" s="123" t="s">
        <v>321</v>
      </c>
      <c r="C1028">
        <v>0.63</v>
      </c>
      <c r="D1028">
        <v>0</v>
      </c>
      <c r="E1028" s="123" t="s">
        <v>185</v>
      </c>
      <c r="F1028" s="123" t="s">
        <v>672</v>
      </c>
      <c r="G1028">
        <v>0.63</v>
      </c>
    </row>
    <row r="1029" spans="1:7" x14ac:dyDescent="0.3">
      <c r="A1029">
        <v>508</v>
      </c>
      <c r="B1029" s="123" t="s">
        <v>435</v>
      </c>
      <c r="C1029">
        <v>-0.24</v>
      </c>
      <c r="D1029">
        <v>0</v>
      </c>
      <c r="E1029" s="123" t="s">
        <v>185</v>
      </c>
      <c r="F1029" s="123" t="s">
        <v>672</v>
      </c>
      <c r="G1029">
        <v>-0.24</v>
      </c>
    </row>
    <row r="1030" spans="1:7" x14ac:dyDescent="0.3">
      <c r="A1030">
        <v>510</v>
      </c>
      <c r="B1030" s="123" t="s">
        <v>437</v>
      </c>
      <c r="C1030">
        <v>0</v>
      </c>
      <c r="D1030">
        <v>0</v>
      </c>
      <c r="E1030" s="123" t="s">
        <v>185</v>
      </c>
      <c r="F1030" s="123" t="s">
        <v>672</v>
      </c>
      <c r="G1030">
        <v>0</v>
      </c>
    </row>
    <row r="1031" spans="1:7" x14ac:dyDescent="0.3">
      <c r="A1031">
        <v>505</v>
      </c>
      <c r="B1031" s="123" t="s">
        <v>481</v>
      </c>
      <c r="C1031">
        <v>-6134.13</v>
      </c>
      <c r="D1031">
        <v>0</v>
      </c>
      <c r="E1031" s="123" t="s">
        <v>185</v>
      </c>
      <c r="F1031" s="123" t="s">
        <v>672</v>
      </c>
      <c r="G1031">
        <v>-6134.13</v>
      </c>
    </row>
    <row r="1032" spans="1:7" x14ac:dyDescent="0.3">
      <c r="A1032">
        <v>106</v>
      </c>
      <c r="B1032" s="123" t="s">
        <v>342</v>
      </c>
      <c r="C1032">
        <v>-129026784.33</v>
      </c>
      <c r="D1032">
        <v>0</v>
      </c>
      <c r="E1032" s="123" t="s">
        <v>185</v>
      </c>
      <c r="F1032" s="123" t="s">
        <v>672</v>
      </c>
      <c r="G1032">
        <v>-129026784.33</v>
      </c>
    </row>
    <row r="1033" spans="1:7" x14ac:dyDescent="0.3">
      <c r="A1033">
        <v>70</v>
      </c>
      <c r="B1033" s="123" t="s">
        <v>707</v>
      </c>
      <c r="C1033">
        <v>0</v>
      </c>
      <c r="D1033">
        <v>0</v>
      </c>
      <c r="E1033" s="123" t="s">
        <v>185</v>
      </c>
      <c r="F1033" s="123" t="s">
        <v>672</v>
      </c>
      <c r="G1033">
        <v>0</v>
      </c>
    </row>
    <row r="1034" spans="1:7" x14ac:dyDescent="0.3">
      <c r="A1034">
        <v>463</v>
      </c>
      <c r="B1034" s="123" t="s">
        <v>587</v>
      </c>
      <c r="C1034">
        <v>-710.98</v>
      </c>
      <c r="D1034">
        <v>0</v>
      </c>
      <c r="E1034" s="123" t="s">
        <v>185</v>
      </c>
      <c r="F1034" s="123" t="s">
        <v>672</v>
      </c>
      <c r="G1034">
        <v>-710.98</v>
      </c>
    </row>
    <row r="1035" spans="1:7" x14ac:dyDescent="0.3">
      <c r="A1035">
        <v>487</v>
      </c>
      <c r="B1035" s="123" t="s">
        <v>192</v>
      </c>
      <c r="C1035">
        <v>-2191.58</v>
      </c>
      <c r="D1035">
        <v>0</v>
      </c>
      <c r="E1035" s="123" t="s">
        <v>185</v>
      </c>
      <c r="F1035" s="123" t="s">
        <v>672</v>
      </c>
      <c r="G1035">
        <v>-2191.58</v>
      </c>
    </row>
    <row r="1036" spans="1:7" x14ac:dyDescent="0.3">
      <c r="A1036">
        <v>20</v>
      </c>
      <c r="B1036" s="123" t="s">
        <v>233</v>
      </c>
      <c r="C1036">
        <v>0</v>
      </c>
      <c r="D1036">
        <v>-0.01</v>
      </c>
      <c r="E1036" s="123" t="s">
        <v>185</v>
      </c>
      <c r="F1036" s="123" t="s">
        <v>672</v>
      </c>
      <c r="G1036">
        <v>-0.01</v>
      </c>
    </row>
    <row r="1037" spans="1:7" x14ac:dyDescent="0.3">
      <c r="A1037">
        <v>83</v>
      </c>
      <c r="B1037" s="123" t="s">
        <v>210</v>
      </c>
      <c r="C1037">
        <v>8.69</v>
      </c>
      <c r="D1037">
        <v>0</v>
      </c>
      <c r="E1037" s="123" t="s">
        <v>185</v>
      </c>
      <c r="F1037" s="123" t="s">
        <v>672</v>
      </c>
      <c r="G1037">
        <v>8.69</v>
      </c>
    </row>
    <row r="1038" spans="1:7" x14ac:dyDescent="0.3">
      <c r="A1038">
        <v>24</v>
      </c>
      <c r="B1038" s="123" t="s">
        <v>250</v>
      </c>
      <c r="C1038">
        <v>1508466.63</v>
      </c>
      <c r="D1038">
        <v>0.05</v>
      </c>
      <c r="E1038" s="123" t="s">
        <v>185</v>
      </c>
      <c r="F1038" s="123" t="s">
        <v>672</v>
      </c>
      <c r="G1038">
        <v>1508466.68</v>
      </c>
    </row>
    <row r="1039" spans="1:7" x14ac:dyDescent="0.3">
      <c r="A1039">
        <v>38</v>
      </c>
      <c r="B1039" s="123" t="s">
        <v>287</v>
      </c>
      <c r="C1039">
        <v>-1885000</v>
      </c>
      <c r="D1039">
        <v>126000001.78</v>
      </c>
      <c r="E1039" s="123" t="s">
        <v>185</v>
      </c>
      <c r="F1039" s="123" t="s">
        <v>672</v>
      </c>
      <c r="G1039">
        <v>124115001.78</v>
      </c>
    </row>
    <row r="1040" spans="1:7" x14ac:dyDescent="0.3">
      <c r="A1040">
        <v>554</v>
      </c>
      <c r="B1040" s="123" t="s">
        <v>387</v>
      </c>
      <c r="C1040">
        <v>402898358.26999998</v>
      </c>
      <c r="D1040">
        <v>0</v>
      </c>
      <c r="E1040" s="123" t="s">
        <v>185</v>
      </c>
      <c r="F1040" s="123" t="s">
        <v>672</v>
      </c>
      <c r="G1040">
        <v>402898358.26999998</v>
      </c>
    </row>
    <row r="1041" spans="1:7" x14ac:dyDescent="0.3">
      <c r="A1041">
        <v>9000</v>
      </c>
      <c r="B1041" s="123" t="s">
        <v>608</v>
      </c>
      <c r="C1041">
        <v>-17854.169999999998</v>
      </c>
      <c r="D1041">
        <v>0</v>
      </c>
      <c r="E1041" s="123" t="s">
        <v>185</v>
      </c>
      <c r="F1041" s="123" t="s">
        <v>672</v>
      </c>
      <c r="G1041">
        <v>-17854.169999999998</v>
      </c>
    </row>
    <row r="1042" spans="1:7" x14ac:dyDescent="0.3">
      <c r="A1042">
        <v>6014</v>
      </c>
      <c r="B1042" s="123" t="s">
        <v>267</v>
      </c>
      <c r="C1042">
        <v>5168.87</v>
      </c>
      <c r="D1042">
        <v>0</v>
      </c>
      <c r="E1042" s="123" t="s">
        <v>185</v>
      </c>
      <c r="F1042" s="123" t="s">
        <v>672</v>
      </c>
      <c r="G1042">
        <v>5168.87</v>
      </c>
    </row>
    <row r="1043" spans="1:7" x14ac:dyDescent="0.3">
      <c r="A1043">
        <v>6009</v>
      </c>
      <c r="B1043" s="123" t="s">
        <v>315</v>
      </c>
      <c r="C1043">
        <v>21423.599999999999</v>
      </c>
      <c r="D1043">
        <v>0</v>
      </c>
      <c r="E1043" s="123" t="s">
        <v>185</v>
      </c>
      <c r="F1043" s="123" t="s">
        <v>672</v>
      </c>
      <c r="G1043">
        <v>21423.599999999999</v>
      </c>
    </row>
    <row r="1044" spans="1:7" x14ac:dyDescent="0.3">
      <c r="A1044">
        <v>6011</v>
      </c>
      <c r="B1044" s="123" t="s">
        <v>224</v>
      </c>
      <c r="C1044">
        <v>-162797280.74000001</v>
      </c>
      <c r="D1044">
        <v>0</v>
      </c>
      <c r="E1044" s="123" t="s">
        <v>185</v>
      </c>
      <c r="F1044" s="123" t="s">
        <v>672</v>
      </c>
      <c r="G1044">
        <v>-162797280.74000001</v>
      </c>
    </row>
    <row r="1045" spans="1:7" x14ac:dyDescent="0.3">
      <c r="A1045">
        <v>6013</v>
      </c>
      <c r="B1045" s="123" t="s">
        <v>607</v>
      </c>
      <c r="C1045">
        <v>-1013623410.11</v>
      </c>
      <c r="D1045">
        <v>0</v>
      </c>
      <c r="E1045" s="123" t="s">
        <v>185</v>
      </c>
      <c r="F1045" s="123" t="s">
        <v>672</v>
      </c>
      <c r="G1045">
        <v>-1013623410.11</v>
      </c>
    </row>
    <row r="1046" spans="1:7" x14ac:dyDescent="0.3">
      <c r="A1046">
        <v>6048</v>
      </c>
      <c r="B1046" s="123" t="s">
        <v>705</v>
      </c>
      <c r="C1046">
        <v>0</v>
      </c>
      <c r="D1046">
        <v>0</v>
      </c>
      <c r="E1046" s="123" t="s">
        <v>185</v>
      </c>
      <c r="F1046" s="123" t="s">
        <v>672</v>
      </c>
      <c r="G1046">
        <v>0</v>
      </c>
    </row>
    <row r="1047" spans="1:7" x14ac:dyDescent="0.3">
      <c r="A1047">
        <v>6054</v>
      </c>
      <c r="B1047" s="123" t="s">
        <v>706</v>
      </c>
      <c r="C1047">
        <v>129819.79</v>
      </c>
      <c r="D1047">
        <v>0</v>
      </c>
      <c r="E1047" s="123" t="s">
        <v>185</v>
      </c>
      <c r="F1047" s="123" t="s">
        <v>672</v>
      </c>
      <c r="G1047">
        <v>129819.79</v>
      </c>
    </row>
    <row r="1048" spans="1:7" x14ac:dyDescent="0.3">
      <c r="A1048">
        <v>6051</v>
      </c>
      <c r="B1048" s="123" t="s">
        <v>702</v>
      </c>
      <c r="C1048">
        <v>-656727714.64999998</v>
      </c>
      <c r="D1048">
        <v>0</v>
      </c>
      <c r="E1048" s="123" t="s">
        <v>185</v>
      </c>
      <c r="F1048" s="123" t="s">
        <v>672</v>
      </c>
      <c r="G1048">
        <v>-656727714.64999998</v>
      </c>
    </row>
    <row r="1049" spans="1:7" x14ac:dyDescent="0.3">
      <c r="A1049">
        <v>9001</v>
      </c>
      <c r="B1049" s="123" t="s">
        <v>225</v>
      </c>
      <c r="C1049">
        <v>-6813.76</v>
      </c>
      <c r="D1049">
        <v>0</v>
      </c>
      <c r="E1049" s="123" t="s">
        <v>185</v>
      </c>
      <c r="F1049" s="123" t="s">
        <v>672</v>
      </c>
      <c r="G1049">
        <v>-6813.76</v>
      </c>
    </row>
    <row r="1050" spans="1:7" x14ac:dyDescent="0.3">
      <c r="A1050">
        <v>6033</v>
      </c>
      <c r="B1050" s="123" t="s">
        <v>701</v>
      </c>
      <c r="C1050">
        <v>-41639.89</v>
      </c>
      <c r="D1050">
        <v>0</v>
      </c>
      <c r="E1050" s="123" t="s">
        <v>185</v>
      </c>
      <c r="F1050" s="123" t="s">
        <v>672</v>
      </c>
      <c r="G1050">
        <v>-41639.89</v>
      </c>
    </row>
    <row r="1051" spans="1:7" x14ac:dyDescent="0.3">
      <c r="A1051">
        <v>185</v>
      </c>
      <c r="B1051" s="123" t="s">
        <v>342</v>
      </c>
      <c r="C1051">
        <v>29026784.329999998</v>
      </c>
      <c r="D1051">
        <v>0</v>
      </c>
      <c r="E1051" s="123" t="s">
        <v>185</v>
      </c>
      <c r="F1051" s="123" t="s">
        <v>672</v>
      </c>
      <c r="G1051">
        <v>29026784.329999998</v>
      </c>
    </row>
    <row r="1052" spans="1:7" x14ac:dyDescent="0.3">
      <c r="A1052">
        <v>379</v>
      </c>
      <c r="B1052" s="123" t="s">
        <v>592</v>
      </c>
      <c r="C1052">
        <v>15256575.859999999</v>
      </c>
      <c r="D1052">
        <v>0.02</v>
      </c>
      <c r="E1052" s="123" t="s">
        <v>185</v>
      </c>
      <c r="F1052" s="123" t="s">
        <v>672</v>
      </c>
      <c r="G1052">
        <v>15256575.880000001</v>
      </c>
    </row>
    <row r="1053" spans="1:7" x14ac:dyDescent="0.3">
      <c r="A1053">
        <v>415</v>
      </c>
      <c r="B1053" s="123" t="s">
        <v>390</v>
      </c>
      <c r="C1053">
        <v>0</v>
      </c>
      <c r="D1053">
        <v>0</v>
      </c>
      <c r="E1053" s="123" t="s">
        <v>185</v>
      </c>
      <c r="F1053" s="123" t="s">
        <v>672</v>
      </c>
      <c r="G1053">
        <v>0</v>
      </c>
    </row>
    <row r="1054" spans="1:7" x14ac:dyDescent="0.3">
      <c r="A1054">
        <v>363</v>
      </c>
      <c r="B1054" s="123" t="s">
        <v>218</v>
      </c>
      <c r="C1054">
        <v>0</v>
      </c>
      <c r="D1054">
        <v>0.03</v>
      </c>
      <c r="E1054" s="123" t="s">
        <v>185</v>
      </c>
      <c r="F1054" s="123" t="s">
        <v>672</v>
      </c>
      <c r="G1054">
        <v>0.03</v>
      </c>
    </row>
    <row r="1055" spans="1:7" x14ac:dyDescent="0.3">
      <c r="A1055">
        <v>6094</v>
      </c>
      <c r="B1055" s="123" t="s">
        <v>1621</v>
      </c>
      <c r="C1055">
        <v>-2939.02</v>
      </c>
      <c r="D1055">
        <v>0</v>
      </c>
      <c r="E1055" s="123" t="s">
        <v>185</v>
      </c>
      <c r="F1055" s="123" t="s">
        <v>672</v>
      </c>
      <c r="G1055">
        <v>-2939.02</v>
      </c>
    </row>
    <row r="1056" spans="1:7" x14ac:dyDescent="0.3">
      <c r="A1056">
        <v>287</v>
      </c>
      <c r="B1056" s="123" t="s">
        <v>238</v>
      </c>
      <c r="C1056">
        <v>-645417561.41999996</v>
      </c>
      <c r="D1056">
        <v>9343749.9800000004</v>
      </c>
      <c r="E1056" s="123" t="s">
        <v>185</v>
      </c>
      <c r="F1056" s="123" t="s">
        <v>672</v>
      </c>
      <c r="G1056">
        <v>-636073811.44000006</v>
      </c>
    </row>
    <row r="1057" spans="1:7" x14ac:dyDescent="0.3">
      <c r="A1057">
        <v>6079</v>
      </c>
      <c r="B1057" s="123" t="s">
        <v>703</v>
      </c>
      <c r="C1057">
        <v>-586215.6</v>
      </c>
      <c r="D1057">
        <v>0</v>
      </c>
      <c r="E1057" s="123" t="s">
        <v>185</v>
      </c>
      <c r="F1057" s="123" t="s">
        <v>672</v>
      </c>
      <c r="G1057">
        <v>-586215.6</v>
      </c>
    </row>
    <row r="1058" spans="1:7" x14ac:dyDescent="0.3">
      <c r="A1058">
        <v>6084</v>
      </c>
      <c r="B1058" s="123" t="s">
        <v>704</v>
      </c>
      <c r="C1058">
        <v>-45955.41</v>
      </c>
      <c r="D1058">
        <v>0</v>
      </c>
      <c r="E1058" s="123" t="s">
        <v>185</v>
      </c>
      <c r="F1058" s="123" t="s">
        <v>672</v>
      </c>
      <c r="G1058">
        <v>-45955.41</v>
      </c>
    </row>
    <row r="1059" spans="1:7" x14ac:dyDescent="0.3">
      <c r="A1059">
        <v>6079</v>
      </c>
      <c r="B1059" s="123" t="s">
        <v>703</v>
      </c>
      <c r="C1059">
        <v>0</v>
      </c>
      <c r="D1059">
        <v>0</v>
      </c>
      <c r="E1059" s="123" t="s">
        <v>799</v>
      </c>
      <c r="F1059" s="123" t="s">
        <v>676</v>
      </c>
      <c r="G1059">
        <v>0</v>
      </c>
    </row>
    <row r="1060" spans="1:7" x14ac:dyDescent="0.3">
      <c r="A1060">
        <v>287</v>
      </c>
      <c r="B1060" s="123" t="s">
        <v>238</v>
      </c>
      <c r="C1060">
        <v>1064.4000000000001</v>
      </c>
      <c r="D1060">
        <v>1604.01</v>
      </c>
      <c r="E1060" s="123" t="s">
        <v>799</v>
      </c>
      <c r="F1060" s="123" t="s">
        <v>676</v>
      </c>
      <c r="G1060">
        <v>2668.41</v>
      </c>
    </row>
    <row r="1061" spans="1:7" x14ac:dyDescent="0.3">
      <c r="A1061">
        <v>6094</v>
      </c>
      <c r="B1061" s="123" t="s">
        <v>1621</v>
      </c>
      <c r="C1061">
        <v>19906.72</v>
      </c>
      <c r="D1061">
        <v>0</v>
      </c>
      <c r="E1061" s="123" t="s">
        <v>799</v>
      </c>
      <c r="F1061" s="123" t="s">
        <v>676</v>
      </c>
      <c r="G1061">
        <v>19906.72</v>
      </c>
    </row>
    <row r="1062" spans="1:7" x14ac:dyDescent="0.3">
      <c r="A1062">
        <v>415</v>
      </c>
      <c r="B1062" s="123" t="s">
        <v>390</v>
      </c>
      <c r="C1062">
        <v>0.8</v>
      </c>
      <c r="D1062">
        <v>0</v>
      </c>
      <c r="E1062" s="123" t="s">
        <v>799</v>
      </c>
      <c r="F1062" s="123" t="s">
        <v>676</v>
      </c>
      <c r="G1062">
        <v>0.8</v>
      </c>
    </row>
    <row r="1063" spans="1:7" x14ac:dyDescent="0.3">
      <c r="A1063">
        <v>379</v>
      </c>
      <c r="B1063" s="123" t="s">
        <v>592</v>
      </c>
      <c r="C1063">
        <v>45504.55</v>
      </c>
      <c r="D1063">
        <v>0</v>
      </c>
      <c r="E1063" s="123" t="s">
        <v>799</v>
      </c>
      <c r="F1063" s="123" t="s">
        <v>676</v>
      </c>
      <c r="G1063">
        <v>45504.55</v>
      </c>
    </row>
    <row r="1064" spans="1:7" x14ac:dyDescent="0.3">
      <c r="A1064">
        <v>185</v>
      </c>
      <c r="B1064" s="123" t="s">
        <v>342</v>
      </c>
      <c r="C1064">
        <v>0</v>
      </c>
      <c r="D1064">
        <v>0</v>
      </c>
      <c r="E1064" s="123" t="s">
        <v>799</v>
      </c>
      <c r="F1064" s="123" t="s">
        <v>676</v>
      </c>
      <c r="G1064">
        <v>0</v>
      </c>
    </row>
    <row r="1065" spans="1:7" x14ac:dyDescent="0.3">
      <c r="A1065">
        <v>6033</v>
      </c>
      <c r="B1065" s="123" t="s">
        <v>701</v>
      </c>
      <c r="C1065">
        <v>480.68</v>
      </c>
      <c r="D1065">
        <v>0</v>
      </c>
      <c r="E1065" s="123" t="s">
        <v>799</v>
      </c>
      <c r="F1065" s="123" t="s">
        <v>676</v>
      </c>
      <c r="G1065">
        <v>480.68</v>
      </c>
    </row>
    <row r="1066" spans="1:7" x14ac:dyDescent="0.3">
      <c r="A1066">
        <v>9001</v>
      </c>
      <c r="B1066" s="123" t="s">
        <v>225</v>
      </c>
      <c r="C1066">
        <v>0</v>
      </c>
      <c r="D1066">
        <v>0</v>
      </c>
      <c r="E1066" s="123" t="s">
        <v>799</v>
      </c>
      <c r="F1066" s="123" t="s">
        <v>676</v>
      </c>
      <c r="G1066">
        <v>0</v>
      </c>
    </row>
    <row r="1067" spans="1:7" x14ac:dyDescent="0.3">
      <c r="A1067">
        <v>6051</v>
      </c>
      <c r="B1067" s="123" t="s">
        <v>702</v>
      </c>
      <c r="C1067">
        <v>200.33</v>
      </c>
      <c r="D1067">
        <v>0</v>
      </c>
      <c r="E1067" s="123" t="s">
        <v>799</v>
      </c>
      <c r="F1067" s="123" t="s">
        <v>676</v>
      </c>
      <c r="G1067">
        <v>200.33</v>
      </c>
    </row>
    <row r="1068" spans="1:7" x14ac:dyDescent="0.3">
      <c r="A1068">
        <v>6013</v>
      </c>
      <c r="B1068" s="123" t="s">
        <v>607</v>
      </c>
      <c r="C1068">
        <v>0</v>
      </c>
      <c r="D1068">
        <v>0</v>
      </c>
      <c r="E1068" s="123" t="s">
        <v>799</v>
      </c>
      <c r="F1068" s="123" t="s">
        <v>676</v>
      </c>
      <c r="G1068">
        <v>0</v>
      </c>
    </row>
    <row r="1069" spans="1:7" x14ac:dyDescent="0.3">
      <c r="A1069">
        <v>6011</v>
      </c>
      <c r="B1069" s="123" t="s">
        <v>224</v>
      </c>
      <c r="C1069">
        <v>3728.59</v>
      </c>
      <c r="D1069">
        <v>0</v>
      </c>
      <c r="E1069" s="123" t="s">
        <v>799</v>
      </c>
      <c r="F1069" s="123" t="s">
        <v>676</v>
      </c>
      <c r="G1069">
        <v>3728.59</v>
      </c>
    </row>
    <row r="1070" spans="1:7" x14ac:dyDescent="0.3">
      <c r="A1070">
        <v>6009</v>
      </c>
      <c r="B1070" s="123" t="s">
        <v>315</v>
      </c>
      <c r="C1070">
        <v>35.380000000000003</v>
      </c>
      <c r="D1070">
        <v>0</v>
      </c>
      <c r="E1070" s="123" t="s">
        <v>799</v>
      </c>
      <c r="F1070" s="123" t="s">
        <v>676</v>
      </c>
      <c r="G1070">
        <v>35.380000000000003</v>
      </c>
    </row>
    <row r="1071" spans="1:7" x14ac:dyDescent="0.3">
      <c r="A1071">
        <v>9000</v>
      </c>
      <c r="B1071" s="123" t="s">
        <v>608</v>
      </c>
      <c r="C1071">
        <v>0</v>
      </c>
      <c r="D1071">
        <v>0</v>
      </c>
      <c r="E1071" s="123" t="s">
        <v>799</v>
      </c>
      <c r="F1071" s="123" t="s">
        <v>676</v>
      </c>
      <c r="G1071">
        <v>0</v>
      </c>
    </row>
    <row r="1072" spans="1:7" x14ac:dyDescent="0.3">
      <c r="A1072">
        <v>554</v>
      </c>
      <c r="B1072" s="123" t="s">
        <v>387</v>
      </c>
      <c r="C1072">
        <v>0.48</v>
      </c>
      <c r="D1072">
        <v>0</v>
      </c>
      <c r="E1072" s="123" t="s">
        <v>799</v>
      </c>
      <c r="F1072" s="123" t="s">
        <v>676</v>
      </c>
      <c r="G1072">
        <v>0.48</v>
      </c>
    </row>
    <row r="1073" spans="1:7" x14ac:dyDescent="0.3">
      <c r="A1073">
        <v>24</v>
      </c>
      <c r="B1073" s="123" t="s">
        <v>250</v>
      </c>
      <c r="C1073">
        <v>0</v>
      </c>
      <c r="D1073">
        <v>0</v>
      </c>
      <c r="E1073" s="123" t="s">
        <v>799</v>
      </c>
      <c r="F1073" s="123" t="s">
        <v>676</v>
      </c>
      <c r="G1073">
        <v>0</v>
      </c>
    </row>
    <row r="1074" spans="1:7" x14ac:dyDescent="0.3">
      <c r="A1074">
        <v>20</v>
      </c>
      <c r="B1074" s="123" t="s">
        <v>233</v>
      </c>
      <c r="C1074">
        <v>3613.43</v>
      </c>
      <c r="D1074">
        <v>0</v>
      </c>
      <c r="E1074" s="123" t="s">
        <v>799</v>
      </c>
      <c r="F1074" s="123" t="s">
        <v>676</v>
      </c>
      <c r="G1074">
        <v>3613.43</v>
      </c>
    </row>
    <row r="1075" spans="1:7" x14ac:dyDescent="0.3">
      <c r="A1075">
        <v>487</v>
      </c>
      <c r="B1075" s="123" t="s">
        <v>192</v>
      </c>
      <c r="C1075">
        <v>0.25</v>
      </c>
      <c r="D1075">
        <v>0</v>
      </c>
      <c r="E1075" s="123" t="s">
        <v>799</v>
      </c>
      <c r="F1075" s="123" t="s">
        <v>676</v>
      </c>
      <c r="G1075">
        <v>0.25</v>
      </c>
    </row>
    <row r="1076" spans="1:7" x14ac:dyDescent="0.3">
      <c r="A1076">
        <v>463</v>
      </c>
      <c r="B1076" s="123" t="s">
        <v>587</v>
      </c>
      <c r="C1076">
        <v>0</v>
      </c>
      <c r="D1076">
        <v>0</v>
      </c>
      <c r="E1076" s="123" t="s">
        <v>799</v>
      </c>
      <c r="F1076" s="123" t="s">
        <v>676</v>
      </c>
      <c r="G1076">
        <v>0</v>
      </c>
    </row>
    <row r="1077" spans="1:7" x14ac:dyDescent="0.3">
      <c r="A1077">
        <v>70</v>
      </c>
      <c r="B1077" s="123" t="s">
        <v>707</v>
      </c>
      <c r="C1077">
        <v>0</v>
      </c>
      <c r="D1077">
        <v>0</v>
      </c>
      <c r="E1077" s="123" t="s">
        <v>799</v>
      </c>
      <c r="F1077" s="123" t="s">
        <v>676</v>
      </c>
      <c r="G1077">
        <v>0</v>
      </c>
    </row>
    <row r="1078" spans="1:7" x14ac:dyDescent="0.3">
      <c r="A1078">
        <v>106</v>
      </c>
      <c r="B1078" s="123" t="s">
        <v>342</v>
      </c>
      <c r="C1078">
        <v>0.17</v>
      </c>
      <c r="D1078">
        <v>0</v>
      </c>
      <c r="E1078" s="123" t="s">
        <v>799</v>
      </c>
      <c r="F1078" s="123" t="s">
        <v>676</v>
      </c>
      <c r="G1078">
        <v>0.17</v>
      </c>
    </row>
    <row r="1079" spans="1:7" x14ac:dyDescent="0.3">
      <c r="A1079">
        <v>510</v>
      </c>
      <c r="B1079" s="123" t="s">
        <v>437</v>
      </c>
      <c r="C1079">
        <v>0</v>
      </c>
      <c r="D1079">
        <v>0</v>
      </c>
      <c r="E1079" s="123" t="s">
        <v>799</v>
      </c>
      <c r="F1079" s="123" t="s">
        <v>676</v>
      </c>
      <c r="G1079">
        <v>0</v>
      </c>
    </row>
    <row r="1080" spans="1:7" x14ac:dyDescent="0.3">
      <c r="A1080">
        <v>153</v>
      </c>
      <c r="B1080" s="123" t="s">
        <v>321</v>
      </c>
      <c r="C1080">
        <v>91.94</v>
      </c>
      <c r="D1080">
        <v>0</v>
      </c>
      <c r="E1080" s="123" t="s">
        <v>799</v>
      </c>
      <c r="F1080" s="123" t="s">
        <v>676</v>
      </c>
      <c r="G1080">
        <v>91.94</v>
      </c>
    </row>
    <row r="1081" spans="1:7" x14ac:dyDescent="0.3">
      <c r="A1081">
        <v>20</v>
      </c>
      <c r="B1081" s="123" t="s">
        <v>233</v>
      </c>
      <c r="C1081">
        <v>3.64</v>
      </c>
      <c r="D1081">
        <v>0</v>
      </c>
      <c r="E1081" s="123" t="s">
        <v>188</v>
      </c>
      <c r="F1081" s="123" t="s">
        <v>678</v>
      </c>
      <c r="G1081">
        <v>3.64</v>
      </c>
    </row>
    <row r="1082" spans="1:7" x14ac:dyDescent="0.3">
      <c r="A1082">
        <v>83</v>
      </c>
      <c r="B1082" s="123" t="s">
        <v>210</v>
      </c>
      <c r="C1082">
        <v>0</v>
      </c>
      <c r="D1082">
        <v>0</v>
      </c>
      <c r="E1082" s="123" t="s">
        <v>188</v>
      </c>
      <c r="F1082" s="123" t="s">
        <v>678</v>
      </c>
      <c r="G1082">
        <v>0</v>
      </c>
    </row>
    <row r="1083" spans="1:7" x14ac:dyDescent="0.3">
      <c r="A1083">
        <v>24</v>
      </c>
      <c r="B1083" s="123" t="s">
        <v>250</v>
      </c>
      <c r="C1083">
        <v>26.69</v>
      </c>
      <c r="D1083">
        <v>0</v>
      </c>
      <c r="E1083" s="123" t="s">
        <v>188</v>
      </c>
      <c r="F1083" s="123" t="s">
        <v>678</v>
      </c>
      <c r="G1083">
        <v>26.69</v>
      </c>
    </row>
    <row r="1084" spans="1:7" x14ac:dyDescent="0.3">
      <c r="A1084">
        <v>6009</v>
      </c>
      <c r="B1084" s="123" t="s">
        <v>315</v>
      </c>
      <c r="C1084">
        <v>3.5</v>
      </c>
      <c r="D1084">
        <v>0</v>
      </c>
      <c r="E1084" s="123" t="s">
        <v>188</v>
      </c>
      <c r="F1084" s="123" t="s">
        <v>678</v>
      </c>
      <c r="G1084">
        <v>3.5</v>
      </c>
    </row>
    <row r="1085" spans="1:7" x14ac:dyDescent="0.3">
      <c r="A1085">
        <v>6054</v>
      </c>
      <c r="B1085" s="123" t="s">
        <v>706</v>
      </c>
      <c r="C1085">
        <v>44323.82</v>
      </c>
      <c r="D1085">
        <v>51607.5</v>
      </c>
      <c r="E1085" s="123" t="s">
        <v>188</v>
      </c>
      <c r="F1085" s="123" t="s">
        <v>678</v>
      </c>
      <c r="G1085">
        <v>95931.32</v>
      </c>
    </row>
    <row r="1086" spans="1:7" x14ac:dyDescent="0.3">
      <c r="A1086">
        <v>287</v>
      </c>
      <c r="B1086" s="123" t="s">
        <v>238</v>
      </c>
      <c r="C1086">
        <v>196.5</v>
      </c>
      <c r="D1086">
        <v>0</v>
      </c>
      <c r="E1086" s="123" t="s">
        <v>188</v>
      </c>
      <c r="F1086" s="123" t="s">
        <v>678</v>
      </c>
      <c r="G1086">
        <v>196.5</v>
      </c>
    </row>
    <row r="1087" spans="1:7" x14ac:dyDescent="0.3">
      <c r="A1087">
        <v>287</v>
      </c>
      <c r="B1087" s="123" t="s">
        <v>238</v>
      </c>
      <c r="C1087">
        <v>0</v>
      </c>
      <c r="D1087">
        <v>0</v>
      </c>
      <c r="E1087" s="123" t="s">
        <v>801</v>
      </c>
      <c r="F1087" s="123" t="s">
        <v>679</v>
      </c>
      <c r="G1087">
        <v>0</v>
      </c>
    </row>
    <row r="1088" spans="1:7" x14ac:dyDescent="0.3">
      <c r="A1088">
        <v>6084</v>
      </c>
      <c r="B1088" s="123" t="s">
        <v>704</v>
      </c>
      <c r="C1088">
        <v>0</v>
      </c>
      <c r="D1088">
        <v>0</v>
      </c>
      <c r="E1088" s="123" t="s">
        <v>801</v>
      </c>
      <c r="F1088" s="123" t="s">
        <v>679</v>
      </c>
      <c r="G1088">
        <v>0</v>
      </c>
    </row>
    <row r="1089" spans="1:7" x14ac:dyDescent="0.3">
      <c r="A1089">
        <v>415</v>
      </c>
      <c r="B1089" s="123" t="s">
        <v>390</v>
      </c>
      <c r="C1089">
        <v>0</v>
      </c>
      <c r="D1089">
        <v>0</v>
      </c>
      <c r="E1089" s="123" t="s">
        <v>801</v>
      </c>
      <c r="F1089" s="123" t="s">
        <v>679</v>
      </c>
      <c r="G1089">
        <v>0</v>
      </c>
    </row>
    <row r="1090" spans="1:7" x14ac:dyDescent="0.3">
      <c r="A1090">
        <v>363</v>
      </c>
      <c r="B1090" s="123" t="s">
        <v>218</v>
      </c>
      <c r="C1090">
        <v>0</v>
      </c>
      <c r="D1090">
        <v>0</v>
      </c>
      <c r="E1090" s="123" t="s">
        <v>801</v>
      </c>
      <c r="F1090" s="123" t="s">
        <v>679</v>
      </c>
      <c r="G1090">
        <v>0</v>
      </c>
    </row>
    <row r="1091" spans="1:7" x14ac:dyDescent="0.3">
      <c r="A1091">
        <v>6013</v>
      </c>
      <c r="B1091" s="123" t="s">
        <v>607</v>
      </c>
      <c r="C1091">
        <v>-0.01</v>
      </c>
      <c r="D1091">
        <v>0</v>
      </c>
      <c r="E1091" s="123" t="s">
        <v>801</v>
      </c>
      <c r="F1091" s="123" t="s">
        <v>679</v>
      </c>
      <c r="G1091">
        <v>-0.01</v>
      </c>
    </row>
    <row r="1092" spans="1:7" x14ac:dyDescent="0.3">
      <c r="A1092">
        <v>6014</v>
      </c>
      <c r="B1092" s="123" t="s">
        <v>267</v>
      </c>
      <c r="C1092">
        <v>0</v>
      </c>
      <c r="D1092">
        <v>0</v>
      </c>
      <c r="E1092" s="123" t="s">
        <v>801</v>
      </c>
      <c r="F1092" s="123" t="s">
        <v>679</v>
      </c>
      <c r="G1092">
        <v>0</v>
      </c>
    </row>
    <row r="1093" spans="1:7" x14ac:dyDescent="0.3">
      <c r="A1093">
        <v>554</v>
      </c>
      <c r="B1093" s="123" t="s">
        <v>387</v>
      </c>
      <c r="C1093">
        <v>0</v>
      </c>
      <c r="D1093">
        <v>0</v>
      </c>
      <c r="E1093" s="123" t="s">
        <v>801</v>
      </c>
      <c r="F1093" s="123" t="s">
        <v>679</v>
      </c>
      <c r="G1093">
        <v>0</v>
      </c>
    </row>
    <row r="1094" spans="1:7" x14ac:dyDescent="0.3">
      <c r="A1094">
        <v>185</v>
      </c>
      <c r="B1094" s="123" t="s">
        <v>342</v>
      </c>
      <c r="C1094">
        <v>12625.24</v>
      </c>
      <c r="D1094">
        <v>0</v>
      </c>
      <c r="E1094" s="123" t="s">
        <v>801</v>
      </c>
      <c r="F1094" s="123" t="s">
        <v>679</v>
      </c>
      <c r="G1094">
        <v>12625.24</v>
      </c>
    </row>
    <row r="1095" spans="1:7" x14ac:dyDescent="0.3">
      <c r="A1095">
        <v>24</v>
      </c>
      <c r="B1095" s="123" t="s">
        <v>250</v>
      </c>
      <c r="C1095">
        <v>0</v>
      </c>
      <c r="D1095">
        <v>0</v>
      </c>
      <c r="E1095" s="123" t="s">
        <v>801</v>
      </c>
      <c r="F1095" s="123" t="s">
        <v>679</v>
      </c>
      <c r="G1095">
        <v>0</v>
      </c>
    </row>
    <row r="1096" spans="1:7" x14ac:dyDescent="0.3">
      <c r="A1096">
        <v>83</v>
      </c>
      <c r="B1096" s="123" t="s">
        <v>210</v>
      </c>
      <c r="C1096">
        <v>-16889.91</v>
      </c>
      <c r="D1096">
        <v>37148.080000000002</v>
      </c>
      <c r="E1096" s="123" t="s">
        <v>801</v>
      </c>
      <c r="F1096" s="123" t="s">
        <v>679</v>
      </c>
      <c r="G1096">
        <v>20258.169999999998</v>
      </c>
    </row>
    <row r="1097" spans="1:7" x14ac:dyDescent="0.3">
      <c r="A1097">
        <v>20</v>
      </c>
      <c r="B1097" s="123" t="s">
        <v>233</v>
      </c>
      <c r="C1097">
        <v>0</v>
      </c>
      <c r="D1097">
        <v>0</v>
      </c>
      <c r="E1097" s="123" t="s">
        <v>801</v>
      </c>
      <c r="F1097" s="123" t="s">
        <v>679</v>
      </c>
      <c r="G1097">
        <v>0</v>
      </c>
    </row>
    <row r="1098" spans="1:7" x14ac:dyDescent="0.3">
      <c r="A1098">
        <v>38</v>
      </c>
      <c r="B1098" s="123" t="s">
        <v>287</v>
      </c>
      <c r="C1098">
        <v>0</v>
      </c>
      <c r="D1098">
        <v>0</v>
      </c>
      <c r="E1098" s="123" t="s">
        <v>801</v>
      </c>
      <c r="F1098" s="123" t="s">
        <v>679</v>
      </c>
      <c r="G1098">
        <v>0</v>
      </c>
    </row>
    <row r="1099" spans="1:7" x14ac:dyDescent="0.3">
      <c r="A1099">
        <v>153</v>
      </c>
      <c r="B1099" s="123" t="s">
        <v>321</v>
      </c>
      <c r="C1099">
        <v>0</v>
      </c>
      <c r="D1099">
        <v>5074.04</v>
      </c>
      <c r="E1099" s="123" t="s">
        <v>801</v>
      </c>
      <c r="F1099" s="123" t="s">
        <v>679</v>
      </c>
      <c r="G1099">
        <v>5074.04</v>
      </c>
    </row>
    <row r="1100" spans="1:7" x14ac:dyDescent="0.3">
      <c r="A1100">
        <v>546</v>
      </c>
      <c r="B1100" s="123" t="s">
        <v>595</v>
      </c>
      <c r="C1100">
        <v>0</v>
      </c>
      <c r="D1100">
        <v>0</v>
      </c>
      <c r="E1100" s="123" t="s">
        <v>801</v>
      </c>
      <c r="F1100" s="123" t="s">
        <v>679</v>
      </c>
      <c r="G1100">
        <v>0</v>
      </c>
    </row>
    <row r="1101" spans="1:7" x14ac:dyDescent="0.3">
      <c r="A1101">
        <v>510</v>
      </c>
      <c r="B1101" s="123" t="s">
        <v>437</v>
      </c>
      <c r="C1101">
        <v>0</v>
      </c>
      <c r="D1101">
        <v>0</v>
      </c>
      <c r="E1101" s="123" t="s">
        <v>801</v>
      </c>
      <c r="F1101" s="123" t="s">
        <v>679</v>
      </c>
      <c r="G1101">
        <v>0</v>
      </c>
    </row>
    <row r="1102" spans="1:7" x14ac:dyDescent="0.3">
      <c r="A1102">
        <v>505</v>
      </c>
      <c r="B1102" s="123" t="s">
        <v>481</v>
      </c>
      <c r="C1102">
        <v>0</v>
      </c>
      <c r="D1102">
        <v>0</v>
      </c>
      <c r="E1102" s="123" t="s">
        <v>801</v>
      </c>
      <c r="F1102" s="123" t="s">
        <v>679</v>
      </c>
      <c r="G1102">
        <v>0</v>
      </c>
    </row>
    <row r="1103" spans="1:7" x14ac:dyDescent="0.3">
      <c r="A1103">
        <v>106</v>
      </c>
      <c r="B1103" s="123" t="s">
        <v>342</v>
      </c>
      <c r="C1103">
        <v>-12625.24</v>
      </c>
      <c r="D1103">
        <v>6636.45</v>
      </c>
      <c r="E1103" s="123" t="s">
        <v>801</v>
      </c>
      <c r="F1103" s="123" t="s">
        <v>679</v>
      </c>
      <c r="G1103">
        <v>-5988.79</v>
      </c>
    </row>
    <row r="1104" spans="1:7" x14ac:dyDescent="0.3">
      <c r="A1104">
        <v>70</v>
      </c>
      <c r="B1104" s="123" t="s">
        <v>707</v>
      </c>
      <c r="C1104">
        <v>0</v>
      </c>
      <c r="D1104">
        <v>0</v>
      </c>
      <c r="E1104" s="123" t="s">
        <v>801</v>
      </c>
      <c r="F1104" s="123" t="s">
        <v>679</v>
      </c>
      <c r="G1104">
        <v>0</v>
      </c>
    </row>
    <row r="1105" spans="1:7" x14ac:dyDescent="0.3">
      <c r="A1105">
        <v>491</v>
      </c>
      <c r="B1105" s="123" t="s">
        <v>306</v>
      </c>
      <c r="C1105">
        <v>0.3</v>
      </c>
      <c r="D1105">
        <v>-0.03</v>
      </c>
      <c r="E1105" s="123" t="s">
        <v>185</v>
      </c>
      <c r="F1105" s="123" t="s">
        <v>672</v>
      </c>
      <c r="G1105">
        <v>0.27</v>
      </c>
    </row>
    <row r="1106" spans="1:7" x14ac:dyDescent="0.3">
      <c r="A1106">
        <v>544</v>
      </c>
      <c r="B1106" s="123" t="s">
        <v>545</v>
      </c>
      <c r="C1106">
        <v>0</v>
      </c>
      <c r="D1106">
        <v>0</v>
      </c>
      <c r="E1106" s="123" t="s">
        <v>185</v>
      </c>
      <c r="F1106" s="123" t="s">
        <v>672</v>
      </c>
      <c r="G1106">
        <v>0</v>
      </c>
    </row>
    <row r="1107" spans="1:7" x14ac:dyDescent="0.3">
      <c r="A1107">
        <v>537</v>
      </c>
      <c r="B1107" s="123" t="s">
        <v>244</v>
      </c>
      <c r="C1107">
        <v>0</v>
      </c>
      <c r="D1107">
        <v>0</v>
      </c>
      <c r="E1107" s="123" t="s">
        <v>185</v>
      </c>
      <c r="F1107" s="123" t="s">
        <v>672</v>
      </c>
      <c r="G1107">
        <v>0</v>
      </c>
    </row>
    <row r="1108" spans="1:7" x14ac:dyDescent="0.3">
      <c r="A1108">
        <v>534</v>
      </c>
      <c r="B1108" s="123" t="s">
        <v>417</v>
      </c>
      <c r="C1108">
        <v>0</v>
      </c>
      <c r="D1108">
        <v>0</v>
      </c>
      <c r="E1108" s="123" t="s">
        <v>185</v>
      </c>
      <c r="F1108" s="123" t="s">
        <v>672</v>
      </c>
      <c r="G1108">
        <v>0</v>
      </c>
    </row>
    <row r="1109" spans="1:7" x14ac:dyDescent="0.3">
      <c r="A1109">
        <v>529</v>
      </c>
      <c r="B1109" s="123" t="s">
        <v>708</v>
      </c>
      <c r="C1109">
        <v>-78083.600000000006</v>
      </c>
      <c r="D1109">
        <v>0</v>
      </c>
      <c r="E1109" s="123" t="s">
        <v>185</v>
      </c>
      <c r="F1109" s="123" t="s">
        <v>672</v>
      </c>
      <c r="G1109">
        <v>-78083.600000000006</v>
      </c>
    </row>
    <row r="1110" spans="1:7" x14ac:dyDescent="0.3">
      <c r="A1110">
        <v>170</v>
      </c>
      <c r="B1110" s="123" t="s">
        <v>216</v>
      </c>
      <c r="C1110">
        <v>1124081.8799999999</v>
      </c>
      <c r="D1110">
        <v>0</v>
      </c>
      <c r="E1110" s="123" t="s">
        <v>185</v>
      </c>
      <c r="F1110" s="123" t="s">
        <v>672</v>
      </c>
      <c r="G1110">
        <v>1124081.8799999999</v>
      </c>
    </row>
    <row r="1111" spans="1:7" x14ac:dyDescent="0.3">
      <c r="A1111">
        <v>456</v>
      </c>
      <c r="B1111" s="123" t="s">
        <v>197</v>
      </c>
      <c r="C1111">
        <v>3524.55</v>
      </c>
      <c r="D1111">
        <v>0</v>
      </c>
      <c r="E1111" s="123" t="s">
        <v>185</v>
      </c>
      <c r="F1111" s="123" t="s">
        <v>672</v>
      </c>
      <c r="G1111">
        <v>3524.55</v>
      </c>
    </row>
    <row r="1112" spans="1:7" x14ac:dyDescent="0.3">
      <c r="A1112">
        <v>17</v>
      </c>
      <c r="B1112" s="123" t="s">
        <v>223</v>
      </c>
      <c r="C1112">
        <v>-71.790000000000006</v>
      </c>
      <c r="D1112">
        <v>0</v>
      </c>
      <c r="E1112" s="123" t="s">
        <v>185</v>
      </c>
      <c r="F1112" s="123" t="s">
        <v>672</v>
      </c>
      <c r="G1112">
        <v>-71.790000000000006</v>
      </c>
    </row>
    <row r="1113" spans="1:7" x14ac:dyDescent="0.3">
      <c r="A1113">
        <v>241</v>
      </c>
      <c r="B1113" s="123" t="s">
        <v>303</v>
      </c>
      <c r="C1113">
        <v>0</v>
      </c>
      <c r="D1113">
        <v>0</v>
      </c>
      <c r="E1113" s="123" t="s">
        <v>185</v>
      </c>
      <c r="F1113" s="123" t="s">
        <v>672</v>
      </c>
      <c r="G1113">
        <v>0</v>
      </c>
    </row>
    <row r="1114" spans="1:7" x14ac:dyDescent="0.3">
      <c r="A1114">
        <v>248</v>
      </c>
      <c r="B1114" s="123" t="s">
        <v>414</v>
      </c>
      <c r="C1114">
        <v>-50454.63</v>
      </c>
      <c r="D1114">
        <v>0</v>
      </c>
      <c r="E1114" s="123" t="s">
        <v>185</v>
      </c>
      <c r="F1114" s="123" t="s">
        <v>672</v>
      </c>
      <c r="G1114">
        <v>-50454.63</v>
      </c>
    </row>
    <row r="1115" spans="1:7" x14ac:dyDescent="0.3">
      <c r="A1115">
        <v>565</v>
      </c>
      <c r="B1115" s="123" t="s">
        <v>547</v>
      </c>
      <c r="C1115">
        <v>49135.18</v>
      </c>
      <c r="D1115">
        <v>0</v>
      </c>
      <c r="E1115" s="123" t="s">
        <v>185</v>
      </c>
      <c r="F1115" s="123" t="s">
        <v>672</v>
      </c>
      <c r="G1115">
        <v>49135.18</v>
      </c>
    </row>
    <row r="1116" spans="1:7" x14ac:dyDescent="0.3">
      <c r="A1116">
        <v>6006</v>
      </c>
      <c r="B1116" s="123" t="s">
        <v>524</v>
      </c>
      <c r="C1116">
        <v>0</v>
      </c>
      <c r="D1116">
        <v>0</v>
      </c>
      <c r="E1116" s="123" t="s">
        <v>185</v>
      </c>
      <c r="F1116" s="123" t="s">
        <v>672</v>
      </c>
      <c r="G1116">
        <v>0</v>
      </c>
    </row>
    <row r="1117" spans="1:7" x14ac:dyDescent="0.3">
      <c r="A1117">
        <v>6055</v>
      </c>
      <c r="B1117" s="123" t="s">
        <v>710</v>
      </c>
      <c r="C1117">
        <v>0</v>
      </c>
      <c r="D1117">
        <v>0</v>
      </c>
      <c r="E1117" s="123" t="s">
        <v>185</v>
      </c>
      <c r="F1117" s="123" t="s">
        <v>672</v>
      </c>
      <c r="G1117">
        <v>0</v>
      </c>
    </row>
    <row r="1118" spans="1:7" x14ac:dyDescent="0.3">
      <c r="A1118">
        <v>573</v>
      </c>
      <c r="B1118" s="123" t="s">
        <v>709</v>
      </c>
      <c r="C1118">
        <v>799999.85</v>
      </c>
      <c r="D1118">
        <v>0</v>
      </c>
      <c r="E1118" s="123" t="s">
        <v>185</v>
      </c>
      <c r="F1118" s="123" t="s">
        <v>672</v>
      </c>
      <c r="G1118">
        <v>799999.85</v>
      </c>
    </row>
    <row r="1119" spans="1:7" x14ac:dyDescent="0.3">
      <c r="A1119">
        <v>6070</v>
      </c>
      <c r="B1119" s="123" t="s">
        <v>1531</v>
      </c>
      <c r="C1119">
        <v>0</v>
      </c>
      <c r="D1119">
        <v>0</v>
      </c>
      <c r="E1119" s="123" t="s">
        <v>185</v>
      </c>
      <c r="F1119" s="123" t="s">
        <v>672</v>
      </c>
      <c r="G1119">
        <v>0</v>
      </c>
    </row>
    <row r="1120" spans="1:7" x14ac:dyDescent="0.3">
      <c r="A1120">
        <v>6037</v>
      </c>
      <c r="B1120" s="123" t="s">
        <v>632</v>
      </c>
      <c r="C1120">
        <v>-112041.19</v>
      </c>
      <c r="D1120">
        <v>0</v>
      </c>
      <c r="E1120" s="123" t="s">
        <v>185</v>
      </c>
      <c r="F1120" s="123" t="s">
        <v>672</v>
      </c>
      <c r="G1120">
        <v>-112041.19</v>
      </c>
    </row>
    <row r="1121" spans="1:7" x14ac:dyDescent="0.3">
      <c r="A1121">
        <v>6042</v>
      </c>
      <c r="B1121" s="123" t="s">
        <v>711</v>
      </c>
      <c r="C1121">
        <v>-7329.24</v>
      </c>
      <c r="D1121">
        <v>0</v>
      </c>
      <c r="E1121" s="123" t="s">
        <v>185</v>
      </c>
      <c r="F1121" s="123" t="s">
        <v>672</v>
      </c>
      <c r="G1121">
        <v>-7329.24</v>
      </c>
    </row>
    <row r="1122" spans="1:7" x14ac:dyDescent="0.3">
      <c r="A1122">
        <v>349</v>
      </c>
      <c r="B1122" s="123" t="s">
        <v>190</v>
      </c>
      <c r="C1122">
        <v>-387266103.31</v>
      </c>
      <c r="D1122">
        <v>7.0000000000000007E-2</v>
      </c>
      <c r="E1122" s="123" t="s">
        <v>185</v>
      </c>
      <c r="F1122" s="123" t="s">
        <v>672</v>
      </c>
      <c r="G1122">
        <v>-387266103.24000001</v>
      </c>
    </row>
    <row r="1123" spans="1:7" x14ac:dyDescent="0.3">
      <c r="A1123">
        <v>283</v>
      </c>
      <c r="B1123" s="123" t="s">
        <v>127</v>
      </c>
      <c r="C1123">
        <v>-127799.14</v>
      </c>
      <c r="D1123">
        <v>0</v>
      </c>
      <c r="E1123" s="123" t="s">
        <v>185</v>
      </c>
      <c r="F1123" s="123" t="s">
        <v>672</v>
      </c>
      <c r="G1123">
        <v>-127799.14</v>
      </c>
    </row>
    <row r="1124" spans="1:7" x14ac:dyDescent="0.3">
      <c r="A1124">
        <v>349</v>
      </c>
      <c r="B1124" s="123" t="s">
        <v>190</v>
      </c>
      <c r="C1124">
        <v>1.19</v>
      </c>
      <c r="D1124">
        <v>0</v>
      </c>
      <c r="E1124" s="123" t="s">
        <v>799</v>
      </c>
      <c r="F1124" s="123" t="s">
        <v>676</v>
      </c>
      <c r="G1124">
        <v>1.19</v>
      </c>
    </row>
    <row r="1125" spans="1:7" x14ac:dyDescent="0.3">
      <c r="A1125">
        <v>6042</v>
      </c>
      <c r="B1125" s="123" t="s">
        <v>711</v>
      </c>
      <c r="C1125">
        <v>34.619999999999997</v>
      </c>
      <c r="D1125">
        <v>0</v>
      </c>
      <c r="E1125" s="123" t="s">
        <v>799</v>
      </c>
      <c r="F1125" s="123" t="s">
        <v>676</v>
      </c>
      <c r="G1125">
        <v>34.619999999999997</v>
      </c>
    </row>
    <row r="1126" spans="1:7" x14ac:dyDescent="0.3">
      <c r="A1126">
        <v>6037</v>
      </c>
      <c r="B1126" s="123" t="s">
        <v>632</v>
      </c>
      <c r="C1126">
        <v>7.0000000000000007E-2</v>
      </c>
      <c r="D1126">
        <v>0</v>
      </c>
      <c r="E1126" s="123" t="s">
        <v>799</v>
      </c>
      <c r="F1126" s="123" t="s">
        <v>676</v>
      </c>
      <c r="G1126">
        <v>7.0000000000000007E-2</v>
      </c>
    </row>
    <row r="1127" spans="1:7" x14ac:dyDescent="0.3">
      <c r="A1127">
        <v>6055</v>
      </c>
      <c r="B1127" s="123" t="s">
        <v>710</v>
      </c>
      <c r="C1127">
        <v>0.94</v>
      </c>
      <c r="D1127">
        <v>0</v>
      </c>
      <c r="E1127" s="123" t="s">
        <v>799</v>
      </c>
      <c r="F1127" s="123" t="s">
        <v>676</v>
      </c>
      <c r="G1127">
        <v>0.94</v>
      </c>
    </row>
    <row r="1128" spans="1:7" x14ac:dyDescent="0.3">
      <c r="A1128">
        <v>6006</v>
      </c>
      <c r="B1128" s="123" t="s">
        <v>524</v>
      </c>
      <c r="C1128">
        <v>0</v>
      </c>
      <c r="D1128">
        <v>0</v>
      </c>
      <c r="E1128" s="123" t="s">
        <v>799</v>
      </c>
      <c r="F1128" s="123" t="s">
        <v>676</v>
      </c>
      <c r="G1128">
        <v>0</v>
      </c>
    </row>
    <row r="1129" spans="1:7" x14ac:dyDescent="0.3">
      <c r="A1129">
        <v>241</v>
      </c>
      <c r="B1129" s="123" t="s">
        <v>303</v>
      </c>
      <c r="C1129">
        <v>0</v>
      </c>
      <c r="D1129">
        <v>0</v>
      </c>
      <c r="E1129" s="123" t="s">
        <v>799</v>
      </c>
      <c r="F1129" s="123" t="s">
        <v>676</v>
      </c>
      <c r="G1129">
        <v>0</v>
      </c>
    </row>
    <row r="1130" spans="1:7" x14ac:dyDescent="0.3">
      <c r="A1130">
        <v>170</v>
      </c>
      <c r="B1130" s="123" t="s">
        <v>216</v>
      </c>
      <c r="C1130">
        <v>0</v>
      </c>
      <c r="D1130">
        <v>0</v>
      </c>
      <c r="E1130" s="123" t="s">
        <v>799</v>
      </c>
      <c r="F1130" s="123" t="s">
        <v>676</v>
      </c>
      <c r="G1130">
        <v>0</v>
      </c>
    </row>
    <row r="1131" spans="1:7" x14ac:dyDescent="0.3">
      <c r="A1131">
        <v>544</v>
      </c>
      <c r="B1131" s="123" t="s">
        <v>545</v>
      </c>
      <c r="C1131">
        <v>0</v>
      </c>
      <c r="D1131">
        <v>0</v>
      </c>
      <c r="E1131" s="123" t="s">
        <v>799</v>
      </c>
      <c r="F1131" s="123" t="s">
        <v>676</v>
      </c>
      <c r="G1131">
        <v>0</v>
      </c>
    </row>
    <row r="1132" spans="1:7" x14ac:dyDescent="0.3">
      <c r="A1132">
        <v>491</v>
      </c>
      <c r="B1132" s="123" t="s">
        <v>306</v>
      </c>
      <c r="C1132">
        <v>2250.37</v>
      </c>
      <c r="D1132">
        <v>0</v>
      </c>
      <c r="E1132" s="123" t="s">
        <v>799</v>
      </c>
      <c r="F1132" s="123" t="s">
        <v>676</v>
      </c>
      <c r="G1132">
        <v>2250.37</v>
      </c>
    </row>
    <row r="1133" spans="1:7" x14ac:dyDescent="0.3">
      <c r="A1133">
        <v>283</v>
      </c>
      <c r="B1133" s="123" t="s">
        <v>127</v>
      </c>
      <c r="C1133">
        <v>5126.7</v>
      </c>
      <c r="D1133">
        <v>0</v>
      </c>
      <c r="E1133" s="123" t="s">
        <v>188</v>
      </c>
      <c r="F1133" s="123" t="s">
        <v>678</v>
      </c>
      <c r="G1133">
        <v>5126.7</v>
      </c>
    </row>
    <row r="1134" spans="1:7" x14ac:dyDescent="0.3">
      <c r="A1134">
        <v>349</v>
      </c>
      <c r="B1134" s="123" t="s">
        <v>190</v>
      </c>
      <c r="C1134">
        <v>-350</v>
      </c>
      <c r="D1134">
        <v>0</v>
      </c>
      <c r="E1134" s="123" t="s">
        <v>801</v>
      </c>
      <c r="F1134" s="123" t="s">
        <v>679</v>
      </c>
      <c r="G1134">
        <v>-350</v>
      </c>
    </row>
    <row r="1135" spans="1:7" x14ac:dyDescent="0.3">
      <c r="A1135">
        <v>241</v>
      </c>
      <c r="B1135" s="123" t="s">
        <v>303</v>
      </c>
      <c r="C1135">
        <v>0</v>
      </c>
      <c r="D1135">
        <v>0</v>
      </c>
      <c r="E1135" s="123" t="s">
        <v>801</v>
      </c>
      <c r="F1135" s="123" t="s">
        <v>679</v>
      </c>
      <c r="G1135">
        <v>0</v>
      </c>
    </row>
    <row r="1136" spans="1:7" x14ac:dyDescent="0.3">
      <c r="A1136">
        <v>248</v>
      </c>
      <c r="B1136" s="123" t="s">
        <v>414</v>
      </c>
      <c r="C1136">
        <v>-19170.37</v>
      </c>
      <c r="D1136">
        <v>0</v>
      </c>
      <c r="E1136" s="123" t="s">
        <v>801</v>
      </c>
      <c r="F1136" s="123" t="s">
        <v>679</v>
      </c>
      <c r="G1136">
        <v>-19170.37</v>
      </c>
    </row>
    <row r="1137" spans="1:7" x14ac:dyDescent="0.3">
      <c r="A1137">
        <v>6037</v>
      </c>
      <c r="B1137" s="123" t="s">
        <v>632</v>
      </c>
      <c r="C1137">
        <v>-4400</v>
      </c>
      <c r="D1137">
        <v>0</v>
      </c>
      <c r="E1137" s="123" t="s">
        <v>801</v>
      </c>
      <c r="F1137" s="123" t="s">
        <v>679</v>
      </c>
      <c r="G1137">
        <v>-4400</v>
      </c>
    </row>
    <row r="1138" spans="1:7" x14ac:dyDescent="0.3">
      <c r="A1138">
        <v>6042</v>
      </c>
      <c r="B1138" s="123" t="s">
        <v>711</v>
      </c>
      <c r="C1138">
        <v>0</v>
      </c>
      <c r="D1138">
        <v>0</v>
      </c>
      <c r="E1138" s="123" t="s">
        <v>801</v>
      </c>
      <c r="F1138" s="123" t="s">
        <v>679</v>
      </c>
      <c r="G1138">
        <v>0</v>
      </c>
    </row>
    <row r="1139" spans="1:7" x14ac:dyDescent="0.3">
      <c r="A1139">
        <v>491</v>
      </c>
      <c r="B1139" s="123" t="s">
        <v>306</v>
      </c>
      <c r="C1139">
        <v>0</v>
      </c>
      <c r="D1139">
        <v>0</v>
      </c>
      <c r="E1139" s="123" t="s">
        <v>801</v>
      </c>
      <c r="F1139" s="123" t="s">
        <v>679</v>
      </c>
      <c r="G1139">
        <v>0</v>
      </c>
    </row>
    <row r="1140" spans="1:7" x14ac:dyDescent="0.3">
      <c r="A1140">
        <v>537</v>
      </c>
      <c r="B1140" s="123" t="s">
        <v>244</v>
      </c>
      <c r="C1140">
        <v>0</v>
      </c>
      <c r="D1140">
        <v>0</v>
      </c>
      <c r="E1140" s="123" t="s">
        <v>801</v>
      </c>
      <c r="F1140" s="123" t="s">
        <v>679</v>
      </c>
      <c r="G1140">
        <v>0</v>
      </c>
    </row>
    <row r="1141" spans="1:7" x14ac:dyDescent="0.3">
      <c r="A1141">
        <v>534</v>
      </c>
      <c r="B1141" s="123" t="s">
        <v>417</v>
      </c>
      <c r="C1141">
        <v>0</v>
      </c>
      <c r="D1141">
        <v>0</v>
      </c>
      <c r="E1141" s="123" t="s">
        <v>801</v>
      </c>
      <c r="F1141" s="123" t="s">
        <v>679</v>
      </c>
      <c r="G1141">
        <v>0</v>
      </c>
    </row>
    <row r="1142" spans="1:7" x14ac:dyDescent="0.3">
      <c r="A1142">
        <v>170</v>
      </c>
      <c r="B1142" s="123" t="s">
        <v>216</v>
      </c>
      <c r="C1142">
        <v>0</v>
      </c>
      <c r="D1142">
        <v>5687.48</v>
      </c>
      <c r="E1142" s="123" t="s">
        <v>801</v>
      </c>
      <c r="F1142" s="123" t="s">
        <v>679</v>
      </c>
      <c r="G1142">
        <v>5687.48</v>
      </c>
    </row>
    <row r="1143" spans="1:7" x14ac:dyDescent="0.3">
      <c r="A1143">
        <v>17</v>
      </c>
      <c r="B1143" s="123" t="s">
        <v>223</v>
      </c>
      <c r="C1143">
        <v>0</v>
      </c>
      <c r="D1143">
        <v>0</v>
      </c>
      <c r="E1143" s="123" t="s">
        <v>801</v>
      </c>
      <c r="F1143" s="123" t="s">
        <v>679</v>
      </c>
      <c r="G1143">
        <v>0</v>
      </c>
    </row>
    <row r="1144" spans="1:7" x14ac:dyDescent="0.3">
      <c r="A1144">
        <v>456</v>
      </c>
      <c r="B1144" s="123" t="s">
        <v>197</v>
      </c>
      <c r="C1144">
        <v>0</v>
      </c>
      <c r="D1144">
        <v>0</v>
      </c>
      <c r="E1144" s="123" t="s">
        <v>801</v>
      </c>
      <c r="F1144" s="123" t="s">
        <v>679</v>
      </c>
      <c r="G1144">
        <v>0</v>
      </c>
    </row>
    <row r="1145" spans="1:7" x14ac:dyDescent="0.3">
      <c r="A1145">
        <v>555</v>
      </c>
      <c r="B1145" s="123" t="s">
        <v>448</v>
      </c>
      <c r="C1145">
        <v>0.17</v>
      </c>
      <c r="D1145">
        <v>0</v>
      </c>
      <c r="E1145" s="123" t="s">
        <v>185</v>
      </c>
      <c r="F1145" s="123" t="s">
        <v>672</v>
      </c>
      <c r="G1145">
        <v>0.17</v>
      </c>
    </row>
    <row r="1146" spans="1:7" x14ac:dyDescent="0.3">
      <c r="A1146">
        <v>556</v>
      </c>
      <c r="B1146" s="123" t="s">
        <v>307</v>
      </c>
      <c r="C1146">
        <v>336.44</v>
      </c>
      <c r="D1146">
        <v>0</v>
      </c>
      <c r="E1146" s="123" t="s">
        <v>185</v>
      </c>
      <c r="F1146" s="123" t="s">
        <v>672</v>
      </c>
      <c r="G1146">
        <v>336.44</v>
      </c>
    </row>
    <row r="1147" spans="1:7" x14ac:dyDescent="0.3">
      <c r="A1147">
        <v>558</v>
      </c>
      <c r="B1147" s="123" t="s">
        <v>236</v>
      </c>
      <c r="C1147">
        <v>-0.3</v>
      </c>
      <c r="D1147">
        <v>0</v>
      </c>
      <c r="E1147" s="123" t="s">
        <v>185</v>
      </c>
      <c r="F1147" s="123" t="s">
        <v>672</v>
      </c>
      <c r="G1147">
        <v>-0.3</v>
      </c>
    </row>
    <row r="1148" spans="1:7" x14ac:dyDescent="0.3">
      <c r="A1148">
        <v>556</v>
      </c>
      <c r="B1148" s="123" t="s">
        <v>307</v>
      </c>
      <c r="C1148">
        <v>-25.88</v>
      </c>
      <c r="D1148">
        <v>0</v>
      </c>
      <c r="E1148" s="123" t="s">
        <v>188</v>
      </c>
      <c r="F1148" s="123" t="s">
        <v>678</v>
      </c>
      <c r="G1148">
        <v>-25.88</v>
      </c>
    </row>
    <row r="1149" spans="1:7" x14ac:dyDescent="0.3">
      <c r="A1149">
        <v>556</v>
      </c>
      <c r="B1149" s="123" t="s">
        <v>307</v>
      </c>
      <c r="C1149">
        <v>0</v>
      </c>
      <c r="D1149">
        <v>0</v>
      </c>
      <c r="E1149" s="123" t="s">
        <v>801</v>
      </c>
      <c r="F1149" s="123" t="s">
        <v>679</v>
      </c>
      <c r="G1149">
        <v>0</v>
      </c>
    </row>
    <row r="1150" spans="1:7" x14ac:dyDescent="0.3">
      <c r="A1150">
        <v>558</v>
      </c>
      <c r="B1150" s="123" t="s">
        <v>236</v>
      </c>
      <c r="C1150">
        <v>-1.01</v>
      </c>
      <c r="D1150">
        <v>0</v>
      </c>
      <c r="E1150" s="123" t="s">
        <v>801</v>
      </c>
      <c r="F1150" s="123" t="s">
        <v>679</v>
      </c>
      <c r="G1150">
        <v>-1.01</v>
      </c>
    </row>
    <row r="1151" spans="1:7" x14ac:dyDescent="0.3">
      <c r="A1151">
        <v>550</v>
      </c>
      <c r="B1151" s="123" t="s">
        <v>579</v>
      </c>
      <c r="C1151">
        <v>-954.15</v>
      </c>
      <c r="D1151">
        <v>0</v>
      </c>
      <c r="E1151" s="123" t="s">
        <v>185</v>
      </c>
      <c r="F1151" s="123" t="s">
        <v>672</v>
      </c>
      <c r="G1151">
        <v>-954.15</v>
      </c>
    </row>
    <row r="1152" spans="1:7" x14ac:dyDescent="0.3">
      <c r="A1152">
        <v>557</v>
      </c>
      <c r="B1152" s="123" t="s">
        <v>461</v>
      </c>
      <c r="C1152">
        <v>0.23</v>
      </c>
      <c r="D1152">
        <v>0</v>
      </c>
      <c r="E1152" s="123" t="s">
        <v>185</v>
      </c>
      <c r="F1152" s="123" t="s">
        <v>672</v>
      </c>
      <c r="G1152">
        <v>0.23</v>
      </c>
    </row>
    <row r="1153" spans="1:7" x14ac:dyDescent="0.3">
      <c r="A1153">
        <v>6015</v>
      </c>
      <c r="B1153" s="123" t="s">
        <v>597</v>
      </c>
      <c r="C1153">
        <v>0</v>
      </c>
      <c r="D1153">
        <v>0</v>
      </c>
      <c r="E1153" s="123" t="s">
        <v>185</v>
      </c>
      <c r="F1153" s="123" t="s">
        <v>672</v>
      </c>
      <c r="G1153">
        <v>0</v>
      </c>
    </row>
    <row r="1154" spans="1:7" x14ac:dyDescent="0.3">
      <c r="A1154">
        <v>6038</v>
      </c>
      <c r="B1154" s="123" t="s">
        <v>561</v>
      </c>
      <c r="C1154">
        <v>0.12</v>
      </c>
      <c r="D1154">
        <v>0</v>
      </c>
      <c r="E1154" s="123" t="s">
        <v>185</v>
      </c>
      <c r="F1154" s="123" t="s">
        <v>672</v>
      </c>
      <c r="G1154">
        <v>0.12</v>
      </c>
    </row>
    <row r="1155" spans="1:7" x14ac:dyDescent="0.3">
      <c r="A1155">
        <v>6031</v>
      </c>
      <c r="B1155" s="123" t="s">
        <v>198</v>
      </c>
      <c r="C1155">
        <v>0.97</v>
      </c>
      <c r="D1155">
        <v>0</v>
      </c>
      <c r="E1155" s="123" t="s">
        <v>185</v>
      </c>
      <c r="F1155" s="123" t="s">
        <v>672</v>
      </c>
      <c r="G1155">
        <v>0.97</v>
      </c>
    </row>
    <row r="1156" spans="1:7" x14ac:dyDescent="0.3">
      <c r="A1156">
        <v>6025</v>
      </c>
      <c r="B1156" s="123" t="s">
        <v>251</v>
      </c>
      <c r="C1156">
        <v>0</v>
      </c>
      <c r="D1156">
        <v>0</v>
      </c>
      <c r="E1156" s="123" t="s">
        <v>185</v>
      </c>
      <c r="F1156" s="123" t="s">
        <v>672</v>
      </c>
      <c r="G1156">
        <v>0</v>
      </c>
    </row>
    <row r="1157" spans="1:7" x14ac:dyDescent="0.3">
      <c r="A1157">
        <v>6047</v>
      </c>
      <c r="B1157" s="123" t="s">
        <v>712</v>
      </c>
      <c r="C1157">
        <v>3400000</v>
      </c>
      <c r="D1157">
        <v>0</v>
      </c>
      <c r="E1157" s="123" t="s">
        <v>185</v>
      </c>
      <c r="F1157" s="123" t="s">
        <v>672</v>
      </c>
      <c r="G1157">
        <v>3400000</v>
      </c>
    </row>
    <row r="1158" spans="1:7" x14ac:dyDescent="0.3">
      <c r="A1158">
        <v>260</v>
      </c>
      <c r="B1158" s="123" t="s">
        <v>337</v>
      </c>
      <c r="C1158">
        <v>0</v>
      </c>
      <c r="D1158">
        <v>0.01</v>
      </c>
      <c r="E1158" s="123" t="s">
        <v>185</v>
      </c>
      <c r="F1158" s="123" t="s">
        <v>672</v>
      </c>
      <c r="G1158">
        <v>0.01</v>
      </c>
    </row>
    <row r="1159" spans="1:7" x14ac:dyDescent="0.3">
      <c r="A1159">
        <v>186</v>
      </c>
      <c r="B1159" s="123" t="s">
        <v>219</v>
      </c>
      <c r="C1159">
        <v>-660888.27</v>
      </c>
      <c r="D1159">
        <v>0</v>
      </c>
      <c r="E1159" s="123" t="s">
        <v>185</v>
      </c>
      <c r="F1159" s="123" t="s">
        <v>672</v>
      </c>
      <c r="G1159">
        <v>-660888.27</v>
      </c>
    </row>
    <row r="1160" spans="1:7" x14ac:dyDescent="0.3">
      <c r="A1160">
        <v>183</v>
      </c>
      <c r="B1160" s="123" t="s">
        <v>212</v>
      </c>
      <c r="C1160">
        <v>-14256999.130000001</v>
      </c>
      <c r="D1160">
        <v>0</v>
      </c>
      <c r="E1160" s="123" t="s">
        <v>185</v>
      </c>
      <c r="F1160" s="123" t="s">
        <v>672</v>
      </c>
      <c r="G1160">
        <v>-14256999.130000001</v>
      </c>
    </row>
    <row r="1161" spans="1:7" x14ac:dyDescent="0.3">
      <c r="A1161">
        <v>182</v>
      </c>
      <c r="B1161" s="123" t="s">
        <v>212</v>
      </c>
      <c r="C1161">
        <v>-3391178.5</v>
      </c>
      <c r="D1161">
        <v>0</v>
      </c>
      <c r="E1161" s="123" t="s">
        <v>185</v>
      </c>
      <c r="F1161" s="123" t="s">
        <v>672</v>
      </c>
      <c r="G1161">
        <v>-3391178.5</v>
      </c>
    </row>
    <row r="1162" spans="1:7" x14ac:dyDescent="0.3">
      <c r="A1162">
        <v>188</v>
      </c>
      <c r="B1162" s="123" t="s">
        <v>219</v>
      </c>
      <c r="C1162">
        <v>-9143103.7899999991</v>
      </c>
      <c r="D1162">
        <v>0</v>
      </c>
      <c r="E1162" s="123" t="s">
        <v>185</v>
      </c>
      <c r="F1162" s="123" t="s">
        <v>672</v>
      </c>
      <c r="G1162">
        <v>-9143103.7899999991</v>
      </c>
    </row>
    <row r="1163" spans="1:7" x14ac:dyDescent="0.3">
      <c r="A1163">
        <v>184</v>
      </c>
      <c r="B1163" s="123" t="s">
        <v>212</v>
      </c>
      <c r="C1163">
        <v>2996658.09</v>
      </c>
      <c r="D1163">
        <v>0</v>
      </c>
      <c r="E1163" s="123" t="s">
        <v>185</v>
      </c>
      <c r="F1163" s="123" t="s">
        <v>672</v>
      </c>
      <c r="G1163">
        <v>2996658.09</v>
      </c>
    </row>
    <row r="1164" spans="1:7" x14ac:dyDescent="0.3">
      <c r="A1164">
        <v>187</v>
      </c>
      <c r="B1164" s="123" t="s">
        <v>219</v>
      </c>
      <c r="C1164">
        <v>-5081048.18</v>
      </c>
      <c r="D1164">
        <v>0</v>
      </c>
      <c r="E1164" s="123" t="s">
        <v>185</v>
      </c>
      <c r="F1164" s="123" t="s">
        <v>672</v>
      </c>
      <c r="G1164">
        <v>-5081048.18</v>
      </c>
    </row>
    <row r="1165" spans="1:7" x14ac:dyDescent="0.3">
      <c r="A1165">
        <v>6092</v>
      </c>
      <c r="B1165" s="123" t="s">
        <v>822</v>
      </c>
      <c r="C1165">
        <v>-8254000</v>
      </c>
      <c r="D1165">
        <v>0</v>
      </c>
      <c r="E1165" s="123" t="s">
        <v>185</v>
      </c>
      <c r="F1165" s="123" t="s">
        <v>672</v>
      </c>
      <c r="G1165">
        <v>-8254000</v>
      </c>
    </row>
    <row r="1166" spans="1:7" x14ac:dyDescent="0.3">
      <c r="A1166">
        <v>6093</v>
      </c>
      <c r="B1166" s="123" t="s">
        <v>823</v>
      </c>
      <c r="C1166">
        <v>-16576576.9</v>
      </c>
      <c r="D1166">
        <v>0</v>
      </c>
      <c r="E1166" s="123" t="s">
        <v>185</v>
      </c>
      <c r="F1166" s="123" t="s">
        <v>672</v>
      </c>
      <c r="G1166">
        <v>-16576576.9</v>
      </c>
    </row>
    <row r="1167" spans="1:7" x14ac:dyDescent="0.3">
      <c r="A1167">
        <v>12</v>
      </c>
      <c r="B1167" s="123" t="s">
        <v>212</v>
      </c>
      <c r="C1167">
        <v>17307637.760000002</v>
      </c>
      <c r="D1167">
        <v>-0.01</v>
      </c>
      <c r="E1167" s="123" t="s">
        <v>185</v>
      </c>
      <c r="F1167" s="123" t="s">
        <v>672</v>
      </c>
      <c r="G1167">
        <v>17307637.75</v>
      </c>
    </row>
    <row r="1168" spans="1:7" x14ac:dyDescent="0.3">
      <c r="A1168">
        <v>15</v>
      </c>
      <c r="B1168" s="123" t="s">
        <v>219</v>
      </c>
      <c r="C1168">
        <v>-52932828.939999998</v>
      </c>
      <c r="D1168">
        <v>0</v>
      </c>
      <c r="E1168" s="123" t="s">
        <v>185</v>
      </c>
      <c r="F1168" s="123" t="s">
        <v>672</v>
      </c>
      <c r="G1168">
        <v>-52932828.939999998</v>
      </c>
    </row>
    <row r="1169" spans="1:7" x14ac:dyDescent="0.3">
      <c r="A1169">
        <v>84</v>
      </c>
      <c r="B1169" s="123" t="s">
        <v>243</v>
      </c>
      <c r="C1169">
        <v>-1731165.59</v>
      </c>
      <c r="D1169">
        <v>0</v>
      </c>
      <c r="E1169" s="123" t="s">
        <v>185</v>
      </c>
      <c r="F1169" s="123" t="s">
        <v>672</v>
      </c>
      <c r="G1169">
        <v>-1731165.59</v>
      </c>
    </row>
    <row r="1170" spans="1:7" x14ac:dyDescent="0.3">
      <c r="A1170">
        <v>25</v>
      </c>
      <c r="B1170" s="123" t="s">
        <v>255</v>
      </c>
      <c r="C1170">
        <v>0</v>
      </c>
      <c r="D1170">
        <v>0</v>
      </c>
      <c r="E1170" s="123" t="s">
        <v>185</v>
      </c>
      <c r="F1170" s="123" t="s">
        <v>672</v>
      </c>
      <c r="G1170">
        <v>0</v>
      </c>
    </row>
    <row r="1171" spans="1:7" x14ac:dyDescent="0.3">
      <c r="A1171">
        <v>113</v>
      </c>
      <c r="B1171" s="123" t="s">
        <v>280</v>
      </c>
      <c r="C1171">
        <v>106.92</v>
      </c>
      <c r="D1171">
        <v>0</v>
      </c>
      <c r="E1171" s="123" t="s">
        <v>185</v>
      </c>
      <c r="F1171" s="123" t="s">
        <v>672</v>
      </c>
      <c r="G1171">
        <v>106.92</v>
      </c>
    </row>
    <row r="1172" spans="1:7" x14ac:dyDescent="0.3">
      <c r="A1172">
        <v>547</v>
      </c>
      <c r="B1172" s="123" t="s">
        <v>379</v>
      </c>
      <c r="C1172">
        <v>0</v>
      </c>
      <c r="D1172">
        <v>0</v>
      </c>
      <c r="E1172" s="123" t="s">
        <v>185</v>
      </c>
      <c r="F1172" s="123" t="s">
        <v>672</v>
      </c>
      <c r="G1172">
        <v>0</v>
      </c>
    </row>
    <row r="1173" spans="1:7" x14ac:dyDescent="0.3">
      <c r="A1173">
        <v>500</v>
      </c>
      <c r="B1173" s="123" t="s">
        <v>212</v>
      </c>
      <c r="C1173">
        <v>-2656167.4500000002</v>
      </c>
      <c r="D1173">
        <v>0</v>
      </c>
      <c r="E1173" s="123" t="s">
        <v>185</v>
      </c>
      <c r="F1173" s="123" t="s">
        <v>672</v>
      </c>
      <c r="G1173">
        <v>-2656167.4500000002</v>
      </c>
    </row>
    <row r="1174" spans="1:7" x14ac:dyDescent="0.3">
      <c r="A1174">
        <v>503</v>
      </c>
      <c r="B1174" s="123" t="s">
        <v>591</v>
      </c>
      <c r="C1174">
        <v>0</v>
      </c>
      <c r="D1174">
        <v>-0.03</v>
      </c>
      <c r="E1174" s="123" t="s">
        <v>185</v>
      </c>
      <c r="F1174" s="123" t="s">
        <v>672</v>
      </c>
      <c r="G1174">
        <v>-0.03</v>
      </c>
    </row>
    <row r="1175" spans="1:7" x14ac:dyDescent="0.3">
      <c r="A1175">
        <v>103</v>
      </c>
      <c r="B1175" s="123" t="s">
        <v>194</v>
      </c>
      <c r="C1175">
        <v>1486.23</v>
      </c>
      <c r="D1175">
        <v>0</v>
      </c>
      <c r="E1175" s="123" t="s">
        <v>185</v>
      </c>
      <c r="F1175" s="123" t="s">
        <v>672</v>
      </c>
      <c r="G1175">
        <v>1486.23</v>
      </c>
    </row>
    <row r="1176" spans="1:7" x14ac:dyDescent="0.3">
      <c r="A1176">
        <v>103</v>
      </c>
      <c r="B1176" s="123" t="s">
        <v>194</v>
      </c>
      <c r="C1176">
        <v>0</v>
      </c>
      <c r="D1176">
        <v>0</v>
      </c>
      <c r="E1176" s="123" t="s">
        <v>799</v>
      </c>
      <c r="F1176" s="123" t="s">
        <v>676</v>
      </c>
      <c r="G1176">
        <v>0</v>
      </c>
    </row>
    <row r="1177" spans="1:7" x14ac:dyDescent="0.3">
      <c r="A1177">
        <v>503</v>
      </c>
      <c r="B1177" s="123" t="s">
        <v>591</v>
      </c>
      <c r="C1177">
        <v>0.69</v>
      </c>
      <c r="D1177">
        <v>0</v>
      </c>
      <c r="E1177" s="123" t="s">
        <v>799</v>
      </c>
      <c r="F1177" s="123" t="s">
        <v>676</v>
      </c>
      <c r="G1177">
        <v>0.69</v>
      </c>
    </row>
    <row r="1178" spans="1:7" x14ac:dyDescent="0.3">
      <c r="A1178">
        <v>547</v>
      </c>
      <c r="B1178" s="123" t="s">
        <v>379</v>
      </c>
      <c r="C1178">
        <v>2545.14</v>
      </c>
      <c r="D1178">
        <v>-0.01</v>
      </c>
      <c r="E1178" s="123" t="s">
        <v>799</v>
      </c>
      <c r="F1178" s="123" t="s">
        <v>676</v>
      </c>
      <c r="G1178">
        <v>2545.13</v>
      </c>
    </row>
    <row r="1179" spans="1:7" x14ac:dyDescent="0.3">
      <c r="A1179">
        <v>84</v>
      </c>
      <c r="B1179" s="123" t="s">
        <v>243</v>
      </c>
      <c r="C1179">
        <v>0</v>
      </c>
      <c r="D1179">
        <v>0</v>
      </c>
      <c r="E1179" s="123" t="s">
        <v>799</v>
      </c>
      <c r="F1179" s="123" t="s">
        <v>676</v>
      </c>
      <c r="G1179">
        <v>0</v>
      </c>
    </row>
    <row r="1180" spans="1:7" x14ac:dyDescent="0.3">
      <c r="A1180">
        <v>15</v>
      </c>
      <c r="B1180" s="123" t="s">
        <v>219</v>
      </c>
      <c r="C1180">
        <v>0</v>
      </c>
      <c r="D1180">
        <v>0</v>
      </c>
      <c r="E1180" s="123" t="s">
        <v>799</v>
      </c>
      <c r="F1180" s="123" t="s">
        <v>676</v>
      </c>
      <c r="G1180">
        <v>0</v>
      </c>
    </row>
    <row r="1181" spans="1:7" x14ac:dyDescent="0.3">
      <c r="A1181">
        <v>6031</v>
      </c>
      <c r="B1181" s="123" t="s">
        <v>198</v>
      </c>
      <c r="C1181">
        <v>9712.0400000000009</v>
      </c>
      <c r="D1181">
        <v>0</v>
      </c>
      <c r="E1181" s="123" t="s">
        <v>799</v>
      </c>
      <c r="F1181" s="123" t="s">
        <v>676</v>
      </c>
      <c r="G1181">
        <v>9712.0400000000009</v>
      </c>
    </row>
    <row r="1182" spans="1:7" x14ac:dyDescent="0.3">
      <c r="A1182">
        <v>6038</v>
      </c>
      <c r="B1182" s="123" t="s">
        <v>561</v>
      </c>
      <c r="C1182">
        <v>917.49</v>
      </c>
      <c r="D1182">
        <v>0</v>
      </c>
      <c r="E1182" s="123" t="s">
        <v>799</v>
      </c>
      <c r="F1182" s="123" t="s">
        <v>676</v>
      </c>
      <c r="G1182">
        <v>917.49</v>
      </c>
    </row>
    <row r="1183" spans="1:7" x14ac:dyDescent="0.3">
      <c r="A1183">
        <v>6031</v>
      </c>
      <c r="B1183" s="123" t="s">
        <v>198</v>
      </c>
      <c r="C1183">
        <v>3860</v>
      </c>
      <c r="D1183">
        <v>635.91</v>
      </c>
      <c r="E1183" s="123" t="s">
        <v>801</v>
      </c>
      <c r="F1183" s="123" t="s">
        <v>679</v>
      </c>
      <c r="G1183">
        <v>4495.91</v>
      </c>
    </row>
    <row r="1184" spans="1:7" x14ac:dyDescent="0.3">
      <c r="A1184">
        <v>187</v>
      </c>
      <c r="B1184" s="123" t="s">
        <v>219</v>
      </c>
      <c r="C1184">
        <v>-403017.57</v>
      </c>
      <c r="D1184">
        <v>0</v>
      </c>
      <c r="E1184" s="123" t="s">
        <v>801</v>
      </c>
      <c r="F1184" s="123" t="s">
        <v>679</v>
      </c>
      <c r="G1184">
        <v>-403017.57</v>
      </c>
    </row>
    <row r="1185" spans="1:7" x14ac:dyDescent="0.3">
      <c r="A1185">
        <v>184</v>
      </c>
      <c r="B1185" s="123" t="s">
        <v>212</v>
      </c>
      <c r="C1185">
        <v>3614791.31</v>
      </c>
      <c r="D1185">
        <v>0</v>
      </c>
      <c r="E1185" s="123" t="s">
        <v>801</v>
      </c>
      <c r="F1185" s="123" t="s">
        <v>679</v>
      </c>
      <c r="G1185">
        <v>3614791.31</v>
      </c>
    </row>
    <row r="1186" spans="1:7" x14ac:dyDescent="0.3">
      <c r="A1186">
        <v>188</v>
      </c>
      <c r="B1186" s="123" t="s">
        <v>219</v>
      </c>
      <c r="C1186">
        <v>206039.29</v>
      </c>
      <c r="D1186">
        <v>0</v>
      </c>
      <c r="E1186" s="123" t="s">
        <v>801</v>
      </c>
      <c r="F1186" s="123" t="s">
        <v>679</v>
      </c>
      <c r="G1186">
        <v>206039.29</v>
      </c>
    </row>
    <row r="1187" spans="1:7" x14ac:dyDescent="0.3">
      <c r="A1187">
        <v>182</v>
      </c>
      <c r="B1187" s="123" t="s">
        <v>212</v>
      </c>
      <c r="C1187">
        <v>-1619375.5</v>
      </c>
      <c r="D1187">
        <v>0</v>
      </c>
      <c r="E1187" s="123" t="s">
        <v>801</v>
      </c>
      <c r="F1187" s="123" t="s">
        <v>679</v>
      </c>
      <c r="G1187">
        <v>-1619375.5</v>
      </c>
    </row>
    <row r="1188" spans="1:7" x14ac:dyDescent="0.3">
      <c r="A1188">
        <v>183</v>
      </c>
      <c r="B1188" s="123" t="s">
        <v>212</v>
      </c>
      <c r="C1188">
        <v>-402268.38</v>
      </c>
      <c r="D1188">
        <v>0</v>
      </c>
      <c r="E1188" s="123" t="s">
        <v>801</v>
      </c>
      <c r="F1188" s="123" t="s">
        <v>679</v>
      </c>
      <c r="G1188">
        <v>-402268.38</v>
      </c>
    </row>
    <row r="1189" spans="1:7" x14ac:dyDescent="0.3">
      <c r="A1189">
        <v>186</v>
      </c>
      <c r="B1189" s="123" t="s">
        <v>219</v>
      </c>
      <c r="C1189">
        <v>-101703.84</v>
      </c>
      <c r="D1189">
        <v>0</v>
      </c>
      <c r="E1189" s="123" t="s">
        <v>801</v>
      </c>
      <c r="F1189" s="123" t="s">
        <v>679</v>
      </c>
      <c r="G1189">
        <v>-101703.84</v>
      </c>
    </row>
    <row r="1190" spans="1:7" x14ac:dyDescent="0.3">
      <c r="A1190">
        <v>260</v>
      </c>
      <c r="B1190" s="123" t="s">
        <v>337</v>
      </c>
      <c r="C1190">
        <v>0</v>
      </c>
      <c r="D1190">
        <v>0</v>
      </c>
      <c r="E1190" s="123" t="s">
        <v>801</v>
      </c>
      <c r="F1190" s="123" t="s">
        <v>679</v>
      </c>
      <c r="G1190">
        <v>0</v>
      </c>
    </row>
    <row r="1191" spans="1:7" x14ac:dyDescent="0.3">
      <c r="A1191">
        <v>15</v>
      </c>
      <c r="B1191" s="123" t="s">
        <v>219</v>
      </c>
      <c r="C1191">
        <v>296333.58</v>
      </c>
      <c r="D1191">
        <v>33216.99</v>
      </c>
      <c r="E1191" s="123" t="s">
        <v>801</v>
      </c>
      <c r="F1191" s="123" t="s">
        <v>679</v>
      </c>
      <c r="G1191">
        <v>329550.57</v>
      </c>
    </row>
    <row r="1192" spans="1:7" x14ac:dyDescent="0.3">
      <c r="A1192">
        <v>12</v>
      </c>
      <c r="B1192" s="123" t="s">
        <v>212</v>
      </c>
      <c r="C1192">
        <v>-1526318.12</v>
      </c>
      <c r="D1192">
        <v>1997739.21</v>
      </c>
      <c r="E1192" s="123" t="s">
        <v>801</v>
      </c>
      <c r="F1192" s="123" t="s">
        <v>679</v>
      </c>
      <c r="G1192">
        <v>471421.09</v>
      </c>
    </row>
    <row r="1193" spans="1:7" x14ac:dyDescent="0.3">
      <c r="A1193">
        <v>84</v>
      </c>
      <c r="B1193" s="123" t="s">
        <v>243</v>
      </c>
      <c r="C1193">
        <v>414000</v>
      </c>
      <c r="D1193">
        <v>222020.16</v>
      </c>
      <c r="E1193" s="123" t="s">
        <v>801</v>
      </c>
      <c r="F1193" s="123" t="s">
        <v>679</v>
      </c>
      <c r="G1193">
        <v>636020.16</v>
      </c>
    </row>
    <row r="1194" spans="1:7" x14ac:dyDescent="0.3">
      <c r="A1194">
        <v>25</v>
      </c>
      <c r="B1194" s="123" t="s">
        <v>255</v>
      </c>
      <c r="C1194">
        <v>-0.01</v>
      </c>
      <c r="D1194">
        <v>0</v>
      </c>
      <c r="E1194" s="123" t="s">
        <v>801</v>
      </c>
      <c r="F1194" s="123" t="s">
        <v>679</v>
      </c>
      <c r="G1194">
        <v>-0.01</v>
      </c>
    </row>
    <row r="1195" spans="1:7" x14ac:dyDescent="0.3">
      <c r="A1195">
        <v>113</v>
      </c>
      <c r="B1195" s="123" t="s">
        <v>280</v>
      </c>
      <c r="C1195">
        <v>0</v>
      </c>
      <c r="D1195">
        <v>0</v>
      </c>
      <c r="E1195" s="123" t="s">
        <v>801</v>
      </c>
      <c r="F1195" s="123" t="s">
        <v>679</v>
      </c>
      <c r="G1195">
        <v>0</v>
      </c>
    </row>
    <row r="1196" spans="1:7" x14ac:dyDescent="0.3">
      <c r="A1196">
        <v>500</v>
      </c>
      <c r="B1196" s="123" t="s">
        <v>212</v>
      </c>
      <c r="C1196">
        <v>-66829.31</v>
      </c>
      <c r="D1196">
        <v>0</v>
      </c>
      <c r="E1196" s="123" t="s">
        <v>801</v>
      </c>
      <c r="F1196" s="123" t="s">
        <v>679</v>
      </c>
      <c r="G1196">
        <v>-66829.31</v>
      </c>
    </row>
    <row r="1197" spans="1:7" x14ac:dyDescent="0.3">
      <c r="A1197">
        <v>103</v>
      </c>
      <c r="B1197" s="123" t="s">
        <v>194</v>
      </c>
      <c r="C1197">
        <v>56097.89</v>
      </c>
      <c r="D1197">
        <v>112500</v>
      </c>
      <c r="E1197" s="123" t="s">
        <v>801</v>
      </c>
      <c r="F1197" s="123" t="s">
        <v>679</v>
      </c>
      <c r="G1197">
        <v>168597.89</v>
      </c>
    </row>
    <row r="1198" spans="1:7" x14ac:dyDescent="0.3">
      <c r="A1198">
        <v>492</v>
      </c>
      <c r="B1198" s="123" t="s">
        <v>624</v>
      </c>
      <c r="C1198">
        <v>0</v>
      </c>
      <c r="D1198">
        <v>-0.01</v>
      </c>
      <c r="E1198" s="123" t="s">
        <v>185</v>
      </c>
      <c r="F1198" s="123" t="s">
        <v>672</v>
      </c>
      <c r="G1198">
        <v>-0.01</v>
      </c>
    </row>
    <row r="1199" spans="1:7" x14ac:dyDescent="0.3">
      <c r="A1199">
        <v>471</v>
      </c>
      <c r="B1199" s="123" t="s">
        <v>389</v>
      </c>
      <c r="C1199">
        <v>14428.34</v>
      </c>
      <c r="D1199">
        <v>0</v>
      </c>
      <c r="E1199" s="123" t="s">
        <v>185</v>
      </c>
      <c r="F1199" s="123" t="s">
        <v>672</v>
      </c>
      <c r="G1199">
        <v>14428.34</v>
      </c>
    </row>
    <row r="1200" spans="1:7" x14ac:dyDescent="0.3">
      <c r="A1200">
        <v>1037</v>
      </c>
      <c r="B1200" s="123" t="s">
        <v>289</v>
      </c>
      <c r="C1200">
        <v>0</v>
      </c>
      <c r="D1200">
        <v>0</v>
      </c>
      <c r="E1200" s="123" t="s">
        <v>185</v>
      </c>
      <c r="F1200" s="123" t="s">
        <v>672</v>
      </c>
      <c r="G1200">
        <v>0</v>
      </c>
    </row>
    <row r="1201" spans="1:7" x14ac:dyDescent="0.3">
      <c r="A1201">
        <v>6028</v>
      </c>
      <c r="B1201" s="123" t="s">
        <v>571</v>
      </c>
      <c r="C1201">
        <v>-132763.74</v>
      </c>
      <c r="D1201">
        <v>0</v>
      </c>
      <c r="E1201" s="123" t="s">
        <v>185</v>
      </c>
      <c r="F1201" s="123" t="s">
        <v>672</v>
      </c>
      <c r="G1201">
        <v>-132763.74</v>
      </c>
    </row>
    <row r="1202" spans="1:7" x14ac:dyDescent="0.3">
      <c r="A1202">
        <v>6029</v>
      </c>
      <c r="B1202" s="123" t="s">
        <v>604</v>
      </c>
      <c r="C1202">
        <v>28809433.289999999</v>
      </c>
      <c r="D1202">
        <v>0</v>
      </c>
      <c r="E1202" s="123" t="s">
        <v>185</v>
      </c>
      <c r="F1202" s="123" t="s">
        <v>672</v>
      </c>
      <c r="G1202">
        <v>28809433.289999999</v>
      </c>
    </row>
    <row r="1203" spans="1:7" x14ac:dyDescent="0.3">
      <c r="A1203">
        <v>6061</v>
      </c>
      <c r="B1203" s="123" t="s">
        <v>714</v>
      </c>
      <c r="C1203">
        <v>-5617399.1100000003</v>
      </c>
      <c r="D1203">
        <v>0</v>
      </c>
      <c r="E1203" s="123" t="s">
        <v>185</v>
      </c>
      <c r="F1203" s="123" t="s">
        <v>672</v>
      </c>
      <c r="G1203">
        <v>-5617399.1100000003</v>
      </c>
    </row>
    <row r="1204" spans="1:7" x14ac:dyDescent="0.3">
      <c r="A1204">
        <v>6071</v>
      </c>
      <c r="B1204" s="123" t="s">
        <v>713</v>
      </c>
      <c r="C1204">
        <v>0</v>
      </c>
      <c r="D1204">
        <v>0</v>
      </c>
      <c r="E1204" s="123" t="s">
        <v>185</v>
      </c>
      <c r="F1204" s="123" t="s">
        <v>672</v>
      </c>
      <c r="G1204">
        <v>0</v>
      </c>
    </row>
    <row r="1205" spans="1:7" x14ac:dyDescent="0.3">
      <c r="A1205">
        <v>6019</v>
      </c>
      <c r="B1205" s="123" t="s">
        <v>213</v>
      </c>
      <c r="C1205">
        <v>0.13</v>
      </c>
      <c r="D1205">
        <v>0</v>
      </c>
      <c r="E1205" s="123" t="s">
        <v>185</v>
      </c>
      <c r="F1205" s="123" t="s">
        <v>672</v>
      </c>
      <c r="G1205">
        <v>0.13</v>
      </c>
    </row>
    <row r="1206" spans="1:7" x14ac:dyDescent="0.3">
      <c r="A1206">
        <v>1035</v>
      </c>
      <c r="B1206" s="123" t="s">
        <v>291</v>
      </c>
      <c r="C1206">
        <v>0</v>
      </c>
      <c r="D1206">
        <v>0</v>
      </c>
      <c r="E1206" s="123" t="s">
        <v>185</v>
      </c>
      <c r="F1206" s="123" t="s">
        <v>672</v>
      </c>
      <c r="G1206">
        <v>0</v>
      </c>
    </row>
    <row r="1207" spans="1:7" x14ac:dyDescent="0.3">
      <c r="A1207">
        <v>416</v>
      </c>
      <c r="B1207" s="123" t="s">
        <v>393</v>
      </c>
      <c r="C1207">
        <v>53314470.829999998</v>
      </c>
      <c r="D1207">
        <v>-0.03</v>
      </c>
      <c r="E1207" s="123" t="s">
        <v>185</v>
      </c>
      <c r="F1207" s="123" t="s">
        <v>672</v>
      </c>
      <c r="G1207">
        <v>53314470.799999997</v>
      </c>
    </row>
    <row r="1208" spans="1:7" x14ac:dyDescent="0.3">
      <c r="A1208">
        <v>416</v>
      </c>
      <c r="B1208" s="123" t="s">
        <v>393</v>
      </c>
      <c r="C1208">
        <v>103.44</v>
      </c>
      <c r="D1208">
        <v>0</v>
      </c>
      <c r="E1208" s="123" t="s">
        <v>799</v>
      </c>
      <c r="F1208" s="123" t="s">
        <v>676</v>
      </c>
      <c r="G1208">
        <v>103.44</v>
      </c>
    </row>
    <row r="1209" spans="1:7" x14ac:dyDescent="0.3">
      <c r="A1209">
        <v>6019</v>
      </c>
      <c r="B1209" s="123" t="s">
        <v>213</v>
      </c>
      <c r="C1209">
        <v>47.17</v>
      </c>
      <c r="D1209">
        <v>0</v>
      </c>
      <c r="E1209" s="123" t="s">
        <v>799</v>
      </c>
      <c r="F1209" s="123" t="s">
        <v>676</v>
      </c>
      <c r="G1209">
        <v>47.17</v>
      </c>
    </row>
    <row r="1210" spans="1:7" x14ac:dyDescent="0.3">
      <c r="A1210">
        <v>6029</v>
      </c>
      <c r="B1210" s="123" t="s">
        <v>604</v>
      </c>
      <c r="C1210">
        <v>732.3</v>
      </c>
      <c r="D1210">
        <v>0</v>
      </c>
      <c r="E1210" s="123" t="s">
        <v>799</v>
      </c>
      <c r="F1210" s="123" t="s">
        <v>676</v>
      </c>
      <c r="G1210">
        <v>732.3</v>
      </c>
    </row>
    <row r="1211" spans="1:7" x14ac:dyDescent="0.3">
      <c r="A1211">
        <v>6028</v>
      </c>
      <c r="B1211" s="123" t="s">
        <v>571</v>
      </c>
      <c r="C1211">
        <v>1886.88</v>
      </c>
      <c r="D1211">
        <v>0</v>
      </c>
      <c r="E1211" s="123" t="s">
        <v>799</v>
      </c>
      <c r="F1211" s="123" t="s">
        <v>676</v>
      </c>
      <c r="G1211">
        <v>1886.88</v>
      </c>
    </row>
    <row r="1212" spans="1:7" x14ac:dyDescent="0.3">
      <c r="A1212">
        <v>492</v>
      </c>
      <c r="B1212" s="123" t="s">
        <v>624</v>
      </c>
      <c r="C1212">
        <v>646.83000000000004</v>
      </c>
      <c r="D1212">
        <v>0</v>
      </c>
      <c r="E1212" s="123" t="s">
        <v>799</v>
      </c>
      <c r="F1212" s="123" t="s">
        <v>676</v>
      </c>
      <c r="G1212">
        <v>646.83000000000004</v>
      </c>
    </row>
    <row r="1213" spans="1:7" x14ac:dyDescent="0.3">
      <c r="A1213">
        <v>492</v>
      </c>
      <c r="B1213" s="123" t="s">
        <v>624</v>
      </c>
      <c r="C1213">
        <v>46.19</v>
      </c>
      <c r="D1213">
        <v>0</v>
      </c>
      <c r="E1213" s="123" t="s">
        <v>188</v>
      </c>
      <c r="F1213" s="123" t="s">
        <v>678</v>
      </c>
      <c r="G1213">
        <v>46.19</v>
      </c>
    </row>
    <row r="1214" spans="1:7" x14ac:dyDescent="0.3">
      <c r="A1214">
        <v>6028</v>
      </c>
      <c r="B1214" s="123" t="s">
        <v>571</v>
      </c>
      <c r="C1214">
        <v>237.43</v>
      </c>
      <c r="D1214">
        <v>0</v>
      </c>
      <c r="E1214" s="123" t="s">
        <v>188</v>
      </c>
      <c r="F1214" s="123" t="s">
        <v>678</v>
      </c>
      <c r="G1214">
        <v>237.43</v>
      </c>
    </row>
    <row r="1215" spans="1:7" x14ac:dyDescent="0.3">
      <c r="A1215">
        <v>6029</v>
      </c>
      <c r="B1215" s="123" t="s">
        <v>604</v>
      </c>
      <c r="C1215">
        <v>237.43</v>
      </c>
      <c r="D1215">
        <v>0</v>
      </c>
      <c r="E1215" s="123" t="s">
        <v>188</v>
      </c>
      <c r="F1215" s="123" t="s">
        <v>678</v>
      </c>
      <c r="G1215">
        <v>237.43</v>
      </c>
    </row>
    <row r="1216" spans="1:7" x14ac:dyDescent="0.3">
      <c r="A1216">
        <v>492</v>
      </c>
      <c r="B1216" s="123" t="s">
        <v>624</v>
      </c>
      <c r="C1216">
        <v>0</v>
      </c>
      <c r="D1216">
        <v>0</v>
      </c>
      <c r="E1216" s="123" t="s">
        <v>801</v>
      </c>
      <c r="F1216" s="123" t="s">
        <v>679</v>
      </c>
      <c r="G1216">
        <v>0</v>
      </c>
    </row>
    <row r="1217" spans="1:7" x14ac:dyDescent="0.3">
      <c r="A1217">
        <v>416</v>
      </c>
      <c r="B1217" s="123" t="s">
        <v>393</v>
      </c>
      <c r="C1217">
        <v>1100</v>
      </c>
      <c r="D1217">
        <v>929.45</v>
      </c>
      <c r="E1217" s="123" t="s">
        <v>801</v>
      </c>
      <c r="F1217" s="123" t="s">
        <v>679</v>
      </c>
      <c r="G1217">
        <v>2029.45</v>
      </c>
    </row>
    <row r="1218" spans="1:7" x14ac:dyDescent="0.3">
      <c r="A1218">
        <v>149</v>
      </c>
      <c r="B1218" s="123" t="s">
        <v>510</v>
      </c>
      <c r="C1218">
        <v>0</v>
      </c>
      <c r="D1218">
        <v>0</v>
      </c>
      <c r="E1218" s="123" t="s">
        <v>185</v>
      </c>
      <c r="F1218" s="123" t="s">
        <v>672</v>
      </c>
      <c r="G1218">
        <v>0</v>
      </c>
    </row>
    <row r="1219" spans="1:7" x14ac:dyDescent="0.3">
      <c r="A1219">
        <v>138</v>
      </c>
      <c r="B1219" s="123" t="s">
        <v>324</v>
      </c>
      <c r="C1219">
        <v>90870</v>
      </c>
      <c r="D1219">
        <v>0</v>
      </c>
      <c r="E1219" s="123" t="s">
        <v>185</v>
      </c>
      <c r="F1219" s="123" t="s">
        <v>672</v>
      </c>
      <c r="G1219">
        <v>90870</v>
      </c>
    </row>
    <row r="1220" spans="1:7" x14ac:dyDescent="0.3">
      <c r="A1220">
        <v>6034</v>
      </c>
      <c r="B1220" s="123" t="s">
        <v>486</v>
      </c>
      <c r="C1220">
        <v>0</v>
      </c>
      <c r="D1220">
        <v>0</v>
      </c>
      <c r="E1220" s="123" t="s">
        <v>185</v>
      </c>
      <c r="F1220" s="123" t="s">
        <v>672</v>
      </c>
      <c r="G1220">
        <v>0</v>
      </c>
    </row>
    <row r="1221" spans="1:7" x14ac:dyDescent="0.3">
      <c r="A1221">
        <v>6036</v>
      </c>
      <c r="B1221" s="123" t="s">
        <v>648</v>
      </c>
      <c r="C1221">
        <v>0</v>
      </c>
      <c r="D1221">
        <v>0</v>
      </c>
      <c r="E1221" s="123" t="s">
        <v>185</v>
      </c>
      <c r="F1221" s="123" t="s">
        <v>672</v>
      </c>
      <c r="G1221">
        <v>0</v>
      </c>
    </row>
    <row r="1222" spans="1:7" x14ac:dyDescent="0.3">
      <c r="A1222">
        <v>315</v>
      </c>
      <c r="B1222" s="123" t="s">
        <v>240</v>
      </c>
      <c r="C1222">
        <v>0</v>
      </c>
      <c r="D1222">
        <v>0.11</v>
      </c>
      <c r="E1222" s="123" t="s">
        <v>185</v>
      </c>
      <c r="F1222" s="123" t="s">
        <v>672</v>
      </c>
      <c r="G1222">
        <v>0.11</v>
      </c>
    </row>
    <row r="1223" spans="1:7" x14ac:dyDescent="0.3">
      <c r="A1223">
        <v>328</v>
      </c>
      <c r="B1223" s="123" t="s">
        <v>350</v>
      </c>
      <c r="C1223">
        <v>-20359.04</v>
      </c>
      <c r="D1223">
        <v>-7.0000000000000007E-2</v>
      </c>
      <c r="E1223" s="123" t="s">
        <v>185</v>
      </c>
      <c r="F1223" s="123" t="s">
        <v>672</v>
      </c>
      <c r="G1223">
        <v>-20359.11</v>
      </c>
    </row>
    <row r="1224" spans="1:7" x14ac:dyDescent="0.3">
      <c r="A1224">
        <v>399</v>
      </c>
      <c r="B1224" s="123" t="s">
        <v>308</v>
      </c>
      <c r="C1224">
        <v>-3347868.05</v>
      </c>
      <c r="D1224">
        <v>0.01</v>
      </c>
      <c r="E1224" s="123" t="s">
        <v>185</v>
      </c>
      <c r="F1224" s="123" t="s">
        <v>672</v>
      </c>
      <c r="G1224">
        <v>-3347868.04</v>
      </c>
    </row>
    <row r="1225" spans="1:7" x14ac:dyDescent="0.3">
      <c r="A1225">
        <v>6036</v>
      </c>
      <c r="B1225" s="123" t="s">
        <v>648</v>
      </c>
      <c r="C1225">
        <v>0</v>
      </c>
      <c r="D1225">
        <v>0</v>
      </c>
      <c r="E1225" s="123" t="s">
        <v>799</v>
      </c>
      <c r="F1225" s="123" t="s">
        <v>676</v>
      </c>
      <c r="G1225">
        <v>0</v>
      </c>
    </row>
    <row r="1226" spans="1:7" x14ac:dyDescent="0.3">
      <c r="A1226">
        <v>149</v>
      </c>
      <c r="B1226" s="123" t="s">
        <v>510</v>
      </c>
      <c r="C1226">
        <v>0</v>
      </c>
      <c r="D1226">
        <v>0</v>
      </c>
      <c r="E1226" s="123" t="s">
        <v>799</v>
      </c>
      <c r="F1226" s="123" t="s">
        <v>676</v>
      </c>
      <c r="G1226">
        <v>0</v>
      </c>
    </row>
    <row r="1227" spans="1:7" x14ac:dyDescent="0.3">
      <c r="A1227">
        <v>149</v>
      </c>
      <c r="B1227" s="123" t="s">
        <v>510</v>
      </c>
      <c r="C1227">
        <v>0</v>
      </c>
      <c r="D1227">
        <v>0</v>
      </c>
      <c r="E1227" s="123" t="s">
        <v>801</v>
      </c>
      <c r="F1227" s="123" t="s">
        <v>679</v>
      </c>
      <c r="G1227">
        <v>0</v>
      </c>
    </row>
    <row r="1228" spans="1:7" x14ac:dyDescent="0.3">
      <c r="A1228">
        <v>399</v>
      </c>
      <c r="B1228" s="123" t="s">
        <v>308</v>
      </c>
      <c r="C1228">
        <v>0</v>
      </c>
      <c r="D1228">
        <v>0</v>
      </c>
      <c r="E1228" s="123" t="s">
        <v>801</v>
      </c>
      <c r="F1228" s="123" t="s">
        <v>679</v>
      </c>
      <c r="G1228">
        <v>0</v>
      </c>
    </row>
    <row r="1229" spans="1:7" x14ac:dyDescent="0.3">
      <c r="A1229">
        <v>277</v>
      </c>
      <c r="B1229" s="123" t="s">
        <v>720</v>
      </c>
      <c r="C1229">
        <v>0</v>
      </c>
      <c r="D1229">
        <v>0</v>
      </c>
      <c r="E1229" s="123" t="s">
        <v>185</v>
      </c>
      <c r="F1229" s="123" t="s">
        <v>672</v>
      </c>
      <c r="G1229">
        <v>0</v>
      </c>
    </row>
    <row r="1230" spans="1:7" x14ac:dyDescent="0.3">
      <c r="A1230">
        <v>6044</v>
      </c>
      <c r="B1230" s="123" t="s">
        <v>718</v>
      </c>
      <c r="C1230">
        <v>0</v>
      </c>
      <c r="D1230">
        <v>0</v>
      </c>
      <c r="E1230" s="123" t="s">
        <v>185</v>
      </c>
      <c r="F1230" s="123" t="s">
        <v>672</v>
      </c>
      <c r="G1230">
        <v>0</v>
      </c>
    </row>
    <row r="1231" spans="1:7" x14ac:dyDescent="0.3">
      <c r="A1231">
        <v>6062</v>
      </c>
      <c r="B1231" s="123" t="s">
        <v>715</v>
      </c>
      <c r="C1231">
        <v>0</v>
      </c>
      <c r="D1231">
        <v>0</v>
      </c>
      <c r="E1231" s="123" t="s">
        <v>185</v>
      </c>
      <c r="F1231" s="123" t="s">
        <v>672</v>
      </c>
      <c r="G1231">
        <v>0</v>
      </c>
    </row>
    <row r="1232" spans="1:7" x14ac:dyDescent="0.3">
      <c r="A1232">
        <v>6056</v>
      </c>
      <c r="B1232" s="123" t="s">
        <v>719</v>
      </c>
      <c r="C1232">
        <v>0</v>
      </c>
      <c r="D1232">
        <v>0</v>
      </c>
      <c r="E1232" s="123" t="s">
        <v>185</v>
      </c>
      <c r="F1232" s="123" t="s">
        <v>672</v>
      </c>
      <c r="G1232">
        <v>0</v>
      </c>
    </row>
    <row r="1233" spans="1:7" x14ac:dyDescent="0.3">
      <c r="A1233">
        <v>6052</v>
      </c>
      <c r="B1233" s="123" t="s">
        <v>716</v>
      </c>
      <c r="C1233">
        <v>-1340.88</v>
      </c>
      <c r="D1233">
        <v>0</v>
      </c>
      <c r="E1233" s="123" t="s">
        <v>185</v>
      </c>
      <c r="F1233" s="123" t="s">
        <v>672</v>
      </c>
      <c r="G1233">
        <v>-1340.88</v>
      </c>
    </row>
    <row r="1234" spans="1:7" x14ac:dyDescent="0.3">
      <c r="A1234">
        <v>6017</v>
      </c>
      <c r="B1234" s="123" t="s">
        <v>391</v>
      </c>
      <c r="C1234">
        <v>0</v>
      </c>
      <c r="D1234">
        <v>30000000</v>
      </c>
      <c r="E1234" s="123" t="s">
        <v>185</v>
      </c>
      <c r="F1234" s="123" t="s">
        <v>672</v>
      </c>
      <c r="G1234">
        <v>30000000</v>
      </c>
    </row>
    <row r="1235" spans="1:7" x14ac:dyDescent="0.3">
      <c r="A1235">
        <v>6022</v>
      </c>
      <c r="B1235" s="123" t="s">
        <v>599</v>
      </c>
      <c r="C1235">
        <v>-4308.38</v>
      </c>
      <c r="D1235">
        <v>0</v>
      </c>
      <c r="E1235" s="123" t="s">
        <v>185</v>
      </c>
      <c r="F1235" s="123" t="s">
        <v>672</v>
      </c>
      <c r="G1235">
        <v>-4308.38</v>
      </c>
    </row>
    <row r="1236" spans="1:7" x14ac:dyDescent="0.3">
      <c r="A1236">
        <v>6074</v>
      </c>
      <c r="B1236" s="123" t="s">
        <v>717</v>
      </c>
      <c r="C1236">
        <v>0</v>
      </c>
      <c r="D1236">
        <v>0</v>
      </c>
      <c r="E1236" s="123" t="s">
        <v>185</v>
      </c>
      <c r="F1236" s="123" t="s">
        <v>672</v>
      </c>
      <c r="G1236">
        <v>0</v>
      </c>
    </row>
    <row r="1237" spans="1:7" x14ac:dyDescent="0.3">
      <c r="A1237">
        <v>87</v>
      </c>
      <c r="B1237" s="123" t="s">
        <v>254</v>
      </c>
      <c r="C1237">
        <v>-494784999.74000001</v>
      </c>
      <c r="D1237">
        <v>0.87</v>
      </c>
      <c r="E1237" s="123" t="s">
        <v>185</v>
      </c>
      <c r="F1237" s="123" t="s">
        <v>672</v>
      </c>
      <c r="G1237">
        <v>-494784998.87</v>
      </c>
    </row>
    <row r="1238" spans="1:7" x14ac:dyDescent="0.3">
      <c r="A1238">
        <v>87</v>
      </c>
      <c r="B1238" s="123" t="s">
        <v>254</v>
      </c>
      <c r="C1238">
        <v>2062.16</v>
      </c>
      <c r="D1238">
        <v>0</v>
      </c>
      <c r="E1238" s="123" t="s">
        <v>799</v>
      </c>
      <c r="F1238" s="123" t="s">
        <v>676</v>
      </c>
      <c r="G1238">
        <v>2062.16</v>
      </c>
    </row>
    <row r="1239" spans="1:7" x14ac:dyDescent="0.3">
      <c r="A1239">
        <v>6074</v>
      </c>
      <c r="B1239" s="123" t="s">
        <v>717</v>
      </c>
      <c r="C1239">
        <v>39.36</v>
      </c>
      <c r="D1239">
        <v>0</v>
      </c>
      <c r="E1239" s="123" t="s">
        <v>799</v>
      </c>
      <c r="F1239" s="123" t="s">
        <v>676</v>
      </c>
      <c r="G1239">
        <v>39.36</v>
      </c>
    </row>
    <row r="1240" spans="1:7" x14ac:dyDescent="0.3">
      <c r="A1240">
        <v>6022</v>
      </c>
      <c r="B1240" s="123" t="s">
        <v>599</v>
      </c>
      <c r="C1240">
        <v>1567.17</v>
      </c>
      <c r="D1240">
        <v>0</v>
      </c>
      <c r="E1240" s="123" t="s">
        <v>799</v>
      </c>
      <c r="F1240" s="123" t="s">
        <v>676</v>
      </c>
      <c r="G1240">
        <v>1567.17</v>
      </c>
    </row>
    <row r="1241" spans="1:7" x14ac:dyDescent="0.3">
      <c r="A1241">
        <v>6017</v>
      </c>
      <c r="B1241" s="123" t="s">
        <v>391</v>
      </c>
      <c r="C1241">
        <v>214.74</v>
      </c>
      <c r="D1241">
        <v>0</v>
      </c>
      <c r="E1241" s="123" t="s">
        <v>799</v>
      </c>
      <c r="F1241" s="123" t="s">
        <v>676</v>
      </c>
      <c r="G1241">
        <v>214.74</v>
      </c>
    </row>
    <row r="1242" spans="1:7" x14ac:dyDescent="0.3">
      <c r="A1242">
        <v>6052</v>
      </c>
      <c r="B1242" s="123" t="s">
        <v>716</v>
      </c>
      <c r="C1242">
        <v>-2.35</v>
      </c>
      <c r="D1242">
        <v>0</v>
      </c>
      <c r="E1242" s="123" t="s">
        <v>799</v>
      </c>
      <c r="F1242" s="123" t="s">
        <v>676</v>
      </c>
      <c r="G1242">
        <v>-2.35</v>
      </c>
    </row>
    <row r="1243" spans="1:7" x14ac:dyDescent="0.3">
      <c r="A1243">
        <v>6017</v>
      </c>
      <c r="B1243" s="123" t="s">
        <v>391</v>
      </c>
      <c r="C1243">
        <v>207.36</v>
      </c>
      <c r="D1243">
        <v>0</v>
      </c>
      <c r="E1243" s="123" t="s">
        <v>188</v>
      </c>
      <c r="F1243" s="123" t="s">
        <v>678</v>
      </c>
      <c r="G1243">
        <v>207.36</v>
      </c>
    </row>
    <row r="1244" spans="1:7" x14ac:dyDescent="0.3">
      <c r="A1244">
        <v>6022</v>
      </c>
      <c r="B1244" s="123" t="s">
        <v>599</v>
      </c>
      <c r="C1244">
        <v>736.13</v>
      </c>
      <c r="D1244">
        <v>0</v>
      </c>
      <c r="E1244" s="123" t="s">
        <v>188</v>
      </c>
      <c r="F1244" s="123" t="s">
        <v>678</v>
      </c>
      <c r="G1244">
        <v>736.13</v>
      </c>
    </row>
    <row r="1245" spans="1:7" x14ac:dyDescent="0.3">
      <c r="A1245">
        <v>87</v>
      </c>
      <c r="B1245" s="123" t="s">
        <v>254</v>
      </c>
      <c r="C1245">
        <v>0.3</v>
      </c>
      <c r="D1245">
        <v>0</v>
      </c>
      <c r="E1245" s="123" t="s">
        <v>188</v>
      </c>
      <c r="F1245" s="123" t="s">
        <v>678</v>
      </c>
      <c r="G1245">
        <v>0.3</v>
      </c>
    </row>
    <row r="1246" spans="1:7" x14ac:dyDescent="0.3">
      <c r="A1246">
        <v>87</v>
      </c>
      <c r="B1246" s="123" t="s">
        <v>254</v>
      </c>
      <c r="C1246">
        <v>0</v>
      </c>
      <c r="D1246">
        <v>0</v>
      </c>
      <c r="E1246" s="123" t="s">
        <v>801</v>
      </c>
      <c r="F1246" s="123" t="s">
        <v>679</v>
      </c>
      <c r="G1246">
        <v>0</v>
      </c>
    </row>
    <row r="1247" spans="1:7" x14ac:dyDescent="0.3">
      <c r="A1247">
        <v>277</v>
      </c>
      <c r="B1247" s="123" t="s">
        <v>720</v>
      </c>
      <c r="C1247">
        <v>0</v>
      </c>
      <c r="D1247">
        <v>0</v>
      </c>
      <c r="E1247" s="123" t="s">
        <v>801</v>
      </c>
      <c r="F1247" s="123" t="s">
        <v>679</v>
      </c>
      <c r="G1247">
        <v>0</v>
      </c>
    </row>
    <row r="1248" spans="1:7" x14ac:dyDescent="0.3">
      <c r="A1248">
        <v>6086</v>
      </c>
      <c r="B1248" s="123" t="s">
        <v>722</v>
      </c>
      <c r="C1248">
        <v>-28074.91</v>
      </c>
      <c r="D1248">
        <v>0</v>
      </c>
      <c r="E1248" s="123" t="s">
        <v>185</v>
      </c>
      <c r="F1248" s="123" t="s">
        <v>672</v>
      </c>
      <c r="G1248">
        <v>-28074.91</v>
      </c>
    </row>
    <row r="1249" spans="1:7" x14ac:dyDescent="0.3">
      <c r="A1249">
        <v>6087</v>
      </c>
      <c r="B1249" s="123" t="s">
        <v>723</v>
      </c>
      <c r="C1249">
        <v>-40.97</v>
      </c>
      <c r="D1249">
        <v>0</v>
      </c>
      <c r="E1249" s="123" t="s">
        <v>185</v>
      </c>
      <c r="F1249" s="123" t="s">
        <v>672</v>
      </c>
      <c r="G1249">
        <v>-40.97</v>
      </c>
    </row>
    <row r="1250" spans="1:7" x14ac:dyDescent="0.3">
      <c r="A1250">
        <v>6080</v>
      </c>
      <c r="B1250" s="123" t="s">
        <v>724</v>
      </c>
      <c r="C1250">
        <v>-1771.95</v>
      </c>
      <c r="D1250">
        <v>0</v>
      </c>
      <c r="E1250" s="123" t="s">
        <v>185</v>
      </c>
      <c r="F1250" s="123" t="s">
        <v>672</v>
      </c>
      <c r="G1250">
        <v>-1771.95</v>
      </c>
    </row>
    <row r="1251" spans="1:7" x14ac:dyDescent="0.3">
      <c r="A1251">
        <v>336</v>
      </c>
      <c r="B1251" s="123" t="s">
        <v>358</v>
      </c>
      <c r="C1251">
        <v>1630.4</v>
      </c>
      <c r="D1251">
        <v>0</v>
      </c>
      <c r="E1251" s="123" t="s">
        <v>185</v>
      </c>
      <c r="F1251" s="123" t="s">
        <v>672</v>
      </c>
      <c r="G1251">
        <v>1630.4</v>
      </c>
    </row>
    <row r="1252" spans="1:7" x14ac:dyDescent="0.3">
      <c r="A1252">
        <v>6050</v>
      </c>
      <c r="B1252" s="123" t="s">
        <v>725</v>
      </c>
      <c r="C1252">
        <v>-1185000</v>
      </c>
      <c r="D1252">
        <v>0</v>
      </c>
      <c r="E1252" s="123" t="s">
        <v>185</v>
      </c>
      <c r="F1252" s="123" t="s">
        <v>672</v>
      </c>
      <c r="G1252">
        <v>-1185000</v>
      </c>
    </row>
    <row r="1253" spans="1:7" x14ac:dyDescent="0.3">
      <c r="A1253">
        <v>6065</v>
      </c>
      <c r="B1253" s="123" t="s">
        <v>721</v>
      </c>
      <c r="C1253">
        <v>0.36</v>
      </c>
      <c r="D1253">
        <v>0</v>
      </c>
      <c r="E1253" s="123" t="s">
        <v>185</v>
      </c>
      <c r="F1253" s="123" t="s">
        <v>672</v>
      </c>
      <c r="G1253">
        <v>0.36</v>
      </c>
    </row>
    <row r="1254" spans="1:7" x14ac:dyDescent="0.3">
      <c r="A1254">
        <v>439</v>
      </c>
      <c r="B1254" s="123" t="s">
        <v>631</v>
      </c>
      <c r="C1254">
        <v>-5037.66</v>
      </c>
      <c r="D1254">
        <v>0</v>
      </c>
      <c r="E1254" s="123" t="s">
        <v>185</v>
      </c>
      <c r="F1254" s="123" t="s">
        <v>672</v>
      </c>
      <c r="G1254">
        <v>-5037.66</v>
      </c>
    </row>
    <row r="1255" spans="1:7" x14ac:dyDescent="0.3">
      <c r="A1255">
        <v>118</v>
      </c>
      <c r="B1255" s="123" t="s">
        <v>466</v>
      </c>
      <c r="C1255">
        <v>-0.03</v>
      </c>
      <c r="D1255">
        <v>0</v>
      </c>
      <c r="E1255" s="123" t="s">
        <v>185</v>
      </c>
      <c r="F1255" s="123" t="s">
        <v>672</v>
      </c>
      <c r="G1255">
        <v>-0.03</v>
      </c>
    </row>
    <row r="1256" spans="1:7" x14ac:dyDescent="0.3">
      <c r="A1256">
        <v>118</v>
      </c>
      <c r="B1256" s="123" t="s">
        <v>466</v>
      </c>
      <c r="C1256">
        <v>0</v>
      </c>
      <c r="D1256">
        <v>0</v>
      </c>
      <c r="E1256" s="123" t="s">
        <v>799</v>
      </c>
      <c r="F1256" s="123" t="s">
        <v>676</v>
      </c>
      <c r="G1256">
        <v>0</v>
      </c>
    </row>
    <row r="1257" spans="1:7" x14ac:dyDescent="0.3">
      <c r="A1257">
        <v>439</v>
      </c>
      <c r="B1257" s="123" t="s">
        <v>631</v>
      </c>
      <c r="C1257">
        <v>0</v>
      </c>
      <c r="D1257">
        <v>0</v>
      </c>
      <c r="E1257" s="123" t="s">
        <v>799</v>
      </c>
      <c r="F1257" s="123" t="s">
        <v>676</v>
      </c>
      <c r="G1257">
        <v>0</v>
      </c>
    </row>
    <row r="1258" spans="1:7" x14ac:dyDescent="0.3">
      <c r="A1258">
        <v>6050</v>
      </c>
      <c r="B1258" s="123" t="s">
        <v>725</v>
      </c>
      <c r="C1258">
        <v>1657.18</v>
      </c>
      <c r="D1258">
        <v>0</v>
      </c>
      <c r="E1258" s="123" t="s">
        <v>799</v>
      </c>
      <c r="F1258" s="123" t="s">
        <v>676</v>
      </c>
      <c r="G1258">
        <v>1657.18</v>
      </c>
    </row>
    <row r="1259" spans="1:7" x14ac:dyDescent="0.3">
      <c r="A1259">
        <v>336</v>
      </c>
      <c r="B1259" s="123" t="s">
        <v>358</v>
      </c>
      <c r="C1259">
        <v>0</v>
      </c>
      <c r="D1259">
        <v>0</v>
      </c>
      <c r="E1259" s="123" t="s">
        <v>799</v>
      </c>
      <c r="F1259" s="123" t="s">
        <v>676</v>
      </c>
      <c r="G1259">
        <v>0</v>
      </c>
    </row>
    <row r="1260" spans="1:7" x14ac:dyDescent="0.3">
      <c r="A1260">
        <v>6087</v>
      </c>
      <c r="B1260" s="123" t="s">
        <v>723</v>
      </c>
      <c r="C1260">
        <v>6.16</v>
      </c>
      <c r="D1260">
        <v>0</v>
      </c>
      <c r="E1260" s="123" t="s">
        <v>799</v>
      </c>
      <c r="F1260" s="123" t="s">
        <v>676</v>
      </c>
      <c r="G1260">
        <v>6.16</v>
      </c>
    </row>
    <row r="1261" spans="1:7" x14ac:dyDescent="0.3">
      <c r="A1261">
        <v>336</v>
      </c>
      <c r="B1261" s="123" t="s">
        <v>358</v>
      </c>
      <c r="C1261">
        <v>0</v>
      </c>
      <c r="D1261">
        <v>0</v>
      </c>
      <c r="E1261" s="123" t="s">
        <v>801</v>
      </c>
      <c r="F1261" s="123" t="s">
        <v>679</v>
      </c>
      <c r="G1261">
        <v>0</v>
      </c>
    </row>
    <row r="1262" spans="1:7" x14ac:dyDescent="0.3">
      <c r="A1262">
        <v>6050</v>
      </c>
      <c r="B1262" s="123" t="s">
        <v>725</v>
      </c>
      <c r="C1262">
        <v>0</v>
      </c>
      <c r="D1262">
        <v>0</v>
      </c>
      <c r="E1262" s="123" t="s">
        <v>801</v>
      </c>
      <c r="F1262" s="123" t="s">
        <v>679</v>
      </c>
      <c r="G1262">
        <v>0</v>
      </c>
    </row>
    <row r="1263" spans="1:7" x14ac:dyDescent="0.3">
      <c r="A1263">
        <v>6065</v>
      </c>
      <c r="B1263" s="123" t="s">
        <v>721</v>
      </c>
      <c r="C1263">
        <v>-123.46</v>
      </c>
      <c r="D1263">
        <v>2618.61</v>
      </c>
      <c r="E1263" s="123" t="s">
        <v>801</v>
      </c>
      <c r="F1263" s="123" t="s">
        <v>679</v>
      </c>
      <c r="G1263">
        <v>2495.15</v>
      </c>
    </row>
    <row r="1264" spans="1:7" x14ac:dyDescent="0.3">
      <c r="A1264">
        <v>6082</v>
      </c>
      <c r="B1264" s="123" t="s">
        <v>727</v>
      </c>
      <c r="C1264">
        <v>-733045.58</v>
      </c>
      <c r="D1264">
        <v>0</v>
      </c>
      <c r="E1264" s="123" t="s">
        <v>185</v>
      </c>
      <c r="F1264" s="123" t="s">
        <v>672</v>
      </c>
      <c r="G1264">
        <v>-733045.58</v>
      </c>
    </row>
    <row r="1265" spans="1:7" x14ac:dyDescent="0.3">
      <c r="A1265">
        <v>6083</v>
      </c>
      <c r="B1265" s="123" t="s">
        <v>728</v>
      </c>
      <c r="C1265">
        <v>109488.27</v>
      </c>
      <c r="D1265">
        <v>0</v>
      </c>
      <c r="E1265" s="123" t="s">
        <v>185</v>
      </c>
      <c r="F1265" s="123" t="s">
        <v>672</v>
      </c>
      <c r="G1265">
        <v>109488.27</v>
      </c>
    </row>
    <row r="1266" spans="1:7" x14ac:dyDescent="0.3">
      <c r="A1266">
        <v>6081</v>
      </c>
      <c r="B1266" s="123" t="s">
        <v>726</v>
      </c>
      <c r="C1266">
        <v>1185493.2</v>
      </c>
      <c r="D1266">
        <v>0</v>
      </c>
      <c r="E1266" s="123" t="s">
        <v>185</v>
      </c>
      <c r="F1266" s="123" t="s">
        <v>672</v>
      </c>
      <c r="G1266">
        <v>1185493.2</v>
      </c>
    </row>
    <row r="1267" spans="1:7" x14ac:dyDescent="0.3">
      <c r="A1267">
        <v>6081</v>
      </c>
      <c r="B1267" s="123" t="s">
        <v>726</v>
      </c>
      <c r="C1267">
        <v>0</v>
      </c>
      <c r="D1267">
        <v>0</v>
      </c>
      <c r="E1267" s="123" t="s">
        <v>801</v>
      </c>
      <c r="F1267" s="123" t="s">
        <v>679</v>
      </c>
      <c r="G1267">
        <v>0</v>
      </c>
    </row>
    <row r="1268" spans="1:7" x14ac:dyDescent="0.3">
      <c r="A1268">
        <v>6083</v>
      </c>
      <c r="B1268" s="123" t="s">
        <v>728</v>
      </c>
      <c r="C1268">
        <v>0</v>
      </c>
      <c r="D1268">
        <v>0</v>
      </c>
      <c r="E1268" s="123" t="s">
        <v>801</v>
      </c>
      <c r="F1268" s="123" t="s">
        <v>679</v>
      </c>
      <c r="G1268">
        <v>0</v>
      </c>
    </row>
    <row r="1269" spans="1:7" x14ac:dyDescent="0.3">
      <c r="A1269">
        <v>6082</v>
      </c>
      <c r="B1269" s="123" t="s">
        <v>727</v>
      </c>
      <c r="C1269">
        <v>0</v>
      </c>
      <c r="D1269">
        <v>0</v>
      </c>
      <c r="E1269" s="123" t="s">
        <v>801</v>
      </c>
      <c r="F1269" s="123" t="s">
        <v>679</v>
      </c>
      <c r="G1269">
        <v>0</v>
      </c>
    </row>
    <row r="1270" spans="1:7" x14ac:dyDescent="0.3">
      <c r="A1270">
        <v>6088</v>
      </c>
      <c r="B1270" s="123" t="s">
        <v>844</v>
      </c>
      <c r="C1270">
        <v>-510000</v>
      </c>
      <c r="D1270">
        <v>0</v>
      </c>
      <c r="E1270" s="123" t="s">
        <v>185</v>
      </c>
      <c r="F1270" s="123" t="s">
        <v>672</v>
      </c>
      <c r="G1270">
        <v>-510000</v>
      </c>
    </row>
    <row r="1271" spans="1:7" x14ac:dyDescent="0.3">
      <c r="A1271">
        <v>6078</v>
      </c>
      <c r="B1271" s="123" t="s">
        <v>729</v>
      </c>
      <c r="C1271">
        <v>5.98</v>
      </c>
      <c r="D1271">
        <v>0</v>
      </c>
      <c r="E1271" s="123" t="s">
        <v>185</v>
      </c>
      <c r="F1271" s="123" t="s">
        <v>672</v>
      </c>
      <c r="G1271">
        <v>5.98</v>
      </c>
    </row>
    <row r="1272" spans="1:7" x14ac:dyDescent="0.3">
      <c r="A1272">
        <v>6060</v>
      </c>
      <c r="B1272" s="123" t="s">
        <v>731</v>
      </c>
      <c r="C1272">
        <v>30576443.609999999</v>
      </c>
      <c r="D1272">
        <v>0</v>
      </c>
      <c r="E1272" s="123" t="s">
        <v>185</v>
      </c>
      <c r="F1272" s="123" t="s">
        <v>672</v>
      </c>
      <c r="G1272">
        <v>30576443.609999999</v>
      </c>
    </row>
    <row r="1273" spans="1:7" x14ac:dyDescent="0.3">
      <c r="A1273">
        <v>9007</v>
      </c>
      <c r="B1273" s="123" t="s">
        <v>732</v>
      </c>
      <c r="C1273">
        <v>-6407.8</v>
      </c>
      <c r="D1273">
        <v>0</v>
      </c>
      <c r="E1273" s="123" t="s">
        <v>185</v>
      </c>
      <c r="F1273" s="123" t="s">
        <v>672</v>
      </c>
      <c r="G1273">
        <v>-6407.8</v>
      </c>
    </row>
    <row r="1274" spans="1:7" x14ac:dyDescent="0.3">
      <c r="A1274">
        <v>9006</v>
      </c>
      <c r="B1274" s="123" t="s">
        <v>733</v>
      </c>
      <c r="C1274">
        <v>-67326.25</v>
      </c>
      <c r="D1274">
        <v>0</v>
      </c>
      <c r="E1274" s="123" t="s">
        <v>185</v>
      </c>
      <c r="F1274" s="123" t="s">
        <v>672</v>
      </c>
      <c r="G1274">
        <v>-67326.25</v>
      </c>
    </row>
    <row r="1275" spans="1:7" x14ac:dyDescent="0.3">
      <c r="A1275">
        <v>6075</v>
      </c>
      <c r="B1275" s="123" t="s">
        <v>730</v>
      </c>
      <c r="C1275">
        <v>0</v>
      </c>
      <c r="D1275">
        <v>0</v>
      </c>
      <c r="E1275" s="123" t="s">
        <v>185</v>
      </c>
      <c r="F1275" s="123" t="s">
        <v>672</v>
      </c>
      <c r="G1275">
        <v>0</v>
      </c>
    </row>
    <row r="1276" spans="1:7" x14ac:dyDescent="0.3">
      <c r="A1276">
        <v>9006</v>
      </c>
      <c r="B1276" s="123" t="s">
        <v>733</v>
      </c>
      <c r="C1276">
        <v>9.0299999999999994</v>
      </c>
      <c r="D1276">
        <v>0</v>
      </c>
      <c r="E1276" s="123" t="s">
        <v>799</v>
      </c>
      <c r="F1276" s="123" t="s">
        <v>676</v>
      </c>
      <c r="G1276">
        <v>9.0299999999999994</v>
      </c>
    </row>
    <row r="1277" spans="1:7" x14ac:dyDescent="0.3">
      <c r="A1277">
        <v>9007</v>
      </c>
      <c r="B1277" s="123" t="s">
        <v>732</v>
      </c>
      <c r="C1277">
        <v>6.7</v>
      </c>
      <c r="D1277">
        <v>0</v>
      </c>
      <c r="E1277" s="123" t="s">
        <v>799</v>
      </c>
      <c r="F1277" s="123" t="s">
        <v>676</v>
      </c>
      <c r="G1277">
        <v>6.7</v>
      </c>
    </row>
    <row r="1278" spans="1:7" x14ac:dyDescent="0.3">
      <c r="A1278">
        <v>6078</v>
      </c>
      <c r="B1278" s="123" t="s">
        <v>729</v>
      </c>
      <c r="C1278">
        <v>-26838.63</v>
      </c>
      <c r="D1278">
        <v>0</v>
      </c>
      <c r="E1278" s="123" t="s">
        <v>801</v>
      </c>
      <c r="F1278" s="123" t="s">
        <v>679</v>
      </c>
      <c r="G1278">
        <v>-26838.63</v>
      </c>
    </row>
    <row r="1279" spans="1:7" x14ac:dyDescent="0.3">
      <c r="A1279">
        <v>6088</v>
      </c>
      <c r="B1279" s="123" t="s">
        <v>844</v>
      </c>
      <c r="C1279">
        <v>-170</v>
      </c>
      <c r="D1279">
        <v>0</v>
      </c>
      <c r="E1279" s="123" t="s">
        <v>801</v>
      </c>
      <c r="F1279" s="123" t="s">
        <v>679</v>
      </c>
      <c r="G1279">
        <v>-170</v>
      </c>
    </row>
  </sheetData>
  <phoneticPr fontId="31" type="noConversion"/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D66712-5F28-4190-9623-319FA5BB3A12}">
  <sheetPr codeName="Hoja11"/>
  <dimension ref="A1:AZ69"/>
  <sheetViews>
    <sheetView topLeftCell="AL34" zoomScale="70" zoomScaleNormal="70" workbookViewId="0">
      <selection activeCell="AR71" sqref="AR71"/>
    </sheetView>
  </sheetViews>
  <sheetFormatPr baseColWidth="10" defaultRowHeight="14.4" x14ac:dyDescent="0.3"/>
  <cols>
    <col min="1" max="1" width="26.33203125" bestFit="1" customWidth="1"/>
    <col min="2" max="2" width="15.21875" bestFit="1" customWidth="1"/>
    <col min="3" max="3" width="12.77734375" bestFit="1" customWidth="1"/>
    <col min="4" max="4" width="14.44140625" bestFit="1" customWidth="1"/>
    <col min="5" max="5" width="13.88671875" bestFit="1" customWidth="1"/>
    <col min="6" max="6" width="18.33203125" bestFit="1" customWidth="1"/>
    <col min="7" max="7" width="21.33203125" bestFit="1" customWidth="1"/>
    <col min="8" max="8" width="24.44140625" bestFit="1" customWidth="1"/>
    <col min="9" max="9" width="20.5546875" bestFit="1" customWidth="1"/>
    <col min="10" max="10" width="14.109375" bestFit="1" customWidth="1"/>
    <col min="11" max="11" width="15.33203125" bestFit="1" customWidth="1"/>
    <col min="12" max="12" width="16.109375" bestFit="1" customWidth="1"/>
    <col min="13" max="13" width="12.21875" bestFit="1" customWidth="1"/>
    <col min="14" max="14" width="27.109375" bestFit="1" customWidth="1"/>
    <col min="15" max="15" width="22.77734375" bestFit="1" customWidth="1"/>
    <col min="16" max="16" width="13.33203125" bestFit="1" customWidth="1"/>
    <col min="17" max="17" width="19.33203125" bestFit="1" customWidth="1"/>
    <col min="18" max="18" width="17.44140625" bestFit="1" customWidth="1"/>
    <col min="19" max="19" width="15" bestFit="1" customWidth="1"/>
    <col min="20" max="20" width="20.5546875" bestFit="1" customWidth="1"/>
    <col min="21" max="21" width="23.77734375" bestFit="1" customWidth="1"/>
    <col min="22" max="22" width="20" bestFit="1" customWidth="1"/>
    <col min="23" max="23" width="20.109375" bestFit="1" customWidth="1"/>
    <col min="24" max="24" width="15.21875" bestFit="1" customWidth="1"/>
    <col min="25" max="25" width="21.88671875" bestFit="1" customWidth="1"/>
    <col min="26" max="26" width="24.88671875" bestFit="1" customWidth="1"/>
    <col min="27" max="27" width="18.21875" bestFit="1" customWidth="1"/>
    <col min="28" max="28" width="17.44140625" bestFit="1" customWidth="1"/>
    <col min="29" max="29" width="22.6640625" bestFit="1" customWidth="1"/>
    <col min="30" max="30" width="16.44140625" bestFit="1" customWidth="1"/>
    <col min="31" max="31" width="18.33203125" bestFit="1" customWidth="1"/>
    <col min="32" max="32" width="20.21875" bestFit="1" customWidth="1"/>
    <col min="33" max="33" width="13.5546875" bestFit="1" customWidth="1"/>
    <col min="34" max="34" width="25" bestFit="1" customWidth="1"/>
    <col min="35" max="36" width="19" bestFit="1" customWidth="1"/>
    <col min="37" max="37" width="15.6640625" bestFit="1" customWidth="1"/>
    <col min="38" max="38" width="19.6640625" bestFit="1" customWidth="1"/>
    <col min="39" max="39" width="19.109375" bestFit="1" customWidth="1"/>
    <col min="40" max="40" width="19.44140625" bestFit="1" customWidth="1"/>
    <col min="41" max="41" width="30.88671875" bestFit="1" customWidth="1"/>
    <col min="42" max="42" width="15.33203125" bestFit="1" customWidth="1"/>
    <col min="43" max="43" width="13.88671875" bestFit="1" customWidth="1"/>
    <col min="44" max="44" width="23.77734375" bestFit="1" customWidth="1"/>
    <col min="45" max="45" width="21.88671875" bestFit="1" customWidth="1"/>
    <col min="46" max="46" width="16.6640625" bestFit="1" customWidth="1"/>
    <col min="47" max="47" width="16.33203125" bestFit="1" customWidth="1"/>
    <col min="48" max="48" width="14.44140625" bestFit="1" customWidth="1"/>
    <col min="49" max="49" width="17.88671875" bestFit="1" customWidth="1"/>
    <col min="50" max="50" width="23.109375" bestFit="1" customWidth="1"/>
    <col min="51" max="51" width="25.77734375" bestFit="1" customWidth="1"/>
    <col min="52" max="52" width="12" bestFit="1" customWidth="1"/>
    <col min="53" max="53" width="16.33203125" bestFit="1" customWidth="1"/>
    <col min="54" max="54" width="21.33203125" bestFit="1" customWidth="1"/>
  </cols>
  <sheetData>
    <row r="1" spans="1:52" x14ac:dyDescent="0.3">
      <c r="A1" t="s">
        <v>661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643</v>
      </c>
    </row>
    <row r="2" spans="1:52" x14ac:dyDescent="0.3">
      <c r="A2" t="s">
        <v>1626</v>
      </c>
      <c r="B2" t="s">
        <v>50</v>
      </c>
      <c r="C2" t="s">
        <v>51</v>
      </c>
      <c r="D2">
        <v>766</v>
      </c>
      <c r="F2" t="s">
        <v>849</v>
      </c>
      <c r="G2" t="s">
        <v>52</v>
      </c>
      <c r="H2" t="s">
        <v>53</v>
      </c>
      <c r="I2" t="s">
        <v>54</v>
      </c>
      <c r="J2" t="s">
        <v>850</v>
      </c>
      <c r="K2">
        <v>2786</v>
      </c>
      <c r="L2">
        <v>1</v>
      </c>
      <c r="M2">
        <v>180000</v>
      </c>
      <c r="N2" t="s">
        <v>851</v>
      </c>
      <c r="O2" t="s">
        <v>852</v>
      </c>
      <c r="P2">
        <v>20250925</v>
      </c>
      <c r="Q2" t="s">
        <v>663</v>
      </c>
      <c r="R2">
        <v>202605</v>
      </c>
      <c r="S2" t="s">
        <v>663</v>
      </c>
      <c r="T2" t="s">
        <v>55</v>
      </c>
      <c r="U2" t="s">
        <v>52</v>
      </c>
      <c r="V2">
        <v>1170000000</v>
      </c>
      <c r="W2">
        <v>20260424</v>
      </c>
      <c r="X2" t="s">
        <v>663</v>
      </c>
      <c r="Y2" t="s">
        <v>56</v>
      </c>
      <c r="Z2" t="s">
        <v>663</v>
      </c>
      <c r="AA2">
        <v>20250925</v>
      </c>
      <c r="AB2">
        <v>1</v>
      </c>
      <c r="AC2" t="s">
        <v>57</v>
      </c>
      <c r="AD2" t="s">
        <v>58</v>
      </c>
      <c r="AE2" t="s">
        <v>663</v>
      </c>
      <c r="AF2" t="s">
        <v>663</v>
      </c>
      <c r="AG2" t="s">
        <v>853</v>
      </c>
      <c r="AH2" t="s">
        <v>663</v>
      </c>
      <c r="AI2" t="s">
        <v>663</v>
      </c>
      <c r="AJ2" t="s">
        <v>663</v>
      </c>
      <c r="AK2" t="s">
        <v>663</v>
      </c>
      <c r="AL2" t="s">
        <v>663</v>
      </c>
      <c r="AM2">
        <v>180000</v>
      </c>
      <c r="AN2" t="s">
        <v>656</v>
      </c>
      <c r="AO2" t="s">
        <v>59</v>
      </c>
      <c r="AP2">
        <v>1788750</v>
      </c>
      <c r="AQ2">
        <v>0</v>
      </c>
      <c r="AR2">
        <v>1116750000</v>
      </c>
      <c r="AS2">
        <v>50000000</v>
      </c>
      <c r="AT2" t="s">
        <v>854</v>
      </c>
      <c r="AU2">
        <v>115852786</v>
      </c>
      <c r="AV2" t="s">
        <v>1627</v>
      </c>
      <c r="AW2" t="s">
        <v>60</v>
      </c>
      <c r="AX2" t="s">
        <v>61</v>
      </c>
      <c r="AY2" t="s">
        <v>62</v>
      </c>
      <c r="AZ2" t="s">
        <v>638</v>
      </c>
    </row>
    <row r="3" spans="1:52" x14ac:dyDescent="0.3">
      <c r="A3" t="s">
        <v>1626</v>
      </c>
      <c r="B3" t="s">
        <v>50</v>
      </c>
      <c r="C3" t="s">
        <v>51</v>
      </c>
      <c r="D3">
        <v>766</v>
      </c>
      <c r="F3" t="s">
        <v>662</v>
      </c>
      <c r="G3" t="s">
        <v>52</v>
      </c>
      <c r="H3" t="s">
        <v>53</v>
      </c>
      <c r="I3" t="s">
        <v>54</v>
      </c>
      <c r="J3" t="s">
        <v>1628</v>
      </c>
      <c r="K3">
        <v>9702</v>
      </c>
      <c r="L3">
        <v>2</v>
      </c>
      <c r="M3">
        <v>100000</v>
      </c>
      <c r="N3" t="s">
        <v>1629</v>
      </c>
      <c r="O3" t="s">
        <v>1630</v>
      </c>
      <c r="P3">
        <v>20251205</v>
      </c>
      <c r="Q3" t="s">
        <v>663</v>
      </c>
      <c r="R3">
        <v>202603</v>
      </c>
      <c r="S3" t="s">
        <v>663</v>
      </c>
      <c r="T3" t="s">
        <v>55</v>
      </c>
      <c r="U3" t="s">
        <v>52</v>
      </c>
      <c r="V3">
        <v>1150000000</v>
      </c>
      <c r="W3">
        <v>20260220</v>
      </c>
      <c r="X3" t="s">
        <v>663</v>
      </c>
      <c r="Y3" t="s">
        <v>56</v>
      </c>
      <c r="Z3" t="s">
        <v>663</v>
      </c>
      <c r="AA3">
        <v>20251205</v>
      </c>
      <c r="AB3">
        <v>1</v>
      </c>
      <c r="AC3" t="s">
        <v>57</v>
      </c>
      <c r="AD3" t="s">
        <v>58</v>
      </c>
      <c r="AE3" t="s">
        <v>663</v>
      </c>
      <c r="AF3" t="s">
        <v>663</v>
      </c>
      <c r="AG3" t="s">
        <v>1631</v>
      </c>
      <c r="AH3" t="s">
        <v>663</v>
      </c>
      <c r="AI3" t="s">
        <v>663</v>
      </c>
      <c r="AJ3" t="s">
        <v>663</v>
      </c>
      <c r="AK3" t="s">
        <v>663</v>
      </c>
      <c r="AL3" t="s">
        <v>663</v>
      </c>
      <c r="AM3">
        <v>0</v>
      </c>
      <c r="AN3" t="s">
        <v>664</v>
      </c>
      <c r="AO3" t="s">
        <v>59</v>
      </c>
      <c r="AP3">
        <v>-637500</v>
      </c>
      <c r="AQ3">
        <v>0</v>
      </c>
      <c r="AR3">
        <v>1105750000</v>
      </c>
      <c r="AS3">
        <v>50000000</v>
      </c>
      <c r="AT3" t="s">
        <v>1632</v>
      </c>
      <c r="AU3">
        <v>116429702</v>
      </c>
      <c r="AV3" t="s">
        <v>1633</v>
      </c>
      <c r="AW3" t="s">
        <v>60</v>
      </c>
      <c r="AX3" t="s">
        <v>61</v>
      </c>
      <c r="AY3" t="s">
        <v>62</v>
      </c>
      <c r="AZ3" t="s">
        <v>638</v>
      </c>
    </row>
    <row r="4" spans="1:52" x14ac:dyDescent="0.3">
      <c r="A4" t="s">
        <v>1626</v>
      </c>
      <c r="B4" t="s">
        <v>50</v>
      </c>
      <c r="C4" t="s">
        <v>51</v>
      </c>
      <c r="D4">
        <v>766</v>
      </c>
      <c r="F4" t="s">
        <v>662</v>
      </c>
      <c r="G4" t="s">
        <v>52</v>
      </c>
      <c r="H4" t="s">
        <v>53</v>
      </c>
      <c r="I4" t="s">
        <v>54</v>
      </c>
      <c r="J4" t="s">
        <v>859</v>
      </c>
      <c r="K4">
        <v>3793</v>
      </c>
      <c r="L4">
        <v>2</v>
      </c>
      <c r="M4">
        <v>100000</v>
      </c>
      <c r="N4" t="s">
        <v>860</v>
      </c>
      <c r="O4" t="s">
        <v>861</v>
      </c>
      <c r="P4">
        <v>20251009</v>
      </c>
      <c r="Q4" t="s">
        <v>663</v>
      </c>
      <c r="R4">
        <v>202605</v>
      </c>
      <c r="S4" t="s">
        <v>663</v>
      </c>
      <c r="T4" t="s">
        <v>55</v>
      </c>
      <c r="U4" t="s">
        <v>52</v>
      </c>
      <c r="V4">
        <v>1180000000</v>
      </c>
      <c r="W4">
        <v>20260424</v>
      </c>
      <c r="X4" t="s">
        <v>663</v>
      </c>
      <c r="Y4" t="s">
        <v>56</v>
      </c>
      <c r="Z4" t="s">
        <v>663</v>
      </c>
      <c r="AA4">
        <v>20251009</v>
      </c>
      <c r="AB4">
        <v>1</v>
      </c>
      <c r="AC4" t="s">
        <v>57</v>
      </c>
      <c r="AD4" t="s">
        <v>58</v>
      </c>
      <c r="AE4" t="s">
        <v>663</v>
      </c>
      <c r="AF4" t="s">
        <v>663</v>
      </c>
      <c r="AG4" t="s">
        <v>862</v>
      </c>
      <c r="AH4" t="s">
        <v>663</v>
      </c>
      <c r="AI4" t="s">
        <v>663</v>
      </c>
      <c r="AJ4" t="s">
        <v>663</v>
      </c>
      <c r="AK4" t="s">
        <v>663</v>
      </c>
      <c r="AL4" t="s">
        <v>663</v>
      </c>
      <c r="AM4">
        <v>0</v>
      </c>
      <c r="AN4" t="s">
        <v>664</v>
      </c>
      <c r="AO4" t="s">
        <v>59</v>
      </c>
      <c r="AP4">
        <v>-868750</v>
      </c>
      <c r="AQ4">
        <v>0</v>
      </c>
      <c r="AR4">
        <v>1116750000</v>
      </c>
      <c r="AS4">
        <v>50000000</v>
      </c>
      <c r="AT4" t="s">
        <v>863</v>
      </c>
      <c r="AU4">
        <v>115953793</v>
      </c>
      <c r="AV4" t="s">
        <v>1634</v>
      </c>
      <c r="AW4" t="s">
        <v>60</v>
      </c>
      <c r="AX4" t="s">
        <v>61</v>
      </c>
      <c r="AY4" t="s">
        <v>62</v>
      </c>
      <c r="AZ4" t="s">
        <v>638</v>
      </c>
    </row>
    <row r="5" spans="1:52" x14ac:dyDescent="0.3">
      <c r="A5" t="s">
        <v>1626</v>
      </c>
      <c r="B5" t="s">
        <v>50</v>
      </c>
      <c r="C5" t="s">
        <v>51</v>
      </c>
      <c r="D5">
        <v>766</v>
      </c>
      <c r="F5" t="s">
        <v>662</v>
      </c>
      <c r="G5" t="s">
        <v>52</v>
      </c>
      <c r="H5" t="s">
        <v>53</v>
      </c>
      <c r="I5" t="s">
        <v>54</v>
      </c>
      <c r="J5" t="s">
        <v>859</v>
      </c>
      <c r="K5">
        <v>7368</v>
      </c>
      <c r="L5">
        <v>2</v>
      </c>
      <c r="M5">
        <v>50000</v>
      </c>
      <c r="N5" t="s">
        <v>860</v>
      </c>
      <c r="O5" t="s">
        <v>876</v>
      </c>
      <c r="P5">
        <v>20251023</v>
      </c>
      <c r="Q5" t="s">
        <v>663</v>
      </c>
      <c r="R5">
        <v>202605</v>
      </c>
      <c r="S5" t="s">
        <v>663</v>
      </c>
      <c r="T5" t="s">
        <v>55</v>
      </c>
      <c r="U5" t="s">
        <v>52</v>
      </c>
      <c r="V5">
        <v>1180000000</v>
      </c>
      <c r="W5">
        <v>20260424</v>
      </c>
      <c r="X5" t="s">
        <v>663</v>
      </c>
      <c r="Y5" t="s">
        <v>56</v>
      </c>
      <c r="Z5" t="s">
        <v>663</v>
      </c>
      <c r="AA5">
        <v>20251023</v>
      </c>
      <c r="AB5">
        <v>1</v>
      </c>
      <c r="AC5" t="s">
        <v>57</v>
      </c>
      <c r="AD5" t="s">
        <v>58</v>
      </c>
      <c r="AE5" t="s">
        <v>663</v>
      </c>
      <c r="AF5" t="s">
        <v>663</v>
      </c>
      <c r="AG5" t="s">
        <v>877</v>
      </c>
      <c r="AH5" t="s">
        <v>663</v>
      </c>
      <c r="AI5" t="s">
        <v>663</v>
      </c>
      <c r="AJ5" t="s">
        <v>663</v>
      </c>
      <c r="AK5" t="s">
        <v>663</v>
      </c>
      <c r="AL5" t="s">
        <v>663</v>
      </c>
      <c r="AM5">
        <v>0</v>
      </c>
      <c r="AN5" t="s">
        <v>667</v>
      </c>
      <c r="AO5" t="s">
        <v>59</v>
      </c>
      <c r="AP5">
        <v>-434375</v>
      </c>
      <c r="AQ5">
        <v>0</v>
      </c>
      <c r="AR5">
        <v>1116750000</v>
      </c>
      <c r="AS5">
        <v>50000000</v>
      </c>
      <c r="AT5" t="s">
        <v>878</v>
      </c>
      <c r="AU5">
        <v>116067368</v>
      </c>
      <c r="AV5" t="s">
        <v>1634</v>
      </c>
      <c r="AW5" t="s">
        <v>60</v>
      </c>
      <c r="AX5" t="s">
        <v>61</v>
      </c>
      <c r="AY5" t="s">
        <v>62</v>
      </c>
      <c r="AZ5" t="s">
        <v>638</v>
      </c>
    </row>
    <row r="6" spans="1:52" x14ac:dyDescent="0.3">
      <c r="A6" t="s">
        <v>1626</v>
      </c>
      <c r="B6" t="s">
        <v>50</v>
      </c>
      <c r="C6" t="s">
        <v>51</v>
      </c>
      <c r="D6">
        <v>766</v>
      </c>
      <c r="F6" t="s">
        <v>662</v>
      </c>
      <c r="G6" t="s">
        <v>52</v>
      </c>
      <c r="H6" t="s">
        <v>53</v>
      </c>
      <c r="I6" t="s">
        <v>54</v>
      </c>
      <c r="J6" t="s">
        <v>864</v>
      </c>
      <c r="K6">
        <v>3836</v>
      </c>
      <c r="L6">
        <v>2</v>
      </c>
      <c r="M6">
        <v>100000</v>
      </c>
      <c r="N6" t="s">
        <v>865</v>
      </c>
      <c r="O6" t="s">
        <v>653</v>
      </c>
      <c r="P6">
        <v>20251009</v>
      </c>
      <c r="Q6" t="s">
        <v>663</v>
      </c>
      <c r="R6">
        <v>202605</v>
      </c>
      <c r="S6" t="s">
        <v>663</v>
      </c>
      <c r="T6" t="s">
        <v>55</v>
      </c>
      <c r="U6" t="s">
        <v>52</v>
      </c>
      <c r="V6">
        <v>1200000000</v>
      </c>
      <c r="W6">
        <v>20260424</v>
      </c>
      <c r="X6" t="s">
        <v>663</v>
      </c>
      <c r="Y6" t="s">
        <v>56</v>
      </c>
      <c r="Z6" t="s">
        <v>663</v>
      </c>
      <c r="AA6">
        <v>20251009</v>
      </c>
      <c r="AB6">
        <v>1</v>
      </c>
      <c r="AC6" t="s">
        <v>57</v>
      </c>
      <c r="AD6" t="s">
        <v>58</v>
      </c>
      <c r="AE6" t="s">
        <v>663</v>
      </c>
      <c r="AF6" t="s">
        <v>663</v>
      </c>
      <c r="AG6" t="s">
        <v>655</v>
      </c>
      <c r="AH6" t="s">
        <v>663</v>
      </c>
      <c r="AI6" t="s">
        <v>663</v>
      </c>
      <c r="AJ6" t="s">
        <v>663</v>
      </c>
      <c r="AK6" t="s">
        <v>663</v>
      </c>
      <c r="AL6" t="s">
        <v>663</v>
      </c>
      <c r="AM6">
        <v>0</v>
      </c>
      <c r="AN6" t="s">
        <v>664</v>
      </c>
      <c r="AO6" t="s">
        <v>59</v>
      </c>
      <c r="AP6">
        <v>-668750</v>
      </c>
      <c r="AQ6">
        <v>0</v>
      </c>
      <c r="AR6">
        <v>1116750000</v>
      </c>
      <c r="AS6">
        <v>50000000</v>
      </c>
      <c r="AT6" t="s">
        <v>866</v>
      </c>
      <c r="AU6">
        <v>115953836</v>
      </c>
      <c r="AV6" t="s">
        <v>1635</v>
      </c>
      <c r="AW6" t="s">
        <v>60</v>
      </c>
      <c r="AX6" t="s">
        <v>61</v>
      </c>
      <c r="AY6" t="s">
        <v>62</v>
      </c>
      <c r="AZ6" t="s">
        <v>638</v>
      </c>
    </row>
    <row r="7" spans="1:52" x14ac:dyDescent="0.3">
      <c r="A7" t="s">
        <v>1626</v>
      </c>
      <c r="B7" t="s">
        <v>50</v>
      </c>
      <c r="C7" t="s">
        <v>51</v>
      </c>
      <c r="D7">
        <v>766</v>
      </c>
      <c r="F7" t="s">
        <v>662</v>
      </c>
      <c r="G7" t="s">
        <v>52</v>
      </c>
      <c r="H7" t="s">
        <v>53</v>
      </c>
      <c r="I7" t="s">
        <v>54</v>
      </c>
      <c r="J7" t="s">
        <v>864</v>
      </c>
      <c r="K7">
        <v>7394</v>
      </c>
      <c r="L7">
        <v>2</v>
      </c>
      <c r="M7">
        <v>50000</v>
      </c>
      <c r="N7" t="s">
        <v>865</v>
      </c>
      <c r="O7" t="s">
        <v>861</v>
      </c>
      <c r="P7">
        <v>20251023</v>
      </c>
      <c r="Q7" t="s">
        <v>663</v>
      </c>
      <c r="R7">
        <v>202605</v>
      </c>
      <c r="S7" t="s">
        <v>663</v>
      </c>
      <c r="T7" t="s">
        <v>55</v>
      </c>
      <c r="U7" t="s">
        <v>52</v>
      </c>
      <c r="V7">
        <v>1200000000</v>
      </c>
      <c r="W7">
        <v>20260424</v>
      </c>
      <c r="X7" t="s">
        <v>663</v>
      </c>
      <c r="Y7" t="s">
        <v>56</v>
      </c>
      <c r="Z7" t="s">
        <v>663</v>
      </c>
      <c r="AA7">
        <v>20251023</v>
      </c>
      <c r="AB7">
        <v>1</v>
      </c>
      <c r="AC7" t="s">
        <v>57</v>
      </c>
      <c r="AD7" t="s">
        <v>58</v>
      </c>
      <c r="AE7" t="s">
        <v>663</v>
      </c>
      <c r="AF7" t="s">
        <v>663</v>
      </c>
      <c r="AG7" t="s">
        <v>862</v>
      </c>
      <c r="AH7" t="s">
        <v>663</v>
      </c>
      <c r="AI7" t="s">
        <v>663</v>
      </c>
      <c r="AJ7" t="s">
        <v>663</v>
      </c>
      <c r="AK7" t="s">
        <v>663</v>
      </c>
      <c r="AL7" t="s">
        <v>663</v>
      </c>
      <c r="AM7">
        <v>0</v>
      </c>
      <c r="AN7" t="s">
        <v>667</v>
      </c>
      <c r="AO7" t="s">
        <v>59</v>
      </c>
      <c r="AP7">
        <v>-334375</v>
      </c>
      <c r="AQ7">
        <v>0</v>
      </c>
      <c r="AR7">
        <v>1116750000</v>
      </c>
      <c r="AS7">
        <v>50000000</v>
      </c>
      <c r="AT7" t="s">
        <v>879</v>
      </c>
      <c r="AU7">
        <v>116067394</v>
      </c>
      <c r="AV7" t="s">
        <v>1635</v>
      </c>
      <c r="AW7" t="s">
        <v>60</v>
      </c>
      <c r="AX7" t="s">
        <v>61</v>
      </c>
      <c r="AY7" t="s">
        <v>62</v>
      </c>
      <c r="AZ7" t="s">
        <v>638</v>
      </c>
    </row>
    <row r="8" spans="1:52" x14ac:dyDescent="0.3">
      <c r="A8" t="s">
        <v>1626</v>
      </c>
      <c r="B8" t="s">
        <v>50</v>
      </c>
      <c r="C8" t="s">
        <v>51</v>
      </c>
      <c r="D8">
        <v>766</v>
      </c>
      <c r="F8" t="s">
        <v>662</v>
      </c>
      <c r="G8" t="s">
        <v>52</v>
      </c>
      <c r="H8" t="s">
        <v>53</v>
      </c>
      <c r="I8" t="s">
        <v>54</v>
      </c>
      <c r="J8" t="s">
        <v>1541</v>
      </c>
      <c r="K8">
        <v>8416</v>
      </c>
      <c r="L8">
        <v>2</v>
      </c>
      <c r="M8">
        <v>130000</v>
      </c>
      <c r="N8" t="s">
        <v>1542</v>
      </c>
      <c r="O8" t="s">
        <v>1543</v>
      </c>
      <c r="P8">
        <v>20251118</v>
      </c>
      <c r="Q8" t="s">
        <v>663</v>
      </c>
      <c r="R8">
        <v>202605</v>
      </c>
      <c r="S8" t="s">
        <v>663</v>
      </c>
      <c r="T8" t="s">
        <v>55</v>
      </c>
      <c r="U8" t="s">
        <v>52</v>
      </c>
      <c r="V8">
        <v>1220000000</v>
      </c>
      <c r="W8">
        <v>20260424</v>
      </c>
      <c r="X8" t="s">
        <v>663</v>
      </c>
      <c r="Y8" t="s">
        <v>56</v>
      </c>
      <c r="Z8" t="s">
        <v>663</v>
      </c>
      <c r="AA8">
        <v>20251118</v>
      </c>
      <c r="AB8">
        <v>1</v>
      </c>
      <c r="AC8" t="s">
        <v>57</v>
      </c>
      <c r="AD8" t="s">
        <v>58</v>
      </c>
      <c r="AE8" t="s">
        <v>663</v>
      </c>
      <c r="AF8" t="s">
        <v>663</v>
      </c>
      <c r="AG8" t="s">
        <v>1544</v>
      </c>
      <c r="AH8" t="s">
        <v>663</v>
      </c>
      <c r="AI8" t="s">
        <v>663</v>
      </c>
      <c r="AJ8" t="s">
        <v>663</v>
      </c>
      <c r="AK8" t="s">
        <v>663</v>
      </c>
      <c r="AL8" t="s">
        <v>663</v>
      </c>
      <c r="AM8">
        <v>0</v>
      </c>
      <c r="AN8" t="s">
        <v>805</v>
      </c>
      <c r="AO8" t="s">
        <v>59</v>
      </c>
      <c r="AP8">
        <v>-674375</v>
      </c>
      <c r="AQ8">
        <v>0</v>
      </c>
      <c r="AR8">
        <v>1116750000</v>
      </c>
      <c r="AS8">
        <v>50000000</v>
      </c>
      <c r="AT8" t="s">
        <v>1545</v>
      </c>
      <c r="AU8">
        <v>116298416</v>
      </c>
      <c r="AV8" t="s">
        <v>1636</v>
      </c>
      <c r="AW8" t="s">
        <v>60</v>
      </c>
      <c r="AX8" t="s">
        <v>61</v>
      </c>
      <c r="AY8" t="s">
        <v>62</v>
      </c>
      <c r="AZ8" t="s">
        <v>638</v>
      </c>
    </row>
    <row r="9" spans="1:52" x14ac:dyDescent="0.3">
      <c r="A9" t="s">
        <v>1626</v>
      </c>
      <c r="B9" t="s">
        <v>50</v>
      </c>
      <c r="C9" t="s">
        <v>51</v>
      </c>
      <c r="D9">
        <v>766</v>
      </c>
      <c r="F9" t="s">
        <v>662</v>
      </c>
      <c r="G9" t="s">
        <v>52</v>
      </c>
      <c r="H9" t="s">
        <v>53</v>
      </c>
      <c r="I9" t="s">
        <v>54</v>
      </c>
      <c r="J9" t="s">
        <v>1541</v>
      </c>
      <c r="K9">
        <v>4956</v>
      </c>
      <c r="L9">
        <v>2</v>
      </c>
      <c r="M9">
        <v>100000</v>
      </c>
      <c r="N9" t="s">
        <v>1542</v>
      </c>
      <c r="O9" t="s">
        <v>1546</v>
      </c>
      <c r="P9">
        <v>20251118</v>
      </c>
      <c r="Q9" t="s">
        <v>663</v>
      </c>
      <c r="R9">
        <v>202605</v>
      </c>
      <c r="S9" t="s">
        <v>663</v>
      </c>
      <c r="T9" t="s">
        <v>55</v>
      </c>
      <c r="U9" t="s">
        <v>52</v>
      </c>
      <c r="V9">
        <v>1220000000</v>
      </c>
      <c r="W9">
        <v>20260424</v>
      </c>
      <c r="X9" t="s">
        <v>663</v>
      </c>
      <c r="Y9" t="s">
        <v>56</v>
      </c>
      <c r="Z9" t="s">
        <v>663</v>
      </c>
      <c r="AA9">
        <v>20251118</v>
      </c>
      <c r="AB9">
        <v>1</v>
      </c>
      <c r="AC9" t="s">
        <v>57</v>
      </c>
      <c r="AD9" t="s">
        <v>58</v>
      </c>
      <c r="AE9" t="s">
        <v>663</v>
      </c>
      <c r="AF9" t="s">
        <v>663</v>
      </c>
      <c r="AG9" t="s">
        <v>1547</v>
      </c>
      <c r="AH9" t="s">
        <v>663</v>
      </c>
      <c r="AI9" t="s">
        <v>663</v>
      </c>
      <c r="AJ9" t="s">
        <v>663</v>
      </c>
      <c r="AK9" t="s">
        <v>663</v>
      </c>
      <c r="AL9" t="s">
        <v>663</v>
      </c>
      <c r="AM9">
        <v>0</v>
      </c>
      <c r="AN9" t="s">
        <v>664</v>
      </c>
      <c r="AO9" t="s">
        <v>59</v>
      </c>
      <c r="AP9">
        <v>-518750</v>
      </c>
      <c r="AQ9">
        <v>0</v>
      </c>
      <c r="AR9">
        <v>1116750000</v>
      </c>
      <c r="AS9">
        <v>50000000</v>
      </c>
      <c r="AT9" t="s">
        <v>1548</v>
      </c>
      <c r="AU9">
        <v>116294956</v>
      </c>
      <c r="AV9" t="s">
        <v>1636</v>
      </c>
      <c r="AW9" t="s">
        <v>60</v>
      </c>
      <c r="AX9" t="s">
        <v>61</v>
      </c>
      <c r="AY9" t="s">
        <v>62</v>
      </c>
      <c r="AZ9" t="s">
        <v>638</v>
      </c>
    </row>
    <row r="10" spans="1:52" x14ac:dyDescent="0.3">
      <c r="A10" t="s">
        <v>1626</v>
      </c>
      <c r="B10" t="s">
        <v>50</v>
      </c>
      <c r="C10" t="s">
        <v>51</v>
      </c>
      <c r="D10">
        <v>766</v>
      </c>
      <c r="F10" t="s">
        <v>665</v>
      </c>
      <c r="G10" t="s">
        <v>52</v>
      </c>
      <c r="H10" t="s">
        <v>53</v>
      </c>
      <c r="I10" t="s">
        <v>54</v>
      </c>
      <c r="J10" t="s">
        <v>1628</v>
      </c>
      <c r="K10">
        <v>9710</v>
      </c>
      <c r="L10">
        <v>2</v>
      </c>
      <c r="M10">
        <v>100000</v>
      </c>
      <c r="N10" t="s">
        <v>1629</v>
      </c>
      <c r="O10" t="s">
        <v>1630</v>
      </c>
      <c r="P10">
        <v>20251205</v>
      </c>
      <c r="Q10" t="s">
        <v>663</v>
      </c>
      <c r="R10">
        <v>202603</v>
      </c>
      <c r="S10" t="s">
        <v>663</v>
      </c>
      <c r="T10" t="s">
        <v>55</v>
      </c>
      <c r="U10" t="s">
        <v>52</v>
      </c>
      <c r="V10">
        <v>1150000000</v>
      </c>
      <c r="W10">
        <v>20260220</v>
      </c>
      <c r="X10" t="s">
        <v>663</v>
      </c>
      <c r="Y10" t="s">
        <v>56</v>
      </c>
      <c r="Z10" t="s">
        <v>663</v>
      </c>
      <c r="AA10">
        <v>20251205</v>
      </c>
      <c r="AB10">
        <v>1</v>
      </c>
      <c r="AC10" t="s">
        <v>57</v>
      </c>
      <c r="AD10" t="s">
        <v>58</v>
      </c>
      <c r="AE10" t="s">
        <v>663</v>
      </c>
      <c r="AF10" t="s">
        <v>663</v>
      </c>
      <c r="AG10" t="s">
        <v>1631</v>
      </c>
      <c r="AH10" t="s">
        <v>663</v>
      </c>
      <c r="AI10" t="s">
        <v>663</v>
      </c>
      <c r="AJ10" t="s">
        <v>663</v>
      </c>
      <c r="AK10" t="s">
        <v>663</v>
      </c>
      <c r="AL10" t="s">
        <v>663</v>
      </c>
      <c r="AM10">
        <v>0</v>
      </c>
      <c r="AN10" t="s">
        <v>664</v>
      </c>
      <c r="AO10" t="s">
        <v>59</v>
      </c>
      <c r="AP10">
        <v>-637500</v>
      </c>
      <c r="AQ10">
        <v>0</v>
      </c>
      <c r="AR10">
        <v>1105750000</v>
      </c>
      <c r="AS10">
        <v>50000000</v>
      </c>
      <c r="AT10" t="s">
        <v>1637</v>
      </c>
      <c r="AU10">
        <v>116429710</v>
      </c>
      <c r="AV10" t="s">
        <v>1633</v>
      </c>
      <c r="AW10" t="s">
        <v>60</v>
      </c>
      <c r="AX10" t="s">
        <v>61</v>
      </c>
      <c r="AY10" t="s">
        <v>62</v>
      </c>
      <c r="AZ10" t="s">
        <v>638</v>
      </c>
    </row>
    <row r="11" spans="1:52" x14ac:dyDescent="0.3">
      <c r="A11" t="s">
        <v>1626</v>
      </c>
      <c r="B11" t="s">
        <v>50</v>
      </c>
      <c r="C11" t="s">
        <v>51</v>
      </c>
      <c r="D11">
        <v>766</v>
      </c>
      <c r="F11" t="s">
        <v>665</v>
      </c>
      <c r="G11" t="s">
        <v>52</v>
      </c>
      <c r="H11" t="s">
        <v>53</v>
      </c>
      <c r="I11" t="s">
        <v>54</v>
      </c>
      <c r="J11" t="s">
        <v>859</v>
      </c>
      <c r="K11">
        <v>3802</v>
      </c>
      <c r="L11">
        <v>2</v>
      </c>
      <c r="M11">
        <v>100000</v>
      </c>
      <c r="N11" t="s">
        <v>860</v>
      </c>
      <c r="O11" t="s">
        <v>867</v>
      </c>
      <c r="P11">
        <v>20251009</v>
      </c>
      <c r="Q11" t="s">
        <v>663</v>
      </c>
      <c r="R11">
        <v>202605</v>
      </c>
      <c r="S11" t="s">
        <v>663</v>
      </c>
      <c r="T11" t="s">
        <v>55</v>
      </c>
      <c r="U11" t="s">
        <v>52</v>
      </c>
      <c r="V11">
        <v>1180000000</v>
      </c>
      <c r="W11">
        <v>20260424</v>
      </c>
      <c r="X11" t="s">
        <v>663</v>
      </c>
      <c r="Y11" t="s">
        <v>56</v>
      </c>
      <c r="Z11" t="s">
        <v>663</v>
      </c>
      <c r="AA11">
        <v>20251009</v>
      </c>
      <c r="AB11">
        <v>1</v>
      </c>
      <c r="AC11" t="s">
        <v>57</v>
      </c>
      <c r="AD11" t="s">
        <v>58</v>
      </c>
      <c r="AE11" t="s">
        <v>663</v>
      </c>
      <c r="AF11" t="s">
        <v>663</v>
      </c>
      <c r="AG11" t="s">
        <v>868</v>
      </c>
      <c r="AH11" t="s">
        <v>663</v>
      </c>
      <c r="AI11" t="s">
        <v>663</v>
      </c>
      <c r="AJ11" t="s">
        <v>663</v>
      </c>
      <c r="AK11" t="s">
        <v>663</v>
      </c>
      <c r="AL11" t="s">
        <v>663</v>
      </c>
      <c r="AM11">
        <v>0</v>
      </c>
      <c r="AN11" t="s">
        <v>664</v>
      </c>
      <c r="AO11" t="s">
        <v>59</v>
      </c>
      <c r="AP11">
        <v>-868750</v>
      </c>
      <c r="AQ11">
        <v>0</v>
      </c>
      <c r="AR11">
        <v>1116750000</v>
      </c>
      <c r="AS11">
        <v>50000000</v>
      </c>
      <c r="AT11" t="s">
        <v>869</v>
      </c>
      <c r="AU11">
        <v>115953802</v>
      </c>
      <c r="AV11" t="s">
        <v>1634</v>
      </c>
      <c r="AW11" t="s">
        <v>60</v>
      </c>
      <c r="AX11" t="s">
        <v>61</v>
      </c>
      <c r="AY11" t="s">
        <v>62</v>
      </c>
      <c r="AZ11" t="s">
        <v>638</v>
      </c>
    </row>
    <row r="12" spans="1:52" x14ac:dyDescent="0.3">
      <c r="A12" t="s">
        <v>1626</v>
      </c>
      <c r="B12" t="s">
        <v>50</v>
      </c>
      <c r="C12" t="s">
        <v>51</v>
      </c>
      <c r="D12">
        <v>766</v>
      </c>
      <c r="F12" t="s">
        <v>665</v>
      </c>
      <c r="G12" t="s">
        <v>52</v>
      </c>
      <c r="H12" t="s">
        <v>53</v>
      </c>
      <c r="I12" t="s">
        <v>54</v>
      </c>
      <c r="J12" t="s">
        <v>859</v>
      </c>
      <c r="K12">
        <v>7379</v>
      </c>
      <c r="L12">
        <v>2</v>
      </c>
      <c r="M12">
        <v>50000</v>
      </c>
      <c r="N12" t="s">
        <v>860</v>
      </c>
      <c r="O12" t="s">
        <v>876</v>
      </c>
      <c r="P12">
        <v>20251023</v>
      </c>
      <c r="Q12" t="s">
        <v>663</v>
      </c>
      <c r="R12">
        <v>202605</v>
      </c>
      <c r="S12" t="s">
        <v>663</v>
      </c>
      <c r="T12" t="s">
        <v>55</v>
      </c>
      <c r="U12" t="s">
        <v>52</v>
      </c>
      <c r="V12">
        <v>1180000000</v>
      </c>
      <c r="W12">
        <v>20260424</v>
      </c>
      <c r="X12" t="s">
        <v>663</v>
      </c>
      <c r="Y12" t="s">
        <v>56</v>
      </c>
      <c r="Z12" t="s">
        <v>663</v>
      </c>
      <c r="AA12">
        <v>20251023</v>
      </c>
      <c r="AB12">
        <v>1</v>
      </c>
      <c r="AC12" t="s">
        <v>57</v>
      </c>
      <c r="AD12" t="s">
        <v>58</v>
      </c>
      <c r="AE12" t="s">
        <v>663</v>
      </c>
      <c r="AF12" t="s">
        <v>663</v>
      </c>
      <c r="AG12" t="s">
        <v>877</v>
      </c>
      <c r="AH12" t="s">
        <v>663</v>
      </c>
      <c r="AI12" t="s">
        <v>663</v>
      </c>
      <c r="AJ12" t="s">
        <v>663</v>
      </c>
      <c r="AK12" t="s">
        <v>663</v>
      </c>
      <c r="AL12" t="s">
        <v>663</v>
      </c>
      <c r="AM12">
        <v>0</v>
      </c>
      <c r="AN12" t="s">
        <v>667</v>
      </c>
      <c r="AO12" t="s">
        <v>59</v>
      </c>
      <c r="AP12">
        <v>-434375</v>
      </c>
      <c r="AQ12">
        <v>0</v>
      </c>
      <c r="AR12">
        <v>1116750000</v>
      </c>
      <c r="AS12">
        <v>50000000</v>
      </c>
      <c r="AT12" t="s">
        <v>880</v>
      </c>
      <c r="AU12">
        <v>116067379</v>
      </c>
      <c r="AV12" t="s">
        <v>1634</v>
      </c>
      <c r="AW12" t="s">
        <v>60</v>
      </c>
      <c r="AX12" t="s">
        <v>61</v>
      </c>
      <c r="AY12" t="s">
        <v>62</v>
      </c>
      <c r="AZ12" t="s">
        <v>638</v>
      </c>
    </row>
    <row r="13" spans="1:52" x14ac:dyDescent="0.3">
      <c r="A13" t="s">
        <v>1626</v>
      </c>
      <c r="B13" t="s">
        <v>50</v>
      </c>
      <c r="C13" t="s">
        <v>51</v>
      </c>
      <c r="D13">
        <v>766</v>
      </c>
      <c r="F13" t="s">
        <v>665</v>
      </c>
      <c r="G13" t="s">
        <v>52</v>
      </c>
      <c r="H13" t="s">
        <v>53</v>
      </c>
      <c r="I13" t="s">
        <v>54</v>
      </c>
      <c r="J13" t="s">
        <v>864</v>
      </c>
      <c r="K13">
        <v>3846</v>
      </c>
      <c r="L13">
        <v>2</v>
      </c>
      <c r="M13">
        <v>100000</v>
      </c>
      <c r="N13" t="s">
        <v>865</v>
      </c>
      <c r="O13" t="s">
        <v>653</v>
      </c>
      <c r="P13">
        <v>20251009</v>
      </c>
      <c r="Q13" t="s">
        <v>663</v>
      </c>
      <c r="R13">
        <v>202605</v>
      </c>
      <c r="S13" t="s">
        <v>663</v>
      </c>
      <c r="T13" t="s">
        <v>55</v>
      </c>
      <c r="U13" t="s">
        <v>52</v>
      </c>
      <c r="V13">
        <v>1200000000</v>
      </c>
      <c r="W13">
        <v>20260424</v>
      </c>
      <c r="X13" t="s">
        <v>663</v>
      </c>
      <c r="Y13" t="s">
        <v>56</v>
      </c>
      <c r="Z13" t="s">
        <v>663</v>
      </c>
      <c r="AA13">
        <v>20251009</v>
      </c>
      <c r="AB13">
        <v>1</v>
      </c>
      <c r="AC13" t="s">
        <v>57</v>
      </c>
      <c r="AD13" t="s">
        <v>58</v>
      </c>
      <c r="AE13" t="s">
        <v>663</v>
      </c>
      <c r="AF13" t="s">
        <v>663</v>
      </c>
      <c r="AG13" t="s">
        <v>655</v>
      </c>
      <c r="AH13" t="s">
        <v>663</v>
      </c>
      <c r="AI13" t="s">
        <v>663</v>
      </c>
      <c r="AJ13" t="s">
        <v>663</v>
      </c>
      <c r="AK13" t="s">
        <v>663</v>
      </c>
      <c r="AL13" t="s">
        <v>663</v>
      </c>
      <c r="AM13">
        <v>0</v>
      </c>
      <c r="AN13" t="s">
        <v>664</v>
      </c>
      <c r="AO13" t="s">
        <v>59</v>
      </c>
      <c r="AP13">
        <v>-668750</v>
      </c>
      <c r="AQ13">
        <v>0</v>
      </c>
      <c r="AR13">
        <v>1116750000</v>
      </c>
      <c r="AS13">
        <v>50000000</v>
      </c>
      <c r="AT13" t="s">
        <v>870</v>
      </c>
      <c r="AU13">
        <v>115953846</v>
      </c>
      <c r="AV13" t="s">
        <v>1635</v>
      </c>
      <c r="AW13" t="s">
        <v>60</v>
      </c>
      <c r="AX13" t="s">
        <v>61</v>
      </c>
      <c r="AY13" t="s">
        <v>62</v>
      </c>
      <c r="AZ13" t="s">
        <v>638</v>
      </c>
    </row>
    <row r="14" spans="1:52" x14ac:dyDescent="0.3">
      <c r="A14" t="s">
        <v>1626</v>
      </c>
      <c r="B14" t="s">
        <v>50</v>
      </c>
      <c r="C14" t="s">
        <v>51</v>
      </c>
      <c r="D14">
        <v>766</v>
      </c>
      <c r="F14" t="s">
        <v>665</v>
      </c>
      <c r="G14" t="s">
        <v>52</v>
      </c>
      <c r="H14" t="s">
        <v>53</v>
      </c>
      <c r="I14" t="s">
        <v>54</v>
      </c>
      <c r="J14" t="s">
        <v>864</v>
      </c>
      <c r="K14">
        <v>7398</v>
      </c>
      <c r="L14">
        <v>2</v>
      </c>
      <c r="M14">
        <v>50000</v>
      </c>
      <c r="N14" t="s">
        <v>865</v>
      </c>
      <c r="O14" t="s">
        <v>861</v>
      </c>
      <c r="P14">
        <v>20251023</v>
      </c>
      <c r="Q14" t="s">
        <v>663</v>
      </c>
      <c r="R14">
        <v>202605</v>
      </c>
      <c r="S14" t="s">
        <v>663</v>
      </c>
      <c r="T14" t="s">
        <v>55</v>
      </c>
      <c r="U14" t="s">
        <v>52</v>
      </c>
      <c r="V14">
        <v>1200000000</v>
      </c>
      <c r="W14">
        <v>20260424</v>
      </c>
      <c r="X14" t="s">
        <v>663</v>
      </c>
      <c r="Y14" t="s">
        <v>56</v>
      </c>
      <c r="Z14" t="s">
        <v>663</v>
      </c>
      <c r="AA14">
        <v>20251023</v>
      </c>
      <c r="AB14">
        <v>1</v>
      </c>
      <c r="AC14" t="s">
        <v>57</v>
      </c>
      <c r="AD14" t="s">
        <v>58</v>
      </c>
      <c r="AE14" t="s">
        <v>663</v>
      </c>
      <c r="AF14" t="s">
        <v>663</v>
      </c>
      <c r="AG14" t="s">
        <v>862</v>
      </c>
      <c r="AH14" t="s">
        <v>663</v>
      </c>
      <c r="AI14" t="s">
        <v>663</v>
      </c>
      <c r="AJ14" t="s">
        <v>663</v>
      </c>
      <c r="AK14" t="s">
        <v>663</v>
      </c>
      <c r="AL14" t="s">
        <v>663</v>
      </c>
      <c r="AM14">
        <v>0</v>
      </c>
      <c r="AN14" t="s">
        <v>667</v>
      </c>
      <c r="AO14" t="s">
        <v>59</v>
      </c>
      <c r="AP14">
        <v>-334375</v>
      </c>
      <c r="AQ14">
        <v>0</v>
      </c>
      <c r="AR14">
        <v>1116750000</v>
      </c>
      <c r="AS14">
        <v>50000000</v>
      </c>
      <c r="AT14" t="s">
        <v>881</v>
      </c>
      <c r="AU14">
        <v>116067398</v>
      </c>
      <c r="AV14" t="s">
        <v>1635</v>
      </c>
      <c r="AW14" t="s">
        <v>60</v>
      </c>
      <c r="AX14" t="s">
        <v>61</v>
      </c>
      <c r="AY14" t="s">
        <v>62</v>
      </c>
      <c r="AZ14" t="s">
        <v>638</v>
      </c>
    </row>
    <row r="15" spans="1:52" x14ac:dyDescent="0.3">
      <c r="A15" t="s">
        <v>1626</v>
      </c>
      <c r="B15" t="s">
        <v>50</v>
      </c>
      <c r="C15" t="s">
        <v>51</v>
      </c>
      <c r="D15">
        <v>766</v>
      </c>
      <c r="F15" t="s">
        <v>665</v>
      </c>
      <c r="G15" t="s">
        <v>52</v>
      </c>
      <c r="H15" t="s">
        <v>53</v>
      </c>
      <c r="I15" t="s">
        <v>54</v>
      </c>
      <c r="J15" t="s">
        <v>1541</v>
      </c>
      <c r="K15">
        <v>8421</v>
      </c>
      <c r="L15">
        <v>2</v>
      </c>
      <c r="M15">
        <v>130000</v>
      </c>
      <c r="N15" t="s">
        <v>1542</v>
      </c>
      <c r="O15" t="s">
        <v>1543</v>
      </c>
      <c r="P15">
        <v>20251118</v>
      </c>
      <c r="Q15" t="s">
        <v>663</v>
      </c>
      <c r="R15">
        <v>202605</v>
      </c>
      <c r="S15" t="s">
        <v>663</v>
      </c>
      <c r="T15" t="s">
        <v>55</v>
      </c>
      <c r="U15" t="s">
        <v>52</v>
      </c>
      <c r="V15">
        <v>1220000000</v>
      </c>
      <c r="W15">
        <v>20260424</v>
      </c>
      <c r="X15" t="s">
        <v>663</v>
      </c>
      <c r="Y15" t="s">
        <v>56</v>
      </c>
      <c r="Z15" t="s">
        <v>663</v>
      </c>
      <c r="AA15">
        <v>20251118</v>
      </c>
      <c r="AB15">
        <v>1</v>
      </c>
      <c r="AC15" t="s">
        <v>57</v>
      </c>
      <c r="AD15" t="s">
        <v>58</v>
      </c>
      <c r="AE15" t="s">
        <v>663</v>
      </c>
      <c r="AF15" t="s">
        <v>663</v>
      </c>
      <c r="AG15" t="s">
        <v>1544</v>
      </c>
      <c r="AH15" t="s">
        <v>663</v>
      </c>
      <c r="AI15" t="s">
        <v>663</v>
      </c>
      <c r="AJ15" t="s">
        <v>663</v>
      </c>
      <c r="AK15" t="s">
        <v>663</v>
      </c>
      <c r="AL15" t="s">
        <v>663</v>
      </c>
      <c r="AM15">
        <v>0</v>
      </c>
      <c r="AN15" t="s">
        <v>805</v>
      </c>
      <c r="AO15" t="s">
        <v>59</v>
      </c>
      <c r="AP15">
        <v>-674375</v>
      </c>
      <c r="AQ15">
        <v>0</v>
      </c>
      <c r="AR15">
        <v>1116750000</v>
      </c>
      <c r="AS15">
        <v>50000000</v>
      </c>
      <c r="AT15" t="s">
        <v>1549</v>
      </c>
      <c r="AU15">
        <v>116298421</v>
      </c>
      <c r="AV15" t="s">
        <v>1636</v>
      </c>
      <c r="AW15" t="s">
        <v>60</v>
      </c>
      <c r="AX15" t="s">
        <v>61</v>
      </c>
      <c r="AY15" t="s">
        <v>62</v>
      </c>
      <c r="AZ15" t="s">
        <v>638</v>
      </c>
    </row>
    <row r="16" spans="1:52" x14ac:dyDescent="0.3">
      <c r="A16" t="s">
        <v>1626</v>
      </c>
      <c r="B16" t="s">
        <v>50</v>
      </c>
      <c r="C16" t="s">
        <v>51</v>
      </c>
      <c r="D16">
        <v>766</v>
      </c>
      <c r="F16" t="s">
        <v>665</v>
      </c>
      <c r="G16" t="s">
        <v>52</v>
      </c>
      <c r="H16" t="s">
        <v>53</v>
      </c>
      <c r="I16" t="s">
        <v>54</v>
      </c>
      <c r="J16" t="s">
        <v>1541</v>
      </c>
      <c r="K16">
        <v>4964</v>
      </c>
      <c r="L16">
        <v>2</v>
      </c>
      <c r="M16">
        <v>100000</v>
      </c>
      <c r="N16" t="s">
        <v>1542</v>
      </c>
      <c r="O16" t="s">
        <v>1546</v>
      </c>
      <c r="P16">
        <v>20251118</v>
      </c>
      <c r="Q16" t="s">
        <v>663</v>
      </c>
      <c r="R16">
        <v>202605</v>
      </c>
      <c r="S16" t="s">
        <v>663</v>
      </c>
      <c r="T16" t="s">
        <v>55</v>
      </c>
      <c r="U16" t="s">
        <v>52</v>
      </c>
      <c r="V16">
        <v>1220000000</v>
      </c>
      <c r="W16">
        <v>20260424</v>
      </c>
      <c r="X16" t="s">
        <v>663</v>
      </c>
      <c r="Y16" t="s">
        <v>56</v>
      </c>
      <c r="Z16" t="s">
        <v>663</v>
      </c>
      <c r="AA16">
        <v>20251118</v>
      </c>
      <c r="AB16">
        <v>1</v>
      </c>
      <c r="AC16" t="s">
        <v>57</v>
      </c>
      <c r="AD16" t="s">
        <v>58</v>
      </c>
      <c r="AE16" t="s">
        <v>663</v>
      </c>
      <c r="AF16" t="s">
        <v>663</v>
      </c>
      <c r="AG16" t="s">
        <v>1547</v>
      </c>
      <c r="AH16" t="s">
        <v>663</v>
      </c>
      <c r="AI16" t="s">
        <v>663</v>
      </c>
      <c r="AJ16" t="s">
        <v>663</v>
      </c>
      <c r="AK16" t="s">
        <v>663</v>
      </c>
      <c r="AL16" t="s">
        <v>663</v>
      </c>
      <c r="AM16">
        <v>0</v>
      </c>
      <c r="AN16" t="s">
        <v>664</v>
      </c>
      <c r="AO16" t="s">
        <v>59</v>
      </c>
      <c r="AP16">
        <v>-518750</v>
      </c>
      <c r="AQ16">
        <v>0</v>
      </c>
      <c r="AR16">
        <v>1116750000</v>
      </c>
      <c r="AS16">
        <v>50000000</v>
      </c>
      <c r="AT16" t="s">
        <v>1550</v>
      </c>
      <c r="AU16">
        <v>116294964</v>
      </c>
      <c r="AV16" t="s">
        <v>1636</v>
      </c>
      <c r="AW16" t="s">
        <v>60</v>
      </c>
      <c r="AX16" t="s">
        <v>61</v>
      </c>
      <c r="AY16" t="s">
        <v>62</v>
      </c>
      <c r="AZ16" t="s">
        <v>638</v>
      </c>
    </row>
    <row r="17" spans="1:52" x14ac:dyDescent="0.3">
      <c r="A17" t="s">
        <v>1626</v>
      </c>
      <c r="B17" t="s">
        <v>50</v>
      </c>
      <c r="C17" t="s">
        <v>51</v>
      </c>
      <c r="D17">
        <v>766</v>
      </c>
      <c r="F17" t="s">
        <v>666</v>
      </c>
      <c r="G17" t="s">
        <v>52</v>
      </c>
      <c r="H17" t="s">
        <v>53</v>
      </c>
      <c r="I17" t="s">
        <v>54</v>
      </c>
      <c r="J17" t="s">
        <v>859</v>
      </c>
      <c r="K17">
        <v>3809</v>
      </c>
      <c r="L17">
        <v>2</v>
      </c>
      <c r="M17">
        <v>100000</v>
      </c>
      <c r="N17" t="s">
        <v>860</v>
      </c>
      <c r="O17" t="s">
        <v>867</v>
      </c>
      <c r="P17">
        <v>20251009</v>
      </c>
      <c r="Q17" t="s">
        <v>663</v>
      </c>
      <c r="R17">
        <v>202605</v>
      </c>
      <c r="S17" t="s">
        <v>663</v>
      </c>
      <c r="T17" t="s">
        <v>55</v>
      </c>
      <c r="U17" t="s">
        <v>52</v>
      </c>
      <c r="V17">
        <v>1180000000</v>
      </c>
      <c r="W17">
        <v>20260424</v>
      </c>
      <c r="X17" t="s">
        <v>663</v>
      </c>
      <c r="Y17" t="s">
        <v>56</v>
      </c>
      <c r="Z17" t="s">
        <v>663</v>
      </c>
      <c r="AA17">
        <v>20251009</v>
      </c>
      <c r="AB17">
        <v>1</v>
      </c>
      <c r="AC17" t="s">
        <v>57</v>
      </c>
      <c r="AD17" t="s">
        <v>58</v>
      </c>
      <c r="AE17" t="s">
        <v>663</v>
      </c>
      <c r="AF17" t="s">
        <v>663</v>
      </c>
      <c r="AG17" t="s">
        <v>868</v>
      </c>
      <c r="AH17" t="s">
        <v>663</v>
      </c>
      <c r="AI17" t="s">
        <v>663</v>
      </c>
      <c r="AJ17" t="s">
        <v>663</v>
      </c>
      <c r="AK17" t="s">
        <v>663</v>
      </c>
      <c r="AL17" t="s">
        <v>663</v>
      </c>
      <c r="AM17">
        <v>0</v>
      </c>
      <c r="AN17" t="s">
        <v>664</v>
      </c>
      <c r="AO17" t="s">
        <v>59</v>
      </c>
      <c r="AP17">
        <v>-868750</v>
      </c>
      <c r="AQ17">
        <v>0</v>
      </c>
      <c r="AR17">
        <v>1116750000</v>
      </c>
      <c r="AS17">
        <v>50000000</v>
      </c>
      <c r="AT17" t="s">
        <v>871</v>
      </c>
      <c r="AU17">
        <v>115953809</v>
      </c>
      <c r="AV17" t="s">
        <v>1634</v>
      </c>
      <c r="AW17" t="s">
        <v>60</v>
      </c>
      <c r="AX17" t="s">
        <v>61</v>
      </c>
      <c r="AY17" t="s">
        <v>62</v>
      </c>
      <c r="AZ17" t="s">
        <v>638</v>
      </c>
    </row>
    <row r="18" spans="1:52" x14ac:dyDescent="0.3">
      <c r="A18" t="s">
        <v>1626</v>
      </c>
      <c r="B18" t="s">
        <v>50</v>
      </c>
      <c r="C18" t="s">
        <v>51</v>
      </c>
      <c r="D18">
        <v>766</v>
      </c>
      <c r="F18" t="s">
        <v>666</v>
      </c>
      <c r="G18" t="s">
        <v>52</v>
      </c>
      <c r="H18" t="s">
        <v>53</v>
      </c>
      <c r="I18" t="s">
        <v>54</v>
      </c>
      <c r="J18" t="s">
        <v>859</v>
      </c>
      <c r="K18">
        <v>7384</v>
      </c>
      <c r="L18">
        <v>2</v>
      </c>
      <c r="M18">
        <v>50000</v>
      </c>
      <c r="N18" t="s">
        <v>860</v>
      </c>
      <c r="O18" t="s">
        <v>876</v>
      </c>
      <c r="P18">
        <v>20251023</v>
      </c>
      <c r="Q18" t="s">
        <v>663</v>
      </c>
      <c r="R18">
        <v>202605</v>
      </c>
      <c r="S18" t="s">
        <v>663</v>
      </c>
      <c r="T18" t="s">
        <v>55</v>
      </c>
      <c r="U18" t="s">
        <v>52</v>
      </c>
      <c r="V18">
        <v>1180000000</v>
      </c>
      <c r="W18">
        <v>20260424</v>
      </c>
      <c r="X18" t="s">
        <v>663</v>
      </c>
      <c r="Y18" t="s">
        <v>56</v>
      </c>
      <c r="Z18" t="s">
        <v>663</v>
      </c>
      <c r="AA18">
        <v>20251023</v>
      </c>
      <c r="AB18">
        <v>1</v>
      </c>
      <c r="AC18" t="s">
        <v>57</v>
      </c>
      <c r="AD18" t="s">
        <v>58</v>
      </c>
      <c r="AE18" t="s">
        <v>663</v>
      </c>
      <c r="AF18" t="s">
        <v>663</v>
      </c>
      <c r="AG18" t="s">
        <v>877</v>
      </c>
      <c r="AH18" t="s">
        <v>663</v>
      </c>
      <c r="AI18" t="s">
        <v>663</v>
      </c>
      <c r="AJ18" t="s">
        <v>663</v>
      </c>
      <c r="AK18" t="s">
        <v>663</v>
      </c>
      <c r="AL18" t="s">
        <v>663</v>
      </c>
      <c r="AM18">
        <v>0</v>
      </c>
      <c r="AN18" t="s">
        <v>667</v>
      </c>
      <c r="AO18" t="s">
        <v>59</v>
      </c>
      <c r="AP18">
        <v>-434375</v>
      </c>
      <c r="AQ18">
        <v>0</v>
      </c>
      <c r="AR18">
        <v>1116750000</v>
      </c>
      <c r="AS18">
        <v>50000000</v>
      </c>
      <c r="AT18" t="s">
        <v>882</v>
      </c>
      <c r="AU18">
        <v>116067384</v>
      </c>
      <c r="AV18" t="s">
        <v>1634</v>
      </c>
      <c r="AW18" t="s">
        <v>60</v>
      </c>
      <c r="AX18" t="s">
        <v>61</v>
      </c>
      <c r="AY18" t="s">
        <v>62</v>
      </c>
      <c r="AZ18" t="s">
        <v>638</v>
      </c>
    </row>
    <row r="19" spans="1:52" x14ac:dyDescent="0.3">
      <c r="A19" t="s">
        <v>1626</v>
      </c>
      <c r="B19" t="s">
        <v>50</v>
      </c>
      <c r="C19" t="s">
        <v>51</v>
      </c>
      <c r="D19">
        <v>766</v>
      </c>
      <c r="F19" t="s">
        <v>666</v>
      </c>
      <c r="G19" t="s">
        <v>52</v>
      </c>
      <c r="H19" t="s">
        <v>53</v>
      </c>
      <c r="I19" t="s">
        <v>54</v>
      </c>
      <c r="J19" t="s">
        <v>864</v>
      </c>
      <c r="K19">
        <v>3852</v>
      </c>
      <c r="L19">
        <v>2</v>
      </c>
      <c r="M19">
        <v>100000</v>
      </c>
      <c r="N19" t="s">
        <v>865</v>
      </c>
      <c r="O19" t="s">
        <v>653</v>
      </c>
      <c r="P19">
        <v>20251009</v>
      </c>
      <c r="Q19" t="s">
        <v>663</v>
      </c>
      <c r="R19">
        <v>202605</v>
      </c>
      <c r="S19" t="s">
        <v>663</v>
      </c>
      <c r="T19" t="s">
        <v>55</v>
      </c>
      <c r="U19" t="s">
        <v>52</v>
      </c>
      <c r="V19">
        <v>1200000000</v>
      </c>
      <c r="W19">
        <v>20260424</v>
      </c>
      <c r="X19" t="s">
        <v>663</v>
      </c>
      <c r="Y19" t="s">
        <v>56</v>
      </c>
      <c r="Z19" t="s">
        <v>663</v>
      </c>
      <c r="AA19">
        <v>20251009</v>
      </c>
      <c r="AB19">
        <v>1</v>
      </c>
      <c r="AC19" t="s">
        <v>57</v>
      </c>
      <c r="AD19" t="s">
        <v>58</v>
      </c>
      <c r="AE19" t="s">
        <v>663</v>
      </c>
      <c r="AF19" t="s">
        <v>663</v>
      </c>
      <c r="AG19" t="s">
        <v>655</v>
      </c>
      <c r="AH19" t="s">
        <v>663</v>
      </c>
      <c r="AI19" t="s">
        <v>663</v>
      </c>
      <c r="AJ19" t="s">
        <v>663</v>
      </c>
      <c r="AK19" t="s">
        <v>663</v>
      </c>
      <c r="AL19" t="s">
        <v>663</v>
      </c>
      <c r="AM19">
        <v>0</v>
      </c>
      <c r="AN19" t="s">
        <v>664</v>
      </c>
      <c r="AO19" t="s">
        <v>59</v>
      </c>
      <c r="AP19">
        <v>-668750</v>
      </c>
      <c r="AQ19">
        <v>0</v>
      </c>
      <c r="AR19">
        <v>1116750000</v>
      </c>
      <c r="AS19">
        <v>50000000</v>
      </c>
      <c r="AT19" t="s">
        <v>872</v>
      </c>
      <c r="AU19">
        <v>115953852</v>
      </c>
      <c r="AV19" t="s">
        <v>1635</v>
      </c>
      <c r="AW19" t="s">
        <v>60</v>
      </c>
      <c r="AX19" t="s">
        <v>61</v>
      </c>
      <c r="AY19" t="s">
        <v>62</v>
      </c>
      <c r="AZ19" t="s">
        <v>638</v>
      </c>
    </row>
    <row r="20" spans="1:52" x14ac:dyDescent="0.3">
      <c r="A20" t="s">
        <v>1626</v>
      </c>
      <c r="B20" t="s">
        <v>50</v>
      </c>
      <c r="C20" t="s">
        <v>51</v>
      </c>
      <c r="D20">
        <v>766</v>
      </c>
      <c r="F20" t="s">
        <v>666</v>
      </c>
      <c r="G20" t="s">
        <v>52</v>
      </c>
      <c r="H20" t="s">
        <v>53</v>
      </c>
      <c r="I20" t="s">
        <v>54</v>
      </c>
      <c r="J20" t="s">
        <v>864</v>
      </c>
      <c r="K20">
        <v>7406</v>
      </c>
      <c r="L20">
        <v>2</v>
      </c>
      <c r="M20">
        <v>50000</v>
      </c>
      <c r="N20" t="s">
        <v>865</v>
      </c>
      <c r="O20" t="s">
        <v>861</v>
      </c>
      <c r="P20">
        <v>20251023</v>
      </c>
      <c r="Q20" t="s">
        <v>663</v>
      </c>
      <c r="R20">
        <v>202605</v>
      </c>
      <c r="S20" t="s">
        <v>663</v>
      </c>
      <c r="T20" t="s">
        <v>55</v>
      </c>
      <c r="U20" t="s">
        <v>52</v>
      </c>
      <c r="V20">
        <v>1200000000</v>
      </c>
      <c r="W20">
        <v>20260424</v>
      </c>
      <c r="X20" t="s">
        <v>663</v>
      </c>
      <c r="Y20" t="s">
        <v>56</v>
      </c>
      <c r="Z20" t="s">
        <v>663</v>
      </c>
      <c r="AA20">
        <v>20251023</v>
      </c>
      <c r="AB20">
        <v>1</v>
      </c>
      <c r="AC20" t="s">
        <v>57</v>
      </c>
      <c r="AD20" t="s">
        <v>58</v>
      </c>
      <c r="AE20" t="s">
        <v>663</v>
      </c>
      <c r="AF20" t="s">
        <v>663</v>
      </c>
      <c r="AG20" t="s">
        <v>862</v>
      </c>
      <c r="AH20" t="s">
        <v>663</v>
      </c>
      <c r="AI20" t="s">
        <v>663</v>
      </c>
      <c r="AJ20" t="s">
        <v>663</v>
      </c>
      <c r="AK20" t="s">
        <v>663</v>
      </c>
      <c r="AL20" t="s">
        <v>663</v>
      </c>
      <c r="AM20">
        <v>0</v>
      </c>
      <c r="AN20" t="s">
        <v>667</v>
      </c>
      <c r="AO20" t="s">
        <v>59</v>
      </c>
      <c r="AP20">
        <v>-334375</v>
      </c>
      <c r="AQ20">
        <v>0</v>
      </c>
      <c r="AR20">
        <v>1116750000</v>
      </c>
      <c r="AS20">
        <v>50000000</v>
      </c>
      <c r="AT20" t="s">
        <v>883</v>
      </c>
      <c r="AU20">
        <v>116067406</v>
      </c>
      <c r="AV20" t="s">
        <v>1635</v>
      </c>
      <c r="AW20" t="s">
        <v>60</v>
      </c>
      <c r="AX20" t="s">
        <v>61</v>
      </c>
      <c r="AY20" t="s">
        <v>62</v>
      </c>
      <c r="AZ20" t="s">
        <v>638</v>
      </c>
    </row>
    <row r="21" spans="1:52" x14ac:dyDescent="0.3">
      <c r="A21" t="s">
        <v>1626</v>
      </c>
      <c r="B21" t="s">
        <v>50</v>
      </c>
      <c r="C21" t="s">
        <v>51</v>
      </c>
      <c r="D21">
        <v>766</v>
      </c>
      <c r="F21" t="s">
        <v>884</v>
      </c>
      <c r="G21" t="s">
        <v>52</v>
      </c>
      <c r="H21" t="s">
        <v>53</v>
      </c>
      <c r="I21" t="s">
        <v>54</v>
      </c>
      <c r="J21" t="s">
        <v>901</v>
      </c>
      <c r="K21">
        <v>2559</v>
      </c>
      <c r="L21">
        <v>1</v>
      </c>
      <c r="M21">
        <v>40000</v>
      </c>
      <c r="N21" t="s">
        <v>902</v>
      </c>
      <c r="O21" t="s">
        <v>903</v>
      </c>
      <c r="P21">
        <v>20251028</v>
      </c>
      <c r="Q21" t="s">
        <v>663</v>
      </c>
      <c r="R21">
        <v>202603</v>
      </c>
      <c r="S21" t="s">
        <v>663</v>
      </c>
      <c r="T21" t="s">
        <v>55</v>
      </c>
      <c r="U21" t="s">
        <v>52</v>
      </c>
      <c r="V21">
        <v>1190000000</v>
      </c>
      <c r="W21">
        <v>20260220</v>
      </c>
      <c r="X21" t="s">
        <v>663</v>
      </c>
      <c r="Y21" t="s">
        <v>56</v>
      </c>
      <c r="Z21" t="s">
        <v>663</v>
      </c>
      <c r="AA21">
        <v>20251028</v>
      </c>
      <c r="AB21">
        <v>1</v>
      </c>
      <c r="AC21" t="s">
        <v>57</v>
      </c>
      <c r="AD21" t="s">
        <v>58</v>
      </c>
      <c r="AE21" t="s">
        <v>663</v>
      </c>
      <c r="AF21" t="s">
        <v>663</v>
      </c>
      <c r="AG21" t="s">
        <v>904</v>
      </c>
      <c r="AH21" t="s">
        <v>663</v>
      </c>
      <c r="AI21" t="s">
        <v>663</v>
      </c>
      <c r="AJ21" t="s">
        <v>663</v>
      </c>
      <c r="AK21" t="s">
        <v>663</v>
      </c>
      <c r="AL21" t="s">
        <v>663</v>
      </c>
      <c r="AM21">
        <v>40000</v>
      </c>
      <c r="AN21" t="s">
        <v>656</v>
      </c>
      <c r="AO21" t="s">
        <v>59</v>
      </c>
      <c r="AP21">
        <v>120000</v>
      </c>
      <c r="AQ21">
        <v>0</v>
      </c>
      <c r="AR21">
        <v>1105750000</v>
      </c>
      <c r="AS21">
        <v>50000000</v>
      </c>
      <c r="AT21" t="s">
        <v>905</v>
      </c>
      <c r="AU21">
        <v>116112559</v>
      </c>
      <c r="AV21" t="s">
        <v>1638</v>
      </c>
      <c r="AW21" t="s">
        <v>60</v>
      </c>
      <c r="AX21" t="s">
        <v>61</v>
      </c>
      <c r="AY21" t="s">
        <v>62</v>
      </c>
      <c r="AZ21" t="s">
        <v>638</v>
      </c>
    </row>
    <row r="22" spans="1:52" x14ac:dyDescent="0.3">
      <c r="A22" t="s">
        <v>1626</v>
      </c>
      <c r="B22" t="s">
        <v>50</v>
      </c>
      <c r="C22" t="s">
        <v>51</v>
      </c>
      <c r="D22">
        <v>766</v>
      </c>
      <c r="F22" t="s">
        <v>884</v>
      </c>
      <c r="G22" t="s">
        <v>52</v>
      </c>
      <c r="H22" t="s">
        <v>53</v>
      </c>
      <c r="I22" t="s">
        <v>54</v>
      </c>
      <c r="J22" t="s">
        <v>901</v>
      </c>
      <c r="K22">
        <v>6085</v>
      </c>
      <c r="L22">
        <v>1</v>
      </c>
      <c r="M22">
        <v>40000</v>
      </c>
      <c r="N22" t="s">
        <v>902</v>
      </c>
      <c r="O22" t="s">
        <v>1457</v>
      </c>
      <c r="P22">
        <v>20251030</v>
      </c>
      <c r="Q22" t="s">
        <v>663</v>
      </c>
      <c r="R22">
        <v>202603</v>
      </c>
      <c r="S22" t="s">
        <v>663</v>
      </c>
      <c r="T22" t="s">
        <v>55</v>
      </c>
      <c r="U22" t="s">
        <v>52</v>
      </c>
      <c r="V22">
        <v>1190000000</v>
      </c>
      <c r="W22">
        <v>20260220</v>
      </c>
      <c r="X22" t="s">
        <v>663</v>
      </c>
      <c r="Y22" t="s">
        <v>56</v>
      </c>
      <c r="Z22" t="s">
        <v>663</v>
      </c>
      <c r="AA22">
        <v>20251030</v>
      </c>
      <c r="AB22">
        <v>1</v>
      </c>
      <c r="AC22" t="s">
        <v>57</v>
      </c>
      <c r="AD22" t="s">
        <v>58</v>
      </c>
      <c r="AE22" t="s">
        <v>663</v>
      </c>
      <c r="AF22" t="s">
        <v>663</v>
      </c>
      <c r="AG22" t="s">
        <v>1458</v>
      </c>
      <c r="AH22" t="s">
        <v>663</v>
      </c>
      <c r="AI22" t="s">
        <v>663</v>
      </c>
      <c r="AJ22" t="s">
        <v>663</v>
      </c>
      <c r="AK22" t="s">
        <v>663</v>
      </c>
      <c r="AL22" t="s">
        <v>663</v>
      </c>
      <c r="AM22">
        <v>40000</v>
      </c>
      <c r="AN22" t="s">
        <v>656</v>
      </c>
      <c r="AO22" t="s">
        <v>59</v>
      </c>
      <c r="AP22">
        <v>120000</v>
      </c>
      <c r="AQ22">
        <v>0</v>
      </c>
      <c r="AR22">
        <v>1105750000</v>
      </c>
      <c r="AS22">
        <v>50000000</v>
      </c>
      <c r="AT22" t="s">
        <v>1459</v>
      </c>
      <c r="AU22">
        <v>116136085</v>
      </c>
      <c r="AV22" t="s">
        <v>1638</v>
      </c>
      <c r="AW22" t="s">
        <v>60</v>
      </c>
      <c r="AX22" t="s">
        <v>61</v>
      </c>
      <c r="AY22" t="s">
        <v>62</v>
      </c>
      <c r="AZ22" t="s">
        <v>638</v>
      </c>
    </row>
    <row r="23" spans="1:52" x14ac:dyDescent="0.3">
      <c r="A23" t="s">
        <v>1626</v>
      </c>
      <c r="B23" t="s">
        <v>50</v>
      </c>
      <c r="C23" t="s">
        <v>51</v>
      </c>
      <c r="D23">
        <v>766</v>
      </c>
      <c r="F23" t="s">
        <v>884</v>
      </c>
      <c r="G23" t="s">
        <v>52</v>
      </c>
      <c r="H23" t="s">
        <v>53</v>
      </c>
      <c r="I23" t="s">
        <v>54</v>
      </c>
      <c r="J23" t="s">
        <v>1486</v>
      </c>
      <c r="K23">
        <v>1715</v>
      </c>
      <c r="L23">
        <v>1</v>
      </c>
      <c r="M23">
        <v>40000</v>
      </c>
      <c r="N23" t="s">
        <v>1487</v>
      </c>
      <c r="O23" t="s">
        <v>867</v>
      </c>
      <c r="P23">
        <v>20251104</v>
      </c>
      <c r="Q23" t="s">
        <v>663</v>
      </c>
      <c r="R23">
        <v>202603</v>
      </c>
      <c r="S23" t="s">
        <v>663</v>
      </c>
      <c r="T23" t="s">
        <v>55</v>
      </c>
      <c r="U23" t="s">
        <v>52</v>
      </c>
      <c r="V23">
        <v>1200000000</v>
      </c>
      <c r="W23">
        <v>20260220</v>
      </c>
      <c r="X23" t="s">
        <v>663</v>
      </c>
      <c r="Y23" t="s">
        <v>56</v>
      </c>
      <c r="Z23" t="s">
        <v>663</v>
      </c>
      <c r="AA23">
        <v>20251104</v>
      </c>
      <c r="AB23">
        <v>1</v>
      </c>
      <c r="AC23" t="s">
        <v>57</v>
      </c>
      <c r="AD23" t="s">
        <v>58</v>
      </c>
      <c r="AE23" t="s">
        <v>663</v>
      </c>
      <c r="AF23" t="s">
        <v>663</v>
      </c>
      <c r="AG23" t="s">
        <v>868</v>
      </c>
      <c r="AH23" t="s">
        <v>663</v>
      </c>
      <c r="AI23" t="s">
        <v>663</v>
      </c>
      <c r="AJ23" t="s">
        <v>663</v>
      </c>
      <c r="AK23" t="s">
        <v>663</v>
      </c>
      <c r="AL23" t="s">
        <v>663</v>
      </c>
      <c r="AM23">
        <v>40000</v>
      </c>
      <c r="AN23" t="s">
        <v>656</v>
      </c>
      <c r="AO23" t="s">
        <v>59</v>
      </c>
      <c r="AP23">
        <v>100000</v>
      </c>
      <c r="AQ23">
        <v>0</v>
      </c>
      <c r="AR23">
        <v>1105750000</v>
      </c>
      <c r="AS23">
        <v>50000000</v>
      </c>
      <c r="AT23" t="s">
        <v>1488</v>
      </c>
      <c r="AU23">
        <v>116171715</v>
      </c>
      <c r="AV23" t="s">
        <v>1639</v>
      </c>
      <c r="AW23" t="s">
        <v>60</v>
      </c>
      <c r="AX23" t="s">
        <v>61</v>
      </c>
      <c r="AY23" t="s">
        <v>62</v>
      </c>
      <c r="AZ23" t="s">
        <v>638</v>
      </c>
    </row>
    <row r="24" spans="1:52" x14ac:dyDescent="0.3">
      <c r="A24" t="s">
        <v>1626</v>
      </c>
      <c r="B24" t="s">
        <v>50</v>
      </c>
      <c r="C24" t="s">
        <v>51</v>
      </c>
      <c r="D24">
        <v>766</v>
      </c>
      <c r="F24" t="s">
        <v>668</v>
      </c>
      <c r="G24" t="s">
        <v>52</v>
      </c>
      <c r="H24" t="s">
        <v>663</v>
      </c>
      <c r="I24" t="s">
        <v>54</v>
      </c>
      <c r="J24" t="s">
        <v>1460</v>
      </c>
      <c r="K24">
        <v>1477</v>
      </c>
      <c r="L24">
        <v>1</v>
      </c>
      <c r="M24">
        <v>920000</v>
      </c>
      <c r="N24" t="s">
        <v>1461</v>
      </c>
      <c r="O24" t="s">
        <v>1462</v>
      </c>
      <c r="P24">
        <v>20251030</v>
      </c>
      <c r="Q24" t="s">
        <v>663</v>
      </c>
      <c r="R24">
        <v>202603</v>
      </c>
      <c r="S24" t="s">
        <v>663</v>
      </c>
      <c r="T24" t="s">
        <v>55</v>
      </c>
      <c r="U24" t="s">
        <v>663</v>
      </c>
      <c r="V24">
        <v>0</v>
      </c>
      <c r="W24">
        <v>0</v>
      </c>
      <c r="X24" t="s">
        <v>663</v>
      </c>
      <c r="Y24" t="s">
        <v>172</v>
      </c>
      <c r="Z24" t="s">
        <v>663</v>
      </c>
      <c r="AA24">
        <v>20251030</v>
      </c>
      <c r="AB24">
        <v>1</v>
      </c>
      <c r="AC24" t="s">
        <v>57</v>
      </c>
      <c r="AD24" t="s">
        <v>654</v>
      </c>
      <c r="AE24" t="s">
        <v>663</v>
      </c>
      <c r="AF24" t="s">
        <v>663</v>
      </c>
      <c r="AG24" t="s">
        <v>1463</v>
      </c>
      <c r="AH24" t="s">
        <v>663</v>
      </c>
      <c r="AI24" t="s">
        <v>663</v>
      </c>
      <c r="AJ24" t="s">
        <v>663</v>
      </c>
      <c r="AK24" t="s">
        <v>663</v>
      </c>
      <c r="AL24" t="s">
        <v>663</v>
      </c>
      <c r="AM24">
        <v>920000</v>
      </c>
      <c r="AN24" t="s">
        <v>656</v>
      </c>
      <c r="AO24" t="s">
        <v>59</v>
      </c>
      <c r="AP24">
        <v>-805000</v>
      </c>
      <c r="AQ24">
        <v>443750000</v>
      </c>
      <c r="AR24">
        <v>0</v>
      </c>
      <c r="AS24">
        <v>50000000</v>
      </c>
      <c r="AT24" t="s">
        <v>1464</v>
      </c>
      <c r="AU24">
        <v>116141477</v>
      </c>
      <c r="AV24" t="s">
        <v>794</v>
      </c>
      <c r="AW24" t="s">
        <v>52</v>
      </c>
      <c r="AX24" t="s">
        <v>61</v>
      </c>
      <c r="AY24" t="s">
        <v>62</v>
      </c>
      <c r="AZ24" t="s">
        <v>639</v>
      </c>
    </row>
    <row r="25" spans="1:52" x14ac:dyDescent="0.3">
      <c r="A25" t="s">
        <v>1626</v>
      </c>
      <c r="B25" t="s">
        <v>50</v>
      </c>
      <c r="C25" t="s">
        <v>51</v>
      </c>
      <c r="D25">
        <v>766</v>
      </c>
      <c r="F25" t="s">
        <v>668</v>
      </c>
      <c r="G25" t="s">
        <v>52</v>
      </c>
      <c r="H25" t="s">
        <v>663</v>
      </c>
      <c r="I25" t="s">
        <v>54</v>
      </c>
      <c r="J25" t="s">
        <v>1460</v>
      </c>
      <c r="K25">
        <v>3966</v>
      </c>
      <c r="L25">
        <v>1</v>
      </c>
      <c r="M25">
        <v>950000</v>
      </c>
      <c r="N25" t="s">
        <v>1461</v>
      </c>
      <c r="O25" t="s">
        <v>1551</v>
      </c>
      <c r="P25">
        <v>20251117</v>
      </c>
      <c r="Q25" t="s">
        <v>663</v>
      </c>
      <c r="R25">
        <v>202603</v>
      </c>
      <c r="S25" t="s">
        <v>663</v>
      </c>
      <c r="T25" t="s">
        <v>55</v>
      </c>
      <c r="U25" t="s">
        <v>663</v>
      </c>
      <c r="V25">
        <v>0</v>
      </c>
      <c r="W25">
        <v>0</v>
      </c>
      <c r="X25" t="s">
        <v>663</v>
      </c>
      <c r="Y25" t="s">
        <v>172</v>
      </c>
      <c r="Z25" t="s">
        <v>663</v>
      </c>
      <c r="AA25">
        <v>20251117</v>
      </c>
      <c r="AB25">
        <v>1</v>
      </c>
      <c r="AC25" t="s">
        <v>57</v>
      </c>
      <c r="AD25" t="s">
        <v>654</v>
      </c>
      <c r="AE25" t="s">
        <v>663</v>
      </c>
      <c r="AF25" t="s">
        <v>663</v>
      </c>
      <c r="AG25" t="s">
        <v>1552</v>
      </c>
      <c r="AH25" t="s">
        <v>663</v>
      </c>
      <c r="AI25" t="s">
        <v>663</v>
      </c>
      <c r="AJ25" t="s">
        <v>663</v>
      </c>
      <c r="AK25" t="s">
        <v>663</v>
      </c>
      <c r="AL25" t="s">
        <v>663</v>
      </c>
      <c r="AM25">
        <v>950000</v>
      </c>
      <c r="AN25" t="s">
        <v>656</v>
      </c>
      <c r="AO25" t="s">
        <v>59</v>
      </c>
      <c r="AP25">
        <v>-2850000</v>
      </c>
      <c r="AQ25">
        <v>443750000</v>
      </c>
      <c r="AR25">
        <v>0</v>
      </c>
      <c r="AS25">
        <v>50000000</v>
      </c>
      <c r="AT25" t="s">
        <v>1553</v>
      </c>
      <c r="AU25">
        <v>116283966</v>
      </c>
      <c r="AV25" t="s">
        <v>794</v>
      </c>
      <c r="AW25" t="s">
        <v>52</v>
      </c>
      <c r="AX25" t="s">
        <v>61</v>
      </c>
      <c r="AY25" t="s">
        <v>62</v>
      </c>
      <c r="AZ25" t="s">
        <v>639</v>
      </c>
    </row>
    <row r="26" spans="1:52" x14ac:dyDescent="0.3">
      <c r="A26" t="s">
        <v>1626</v>
      </c>
      <c r="B26" t="s">
        <v>50</v>
      </c>
      <c r="C26" t="s">
        <v>51</v>
      </c>
      <c r="D26">
        <v>766</v>
      </c>
      <c r="F26" t="s">
        <v>668</v>
      </c>
      <c r="G26" t="s">
        <v>52</v>
      </c>
      <c r="H26" t="s">
        <v>663</v>
      </c>
      <c r="I26" t="s">
        <v>54</v>
      </c>
      <c r="J26" t="s">
        <v>829</v>
      </c>
      <c r="K26">
        <v>5040</v>
      </c>
      <c r="L26">
        <v>1</v>
      </c>
      <c r="M26">
        <v>230000</v>
      </c>
      <c r="N26" t="s">
        <v>830</v>
      </c>
      <c r="O26" t="s">
        <v>841</v>
      </c>
      <c r="P26">
        <v>20250911</v>
      </c>
      <c r="Q26" t="s">
        <v>663</v>
      </c>
      <c r="R26">
        <v>202605</v>
      </c>
      <c r="S26" t="s">
        <v>663</v>
      </c>
      <c r="T26" t="s">
        <v>55</v>
      </c>
      <c r="U26" t="s">
        <v>663</v>
      </c>
      <c r="V26">
        <v>0</v>
      </c>
      <c r="W26">
        <v>0</v>
      </c>
      <c r="X26" t="s">
        <v>663</v>
      </c>
      <c r="Y26" t="s">
        <v>172</v>
      </c>
      <c r="Z26" t="s">
        <v>663</v>
      </c>
      <c r="AA26">
        <v>20250911</v>
      </c>
      <c r="AB26">
        <v>1</v>
      </c>
      <c r="AC26" t="s">
        <v>57</v>
      </c>
      <c r="AD26" t="s">
        <v>654</v>
      </c>
      <c r="AE26" t="s">
        <v>663</v>
      </c>
      <c r="AF26" t="s">
        <v>663</v>
      </c>
      <c r="AG26" t="s">
        <v>842</v>
      </c>
      <c r="AH26" t="s">
        <v>663</v>
      </c>
      <c r="AI26" t="s">
        <v>663</v>
      </c>
      <c r="AJ26" t="s">
        <v>663</v>
      </c>
      <c r="AK26" t="s">
        <v>663</v>
      </c>
      <c r="AL26" t="s">
        <v>663</v>
      </c>
      <c r="AM26">
        <v>230000</v>
      </c>
      <c r="AN26" t="s">
        <v>656</v>
      </c>
      <c r="AO26" t="s">
        <v>59</v>
      </c>
      <c r="AP26">
        <v>316250</v>
      </c>
      <c r="AQ26">
        <v>451250000</v>
      </c>
      <c r="AR26">
        <v>0</v>
      </c>
      <c r="AS26">
        <v>50000000</v>
      </c>
      <c r="AT26" t="s">
        <v>843</v>
      </c>
      <c r="AU26">
        <v>115755040</v>
      </c>
      <c r="AV26" t="s">
        <v>794</v>
      </c>
      <c r="AW26" t="s">
        <v>52</v>
      </c>
      <c r="AX26" t="s">
        <v>61</v>
      </c>
      <c r="AY26" t="s">
        <v>62</v>
      </c>
      <c r="AZ26" t="s">
        <v>639</v>
      </c>
    </row>
    <row r="27" spans="1:52" x14ac:dyDescent="0.3">
      <c r="A27" t="s">
        <v>1626</v>
      </c>
      <c r="B27" t="s">
        <v>50</v>
      </c>
      <c r="C27" t="s">
        <v>51</v>
      </c>
      <c r="D27">
        <v>766</v>
      </c>
      <c r="F27" t="s">
        <v>668</v>
      </c>
      <c r="G27" t="s">
        <v>52</v>
      </c>
      <c r="H27" t="s">
        <v>663</v>
      </c>
      <c r="I27" t="s">
        <v>54</v>
      </c>
      <c r="J27" t="s">
        <v>825</v>
      </c>
      <c r="K27">
        <v>4946</v>
      </c>
      <c r="L27">
        <v>1</v>
      </c>
      <c r="M27">
        <v>230000</v>
      </c>
      <c r="N27" t="s">
        <v>826</v>
      </c>
      <c r="O27" t="s">
        <v>1599</v>
      </c>
      <c r="P27">
        <v>20251119</v>
      </c>
      <c r="Q27" t="s">
        <v>663</v>
      </c>
      <c r="R27">
        <v>202607</v>
      </c>
      <c r="S27" t="s">
        <v>663</v>
      </c>
      <c r="T27" t="s">
        <v>55</v>
      </c>
      <c r="U27" t="s">
        <v>663</v>
      </c>
      <c r="V27">
        <v>0</v>
      </c>
      <c r="W27">
        <v>0</v>
      </c>
      <c r="X27" t="s">
        <v>663</v>
      </c>
      <c r="Y27" t="s">
        <v>172</v>
      </c>
      <c r="Z27" t="s">
        <v>663</v>
      </c>
      <c r="AA27">
        <v>20251119</v>
      </c>
      <c r="AB27">
        <v>1</v>
      </c>
      <c r="AC27" t="s">
        <v>57</v>
      </c>
      <c r="AD27" t="s">
        <v>654</v>
      </c>
      <c r="AE27" t="s">
        <v>663</v>
      </c>
      <c r="AF27" t="s">
        <v>663</v>
      </c>
      <c r="AG27" t="s">
        <v>1600</v>
      </c>
      <c r="AH27" t="s">
        <v>663</v>
      </c>
      <c r="AI27" t="s">
        <v>663</v>
      </c>
      <c r="AJ27" t="s">
        <v>663</v>
      </c>
      <c r="AK27" t="s">
        <v>663</v>
      </c>
      <c r="AL27" t="s">
        <v>663</v>
      </c>
      <c r="AM27">
        <v>230000</v>
      </c>
      <c r="AN27" t="s">
        <v>656</v>
      </c>
      <c r="AO27" t="s">
        <v>59</v>
      </c>
      <c r="AQ27">
        <v>457000000</v>
      </c>
      <c r="AR27">
        <v>0</v>
      </c>
      <c r="AS27">
        <v>50000000</v>
      </c>
      <c r="AT27" t="s">
        <v>1601</v>
      </c>
      <c r="AU27">
        <v>116304946</v>
      </c>
      <c r="AV27" t="s">
        <v>794</v>
      </c>
      <c r="AW27" t="s">
        <v>52</v>
      </c>
      <c r="AX27" t="s">
        <v>61</v>
      </c>
      <c r="AY27" t="s">
        <v>62</v>
      </c>
      <c r="AZ27" t="s">
        <v>639</v>
      </c>
    </row>
    <row r="28" spans="1:52" x14ac:dyDescent="0.3">
      <c r="A28" t="s">
        <v>1626</v>
      </c>
      <c r="B28" t="s">
        <v>50</v>
      </c>
      <c r="C28" t="s">
        <v>51</v>
      </c>
      <c r="D28">
        <v>766</v>
      </c>
      <c r="F28" t="s">
        <v>668</v>
      </c>
      <c r="G28" t="s">
        <v>52</v>
      </c>
      <c r="H28" t="s">
        <v>663</v>
      </c>
      <c r="I28" t="s">
        <v>54</v>
      </c>
      <c r="J28" t="s">
        <v>1465</v>
      </c>
      <c r="K28">
        <v>1276</v>
      </c>
      <c r="L28">
        <v>2</v>
      </c>
      <c r="M28">
        <v>370000</v>
      </c>
      <c r="N28" t="s">
        <v>1466</v>
      </c>
      <c r="O28" t="s">
        <v>1467</v>
      </c>
      <c r="P28">
        <v>20251030</v>
      </c>
      <c r="Q28" t="s">
        <v>663</v>
      </c>
      <c r="R28">
        <v>202601</v>
      </c>
      <c r="S28" t="s">
        <v>663</v>
      </c>
      <c r="T28" t="s">
        <v>55</v>
      </c>
      <c r="U28" t="s">
        <v>663</v>
      </c>
      <c r="V28">
        <v>0</v>
      </c>
      <c r="W28">
        <v>0</v>
      </c>
      <c r="X28" t="s">
        <v>663</v>
      </c>
      <c r="Y28" t="s">
        <v>172</v>
      </c>
      <c r="Z28" t="s">
        <v>663</v>
      </c>
      <c r="AA28">
        <v>20251030</v>
      </c>
      <c r="AB28">
        <v>1</v>
      </c>
      <c r="AC28" t="s">
        <v>57</v>
      </c>
      <c r="AD28" t="s">
        <v>58</v>
      </c>
      <c r="AE28" t="s">
        <v>663</v>
      </c>
      <c r="AF28" t="s">
        <v>663</v>
      </c>
      <c r="AG28" t="s">
        <v>1468</v>
      </c>
      <c r="AH28" t="s">
        <v>663</v>
      </c>
      <c r="AI28" t="s">
        <v>663</v>
      </c>
      <c r="AJ28" t="s">
        <v>663</v>
      </c>
      <c r="AK28" t="s">
        <v>663</v>
      </c>
      <c r="AL28" t="s">
        <v>663</v>
      </c>
      <c r="AM28">
        <v>0</v>
      </c>
      <c r="AN28" t="s">
        <v>873</v>
      </c>
      <c r="AO28" t="s">
        <v>59</v>
      </c>
      <c r="AP28">
        <v>2636250</v>
      </c>
      <c r="AQ28">
        <v>1093750000</v>
      </c>
      <c r="AR28">
        <v>0</v>
      </c>
      <c r="AS28">
        <v>50000000</v>
      </c>
      <c r="AT28" t="s">
        <v>1469</v>
      </c>
      <c r="AU28">
        <v>116141276</v>
      </c>
      <c r="AV28" t="s">
        <v>794</v>
      </c>
      <c r="AW28" t="s">
        <v>60</v>
      </c>
      <c r="AX28" t="s">
        <v>61</v>
      </c>
      <c r="AY28" t="s">
        <v>62</v>
      </c>
      <c r="AZ28" t="s">
        <v>638</v>
      </c>
    </row>
    <row r="29" spans="1:52" x14ac:dyDescent="0.3">
      <c r="A29" t="s">
        <v>1626</v>
      </c>
      <c r="B29" t="s">
        <v>50</v>
      </c>
      <c r="C29" t="s">
        <v>51</v>
      </c>
      <c r="D29">
        <v>766</v>
      </c>
      <c r="F29" t="s">
        <v>668</v>
      </c>
      <c r="G29" t="s">
        <v>52</v>
      </c>
      <c r="H29" t="s">
        <v>663</v>
      </c>
      <c r="I29" t="s">
        <v>54</v>
      </c>
      <c r="J29" t="s">
        <v>1465</v>
      </c>
      <c r="K29">
        <v>3899</v>
      </c>
      <c r="L29">
        <v>2</v>
      </c>
      <c r="M29">
        <v>370000</v>
      </c>
      <c r="N29" t="s">
        <v>1466</v>
      </c>
      <c r="O29" t="s">
        <v>1554</v>
      </c>
      <c r="P29">
        <v>20251117</v>
      </c>
      <c r="Q29" t="s">
        <v>663</v>
      </c>
      <c r="R29">
        <v>202601</v>
      </c>
      <c r="S29" t="s">
        <v>663</v>
      </c>
      <c r="T29" t="s">
        <v>55</v>
      </c>
      <c r="U29" t="s">
        <v>663</v>
      </c>
      <c r="V29">
        <v>0</v>
      </c>
      <c r="W29">
        <v>0</v>
      </c>
      <c r="X29" t="s">
        <v>663</v>
      </c>
      <c r="Y29" t="s">
        <v>172</v>
      </c>
      <c r="Z29" t="s">
        <v>663</v>
      </c>
      <c r="AA29">
        <v>20251117</v>
      </c>
      <c r="AB29">
        <v>1</v>
      </c>
      <c r="AC29" t="s">
        <v>57</v>
      </c>
      <c r="AD29" t="s">
        <v>58</v>
      </c>
      <c r="AE29" t="s">
        <v>663</v>
      </c>
      <c r="AF29" t="s">
        <v>663</v>
      </c>
      <c r="AG29" t="s">
        <v>1555</v>
      </c>
      <c r="AH29" t="s">
        <v>663</v>
      </c>
      <c r="AI29" t="s">
        <v>663</v>
      </c>
      <c r="AJ29" t="s">
        <v>663</v>
      </c>
      <c r="AK29" t="s">
        <v>663</v>
      </c>
      <c r="AL29" t="s">
        <v>663</v>
      </c>
      <c r="AM29">
        <v>0</v>
      </c>
      <c r="AN29" t="s">
        <v>873</v>
      </c>
      <c r="AO29" t="s">
        <v>59</v>
      </c>
      <c r="AP29">
        <v>11331250</v>
      </c>
      <c r="AQ29">
        <v>1093750000</v>
      </c>
      <c r="AR29">
        <v>0</v>
      </c>
      <c r="AS29">
        <v>50000000</v>
      </c>
      <c r="AT29" t="s">
        <v>1556</v>
      </c>
      <c r="AU29">
        <v>116283899</v>
      </c>
      <c r="AV29" t="s">
        <v>794</v>
      </c>
      <c r="AW29" t="s">
        <v>60</v>
      </c>
      <c r="AX29" t="s">
        <v>61</v>
      </c>
      <c r="AY29" t="s">
        <v>62</v>
      </c>
      <c r="AZ29" t="s">
        <v>638</v>
      </c>
    </row>
    <row r="30" spans="1:52" x14ac:dyDescent="0.3">
      <c r="A30" t="s">
        <v>1626</v>
      </c>
      <c r="B30" t="s">
        <v>50</v>
      </c>
      <c r="C30" t="s">
        <v>51</v>
      </c>
      <c r="D30">
        <v>766</v>
      </c>
      <c r="F30" t="s">
        <v>668</v>
      </c>
      <c r="G30" t="s">
        <v>52</v>
      </c>
      <c r="H30" t="s">
        <v>663</v>
      </c>
      <c r="I30" t="s">
        <v>54</v>
      </c>
      <c r="J30" t="s">
        <v>657</v>
      </c>
      <c r="K30">
        <v>7780</v>
      </c>
      <c r="L30">
        <v>2</v>
      </c>
      <c r="M30">
        <v>200000</v>
      </c>
      <c r="N30" t="s">
        <v>658</v>
      </c>
      <c r="O30" t="s">
        <v>886</v>
      </c>
      <c r="P30">
        <v>20251023</v>
      </c>
      <c r="Q30" t="s">
        <v>663</v>
      </c>
      <c r="R30">
        <v>202605</v>
      </c>
      <c r="S30" t="s">
        <v>663</v>
      </c>
      <c r="T30" t="s">
        <v>55</v>
      </c>
      <c r="U30" t="s">
        <v>663</v>
      </c>
      <c r="V30">
        <v>0</v>
      </c>
      <c r="W30">
        <v>0</v>
      </c>
      <c r="X30" t="s">
        <v>663</v>
      </c>
      <c r="Y30" t="s">
        <v>172</v>
      </c>
      <c r="Z30" t="s">
        <v>663</v>
      </c>
      <c r="AA30">
        <v>20251023</v>
      </c>
      <c r="AB30">
        <v>1</v>
      </c>
      <c r="AC30" t="s">
        <v>57</v>
      </c>
      <c r="AD30" t="s">
        <v>58</v>
      </c>
      <c r="AE30" t="s">
        <v>663</v>
      </c>
      <c r="AF30" t="s">
        <v>663</v>
      </c>
      <c r="AG30" t="s">
        <v>887</v>
      </c>
      <c r="AH30" t="s">
        <v>663</v>
      </c>
      <c r="AI30" t="s">
        <v>663</v>
      </c>
      <c r="AJ30" t="s">
        <v>663</v>
      </c>
      <c r="AK30" t="s">
        <v>663</v>
      </c>
      <c r="AL30" t="s">
        <v>663</v>
      </c>
      <c r="AM30">
        <v>0</v>
      </c>
      <c r="AN30" t="s">
        <v>1640</v>
      </c>
      <c r="AO30" t="s">
        <v>59</v>
      </c>
      <c r="AP30">
        <v>-3100000</v>
      </c>
      <c r="AQ30">
        <v>1116750000</v>
      </c>
      <c r="AR30">
        <v>0</v>
      </c>
      <c r="AS30">
        <v>50000000</v>
      </c>
      <c r="AT30" t="s">
        <v>888</v>
      </c>
      <c r="AU30">
        <v>116067780</v>
      </c>
      <c r="AV30" t="s">
        <v>794</v>
      </c>
      <c r="AW30" t="s">
        <v>60</v>
      </c>
      <c r="AX30" t="s">
        <v>61</v>
      </c>
      <c r="AY30" t="s">
        <v>62</v>
      </c>
      <c r="AZ30" t="s">
        <v>638</v>
      </c>
    </row>
    <row r="31" spans="1:52" x14ac:dyDescent="0.3">
      <c r="A31" t="s">
        <v>1626</v>
      </c>
      <c r="B31" t="s">
        <v>50</v>
      </c>
      <c r="C31" t="s">
        <v>51</v>
      </c>
      <c r="D31">
        <v>766</v>
      </c>
      <c r="F31" t="s">
        <v>668</v>
      </c>
      <c r="G31" t="s">
        <v>52</v>
      </c>
      <c r="H31" t="s">
        <v>663</v>
      </c>
      <c r="I31" t="s">
        <v>54</v>
      </c>
      <c r="J31" t="s">
        <v>657</v>
      </c>
      <c r="K31">
        <v>8107</v>
      </c>
      <c r="L31">
        <v>2</v>
      </c>
      <c r="M31">
        <v>450000</v>
      </c>
      <c r="N31" t="s">
        <v>658</v>
      </c>
      <c r="O31" t="s">
        <v>889</v>
      </c>
      <c r="P31">
        <v>20251023</v>
      </c>
      <c r="Q31" t="s">
        <v>663</v>
      </c>
      <c r="R31">
        <v>202605</v>
      </c>
      <c r="S31" t="s">
        <v>663</v>
      </c>
      <c r="T31" t="s">
        <v>55</v>
      </c>
      <c r="U31" t="s">
        <v>663</v>
      </c>
      <c r="V31">
        <v>0</v>
      </c>
      <c r="W31">
        <v>0</v>
      </c>
      <c r="X31" t="s">
        <v>663</v>
      </c>
      <c r="Y31" t="s">
        <v>172</v>
      </c>
      <c r="Z31" t="s">
        <v>663</v>
      </c>
      <c r="AA31">
        <v>20251023</v>
      </c>
      <c r="AB31">
        <v>1</v>
      </c>
      <c r="AC31" t="s">
        <v>57</v>
      </c>
      <c r="AD31" t="s">
        <v>58</v>
      </c>
      <c r="AE31" t="s">
        <v>663</v>
      </c>
      <c r="AF31" t="s">
        <v>663</v>
      </c>
      <c r="AG31" t="s">
        <v>890</v>
      </c>
      <c r="AH31" t="s">
        <v>663</v>
      </c>
      <c r="AI31" t="s">
        <v>663</v>
      </c>
      <c r="AJ31" t="s">
        <v>663</v>
      </c>
      <c r="AK31" t="s">
        <v>663</v>
      </c>
      <c r="AL31" t="s">
        <v>663</v>
      </c>
      <c r="AM31">
        <v>0</v>
      </c>
      <c r="AN31" t="s">
        <v>891</v>
      </c>
      <c r="AO31" t="s">
        <v>59</v>
      </c>
      <c r="AP31">
        <v>-6693750</v>
      </c>
      <c r="AQ31">
        <v>1116750000</v>
      </c>
      <c r="AR31">
        <v>0</v>
      </c>
      <c r="AS31">
        <v>50000000</v>
      </c>
      <c r="AT31" t="s">
        <v>892</v>
      </c>
      <c r="AU31">
        <v>116068107</v>
      </c>
      <c r="AV31" t="s">
        <v>794</v>
      </c>
      <c r="AW31" t="s">
        <v>60</v>
      </c>
      <c r="AX31" t="s">
        <v>61</v>
      </c>
      <c r="AY31" t="s">
        <v>62</v>
      </c>
      <c r="AZ31" t="s">
        <v>638</v>
      </c>
    </row>
    <row r="32" spans="1:52" x14ac:dyDescent="0.3">
      <c r="A32" t="s">
        <v>1626</v>
      </c>
      <c r="B32" t="s">
        <v>50</v>
      </c>
      <c r="C32" t="s">
        <v>51</v>
      </c>
      <c r="D32">
        <v>766</v>
      </c>
      <c r="F32" t="s">
        <v>668</v>
      </c>
      <c r="G32" t="s">
        <v>52</v>
      </c>
      <c r="H32" t="s">
        <v>663</v>
      </c>
      <c r="I32" t="s">
        <v>54</v>
      </c>
      <c r="J32" t="s">
        <v>657</v>
      </c>
      <c r="K32">
        <v>7453</v>
      </c>
      <c r="L32">
        <v>2</v>
      </c>
      <c r="M32">
        <v>120000</v>
      </c>
      <c r="N32" t="s">
        <v>658</v>
      </c>
      <c r="O32" t="s">
        <v>893</v>
      </c>
      <c r="P32">
        <v>20251024</v>
      </c>
      <c r="Q32" t="s">
        <v>663</v>
      </c>
      <c r="R32">
        <v>202605</v>
      </c>
      <c r="S32" t="s">
        <v>663</v>
      </c>
      <c r="T32" t="s">
        <v>55</v>
      </c>
      <c r="U32" t="s">
        <v>663</v>
      </c>
      <c r="V32">
        <v>0</v>
      </c>
      <c r="W32">
        <v>0</v>
      </c>
      <c r="X32" t="s">
        <v>663</v>
      </c>
      <c r="Y32" t="s">
        <v>172</v>
      </c>
      <c r="Z32" t="s">
        <v>663</v>
      </c>
      <c r="AA32">
        <v>20251024</v>
      </c>
      <c r="AB32">
        <v>1</v>
      </c>
      <c r="AC32" t="s">
        <v>57</v>
      </c>
      <c r="AD32" t="s">
        <v>58</v>
      </c>
      <c r="AE32" t="s">
        <v>663</v>
      </c>
      <c r="AF32" t="s">
        <v>663</v>
      </c>
      <c r="AG32" t="s">
        <v>894</v>
      </c>
      <c r="AH32" t="s">
        <v>663</v>
      </c>
      <c r="AI32" t="s">
        <v>663</v>
      </c>
      <c r="AJ32" t="s">
        <v>663</v>
      </c>
      <c r="AK32" t="s">
        <v>663</v>
      </c>
      <c r="AL32" t="s">
        <v>663</v>
      </c>
      <c r="AM32">
        <v>0</v>
      </c>
      <c r="AN32" t="s">
        <v>895</v>
      </c>
      <c r="AO32" t="s">
        <v>59</v>
      </c>
      <c r="AP32">
        <v>-1815000</v>
      </c>
      <c r="AQ32">
        <v>1116750000</v>
      </c>
      <c r="AR32">
        <v>0</v>
      </c>
      <c r="AS32">
        <v>50000000</v>
      </c>
      <c r="AT32" t="s">
        <v>896</v>
      </c>
      <c r="AU32">
        <v>116077453</v>
      </c>
      <c r="AV32" t="s">
        <v>794</v>
      </c>
      <c r="AW32" t="s">
        <v>60</v>
      </c>
      <c r="AX32" t="s">
        <v>61</v>
      </c>
      <c r="AY32" t="s">
        <v>62</v>
      </c>
      <c r="AZ32" t="s">
        <v>638</v>
      </c>
    </row>
    <row r="33" spans="1:52" x14ac:dyDescent="0.3">
      <c r="A33" t="s">
        <v>1626</v>
      </c>
      <c r="B33" t="s">
        <v>50</v>
      </c>
      <c r="C33" t="s">
        <v>51</v>
      </c>
      <c r="D33">
        <v>766</v>
      </c>
      <c r="F33" t="s">
        <v>668</v>
      </c>
      <c r="G33" t="s">
        <v>52</v>
      </c>
      <c r="H33" t="s">
        <v>663</v>
      </c>
      <c r="I33" t="s">
        <v>54</v>
      </c>
      <c r="J33" t="s">
        <v>657</v>
      </c>
      <c r="K33">
        <v>5595</v>
      </c>
      <c r="L33">
        <v>2</v>
      </c>
      <c r="M33">
        <v>40000</v>
      </c>
      <c r="N33" t="s">
        <v>658</v>
      </c>
      <c r="O33" t="s">
        <v>889</v>
      </c>
      <c r="P33">
        <v>20251024</v>
      </c>
      <c r="Q33" t="s">
        <v>663</v>
      </c>
      <c r="R33">
        <v>202605</v>
      </c>
      <c r="S33" t="s">
        <v>663</v>
      </c>
      <c r="T33" t="s">
        <v>55</v>
      </c>
      <c r="U33" t="s">
        <v>663</v>
      </c>
      <c r="V33">
        <v>0</v>
      </c>
      <c r="W33">
        <v>0</v>
      </c>
      <c r="X33" t="s">
        <v>663</v>
      </c>
      <c r="Y33" t="s">
        <v>172</v>
      </c>
      <c r="Z33" t="s">
        <v>663</v>
      </c>
      <c r="AA33">
        <v>20251024</v>
      </c>
      <c r="AB33">
        <v>1</v>
      </c>
      <c r="AC33" t="s">
        <v>57</v>
      </c>
      <c r="AD33" t="s">
        <v>58</v>
      </c>
      <c r="AE33" t="s">
        <v>663</v>
      </c>
      <c r="AF33" t="s">
        <v>663</v>
      </c>
      <c r="AG33" t="s">
        <v>890</v>
      </c>
      <c r="AH33" t="s">
        <v>663</v>
      </c>
      <c r="AI33" t="s">
        <v>663</v>
      </c>
      <c r="AJ33" t="s">
        <v>663</v>
      </c>
      <c r="AK33" t="s">
        <v>663</v>
      </c>
      <c r="AL33" t="s">
        <v>663</v>
      </c>
      <c r="AM33">
        <v>0</v>
      </c>
      <c r="AN33" t="s">
        <v>897</v>
      </c>
      <c r="AO33" t="s">
        <v>59</v>
      </c>
      <c r="AP33">
        <v>-595000</v>
      </c>
      <c r="AQ33">
        <v>1116750000</v>
      </c>
      <c r="AR33">
        <v>0</v>
      </c>
      <c r="AS33">
        <v>50000000</v>
      </c>
      <c r="AT33" t="s">
        <v>898</v>
      </c>
      <c r="AU33">
        <v>116075595</v>
      </c>
      <c r="AV33" t="s">
        <v>794</v>
      </c>
      <c r="AW33" t="s">
        <v>60</v>
      </c>
      <c r="AX33" t="s">
        <v>61</v>
      </c>
      <c r="AY33" t="s">
        <v>62</v>
      </c>
      <c r="AZ33" t="s">
        <v>638</v>
      </c>
    </row>
    <row r="34" spans="1:52" x14ac:dyDescent="0.3">
      <c r="A34" t="s">
        <v>1626</v>
      </c>
      <c r="B34" t="s">
        <v>50</v>
      </c>
      <c r="C34" t="s">
        <v>51</v>
      </c>
      <c r="D34">
        <v>766</v>
      </c>
      <c r="F34" t="s">
        <v>668</v>
      </c>
      <c r="G34" t="s">
        <v>52</v>
      </c>
      <c r="H34" t="s">
        <v>663</v>
      </c>
      <c r="I34" t="s">
        <v>54</v>
      </c>
      <c r="J34" t="s">
        <v>657</v>
      </c>
      <c r="K34">
        <v>6142</v>
      </c>
      <c r="L34">
        <v>2</v>
      </c>
      <c r="M34">
        <v>180000</v>
      </c>
      <c r="N34" t="s">
        <v>658</v>
      </c>
      <c r="O34" t="s">
        <v>906</v>
      </c>
      <c r="P34">
        <v>20251027</v>
      </c>
      <c r="Q34" t="s">
        <v>663</v>
      </c>
      <c r="R34">
        <v>202605</v>
      </c>
      <c r="S34" t="s">
        <v>663</v>
      </c>
      <c r="T34" t="s">
        <v>55</v>
      </c>
      <c r="U34" t="s">
        <v>663</v>
      </c>
      <c r="V34">
        <v>0</v>
      </c>
      <c r="W34">
        <v>0</v>
      </c>
      <c r="X34" t="s">
        <v>663</v>
      </c>
      <c r="Y34" t="s">
        <v>172</v>
      </c>
      <c r="Z34" t="s">
        <v>663</v>
      </c>
      <c r="AA34">
        <v>20251027</v>
      </c>
      <c r="AB34">
        <v>1</v>
      </c>
      <c r="AC34" t="s">
        <v>57</v>
      </c>
      <c r="AD34" t="s">
        <v>58</v>
      </c>
      <c r="AE34" t="s">
        <v>663</v>
      </c>
      <c r="AF34" t="s">
        <v>663</v>
      </c>
      <c r="AG34" t="s">
        <v>907</v>
      </c>
      <c r="AH34" t="s">
        <v>663</v>
      </c>
      <c r="AI34" t="s">
        <v>663</v>
      </c>
      <c r="AJ34" t="s">
        <v>663</v>
      </c>
      <c r="AK34" t="s">
        <v>663</v>
      </c>
      <c r="AL34" t="s">
        <v>663</v>
      </c>
      <c r="AM34">
        <v>0</v>
      </c>
      <c r="AN34" t="s">
        <v>908</v>
      </c>
      <c r="AO34" t="s">
        <v>59</v>
      </c>
      <c r="AP34">
        <v>-697500</v>
      </c>
      <c r="AQ34">
        <v>1116750000</v>
      </c>
      <c r="AR34">
        <v>0</v>
      </c>
      <c r="AS34">
        <v>50000000</v>
      </c>
      <c r="AT34" t="s">
        <v>909</v>
      </c>
      <c r="AU34">
        <v>116096142</v>
      </c>
      <c r="AV34" t="s">
        <v>794</v>
      </c>
      <c r="AW34" t="s">
        <v>60</v>
      </c>
      <c r="AX34" t="s">
        <v>61</v>
      </c>
      <c r="AY34" t="s">
        <v>62</v>
      </c>
      <c r="AZ34" t="s">
        <v>638</v>
      </c>
    </row>
    <row r="35" spans="1:52" x14ac:dyDescent="0.3">
      <c r="A35" t="s">
        <v>1626</v>
      </c>
      <c r="B35" t="s">
        <v>50</v>
      </c>
      <c r="C35" t="s">
        <v>51</v>
      </c>
      <c r="D35">
        <v>766</v>
      </c>
      <c r="F35" t="s">
        <v>668</v>
      </c>
      <c r="G35" t="s">
        <v>52</v>
      </c>
      <c r="H35" t="s">
        <v>663</v>
      </c>
      <c r="I35" t="s">
        <v>54</v>
      </c>
      <c r="J35" t="s">
        <v>657</v>
      </c>
      <c r="K35">
        <v>3128</v>
      </c>
      <c r="L35">
        <v>2</v>
      </c>
      <c r="M35">
        <v>20000</v>
      </c>
      <c r="N35" t="s">
        <v>658</v>
      </c>
      <c r="O35" t="s">
        <v>910</v>
      </c>
      <c r="P35">
        <v>20251028</v>
      </c>
      <c r="Q35" t="s">
        <v>663</v>
      </c>
      <c r="R35">
        <v>202605</v>
      </c>
      <c r="S35" t="s">
        <v>663</v>
      </c>
      <c r="T35" t="s">
        <v>55</v>
      </c>
      <c r="U35" t="s">
        <v>663</v>
      </c>
      <c r="V35">
        <v>0</v>
      </c>
      <c r="W35">
        <v>0</v>
      </c>
      <c r="X35" t="s">
        <v>663</v>
      </c>
      <c r="Y35" t="s">
        <v>172</v>
      </c>
      <c r="Z35" t="s">
        <v>663</v>
      </c>
      <c r="AA35">
        <v>20251028</v>
      </c>
      <c r="AB35">
        <v>1</v>
      </c>
      <c r="AC35" t="s">
        <v>57</v>
      </c>
      <c r="AD35" t="s">
        <v>58</v>
      </c>
      <c r="AE35" t="s">
        <v>663</v>
      </c>
      <c r="AF35" t="s">
        <v>663</v>
      </c>
      <c r="AG35" t="s">
        <v>911</v>
      </c>
      <c r="AH35" t="s">
        <v>663</v>
      </c>
      <c r="AI35" t="s">
        <v>663</v>
      </c>
      <c r="AJ35" t="s">
        <v>663</v>
      </c>
      <c r="AK35" t="s">
        <v>663</v>
      </c>
      <c r="AL35" t="s">
        <v>663</v>
      </c>
      <c r="AM35">
        <v>0</v>
      </c>
      <c r="AN35" t="s">
        <v>912</v>
      </c>
      <c r="AO35" t="s">
        <v>59</v>
      </c>
      <c r="AP35">
        <v>-27500</v>
      </c>
      <c r="AQ35">
        <v>1116750000</v>
      </c>
      <c r="AR35">
        <v>0</v>
      </c>
      <c r="AS35">
        <v>50000000</v>
      </c>
      <c r="AT35" t="s">
        <v>913</v>
      </c>
      <c r="AU35">
        <v>116113128</v>
      </c>
      <c r="AV35" t="s">
        <v>794</v>
      </c>
      <c r="AW35" t="s">
        <v>60</v>
      </c>
      <c r="AX35" t="s">
        <v>61</v>
      </c>
      <c r="AY35" t="s">
        <v>62</v>
      </c>
      <c r="AZ35" t="s">
        <v>638</v>
      </c>
    </row>
    <row r="36" spans="1:52" x14ac:dyDescent="0.3">
      <c r="A36" t="s">
        <v>1626</v>
      </c>
      <c r="B36" t="s">
        <v>50</v>
      </c>
      <c r="C36" t="s">
        <v>51</v>
      </c>
      <c r="D36">
        <v>766</v>
      </c>
      <c r="F36" t="s">
        <v>668</v>
      </c>
      <c r="G36" t="s">
        <v>52</v>
      </c>
      <c r="H36" t="s">
        <v>663</v>
      </c>
      <c r="I36" t="s">
        <v>54</v>
      </c>
      <c r="J36" t="s">
        <v>657</v>
      </c>
      <c r="K36">
        <v>2217</v>
      </c>
      <c r="L36">
        <v>2</v>
      </c>
      <c r="M36">
        <v>30000</v>
      </c>
      <c r="N36" t="s">
        <v>658</v>
      </c>
      <c r="O36" t="s">
        <v>914</v>
      </c>
      <c r="P36">
        <v>20251028</v>
      </c>
      <c r="Q36" t="s">
        <v>663</v>
      </c>
      <c r="R36">
        <v>202605</v>
      </c>
      <c r="S36" t="s">
        <v>663</v>
      </c>
      <c r="T36" t="s">
        <v>55</v>
      </c>
      <c r="U36" t="s">
        <v>663</v>
      </c>
      <c r="V36">
        <v>0</v>
      </c>
      <c r="W36">
        <v>0</v>
      </c>
      <c r="X36" t="s">
        <v>663</v>
      </c>
      <c r="Y36" t="s">
        <v>172</v>
      </c>
      <c r="Z36" t="s">
        <v>663</v>
      </c>
      <c r="AA36">
        <v>20251028</v>
      </c>
      <c r="AB36">
        <v>1</v>
      </c>
      <c r="AC36" t="s">
        <v>57</v>
      </c>
      <c r="AD36" t="s">
        <v>58</v>
      </c>
      <c r="AE36" t="s">
        <v>663</v>
      </c>
      <c r="AF36" t="s">
        <v>663</v>
      </c>
      <c r="AG36" t="s">
        <v>915</v>
      </c>
      <c r="AH36" t="s">
        <v>663</v>
      </c>
      <c r="AI36" t="s">
        <v>663</v>
      </c>
      <c r="AJ36" t="s">
        <v>663</v>
      </c>
      <c r="AK36" t="s">
        <v>663</v>
      </c>
      <c r="AL36" t="s">
        <v>663</v>
      </c>
      <c r="AM36">
        <v>0</v>
      </c>
      <c r="AN36" t="s">
        <v>821</v>
      </c>
      <c r="AO36" t="s">
        <v>59</v>
      </c>
      <c r="AP36">
        <v>18750</v>
      </c>
      <c r="AQ36">
        <v>1116750000</v>
      </c>
      <c r="AR36">
        <v>0</v>
      </c>
      <c r="AS36">
        <v>50000000</v>
      </c>
      <c r="AT36" t="s">
        <v>916</v>
      </c>
      <c r="AU36">
        <v>116112217</v>
      </c>
      <c r="AV36" t="s">
        <v>794</v>
      </c>
      <c r="AW36" t="s">
        <v>60</v>
      </c>
      <c r="AX36" t="s">
        <v>61</v>
      </c>
      <c r="AY36" t="s">
        <v>62</v>
      </c>
      <c r="AZ36" t="s">
        <v>638</v>
      </c>
    </row>
    <row r="37" spans="1:52" x14ac:dyDescent="0.3">
      <c r="A37" t="s">
        <v>1626</v>
      </c>
      <c r="B37" t="s">
        <v>50</v>
      </c>
      <c r="C37" t="s">
        <v>51</v>
      </c>
      <c r="D37">
        <v>766</v>
      </c>
      <c r="F37" t="s">
        <v>668</v>
      </c>
      <c r="G37" t="s">
        <v>52</v>
      </c>
      <c r="H37" t="s">
        <v>663</v>
      </c>
      <c r="I37" t="s">
        <v>54</v>
      </c>
      <c r="J37" t="s">
        <v>657</v>
      </c>
      <c r="K37">
        <v>2378</v>
      </c>
      <c r="L37">
        <v>2</v>
      </c>
      <c r="M37">
        <v>60000</v>
      </c>
      <c r="N37" t="s">
        <v>658</v>
      </c>
      <c r="O37" t="s">
        <v>917</v>
      </c>
      <c r="P37">
        <v>20251028</v>
      </c>
      <c r="Q37" t="s">
        <v>663</v>
      </c>
      <c r="R37">
        <v>202605</v>
      </c>
      <c r="S37" t="s">
        <v>663</v>
      </c>
      <c r="T37" t="s">
        <v>55</v>
      </c>
      <c r="U37" t="s">
        <v>663</v>
      </c>
      <c r="V37">
        <v>0</v>
      </c>
      <c r="W37">
        <v>0</v>
      </c>
      <c r="X37" t="s">
        <v>663</v>
      </c>
      <c r="Y37" t="s">
        <v>172</v>
      </c>
      <c r="Z37" t="s">
        <v>663</v>
      </c>
      <c r="AA37">
        <v>20251028</v>
      </c>
      <c r="AB37">
        <v>1</v>
      </c>
      <c r="AC37" t="s">
        <v>57</v>
      </c>
      <c r="AD37" t="s">
        <v>58</v>
      </c>
      <c r="AE37" t="s">
        <v>663</v>
      </c>
      <c r="AF37" t="s">
        <v>663</v>
      </c>
      <c r="AG37" t="s">
        <v>918</v>
      </c>
      <c r="AH37" t="s">
        <v>663</v>
      </c>
      <c r="AI37" t="s">
        <v>663</v>
      </c>
      <c r="AJ37" t="s">
        <v>663</v>
      </c>
      <c r="AK37" t="s">
        <v>663</v>
      </c>
      <c r="AL37" t="s">
        <v>663</v>
      </c>
      <c r="AM37">
        <v>0</v>
      </c>
      <c r="AN37" t="s">
        <v>670</v>
      </c>
      <c r="AO37" t="s">
        <v>59</v>
      </c>
      <c r="AP37">
        <v>45000</v>
      </c>
      <c r="AQ37">
        <v>1116750000</v>
      </c>
      <c r="AR37">
        <v>0</v>
      </c>
      <c r="AS37">
        <v>50000000</v>
      </c>
      <c r="AT37" t="s">
        <v>919</v>
      </c>
      <c r="AU37">
        <v>116112378</v>
      </c>
      <c r="AV37" t="s">
        <v>794</v>
      </c>
      <c r="AW37" t="s">
        <v>60</v>
      </c>
      <c r="AX37" t="s">
        <v>61</v>
      </c>
      <c r="AY37" t="s">
        <v>62</v>
      </c>
      <c r="AZ37" t="s">
        <v>638</v>
      </c>
    </row>
    <row r="38" spans="1:52" x14ac:dyDescent="0.3">
      <c r="A38" t="s">
        <v>1626</v>
      </c>
      <c r="B38" t="s">
        <v>50</v>
      </c>
      <c r="C38" t="s">
        <v>51</v>
      </c>
      <c r="D38">
        <v>766</v>
      </c>
      <c r="F38" t="s">
        <v>668</v>
      </c>
      <c r="G38" t="s">
        <v>52</v>
      </c>
      <c r="H38" t="s">
        <v>663</v>
      </c>
      <c r="I38" t="s">
        <v>54</v>
      </c>
      <c r="J38" t="s">
        <v>657</v>
      </c>
      <c r="K38">
        <v>4277</v>
      </c>
      <c r="L38">
        <v>2</v>
      </c>
      <c r="M38">
        <v>30000</v>
      </c>
      <c r="N38" t="s">
        <v>658</v>
      </c>
      <c r="O38" t="s">
        <v>920</v>
      </c>
      <c r="P38">
        <v>20251028</v>
      </c>
      <c r="Q38" t="s">
        <v>663</v>
      </c>
      <c r="R38">
        <v>202605</v>
      </c>
      <c r="S38" t="s">
        <v>663</v>
      </c>
      <c r="T38" t="s">
        <v>55</v>
      </c>
      <c r="U38" t="s">
        <v>663</v>
      </c>
      <c r="V38">
        <v>0</v>
      </c>
      <c r="W38">
        <v>0</v>
      </c>
      <c r="X38" t="s">
        <v>663</v>
      </c>
      <c r="Y38" t="s">
        <v>172</v>
      </c>
      <c r="Z38" t="s">
        <v>663</v>
      </c>
      <c r="AA38">
        <v>20251028</v>
      </c>
      <c r="AB38">
        <v>1</v>
      </c>
      <c r="AC38" t="s">
        <v>57</v>
      </c>
      <c r="AD38" t="s">
        <v>58</v>
      </c>
      <c r="AE38" t="s">
        <v>663</v>
      </c>
      <c r="AF38" t="s">
        <v>663</v>
      </c>
      <c r="AG38" t="s">
        <v>921</v>
      </c>
      <c r="AH38" t="s">
        <v>663</v>
      </c>
      <c r="AI38" t="s">
        <v>663</v>
      </c>
      <c r="AJ38" t="s">
        <v>663</v>
      </c>
      <c r="AK38" t="s">
        <v>663</v>
      </c>
      <c r="AL38" t="s">
        <v>663</v>
      </c>
      <c r="AM38">
        <v>0</v>
      </c>
      <c r="AN38" t="s">
        <v>821</v>
      </c>
      <c r="AO38" t="s">
        <v>59</v>
      </c>
      <c r="AP38">
        <v>60000</v>
      </c>
      <c r="AQ38">
        <v>1116750000</v>
      </c>
      <c r="AR38">
        <v>0</v>
      </c>
      <c r="AS38">
        <v>50000000</v>
      </c>
      <c r="AT38" t="s">
        <v>922</v>
      </c>
      <c r="AU38">
        <v>116104277</v>
      </c>
      <c r="AV38" t="s">
        <v>794</v>
      </c>
      <c r="AW38" t="s">
        <v>60</v>
      </c>
      <c r="AX38" t="s">
        <v>61</v>
      </c>
      <c r="AY38" t="s">
        <v>62</v>
      </c>
      <c r="AZ38" t="s">
        <v>638</v>
      </c>
    </row>
    <row r="39" spans="1:52" x14ac:dyDescent="0.3">
      <c r="A39" t="s">
        <v>1626</v>
      </c>
      <c r="B39" t="s">
        <v>50</v>
      </c>
      <c r="C39" t="s">
        <v>51</v>
      </c>
      <c r="D39">
        <v>766</v>
      </c>
      <c r="F39" t="s">
        <v>668</v>
      </c>
      <c r="G39" t="s">
        <v>52</v>
      </c>
      <c r="H39" t="s">
        <v>663</v>
      </c>
      <c r="I39" t="s">
        <v>54</v>
      </c>
      <c r="J39" t="s">
        <v>657</v>
      </c>
      <c r="K39">
        <v>5114</v>
      </c>
      <c r="L39">
        <v>2</v>
      </c>
      <c r="M39">
        <v>30000</v>
      </c>
      <c r="N39" t="s">
        <v>658</v>
      </c>
      <c r="O39" t="s">
        <v>917</v>
      </c>
      <c r="P39">
        <v>20251030</v>
      </c>
      <c r="Q39" t="s">
        <v>663</v>
      </c>
      <c r="R39">
        <v>202605</v>
      </c>
      <c r="S39" t="s">
        <v>663</v>
      </c>
      <c r="T39" t="s">
        <v>55</v>
      </c>
      <c r="U39" t="s">
        <v>663</v>
      </c>
      <c r="V39">
        <v>0</v>
      </c>
      <c r="W39">
        <v>0</v>
      </c>
      <c r="X39" t="s">
        <v>663</v>
      </c>
      <c r="Y39" t="s">
        <v>172</v>
      </c>
      <c r="Z39" t="s">
        <v>663</v>
      </c>
      <c r="AA39">
        <v>20251030</v>
      </c>
      <c r="AB39">
        <v>1</v>
      </c>
      <c r="AC39" t="s">
        <v>57</v>
      </c>
      <c r="AD39" t="s">
        <v>58</v>
      </c>
      <c r="AE39" t="s">
        <v>663</v>
      </c>
      <c r="AF39" t="s">
        <v>663</v>
      </c>
      <c r="AG39" t="s">
        <v>918</v>
      </c>
      <c r="AH39" t="s">
        <v>663</v>
      </c>
      <c r="AI39" t="s">
        <v>663</v>
      </c>
      <c r="AJ39" t="s">
        <v>663</v>
      </c>
      <c r="AK39" t="s">
        <v>663</v>
      </c>
      <c r="AL39" t="s">
        <v>663</v>
      </c>
      <c r="AM39">
        <v>0</v>
      </c>
      <c r="AN39" t="s">
        <v>821</v>
      </c>
      <c r="AO39" t="s">
        <v>59</v>
      </c>
      <c r="AP39">
        <v>22500</v>
      </c>
      <c r="AQ39">
        <v>1116750000</v>
      </c>
      <c r="AR39">
        <v>0</v>
      </c>
      <c r="AS39">
        <v>50000000</v>
      </c>
      <c r="AT39" t="s">
        <v>1470</v>
      </c>
      <c r="AU39">
        <v>116135114</v>
      </c>
      <c r="AV39" t="s">
        <v>794</v>
      </c>
      <c r="AW39" t="s">
        <v>60</v>
      </c>
      <c r="AX39" t="s">
        <v>61</v>
      </c>
      <c r="AY39" t="s">
        <v>62</v>
      </c>
      <c r="AZ39" t="s">
        <v>638</v>
      </c>
    </row>
    <row r="40" spans="1:52" x14ac:dyDescent="0.3">
      <c r="A40" t="s">
        <v>1626</v>
      </c>
      <c r="B40" t="s">
        <v>50</v>
      </c>
      <c r="C40" t="s">
        <v>51</v>
      </c>
      <c r="D40">
        <v>766</v>
      </c>
      <c r="F40" t="s">
        <v>668</v>
      </c>
      <c r="G40" t="s">
        <v>52</v>
      </c>
      <c r="H40" t="s">
        <v>663</v>
      </c>
      <c r="I40" t="s">
        <v>54</v>
      </c>
      <c r="J40" t="s">
        <v>657</v>
      </c>
      <c r="K40">
        <v>2920</v>
      </c>
      <c r="L40">
        <v>2</v>
      </c>
      <c r="M40">
        <v>30000</v>
      </c>
      <c r="N40" t="s">
        <v>658</v>
      </c>
      <c r="O40" t="s">
        <v>1472</v>
      </c>
      <c r="P40">
        <v>20251031</v>
      </c>
      <c r="Q40" t="s">
        <v>663</v>
      </c>
      <c r="R40">
        <v>202605</v>
      </c>
      <c r="S40" t="s">
        <v>663</v>
      </c>
      <c r="T40" t="s">
        <v>55</v>
      </c>
      <c r="U40" t="s">
        <v>663</v>
      </c>
      <c r="V40">
        <v>0</v>
      </c>
      <c r="W40">
        <v>0</v>
      </c>
      <c r="X40" t="s">
        <v>663</v>
      </c>
      <c r="Y40" t="s">
        <v>172</v>
      </c>
      <c r="Z40" t="s">
        <v>663</v>
      </c>
      <c r="AA40">
        <v>20251031</v>
      </c>
      <c r="AB40">
        <v>1</v>
      </c>
      <c r="AC40" t="s">
        <v>57</v>
      </c>
      <c r="AD40" t="s">
        <v>58</v>
      </c>
      <c r="AE40" t="s">
        <v>663</v>
      </c>
      <c r="AF40" t="s">
        <v>663</v>
      </c>
      <c r="AG40" t="s">
        <v>1473</v>
      </c>
      <c r="AH40" t="s">
        <v>663</v>
      </c>
      <c r="AI40" t="s">
        <v>663</v>
      </c>
      <c r="AJ40" t="s">
        <v>663</v>
      </c>
      <c r="AK40" t="s">
        <v>663</v>
      </c>
      <c r="AL40" t="s">
        <v>663</v>
      </c>
      <c r="AM40">
        <v>0</v>
      </c>
      <c r="AN40" t="s">
        <v>821</v>
      </c>
      <c r="AO40" t="s">
        <v>59</v>
      </c>
      <c r="AP40">
        <v>210000</v>
      </c>
      <c r="AQ40">
        <v>1116750000</v>
      </c>
      <c r="AR40">
        <v>0</v>
      </c>
      <c r="AS40">
        <v>50000000</v>
      </c>
      <c r="AT40" t="s">
        <v>1474</v>
      </c>
      <c r="AU40">
        <v>116152920</v>
      </c>
      <c r="AV40" t="s">
        <v>794</v>
      </c>
      <c r="AW40" t="s">
        <v>60</v>
      </c>
      <c r="AX40" t="s">
        <v>61</v>
      </c>
      <c r="AY40" t="s">
        <v>62</v>
      </c>
      <c r="AZ40" t="s">
        <v>638</v>
      </c>
    </row>
    <row r="41" spans="1:52" x14ac:dyDescent="0.3">
      <c r="A41" t="s">
        <v>1626</v>
      </c>
      <c r="B41" t="s">
        <v>50</v>
      </c>
      <c r="C41" t="s">
        <v>51</v>
      </c>
      <c r="D41">
        <v>766</v>
      </c>
      <c r="F41" t="s">
        <v>668</v>
      </c>
      <c r="G41" t="s">
        <v>52</v>
      </c>
      <c r="H41" t="s">
        <v>663</v>
      </c>
      <c r="I41" t="s">
        <v>54</v>
      </c>
      <c r="J41" t="s">
        <v>657</v>
      </c>
      <c r="K41">
        <v>69</v>
      </c>
      <c r="L41">
        <v>2</v>
      </c>
      <c r="M41">
        <v>370000</v>
      </c>
      <c r="N41" t="s">
        <v>658</v>
      </c>
      <c r="O41" t="s">
        <v>1476</v>
      </c>
      <c r="P41">
        <v>20251103</v>
      </c>
      <c r="Q41" t="s">
        <v>663</v>
      </c>
      <c r="R41">
        <v>202605</v>
      </c>
      <c r="S41" t="s">
        <v>663</v>
      </c>
      <c r="T41" t="s">
        <v>55</v>
      </c>
      <c r="U41" t="s">
        <v>663</v>
      </c>
      <c r="V41">
        <v>0</v>
      </c>
      <c r="W41">
        <v>0</v>
      </c>
      <c r="X41" t="s">
        <v>663</v>
      </c>
      <c r="Y41" t="s">
        <v>172</v>
      </c>
      <c r="Z41" t="s">
        <v>663</v>
      </c>
      <c r="AA41">
        <v>20251103</v>
      </c>
      <c r="AB41">
        <v>1</v>
      </c>
      <c r="AC41" t="s">
        <v>57</v>
      </c>
      <c r="AD41" t="s">
        <v>58</v>
      </c>
      <c r="AE41" t="s">
        <v>663</v>
      </c>
      <c r="AF41" t="s">
        <v>663</v>
      </c>
      <c r="AG41" t="s">
        <v>1477</v>
      </c>
      <c r="AH41" t="s">
        <v>663</v>
      </c>
      <c r="AI41" t="s">
        <v>663</v>
      </c>
      <c r="AJ41" t="s">
        <v>663</v>
      </c>
      <c r="AK41" t="s">
        <v>663</v>
      </c>
      <c r="AL41" t="s">
        <v>663</v>
      </c>
      <c r="AM41">
        <v>0</v>
      </c>
      <c r="AN41" t="s">
        <v>873</v>
      </c>
      <c r="AO41" t="s">
        <v>59</v>
      </c>
      <c r="AP41">
        <v>3515000</v>
      </c>
      <c r="AQ41">
        <v>1116750000</v>
      </c>
      <c r="AR41">
        <v>0</v>
      </c>
      <c r="AS41">
        <v>50000000</v>
      </c>
      <c r="AT41" t="s">
        <v>1478</v>
      </c>
      <c r="AU41">
        <v>116160069</v>
      </c>
      <c r="AV41" t="s">
        <v>794</v>
      </c>
      <c r="AW41" t="s">
        <v>60</v>
      </c>
      <c r="AX41" t="s">
        <v>61</v>
      </c>
      <c r="AY41" t="s">
        <v>62</v>
      </c>
      <c r="AZ41" t="s">
        <v>638</v>
      </c>
    </row>
    <row r="42" spans="1:52" x14ac:dyDescent="0.3">
      <c r="A42" t="s">
        <v>1626</v>
      </c>
      <c r="B42" t="s">
        <v>50</v>
      </c>
      <c r="C42" t="s">
        <v>51</v>
      </c>
      <c r="D42">
        <v>766</v>
      </c>
      <c r="F42" t="s">
        <v>668</v>
      </c>
      <c r="G42" t="s">
        <v>52</v>
      </c>
      <c r="H42" t="s">
        <v>663</v>
      </c>
      <c r="I42" t="s">
        <v>54</v>
      </c>
      <c r="J42" t="s">
        <v>657</v>
      </c>
      <c r="K42">
        <v>444</v>
      </c>
      <c r="L42">
        <v>2</v>
      </c>
      <c r="M42">
        <v>740000</v>
      </c>
      <c r="N42" t="s">
        <v>658</v>
      </c>
      <c r="O42" t="s">
        <v>1479</v>
      </c>
      <c r="P42">
        <v>20251103</v>
      </c>
      <c r="Q42" t="s">
        <v>663</v>
      </c>
      <c r="R42">
        <v>202605</v>
      </c>
      <c r="S42" t="s">
        <v>663</v>
      </c>
      <c r="T42" t="s">
        <v>55</v>
      </c>
      <c r="U42" t="s">
        <v>663</v>
      </c>
      <c r="V42">
        <v>0</v>
      </c>
      <c r="W42">
        <v>0</v>
      </c>
      <c r="X42" t="s">
        <v>663</v>
      </c>
      <c r="Y42" t="s">
        <v>172</v>
      </c>
      <c r="Z42" t="s">
        <v>663</v>
      </c>
      <c r="AA42">
        <v>20251103</v>
      </c>
      <c r="AB42">
        <v>1</v>
      </c>
      <c r="AC42" t="s">
        <v>57</v>
      </c>
      <c r="AD42" t="s">
        <v>58</v>
      </c>
      <c r="AE42" t="s">
        <v>663</v>
      </c>
      <c r="AF42" t="s">
        <v>663</v>
      </c>
      <c r="AG42" t="s">
        <v>1480</v>
      </c>
      <c r="AH42" t="s">
        <v>663</v>
      </c>
      <c r="AI42" t="s">
        <v>663</v>
      </c>
      <c r="AJ42" t="s">
        <v>663</v>
      </c>
      <c r="AK42" t="s">
        <v>663</v>
      </c>
      <c r="AL42" t="s">
        <v>663</v>
      </c>
      <c r="AM42">
        <v>0</v>
      </c>
      <c r="AN42" t="s">
        <v>1481</v>
      </c>
      <c r="AO42" t="s">
        <v>59</v>
      </c>
      <c r="AP42">
        <v>8047500</v>
      </c>
      <c r="AQ42">
        <v>1116750000</v>
      </c>
      <c r="AR42">
        <v>0</v>
      </c>
      <c r="AS42">
        <v>50000000</v>
      </c>
      <c r="AT42" t="s">
        <v>1482</v>
      </c>
      <c r="AU42">
        <v>116160444</v>
      </c>
      <c r="AV42" t="s">
        <v>794</v>
      </c>
      <c r="AW42" t="s">
        <v>60</v>
      </c>
      <c r="AX42" t="s">
        <v>61</v>
      </c>
      <c r="AY42" t="s">
        <v>62</v>
      </c>
      <c r="AZ42" t="s">
        <v>638</v>
      </c>
    </row>
    <row r="43" spans="1:52" x14ac:dyDescent="0.3">
      <c r="A43" t="s">
        <v>1626</v>
      </c>
      <c r="B43" t="s">
        <v>50</v>
      </c>
      <c r="C43" t="s">
        <v>51</v>
      </c>
      <c r="D43">
        <v>766</v>
      </c>
      <c r="F43" t="s">
        <v>668</v>
      </c>
      <c r="G43" t="s">
        <v>52</v>
      </c>
      <c r="H43" t="s">
        <v>663</v>
      </c>
      <c r="I43" t="s">
        <v>54</v>
      </c>
      <c r="J43" t="s">
        <v>657</v>
      </c>
      <c r="K43">
        <v>3938</v>
      </c>
      <c r="L43">
        <v>2</v>
      </c>
      <c r="M43">
        <v>30000</v>
      </c>
      <c r="N43" t="s">
        <v>658</v>
      </c>
      <c r="O43" t="s">
        <v>1483</v>
      </c>
      <c r="P43">
        <v>20251103</v>
      </c>
      <c r="Q43" t="s">
        <v>663</v>
      </c>
      <c r="R43">
        <v>202605</v>
      </c>
      <c r="S43" t="s">
        <v>663</v>
      </c>
      <c r="T43" t="s">
        <v>55</v>
      </c>
      <c r="U43" t="s">
        <v>663</v>
      </c>
      <c r="V43">
        <v>0</v>
      </c>
      <c r="W43">
        <v>0</v>
      </c>
      <c r="X43" t="s">
        <v>663</v>
      </c>
      <c r="Y43" t="s">
        <v>172</v>
      </c>
      <c r="Z43" t="s">
        <v>663</v>
      </c>
      <c r="AA43">
        <v>20251103</v>
      </c>
      <c r="AB43">
        <v>1</v>
      </c>
      <c r="AC43" t="s">
        <v>57</v>
      </c>
      <c r="AD43" t="s">
        <v>58</v>
      </c>
      <c r="AE43" t="s">
        <v>663</v>
      </c>
      <c r="AF43" t="s">
        <v>663</v>
      </c>
      <c r="AG43" t="s">
        <v>1484</v>
      </c>
      <c r="AH43" t="s">
        <v>663</v>
      </c>
      <c r="AI43" t="s">
        <v>663</v>
      </c>
      <c r="AJ43" t="s">
        <v>663</v>
      </c>
      <c r="AK43" t="s">
        <v>663</v>
      </c>
      <c r="AL43" t="s">
        <v>663</v>
      </c>
      <c r="AM43">
        <v>0</v>
      </c>
      <c r="AN43" t="s">
        <v>821</v>
      </c>
      <c r="AO43" t="s">
        <v>59</v>
      </c>
      <c r="AP43">
        <v>483750</v>
      </c>
      <c r="AQ43">
        <v>1116750000</v>
      </c>
      <c r="AR43">
        <v>0</v>
      </c>
      <c r="AS43">
        <v>50000000</v>
      </c>
      <c r="AT43" t="s">
        <v>1485</v>
      </c>
      <c r="AU43">
        <v>116163938</v>
      </c>
      <c r="AV43" t="s">
        <v>794</v>
      </c>
      <c r="AW43" t="s">
        <v>60</v>
      </c>
      <c r="AX43" t="s">
        <v>61</v>
      </c>
      <c r="AY43" t="s">
        <v>62</v>
      </c>
      <c r="AZ43" t="s">
        <v>638</v>
      </c>
    </row>
    <row r="44" spans="1:52" x14ac:dyDescent="0.3">
      <c r="A44" t="s">
        <v>1626</v>
      </c>
      <c r="B44" t="s">
        <v>50</v>
      </c>
      <c r="C44" t="s">
        <v>51</v>
      </c>
      <c r="D44">
        <v>766</v>
      </c>
      <c r="F44" t="s">
        <v>668</v>
      </c>
      <c r="G44" t="s">
        <v>52</v>
      </c>
      <c r="H44" t="s">
        <v>663</v>
      </c>
      <c r="I44" t="s">
        <v>54</v>
      </c>
      <c r="J44" t="s">
        <v>657</v>
      </c>
      <c r="K44">
        <v>3449</v>
      </c>
      <c r="L44">
        <v>2</v>
      </c>
      <c r="M44">
        <v>150000</v>
      </c>
      <c r="N44" t="s">
        <v>658</v>
      </c>
      <c r="O44" t="s">
        <v>1489</v>
      </c>
      <c r="P44">
        <v>20251104</v>
      </c>
      <c r="Q44" t="s">
        <v>663</v>
      </c>
      <c r="R44">
        <v>202605</v>
      </c>
      <c r="S44" t="s">
        <v>663</v>
      </c>
      <c r="T44" t="s">
        <v>55</v>
      </c>
      <c r="U44" t="s">
        <v>663</v>
      </c>
      <c r="V44">
        <v>0</v>
      </c>
      <c r="W44">
        <v>0</v>
      </c>
      <c r="X44" t="s">
        <v>663</v>
      </c>
      <c r="Y44" t="s">
        <v>172</v>
      </c>
      <c r="Z44" t="s">
        <v>663</v>
      </c>
      <c r="AA44">
        <v>20251104</v>
      </c>
      <c r="AB44">
        <v>1</v>
      </c>
      <c r="AC44" t="s">
        <v>57</v>
      </c>
      <c r="AD44" t="s">
        <v>58</v>
      </c>
      <c r="AE44" t="s">
        <v>663</v>
      </c>
      <c r="AF44" t="s">
        <v>663</v>
      </c>
      <c r="AG44" t="s">
        <v>1490</v>
      </c>
      <c r="AH44" t="s">
        <v>663</v>
      </c>
      <c r="AI44" t="s">
        <v>663</v>
      </c>
      <c r="AJ44" t="s">
        <v>663</v>
      </c>
      <c r="AK44" t="s">
        <v>663</v>
      </c>
      <c r="AL44" t="s">
        <v>663</v>
      </c>
      <c r="AM44">
        <v>0</v>
      </c>
      <c r="AN44" t="s">
        <v>885</v>
      </c>
      <c r="AO44" t="s">
        <v>59</v>
      </c>
      <c r="AP44">
        <v>1218750</v>
      </c>
      <c r="AQ44">
        <v>1116750000</v>
      </c>
      <c r="AR44">
        <v>0</v>
      </c>
      <c r="AS44">
        <v>50000000</v>
      </c>
      <c r="AT44" t="s">
        <v>1491</v>
      </c>
      <c r="AU44">
        <v>116173449</v>
      </c>
      <c r="AV44" t="s">
        <v>794</v>
      </c>
      <c r="AW44" t="s">
        <v>60</v>
      </c>
      <c r="AX44" t="s">
        <v>61</v>
      </c>
      <c r="AY44" t="s">
        <v>62</v>
      </c>
      <c r="AZ44" t="s">
        <v>638</v>
      </c>
    </row>
    <row r="45" spans="1:52" x14ac:dyDescent="0.3">
      <c r="A45" t="s">
        <v>1626</v>
      </c>
      <c r="B45" t="s">
        <v>50</v>
      </c>
      <c r="C45" t="s">
        <v>51</v>
      </c>
      <c r="D45">
        <v>766</v>
      </c>
      <c r="F45" t="s">
        <v>668</v>
      </c>
      <c r="G45" t="s">
        <v>52</v>
      </c>
      <c r="H45" t="s">
        <v>663</v>
      </c>
      <c r="I45" t="s">
        <v>54</v>
      </c>
      <c r="J45" t="s">
        <v>657</v>
      </c>
      <c r="K45">
        <v>3862</v>
      </c>
      <c r="L45">
        <v>2</v>
      </c>
      <c r="M45">
        <v>370000</v>
      </c>
      <c r="N45" t="s">
        <v>658</v>
      </c>
      <c r="O45" t="s">
        <v>1557</v>
      </c>
      <c r="P45">
        <v>20251117</v>
      </c>
      <c r="Q45" t="s">
        <v>663</v>
      </c>
      <c r="R45">
        <v>202605</v>
      </c>
      <c r="S45" t="s">
        <v>663</v>
      </c>
      <c r="T45" t="s">
        <v>55</v>
      </c>
      <c r="U45" t="s">
        <v>663</v>
      </c>
      <c r="V45">
        <v>0</v>
      </c>
      <c r="W45">
        <v>0</v>
      </c>
      <c r="X45" t="s">
        <v>663</v>
      </c>
      <c r="Y45" t="s">
        <v>172</v>
      </c>
      <c r="Z45" t="s">
        <v>663</v>
      </c>
      <c r="AA45">
        <v>20251117</v>
      </c>
      <c r="AB45">
        <v>1</v>
      </c>
      <c r="AC45" t="s">
        <v>57</v>
      </c>
      <c r="AD45" t="s">
        <v>58</v>
      </c>
      <c r="AE45" t="s">
        <v>663</v>
      </c>
      <c r="AF45" t="s">
        <v>663</v>
      </c>
      <c r="AG45" t="s">
        <v>1558</v>
      </c>
      <c r="AH45" t="s">
        <v>663</v>
      </c>
      <c r="AI45" t="s">
        <v>663</v>
      </c>
      <c r="AJ45" t="s">
        <v>663</v>
      </c>
      <c r="AK45" t="s">
        <v>663</v>
      </c>
      <c r="AL45" t="s">
        <v>663</v>
      </c>
      <c r="AM45">
        <v>0</v>
      </c>
      <c r="AN45" t="s">
        <v>873</v>
      </c>
      <c r="AO45" t="s">
        <v>59</v>
      </c>
      <c r="AP45">
        <v>10036250</v>
      </c>
      <c r="AQ45">
        <v>1116750000</v>
      </c>
      <c r="AR45">
        <v>0</v>
      </c>
      <c r="AS45">
        <v>50000000</v>
      </c>
      <c r="AT45" t="s">
        <v>1559</v>
      </c>
      <c r="AU45">
        <v>116283862</v>
      </c>
      <c r="AV45" t="s">
        <v>794</v>
      </c>
      <c r="AW45" t="s">
        <v>60</v>
      </c>
      <c r="AX45" t="s">
        <v>61</v>
      </c>
      <c r="AY45" t="s">
        <v>62</v>
      </c>
      <c r="AZ45" t="s">
        <v>638</v>
      </c>
    </row>
    <row r="46" spans="1:52" x14ac:dyDescent="0.3">
      <c r="A46" t="s">
        <v>1626</v>
      </c>
      <c r="B46" t="s">
        <v>50</v>
      </c>
      <c r="C46" t="s">
        <v>51</v>
      </c>
      <c r="D46">
        <v>766</v>
      </c>
      <c r="F46" t="s">
        <v>668</v>
      </c>
      <c r="G46" t="s">
        <v>52</v>
      </c>
      <c r="H46" t="s">
        <v>663</v>
      </c>
      <c r="I46" t="s">
        <v>54</v>
      </c>
      <c r="J46" t="s">
        <v>657</v>
      </c>
      <c r="K46">
        <v>6895</v>
      </c>
      <c r="L46">
        <v>2</v>
      </c>
      <c r="M46">
        <v>150000</v>
      </c>
      <c r="N46" t="s">
        <v>658</v>
      </c>
      <c r="O46" t="s">
        <v>1560</v>
      </c>
      <c r="P46">
        <v>20251118</v>
      </c>
      <c r="Q46" t="s">
        <v>663</v>
      </c>
      <c r="R46">
        <v>202605</v>
      </c>
      <c r="S46" t="s">
        <v>663</v>
      </c>
      <c r="T46" t="s">
        <v>55</v>
      </c>
      <c r="U46" t="s">
        <v>663</v>
      </c>
      <c r="V46">
        <v>0</v>
      </c>
      <c r="W46">
        <v>0</v>
      </c>
      <c r="X46" t="s">
        <v>663</v>
      </c>
      <c r="Y46" t="s">
        <v>172</v>
      </c>
      <c r="Z46" t="s">
        <v>663</v>
      </c>
      <c r="AA46">
        <v>20251118</v>
      </c>
      <c r="AB46">
        <v>1</v>
      </c>
      <c r="AC46" t="s">
        <v>57</v>
      </c>
      <c r="AD46" t="s">
        <v>58</v>
      </c>
      <c r="AE46" t="s">
        <v>663</v>
      </c>
      <c r="AF46" t="s">
        <v>663</v>
      </c>
      <c r="AG46" t="s">
        <v>1561</v>
      </c>
      <c r="AH46" t="s">
        <v>663</v>
      </c>
      <c r="AI46" t="s">
        <v>663</v>
      </c>
      <c r="AJ46" t="s">
        <v>663</v>
      </c>
      <c r="AK46" t="s">
        <v>663</v>
      </c>
      <c r="AL46" t="s">
        <v>663</v>
      </c>
      <c r="AM46">
        <v>0</v>
      </c>
      <c r="AN46" t="s">
        <v>885</v>
      </c>
      <c r="AO46" t="s">
        <v>59</v>
      </c>
      <c r="AP46">
        <v>3843750</v>
      </c>
      <c r="AQ46">
        <v>1116750000</v>
      </c>
      <c r="AR46">
        <v>0</v>
      </c>
      <c r="AS46">
        <v>50000000</v>
      </c>
      <c r="AT46" t="s">
        <v>1562</v>
      </c>
      <c r="AU46">
        <v>116296895</v>
      </c>
      <c r="AV46" t="s">
        <v>794</v>
      </c>
      <c r="AW46" t="s">
        <v>60</v>
      </c>
      <c r="AX46" t="s">
        <v>61</v>
      </c>
      <c r="AY46" t="s">
        <v>62</v>
      </c>
      <c r="AZ46" t="s">
        <v>638</v>
      </c>
    </row>
    <row r="47" spans="1:52" x14ac:dyDescent="0.3">
      <c r="A47" t="s">
        <v>1626</v>
      </c>
      <c r="B47" t="s">
        <v>50</v>
      </c>
      <c r="C47" t="s">
        <v>51</v>
      </c>
      <c r="D47">
        <v>766</v>
      </c>
      <c r="F47" t="s">
        <v>668</v>
      </c>
      <c r="G47" t="s">
        <v>52</v>
      </c>
      <c r="H47" t="s">
        <v>663</v>
      </c>
      <c r="I47" t="s">
        <v>54</v>
      </c>
      <c r="J47" t="s">
        <v>1499</v>
      </c>
      <c r="K47">
        <v>7940</v>
      </c>
      <c r="L47">
        <v>2</v>
      </c>
      <c r="M47">
        <v>220000</v>
      </c>
      <c r="N47" t="s">
        <v>1500</v>
      </c>
      <c r="O47" t="s">
        <v>1501</v>
      </c>
      <c r="P47">
        <v>20251106</v>
      </c>
      <c r="Q47" t="s">
        <v>663</v>
      </c>
      <c r="R47">
        <v>202607</v>
      </c>
      <c r="S47" t="s">
        <v>663</v>
      </c>
      <c r="T47" t="s">
        <v>55</v>
      </c>
      <c r="U47" t="s">
        <v>663</v>
      </c>
      <c r="V47">
        <v>0</v>
      </c>
      <c r="W47">
        <v>0</v>
      </c>
      <c r="X47" t="s">
        <v>663</v>
      </c>
      <c r="Y47" t="s">
        <v>172</v>
      </c>
      <c r="Z47" t="s">
        <v>663</v>
      </c>
      <c r="AA47">
        <v>20251106</v>
      </c>
      <c r="AB47">
        <v>1</v>
      </c>
      <c r="AC47" t="s">
        <v>57</v>
      </c>
      <c r="AD47" t="s">
        <v>58</v>
      </c>
      <c r="AE47" t="s">
        <v>663</v>
      </c>
      <c r="AF47" t="s">
        <v>663</v>
      </c>
      <c r="AG47" t="s">
        <v>1502</v>
      </c>
      <c r="AH47" t="s">
        <v>663</v>
      </c>
      <c r="AI47" t="s">
        <v>663</v>
      </c>
      <c r="AJ47" t="s">
        <v>663</v>
      </c>
      <c r="AK47" t="s">
        <v>663</v>
      </c>
      <c r="AL47" t="s">
        <v>663</v>
      </c>
      <c r="AM47">
        <v>0</v>
      </c>
      <c r="AN47" t="s">
        <v>1503</v>
      </c>
      <c r="AO47" t="s">
        <v>59</v>
      </c>
      <c r="AP47">
        <v>1347500</v>
      </c>
      <c r="AQ47">
        <v>1125750000</v>
      </c>
      <c r="AR47">
        <v>0</v>
      </c>
      <c r="AS47">
        <v>50000000</v>
      </c>
      <c r="AT47" t="s">
        <v>1504</v>
      </c>
      <c r="AU47">
        <v>116197940</v>
      </c>
      <c r="AV47" t="s">
        <v>794</v>
      </c>
      <c r="AW47" t="s">
        <v>60</v>
      </c>
      <c r="AX47" t="s">
        <v>61</v>
      </c>
      <c r="AY47" t="s">
        <v>62</v>
      </c>
      <c r="AZ47" t="s">
        <v>638</v>
      </c>
    </row>
    <row r="48" spans="1:52" x14ac:dyDescent="0.3">
      <c r="A48" t="s">
        <v>1626</v>
      </c>
      <c r="B48" t="s">
        <v>50</v>
      </c>
      <c r="C48" t="s">
        <v>51</v>
      </c>
      <c r="D48">
        <v>766</v>
      </c>
      <c r="F48" t="s">
        <v>668</v>
      </c>
      <c r="G48" t="s">
        <v>52</v>
      </c>
      <c r="H48" t="s">
        <v>663</v>
      </c>
      <c r="I48" t="s">
        <v>54</v>
      </c>
      <c r="J48" t="s">
        <v>831</v>
      </c>
      <c r="K48">
        <v>3585</v>
      </c>
      <c r="L48">
        <v>2</v>
      </c>
      <c r="M48">
        <v>40000</v>
      </c>
      <c r="N48" t="s">
        <v>832</v>
      </c>
      <c r="O48" t="s">
        <v>1607</v>
      </c>
      <c r="P48">
        <v>20251126</v>
      </c>
      <c r="Q48" t="s">
        <v>663</v>
      </c>
      <c r="R48">
        <v>202603</v>
      </c>
      <c r="S48" t="s">
        <v>663</v>
      </c>
      <c r="T48" t="s">
        <v>55</v>
      </c>
      <c r="U48" t="s">
        <v>663</v>
      </c>
      <c r="V48">
        <v>0</v>
      </c>
      <c r="W48">
        <v>0</v>
      </c>
      <c r="X48" t="s">
        <v>663</v>
      </c>
      <c r="Y48" t="s">
        <v>172</v>
      </c>
      <c r="Z48" t="s">
        <v>663</v>
      </c>
      <c r="AA48">
        <v>20251126</v>
      </c>
      <c r="AB48">
        <v>1</v>
      </c>
      <c r="AC48" t="s">
        <v>57</v>
      </c>
      <c r="AD48" t="s">
        <v>659</v>
      </c>
      <c r="AE48" t="s">
        <v>663</v>
      </c>
      <c r="AF48" t="s">
        <v>663</v>
      </c>
      <c r="AG48" t="s">
        <v>1608</v>
      </c>
      <c r="AH48" t="s">
        <v>663</v>
      </c>
      <c r="AI48" t="s">
        <v>663</v>
      </c>
      <c r="AJ48" t="s">
        <v>663</v>
      </c>
      <c r="AK48" t="s">
        <v>663</v>
      </c>
      <c r="AL48" t="s">
        <v>663</v>
      </c>
      <c r="AM48">
        <v>0</v>
      </c>
      <c r="AN48" t="s">
        <v>897</v>
      </c>
      <c r="AO48" t="s">
        <v>59</v>
      </c>
      <c r="AP48">
        <v>110000</v>
      </c>
      <c r="AQ48">
        <v>534750000</v>
      </c>
      <c r="AR48">
        <v>0</v>
      </c>
      <c r="AS48">
        <v>50000000</v>
      </c>
      <c r="AT48" t="s">
        <v>1609</v>
      </c>
      <c r="AU48">
        <v>116373585</v>
      </c>
      <c r="AV48" t="s">
        <v>794</v>
      </c>
      <c r="AW48" t="s">
        <v>660</v>
      </c>
      <c r="AX48" t="s">
        <v>61</v>
      </c>
      <c r="AY48" t="s">
        <v>62</v>
      </c>
      <c r="AZ48" t="s">
        <v>640</v>
      </c>
    </row>
    <row r="49" spans="1:52" x14ac:dyDescent="0.3">
      <c r="A49" t="s">
        <v>1626</v>
      </c>
      <c r="B49" t="s">
        <v>50</v>
      </c>
      <c r="C49" t="s">
        <v>51</v>
      </c>
      <c r="D49">
        <v>766</v>
      </c>
      <c r="F49" t="s">
        <v>668</v>
      </c>
      <c r="G49" t="s">
        <v>52</v>
      </c>
      <c r="H49" t="s">
        <v>663</v>
      </c>
      <c r="I49" t="s">
        <v>54</v>
      </c>
      <c r="J49" t="s">
        <v>831</v>
      </c>
      <c r="K49">
        <v>3585</v>
      </c>
      <c r="L49">
        <v>2</v>
      </c>
      <c r="M49">
        <v>10000</v>
      </c>
      <c r="N49" t="s">
        <v>832</v>
      </c>
      <c r="O49" t="s">
        <v>1610</v>
      </c>
      <c r="P49">
        <v>20251126</v>
      </c>
      <c r="Q49" t="s">
        <v>663</v>
      </c>
      <c r="R49">
        <v>202603</v>
      </c>
      <c r="S49" t="s">
        <v>663</v>
      </c>
      <c r="T49" t="s">
        <v>55</v>
      </c>
      <c r="U49" t="s">
        <v>663</v>
      </c>
      <c r="V49">
        <v>0</v>
      </c>
      <c r="W49">
        <v>0</v>
      </c>
      <c r="X49" t="s">
        <v>663</v>
      </c>
      <c r="Y49" t="s">
        <v>172</v>
      </c>
      <c r="Z49" t="s">
        <v>663</v>
      </c>
      <c r="AA49">
        <v>20251126</v>
      </c>
      <c r="AB49">
        <v>1</v>
      </c>
      <c r="AC49" t="s">
        <v>57</v>
      </c>
      <c r="AD49" t="s">
        <v>659</v>
      </c>
      <c r="AE49" t="s">
        <v>663</v>
      </c>
      <c r="AF49" t="s">
        <v>663</v>
      </c>
      <c r="AG49" t="s">
        <v>1611</v>
      </c>
      <c r="AH49" t="s">
        <v>663</v>
      </c>
      <c r="AI49" t="s">
        <v>663</v>
      </c>
      <c r="AJ49" t="s">
        <v>663</v>
      </c>
      <c r="AK49" t="s">
        <v>663</v>
      </c>
      <c r="AL49" t="s">
        <v>663</v>
      </c>
      <c r="AM49">
        <v>0</v>
      </c>
      <c r="AN49" t="s">
        <v>669</v>
      </c>
      <c r="AO49" t="s">
        <v>59</v>
      </c>
      <c r="AP49">
        <v>31250</v>
      </c>
      <c r="AQ49">
        <v>534750000</v>
      </c>
      <c r="AR49">
        <v>0</v>
      </c>
      <c r="AS49">
        <v>50000000</v>
      </c>
      <c r="AT49" t="s">
        <v>1612</v>
      </c>
      <c r="AU49">
        <v>116373585</v>
      </c>
      <c r="AV49" t="s">
        <v>794</v>
      </c>
      <c r="AW49" t="s">
        <v>660</v>
      </c>
      <c r="AX49" t="s">
        <v>61</v>
      </c>
      <c r="AY49" t="s">
        <v>62</v>
      </c>
      <c r="AZ49" t="s">
        <v>640</v>
      </c>
    </row>
    <row r="50" spans="1:52" x14ac:dyDescent="0.3">
      <c r="A50" t="s">
        <v>1626</v>
      </c>
      <c r="B50" t="s">
        <v>50</v>
      </c>
      <c r="C50" t="s">
        <v>51</v>
      </c>
      <c r="D50">
        <v>766</v>
      </c>
      <c r="F50" t="s">
        <v>668</v>
      </c>
      <c r="G50" t="s">
        <v>52</v>
      </c>
      <c r="H50" t="s">
        <v>663</v>
      </c>
      <c r="I50" t="s">
        <v>54</v>
      </c>
      <c r="J50" t="s">
        <v>831</v>
      </c>
      <c r="K50">
        <v>3585</v>
      </c>
      <c r="L50">
        <v>2</v>
      </c>
      <c r="M50">
        <v>170000</v>
      </c>
      <c r="N50" t="s">
        <v>832</v>
      </c>
      <c r="O50" t="s">
        <v>1613</v>
      </c>
      <c r="P50">
        <v>20251126</v>
      </c>
      <c r="Q50" t="s">
        <v>663</v>
      </c>
      <c r="R50">
        <v>202603</v>
      </c>
      <c r="S50" t="s">
        <v>663</v>
      </c>
      <c r="T50" t="s">
        <v>55</v>
      </c>
      <c r="U50" t="s">
        <v>663</v>
      </c>
      <c r="V50">
        <v>0</v>
      </c>
      <c r="W50">
        <v>0</v>
      </c>
      <c r="X50" t="s">
        <v>663</v>
      </c>
      <c r="Y50" t="s">
        <v>172</v>
      </c>
      <c r="Z50" t="s">
        <v>663</v>
      </c>
      <c r="AA50">
        <v>20251126</v>
      </c>
      <c r="AB50">
        <v>1</v>
      </c>
      <c r="AC50" t="s">
        <v>57</v>
      </c>
      <c r="AD50" t="s">
        <v>659</v>
      </c>
      <c r="AE50" t="s">
        <v>663</v>
      </c>
      <c r="AF50" t="s">
        <v>663</v>
      </c>
      <c r="AG50" t="s">
        <v>1614</v>
      </c>
      <c r="AH50" t="s">
        <v>663</v>
      </c>
      <c r="AI50" t="s">
        <v>663</v>
      </c>
      <c r="AJ50" t="s">
        <v>663</v>
      </c>
      <c r="AK50" t="s">
        <v>663</v>
      </c>
      <c r="AL50" t="s">
        <v>663</v>
      </c>
      <c r="AM50">
        <v>0</v>
      </c>
      <c r="AN50" t="s">
        <v>1615</v>
      </c>
      <c r="AO50" t="s">
        <v>59</v>
      </c>
      <c r="AP50">
        <v>616250</v>
      </c>
      <c r="AQ50">
        <v>534750000</v>
      </c>
      <c r="AR50">
        <v>0</v>
      </c>
      <c r="AS50">
        <v>50000000</v>
      </c>
      <c r="AT50" t="s">
        <v>1616</v>
      </c>
      <c r="AU50">
        <v>116373585</v>
      </c>
      <c r="AV50" t="s">
        <v>794</v>
      </c>
      <c r="AW50" t="s">
        <v>660</v>
      </c>
      <c r="AX50" t="s">
        <v>61</v>
      </c>
      <c r="AY50" t="s">
        <v>62</v>
      </c>
      <c r="AZ50" t="s">
        <v>640</v>
      </c>
    </row>
    <row r="51" spans="1:52" x14ac:dyDescent="0.3">
      <c r="A51" t="s">
        <v>1626</v>
      </c>
      <c r="B51" t="s">
        <v>50</v>
      </c>
      <c r="C51" t="s">
        <v>51</v>
      </c>
      <c r="D51">
        <v>766</v>
      </c>
      <c r="F51" t="s">
        <v>668</v>
      </c>
      <c r="G51" t="s">
        <v>52</v>
      </c>
      <c r="H51" t="s">
        <v>663</v>
      </c>
      <c r="I51" t="s">
        <v>54</v>
      </c>
      <c r="J51" t="s">
        <v>1523</v>
      </c>
      <c r="L51">
        <v>1</v>
      </c>
      <c r="M51">
        <v>2500000000</v>
      </c>
      <c r="N51" t="s">
        <v>1524</v>
      </c>
      <c r="O51" t="s">
        <v>663</v>
      </c>
      <c r="P51">
        <v>20251030</v>
      </c>
      <c r="Q51" t="s">
        <v>663</v>
      </c>
      <c r="S51" t="s">
        <v>663</v>
      </c>
      <c r="T51" t="s">
        <v>1525</v>
      </c>
      <c r="U51" t="s">
        <v>663</v>
      </c>
      <c r="V51">
        <v>0</v>
      </c>
      <c r="W51">
        <v>20260129</v>
      </c>
      <c r="X51" t="s">
        <v>663</v>
      </c>
      <c r="Y51" t="s">
        <v>172</v>
      </c>
      <c r="Z51" t="s">
        <v>663</v>
      </c>
      <c r="AA51">
        <v>20251030</v>
      </c>
      <c r="AC51" t="s">
        <v>663</v>
      </c>
      <c r="AD51" t="s">
        <v>663</v>
      </c>
      <c r="AE51" t="s">
        <v>663</v>
      </c>
      <c r="AF51" t="s">
        <v>1526</v>
      </c>
      <c r="AG51" t="s">
        <v>1527</v>
      </c>
      <c r="AH51" t="s">
        <v>663</v>
      </c>
      <c r="AI51" t="s">
        <v>663</v>
      </c>
      <c r="AJ51" t="s">
        <v>663</v>
      </c>
      <c r="AK51" t="s">
        <v>663</v>
      </c>
      <c r="AL51" t="s">
        <v>663</v>
      </c>
      <c r="AM51">
        <v>2500000000</v>
      </c>
      <c r="AN51" t="s">
        <v>656</v>
      </c>
      <c r="AO51" t="s">
        <v>59</v>
      </c>
      <c r="AP51">
        <v>23750000</v>
      </c>
      <c r="AQ51">
        <v>9500000000</v>
      </c>
      <c r="AR51">
        <v>0</v>
      </c>
      <c r="AS51">
        <v>0</v>
      </c>
      <c r="AT51" t="s">
        <v>1528</v>
      </c>
      <c r="AV51" t="s">
        <v>794</v>
      </c>
      <c r="AW51" t="s">
        <v>663</v>
      </c>
      <c r="AX51" t="s">
        <v>663</v>
      </c>
      <c r="AY51" t="s">
        <v>663</v>
      </c>
      <c r="AZ51" t="s">
        <v>1537</v>
      </c>
    </row>
    <row r="52" spans="1:52" x14ac:dyDescent="0.3">
      <c r="A52" t="s">
        <v>1626</v>
      </c>
      <c r="B52" t="s">
        <v>50</v>
      </c>
      <c r="C52" t="s">
        <v>51</v>
      </c>
      <c r="D52">
        <v>766</v>
      </c>
      <c r="F52" t="s">
        <v>668</v>
      </c>
      <c r="G52" t="s">
        <v>52</v>
      </c>
      <c r="H52" t="s">
        <v>663</v>
      </c>
      <c r="I52" t="s">
        <v>54</v>
      </c>
      <c r="J52" t="s">
        <v>1521</v>
      </c>
      <c r="L52">
        <v>1</v>
      </c>
      <c r="M52">
        <v>2500000000</v>
      </c>
      <c r="N52" t="s">
        <v>1522</v>
      </c>
      <c r="O52" t="s">
        <v>663</v>
      </c>
      <c r="P52">
        <v>20251113</v>
      </c>
      <c r="Q52" t="s">
        <v>663</v>
      </c>
      <c r="S52" t="s">
        <v>663</v>
      </c>
      <c r="T52" t="s">
        <v>1525</v>
      </c>
      <c r="U52" t="s">
        <v>663</v>
      </c>
      <c r="V52">
        <v>0</v>
      </c>
      <c r="W52">
        <v>20260217</v>
      </c>
      <c r="X52" t="s">
        <v>663</v>
      </c>
      <c r="Y52" t="s">
        <v>172</v>
      </c>
      <c r="Z52" t="s">
        <v>663</v>
      </c>
      <c r="AA52">
        <v>20251113</v>
      </c>
      <c r="AC52" t="s">
        <v>663</v>
      </c>
      <c r="AD52" t="s">
        <v>663</v>
      </c>
      <c r="AE52" t="s">
        <v>663</v>
      </c>
      <c r="AF52" t="s">
        <v>1526</v>
      </c>
      <c r="AG52" t="s">
        <v>1529</v>
      </c>
      <c r="AH52" t="s">
        <v>663</v>
      </c>
      <c r="AI52" t="s">
        <v>663</v>
      </c>
      <c r="AJ52" t="s">
        <v>663</v>
      </c>
      <c r="AK52" t="s">
        <v>663</v>
      </c>
      <c r="AL52" t="s">
        <v>663</v>
      </c>
      <c r="AM52">
        <v>2500000000</v>
      </c>
      <c r="AN52" t="s">
        <v>656</v>
      </c>
      <c r="AO52" t="s">
        <v>59</v>
      </c>
      <c r="AP52">
        <v>23750000</v>
      </c>
      <c r="AQ52">
        <v>9500000000</v>
      </c>
      <c r="AR52">
        <v>0</v>
      </c>
      <c r="AS52">
        <v>0</v>
      </c>
      <c r="AT52" t="s">
        <v>1530</v>
      </c>
      <c r="AV52" t="s">
        <v>794</v>
      </c>
      <c r="AW52" t="s">
        <v>663</v>
      </c>
      <c r="AX52" t="s">
        <v>663</v>
      </c>
      <c r="AY52" t="s">
        <v>663</v>
      </c>
      <c r="AZ52" t="s">
        <v>1537</v>
      </c>
    </row>
    <row r="68" spans="45:46" x14ac:dyDescent="0.3">
      <c r="AS68" s="6"/>
      <c r="AT68" s="6"/>
    </row>
    <row r="69" spans="45:46" x14ac:dyDescent="0.3">
      <c r="AS69" s="6"/>
      <c r="AT69" s="6"/>
    </row>
  </sheetData>
  <phoneticPr fontId="31" type="noConversion"/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91E941-A5EB-4F59-804A-9D08D6C12A0A}">
  <dimension ref="A1:L577"/>
  <sheetViews>
    <sheetView workbookViewId="0">
      <selection activeCell="H400" sqref="H400"/>
    </sheetView>
  </sheetViews>
  <sheetFormatPr baseColWidth="10" defaultRowHeight="14.4" x14ac:dyDescent="0.3"/>
  <cols>
    <col min="1" max="1" width="22.21875" bestFit="1" customWidth="1"/>
    <col min="2" max="2" width="11.77734375" bestFit="1" customWidth="1"/>
    <col min="3" max="3" width="16.33203125" bestFit="1" customWidth="1"/>
    <col min="4" max="4" width="19.88671875" bestFit="1" customWidth="1"/>
    <col min="5" max="5" width="22" bestFit="1" customWidth="1"/>
    <col min="6" max="6" width="17.88671875" bestFit="1" customWidth="1"/>
    <col min="7" max="7" width="15.109375" bestFit="1" customWidth="1"/>
    <col min="8" max="8" width="19.88671875" bestFit="1" customWidth="1"/>
    <col min="9" max="9" width="19.21875" bestFit="1" customWidth="1"/>
    <col min="10" max="10" width="30.44140625" bestFit="1" customWidth="1"/>
    <col min="11" max="11" width="77.21875" bestFit="1" customWidth="1"/>
    <col min="12" max="12" width="20.21875" bestFit="1" customWidth="1"/>
  </cols>
  <sheetData>
    <row r="1" spans="1:12" x14ac:dyDescent="0.3">
      <c r="A1" t="s">
        <v>931</v>
      </c>
      <c r="B1" t="s">
        <v>926</v>
      </c>
      <c r="C1" t="s">
        <v>1450</v>
      </c>
      <c r="D1" t="s">
        <v>1451</v>
      </c>
      <c r="E1" t="s">
        <v>1452</v>
      </c>
      <c r="F1" t="s">
        <v>1453</v>
      </c>
      <c r="G1" t="s">
        <v>1454</v>
      </c>
      <c r="H1" t="s">
        <v>1455</v>
      </c>
      <c r="I1" t="s">
        <v>1456</v>
      </c>
      <c r="J1" t="s">
        <v>932</v>
      </c>
      <c r="K1" t="s">
        <v>933</v>
      </c>
      <c r="L1" t="s">
        <v>934</v>
      </c>
    </row>
    <row r="2" spans="1:12" x14ac:dyDescent="0.3">
      <c r="A2" s="95">
        <v>45996</v>
      </c>
      <c r="C2" s="123" t="s">
        <v>950</v>
      </c>
      <c r="D2">
        <v>42000</v>
      </c>
      <c r="E2">
        <v>42000</v>
      </c>
      <c r="F2">
        <v>42000</v>
      </c>
      <c r="G2">
        <v>1</v>
      </c>
      <c r="H2">
        <v>0</v>
      </c>
      <c r="K2" s="123"/>
      <c r="L2" s="123"/>
    </row>
    <row r="3" spans="1:12" x14ac:dyDescent="0.3">
      <c r="A3" s="95">
        <v>45996</v>
      </c>
      <c r="B3">
        <v>1</v>
      </c>
      <c r="C3" s="123" t="s">
        <v>185</v>
      </c>
      <c r="D3">
        <v>0</v>
      </c>
      <c r="E3">
        <v>-0.2</v>
      </c>
      <c r="F3">
        <v>0</v>
      </c>
      <c r="G3">
        <v>0</v>
      </c>
      <c r="H3">
        <v>6</v>
      </c>
      <c r="I3">
        <v>0</v>
      </c>
      <c r="J3">
        <v>5603</v>
      </c>
      <c r="K3" s="123" t="s">
        <v>943</v>
      </c>
      <c r="L3" s="123" t="s">
        <v>944</v>
      </c>
    </row>
    <row r="4" spans="1:12" x14ac:dyDescent="0.3">
      <c r="A4" s="95">
        <v>45996</v>
      </c>
      <c r="B4">
        <v>369</v>
      </c>
      <c r="C4" s="123" t="s">
        <v>801</v>
      </c>
      <c r="D4">
        <v>0</v>
      </c>
      <c r="E4">
        <v>0</v>
      </c>
      <c r="F4">
        <v>0</v>
      </c>
      <c r="G4">
        <v>0</v>
      </c>
      <c r="H4">
        <v>10</v>
      </c>
      <c r="I4">
        <v>0</v>
      </c>
      <c r="J4">
        <v>5848</v>
      </c>
      <c r="K4" s="123" t="s">
        <v>446</v>
      </c>
      <c r="L4" s="123" t="s">
        <v>965</v>
      </c>
    </row>
    <row r="5" spans="1:12" x14ac:dyDescent="0.3">
      <c r="A5" s="95">
        <v>45996</v>
      </c>
      <c r="B5">
        <v>519</v>
      </c>
      <c r="C5" s="123" t="s">
        <v>950</v>
      </c>
      <c r="D5">
        <v>15958.14</v>
      </c>
      <c r="E5">
        <v>15958.14</v>
      </c>
      <c r="F5">
        <v>15958.14</v>
      </c>
      <c r="G5">
        <v>1</v>
      </c>
      <c r="H5">
        <v>0</v>
      </c>
      <c r="I5">
        <v>351</v>
      </c>
      <c r="J5">
        <v>8959</v>
      </c>
      <c r="K5" s="123" t="s">
        <v>330</v>
      </c>
      <c r="L5" s="123" t="s">
        <v>960</v>
      </c>
    </row>
    <row r="6" spans="1:12" x14ac:dyDescent="0.3">
      <c r="A6" s="95">
        <v>45996</v>
      </c>
      <c r="B6">
        <v>12497</v>
      </c>
      <c r="C6" s="123" t="s">
        <v>185</v>
      </c>
      <c r="D6">
        <v>0</v>
      </c>
      <c r="E6">
        <v>0.24</v>
      </c>
      <c r="F6">
        <v>0</v>
      </c>
      <c r="G6">
        <v>1</v>
      </c>
      <c r="H6">
        <v>0</v>
      </c>
      <c r="I6">
        <v>4</v>
      </c>
      <c r="J6">
        <v>35761</v>
      </c>
      <c r="K6" s="123" t="s">
        <v>338</v>
      </c>
      <c r="L6" s="123" t="s">
        <v>1000</v>
      </c>
    </row>
    <row r="7" spans="1:12" x14ac:dyDescent="0.3">
      <c r="A7" s="95">
        <v>45996</v>
      </c>
      <c r="B7">
        <v>6020</v>
      </c>
      <c r="C7" s="123" t="s">
        <v>185</v>
      </c>
      <c r="D7">
        <v>0</v>
      </c>
      <c r="E7">
        <v>0.37</v>
      </c>
      <c r="F7">
        <v>0</v>
      </c>
      <c r="G7">
        <v>1</v>
      </c>
      <c r="H7">
        <v>0</v>
      </c>
      <c r="I7">
        <v>4</v>
      </c>
      <c r="J7">
        <v>33531</v>
      </c>
      <c r="K7" s="123" t="s">
        <v>203</v>
      </c>
      <c r="L7" s="123" t="s">
        <v>999</v>
      </c>
    </row>
    <row r="8" spans="1:12" x14ac:dyDescent="0.3">
      <c r="A8" s="95">
        <v>45996</v>
      </c>
      <c r="B8">
        <v>393</v>
      </c>
      <c r="C8" s="123" t="s">
        <v>185</v>
      </c>
      <c r="D8">
        <v>0</v>
      </c>
      <c r="E8">
        <v>0.18</v>
      </c>
      <c r="F8">
        <v>0</v>
      </c>
      <c r="G8">
        <v>1</v>
      </c>
      <c r="H8">
        <v>0</v>
      </c>
      <c r="I8">
        <v>4</v>
      </c>
      <c r="J8">
        <v>1169</v>
      </c>
      <c r="K8" s="123" t="s">
        <v>941</v>
      </c>
      <c r="L8" s="123" t="s">
        <v>942</v>
      </c>
    </row>
    <row r="9" spans="1:12" x14ac:dyDescent="0.3">
      <c r="A9" s="95">
        <v>45996</v>
      </c>
      <c r="B9">
        <v>783</v>
      </c>
      <c r="C9" s="123" t="s">
        <v>801</v>
      </c>
      <c r="D9">
        <v>0</v>
      </c>
      <c r="E9">
        <v>0</v>
      </c>
      <c r="F9">
        <v>0</v>
      </c>
      <c r="G9">
        <v>0</v>
      </c>
      <c r="H9">
        <v>7</v>
      </c>
      <c r="I9">
        <v>0</v>
      </c>
      <c r="J9">
        <v>15348</v>
      </c>
      <c r="K9" s="123" t="s">
        <v>384</v>
      </c>
      <c r="L9" s="123" t="s">
        <v>998</v>
      </c>
    </row>
    <row r="10" spans="1:12" x14ac:dyDescent="0.3">
      <c r="A10" s="95">
        <v>45996</v>
      </c>
      <c r="B10">
        <v>584</v>
      </c>
      <c r="C10" s="123" t="s">
        <v>185</v>
      </c>
      <c r="D10">
        <v>-8.0990000000000002</v>
      </c>
      <c r="E10">
        <v>-11548.88</v>
      </c>
      <c r="F10">
        <v>-8.048</v>
      </c>
      <c r="G10">
        <v>0</v>
      </c>
      <c r="H10">
        <v>181</v>
      </c>
      <c r="I10">
        <v>0</v>
      </c>
      <c r="J10">
        <v>8634</v>
      </c>
      <c r="K10" s="123" t="s">
        <v>200</v>
      </c>
      <c r="L10" s="123" t="s">
        <v>1026</v>
      </c>
    </row>
    <row r="11" spans="1:12" x14ac:dyDescent="0.3">
      <c r="A11" s="95">
        <v>45996</v>
      </c>
      <c r="B11">
        <v>2611</v>
      </c>
      <c r="C11" s="123" t="s">
        <v>801</v>
      </c>
      <c r="D11">
        <v>-8650</v>
      </c>
      <c r="E11">
        <v>-8650</v>
      </c>
      <c r="F11">
        <v>-8650</v>
      </c>
      <c r="G11">
        <v>0</v>
      </c>
      <c r="H11">
        <v>16</v>
      </c>
      <c r="I11">
        <v>0</v>
      </c>
      <c r="J11">
        <v>30836</v>
      </c>
      <c r="K11" s="123" t="s">
        <v>452</v>
      </c>
      <c r="L11" s="123" t="s">
        <v>1014</v>
      </c>
    </row>
    <row r="12" spans="1:12" x14ac:dyDescent="0.3">
      <c r="A12" s="95">
        <v>45996</v>
      </c>
      <c r="B12">
        <v>776</v>
      </c>
      <c r="C12" s="123" t="s">
        <v>950</v>
      </c>
      <c r="D12">
        <v>2193.7800000000002</v>
      </c>
      <c r="E12">
        <v>2193.7800000000002</v>
      </c>
      <c r="F12">
        <v>2193.7800000000002</v>
      </c>
      <c r="G12">
        <v>1</v>
      </c>
      <c r="H12">
        <v>0</v>
      </c>
      <c r="I12">
        <v>46</v>
      </c>
      <c r="J12">
        <v>16699</v>
      </c>
      <c r="K12" s="123" t="s">
        <v>261</v>
      </c>
      <c r="L12" s="123" t="s">
        <v>938</v>
      </c>
    </row>
    <row r="13" spans="1:12" x14ac:dyDescent="0.3">
      <c r="A13" s="95">
        <v>45996</v>
      </c>
      <c r="B13">
        <v>510</v>
      </c>
      <c r="C13" s="123" t="s">
        <v>185</v>
      </c>
      <c r="D13">
        <v>-0.52500000000000002</v>
      </c>
      <c r="E13">
        <v>-748.86</v>
      </c>
      <c r="F13">
        <v>-0.52200000000000002</v>
      </c>
      <c r="G13">
        <v>0</v>
      </c>
      <c r="H13">
        <v>686</v>
      </c>
      <c r="I13">
        <v>0</v>
      </c>
      <c r="J13">
        <v>8656</v>
      </c>
      <c r="K13" s="123" t="s">
        <v>1038</v>
      </c>
      <c r="L13" s="123" t="s">
        <v>1039</v>
      </c>
    </row>
    <row r="14" spans="1:12" x14ac:dyDescent="0.3">
      <c r="A14" s="95">
        <v>45996</v>
      </c>
      <c r="B14">
        <v>633</v>
      </c>
      <c r="C14" s="123" t="s">
        <v>950</v>
      </c>
      <c r="D14">
        <v>1600.63</v>
      </c>
      <c r="E14">
        <v>1600.63</v>
      </c>
      <c r="F14">
        <v>1600.63</v>
      </c>
      <c r="G14">
        <v>1</v>
      </c>
      <c r="H14">
        <v>0</v>
      </c>
      <c r="I14">
        <v>338</v>
      </c>
      <c r="J14">
        <v>4875</v>
      </c>
      <c r="K14" s="123" t="s">
        <v>546</v>
      </c>
      <c r="L14" s="123" t="s">
        <v>1023</v>
      </c>
    </row>
    <row r="15" spans="1:12" x14ac:dyDescent="0.3">
      <c r="A15" s="95">
        <v>45996</v>
      </c>
      <c r="B15">
        <v>626</v>
      </c>
      <c r="C15" s="123" t="s">
        <v>801</v>
      </c>
      <c r="D15">
        <v>6157.59</v>
      </c>
      <c r="E15">
        <v>6157.59</v>
      </c>
      <c r="F15">
        <v>6157.59</v>
      </c>
      <c r="G15">
        <v>1</v>
      </c>
      <c r="H15">
        <v>0</v>
      </c>
      <c r="I15">
        <v>24</v>
      </c>
      <c r="J15">
        <v>580</v>
      </c>
      <c r="K15" s="123" t="s">
        <v>345</v>
      </c>
      <c r="L15" s="123" t="s">
        <v>979</v>
      </c>
    </row>
    <row r="16" spans="1:12" x14ac:dyDescent="0.3">
      <c r="A16" s="95">
        <v>45996</v>
      </c>
      <c r="B16">
        <v>5</v>
      </c>
      <c r="C16" s="123" t="s">
        <v>185</v>
      </c>
      <c r="D16">
        <v>-90.747</v>
      </c>
      <c r="E16">
        <v>-129405.5</v>
      </c>
      <c r="F16">
        <v>-90.177999999999997</v>
      </c>
      <c r="G16">
        <v>0</v>
      </c>
      <c r="H16">
        <v>269</v>
      </c>
      <c r="I16">
        <v>0</v>
      </c>
      <c r="J16">
        <v>275</v>
      </c>
      <c r="K16" s="123" t="s">
        <v>360</v>
      </c>
      <c r="L16" s="123" t="s">
        <v>1079</v>
      </c>
    </row>
    <row r="17" spans="1:12" x14ac:dyDescent="0.3">
      <c r="A17" s="95">
        <v>45996</v>
      </c>
      <c r="B17">
        <v>757</v>
      </c>
      <c r="C17" s="123" t="s">
        <v>801</v>
      </c>
      <c r="D17">
        <v>0</v>
      </c>
      <c r="E17">
        <v>0</v>
      </c>
      <c r="F17">
        <v>0</v>
      </c>
      <c r="G17">
        <v>0</v>
      </c>
      <c r="H17">
        <v>32</v>
      </c>
      <c r="I17">
        <v>0</v>
      </c>
      <c r="J17">
        <v>13408</v>
      </c>
      <c r="K17" s="123" t="s">
        <v>274</v>
      </c>
      <c r="L17" s="123" t="s">
        <v>1001</v>
      </c>
    </row>
    <row r="18" spans="1:12" x14ac:dyDescent="0.3">
      <c r="A18" s="95">
        <v>45996</v>
      </c>
      <c r="B18">
        <v>1758</v>
      </c>
      <c r="C18" s="123" t="s">
        <v>185</v>
      </c>
      <c r="D18">
        <v>-6.3129999999999997</v>
      </c>
      <c r="E18">
        <v>-9002.11</v>
      </c>
      <c r="F18">
        <v>-6.2729999999999997</v>
      </c>
      <c r="G18">
        <v>0</v>
      </c>
      <c r="H18">
        <v>237</v>
      </c>
      <c r="I18">
        <v>0</v>
      </c>
      <c r="J18">
        <v>20565</v>
      </c>
      <c r="K18" s="123" t="s">
        <v>1171</v>
      </c>
      <c r="L18" s="123" t="s">
        <v>1172</v>
      </c>
    </row>
    <row r="19" spans="1:12" x14ac:dyDescent="0.3">
      <c r="A19" s="95">
        <v>45996</v>
      </c>
      <c r="B19">
        <v>534</v>
      </c>
      <c r="C19" s="123" t="s">
        <v>185</v>
      </c>
      <c r="D19">
        <v>1.4139999999999999</v>
      </c>
      <c r="E19">
        <v>2016.77</v>
      </c>
      <c r="F19">
        <v>1.405</v>
      </c>
      <c r="G19">
        <v>1</v>
      </c>
      <c r="H19">
        <v>0</v>
      </c>
      <c r="I19">
        <v>40</v>
      </c>
      <c r="J19">
        <v>3765</v>
      </c>
      <c r="K19" s="123" t="s">
        <v>1071</v>
      </c>
      <c r="L19" s="123" t="s">
        <v>1072</v>
      </c>
    </row>
    <row r="20" spans="1:12" x14ac:dyDescent="0.3">
      <c r="A20" s="95">
        <v>45996</v>
      </c>
      <c r="B20">
        <v>855</v>
      </c>
      <c r="C20" s="123" t="s">
        <v>188</v>
      </c>
      <c r="D20">
        <v>141.08000000000001</v>
      </c>
      <c r="E20">
        <v>141.08000000000001</v>
      </c>
      <c r="F20">
        <v>141.08000000000001</v>
      </c>
      <c r="G20">
        <v>1</v>
      </c>
      <c r="H20">
        <v>0</v>
      </c>
      <c r="I20">
        <v>790</v>
      </c>
      <c r="J20">
        <v>17742</v>
      </c>
      <c r="K20" s="123" t="s">
        <v>266</v>
      </c>
      <c r="L20" s="123" t="s">
        <v>1030</v>
      </c>
    </row>
    <row r="21" spans="1:12" x14ac:dyDescent="0.3">
      <c r="A21" s="95">
        <v>45996</v>
      </c>
      <c r="B21">
        <v>317</v>
      </c>
      <c r="C21" s="123" t="s">
        <v>185</v>
      </c>
      <c r="D21">
        <v>1.6E-2</v>
      </c>
      <c r="E21">
        <v>22.53</v>
      </c>
      <c r="F21">
        <v>1.6E-2</v>
      </c>
      <c r="G21">
        <v>1</v>
      </c>
      <c r="H21">
        <v>0</v>
      </c>
      <c r="I21">
        <v>213</v>
      </c>
      <c r="J21">
        <v>2217</v>
      </c>
      <c r="K21" s="123" t="s">
        <v>433</v>
      </c>
      <c r="L21" s="123" t="s">
        <v>1150</v>
      </c>
    </row>
    <row r="22" spans="1:12" x14ac:dyDescent="0.3">
      <c r="A22" s="95">
        <v>45996</v>
      </c>
      <c r="B22">
        <v>347</v>
      </c>
      <c r="C22" s="123" t="s">
        <v>185</v>
      </c>
      <c r="D22">
        <v>-0.05</v>
      </c>
      <c r="E22">
        <v>-71.790000000000006</v>
      </c>
      <c r="F22">
        <v>-0.05</v>
      </c>
      <c r="G22">
        <v>0</v>
      </c>
      <c r="H22">
        <v>601</v>
      </c>
      <c r="I22">
        <v>0</v>
      </c>
      <c r="J22">
        <v>7020</v>
      </c>
      <c r="K22" s="123" t="s">
        <v>223</v>
      </c>
      <c r="L22" s="123" t="s">
        <v>1165</v>
      </c>
    </row>
    <row r="23" spans="1:12" x14ac:dyDescent="0.3">
      <c r="A23" s="95">
        <v>45996</v>
      </c>
      <c r="B23">
        <v>509</v>
      </c>
      <c r="C23" s="123" t="s">
        <v>185</v>
      </c>
      <c r="D23">
        <v>-35.381999999999998</v>
      </c>
      <c r="E23">
        <v>-50454.63</v>
      </c>
      <c r="F23">
        <v>-35.159999999999997</v>
      </c>
      <c r="G23">
        <v>0</v>
      </c>
      <c r="H23">
        <v>6</v>
      </c>
      <c r="I23">
        <v>0</v>
      </c>
      <c r="J23">
        <v>8545</v>
      </c>
      <c r="K23" s="123" t="s">
        <v>414</v>
      </c>
      <c r="L23" s="123" t="s">
        <v>1107</v>
      </c>
    </row>
    <row r="24" spans="1:12" x14ac:dyDescent="0.3">
      <c r="A24" s="95">
        <v>45996</v>
      </c>
      <c r="B24">
        <v>7802</v>
      </c>
      <c r="C24" s="123" t="s">
        <v>950</v>
      </c>
      <c r="D24">
        <v>917.49</v>
      </c>
      <c r="E24">
        <v>917.49</v>
      </c>
      <c r="F24">
        <v>917.49</v>
      </c>
      <c r="G24">
        <v>1</v>
      </c>
      <c r="H24">
        <v>0</v>
      </c>
      <c r="J24">
        <v>35095</v>
      </c>
      <c r="K24" s="123" t="s">
        <v>1048</v>
      </c>
      <c r="L24" s="123" t="s">
        <v>1049</v>
      </c>
    </row>
    <row r="25" spans="1:12" x14ac:dyDescent="0.3">
      <c r="A25" s="95">
        <v>45996</v>
      </c>
      <c r="B25">
        <v>366</v>
      </c>
      <c r="C25" s="123" t="s">
        <v>950</v>
      </c>
      <c r="D25">
        <v>1110.5</v>
      </c>
      <c r="E25">
        <v>1110.5</v>
      </c>
      <c r="F25">
        <v>1110.5</v>
      </c>
      <c r="G25">
        <v>1</v>
      </c>
      <c r="H25">
        <v>0</v>
      </c>
      <c r="I25">
        <v>790</v>
      </c>
      <c r="J25">
        <v>7548</v>
      </c>
      <c r="K25" s="123" t="s">
        <v>620</v>
      </c>
      <c r="L25" s="123" t="s">
        <v>1108</v>
      </c>
    </row>
    <row r="26" spans="1:12" x14ac:dyDescent="0.3">
      <c r="A26" s="95">
        <v>45996</v>
      </c>
      <c r="B26">
        <v>722</v>
      </c>
      <c r="C26" s="123" t="s">
        <v>185</v>
      </c>
      <c r="D26">
        <v>1.4730000000000001</v>
      </c>
      <c r="E26">
        <v>2099.92</v>
      </c>
      <c r="F26">
        <v>1.4630000000000001</v>
      </c>
      <c r="G26">
        <v>1</v>
      </c>
      <c r="H26">
        <v>0</v>
      </c>
      <c r="I26">
        <v>45</v>
      </c>
      <c r="J26">
        <v>10057</v>
      </c>
      <c r="K26" s="123" t="s">
        <v>372</v>
      </c>
      <c r="L26" s="123" t="s">
        <v>1127</v>
      </c>
    </row>
    <row r="27" spans="1:12" x14ac:dyDescent="0.3">
      <c r="A27" s="95">
        <v>45996</v>
      </c>
      <c r="B27">
        <v>454</v>
      </c>
      <c r="C27" s="123" t="s">
        <v>185</v>
      </c>
      <c r="D27">
        <v>7.0490000000000004</v>
      </c>
      <c r="E27">
        <v>10052.299999999999</v>
      </c>
      <c r="F27">
        <v>7.0049999999999999</v>
      </c>
      <c r="G27">
        <v>1</v>
      </c>
      <c r="H27">
        <v>0</v>
      </c>
      <c r="I27">
        <v>16</v>
      </c>
      <c r="J27">
        <v>8172</v>
      </c>
      <c r="K27" s="123" t="s">
        <v>492</v>
      </c>
      <c r="L27" s="123" t="s">
        <v>1098</v>
      </c>
    </row>
    <row r="28" spans="1:12" x14ac:dyDescent="0.3">
      <c r="A28" s="95">
        <v>45996</v>
      </c>
      <c r="B28">
        <v>1464</v>
      </c>
      <c r="C28" s="123" t="s">
        <v>185</v>
      </c>
      <c r="D28">
        <v>2E-3</v>
      </c>
      <c r="E28">
        <v>2.34</v>
      </c>
      <c r="F28">
        <v>2E-3</v>
      </c>
      <c r="G28">
        <v>1</v>
      </c>
      <c r="H28">
        <v>0</v>
      </c>
      <c r="I28">
        <v>327</v>
      </c>
      <c r="J28">
        <v>19779</v>
      </c>
      <c r="K28" s="123" t="s">
        <v>215</v>
      </c>
      <c r="L28" s="123" t="s">
        <v>1285</v>
      </c>
    </row>
    <row r="29" spans="1:12" x14ac:dyDescent="0.3">
      <c r="A29" s="95">
        <v>45996</v>
      </c>
      <c r="B29">
        <v>1075</v>
      </c>
      <c r="C29" s="123" t="s">
        <v>188</v>
      </c>
      <c r="D29">
        <v>166.28</v>
      </c>
      <c r="E29">
        <v>166.28</v>
      </c>
      <c r="F29">
        <v>166.28</v>
      </c>
      <c r="G29">
        <v>1</v>
      </c>
      <c r="H29">
        <v>0</v>
      </c>
      <c r="I29">
        <v>460</v>
      </c>
      <c r="J29">
        <v>18781</v>
      </c>
      <c r="K29" s="123" t="s">
        <v>242</v>
      </c>
      <c r="L29" s="123" t="s">
        <v>1187</v>
      </c>
    </row>
    <row r="30" spans="1:12" x14ac:dyDescent="0.3">
      <c r="A30" s="95">
        <v>45996</v>
      </c>
      <c r="B30">
        <v>905</v>
      </c>
      <c r="C30" s="123" t="s">
        <v>950</v>
      </c>
      <c r="D30">
        <v>-10.85</v>
      </c>
      <c r="E30">
        <v>-10.85</v>
      </c>
      <c r="F30">
        <v>-10.85</v>
      </c>
      <c r="G30">
        <v>0</v>
      </c>
      <c r="H30">
        <v>11</v>
      </c>
      <c r="I30">
        <v>0</v>
      </c>
      <c r="J30">
        <v>18220</v>
      </c>
      <c r="K30" s="123" t="s">
        <v>531</v>
      </c>
      <c r="L30" s="123" t="s">
        <v>1121</v>
      </c>
    </row>
    <row r="31" spans="1:12" x14ac:dyDescent="0.3">
      <c r="A31" s="95">
        <v>45996</v>
      </c>
      <c r="B31">
        <v>334</v>
      </c>
      <c r="C31" s="123" t="s">
        <v>185</v>
      </c>
      <c r="D31">
        <v>-1.3939999999999999</v>
      </c>
      <c r="E31">
        <v>-1987.4</v>
      </c>
      <c r="F31">
        <v>-1.385</v>
      </c>
      <c r="G31">
        <v>0</v>
      </c>
      <c r="H31">
        <v>6</v>
      </c>
      <c r="I31">
        <v>0</v>
      </c>
      <c r="J31">
        <v>6886</v>
      </c>
      <c r="K31" s="123" t="s">
        <v>519</v>
      </c>
      <c r="L31" s="123" t="s">
        <v>1517</v>
      </c>
    </row>
    <row r="32" spans="1:12" x14ac:dyDescent="0.3">
      <c r="A32" s="95">
        <v>45996</v>
      </c>
      <c r="B32">
        <v>656</v>
      </c>
      <c r="C32" s="123" t="s">
        <v>185</v>
      </c>
      <c r="D32">
        <v>0</v>
      </c>
      <c r="E32">
        <v>0</v>
      </c>
      <c r="F32">
        <v>0</v>
      </c>
      <c r="G32">
        <v>0</v>
      </c>
      <c r="H32">
        <v>10</v>
      </c>
      <c r="I32">
        <v>0</v>
      </c>
      <c r="J32">
        <v>5003</v>
      </c>
      <c r="K32" s="123" t="s">
        <v>1153</v>
      </c>
      <c r="L32" s="123" t="s">
        <v>1154</v>
      </c>
    </row>
    <row r="33" spans="1:12" x14ac:dyDescent="0.3">
      <c r="A33" s="95">
        <v>45996</v>
      </c>
      <c r="B33">
        <v>477</v>
      </c>
      <c r="C33" s="123" t="s">
        <v>185</v>
      </c>
      <c r="D33">
        <v>0</v>
      </c>
      <c r="E33">
        <v>-0.01</v>
      </c>
      <c r="F33">
        <v>0</v>
      </c>
      <c r="G33">
        <v>0</v>
      </c>
      <c r="H33">
        <v>691</v>
      </c>
      <c r="I33">
        <v>0</v>
      </c>
      <c r="J33">
        <v>4377</v>
      </c>
      <c r="K33" s="123" t="s">
        <v>621</v>
      </c>
      <c r="L33" s="123" t="s">
        <v>1230</v>
      </c>
    </row>
    <row r="34" spans="1:12" x14ac:dyDescent="0.3">
      <c r="A34" s="95">
        <v>45996</v>
      </c>
      <c r="B34">
        <v>112</v>
      </c>
      <c r="C34" s="123" t="s">
        <v>185</v>
      </c>
      <c r="D34">
        <v>6.0000000000000001E-3</v>
      </c>
      <c r="E34">
        <v>8.69</v>
      </c>
      <c r="F34">
        <v>6.0000000000000001E-3</v>
      </c>
      <c r="G34">
        <v>1</v>
      </c>
      <c r="H34">
        <v>0</v>
      </c>
      <c r="I34">
        <v>9</v>
      </c>
      <c r="J34">
        <v>4429</v>
      </c>
      <c r="K34" s="123" t="s">
        <v>210</v>
      </c>
      <c r="L34" s="123" t="s">
        <v>1135</v>
      </c>
    </row>
    <row r="35" spans="1:12" x14ac:dyDescent="0.3">
      <c r="A35" s="95">
        <v>45996</v>
      </c>
      <c r="B35">
        <v>2783</v>
      </c>
      <c r="C35" s="123" t="s">
        <v>185</v>
      </c>
      <c r="D35">
        <v>-1.2430000000000001</v>
      </c>
      <c r="E35">
        <v>-1771.95</v>
      </c>
      <c r="F35">
        <v>-1.2350000000000001</v>
      </c>
      <c r="G35">
        <v>0</v>
      </c>
      <c r="H35">
        <v>98</v>
      </c>
      <c r="I35">
        <v>0</v>
      </c>
      <c r="J35">
        <v>31085</v>
      </c>
      <c r="K35" s="123" t="s">
        <v>1234</v>
      </c>
      <c r="L35" s="123" t="s">
        <v>1235</v>
      </c>
    </row>
    <row r="36" spans="1:12" x14ac:dyDescent="0.3">
      <c r="A36" s="95">
        <v>45996</v>
      </c>
      <c r="B36">
        <v>1235</v>
      </c>
      <c r="C36" s="123" t="s">
        <v>950</v>
      </c>
      <c r="D36">
        <v>286.27999999999997</v>
      </c>
      <c r="E36">
        <v>286.27999999999997</v>
      </c>
      <c r="F36">
        <v>286.27999999999997</v>
      </c>
      <c r="G36">
        <v>1</v>
      </c>
      <c r="H36">
        <v>0</v>
      </c>
      <c r="I36">
        <v>790</v>
      </c>
      <c r="J36">
        <v>19316</v>
      </c>
      <c r="K36" s="123" t="s">
        <v>377</v>
      </c>
      <c r="L36" s="123" t="s">
        <v>1239</v>
      </c>
    </row>
    <row r="37" spans="1:12" x14ac:dyDescent="0.3">
      <c r="A37" s="95">
        <v>45996</v>
      </c>
      <c r="B37">
        <v>578</v>
      </c>
      <c r="C37" s="123" t="s">
        <v>185</v>
      </c>
      <c r="D37">
        <v>-0.53300000000000003</v>
      </c>
      <c r="E37">
        <v>-759.72</v>
      </c>
      <c r="F37">
        <v>-0.52900000000000003</v>
      </c>
      <c r="G37">
        <v>0</v>
      </c>
      <c r="H37">
        <v>5</v>
      </c>
      <c r="I37">
        <v>0</v>
      </c>
      <c r="J37">
        <v>9066</v>
      </c>
      <c r="K37" s="123" t="s">
        <v>301</v>
      </c>
      <c r="L37" s="123" t="s">
        <v>1226</v>
      </c>
    </row>
    <row r="38" spans="1:12" x14ac:dyDescent="0.3">
      <c r="A38" s="95">
        <v>45996</v>
      </c>
      <c r="B38">
        <v>640</v>
      </c>
      <c r="C38" s="123" t="s">
        <v>185</v>
      </c>
      <c r="D38">
        <v>-521.20100000000002</v>
      </c>
      <c r="E38">
        <v>-743232.29</v>
      </c>
      <c r="F38">
        <v>-517.93200000000002</v>
      </c>
      <c r="G38">
        <v>0</v>
      </c>
      <c r="H38">
        <v>24</v>
      </c>
      <c r="I38">
        <v>0</v>
      </c>
      <c r="J38">
        <v>8261</v>
      </c>
      <c r="K38" s="123" t="s">
        <v>431</v>
      </c>
      <c r="L38" s="123" t="s">
        <v>1192</v>
      </c>
    </row>
    <row r="39" spans="1:12" x14ac:dyDescent="0.3">
      <c r="A39" s="95">
        <v>45996</v>
      </c>
      <c r="B39">
        <v>847</v>
      </c>
      <c r="C39" s="123" t="s">
        <v>185</v>
      </c>
      <c r="D39">
        <v>-4.1399999999999997</v>
      </c>
      <c r="E39">
        <v>-5904.19</v>
      </c>
      <c r="F39">
        <v>-4.1139999999999999</v>
      </c>
      <c r="G39">
        <v>0</v>
      </c>
      <c r="H39">
        <v>346</v>
      </c>
      <c r="I39">
        <v>0</v>
      </c>
      <c r="J39">
        <v>17681</v>
      </c>
      <c r="K39" s="123" t="s">
        <v>1209</v>
      </c>
      <c r="L39" s="123" t="s">
        <v>1210</v>
      </c>
    </row>
    <row r="40" spans="1:12" x14ac:dyDescent="0.3">
      <c r="A40" s="95">
        <v>45996</v>
      </c>
      <c r="B40">
        <v>81</v>
      </c>
      <c r="C40" s="123" t="s">
        <v>185</v>
      </c>
      <c r="D40">
        <v>-6.944</v>
      </c>
      <c r="E40">
        <v>-9901.48</v>
      </c>
      <c r="F40">
        <v>-6.9</v>
      </c>
      <c r="G40">
        <v>0</v>
      </c>
      <c r="H40">
        <v>297</v>
      </c>
      <c r="I40">
        <v>0</v>
      </c>
      <c r="J40">
        <v>3375</v>
      </c>
      <c r="K40" s="123" t="s">
        <v>465</v>
      </c>
      <c r="L40" s="123" t="s">
        <v>1317</v>
      </c>
    </row>
    <row r="41" spans="1:12" x14ac:dyDescent="0.3">
      <c r="A41" s="95">
        <v>45996</v>
      </c>
      <c r="B41">
        <v>974</v>
      </c>
      <c r="C41" s="123" t="s">
        <v>185</v>
      </c>
      <c r="D41">
        <v>35.753</v>
      </c>
      <c r="E41">
        <v>50983.44</v>
      </c>
      <c r="F41">
        <v>35.529000000000003</v>
      </c>
      <c r="G41">
        <v>1</v>
      </c>
      <c r="H41">
        <v>0</v>
      </c>
      <c r="I41">
        <v>2</v>
      </c>
      <c r="J41">
        <v>9551</v>
      </c>
      <c r="K41" s="123" t="s">
        <v>423</v>
      </c>
      <c r="L41" s="123" t="s">
        <v>1344</v>
      </c>
    </row>
    <row r="42" spans="1:12" x14ac:dyDescent="0.3">
      <c r="A42" s="95">
        <v>45996</v>
      </c>
      <c r="B42">
        <v>7</v>
      </c>
      <c r="C42" s="123" t="s">
        <v>185</v>
      </c>
      <c r="D42">
        <v>-1.5</v>
      </c>
      <c r="E42">
        <v>-2139.04</v>
      </c>
      <c r="F42">
        <v>-1.4910000000000001</v>
      </c>
      <c r="G42">
        <v>0</v>
      </c>
      <c r="H42">
        <v>4</v>
      </c>
      <c r="I42">
        <v>0</v>
      </c>
      <c r="J42">
        <v>5181</v>
      </c>
      <c r="K42" s="123" t="s">
        <v>212</v>
      </c>
      <c r="L42" s="123" t="s">
        <v>1238</v>
      </c>
    </row>
    <row r="43" spans="1:12" x14ac:dyDescent="0.3">
      <c r="A43" s="95">
        <v>45996</v>
      </c>
      <c r="B43">
        <v>971</v>
      </c>
      <c r="C43" s="123" t="s">
        <v>185</v>
      </c>
      <c r="D43">
        <v>0</v>
      </c>
      <c r="E43">
        <v>-0.16</v>
      </c>
      <c r="F43">
        <v>0</v>
      </c>
      <c r="G43">
        <v>0</v>
      </c>
      <c r="H43">
        <v>378</v>
      </c>
      <c r="I43">
        <v>0</v>
      </c>
      <c r="J43">
        <v>9355</v>
      </c>
      <c r="K43" s="123" t="s">
        <v>1337</v>
      </c>
      <c r="L43" s="123" t="s">
        <v>1338</v>
      </c>
    </row>
    <row r="44" spans="1:12" x14ac:dyDescent="0.3">
      <c r="A44" s="95">
        <v>45996</v>
      </c>
      <c r="B44">
        <v>800</v>
      </c>
      <c r="C44" s="123" t="s">
        <v>185</v>
      </c>
      <c r="D44">
        <v>11.484</v>
      </c>
      <c r="E44">
        <v>16376.3</v>
      </c>
      <c r="F44">
        <v>11.412000000000001</v>
      </c>
      <c r="G44">
        <v>1</v>
      </c>
      <c r="H44">
        <v>0</v>
      </c>
      <c r="I44">
        <v>4</v>
      </c>
      <c r="J44">
        <v>17065</v>
      </c>
      <c r="K44" s="123" t="s">
        <v>478</v>
      </c>
      <c r="L44" s="123" t="s">
        <v>1270</v>
      </c>
    </row>
    <row r="45" spans="1:12" x14ac:dyDescent="0.3">
      <c r="A45" s="95">
        <v>45996</v>
      </c>
      <c r="B45">
        <v>95</v>
      </c>
      <c r="C45" s="123" t="s">
        <v>950</v>
      </c>
      <c r="D45">
        <v>768.48</v>
      </c>
      <c r="E45">
        <v>768.48</v>
      </c>
      <c r="F45">
        <v>768.48</v>
      </c>
      <c r="G45">
        <v>1</v>
      </c>
      <c r="H45">
        <v>0</v>
      </c>
      <c r="I45">
        <v>740</v>
      </c>
      <c r="J45">
        <v>708</v>
      </c>
      <c r="K45" s="123" t="s">
        <v>1241</v>
      </c>
      <c r="L45" s="123" t="s">
        <v>1242</v>
      </c>
    </row>
    <row r="46" spans="1:12" x14ac:dyDescent="0.3">
      <c r="A46" s="95">
        <v>45996</v>
      </c>
      <c r="B46">
        <v>628</v>
      </c>
      <c r="C46" s="123" t="s">
        <v>950</v>
      </c>
      <c r="D46">
        <v>75204.61</v>
      </c>
      <c r="E46">
        <v>75204.61</v>
      </c>
      <c r="F46">
        <v>75204.61</v>
      </c>
      <c r="G46">
        <v>1</v>
      </c>
      <c r="H46">
        <v>0</v>
      </c>
      <c r="I46">
        <v>94</v>
      </c>
      <c r="J46">
        <v>9352</v>
      </c>
      <c r="K46" s="123" t="s">
        <v>425</v>
      </c>
      <c r="L46" s="123" t="s">
        <v>1336</v>
      </c>
    </row>
    <row r="47" spans="1:12" x14ac:dyDescent="0.3">
      <c r="A47" s="95">
        <v>45996</v>
      </c>
      <c r="B47">
        <v>2145</v>
      </c>
      <c r="C47" s="123" t="s">
        <v>801</v>
      </c>
      <c r="D47">
        <v>0</v>
      </c>
      <c r="E47">
        <v>0</v>
      </c>
      <c r="F47">
        <v>0</v>
      </c>
      <c r="G47">
        <v>0</v>
      </c>
      <c r="H47">
        <v>4</v>
      </c>
      <c r="I47">
        <v>0</v>
      </c>
      <c r="J47">
        <v>30078</v>
      </c>
      <c r="K47" s="123" t="s">
        <v>342</v>
      </c>
      <c r="L47" s="123" t="s">
        <v>1276</v>
      </c>
    </row>
    <row r="48" spans="1:12" x14ac:dyDescent="0.3">
      <c r="A48" s="95">
        <v>45996</v>
      </c>
      <c r="B48">
        <v>7876</v>
      </c>
      <c r="C48" s="123" t="s">
        <v>185</v>
      </c>
      <c r="D48">
        <v>10.118</v>
      </c>
      <c r="E48">
        <v>14428.34</v>
      </c>
      <c r="F48">
        <v>10.055</v>
      </c>
      <c r="G48">
        <v>1</v>
      </c>
      <c r="H48">
        <v>0</v>
      </c>
      <c r="I48">
        <v>22</v>
      </c>
      <c r="J48">
        <v>35163</v>
      </c>
      <c r="K48" s="123" t="s">
        <v>389</v>
      </c>
      <c r="L48" s="123" t="s">
        <v>1286</v>
      </c>
    </row>
    <row r="49" spans="1:12" x14ac:dyDescent="0.3">
      <c r="A49" s="95">
        <v>45996</v>
      </c>
      <c r="B49">
        <v>5820</v>
      </c>
      <c r="C49" s="123" t="s">
        <v>185</v>
      </c>
      <c r="D49">
        <v>1.651</v>
      </c>
      <c r="E49">
        <v>2353.91</v>
      </c>
      <c r="F49">
        <v>1.64</v>
      </c>
      <c r="G49">
        <v>1</v>
      </c>
      <c r="H49">
        <v>0</v>
      </c>
      <c r="I49">
        <v>790</v>
      </c>
      <c r="J49">
        <v>34059</v>
      </c>
      <c r="K49" s="123" t="s">
        <v>331</v>
      </c>
      <c r="L49" s="123" t="s">
        <v>1383</v>
      </c>
    </row>
    <row r="50" spans="1:12" x14ac:dyDescent="0.3">
      <c r="A50" s="95">
        <v>45996</v>
      </c>
      <c r="B50">
        <v>1244</v>
      </c>
      <c r="C50" s="123" t="s">
        <v>185</v>
      </c>
      <c r="D50">
        <v>1.042</v>
      </c>
      <c r="E50">
        <v>1486.23</v>
      </c>
      <c r="F50">
        <v>1.036</v>
      </c>
      <c r="G50">
        <v>1</v>
      </c>
      <c r="H50">
        <v>0</v>
      </c>
      <c r="I50">
        <v>46</v>
      </c>
      <c r="J50">
        <v>19327</v>
      </c>
      <c r="K50" s="123" t="s">
        <v>194</v>
      </c>
      <c r="L50" s="123" t="s">
        <v>1347</v>
      </c>
    </row>
    <row r="51" spans="1:12" x14ac:dyDescent="0.3">
      <c r="A51" s="95">
        <v>45996</v>
      </c>
      <c r="B51">
        <v>387</v>
      </c>
      <c r="C51" s="123" t="s">
        <v>185</v>
      </c>
      <c r="D51">
        <v>-145.958</v>
      </c>
      <c r="E51">
        <v>-208135.61</v>
      </c>
      <c r="F51">
        <v>-145.042</v>
      </c>
      <c r="G51">
        <v>0</v>
      </c>
      <c r="H51">
        <v>182</v>
      </c>
      <c r="I51">
        <v>0</v>
      </c>
      <c r="J51">
        <v>7412</v>
      </c>
      <c r="K51" s="123" t="s">
        <v>589</v>
      </c>
      <c r="L51" s="123" t="s">
        <v>1427</v>
      </c>
    </row>
    <row r="52" spans="1:12" x14ac:dyDescent="0.3">
      <c r="A52" s="95">
        <v>45996</v>
      </c>
      <c r="B52">
        <v>91</v>
      </c>
      <c r="C52" s="123" t="s">
        <v>185</v>
      </c>
      <c r="D52">
        <v>-653.01300000000003</v>
      </c>
      <c r="E52">
        <v>-931196.81</v>
      </c>
      <c r="F52">
        <v>-648.91800000000001</v>
      </c>
      <c r="G52">
        <v>0</v>
      </c>
      <c r="H52">
        <v>6</v>
      </c>
      <c r="I52">
        <v>0</v>
      </c>
      <c r="J52">
        <v>6122</v>
      </c>
      <c r="K52" s="123" t="s">
        <v>1300</v>
      </c>
      <c r="L52" s="123" t="s">
        <v>1301</v>
      </c>
    </row>
    <row r="53" spans="1:12" x14ac:dyDescent="0.3">
      <c r="A53" s="95">
        <v>45996</v>
      </c>
      <c r="B53">
        <v>1065</v>
      </c>
      <c r="C53" s="123" t="s">
        <v>185</v>
      </c>
      <c r="D53">
        <v>-133.066</v>
      </c>
      <c r="E53">
        <v>-189752.5</v>
      </c>
      <c r="F53">
        <v>-132.232</v>
      </c>
      <c r="G53">
        <v>0</v>
      </c>
      <c r="H53">
        <v>92</v>
      </c>
      <c r="I53">
        <v>0</v>
      </c>
      <c r="J53">
        <v>18751</v>
      </c>
      <c r="K53" s="123" t="s">
        <v>370</v>
      </c>
      <c r="L53" s="123" t="s">
        <v>1321</v>
      </c>
    </row>
    <row r="54" spans="1:12" x14ac:dyDescent="0.3">
      <c r="A54" s="95">
        <v>45996</v>
      </c>
      <c r="B54">
        <v>744</v>
      </c>
      <c r="C54" s="123" t="s">
        <v>801</v>
      </c>
      <c r="D54">
        <v>0</v>
      </c>
      <c r="E54">
        <v>0</v>
      </c>
      <c r="F54">
        <v>0</v>
      </c>
      <c r="G54">
        <v>0</v>
      </c>
      <c r="H54">
        <v>14</v>
      </c>
      <c r="I54">
        <v>0</v>
      </c>
      <c r="J54">
        <v>446</v>
      </c>
      <c r="K54" s="123" t="s">
        <v>1396</v>
      </c>
      <c r="L54" s="123" t="s">
        <v>1397</v>
      </c>
    </row>
    <row r="55" spans="1:12" x14ac:dyDescent="0.3">
      <c r="A55" s="95">
        <v>45996</v>
      </c>
      <c r="B55">
        <v>920</v>
      </c>
      <c r="C55" s="123" t="s">
        <v>185</v>
      </c>
      <c r="D55">
        <v>0</v>
      </c>
      <c r="E55">
        <v>-0.06</v>
      </c>
      <c r="F55">
        <v>0</v>
      </c>
      <c r="G55">
        <v>0</v>
      </c>
      <c r="H55">
        <v>5</v>
      </c>
      <c r="I55">
        <v>0</v>
      </c>
      <c r="J55">
        <v>18292</v>
      </c>
      <c r="K55" s="123" t="s">
        <v>243</v>
      </c>
      <c r="L55" s="123" t="s">
        <v>1315</v>
      </c>
    </row>
    <row r="56" spans="1:12" x14ac:dyDescent="0.3">
      <c r="A56" s="95">
        <v>45996</v>
      </c>
      <c r="B56">
        <v>6313</v>
      </c>
      <c r="C56" s="123" t="s">
        <v>185</v>
      </c>
      <c r="D56">
        <v>8.984</v>
      </c>
      <c r="E56">
        <v>12810.93</v>
      </c>
      <c r="F56">
        <v>8.9269999999999996</v>
      </c>
      <c r="G56">
        <v>1</v>
      </c>
      <c r="H56">
        <v>0</v>
      </c>
      <c r="I56">
        <v>4</v>
      </c>
      <c r="J56">
        <v>34424</v>
      </c>
      <c r="K56" s="123" t="s">
        <v>209</v>
      </c>
      <c r="L56" s="123" t="s">
        <v>1334</v>
      </c>
    </row>
    <row r="57" spans="1:12" x14ac:dyDescent="0.3">
      <c r="A57" s="95">
        <v>45996</v>
      </c>
      <c r="B57">
        <v>1361</v>
      </c>
      <c r="C57" s="123" t="s">
        <v>950</v>
      </c>
      <c r="D57">
        <v>8032.42</v>
      </c>
      <c r="E57">
        <v>8032.42</v>
      </c>
      <c r="F57">
        <v>8032.42</v>
      </c>
      <c r="G57">
        <v>1</v>
      </c>
      <c r="H57">
        <v>0</v>
      </c>
      <c r="J57">
        <v>19517</v>
      </c>
      <c r="K57" s="123" t="s">
        <v>647</v>
      </c>
      <c r="L57" s="123" t="s">
        <v>1399</v>
      </c>
    </row>
    <row r="58" spans="1:12" x14ac:dyDescent="0.3">
      <c r="A58" s="95">
        <v>45996</v>
      </c>
      <c r="B58">
        <v>11</v>
      </c>
      <c r="C58" s="123" t="s">
        <v>185</v>
      </c>
      <c r="D58">
        <v>0</v>
      </c>
      <c r="E58">
        <v>-0.65</v>
      </c>
      <c r="F58">
        <v>0</v>
      </c>
      <c r="G58">
        <v>0</v>
      </c>
      <c r="H58">
        <v>25</v>
      </c>
      <c r="I58">
        <v>0</v>
      </c>
      <c r="J58">
        <v>4671</v>
      </c>
      <c r="K58" s="123" t="s">
        <v>1423</v>
      </c>
      <c r="L58" s="123" t="s">
        <v>1424</v>
      </c>
    </row>
    <row r="59" spans="1:12" x14ac:dyDescent="0.3">
      <c r="A59" s="95">
        <v>45996</v>
      </c>
      <c r="B59">
        <v>770</v>
      </c>
      <c r="C59" s="123" t="s">
        <v>188</v>
      </c>
      <c r="D59">
        <v>1567.73</v>
      </c>
      <c r="E59">
        <v>1567.73</v>
      </c>
      <c r="F59">
        <v>1567.73</v>
      </c>
      <c r="G59">
        <v>1</v>
      </c>
      <c r="H59">
        <v>0</v>
      </c>
      <c r="I59">
        <v>790</v>
      </c>
      <c r="J59">
        <v>16903</v>
      </c>
      <c r="K59" s="123" t="s">
        <v>204</v>
      </c>
      <c r="L59" s="123" t="s">
        <v>1439</v>
      </c>
    </row>
    <row r="60" spans="1:12" x14ac:dyDescent="0.3">
      <c r="A60" s="95">
        <v>45996</v>
      </c>
      <c r="B60">
        <v>997</v>
      </c>
      <c r="C60" s="123" t="s">
        <v>950</v>
      </c>
      <c r="D60">
        <v>11999.06</v>
      </c>
      <c r="E60">
        <v>11999.06</v>
      </c>
      <c r="F60">
        <v>11999.06</v>
      </c>
      <c r="G60">
        <v>1</v>
      </c>
      <c r="H60">
        <v>0</v>
      </c>
      <c r="I60">
        <v>144</v>
      </c>
      <c r="J60">
        <v>17024</v>
      </c>
      <c r="K60" s="123" t="s">
        <v>1425</v>
      </c>
      <c r="L60" s="123" t="s">
        <v>1426</v>
      </c>
    </row>
    <row r="61" spans="1:12" x14ac:dyDescent="0.3">
      <c r="A61" s="95">
        <v>45996</v>
      </c>
      <c r="C61" s="123" t="s">
        <v>185</v>
      </c>
      <c r="D61">
        <v>348.48399999999998</v>
      </c>
      <c r="E61">
        <v>496938.69</v>
      </c>
      <c r="F61">
        <v>346.29899999999998</v>
      </c>
      <c r="G61">
        <v>1</v>
      </c>
      <c r="H61">
        <v>0</v>
      </c>
      <c r="K61" s="123"/>
      <c r="L61" s="123"/>
    </row>
    <row r="62" spans="1:12" x14ac:dyDescent="0.3">
      <c r="A62" s="95">
        <v>45996</v>
      </c>
      <c r="B62">
        <v>1</v>
      </c>
      <c r="C62" s="123" t="s">
        <v>188</v>
      </c>
      <c r="D62">
        <v>8465.24</v>
      </c>
      <c r="E62">
        <v>8465.24</v>
      </c>
      <c r="F62">
        <v>8465.24</v>
      </c>
      <c r="G62">
        <v>1</v>
      </c>
      <c r="H62">
        <v>0</v>
      </c>
      <c r="I62">
        <v>108</v>
      </c>
      <c r="J62">
        <v>5603</v>
      </c>
      <c r="K62" s="123" t="s">
        <v>943</v>
      </c>
      <c r="L62" s="123" t="s">
        <v>944</v>
      </c>
    </row>
    <row r="63" spans="1:12" x14ac:dyDescent="0.3">
      <c r="A63" s="95">
        <v>45996</v>
      </c>
      <c r="B63">
        <v>1240</v>
      </c>
      <c r="C63" s="123" t="s">
        <v>188</v>
      </c>
      <c r="D63">
        <v>7.85</v>
      </c>
      <c r="E63">
        <v>7.85</v>
      </c>
      <c r="F63">
        <v>7.85</v>
      </c>
      <c r="G63">
        <v>1</v>
      </c>
      <c r="H63">
        <v>0</v>
      </c>
      <c r="J63">
        <v>19320</v>
      </c>
      <c r="K63" s="123" t="s">
        <v>388</v>
      </c>
      <c r="L63" s="123" t="s">
        <v>974</v>
      </c>
    </row>
    <row r="64" spans="1:12" x14ac:dyDescent="0.3">
      <c r="A64" s="95">
        <v>45996</v>
      </c>
      <c r="B64">
        <v>519</v>
      </c>
      <c r="C64" s="123" t="s">
        <v>185</v>
      </c>
      <c r="D64">
        <v>-909.08799999999997</v>
      </c>
      <c r="E64">
        <v>-1296359.97</v>
      </c>
      <c r="F64">
        <v>-903.38699999999994</v>
      </c>
      <c r="G64">
        <v>0</v>
      </c>
      <c r="H64">
        <v>4</v>
      </c>
      <c r="I64">
        <v>0</v>
      </c>
      <c r="J64">
        <v>8959</v>
      </c>
      <c r="K64" s="123" t="s">
        <v>330</v>
      </c>
      <c r="L64" s="123" t="s">
        <v>960</v>
      </c>
    </row>
    <row r="65" spans="1:12" x14ac:dyDescent="0.3">
      <c r="A65" s="95">
        <v>45996</v>
      </c>
      <c r="B65">
        <v>1449</v>
      </c>
      <c r="C65" s="123" t="s">
        <v>185</v>
      </c>
      <c r="D65">
        <v>0</v>
      </c>
      <c r="E65">
        <v>0</v>
      </c>
      <c r="F65">
        <v>0</v>
      </c>
      <c r="G65">
        <v>0</v>
      </c>
      <c r="I65">
        <v>0</v>
      </c>
      <c r="J65">
        <v>3155</v>
      </c>
      <c r="K65" s="123" t="s">
        <v>328</v>
      </c>
      <c r="L65" s="123" t="s">
        <v>1013</v>
      </c>
    </row>
    <row r="66" spans="1:12" x14ac:dyDescent="0.3">
      <c r="A66" s="95">
        <v>45996</v>
      </c>
      <c r="B66">
        <v>6020</v>
      </c>
      <c r="C66" s="123" t="s">
        <v>801</v>
      </c>
      <c r="D66">
        <v>0</v>
      </c>
      <c r="E66">
        <v>0</v>
      </c>
      <c r="F66">
        <v>0</v>
      </c>
      <c r="G66">
        <v>0</v>
      </c>
      <c r="H66">
        <v>14</v>
      </c>
      <c r="I66">
        <v>0</v>
      </c>
      <c r="J66">
        <v>33531</v>
      </c>
      <c r="K66" s="123" t="s">
        <v>203</v>
      </c>
      <c r="L66" s="123" t="s">
        <v>999</v>
      </c>
    </row>
    <row r="67" spans="1:12" x14ac:dyDescent="0.3">
      <c r="A67" s="95">
        <v>45996</v>
      </c>
      <c r="B67">
        <v>393</v>
      </c>
      <c r="C67" s="123" t="s">
        <v>801</v>
      </c>
      <c r="D67">
        <v>0</v>
      </c>
      <c r="E67">
        <v>0</v>
      </c>
      <c r="F67">
        <v>0</v>
      </c>
      <c r="G67">
        <v>0</v>
      </c>
      <c r="H67">
        <v>19</v>
      </c>
      <c r="I67">
        <v>0</v>
      </c>
      <c r="J67">
        <v>1169</v>
      </c>
      <c r="K67" s="123" t="s">
        <v>941</v>
      </c>
      <c r="L67" s="123" t="s">
        <v>942</v>
      </c>
    </row>
    <row r="68" spans="1:12" x14ac:dyDescent="0.3">
      <c r="A68" s="95">
        <v>45996</v>
      </c>
      <c r="B68">
        <v>783</v>
      </c>
      <c r="C68" s="123" t="s">
        <v>950</v>
      </c>
      <c r="D68">
        <v>0</v>
      </c>
      <c r="E68">
        <v>0</v>
      </c>
      <c r="F68">
        <v>0</v>
      </c>
      <c r="G68">
        <v>0</v>
      </c>
      <c r="H68">
        <v>13</v>
      </c>
      <c r="I68">
        <v>0</v>
      </c>
      <c r="J68">
        <v>15348</v>
      </c>
      <c r="K68" s="123" t="s">
        <v>384</v>
      </c>
      <c r="L68" s="123" t="s">
        <v>998</v>
      </c>
    </row>
    <row r="69" spans="1:12" x14ac:dyDescent="0.3">
      <c r="A69" s="95">
        <v>45996</v>
      </c>
      <c r="B69">
        <v>1233</v>
      </c>
      <c r="C69" s="123" t="s">
        <v>950</v>
      </c>
      <c r="D69">
        <v>0.84</v>
      </c>
      <c r="E69">
        <v>0.84</v>
      </c>
      <c r="F69">
        <v>0.84</v>
      </c>
      <c r="G69">
        <v>1</v>
      </c>
      <c r="H69">
        <v>0</v>
      </c>
      <c r="I69">
        <v>790</v>
      </c>
      <c r="J69">
        <v>19052</v>
      </c>
      <c r="K69" s="123" t="s">
        <v>1010</v>
      </c>
      <c r="L69" s="123" t="s">
        <v>1011</v>
      </c>
    </row>
    <row r="70" spans="1:12" x14ac:dyDescent="0.3">
      <c r="A70" s="95">
        <v>45996</v>
      </c>
      <c r="B70">
        <v>2611</v>
      </c>
      <c r="C70" s="123" t="s">
        <v>185</v>
      </c>
      <c r="D70">
        <v>-116.129</v>
      </c>
      <c r="E70">
        <v>-165600.37</v>
      </c>
      <c r="F70">
        <v>-115.401</v>
      </c>
      <c r="G70">
        <v>0</v>
      </c>
      <c r="H70">
        <v>16</v>
      </c>
      <c r="I70">
        <v>0</v>
      </c>
      <c r="J70">
        <v>30836</v>
      </c>
      <c r="K70" s="123" t="s">
        <v>452</v>
      </c>
      <c r="L70" s="123" t="s">
        <v>1014</v>
      </c>
    </row>
    <row r="71" spans="1:12" x14ac:dyDescent="0.3">
      <c r="A71" s="95">
        <v>45996</v>
      </c>
      <c r="B71">
        <v>776</v>
      </c>
      <c r="C71" s="123" t="s">
        <v>188</v>
      </c>
      <c r="D71">
        <v>7.32</v>
      </c>
      <c r="E71">
        <v>7.32</v>
      </c>
      <c r="F71">
        <v>7.32</v>
      </c>
      <c r="G71">
        <v>1</v>
      </c>
      <c r="H71">
        <v>0</v>
      </c>
      <c r="I71">
        <v>65</v>
      </c>
      <c r="J71">
        <v>16699</v>
      </c>
      <c r="K71" s="123" t="s">
        <v>261</v>
      </c>
      <c r="L71" s="123" t="s">
        <v>938</v>
      </c>
    </row>
    <row r="72" spans="1:12" x14ac:dyDescent="0.3">
      <c r="A72" s="95">
        <v>45996</v>
      </c>
      <c r="B72">
        <v>743</v>
      </c>
      <c r="C72" s="123" t="s">
        <v>185</v>
      </c>
      <c r="D72">
        <v>2.9000000000000001E-2</v>
      </c>
      <c r="E72">
        <v>40.950000000000003</v>
      </c>
      <c r="F72">
        <v>2.9000000000000001E-2</v>
      </c>
      <c r="G72">
        <v>1</v>
      </c>
      <c r="H72">
        <v>0</v>
      </c>
      <c r="I72">
        <v>17</v>
      </c>
      <c r="J72">
        <v>9444</v>
      </c>
      <c r="K72" s="123" t="s">
        <v>1089</v>
      </c>
      <c r="L72" s="123" t="s">
        <v>1090</v>
      </c>
    </row>
    <row r="73" spans="1:12" x14ac:dyDescent="0.3">
      <c r="A73" s="95">
        <v>45996</v>
      </c>
      <c r="B73">
        <v>633</v>
      </c>
      <c r="C73" s="123" t="s">
        <v>185</v>
      </c>
      <c r="D73">
        <v>0</v>
      </c>
      <c r="E73">
        <v>0.35</v>
      </c>
      <c r="F73">
        <v>0</v>
      </c>
      <c r="G73">
        <v>1</v>
      </c>
      <c r="H73">
        <v>0</v>
      </c>
      <c r="I73">
        <v>2</v>
      </c>
      <c r="J73">
        <v>4875</v>
      </c>
      <c r="K73" s="123" t="s">
        <v>546</v>
      </c>
      <c r="L73" s="123" t="s">
        <v>1023</v>
      </c>
    </row>
    <row r="74" spans="1:12" x14ac:dyDescent="0.3">
      <c r="A74" s="95">
        <v>45996</v>
      </c>
      <c r="B74">
        <v>626</v>
      </c>
      <c r="C74" s="123" t="s">
        <v>950</v>
      </c>
      <c r="D74">
        <v>921.89</v>
      </c>
      <c r="E74">
        <v>921.89</v>
      </c>
      <c r="F74">
        <v>921.89</v>
      </c>
      <c r="G74">
        <v>1</v>
      </c>
      <c r="H74">
        <v>0</v>
      </c>
      <c r="I74">
        <v>202</v>
      </c>
      <c r="J74">
        <v>580</v>
      </c>
      <c r="K74" s="123" t="s">
        <v>345</v>
      </c>
      <c r="L74" s="123" t="s">
        <v>979</v>
      </c>
    </row>
    <row r="75" spans="1:12" x14ac:dyDescent="0.3">
      <c r="A75" s="95">
        <v>45996</v>
      </c>
      <c r="B75">
        <v>5</v>
      </c>
      <c r="C75" s="123" t="s">
        <v>801</v>
      </c>
      <c r="D75">
        <v>-425</v>
      </c>
      <c r="E75">
        <v>-425</v>
      </c>
      <c r="F75">
        <v>-425</v>
      </c>
      <c r="G75">
        <v>0</v>
      </c>
      <c r="H75">
        <v>269</v>
      </c>
      <c r="I75">
        <v>0</v>
      </c>
      <c r="J75">
        <v>275</v>
      </c>
      <c r="K75" s="123" t="s">
        <v>360</v>
      </c>
      <c r="L75" s="123" t="s">
        <v>1079</v>
      </c>
    </row>
    <row r="76" spans="1:12" x14ac:dyDescent="0.3">
      <c r="A76" s="95">
        <v>45996</v>
      </c>
      <c r="B76">
        <v>757</v>
      </c>
      <c r="C76" s="123" t="s">
        <v>950</v>
      </c>
      <c r="D76">
        <v>5610.79</v>
      </c>
      <c r="E76">
        <v>5610.79</v>
      </c>
      <c r="F76">
        <v>5610.79</v>
      </c>
      <c r="G76">
        <v>1</v>
      </c>
      <c r="H76">
        <v>0</v>
      </c>
      <c r="I76">
        <v>372</v>
      </c>
      <c r="J76">
        <v>13408</v>
      </c>
      <c r="K76" s="123" t="s">
        <v>274</v>
      </c>
      <c r="L76" s="123" t="s">
        <v>1001</v>
      </c>
    </row>
    <row r="77" spans="1:12" x14ac:dyDescent="0.3">
      <c r="A77" s="95">
        <v>45996</v>
      </c>
      <c r="B77">
        <v>1758</v>
      </c>
      <c r="C77" s="123" t="s">
        <v>950</v>
      </c>
      <c r="D77">
        <v>0.05</v>
      </c>
      <c r="E77">
        <v>0.05</v>
      </c>
      <c r="F77">
        <v>0.05</v>
      </c>
      <c r="G77">
        <v>1</v>
      </c>
      <c r="H77">
        <v>0</v>
      </c>
      <c r="I77">
        <v>359</v>
      </c>
      <c r="J77">
        <v>20565</v>
      </c>
      <c r="K77" s="123" t="s">
        <v>1171</v>
      </c>
      <c r="L77" s="123" t="s">
        <v>1172</v>
      </c>
    </row>
    <row r="78" spans="1:12" x14ac:dyDescent="0.3">
      <c r="A78" s="95">
        <v>45996</v>
      </c>
      <c r="B78">
        <v>632</v>
      </c>
      <c r="C78" s="123" t="s">
        <v>185</v>
      </c>
      <c r="D78">
        <v>-203.874</v>
      </c>
      <c r="E78">
        <v>-290724.40000000002</v>
      </c>
      <c r="F78">
        <v>-202.595</v>
      </c>
      <c r="G78">
        <v>0</v>
      </c>
      <c r="H78">
        <v>53</v>
      </c>
      <c r="I78">
        <v>0</v>
      </c>
      <c r="J78">
        <v>9449</v>
      </c>
      <c r="K78" s="123" t="s">
        <v>258</v>
      </c>
      <c r="L78" s="123" t="s">
        <v>1081</v>
      </c>
    </row>
    <row r="79" spans="1:12" x14ac:dyDescent="0.3">
      <c r="A79" s="95">
        <v>45996</v>
      </c>
      <c r="B79">
        <v>855</v>
      </c>
      <c r="C79" s="123" t="s">
        <v>950</v>
      </c>
      <c r="D79">
        <v>2303.31</v>
      </c>
      <c r="E79">
        <v>2303.31</v>
      </c>
      <c r="F79">
        <v>2303.31</v>
      </c>
      <c r="G79">
        <v>1</v>
      </c>
      <c r="H79">
        <v>0</v>
      </c>
      <c r="I79">
        <v>695</v>
      </c>
      <c r="J79">
        <v>17742</v>
      </c>
      <c r="K79" s="123" t="s">
        <v>266</v>
      </c>
      <c r="L79" s="123" t="s">
        <v>1030</v>
      </c>
    </row>
    <row r="80" spans="1:12" x14ac:dyDescent="0.3">
      <c r="A80" s="95">
        <v>45996</v>
      </c>
      <c r="B80">
        <v>1522</v>
      </c>
      <c r="C80" s="123" t="s">
        <v>188</v>
      </c>
      <c r="D80">
        <v>-0.06</v>
      </c>
      <c r="E80">
        <v>-0.06</v>
      </c>
      <c r="F80">
        <v>-0.06</v>
      </c>
      <c r="G80">
        <v>0</v>
      </c>
      <c r="H80">
        <v>98</v>
      </c>
      <c r="I80">
        <v>0</v>
      </c>
      <c r="J80">
        <v>20094</v>
      </c>
      <c r="K80" s="123" t="s">
        <v>488</v>
      </c>
      <c r="L80" s="123" t="s">
        <v>1050</v>
      </c>
    </row>
    <row r="81" spans="1:12" x14ac:dyDescent="0.3">
      <c r="A81" s="95">
        <v>45996</v>
      </c>
      <c r="B81">
        <v>3176</v>
      </c>
      <c r="C81" s="123" t="s">
        <v>950</v>
      </c>
      <c r="D81">
        <v>45504.55</v>
      </c>
      <c r="E81">
        <v>45504.55</v>
      </c>
      <c r="F81">
        <v>45504.55</v>
      </c>
      <c r="G81">
        <v>1</v>
      </c>
      <c r="H81">
        <v>0</v>
      </c>
      <c r="I81">
        <v>420</v>
      </c>
      <c r="J81">
        <v>31590</v>
      </c>
      <c r="K81" s="123" t="s">
        <v>1044</v>
      </c>
      <c r="L81" s="123" t="s">
        <v>1045</v>
      </c>
    </row>
    <row r="82" spans="1:12" x14ac:dyDescent="0.3">
      <c r="A82" s="95">
        <v>45996</v>
      </c>
      <c r="B82">
        <v>509</v>
      </c>
      <c r="C82" s="123" t="s">
        <v>801</v>
      </c>
      <c r="D82">
        <v>-12370.37</v>
      </c>
      <c r="E82">
        <v>-12370.37</v>
      </c>
      <c r="F82">
        <v>-12370.37</v>
      </c>
      <c r="G82">
        <v>0</v>
      </c>
      <c r="H82">
        <v>5</v>
      </c>
      <c r="I82">
        <v>0</v>
      </c>
      <c r="J82">
        <v>8545</v>
      </c>
      <c r="K82" s="123" t="s">
        <v>414</v>
      </c>
      <c r="L82" s="123" t="s">
        <v>1107</v>
      </c>
    </row>
    <row r="83" spans="1:12" x14ac:dyDescent="0.3">
      <c r="A83" s="95">
        <v>45996</v>
      </c>
      <c r="B83">
        <v>7802</v>
      </c>
      <c r="C83" s="123" t="s">
        <v>185</v>
      </c>
      <c r="D83">
        <v>0</v>
      </c>
      <c r="E83">
        <v>0.12</v>
      </c>
      <c r="F83">
        <v>0</v>
      </c>
      <c r="G83">
        <v>1</v>
      </c>
      <c r="H83">
        <v>0</v>
      </c>
      <c r="I83">
        <v>2</v>
      </c>
      <c r="J83">
        <v>35095</v>
      </c>
      <c r="K83" s="123" t="s">
        <v>1048</v>
      </c>
      <c r="L83" s="123" t="s">
        <v>1049</v>
      </c>
    </row>
    <row r="84" spans="1:12" x14ac:dyDescent="0.3">
      <c r="A84" s="95">
        <v>45996</v>
      </c>
      <c r="B84">
        <v>885</v>
      </c>
      <c r="C84" s="123" t="s">
        <v>950</v>
      </c>
      <c r="D84">
        <v>3.19</v>
      </c>
      <c r="E84">
        <v>3.19</v>
      </c>
      <c r="F84">
        <v>3.19</v>
      </c>
      <c r="G84">
        <v>1</v>
      </c>
      <c r="H84">
        <v>0</v>
      </c>
      <c r="I84">
        <v>790</v>
      </c>
      <c r="J84">
        <v>9831</v>
      </c>
      <c r="K84" s="123" t="s">
        <v>1074</v>
      </c>
      <c r="L84" s="123" t="s">
        <v>1075</v>
      </c>
    </row>
    <row r="85" spans="1:12" x14ac:dyDescent="0.3">
      <c r="A85" s="95">
        <v>45996</v>
      </c>
      <c r="B85">
        <v>1353</v>
      </c>
      <c r="C85" s="123" t="s">
        <v>185</v>
      </c>
      <c r="D85">
        <v>2.7549999999999999</v>
      </c>
      <c r="E85">
        <v>3928.97</v>
      </c>
      <c r="F85">
        <v>2.738</v>
      </c>
      <c r="G85">
        <v>1</v>
      </c>
      <c r="H85">
        <v>0</v>
      </c>
      <c r="I85">
        <v>740</v>
      </c>
      <c r="J85">
        <v>19490</v>
      </c>
      <c r="K85" s="123" t="s">
        <v>1306</v>
      </c>
      <c r="L85" s="123" t="s">
        <v>1307</v>
      </c>
    </row>
    <row r="86" spans="1:12" x14ac:dyDescent="0.3">
      <c r="A86" s="95">
        <v>45996</v>
      </c>
      <c r="B86">
        <v>1025</v>
      </c>
      <c r="C86" s="123" t="s">
        <v>185</v>
      </c>
      <c r="D86">
        <v>-8.2219999999999995</v>
      </c>
      <c r="E86">
        <v>-11724.9</v>
      </c>
      <c r="F86">
        <v>-8.1709999999999994</v>
      </c>
      <c r="G86">
        <v>0</v>
      </c>
      <c r="H86">
        <v>18</v>
      </c>
      <c r="I86">
        <v>0</v>
      </c>
      <c r="J86">
        <v>7356</v>
      </c>
      <c r="K86" s="123" t="s">
        <v>245</v>
      </c>
      <c r="L86" s="123" t="s">
        <v>1078</v>
      </c>
    </row>
    <row r="87" spans="1:12" x14ac:dyDescent="0.3">
      <c r="A87" s="95">
        <v>45996</v>
      </c>
      <c r="B87">
        <v>1494</v>
      </c>
      <c r="C87" s="123" t="s">
        <v>185</v>
      </c>
      <c r="D87">
        <v>0</v>
      </c>
      <c r="E87">
        <v>0.48</v>
      </c>
      <c r="F87">
        <v>0</v>
      </c>
      <c r="G87">
        <v>1</v>
      </c>
      <c r="H87">
        <v>0</v>
      </c>
      <c r="I87">
        <v>4</v>
      </c>
      <c r="J87">
        <v>17933</v>
      </c>
      <c r="K87" s="123" t="s">
        <v>336</v>
      </c>
      <c r="L87" s="123" t="s">
        <v>1103</v>
      </c>
    </row>
    <row r="88" spans="1:12" x14ac:dyDescent="0.3">
      <c r="A88" s="95">
        <v>45996</v>
      </c>
      <c r="B88">
        <v>1075</v>
      </c>
      <c r="C88" s="123" t="s">
        <v>185</v>
      </c>
      <c r="D88">
        <v>-13.448</v>
      </c>
      <c r="E88">
        <v>-19176.89</v>
      </c>
      <c r="F88">
        <v>-13.364000000000001</v>
      </c>
      <c r="G88">
        <v>0</v>
      </c>
      <c r="H88">
        <v>18</v>
      </c>
      <c r="I88">
        <v>0</v>
      </c>
      <c r="J88">
        <v>18781</v>
      </c>
      <c r="K88" s="123" t="s">
        <v>242</v>
      </c>
      <c r="L88" s="123" t="s">
        <v>1187</v>
      </c>
    </row>
    <row r="89" spans="1:12" x14ac:dyDescent="0.3">
      <c r="A89" s="95">
        <v>45996</v>
      </c>
      <c r="B89">
        <v>905</v>
      </c>
      <c r="C89" s="123" t="s">
        <v>801</v>
      </c>
      <c r="D89">
        <v>9250</v>
      </c>
      <c r="E89">
        <v>9250</v>
      </c>
      <c r="F89">
        <v>9250</v>
      </c>
      <c r="G89">
        <v>1</v>
      </c>
      <c r="H89">
        <v>0</v>
      </c>
      <c r="I89">
        <v>40</v>
      </c>
      <c r="J89">
        <v>18220</v>
      </c>
      <c r="K89" s="123" t="s">
        <v>531</v>
      </c>
      <c r="L89" s="123" t="s">
        <v>1121</v>
      </c>
    </row>
    <row r="90" spans="1:12" x14ac:dyDescent="0.3">
      <c r="A90" s="95">
        <v>45996</v>
      </c>
      <c r="B90">
        <v>1273</v>
      </c>
      <c r="C90" s="123" t="s">
        <v>185</v>
      </c>
      <c r="D90">
        <v>0.27600000000000002</v>
      </c>
      <c r="E90">
        <v>393.97</v>
      </c>
      <c r="F90">
        <v>0.27500000000000002</v>
      </c>
      <c r="G90">
        <v>1</v>
      </c>
      <c r="H90">
        <v>0</v>
      </c>
      <c r="I90">
        <v>14</v>
      </c>
      <c r="J90">
        <v>19363</v>
      </c>
      <c r="K90" s="123" t="s">
        <v>1183</v>
      </c>
      <c r="L90" s="123" t="s">
        <v>1184</v>
      </c>
    </row>
    <row r="91" spans="1:12" x14ac:dyDescent="0.3">
      <c r="A91" s="95">
        <v>45996</v>
      </c>
      <c r="B91">
        <v>656</v>
      </c>
      <c r="C91" s="123" t="s">
        <v>801</v>
      </c>
      <c r="D91">
        <v>0</v>
      </c>
      <c r="E91">
        <v>0</v>
      </c>
      <c r="F91">
        <v>0</v>
      </c>
      <c r="G91">
        <v>0</v>
      </c>
      <c r="H91">
        <v>15</v>
      </c>
      <c r="I91">
        <v>0</v>
      </c>
      <c r="J91">
        <v>5003</v>
      </c>
      <c r="K91" s="123" t="s">
        <v>1153</v>
      </c>
      <c r="L91" s="123" t="s">
        <v>1154</v>
      </c>
    </row>
    <row r="92" spans="1:12" x14ac:dyDescent="0.3">
      <c r="A92" s="95">
        <v>45996</v>
      </c>
      <c r="B92">
        <v>889</v>
      </c>
      <c r="C92" s="123" t="s">
        <v>801</v>
      </c>
      <c r="D92">
        <v>-0.01</v>
      </c>
      <c r="E92">
        <v>-0.01</v>
      </c>
      <c r="F92">
        <v>-0.01</v>
      </c>
      <c r="G92">
        <v>0</v>
      </c>
      <c r="H92">
        <v>24</v>
      </c>
      <c r="I92">
        <v>0</v>
      </c>
      <c r="J92">
        <v>17632</v>
      </c>
      <c r="K92" s="123" t="s">
        <v>693</v>
      </c>
      <c r="L92" s="123" t="s">
        <v>1494</v>
      </c>
    </row>
    <row r="93" spans="1:12" x14ac:dyDescent="0.3">
      <c r="A93" s="95">
        <v>45996</v>
      </c>
      <c r="B93">
        <v>112</v>
      </c>
      <c r="C93" s="123" t="s">
        <v>801</v>
      </c>
      <c r="D93">
        <v>-18812.66</v>
      </c>
      <c r="E93">
        <v>-18812.66</v>
      </c>
      <c r="F93">
        <v>-18812.66</v>
      </c>
      <c r="G93">
        <v>0</v>
      </c>
      <c r="H93">
        <v>51</v>
      </c>
      <c r="I93">
        <v>0</v>
      </c>
      <c r="J93">
        <v>4429</v>
      </c>
      <c r="K93" s="123" t="s">
        <v>210</v>
      </c>
      <c r="L93" s="123" t="s">
        <v>1135</v>
      </c>
    </row>
    <row r="94" spans="1:12" x14ac:dyDescent="0.3">
      <c r="A94" s="95">
        <v>45996</v>
      </c>
      <c r="B94">
        <v>5538</v>
      </c>
      <c r="C94" s="123" t="s">
        <v>185</v>
      </c>
      <c r="D94">
        <v>0.14000000000000001</v>
      </c>
      <c r="E94">
        <v>199.02</v>
      </c>
      <c r="F94">
        <v>0.13900000000000001</v>
      </c>
      <c r="G94">
        <v>1</v>
      </c>
      <c r="H94">
        <v>0</v>
      </c>
      <c r="I94">
        <v>21</v>
      </c>
      <c r="J94">
        <v>33777</v>
      </c>
      <c r="K94" s="123" t="s">
        <v>1069</v>
      </c>
      <c r="L94" s="123" t="s">
        <v>1070</v>
      </c>
    </row>
    <row r="95" spans="1:12" x14ac:dyDescent="0.3">
      <c r="A95" s="95">
        <v>45996</v>
      </c>
      <c r="B95">
        <v>1235</v>
      </c>
      <c r="C95" s="123" t="s">
        <v>188</v>
      </c>
      <c r="D95">
        <v>1076.2</v>
      </c>
      <c r="E95">
        <v>1076.2</v>
      </c>
      <c r="F95">
        <v>1076.2</v>
      </c>
      <c r="G95">
        <v>1</v>
      </c>
      <c r="H95">
        <v>0</v>
      </c>
      <c r="I95">
        <v>666</v>
      </c>
      <c r="J95">
        <v>19316</v>
      </c>
      <c r="K95" s="123" t="s">
        <v>377</v>
      </c>
      <c r="L95" s="123" t="s">
        <v>1239</v>
      </c>
    </row>
    <row r="96" spans="1:12" x14ac:dyDescent="0.3">
      <c r="A96" s="95">
        <v>45996</v>
      </c>
      <c r="B96">
        <v>1526</v>
      </c>
      <c r="C96" s="123" t="s">
        <v>801</v>
      </c>
      <c r="D96">
        <v>-0.01</v>
      </c>
      <c r="E96">
        <v>-0.01</v>
      </c>
      <c r="F96">
        <v>-0.01</v>
      </c>
      <c r="G96">
        <v>0</v>
      </c>
      <c r="H96">
        <v>16</v>
      </c>
      <c r="I96">
        <v>0</v>
      </c>
      <c r="J96">
        <v>20076</v>
      </c>
      <c r="K96" s="123" t="s">
        <v>362</v>
      </c>
      <c r="L96" s="123" t="s">
        <v>1514</v>
      </c>
    </row>
    <row r="97" spans="1:12" x14ac:dyDescent="0.3">
      <c r="A97" s="95">
        <v>45996</v>
      </c>
      <c r="B97">
        <v>640</v>
      </c>
      <c r="C97" s="123" t="s">
        <v>188</v>
      </c>
      <c r="D97">
        <v>-33.97</v>
      </c>
      <c r="E97">
        <v>-33.97</v>
      </c>
      <c r="F97">
        <v>-33.97</v>
      </c>
      <c r="G97">
        <v>0</v>
      </c>
      <c r="H97">
        <v>46</v>
      </c>
      <c r="I97">
        <v>0</v>
      </c>
      <c r="J97">
        <v>8261</v>
      </c>
      <c r="K97" s="123" t="s">
        <v>431</v>
      </c>
      <c r="L97" s="123" t="s">
        <v>1192</v>
      </c>
    </row>
    <row r="98" spans="1:12" x14ac:dyDescent="0.3">
      <c r="A98" s="95">
        <v>45996</v>
      </c>
      <c r="B98">
        <v>849</v>
      </c>
      <c r="C98" s="123" t="s">
        <v>185</v>
      </c>
      <c r="D98">
        <v>0</v>
      </c>
      <c r="E98">
        <v>-0.03</v>
      </c>
      <c r="F98">
        <v>0</v>
      </c>
      <c r="G98">
        <v>0</v>
      </c>
      <c r="H98">
        <v>55</v>
      </c>
      <c r="I98">
        <v>0</v>
      </c>
      <c r="J98">
        <v>17504</v>
      </c>
      <c r="K98" s="123" t="s">
        <v>1181</v>
      </c>
      <c r="L98" s="123" t="s">
        <v>1182</v>
      </c>
    </row>
    <row r="99" spans="1:12" x14ac:dyDescent="0.3">
      <c r="A99" s="95">
        <v>45996</v>
      </c>
      <c r="B99">
        <v>331</v>
      </c>
      <c r="C99" s="123" t="s">
        <v>188</v>
      </c>
      <c r="D99">
        <v>44.69</v>
      </c>
      <c r="E99">
        <v>44.69</v>
      </c>
      <c r="F99">
        <v>44.69</v>
      </c>
      <c r="G99">
        <v>1</v>
      </c>
      <c r="H99">
        <v>0</v>
      </c>
      <c r="J99">
        <v>652</v>
      </c>
      <c r="K99" s="123" t="s">
        <v>447</v>
      </c>
      <c r="L99" s="123" t="s">
        <v>1143</v>
      </c>
    </row>
    <row r="100" spans="1:12" x14ac:dyDescent="0.3">
      <c r="A100" s="95">
        <v>45996</v>
      </c>
      <c r="B100">
        <v>1473</v>
      </c>
      <c r="C100" s="123" t="s">
        <v>185</v>
      </c>
      <c r="D100">
        <v>2.3580000000000001</v>
      </c>
      <c r="E100">
        <v>3362.98</v>
      </c>
      <c r="F100">
        <v>2.3439999999999999</v>
      </c>
      <c r="G100">
        <v>1</v>
      </c>
      <c r="H100">
        <v>0</v>
      </c>
      <c r="I100">
        <v>144</v>
      </c>
      <c r="J100">
        <v>19620</v>
      </c>
      <c r="K100" s="123" t="s">
        <v>443</v>
      </c>
      <c r="L100" s="123" t="s">
        <v>1333</v>
      </c>
    </row>
    <row r="101" spans="1:12" x14ac:dyDescent="0.3">
      <c r="A101" s="95">
        <v>45996</v>
      </c>
      <c r="B101">
        <v>7</v>
      </c>
      <c r="C101" s="123" t="s">
        <v>801</v>
      </c>
      <c r="D101">
        <v>0</v>
      </c>
      <c r="E101">
        <v>0</v>
      </c>
      <c r="F101">
        <v>0</v>
      </c>
      <c r="G101">
        <v>0</v>
      </c>
      <c r="H101">
        <v>24</v>
      </c>
      <c r="I101">
        <v>0</v>
      </c>
      <c r="J101">
        <v>5181</v>
      </c>
      <c r="K101" s="123" t="s">
        <v>212</v>
      </c>
      <c r="L101" s="123" t="s">
        <v>1238</v>
      </c>
    </row>
    <row r="102" spans="1:12" x14ac:dyDescent="0.3">
      <c r="A102" s="95">
        <v>45996</v>
      </c>
      <c r="B102">
        <v>1437</v>
      </c>
      <c r="C102" s="123" t="s">
        <v>185</v>
      </c>
      <c r="D102">
        <v>0</v>
      </c>
      <c r="E102">
        <v>0</v>
      </c>
      <c r="F102">
        <v>0</v>
      </c>
      <c r="G102">
        <v>0</v>
      </c>
      <c r="H102">
        <v>5</v>
      </c>
      <c r="I102">
        <v>0</v>
      </c>
      <c r="J102">
        <v>19791</v>
      </c>
      <c r="K102" s="123" t="s">
        <v>172</v>
      </c>
      <c r="L102" s="123" t="s">
        <v>1223</v>
      </c>
    </row>
    <row r="103" spans="1:12" x14ac:dyDescent="0.3">
      <c r="A103" s="95">
        <v>45996</v>
      </c>
      <c r="B103">
        <v>2654</v>
      </c>
      <c r="C103" s="123" t="s">
        <v>185</v>
      </c>
      <c r="D103">
        <v>3.625</v>
      </c>
      <c r="E103">
        <v>5168.87</v>
      </c>
      <c r="F103">
        <v>3.6019999999999999</v>
      </c>
      <c r="G103">
        <v>1</v>
      </c>
      <c r="H103">
        <v>0</v>
      </c>
      <c r="I103">
        <v>18</v>
      </c>
      <c r="J103">
        <v>30889</v>
      </c>
      <c r="K103" s="123" t="s">
        <v>1360</v>
      </c>
      <c r="L103" s="123" t="s">
        <v>1361</v>
      </c>
    </row>
    <row r="104" spans="1:12" x14ac:dyDescent="0.3">
      <c r="A104" s="95">
        <v>45996</v>
      </c>
      <c r="B104">
        <v>95</v>
      </c>
      <c r="C104" s="123" t="s">
        <v>185</v>
      </c>
      <c r="D104">
        <v>0</v>
      </c>
      <c r="E104">
        <v>-0.45</v>
      </c>
      <c r="F104">
        <v>0</v>
      </c>
      <c r="G104">
        <v>0</v>
      </c>
      <c r="H104">
        <v>2</v>
      </c>
      <c r="I104">
        <v>0</v>
      </c>
      <c r="J104">
        <v>708</v>
      </c>
      <c r="K104" s="123" t="s">
        <v>1241</v>
      </c>
      <c r="L104" s="123" t="s">
        <v>1242</v>
      </c>
    </row>
    <row r="105" spans="1:12" x14ac:dyDescent="0.3">
      <c r="A105" s="95">
        <v>45996</v>
      </c>
      <c r="B105">
        <v>1444</v>
      </c>
      <c r="C105" s="123" t="s">
        <v>185</v>
      </c>
      <c r="D105">
        <v>0</v>
      </c>
      <c r="E105">
        <v>0</v>
      </c>
      <c r="F105">
        <v>0</v>
      </c>
      <c r="G105">
        <v>0</v>
      </c>
      <c r="H105">
        <v>278</v>
      </c>
      <c r="I105">
        <v>0</v>
      </c>
      <c r="J105">
        <v>19813</v>
      </c>
      <c r="K105" s="123" t="s">
        <v>510</v>
      </c>
      <c r="L105" s="123" t="s">
        <v>1304</v>
      </c>
    </row>
    <row r="106" spans="1:12" x14ac:dyDescent="0.3">
      <c r="A106" s="95">
        <v>45996</v>
      </c>
      <c r="B106">
        <v>2145</v>
      </c>
      <c r="C106" s="123" t="s">
        <v>950</v>
      </c>
      <c r="D106">
        <v>0.17</v>
      </c>
      <c r="E106">
        <v>0.17</v>
      </c>
      <c r="F106">
        <v>0.17</v>
      </c>
      <c r="G106">
        <v>1</v>
      </c>
      <c r="H106">
        <v>0</v>
      </c>
      <c r="I106">
        <v>790</v>
      </c>
      <c r="J106">
        <v>30078</v>
      </c>
      <c r="K106" s="123" t="s">
        <v>342</v>
      </c>
      <c r="L106" s="123" t="s">
        <v>1276</v>
      </c>
    </row>
    <row r="107" spans="1:12" x14ac:dyDescent="0.3">
      <c r="A107" s="95">
        <v>45996</v>
      </c>
      <c r="B107">
        <v>10256</v>
      </c>
      <c r="C107" s="123" t="s">
        <v>185</v>
      </c>
      <c r="D107">
        <v>-4.3019999999999996</v>
      </c>
      <c r="E107">
        <v>-6134.13</v>
      </c>
      <c r="F107">
        <v>-4.2750000000000004</v>
      </c>
      <c r="G107">
        <v>0</v>
      </c>
      <c r="H107">
        <v>48</v>
      </c>
      <c r="I107">
        <v>0</v>
      </c>
      <c r="J107">
        <v>35646</v>
      </c>
      <c r="K107" s="123" t="s">
        <v>1375</v>
      </c>
      <c r="L107" s="123" t="s">
        <v>1376</v>
      </c>
    </row>
    <row r="108" spans="1:12" x14ac:dyDescent="0.3">
      <c r="A108" s="95">
        <v>45996</v>
      </c>
      <c r="B108">
        <v>7742</v>
      </c>
      <c r="C108" s="123" t="s">
        <v>801</v>
      </c>
      <c r="D108">
        <v>-0.01</v>
      </c>
      <c r="E108">
        <v>-0.01</v>
      </c>
      <c r="F108">
        <v>-0.01</v>
      </c>
      <c r="G108">
        <v>0</v>
      </c>
      <c r="H108">
        <v>9</v>
      </c>
      <c r="I108">
        <v>0</v>
      </c>
      <c r="J108">
        <v>35045</v>
      </c>
      <c r="K108" s="123" t="s">
        <v>1272</v>
      </c>
      <c r="L108" s="123" t="s">
        <v>1273</v>
      </c>
    </row>
    <row r="109" spans="1:12" x14ac:dyDescent="0.3">
      <c r="A109" s="95">
        <v>45996</v>
      </c>
      <c r="B109">
        <v>1244</v>
      </c>
      <c r="C109" s="123" t="s">
        <v>801</v>
      </c>
      <c r="D109">
        <v>48597.89</v>
      </c>
      <c r="E109">
        <v>48597.89</v>
      </c>
      <c r="F109">
        <v>48597.89</v>
      </c>
      <c r="G109">
        <v>1</v>
      </c>
      <c r="H109">
        <v>0</v>
      </c>
      <c r="I109">
        <v>13</v>
      </c>
      <c r="J109">
        <v>19327</v>
      </c>
      <c r="K109" s="123" t="s">
        <v>194</v>
      </c>
      <c r="L109" s="123" t="s">
        <v>1347</v>
      </c>
    </row>
    <row r="110" spans="1:12" x14ac:dyDescent="0.3">
      <c r="A110" s="95">
        <v>45996</v>
      </c>
      <c r="B110">
        <v>387</v>
      </c>
      <c r="C110" s="123" t="s">
        <v>801</v>
      </c>
      <c r="D110">
        <v>-1001</v>
      </c>
      <c r="E110">
        <v>-1001</v>
      </c>
      <c r="F110">
        <v>-1001</v>
      </c>
      <c r="G110">
        <v>0</v>
      </c>
      <c r="H110">
        <v>182</v>
      </c>
      <c r="I110">
        <v>0</v>
      </c>
      <c r="J110">
        <v>7412</v>
      </c>
      <c r="K110" s="123" t="s">
        <v>589</v>
      </c>
      <c r="L110" s="123" t="s">
        <v>1427</v>
      </c>
    </row>
    <row r="111" spans="1:12" x14ac:dyDescent="0.3">
      <c r="A111" s="95">
        <v>45996</v>
      </c>
      <c r="B111">
        <v>690</v>
      </c>
      <c r="C111" s="123" t="s">
        <v>185</v>
      </c>
      <c r="D111">
        <v>2.5009999999999999</v>
      </c>
      <c r="E111">
        <v>3567</v>
      </c>
      <c r="F111">
        <v>2.4860000000000002</v>
      </c>
      <c r="G111">
        <v>1</v>
      </c>
      <c r="H111">
        <v>0</v>
      </c>
      <c r="I111">
        <v>737</v>
      </c>
      <c r="J111">
        <v>9839</v>
      </c>
      <c r="K111" s="123" t="s">
        <v>1356</v>
      </c>
      <c r="L111" s="123" t="s">
        <v>1357</v>
      </c>
    </row>
    <row r="112" spans="1:12" x14ac:dyDescent="0.3">
      <c r="A112" s="95">
        <v>45996</v>
      </c>
      <c r="B112">
        <v>1191</v>
      </c>
      <c r="C112" s="123" t="s">
        <v>185</v>
      </c>
      <c r="D112">
        <v>0</v>
      </c>
      <c r="E112">
        <v>-0.31</v>
      </c>
      <c r="F112">
        <v>0</v>
      </c>
      <c r="G112">
        <v>0</v>
      </c>
      <c r="H112">
        <v>2</v>
      </c>
      <c r="I112">
        <v>0</v>
      </c>
      <c r="J112">
        <v>18954</v>
      </c>
      <c r="K112" s="123" t="s">
        <v>1247</v>
      </c>
      <c r="L112" s="123" t="s">
        <v>1248</v>
      </c>
    </row>
    <row r="113" spans="1:12" x14ac:dyDescent="0.3">
      <c r="A113" s="95">
        <v>45996</v>
      </c>
      <c r="B113">
        <v>744</v>
      </c>
      <c r="C113" s="123" t="s">
        <v>950</v>
      </c>
      <c r="D113">
        <v>517.5</v>
      </c>
      <c r="E113">
        <v>517.5</v>
      </c>
      <c r="F113">
        <v>517.5</v>
      </c>
      <c r="G113">
        <v>1</v>
      </c>
      <c r="H113">
        <v>0</v>
      </c>
      <c r="I113">
        <v>470</v>
      </c>
      <c r="J113">
        <v>446</v>
      </c>
      <c r="K113" s="123" t="s">
        <v>1396</v>
      </c>
      <c r="L113" s="123" t="s">
        <v>1397</v>
      </c>
    </row>
    <row r="114" spans="1:12" x14ac:dyDescent="0.3">
      <c r="A114" s="95">
        <v>45996</v>
      </c>
      <c r="B114">
        <v>920</v>
      </c>
      <c r="C114" s="123" t="s">
        <v>801</v>
      </c>
      <c r="D114">
        <v>451050</v>
      </c>
      <c r="E114">
        <v>451050</v>
      </c>
      <c r="F114">
        <v>451050</v>
      </c>
      <c r="G114">
        <v>1</v>
      </c>
      <c r="H114">
        <v>0</v>
      </c>
      <c r="I114">
        <v>11</v>
      </c>
      <c r="J114">
        <v>18292</v>
      </c>
      <c r="K114" s="123" t="s">
        <v>243</v>
      </c>
      <c r="L114" s="123" t="s">
        <v>1315</v>
      </c>
    </row>
    <row r="115" spans="1:12" x14ac:dyDescent="0.3">
      <c r="A115" s="95">
        <v>45996</v>
      </c>
      <c r="B115">
        <v>1436</v>
      </c>
      <c r="C115" s="123" t="s">
        <v>801</v>
      </c>
      <c r="D115">
        <v>834</v>
      </c>
      <c r="E115">
        <v>834</v>
      </c>
      <c r="F115">
        <v>834</v>
      </c>
      <c r="G115">
        <v>1</v>
      </c>
      <c r="H115">
        <v>0</v>
      </c>
      <c r="I115">
        <v>2</v>
      </c>
      <c r="J115">
        <v>1035</v>
      </c>
      <c r="K115" s="123" t="s">
        <v>686</v>
      </c>
      <c r="L115" s="123" t="s">
        <v>1378</v>
      </c>
    </row>
    <row r="116" spans="1:12" x14ac:dyDescent="0.3">
      <c r="A116" s="95">
        <v>45996</v>
      </c>
      <c r="B116">
        <v>1361</v>
      </c>
      <c r="C116" s="123" t="s">
        <v>185</v>
      </c>
      <c r="D116">
        <v>5.0000000000000001E-3</v>
      </c>
      <c r="E116">
        <v>7.23</v>
      </c>
      <c r="F116">
        <v>5.0000000000000001E-3</v>
      </c>
      <c r="G116">
        <v>1</v>
      </c>
      <c r="H116">
        <v>0</v>
      </c>
      <c r="I116">
        <v>2</v>
      </c>
      <c r="J116">
        <v>19517</v>
      </c>
      <c r="K116" s="123" t="s">
        <v>647</v>
      </c>
      <c r="L116" s="123" t="s">
        <v>1399</v>
      </c>
    </row>
    <row r="117" spans="1:12" x14ac:dyDescent="0.3">
      <c r="A117" s="95">
        <v>45996</v>
      </c>
      <c r="B117">
        <v>1605</v>
      </c>
      <c r="C117" s="123" t="s">
        <v>801</v>
      </c>
      <c r="D117">
        <v>0</v>
      </c>
      <c r="E117">
        <v>0</v>
      </c>
      <c r="F117">
        <v>0</v>
      </c>
      <c r="G117">
        <v>0</v>
      </c>
      <c r="H117">
        <v>3</v>
      </c>
      <c r="I117">
        <v>0</v>
      </c>
      <c r="J117">
        <v>20317</v>
      </c>
      <c r="K117" s="123" t="s">
        <v>721</v>
      </c>
      <c r="L117" s="123" t="s">
        <v>1430</v>
      </c>
    </row>
    <row r="118" spans="1:12" x14ac:dyDescent="0.3">
      <c r="A118" s="95">
        <v>45996</v>
      </c>
      <c r="B118">
        <v>931</v>
      </c>
      <c r="C118" s="123" t="s">
        <v>188</v>
      </c>
      <c r="D118">
        <v>6.87</v>
      </c>
      <c r="E118">
        <v>6.87</v>
      </c>
      <c r="F118">
        <v>6.87</v>
      </c>
      <c r="G118">
        <v>1</v>
      </c>
      <c r="H118">
        <v>0</v>
      </c>
      <c r="I118">
        <v>790</v>
      </c>
      <c r="J118">
        <v>18421</v>
      </c>
      <c r="K118" s="123" t="s">
        <v>513</v>
      </c>
      <c r="L118" s="123" t="s">
        <v>1412</v>
      </c>
    </row>
    <row r="119" spans="1:12" x14ac:dyDescent="0.3">
      <c r="A119" s="95">
        <v>45996</v>
      </c>
      <c r="B119">
        <v>997</v>
      </c>
      <c r="C119" s="123" t="s">
        <v>185</v>
      </c>
      <c r="D119">
        <v>-13.532</v>
      </c>
      <c r="E119">
        <v>-19296.5</v>
      </c>
      <c r="F119">
        <v>-13.446999999999999</v>
      </c>
      <c r="G119">
        <v>0</v>
      </c>
      <c r="H119">
        <v>16</v>
      </c>
      <c r="I119">
        <v>0</v>
      </c>
      <c r="J119">
        <v>17024</v>
      </c>
      <c r="K119" s="123" t="s">
        <v>1425</v>
      </c>
      <c r="L119" s="123" t="s">
        <v>1426</v>
      </c>
    </row>
    <row r="120" spans="1:12" x14ac:dyDescent="0.3">
      <c r="A120" s="95">
        <v>45996</v>
      </c>
      <c r="B120">
        <v>10</v>
      </c>
      <c r="C120" s="123" t="s">
        <v>185</v>
      </c>
      <c r="D120">
        <v>-2146.0369999999998</v>
      </c>
      <c r="E120">
        <v>-3060249.38</v>
      </c>
      <c r="F120">
        <v>-2132.578</v>
      </c>
      <c r="G120">
        <v>0</v>
      </c>
      <c r="H120">
        <v>77</v>
      </c>
      <c r="I120">
        <v>0</v>
      </c>
      <c r="J120">
        <v>375</v>
      </c>
      <c r="K120" s="123" t="s">
        <v>945</v>
      </c>
      <c r="L120" s="123" t="s">
        <v>946</v>
      </c>
    </row>
    <row r="121" spans="1:12" x14ac:dyDescent="0.3">
      <c r="A121" s="95">
        <v>45996</v>
      </c>
      <c r="B121">
        <v>1</v>
      </c>
      <c r="C121" s="123" t="s">
        <v>801</v>
      </c>
      <c r="D121">
        <v>0</v>
      </c>
      <c r="E121">
        <v>0</v>
      </c>
      <c r="F121">
        <v>0</v>
      </c>
      <c r="G121">
        <v>0</v>
      </c>
      <c r="H121">
        <v>2</v>
      </c>
      <c r="I121">
        <v>0</v>
      </c>
      <c r="J121">
        <v>5603</v>
      </c>
      <c r="K121" s="123" t="s">
        <v>943</v>
      </c>
      <c r="L121" s="123" t="s">
        <v>944</v>
      </c>
    </row>
    <row r="122" spans="1:12" x14ac:dyDescent="0.3">
      <c r="A122" s="95">
        <v>45996</v>
      </c>
      <c r="B122">
        <v>1240</v>
      </c>
      <c r="C122" s="123" t="s">
        <v>185</v>
      </c>
      <c r="D122">
        <v>17.905999999999999</v>
      </c>
      <c r="E122">
        <v>25533.46</v>
      </c>
      <c r="F122">
        <v>17.792999999999999</v>
      </c>
      <c r="G122">
        <v>1</v>
      </c>
      <c r="H122">
        <v>0</v>
      </c>
      <c r="I122">
        <v>14</v>
      </c>
      <c r="J122">
        <v>19320</v>
      </c>
      <c r="K122" s="123" t="s">
        <v>388</v>
      </c>
      <c r="L122" s="123" t="s">
        <v>974</v>
      </c>
    </row>
    <row r="123" spans="1:12" x14ac:dyDescent="0.3">
      <c r="A123" s="95">
        <v>45996</v>
      </c>
      <c r="B123">
        <v>1032</v>
      </c>
      <c r="C123" s="123" t="s">
        <v>185</v>
      </c>
      <c r="D123">
        <v>-19.675999999999998</v>
      </c>
      <c r="E123">
        <v>-28057.75</v>
      </c>
      <c r="F123">
        <v>-19.552</v>
      </c>
      <c r="G123">
        <v>0</v>
      </c>
      <c r="H123">
        <v>18</v>
      </c>
      <c r="I123">
        <v>0</v>
      </c>
      <c r="J123">
        <v>18646</v>
      </c>
      <c r="K123" s="123" t="s">
        <v>334</v>
      </c>
      <c r="L123" s="123" t="s">
        <v>977</v>
      </c>
    </row>
    <row r="124" spans="1:12" x14ac:dyDescent="0.3">
      <c r="A124" s="95">
        <v>45996</v>
      </c>
      <c r="B124">
        <v>659</v>
      </c>
      <c r="C124" s="123" t="s">
        <v>185</v>
      </c>
      <c r="D124">
        <v>-4.7789999999999999</v>
      </c>
      <c r="E124">
        <v>-6814.49</v>
      </c>
      <c r="F124">
        <v>-4.7489999999999997</v>
      </c>
      <c r="G124">
        <v>0</v>
      </c>
      <c r="H124">
        <v>198</v>
      </c>
      <c r="I124">
        <v>0</v>
      </c>
      <c r="J124">
        <v>9645</v>
      </c>
      <c r="K124" s="123" t="s">
        <v>224</v>
      </c>
      <c r="L124" s="123" t="s">
        <v>978</v>
      </c>
    </row>
    <row r="125" spans="1:12" x14ac:dyDescent="0.3">
      <c r="A125" s="95">
        <v>45996</v>
      </c>
      <c r="B125">
        <v>6316</v>
      </c>
      <c r="C125" s="123" t="s">
        <v>950</v>
      </c>
      <c r="D125">
        <v>0.05</v>
      </c>
      <c r="E125">
        <v>0.05</v>
      </c>
      <c r="F125">
        <v>0.05</v>
      </c>
      <c r="G125">
        <v>1</v>
      </c>
      <c r="H125">
        <v>0</v>
      </c>
      <c r="I125">
        <v>790</v>
      </c>
      <c r="J125">
        <v>34427</v>
      </c>
      <c r="K125" s="123" t="s">
        <v>487</v>
      </c>
      <c r="L125" s="123" t="s">
        <v>1034</v>
      </c>
    </row>
    <row r="126" spans="1:12" x14ac:dyDescent="0.3">
      <c r="A126" s="95">
        <v>45996</v>
      </c>
      <c r="B126">
        <v>393</v>
      </c>
      <c r="C126" s="123" t="s">
        <v>188</v>
      </c>
      <c r="D126">
        <v>-0.96</v>
      </c>
      <c r="E126">
        <v>-0.96</v>
      </c>
      <c r="F126">
        <v>-0.96</v>
      </c>
      <c r="G126">
        <v>0</v>
      </c>
      <c r="H126">
        <v>790</v>
      </c>
      <c r="I126">
        <v>0</v>
      </c>
      <c r="J126">
        <v>1169</v>
      </c>
      <c r="K126" s="123" t="s">
        <v>941</v>
      </c>
      <c r="L126" s="123" t="s">
        <v>942</v>
      </c>
    </row>
    <row r="127" spans="1:12" x14ac:dyDescent="0.3">
      <c r="A127" s="95">
        <v>45996</v>
      </c>
      <c r="B127">
        <v>783</v>
      </c>
      <c r="C127" s="123" t="s">
        <v>188</v>
      </c>
      <c r="D127">
        <v>25235</v>
      </c>
      <c r="E127">
        <v>25235</v>
      </c>
      <c r="F127">
        <v>25235</v>
      </c>
      <c r="G127">
        <v>1</v>
      </c>
      <c r="H127">
        <v>0</v>
      </c>
      <c r="I127">
        <v>78</v>
      </c>
      <c r="J127">
        <v>15348</v>
      </c>
      <c r="K127" s="123" t="s">
        <v>384</v>
      </c>
      <c r="L127" s="123" t="s">
        <v>998</v>
      </c>
    </row>
    <row r="128" spans="1:12" x14ac:dyDescent="0.3">
      <c r="A128" s="95">
        <v>45996</v>
      </c>
      <c r="B128">
        <v>5871</v>
      </c>
      <c r="C128" s="123" t="s">
        <v>950</v>
      </c>
      <c r="D128">
        <v>0.52</v>
      </c>
      <c r="E128">
        <v>0.52</v>
      </c>
      <c r="F128">
        <v>0.52</v>
      </c>
      <c r="G128">
        <v>1</v>
      </c>
      <c r="H128">
        <v>0</v>
      </c>
      <c r="I128">
        <v>37</v>
      </c>
      <c r="J128">
        <v>31505</v>
      </c>
      <c r="K128" s="123" t="s">
        <v>385</v>
      </c>
      <c r="L128" s="123" t="s">
        <v>1053</v>
      </c>
    </row>
    <row r="129" spans="1:12" x14ac:dyDescent="0.3">
      <c r="A129" s="95">
        <v>45996</v>
      </c>
      <c r="B129">
        <v>969</v>
      </c>
      <c r="C129" s="123" t="s">
        <v>185</v>
      </c>
      <c r="D129">
        <v>0</v>
      </c>
      <c r="E129">
        <v>-0.37</v>
      </c>
      <c r="F129">
        <v>0</v>
      </c>
      <c r="G129">
        <v>0</v>
      </c>
      <c r="H129">
        <v>6</v>
      </c>
      <c r="I129">
        <v>0</v>
      </c>
      <c r="J129">
        <v>3511</v>
      </c>
      <c r="K129" s="123" t="s">
        <v>989</v>
      </c>
      <c r="L129" s="123" t="s">
        <v>990</v>
      </c>
    </row>
    <row r="130" spans="1:12" x14ac:dyDescent="0.3">
      <c r="A130" s="95">
        <v>45996</v>
      </c>
      <c r="B130">
        <v>776</v>
      </c>
      <c r="C130" s="123" t="s">
        <v>185</v>
      </c>
      <c r="D130">
        <v>0</v>
      </c>
      <c r="E130">
        <v>-0.26</v>
      </c>
      <c r="F130">
        <v>0</v>
      </c>
      <c r="G130">
        <v>0</v>
      </c>
      <c r="H130">
        <v>2</v>
      </c>
      <c r="I130">
        <v>0</v>
      </c>
      <c r="J130">
        <v>16699</v>
      </c>
      <c r="K130" s="123" t="s">
        <v>261</v>
      </c>
      <c r="L130" s="123" t="s">
        <v>938</v>
      </c>
    </row>
    <row r="131" spans="1:12" x14ac:dyDescent="0.3">
      <c r="A131" s="95">
        <v>45996</v>
      </c>
      <c r="B131">
        <v>1207</v>
      </c>
      <c r="C131" s="123" t="s">
        <v>185</v>
      </c>
      <c r="D131">
        <v>0.90300000000000002</v>
      </c>
      <c r="E131">
        <v>1287.43</v>
      </c>
      <c r="F131">
        <v>0.89700000000000002</v>
      </c>
      <c r="G131">
        <v>1</v>
      </c>
      <c r="H131">
        <v>0</v>
      </c>
      <c r="I131">
        <v>790</v>
      </c>
      <c r="J131">
        <v>9817</v>
      </c>
      <c r="K131" s="123" t="s">
        <v>396</v>
      </c>
      <c r="L131" s="123" t="s">
        <v>1120</v>
      </c>
    </row>
    <row r="132" spans="1:12" x14ac:dyDescent="0.3">
      <c r="A132" s="95">
        <v>45996</v>
      </c>
      <c r="B132">
        <v>3051</v>
      </c>
      <c r="C132" s="123" t="s">
        <v>950</v>
      </c>
      <c r="D132">
        <v>202146.74</v>
      </c>
      <c r="E132">
        <v>202146.74</v>
      </c>
      <c r="F132">
        <v>202146.74</v>
      </c>
      <c r="G132">
        <v>1</v>
      </c>
      <c r="H132">
        <v>0</v>
      </c>
      <c r="J132">
        <v>31447</v>
      </c>
      <c r="K132" s="123" t="s">
        <v>1492</v>
      </c>
      <c r="L132" s="123" t="s">
        <v>1493</v>
      </c>
    </row>
    <row r="133" spans="1:12" x14ac:dyDescent="0.3">
      <c r="A133" s="95">
        <v>45996</v>
      </c>
      <c r="B133">
        <v>857</v>
      </c>
      <c r="C133" s="123" t="s">
        <v>185</v>
      </c>
      <c r="D133">
        <v>-0.84799999999999998</v>
      </c>
      <c r="E133">
        <v>-1209.19</v>
      </c>
      <c r="F133">
        <v>-0.84299999999999997</v>
      </c>
      <c r="G133">
        <v>0</v>
      </c>
      <c r="H133">
        <v>772</v>
      </c>
      <c r="I133">
        <v>0</v>
      </c>
      <c r="J133">
        <v>17691</v>
      </c>
      <c r="K133" s="123" t="s">
        <v>1055</v>
      </c>
      <c r="L133" s="123" t="s">
        <v>1056</v>
      </c>
    </row>
    <row r="134" spans="1:12" x14ac:dyDescent="0.3">
      <c r="A134" s="95">
        <v>45996</v>
      </c>
      <c r="B134">
        <v>1843</v>
      </c>
      <c r="C134" s="123" t="s">
        <v>185</v>
      </c>
      <c r="D134">
        <v>0.01</v>
      </c>
      <c r="E134">
        <v>13.56</v>
      </c>
      <c r="F134">
        <v>8.9999999999999993E-3</v>
      </c>
      <c r="G134">
        <v>1</v>
      </c>
      <c r="H134">
        <v>0</v>
      </c>
      <c r="I134">
        <v>308</v>
      </c>
      <c r="J134">
        <v>20674</v>
      </c>
      <c r="K134" s="123" t="s">
        <v>474</v>
      </c>
      <c r="L134" s="123" t="s">
        <v>1052</v>
      </c>
    </row>
    <row r="135" spans="1:12" x14ac:dyDescent="0.3">
      <c r="A135" s="95">
        <v>45996</v>
      </c>
      <c r="B135">
        <v>757</v>
      </c>
      <c r="C135" s="123" t="s">
        <v>188</v>
      </c>
      <c r="D135">
        <v>412.17</v>
      </c>
      <c r="E135">
        <v>412.17</v>
      </c>
      <c r="F135">
        <v>412.17</v>
      </c>
      <c r="G135">
        <v>1</v>
      </c>
      <c r="H135">
        <v>0</v>
      </c>
      <c r="I135">
        <v>790</v>
      </c>
      <c r="J135">
        <v>13408</v>
      </c>
      <c r="K135" s="123" t="s">
        <v>274</v>
      </c>
      <c r="L135" s="123" t="s">
        <v>1001</v>
      </c>
    </row>
    <row r="136" spans="1:12" x14ac:dyDescent="0.3">
      <c r="A136" s="95">
        <v>45996</v>
      </c>
      <c r="B136">
        <v>1986</v>
      </c>
      <c r="C136" s="123" t="s">
        <v>950</v>
      </c>
      <c r="D136">
        <v>2.4</v>
      </c>
      <c r="E136">
        <v>2.4</v>
      </c>
      <c r="F136">
        <v>2.4</v>
      </c>
      <c r="G136">
        <v>1</v>
      </c>
      <c r="H136">
        <v>0</v>
      </c>
      <c r="I136">
        <v>790</v>
      </c>
      <c r="J136">
        <v>20868</v>
      </c>
      <c r="K136" s="123" t="s">
        <v>312</v>
      </c>
      <c r="L136" s="123" t="s">
        <v>1073</v>
      </c>
    </row>
    <row r="137" spans="1:12" x14ac:dyDescent="0.3">
      <c r="A137" s="95">
        <v>45996</v>
      </c>
      <c r="B137">
        <v>632</v>
      </c>
      <c r="C137" s="123" t="s">
        <v>801</v>
      </c>
      <c r="D137">
        <v>-503.4</v>
      </c>
      <c r="E137">
        <v>-503.4</v>
      </c>
      <c r="F137">
        <v>-503.4</v>
      </c>
      <c r="G137">
        <v>0</v>
      </c>
      <c r="H137">
        <v>70</v>
      </c>
      <c r="I137">
        <v>0</v>
      </c>
      <c r="J137">
        <v>9449</v>
      </c>
      <c r="K137" s="123" t="s">
        <v>258</v>
      </c>
      <c r="L137" s="123" t="s">
        <v>1081</v>
      </c>
    </row>
    <row r="138" spans="1:12" x14ac:dyDescent="0.3">
      <c r="A138" s="95">
        <v>45996</v>
      </c>
      <c r="B138">
        <v>855</v>
      </c>
      <c r="C138" s="123" t="s">
        <v>185</v>
      </c>
      <c r="D138">
        <v>-2.1160000000000001</v>
      </c>
      <c r="E138">
        <v>-3017.56</v>
      </c>
      <c r="F138">
        <v>-2.1030000000000002</v>
      </c>
      <c r="G138">
        <v>0</v>
      </c>
      <c r="H138">
        <v>10</v>
      </c>
      <c r="I138">
        <v>0</v>
      </c>
      <c r="J138">
        <v>17742</v>
      </c>
      <c r="K138" s="123" t="s">
        <v>266</v>
      </c>
      <c r="L138" s="123" t="s">
        <v>1030</v>
      </c>
    </row>
    <row r="139" spans="1:12" x14ac:dyDescent="0.3">
      <c r="A139" s="95">
        <v>45996</v>
      </c>
      <c r="B139">
        <v>1522</v>
      </c>
      <c r="C139" s="123" t="s">
        <v>950</v>
      </c>
      <c r="D139">
        <v>-0.37</v>
      </c>
      <c r="E139">
        <v>-0.37</v>
      </c>
      <c r="F139">
        <v>-0.37</v>
      </c>
      <c r="G139">
        <v>0</v>
      </c>
      <c r="H139">
        <v>2</v>
      </c>
      <c r="I139">
        <v>0</v>
      </c>
      <c r="J139">
        <v>20094</v>
      </c>
      <c r="K139" s="123" t="s">
        <v>488</v>
      </c>
      <c r="L139" s="123" t="s">
        <v>1050</v>
      </c>
    </row>
    <row r="140" spans="1:12" x14ac:dyDescent="0.3">
      <c r="A140" s="95">
        <v>45996</v>
      </c>
      <c r="B140">
        <v>3176</v>
      </c>
      <c r="C140" s="123" t="s">
        <v>185</v>
      </c>
      <c r="D140">
        <v>-11.128</v>
      </c>
      <c r="E140">
        <v>-15868.56</v>
      </c>
      <c r="F140">
        <v>-11.058</v>
      </c>
      <c r="G140">
        <v>0</v>
      </c>
      <c r="H140">
        <v>5</v>
      </c>
      <c r="I140">
        <v>0</v>
      </c>
      <c r="J140">
        <v>31590</v>
      </c>
      <c r="K140" s="123" t="s">
        <v>1044</v>
      </c>
      <c r="L140" s="123" t="s">
        <v>1045</v>
      </c>
    </row>
    <row r="141" spans="1:12" x14ac:dyDescent="0.3">
      <c r="A141" s="95">
        <v>45996</v>
      </c>
      <c r="B141">
        <v>1125</v>
      </c>
      <c r="C141" s="123" t="s">
        <v>801</v>
      </c>
      <c r="D141">
        <v>0</v>
      </c>
      <c r="E141">
        <v>0</v>
      </c>
      <c r="F141">
        <v>0</v>
      </c>
      <c r="G141">
        <v>0</v>
      </c>
      <c r="H141">
        <v>16</v>
      </c>
      <c r="I141">
        <v>0</v>
      </c>
      <c r="J141">
        <v>18482</v>
      </c>
      <c r="K141" s="123" t="s">
        <v>418</v>
      </c>
      <c r="L141" s="123" t="s">
        <v>1080</v>
      </c>
    </row>
    <row r="142" spans="1:12" x14ac:dyDescent="0.3">
      <c r="A142" s="95">
        <v>45996</v>
      </c>
      <c r="B142">
        <v>12417</v>
      </c>
      <c r="C142" s="123" t="s">
        <v>950</v>
      </c>
      <c r="D142">
        <v>2.02</v>
      </c>
      <c r="E142">
        <v>2.02</v>
      </c>
      <c r="F142">
        <v>2.02</v>
      </c>
      <c r="G142">
        <v>1</v>
      </c>
      <c r="H142">
        <v>0</v>
      </c>
      <c r="I142">
        <v>222</v>
      </c>
      <c r="J142">
        <v>35703</v>
      </c>
      <c r="K142" s="123" t="s">
        <v>459</v>
      </c>
      <c r="L142" s="123" t="s">
        <v>1222</v>
      </c>
    </row>
    <row r="143" spans="1:12" x14ac:dyDescent="0.3">
      <c r="A143" s="95">
        <v>45996</v>
      </c>
      <c r="B143">
        <v>1547</v>
      </c>
      <c r="C143" s="123" t="s">
        <v>185</v>
      </c>
      <c r="D143">
        <v>-0.53200000000000003</v>
      </c>
      <c r="E143">
        <v>-758.24</v>
      </c>
      <c r="F143">
        <v>-0.52800000000000002</v>
      </c>
      <c r="G143">
        <v>0</v>
      </c>
      <c r="H143">
        <v>340</v>
      </c>
      <c r="I143">
        <v>0</v>
      </c>
      <c r="J143">
        <v>20218</v>
      </c>
      <c r="K143" s="123" t="s">
        <v>533</v>
      </c>
      <c r="L143" s="123" t="s">
        <v>1134</v>
      </c>
    </row>
    <row r="144" spans="1:12" x14ac:dyDescent="0.3">
      <c r="A144" s="95">
        <v>45996</v>
      </c>
      <c r="B144">
        <v>1559</v>
      </c>
      <c r="C144" s="123" t="s">
        <v>185</v>
      </c>
      <c r="D144">
        <v>0.01</v>
      </c>
      <c r="E144">
        <v>14.23</v>
      </c>
      <c r="F144">
        <v>0.01</v>
      </c>
      <c r="G144">
        <v>1</v>
      </c>
      <c r="H144">
        <v>0</v>
      </c>
      <c r="I144">
        <v>2</v>
      </c>
      <c r="J144">
        <v>20235</v>
      </c>
      <c r="K144" s="123" t="s">
        <v>1082</v>
      </c>
      <c r="L144" s="123" t="s">
        <v>1083</v>
      </c>
    </row>
    <row r="145" spans="1:12" x14ac:dyDescent="0.3">
      <c r="A145" s="95">
        <v>45996</v>
      </c>
      <c r="B145">
        <v>1025</v>
      </c>
      <c r="C145" s="123" t="s">
        <v>188</v>
      </c>
      <c r="D145">
        <v>0.01</v>
      </c>
      <c r="E145">
        <v>0.01</v>
      </c>
      <c r="F145">
        <v>0.01</v>
      </c>
      <c r="G145">
        <v>1</v>
      </c>
      <c r="H145">
        <v>0</v>
      </c>
      <c r="I145">
        <v>772</v>
      </c>
      <c r="J145">
        <v>7356</v>
      </c>
      <c r="K145" s="123" t="s">
        <v>245</v>
      </c>
      <c r="L145" s="123" t="s">
        <v>1078</v>
      </c>
    </row>
    <row r="146" spans="1:12" x14ac:dyDescent="0.3">
      <c r="A146" s="95">
        <v>45996</v>
      </c>
      <c r="B146">
        <v>1494</v>
      </c>
      <c r="C146" s="123" t="s">
        <v>950</v>
      </c>
      <c r="D146">
        <v>10036.02</v>
      </c>
      <c r="E146">
        <v>10036.02</v>
      </c>
      <c r="F146">
        <v>10036.02</v>
      </c>
      <c r="G146">
        <v>1</v>
      </c>
      <c r="H146">
        <v>0</v>
      </c>
      <c r="J146">
        <v>17933</v>
      </c>
      <c r="K146" s="123" t="s">
        <v>336</v>
      </c>
      <c r="L146" s="123" t="s">
        <v>1103</v>
      </c>
    </row>
    <row r="147" spans="1:12" x14ac:dyDescent="0.3">
      <c r="A147" s="95">
        <v>45996</v>
      </c>
      <c r="B147">
        <v>1345</v>
      </c>
      <c r="C147" s="123" t="s">
        <v>185</v>
      </c>
      <c r="D147">
        <v>-32.226999999999997</v>
      </c>
      <c r="E147">
        <v>-45955.41</v>
      </c>
      <c r="F147">
        <v>-32.024999999999999</v>
      </c>
      <c r="G147">
        <v>0</v>
      </c>
      <c r="H147">
        <v>46</v>
      </c>
      <c r="I147">
        <v>0</v>
      </c>
      <c r="J147">
        <v>19474</v>
      </c>
      <c r="K147" s="123" t="s">
        <v>704</v>
      </c>
      <c r="L147" s="123" t="s">
        <v>1224</v>
      </c>
    </row>
    <row r="148" spans="1:12" x14ac:dyDescent="0.3">
      <c r="A148" s="95">
        <v>45996</v>
      </c>
      <c r="B148">
        <v>1036</v>
      </c>
      <c r="C148" s="123" t="s">
        <v>185</v>
      </c>
      <c r="D148">
        <v>1E-3</v>
      </c>
      <c r="E148">
        <v>0.8</v>
      </c>
      <c r="F148">
        <v>1E-3</v>
      </c>
      <c r="G148">
        <v>1</v>
      </c>
      <c r="H148">
        <v>0</v>
      </c>
      <c r="I148">
        <v>419</v>
      </c>
      <c r="J148">
        <v>8147</v>
      </c>
      <c r="K148" s="123" t="s">
        <v>613</v>
      </c>
      <c r="L148" s="123" t="s">
        <v>1043</v>
      </c>
    </row>
    <row r="149" spans="1:12" x14ac:dyDescent="0.3">
      <c r="A149" s="95">
        <v>45996</v>
      </c>
      <c r="B149">
        <v>1273</v>
      </c>
      <c r="C149" s="123" t="s">
        <v>188</v>
      </c>
      <c r="D149">
        <v>10000.14</v>
      </c>
      <c r="E149">
        <v>10000.14</v>
      </c>
      <c r="F149">
        <v>10000.14</v>
      </c>
      <c r="G149">
        <v>1</v>
      </c>
      <c r="H149">
        <v>0</v>
      </c>
      <c r="I149">
        <v>151</v>
      </c>
      <c r="J149">
        <v>19363</v>
      </c>
      <c r="K149" s="123" t="s">
        <v>1183</v>
      </c>
      <c r="L149" s="123" t="s">
        <v>1184</v>
      </c>
    </row>
    <row r="150" spans="1:12" x14ac:dyDescent="0.3">
      <c r="A150" s="95">
        <v>45996</v>
      </c>
      <c r="B150">
        <v>1535</v>
      </c>
      <c r="C150" s="123" t="s">
        <v>950</v>
      </c>
      <c r="D150">
        <v>0.8</v>
      </c>
      <c r="E150">
        <v>0.8</v>
      </c>
      <c r="F150">
        <v>0.8</v>
      </c>
      <c r="G150">
        <v>1</v>
      </c>
      <c r="H150">
        <v>0</v>
      </c>
      <c r="I150">
        <v>501</v>
      </c>
      <c r="J150">
        <v>19377</v>
      </c>
      <c r="K150" s="123" t="s">
        <v>390</v>
      </c>
      <c r="L150" s="123" t="s">
        <v>1297</v>
      </c>
    </row>
    <row r="151" spans="1:12" x14ac:dyDescent="0.3">
      <c r="A151" s="95">
        <v>45996</v>
      </c>
      <c r="B151">
        <v>889</v>
      </c>
      <c r="C151" s="123" t="s">
        <v>185</v>
      </c>
      <c r="D151">
        <v>0.01</v>
      </c>
      <c r="E151">
        <v>14.05</v>
      </c>
      <c r="F151">
        <v>0.01</v>
      </c>
      <c r="G151">
        <v>1</v>
      </c>
      <c r="H151">
        <v>0</v>
      </c>
      <c r="J151">
        <v>17632</v>
      </c>
      <c r="K151" s="123" t="s">
        <v>693</v>
      </c>
      <c r="L151" s="123" t="s">
        <v>1494</v>
      </c>
    </row>
    <row r="152" spans="1:12" x14ac:dyDescent="0.3">
      <c r="A152" s="95">
        <v>45996</v>
      </c>
      <c r="B152">
        <v>1048</v>
      </c>
      <c r="C152" s="123" t="s">
        <v>950</v>
      </c>
      <c r="D152">
        <v>2031.54</v>
      </c>
      <c r="E152">
        <v>2031.54</v>
      </c>
      <c r="F152">
        <v>2031.54</v>
      </c>
      <c r="G152">
        <v>1</v>
      </c>
      <c r="H152">
        <v>0</v>
      </c>
      <c r="I152">
        <v>731</v>
      </c>
      <c r="J152">
        <v>2240</v>
      </c>
      <c r="K152" s="123" t="s">
        <v>1177</v>
      </c>
      <c r="L152" s="123" t="s">
        <v>1178</v>
      </c>
    </row>
    <row r="153" spans="1:12" x14ac:dyDescent="0.3">
      <c r="A153" s="95">
        <v>45996</v>
      </c>
      <c r="B153">
        <v>5858</v>
      </c>
      <c r="C153" s="123" t="s">
        <v>185</v>
      </c>
      <c r="D153">
        <v>0</v>
      </c>
      <c r="E153">
        <v>0.21</v>
      </c>
      <c r="F153">
        <v>0</v>
      </c>
      <c r="G153">
        <v>1</v>
      </c>
      <c r="H153">
        <v>0</v>
      </c>
      <c r="I153">
        <v>7</v>
      </c>
      <c r="J153">
        <v>34098</v>
      </c>
      <c r="K153" s="123" t="s">
        <v>393</v>
      </c>
      <c r="L153" s="123" t="s">
        <v>1144</v>
      </c>
    </row>
    <row r="154" spans="1:12" x14ac:dyDescent="0.3">
      <c r="A154" s="95">
        <v>45996</v>
      </c>
      <c r="B154">
        <v>1235</v>
      </c>
      <c r="C154" s="123" t="s">
        <v>185</v>
      </c>
      <c r="D154">
        <v>-67.81</v>
      </c>
      <c r="E154">
        <v>-96696.94</v>
      </c>
      <c r="F154">
        <v>-67.385000000000005</v>
      </c>
      <c r="G154">
        <v>0</v>
      </c>
      <c r="H154">
        <v>4</v>
      </c>
      <c r="I154">
        <v>0</v>
      </c>
      <c r="J154">
        <v>19316</v>
      </c>
      <c r="K154" s="123" t="s">
        <v>377</v>
      </c>
      <c r="L154" s="123" t="s">
        <v>1239</v>
      </c>
    </row>
    <row r="155" spans="1:12" x14ac:dyDescent="0.3">
      <c r="A155" s="95">
        <v>45996</v>
      </c>
      <c r="B155">
        <v>1526</v>
      </c>
      <c r="C155" s="123" t="s">
        <v>185</v>
      </c>
      <c r="D155">
        <v>-10.695</v>
      </c>
      <c r="E155">
        <v>-15250.77</v>
      </c>
      <c r="F155">
        <v>-10.628</v>
      </c>
      <c r="G155">
        <v>0</v>
      </c>
      <c r="H155">
        <v>6</v>
      </c>
      <c r="I155">
        <v>0</v>
      </c>
      <c r="J155">
        <v>20076</v>
      </c>
      <c r="K155" s="123" t="s">
        <v>362</v>
      </c>
      <c r="L155" s="123" t="s">
        <v>1514</v>
      </c>
    </row>
    <row r="156" spans="1:12" x14ac:dyDescent="0.3">
      <c r="A156" s="95">
        <v>45996</v>
      </c>
      <c r="B156">
        <v>640</v>
      </c>
      <c r="C156" s="123" t="s">
        <v>950</v>
      </c>
      <c r="D156">
        <v>231725.53</v>
      </c>
      <c r="E156">
        <v>231725.53</v>
      </c>
      <c r="F156">
        <v>231725.53</v>
      </c>
      <c r="G156">
        <v>1</v>
      </c>
      <c r="H156">
        <v>0</v>
      </c>
      <c r="I156">
        <v>730</v>
      </c>
      <c r="J156">
        <v>8261</v>
      </c>
      <c r="K156" s="123" t="s">
        <v>431</v>
      </c>
      <c r="L156" s="123" t="s">
        <v>1192</v>
      </c>
    </row>
    <row r="157" spans="1:12" x14ac:dyDescent="0.3">
      <c r="A157" s="95">
        <v>45996</v>
      </c>
      <c r="B157">
        <v>1141</v>
      </c>
      <c r="C157" s="123" t="s">
        <v>185</v>
      </c>
      <c r="D157">
        <v>0</v>
      </c>
      <c r="E157">
        <v>0</v>
      </c>
      <c r="F157">
        <v>0</v>
      </c>
      <c r="G157">
        <v>0</v>
      </c>
      <c r="H157">
        <v>278</v>
      </c>
      <c r="I157">
        <v>0</v>
      </c>
      <c r="J157">
        <v>18969</v>
      </c>
      <c r="K157" s="123" t="s">
        <v>395</v>
      </c>
      <c r="L157" s="123" t="s">
        <v>1280</v>
      </c>
    </row>
    <row r="158" spans="1:12" x14ac:dyDescent="0.3">
      <c r="A158" s="95">
        <v>45996</v>
      </c>
      <c r="B158">
        <v>331</v>
      </c>
      <c r="C158" s="123" t="s">
        <v>801</v>
      </c>
      <c r="D158">
        <v>750</v>
      </c>
      <c r="E158">
        <v>750</v>
      </c>
      <c r="F158">
        <v>750</v>
      </c>
      <c r="G158">
        <v>1</v>
      </c>
      <c r="H158">
        <v>0</v>
      </c>
      <c r="I158">
        <v>5</v>
      </c>
      <c r="J158">
        <v>652</v>
      </c>
      <c r="K158" s="123" t="s">
        <v>447</v>
      </c>
      <c r="L158" s="123" t="s">
        <v>1143</v>
      </c>
    </row>
    <row r="159" spans="1:12" x14ac:dyDescent="0.3">
      <c r="A159" s="95">
        <v>45996</v>
      </c>
      <c r="B159">
        <v>1724</v>
      </c>
      <c r="C159" s="123" t="s">
        <v>185</v>
      </c>
      <c r="D159">
        <v>0</v>
      </c>
      <c r="E159">
        <v>0.35</v>
      </c>
      <c r="F159">
        <v>0</v>
      </c>
      <c r="G159">
        <v>1</v>
      </c>
      <c r="H159">
        <v>0</v>
      </c>
      <c r="I159">
        <v>11</v>
      </c>
      <c r="J159">
        <v>20518</v>
      </c>
      <c r="K159" s="123" t="s">
        <v>270</v>
      </c>
      <c r="L159" s="123" t="s">
        <v>1225</v>
      </c>
    </row>
    <row r="160" spans="1:12" x14ac:dyDescent="0.3">
      <c r="A160" s="95">
        <v>45996</v>
      </c>
      <c r="B160">
        <v>2309</v>
      </c>
      <c r="C160" s="123" t="s">
        <v>185</v>
      </c>
      <c r="D160">
        <v>2.472</v>
      </c>
      <c r="E160">
        <v>3524.55</v>
      </c>
      <c r="F160">
        <v>2.456</v>
      </c>
      <c r="G160">
        <v>1</v>
      </c>
      <c r="H160">
        <v>0</v>
      </c>
      <c r="I160">
        <v>25</v>
      </c>
      <c r="J160">
        <v>30408</v>
      </c>
      <c r="K160" s="123" t="s">
        <v>197</v>
      </c>
      <c r="L160" s="123" t="s">
        <v>1229</v>
      </c>
    </row>
    <row r="161" spans="1:12" x14ac:dyDescent="0.3">
      <c r="A161" s="95">
        <v>45996</v>
      </c>
      <c r="B161">
        <v>1437</v>
      </c>
      <c r="C161" s="123" t="s">
        <v>950</v>
      </c>
      <c r="D161">
        <v>0.01</v>
      </c>
      <c r="E161">
        <v>0.01</v>
      </c>
      <c r="F161">
        <v>0.01</v>
      </c>
      <c r="G161">
        <v>1</v>
      </c>
      <c r="H161">
        <v>0</v>
      </c>
      <c r="I161">
        <v>240</v>
      </c>
      <c r="J161">
        <v>19791</v>
      </c>
      <c r="K161" s="123" t="s">
        <v>172</v>
      </c>
      <c r="L161" s="123" t="s">
        <v>1223</v>
      </c>
    </row>
    <row r="162" spans="1:12" x14ac:dyDescent="0.3">
      <c r="A162" s="95">
        <v>45996</v>
      </c>
      <c r="B162">
        <v>4129</v>
      </c>
      <c r="C162" s="123" t="s">
        <v>185</v>
      </c>
      <c r="D162">
        <v>0</v>
      </c>
      <c r="E162">
        <v>0.28999999999999998</v>
      </c>
      <c r="F162">
        <v>0</v>
      </c>
      <c r="G162">
        <v>1</v>
      </c>
      <c r="H162">
        <v>0</v>
      </c>
      <c r="I162">
        <v>4</v>
      </c>
      <c r="J162">
        <v>32746</v>
      </c>
      <c r="K162" s="123" t="s">
        <v>230</v>
      </c>
      <c r="L162" s="123" t="s">
        <v>1298</v>
      </c>
    </row>
    <row r="163" spans="1:12" x14ac:dyDescent="0.3">
      <c r="A163" s="95">
        <v>45996</v>
      </c>
      <c r="B163">
        <v>95</v>
      </c>
      <c r="C163" s="123" t="s">
        <v>801</v>
      </c>
      <c r="D163">
        <v>35000</v>
      </c>
      <c r="E163">
        <v>35000</v>
      </c>
      <c r="F163">
        <v>35000</v>
      </c>
      <c r="G163">
        <v>1</v>
      </c>
      <c r="H163">
        <v>0</v>
      </c>
      <c r="I163">
        <v>13</v>
      </c>
      <c r="J163">
        <v>708</v>
      </c>
      <c r="K163" s="123" t="s">
        <v>1241</v>
      </c>
      <c r="L163" s="123" t="s">
        <v>1242</v>
      </c>
    </row>
    <row r="164" spans="1:12" x14ac:dyDescent="0.3">
      <c r="A164" s="95">
        <v>45996</v>
      </c>
      <c r="B164">
        <v>10253</v>
      </c>
      <c r="C164" s="123" t="s">
        <v>950</v>
      </c>
      <c r="D164">
        <v>-0.18</v>
      </c>
      <c r="E164">
        <v>-0.18</v>
      </c>
      <c r="F164">
        <v>-0.18</v>
      </c>
      <c r="G164">
        <v>0</v>
      </c>
      <c r="H164">
        <v>2</v>
      </c>
      <c r="I164">
        <v>0</v>
      </c>
      <c r="J164">
        <v>35643</v>
      </c>
      <c r="K164" s="123" t="s">
        <v>603</v>
      </c>
      <c r="L164" s="123" t="s">
        <v>1220</v>
      </c>
    </row>
    <row r="165" spans="1:12" x14ac:dyDescent="0.3">
      <c r="A165" s="95">
        <v>45996</v>
      </c>
      <c r="B165">
        <v>2145</v>
      </c>
      <c r="C165" s="123" t="s">
        <v>185</v>
      </c>
      <c r="D165">
        <v>0</v>
      </c>
      <c r="E165">
        <v>0</v>
      </c>
      <c r="F165">
        <v>0</v>
      </c>
      <c r="G165">
        <v>0</v>
      </c>
      <c r="H165">
        <v>2</v>
      </c>
      <c r="I165">
        <v>0</v>
      </c>
      <c r="J165">
        <v>30078</v>
      </c>
      <c r="K165" s="123" t="s">
        <v>342</v>
      </c>
      <c r="L165" s="123" t="s">
        <v>1276</v>
      </c>
    </row>
    <row r="166" spans="1:12" x14ac:dyDescent="0.3">
      <c r="A166" s="95">
        <v>45996</v>
      </c>
      <c r="B166">
        <v>14873</v>
      </c>
      <c r="C166" s="123" t="s">
        <v>185</v>
      </c>
      <c r="D166">
        <v>20.152000000000001</v>
      </c>
      <c r="E166">
        <v>28736.26</v>
      </c>
      <c r="F166">
        <v>20.024999999999999</v>
      </c>
      <c r="G166">
        <v>1</v>
      </c>
      <c r="H166">
        <v>0</v>
      </c>
      <c r="I166">
        <v>2</v>
      </c>
      <c r="J166">
        <v>37088</v>
      </c>
      <c r="K166" s="123" t="s">
        <v>571</v>
      </c>
      <c r="L166" s="123" t="s">
        <v>1269</v>
      </c>
    </row>
    <row r="167" spans="1:12" x14ac:dyDescent="0.3">
      <c r="A167" s="95">
        <v>45996</v>
      </c>
      <c r="B167">
        <v>7742</v>
      </c>
      <c r="C167" s="123" t="s">
        <v>185</v>
      </c>
      <c r="D167">
        <v>-12.51</v>
      </c>
      <c r="E167">
        <v>-17839.84</v>
      </c>
      <c r="F167">
        <v>-12.432</v>
      </c>
      <c r="G167">
        <v>0</v>
      </c>
      <c r="H167">
        <v>11</v>
      </c>
      <c r="I167">
        <v>0</v>
      </c>
      <c r="J167">
        <v>35045</v>
      </c>
      <c r="K167" s="123" t="s">
        <v>1272</v>
      </c>
      <c r="L167" s="123" t="s">
        <v>1273</v>
      </c>
    </row>
    <row r="168" spans="1:12" x14ac:dyDescent="0.3">
      <c r="A168" s="95">
        <v>45996</v>
      </c>
      <c r="B168">
        <v>1768</v>
      </c>
      <c r="C168" s="123" t="s">
        <v>185</v>
      </c>
      <c r="D168">
        <v>-19.606999999999999</v>
      </c>
      <c r="E168">
        <v>-27960.15</v>
      </c>
      <c r="F168">
        <v>-19.484000000000002</v>
      </c>
      <c r="G168">
        <v>0</v>
      </c>
      <c r="H168">
        <v>20</v>
      </c>
      <c r="I168">
        <v>0</v>
      </c>
      <c r="J168">
        <v>20575</v>
      </c>
      <c r="K168" s="123" t="s">
        <v>263</v>
      </c>
      <c r="L168" s="123" t="s">
        <v>1289</v>
      </c>
    </row>
    <row r="169" spans="1:12" x14ac:dyDescent="0.3">
      <c r="A169" s="95">
        <v>45996</v>
      </c>
      <c r="B169">
        <v>2447</v>
      </c>
      <c r="C169" s="123" t="s">
        <v>185</v>
      </c>
      <c r="D169">
        <v>0.01</v>
      </c>
      <c r="E169">
        <v>13.94</v>
      </c>
      <c r="F169">
        <v>0.01</v>
      </c>
      <c r="G169">
        <v>1</v>
      </c>
      <c r="H169">
        <v>0</v>
      </c>
      <c r="I169">
        <v>31</v>
      </c>
      <c r="J169">
        <v>30642</v>
      </c>
      <c r="K169" s="123" t="s">
        <v>399</v>
      </c>
      <c r="L169" s="123" t="s">
        <v>1358</v>
      </c>
    </row>
    <row r="170" spans="1:12" x14ac:dyDescent="0.3">
      <c r="A170" s="95">
        <v>45996</v>
      </c>
      <c r="B170">
        <v>737</v>
      </c>
      <c r="C170" s="123" t="s">
        <v>801</v>
      </c>
      <c r="D170">
        <v>0</v>
      </c>
      <c r="E170">
        <v>0</v>
      </c>
      <c r="F170">
        <v>0</v>
      </c>
      <c r="G170">
        <v>0</v>
      </c>
      <c r="H170">
        <v>34</v>
      </c>
      <c r="I170">
        <v>0</v>
      </c>
      <c r="J170">
        <v>16298</v>
      </c>
      <c r="K170" s="123" t="s">
        <v>521</v>
      </c>
      <c r="L170" s="123" t="s">
        <v>1400</v>
      </c>
    </row>
    <row r="171" spans="1:12" x14ac:dyDescent="0.3">
      <c r="A171" s="95">
        <v>45996</v>
      </c>
      <c r="B171">
        <v>1191</v>
      </c>
      <c r="C171" s="123" t="s">
        <v>950</v>
      </c>
      <c r="D171">
        <v>200.33</v>
      </c>
      <c r="E171">
        <v>200.33</v>
      </c>
      <c r="F171">
        <v>200.33</v>
      </c>
      <c r="G171">
        <v>1</v>
      </c>
      <c r="H171">
        <v>0</v>
      </c>
      <c r="J171">
        <v>18954</v>
      </c>
      <c r="K171" s="123" t="s">
        <v>1247</v>
      </c>
      <c r="L171" s="123" t="s">
        <v>1248</v>
      </c>
    </row>
    <row r="172" spans="1:12" x14ac:dyDescent="0.3">
      <c r="A172" s="95">
        <v>45996</v>
      </c>
      <c r="B172">
        <v>851</v>
      </c>
      <c r="C172" s="123" t="s">
        <v>950</v>
      </c>
      <c r="D172">
        <v>-0.08</v>
      </c>
      <c r="E172">
        <v>-0.08</v>
      </c>
      <c r="F172">
        <v>-0.08</v>
      </c>
      <c r="G172">
        <v>0</v>
      </c>
      <c r="H172">
        <v>239</v>
      </c>
      <c r="I172">
        <v>0</v>
      </c>
      <c r="J172">
        <v>17729</v>
      </c>
      <c r="K172" s="123" t="s">
        <v>241</v>
      </c>
      <c r="L172" s="123" t="s">
        <v>1422</v>
      </c>
    </row>
    <row r="173" spans="1:12" x14ac:dyDescent="0.3">
      <c r="A173" s="95">
        <v>45996</v>
      </c>
      <c r="B173">
        <v>3044</v>
      </c>
      <c r="C173" s="123" t="s">
        <v>185</v>
      </c>
      <c r="D173">
        <v>-0.38700000000000001</v>
      </c>
      <c r="E173">
        <v>-551.88</v>
      </c>
      <c r="F173">
        <v>-0.38500000000000001</v>
      </c>
      <c r="G173">
        <v>0</v>
      </c>
      <c r="H173">
        <v>259</v>
      </c>
      <c r="I173">
        <v>0</v>
      </c>
      <c r="J173">
        <v>31437</v>
      </c>
      <c r="K173" s="123" t="s">
        <v>588</v>
      </c>
      <c r="L173" s="123" t="s">
        <v>1409</v>
      </c>
    </row>
    <row r="174" spans="1:12" x14ac:dyDescent="0.3">
      <c r="A174" s="95">
        <v>45996</v>
      </c>
      <c r="B174">
        <v>315</v>
      </c>
      <c r="C174" s="123" t="s">
        <v>950</v>
      </c>
      <c r="D174">
        <v>0.37</v>
      </c>
      <c r="E174">
        <v>0.37</v>
      </c>
      <c r="F174">
        <v>0.37</v>
      </c>
      <c r="G174">
        <v>1</v>
      </c>
      <c r="H174">
        <v>0</v>
      </c>
      <c r="I174">
        <v>106</v>
      </c>
      <c r="J174">
        <v>736</v>
      </c>
      <c r="K174" s="123" t="s">
        <v>404</v>
      </c>
      <c r="L174" s="123" t="s">
        <v>1408</v>
      </c>
    </row>
    <row r="175" spans="1:12" x14ac:dyDescent="0.3">
      <c r="A175" s="95">
        <v>45996</v>
      </c>
      <c r="B175">
        <v>1361</v>
      </c>
      <c r="C175" s="123" t="s">
        <v>801</v>
      </c>
      <c r="D175">
        <v>250</v>
      </c>
      <c r="E175">
        <v>250</v>
      </c>
      <c r="F175">
        <v>250</v>
      </c>
      <c r="G175">
        <v>1</v>
      </c>
      <c r="H175">
        <v>0</v>
      </c>
      <c r="I175">
        <v>2</v>
      </c>
      <c r="J175">
        <v>19517</v>
      </c>
      <c r="K175" s="123" t="s">
        <v>647</v>
      </c>
      <c r="L175" s="123" t="s">
        <v>1399</v>
      </c>
    </row>
    <row r="176" spans="1:12" x14ac:dyDescent="0.3">
      <c r="A176" s="95">
        <v>45996</v>
      </c>
      <c r="B176">
        <v>1605</v>
      </c>
      <c r="C176" s="123" t="s">
        <v>185</v>
      </c>
      <c r="D176">
        <v>0</v>
      </c>
      <c r="E176">
        <v>0.36</v>
      </c>
      <c r="F176">
        <v>0</v>
      </c>
      <c r="G176">
        <v>1</v>
      </c>
      <c r="H176">
        <v>0</v>
      </c>
      <c r="I176">
        <v>4</v>
      </c>
      <c r="J176">
        <v>20317</v>
      </c>
      <c r="K176" s="123" t="s">
        <v>721</v>
      </c>
      <c r="L176" s="123" t="s">
        <v>1430</v>
      </c>
    </row>
    <row r="177" spans="1:12" x14ac:dyDescent="0.3">
      <c r="A177" s="95">
        <v>45996</v>
      </c>
      <c r="B177">
        <v>1417</v>
      </c>
      <c r="C177" s="123" t="s">
        <v>185</v>
      </c>
      <c r="D177">
        <v>0</v>
      </c>
      <c r="E177">
        <v>-0.15</v>
      </c>
      <c r="F177">
        <v>0</v>
      </c>
      <c r="G177">
        <v>0</v>
      </c>
      <c r="H177">
        <v>18</v>
      </c>
      <c r="I177">
        <v>0</v>
      </c>
      <c r="J177">
        <v>9611</v>
      </c>
      <c r="K177" s="123" t="s">
        <v>709</v>
      </c>
      <c r="L177" s="123" t="s">
        <v>1436</v>
      </c>
    </row>
    <row r="178" spans="1:12" x14ac:dyDescent="0.3">
      <c r="A178" s="95">
        <v>45996</v>
      </c>
      <c r="B178">
        <v>997</v>
      </c>
      <c r="C178" s="123" t="s">
        <v>188</v>
      </c>
      <c r="D178">
        <v>35.61</v>
      </c>
      <c r="E178">
        <v>35.61</v>
      </c>
      <c r="F178">
        <v>35.61</v>
      </c>
      <c r="G178">
        <v>1</v>
      </c>
      <c r="H178">
        <v>0</v>
      </c>
      <c r="I178">
        <v>790</v>
      </c>
      <c r="J178">
        <v>17024</v>
      </c>
      <c r="K178" s="123" t="s">
        <v>1425</v>
      </c>
      <c r="L178" s="123" t="s">
        <v>1426</v>
      </c>
    </row>
    <row r="179" spans="1:12" x14ac:dyDescent="0.3">
      <c r="A179" s="95">
        <v>45996</v>
      </c>
      <c r="B179">
        <v>10</v>
      </c>
      <c r="C179" s="123" t="s">
        <v>188</v>
      </c>
      <c r="D179">
        <v>-1055.24</v>
      </c>
      <c r="E179">
        <v>-1055.24</v>
      </c>
      <c r="F179">
        <v>-1055.24</v>
      </c>
      <c r="G179">
        <v>0</v>
      </c>
      <c r="I179">
        <v>0</v>
      </c>
      <c r="J179">
        <v>375</v>
      </c>
      <c r="K179" s="123" t="s">
        <v>945</v>
      </c>
      <c r="L179" s="123" t="s">
        <v>946</v>
      </c>
    </row>
    <row r="180" spans="1:12" x14ac:dyDescent="0.3">
      <c r="A180" s="95">
        <v>45996</v>
      </c>
      <c r="B180">
        <v>1</v>
      </c>
      <c r="C180" s="123" t="s">
        <v>950</v>
      </c>
      <c r="D180">
        <v>0</v>
      </c>
      <c r="E180">
        <v>0</v>
      </c>
      <c r="F180">
        <v>0</v>
      </c>
      <c r="G180">
        <v>0</v>
      </c>
      <c r="H180">
        <v>278</v>
      </c>
      <c r="I180">
        <v>0</v>
      </c>
      <c r="J180">
        <v>5603</v>
      </c>
      <c r="K180" s="123" t="s">
        <v>943</v>
      </c>
      <c r="L180" s="123" t="s">
        <v>944</v>
      </c>
    </row>
    <row r="181" spans="1:12" x14ac:dyDescent="0.3">
      <c r="A181" s="95">
        <v>45996</v>
      </c>
      <c r="B181">
        <v>1240</v>
      </c>
      <c r="C181" s="123" t="s">
        <v>950</v>
      </c>
      <c r="D181">
        <v>1217.93</v>
      </c>
      <c r="E181">
        <v>1217.93</v>
      </c>
      <c r="F181">
        <v>1217.93</v>
      </c>
      <c r="G181">
        <v>1</v>
      </c>
      <c r="H181">
        <v>0</v>
      </c>
      <c r="I181">
        <v>133</v>
      </c>
      <c r="J181">
        <v>19320</v>
      </c>
      <c r="K181" s="123" t="s">
        <v>388</v>
      </c>
      <c r="L181" s="123" t="s">
        <v>974</v>
      </c>
    </row>
    <row r="182" spans="1:12" x14ac:dyDescent="0.3">
      <c r="A182" s="95">
        <v>45996</v>
      </c>
      <c r="B182">
        <v>1032</v>
      </c>
      <c r="C182" s="123" t="s">
        <v>188</v>
      </c>
      <c r="D182">
        <v>109755.8</v>
      </c>
      <c r="E182">
        <v>109755.8</v>
      </c>
      <c r="F182">
        <v>109755.8</v>
      </c>
      <c r="G182">
        <v>1</v>
      </c>
      <c r="H182">
        <v>0</v>
      </c>
      <c r="I182">
        <v>2</v>
      </c>
      <c r="J182">
        <v>18646</v>
      </c>
      <c r="K182" s="123" t="s">
        <v>334</v>
      </c>
      <c r="L182" s="123" t="s">
        <v>977</v>
      </c>
    </row>
    <row r="183" spans="1:12" x14ac:dyDescent="0.3">
      <c r="A183" s="95">
        <v>45996</v>
      </c>
      <c r="B183">
        <v>659</v>
      </c>
      <c r="C183" s="123" t="s">
        <v>950</v>
      </c>
      <c r="D183">
        <v>3728.59</v>
      </c>
      <c r="E183">
        <v>3728.59</v>
      </c>
      <c r="F183">
        <v>3728.59</v>
      </c>
      <c r="G183">
        <v>1</v>
      </c>
      <c r="H183">
        <v>0</v>
      </c>
      <c r="I183">
        <v>126</v>
      </c>
      <c r="J183">
        <v>9645</v>
      </c>
      <c r="K183" s="123" t="s">
        <v>224</v>
      </c>
      <c r="L183" s="123" t="s">
        <v>978</v>
      </c>
    </row>
    <row r="184" spans="1:12" x14ac:dyDescent="0.3">
      <c r="A184" s="95">
        <v>45996</v>
      </c>
      <c r="B184">
        <v>6316</v>
      </c>
      <c r="C184" s="123" t="s">
        <v>185</v>
      </c>
      <c r="D184">
        <v>7.4999999999999997E-2</v>
      </c>
      <c r="E184">
        <v>107.63</v>
      </c>
      <c r="F184">
        <v>7.4999999999999997E-2</v>
      </c>
      <c r="G184">
        <v>1</v>
      </c>
      <c r="H184">
        <v>0</v>
      </c>
      <c r="I184">
        <v>722</v>
      </c>
      <c r="J184">
        <v>34427</v>
      </c>
      <c r="K184" s="123" t="s">
        <v>487</v>
      </c>
      <c r="L184" s="123" t="s">
        <v>1034</v>
      </c>
    </row>
    <row r="185" spans="1:12" x14ac:dyDescent="0.3">
      <c r="A185" s="95">
        <v>45996</v>
      </c>
      <c r="B185">
        <v>393</v>
      </c>
      <c r="C185" s="123" t="s">
        <v>950</v>
      </c>
      <c r="D185">
        <v>37920.949999999997</v>
      </c>
      <c r="E185">
        <v>37920.949999999997</v>
      </c>
      <c r="F185">
        <v>37920.949999999997</v>
      </c>
      <c r="G185">
        <v>1</v>
      </c>
      <c r="H185">
        <v>0</v>
      </c>
      <c r="I185">
        <v>790</v>
      </c>
      <c r="J185">
        <v>1169</v>
      </c>
      <c r="K185" s="123" t="s">
        <v>941</v>
      </c>
      <c r="L185" s="123" t="s">
        <v>942</v>
      </c>
    </row>
    <row r="186" spans="1:12" x14ac:dyDescent="0.3">
      <c r="A186" s="95">
        <v>45996</v>
      </c>
      <c r="B186">
        <v>783</v>
      </c>
      <c r="C186" s="123" t="s">
        <v>185</v>
      </c>
      <c r="D186">
        <v>0</v>
      </c>
      <c r="E186">
        <v>0.39</v>
      </c>
      <c r="F186">
        <v>0</v>
      </c>
      <c r="G186">
        <v>1</v>
      </c>
      <c r="H186">
        <v>0</v>
      </c>
      <c r="I186">
        <v>3</v>
      </c>
      <c r="J186">
        <v>15348</v>
      </c>
      <c r="K186" s="123" t="s">
        <v>384</v>
      </c>
      <c r="L186" s="123" t="s">
        <v>998</v>
      </c>
    </row>
    <row r="187" spans="1:12" x14ac:dyDescent="0.3">
      <c r="A187" s="95">
        <v>45996</v>
      </c>
      <c r="B187">
        <v>5224</v>
      </c>
      <c r="C187" s="123" t="s">
        <v>950</v>
      </c>
      <c r="D187">
        <v>2545.14</v>
      </c>
      <c r="E187">
        <v>2545.14</v>
      </c>
      <c r="F187">
        <v>2545.14</v>
      </c>
      <c r="G187">
        <v>1</v>
      </c>
      <c r="H187">
        <v>0</v>
      </c>
      <c r="I187">
        <v>23</v>
      </c>
      <c r="J187">
        <v>33640</v>
      </c>
      <c r="K187" s="123" t="s">
        <v>379</v>
      </c>
      <c r="L187" s="123" t="s">
        <v>992</v>
      </c>
    </row>
    <row r="188" spans="1:12" x14ac:dyDescent="0.3">
      <c r="A188" s="95">
        <v>45996</v>
      </c>
      <c r="B188">
        <v>969</v>
      </c>
      <c r="C188" s="123" t="s">
        <v>950</v>
      </c>
      <c r="D188">
        <v>59.35</v>
      </c>
      <c r="E188">
        <v>59.35</v>
      </c>
      <c r="F188">
        <v>59.35</v>
      </c>
      <c r="G188">
        <v>1</v>
      </c>
      <c r="H188">
        <v>0</v>
      </c>
      <c r="I188">
        <v>38</v>
      </c>
      <c r="J188">
        <v>3511</v>
      </c>
      <c r="K188" s="123" t="s">
        <v>989</v>
      </c>
      <c r="L188" s="123" t="s">
        <v>990</v>
      </c>
    </row>
    <row r="189" spans="1:12" x14ac:dyDescent="0.3">
      <c r="A189" s="95">
        <v>45996</v>
      </c>
      <c r="B189">
        <v>1523</v>
      </c>
      <c r="C189" s="123" t="s">
        <v>950</v>
      </c>
      <c r="D189">
        <v>0.23</v>
      </c>
      <c r="E189">
        <v>0.23</v>
      </c>
      <c r="F189">
        <v>0.23</v>
      </c>
      <c r="G189">
        <v>1</v>
      </c>
      <c r="H189">
        <v>0</v>
      </c>
      <c r="I189">
        <v>4</v>
      </c>
      <c r="J189">
        <v>20093</v>
      </c>
      <c r="K189" s="123" t="s">
        <v>987</v>
      </c>
      <c r="L189" s="123" t="s">
        <v>988</v>
      </c>
    </row>
    <row r="190" spans="1:12" x14ac:dyDescent="0.3">
      <c r="A190" s="95">
        <v>45996</v>
      </c>
      <c r="B190">
        <v>5869</v>
      </c>
      <c r="C190" s="123" t="s">
        <v>185</v>
      </c>
      <c r="D190">
        <v>0.47399999999999998</v>
      </c>
      <c r="E190">
        <v>675.98</v>
      </c>
      <c r="F190">
        <v>0.47099999999999997</v>
      </c>
      <c r="G190">
        <v>1</v>
      </c>
      <c r="H190">
        <v>0</v>
      </c>
      <c r="I190">
        <v>21</v>
      </c>
      <c r="J190">
        <v>33280</v>
      </c>
      <c r="K190" s="123" t="s">
        <v>495</v>
      </c>
      <c r="L190" s="123" t="s">
        <v>1019</v>
      </c>
    </row>
    <row r="191" spans="1:12" x14ac:dyDescent="0.3">
      <c r="A191" s="95">
        <v>45996</v>
      </c>
      <c r="B191">
        <v>3051</v>
      </c>
      <c r="C191" s="123" t="s">
        <v>185</v>
      </c>
      <c r="D191">
        <v>158.852</v>
      </c>
      <c r="E191">
        <v>226522.9</v>
      </c>
      <c r="F191">
        <v>157.85599999999999</v>
      </c>
      <c r="G191">
        <v>1</v>
      </c>
      <c r="H191">
        <v>0</v>
      </c>
      <c r="I191">
        <v>2</v>
      </c>
      <c r="J191">
        <v>31447</v>
      </c>
      <c r="K191" s="123" t="s">
        <v>1492</v>
      </c>
      <c r="L191" s="123" t="s">
        <v>1493</v>
      </c>
    </row>
    <row r="192" spans="1:12" x14ac:dyDescent="0.3">
      <c r="A192" s="95">
        <v>45996</v>
      </c>
      <c r="B192">
        <v>949</v>
      </c>
      <c r="C192" s="123" t="s">
        <v>950</v>
      </c>
      <c r="D192">
        <v>1657.18</v>
      </c>
      <c r="E192">
        <v>1657.18</v>
      </c>
      <c r="F192">
        <v>1657.18</v>
      </c>
      <c r="G192">
        <v>1</v>
      </c>
      <c r="H192">
        <v>0</v>
      </c>
      <c r="J192">
        <v>17696</v>
      </c>
      <c r="K192" s="123" t="s">
        <v>725</v>
      </c>
      <c r="L192" s="123" t="s">
        <v>1021</v>
      </c>
    </row>
    <row r="193" spans="1:12" x14ac:dyDescent="0.3">
      <c r="A193" s="95">
        <v>45996</v>
      </c>
      <c r="B193">
        <v>1843</v>
      </c>
      <c r="C193" s="123" t="s">
        <v>801</v>
      </c>
      <c r="D193">
        <v>-0.01</v>
      </c>
      <c r="E193">
        <v>-0.01</v>
      </c>
      <c r="F193">
        <v>-0.01</v>
      </c>
      <c r="G193">
        <v>0</v>
      </c>
      <c r="H193">
        <v>33</v>
      </c>
      <c r="I193">
        <v>0</v>
      </c>
      <c r="J193">
        <v>20674</v>
      </c>
      <c r="K193" s="123" t="s">
        <v>474</v>
      </c>
      <c r="L193" s="123" t="s">
        <v>1052</v>
      </c>
    </row>
    <row r="194" spans="1:12" x14ac:dyDescent="0.3">
      <c r="A194" s="95">
        <v>45996</v>
      </c>
      <c r="B194">
        <v>757</v>
      </c>
      <c r="C194" s="123" t="s">
        <v>185</v>
      </c>
      <c r="D194">
        <v>0.16200000000000001</v>
      </c>
      <c r="E194">
        <v>230.99</v>
      </c>
      <c r="F194">
        <v>0.161</v>
      </c>
      <c r="G194">
        <v>1</v>
      </c>
      <c r="H194">
        <v>0</v>
      </c>
      <c r="I194">
        <v>4</v>
      </c>
      <c r="J194">
        <v>13408</v>
      </c>
      <c r="K194" s="123" t="s">
        <v>274</v>
      </c>
      <c r="L194" s="123" t="s">
        <v>1001</v>
      </c>
    </row>
    <row r="195" spans="1:12" x14ac:dyDescent="0.3">
      <c r="A195" s="95">
        <v>45996</v>
      </c>
      <c r="B195">
        <v>675</v>
      </c>
      <c r="C195" s="123" t="s">
        <v>801</v>
      </c>
      <c r="D195">
        <v>0</v>
      </c>
      <c r="E195">
        <v>0</v>
      </c>
      <c r="F195">
        <v>0</v>
      </c>
      <c r="G195">
        <v>0</v>
      </c>
      <c r="H195">
        <v>28</v>
      </c>
      <c r="I195">
        <v>0</v>
      </c>
      <c r="J195">
        <v>9743</v>
      </c>
      <c r="K195" s="123" t="s">
        <v>1065</v>
      </c>
      <c r="L195" s="123" t="s">
        <v>1066</v>
      </c>
    </row>
    <row r="196" spans="1:12" x14ac:dyDescent="0.3">
      <c r="A196" s="95">
        <v>45996</v>
      </c>
      <c r="B196">
        <v>2077</v>
      </c>
      <c r="C196" s="123" t="s">
        <v>801</v>
      </c>
      <c r="D196">
        <v>0</v>
      </c>
      <c r="E196">
        <v>0</v>
      </c>
      <c r="F196">
        <v>0</v>
      </c>
      <c r="G196">
        <v>0</v>
      </c>
      <c r="H196">
        <v>52</v>
      </c>
      <c r="I196">
        <v>0</v>
      </c>
      <c r="J196">
        <v>30257</v>
      </c>
      <c r="K196" s="123" t="s">
        <v>611</v>
      </c>
      <c r="L196" s="123" t="s">
        <v>1063</v>
      </c>
    </row>
    <row r="197" spans="1:12" x14ac:dyDescent="0.3">
      <c r="A197" s="95">
        <v>45996</v>
      </c>
      <c r="B197">
        <v>1522</v>
      </c>
      <c r="C197" s="123" t="s">
        <v>185</v>
      </c>
      <c r="D197">
        <v>6.0000000000000001E-3</v>
      </c>
      <c r="E197">
        <v>8.26</v>
      </c>
      <c r="F197">
        <v>6.0000000000000001E-3</v>
      </c>
      <c r="G197">
        <v>1</v>
      </c>
      <c r="H197">
        <v>0</v>
      </c>
      <c r="I197">
        <v>3</v>
      </c>
      <c r="J197">
        <v>20094</v>
      </c>
      <c r="K197" s="123" t="s">
        <v>488</v>
      </c>
      <c r="L197" s="123" t="s">
        <v>1050</v>
      </c>
    </row>
    <row r="198" spans="1:12" x14ac:dyDescent="0.3">
      <c r="A198" s="95">
        <v>45996</v>
      </c>
      <c r="B198">
        <v>1532</v>
      </c>
      <c r="C198" s="123" t="s">
        <v>185</v>
      </c>
      <c r="D198">
        <v>0</v>
      </c>
      <c r="E198">
        <v>0.17</v>
      </c>
      <c r="F198">
        <v>0</v>
      </c>
      <c r="G198">
        <v>1</v>
      </c>
      <c r="H198">
        <v>0</v>
      </c>
      <c r="I198">
        <v>405</v>
      </c>
      <c r="J198">
        <v>20176</v>
      </c>
      <c r="K198" s="123" t="s">
        <v>448</v>
      </c>
      <c r="L198" s="123" t="s">
        <v>1077</v>
      </c>
    </row>
    <row r="199" spans="1:12" x14ac:dyDescent="0.3">
      <c r="A199" s="95">
        <v>45996</v>
      </c>
      <c r="B199">
        <v>1285</v>
      </c>
      <c r="C199" s="123" t="s">
        <v>185</v>
      </c>
      <c r="D199">
        <v>1.208</v>
      </c>
      <c r="E199">
        <v>1723.07</v>
      </c>
      <c r="F199">
        <v>1.2010000000000001</v>
      </c>
      <c r="G199">
        <v>1</v>
      </c>
      <c r="H199">
        <v>0</v>
      </c>
      <c r="I199">
        <v>783</v>
      </c>
      <c r="J199">
        <v>19318</v>
      </c>
      <c r="K199" s="123" t="s">
        <v>1218</v>
      </c>
      <c r="L199" s="123" t="s">
        <v>1219</v>
      </c>
    </row>
    <row r="200" spans="1:12" x14ac:dyDescent="0.3">
      <c r="A200" s="95">
        <v>45996</v>
      </c>
      <c r="B200">
        <v>13748</v>
      </c>
      <c r="C200" s="123" t="s">
        <v>950</v>
      </c>
      <c r="D200">
        <v>1.85</v>
      </c>
      <c r="E200">
        <v>1.85</v>
      </c>
      <c r="F200">
        <v>1.85</v>
      </c>
      <c r="G200">
        <v>1</v>
      </c>
      <c r="H200">
        <v>0</v>
      </c>
      <c r="J200">
        <v>36902</v>
      </c>
      <c r="K200" s="123" t="s">
        <v>1130</v>
      </c>
      <c r="L200" s="123" t="s">
        <v>1131</v>
      </c>
    </row>
    <row r="201" spans="1:12" x14ac:dyDescent="0.3">
      <c r="A201" s="95">
        <v>45996</v>
      </c>
      <c r="B201">
        <v>2402</v>
      </c>
      <c r="C201" s="123" t="s">
        <v>185</v>
      </c>
      <c r="D201">
        <v>-19.687999999999999</v>
      </c>
      <c r="E201">
        <v>-28074.91</v>
      </c>
      <c r="F201">
        <v>-19.564</v>
      </c>
      <c r="G201">
        <v>0</v>
      </c>
      <c r="I201">
        <v>0</v>
      </c>
      <c r="J201">
        <v>30584</v>
      </c>
      <c r="K201" s="123" t="s">
        <v>1194</v>
      </c>
      <c r="L201" s="123" t="s">
        <v>1195</v>
      </c>
    </row>
    <row r="202" spans="1:12" x14ac:dyDescent="0.3">
      <c r="A202" s="95">
        <v>45996</v>
      </c>
      <c r="B202">
        <v>1559</v>
      </c>
      <c r="C202" s="123" t="s">
        <v>801</v>
      </c>
      <c r="D202">
        <v>-0.01</v>
      </c>
      <c r="E202">
        <v>-0.01</v>
      </c>
      <c r="F202">
        <v>-0.01</v>
      </c>
      <c r="G202">
        <v>0</v>
      </c>
      <c r="H202">
        <v>3</v>
      </c>
      <c r="I202">
        <v>0</v>
      </c>
      <c r="J202">
        <v>20235</v>
      </c>
      <c r="K202" s="123" t="s">
        <v>1082</v>
      </c>
      <c r="L202" s="123" t="s">
        <v>1083</v>
      </c>
    </row>
    <row r="203" spans="1:12" x14ac:dyDescent="0.3">
      <c r="A203" s="95">
        <v>45996</v>
      </c>
      <c r="B203">
        <v>1395</v>
      </c>
      <c r="C203" s="123" t="s">
        <v>185</v>
      </c>
      <c r="D203">
        <v>-93.245999999999995</v>
      </c>
      <c r="E203">
        <v>-132968.09</v>
      </c>
      <c r="F203">
        <v>-92.661000000000001</v>
      </c>
      <c r="G203">
        <v>0</v>
      </c>
      <c r="H203">
        <v>75</v>
      </c>
      <c r="I203">
        <v>0</v>
      </c>
      <c r="J203">
        <v>19639</v>
      </c>
      <c r="K203" s="123" t="s">
        <v>1156</v>
      </c>
      <c r="L203" s="123" t="s">
        <v>1157</v>
      </c>
    </row>
    <row r="204" spans="1:12" x14ac:dyDescent="0.3">
      <c r="A204" s="95">
        <v>45996</v>
      </c>
      <c r="B204">
        <v>2042</v>
      </c>
      <c r="C204" s="123" t="s">
        <v>185</v>
      </c>
      <c r="D204">
        <v>9.8849999999999998</v>
      </c>
      <c r="E204">
        <v>14096.02</v>
      </c>
      <c r="F204">
        <v>9.8230000000000004</v>
      </c>
      <c r="G204">
        <v>1</v>
      </c>
      <c r="H204">
        <v>0</v>
      </c>
      <c r="I204">
        <v>127</v>
      </c>
      <c r="J204">
        <v>30036</v>
      </c>
      <c r="K204" s="123" t="s">
        <v>445</v>
      </c>
      <c r="L204" s="123" t="s">
        <v>1189</v>
      </c>
    </row>
    <row r="205" spans="1:12" x14ac:dyDescent="0.3">
      <c r="A205" s="95">
        <v>45996</v>
      </c>
      <c r="B205">
        <v>3043</v>
      </c>
      <c r="C205" s="123" t="s">
        <v>185</v>
      </c>
      <c r="D205">
        <v>-0.499</v>
      </c>
      <c r="E205">
        <v>-710.98</v>
      </c>
      <c r="F205">
        <v>-0.495</v>
      </c>
      <c r="G205">
        <v>0</v>
      </c>
      <c r="H205">
        <v>415</v>
      </c>
      <c r="I205">
        <v>0</v>
      </c>
      <c r="J205">
        <v>31436</v>
      </c>
      <c r="K205" s="123" t="s">
        <v>1255</v>
      </c>
      <c r="L205" s="123" t="s">
        <v>1256</v>
      </c>
    </row>
    <row r="206" spans="1:12" x14ac:dyDescent="0.3">
      <c r="A206" s="95">
        <v>45996</v>
      </c>
      <c r="B206">
        <v>1168</v>
      </c>
      <c r="C206" s="123" t="s">
        <v>950</v>
      </c>
      <c r="D206">
        <v>0.6</v>
      </c>
      <c r="E206">
        <v>0.6</v>
      </c>
      <c r="F206">
        <v>0.6</v>
      </c>
      <c r="G206">
        <v>1</v>
      </c>
      <c r="H206">
        <v>0</v>
      </c>
      <c r="I206">
        <v>790</v>
      </c>
      <c r="J206">
        <v>18976</v>
      </c>
      <c r="K206" s="123" t="s">
        <v>305</v>
      </c>
      <c r="L206" s="123" t="s">
        <v>1207</v>
      </c>
    </row>
    <row r="207" spans="1:12" x14ac:dyDescent="0.3">
      <c r="A207" s="95">
        <v>45996</v>
      </c>
      <c r="B207">
        <v>1273</v>
      </c>
      <c r="C207" s="123" t="s">
        <v>950</v>
      </c>
      <c r="D207">
        <v>97243.5</v>
      </c>
      <c r="E207">
        <v>97243.5</v>
      </c>
      <c r="F207">
        <v>97243.5</v>
      </c>
      <c r="G207">
        <v>1</v>
      </c>
      <c r="H207">
        <v>0</v>
      </c>
      <c r="J207">
        <v>19363</v>
      </c>
      <c r="K207" s="123" t="s">
        <v>1183</v>
      </c>
      <c r="L207" s="123" t="s">
        <v>1184</v>
      </c>
    </row>
    <row r="208" spans="1:12" x14ac:dyDescent="0.3">
      <c r="A208" s="95">
        <v>45996</v>
      </c>
      <c r="B208">
        <v>2177</v>
      </c>
      <c r="C208" s="123" t="s">
        <v>185</v>
      </c>
      <c r="D208">
        <v>-7.53</v>
      </c>
      <c r="E208">
        <v>-10737.38</v>
      </c>
      <c r="F208">
        <v>-7.4820000000000002</v>
      </c>
      <c r="G208">
        <v>0</v>
      </c>
      <c r="H208">
        <v>103</v>
      </c>
      <c r="I208">
        <v>0</v>
      </c>
      <c r="J208">
        <v>30133</v>
      </c>
      <c r="K208" s="123" t="s">
        <v>1323</v>
      </c>
      <c r="L208" s="123" t="s">
        <v>1324</v>
      </c>
    </row>
    <row r="209" spans="1:12" x14ac:dyDescent="0.3">
      <c r="A209" s="95">
        <v>45996</v>
      </c>
      <c r="B209">
        <v>1327</v>
      </c>
      <c r="C209" s="123" t="s">
        <v>950</v>
      </c>
      <c r="D209">
        <v>0.69</v>
      </c>
      <c r="E209">
        <v>0.69</v>
      </c>
      <c r="F209">
        <v>0.69</v>
      </c>
      <c r="G209">
        <v>1</v>
      </c>
      <c r="H209">
        <v>0</v>
      </c>
      <c r="I209">
        <v>507</v>
      </c>
      <c r="J209">
        <v>19092</v>
      </c>
      <c r="K209" s="123" t="s">
        <v>1261</v>
      </c>
      <c r="L209" s="123" t="s">
        <v>1262</v>
      </c>
    </row>
    <row r="210" spans="1:12" x14ac:dyDescent="0.3">
      <c r="A210" s="95">
        <v>45996</v>
      </c>
      <c r="B210">
        <v>1048</v>
      </c>
      <c r="C210" s="123" t="s">
        <v>801</v>
      </c>
      <c r="D210">
        <v>-205439.32</v>
      </c>
      <c r="E210">
        <v>-205439.32</v>
      </c>
      <c r="F210">
        <v>-205439.32</v>
      </c>
      <c r="G210">
        <v>0</v>
      </c>
      <c r="H210">
        <v>201</v>
      </c>
      <c r="I210">
        <v>0</v>
      </c>
      <c r="J210">
        <v>2240</v>
      </c>
      <c r="K210" s="123" t="s">
        <v>1177</v>
      </c>
      <c r="L210" s="123" t="s">
        <v>1178</v>
      </c>
    </row>
    <row r="211" spans="1:12" x14ac:dyDescent="0.3">
      <c r="A211" s="95">
        <v>45996</v>
      </c>
      <c r="B211">
        <v>5858</v>
      </c>
      <c r="C211" s="123" t="s">
        <v>801</v>
      </c>
      <c r="D211">
        <v>1100</v>
      </c>
      <c r="E211">
        <v>1100</v>
      </c>
      <c r="F211">
        <v>1100</v>
      </c>
      <c r="G211">
        <v>1</v>
      </c>
      <c r="H211">
        <v>0</v>
      </c>
      <c r="I211">
        <v>21</v>
      </c>
      <c r="J211">
        <v>34098</v>
      </c>
      <c r="K211" s="123" t="s">
        <v>393</v>
      </c>
      <c r="L211" s="123" t="s">
        <v>1144</v>
      </c>
    </row>
    <row r="212" spans="1:12" x14ac:dyDescent="0.3">
      <c r="A212" s="95">
        <v>45996</v>
      </c>
      <c r="B212">
        <v>1235</v>
      </c>
      <c r="C212" s="123" t="s">
        <v>801</v>
      </c>
      <c r="D212">
        <v>-1735.51</v>
      </c>
      <c r="E212">
        <v>-1735.51</v>
      </c>
      <c r="F212">
        <v>-1735.51</v>
      </c>
      <c r="G212">
        <v>0</v>
      </c>
      <c r="H212">
        <v>15</v>
      </c>
      <c r="I212">
        <v>0</v>
      </c>
      <c r="J212">
        <v>19316</v>
      </c>
      <c r="K212" s="123" t="s">
        <v>377</v>
      </c>
      <c r="L212" s="123" t="s">
        <v>1239</v>
      </c>
    </row>
    <row r="213" spans="1:12" x14ac:dyDescent="0.3">
      <c r="A213" s="95">
        <v>45996</v>
      </c>
      <c r="B213">
        <v>1580</v>
      </c>
      <c r="C213" s="123" t="s">
        <v>185</v>
      </c>
      <c r="D213">
        <v>1.7000000000000001E-2</v>
      </c>
      <c r="E213">
        <v>24.74</v>
      </c>
      <c r="F213">
        <v>1.7000000000000001E-2</v>
      </c>
      <c r="G213">
        <v>1</v>
      </c>
      <c r="H213">
        <v>0</v>
      </c>
      <c r="I213">
        <v>425</v>
      </c>
      <c r="J213">
        <v>20277</v>
      </c>
      <c r="K213" s="123" t="s">
        <v>609</v>
      </c>
      <c r="L213" s="123" t="s">
        <v>1292</v>
      </c>
    </row>
    <row r="214" spans="1:12" x14ac:dyDescent="0.3">
      <c r="A214" s="95">
        <v>45996</v>
      </c>
      <c r="B214">
        <v>4121</v>
      </c>
      <c r="C214" s="123" t="s">
        <v>185</v>
      </c>
      <c r="D214">
        <v>1E-3</v>
      </c>
      <c r="E214">
        <v>0.98</v>
      </c>
      <c r="F214">
        <v>1E-3</v>
      </c>
      <c r="G214">
        <v>1</v>
      </c>
      <c r="H214">
        <v>0</v>
      </c>
      <c r="I214">
        <v>762</v>
      </c>
      <c r="J214">
        <v>32736</v>
      </c>
      <c r="K214" s="123" t="s">
        <v>1326</v>
      </c>
      <c r="L214" s="123" t="s">
        <v>1327</v>
      </c>
    </row>
    <row r="215" spans="1:12" x14ac:dyDescent="0.3">
      <c r="A215" s="95">
        <v>45996</v>
      </c>
      <c r="B215">
        <v>1141</v>
      </c>
      <c r="C215" s="123" t="s">
        <v>950</v>
      </c>
      <c r="D215">
        <v>483.88</v>
      </c>
      <c r="E215">
        <v>483.88</v>
      </c>
      <c r="F215">
        <v>483.88</v>
      </c>
      <c r="G215">
        <v>1</v>
      </c>
      <c r="H215">
        <v>0</v>
      </c>
      <c r="I215">
        <v>790</v>
      </c>
      <c r="J215">
        <v>18969</v>
      </c>
      <c r="K215" s="123" t="s">
        <v>395</v>
      </c>
      <c r="L215" s="123" t="s">
        <v>1280</v>
      </c>
    </row>
    <row r="216" spans="1:12" x14ac:dyDescent="0.3">
      <c r="A216" s="95">
        <v>45996</v>
      </c>
      <c r="B216">
        <v>331</v>
      </c>
      <c r="C216" s="123" t="s">
        <v>950</v>
      </c>
      <c r="D216">
        <v>2.2400000000000002</v>
      </c>
      <c r="E216">
        <v>2.2400000000000002</v>
      </c>
      <c r="F216">
        <v>2.2400000000000002</v>
      </c>
      <c r="G216">
        <v>1</v>
      </c>
      <c r="H216">
        <v>0</v>
      </c>
      <c r="I216">
        <v>65</v>
      </c>
      <c r="J216">
        <v>652</v>
      </c>
      <c r="K216" s="123" t="s">
        <v>447</v>
      </c>
      <c r="L216" s="123" t="s">
        <v>1143</v>
      </c>
    </row>
    <row r="217" spans="1:12" x14ac:dyDescent="0.3">
      <c r="A217" s="95">
        <v>45996</v>
      </c>
      <c r="B217">
        <v>1724</v>
      </c>
      <c r="C217" s="123" t="s">
        <v>950</v>
      </c>
      <c r="D217">
        <v>0.75</v>
      </c>
      <c r="E217">
        <v>0.75</v>
      </c>
      <c r="F217">
        <v>0.75</v>
      </c>
      <c r="G217">
        <v>1</v>
      </c>
      <c r="H217">
        <v>0</v>
      </c>
      <c r="I217">
        <v>2</v>
      </c>
      <c r="J217">
        <v>20518</v>
      </c>
      <c r="K217" s="123" t="s">
        <v>270</v>
      </c>
      <c r="L217" s="123" t="s">
        <v>1225</v>
      </c>
    </row>
    <row r="218" spans="1:12" x14ac:dyDescent="0.3">
      <c r="A218" s="95">
        <v>45996</v>
      </c>
      <c r="B218">
        <v>2810</v>
      </c>
      <c r="C218" s="123" t="s">
        <v>950</v>
      </c>
      <c r="D218">
        <v>0.2</v>
      </c>
      <c r="E218">
        <v>0.2</v>
      </c>
      <c r="F218">
        <v>0.2</v>
      </c>
      <c r="G218">
        <v>1</v>
      </c>
      <c r="H218">
        <v>0</v>
      </c>
      <c r="J218">
        <v>31130</v>
      </c>
      <c r="K218" s="123" t="s">
        <v>1605</v>
      </c>
      <c r="L218" s="123" t="s">
        <v>1606</v>
      </c>
    </row>
    <row r="219" spans="1:12" x14ac:dyDescent="0.3">
      <c r="A219" s="95">
        <v>45996</v>
      </c>
      <c r="B219">
        <v>1437</v>
      </c>
      <c r="C219" s="123" t="s">
        <v>188</v>
      </c>
      <c r="D219">
        <v>160003.04</v>
      </c>
      <c r="E219">
        <v>160003.04</v>
      </c>
      <c r="F219">
        <v>160003.04</v>
      </c>
      <c r="G219">
        <v>1</v>
      </c>
      <c r="H219">
        <v>0</v>
      </c>
      <c r="I219">
        <v>106</v>
      </c>
      <c r="J219">
        <v>19791</v>
      </c>
      <c r="K219" s="123" t="s">
        <v>172</v>
      </c>
      <c r="L219" s="123" t="s">
        <v>1223</v>
      </c>
    </row>
    <row r="220" spans="1:12" x14ac:dyDescent="0.3">
      <c r="A220" s="95">
        <v>45996</v>
      </c>
      <c r="B220">
        <v>4531</v>
      </c>
      <c r="C220" s="123" t="s">
        <v>950</v>
      </c>
      <c r="D220">
        <v>0.13</v>
      </c>
      <c r="E220">
        <v>0.13</v>
      </c>
      <c r="F220">
        <v>0.13</v>
      </c>
      <c r="G220">
        <v>1</v>
      </c>
      <c r="H220">
        <v>0</v>
      </c>
      <c r="I220">
        <v>790</v>
      </c>
      <c r="J220">
        <v>3422</v>
      </c>
      <c r="K220" s="123" t="s">
        <v>498</v>
      </c>
      <c r="L220" s="123" t="s">
        <v>1231</v>
      </c>
    </row>
    <row r="221" spans="1:12" x14ac:dyDescent="0.3">
      <c r="A221" s="95">
        <v>45996</v>
      </c>
      <c r="B221">
        <v>1099</v>
      </c>
      <c r="C221" s="123" t="s">
        <v>188</v>
      </c>
      <c r="D221">
        <v>26.69</v>
      </c>
      <c r="E221">
        <v>26.69</v>
      </c>
      <c r="F221">
        <v>26.69</v>
      </c>
      <c r="G221">
        <v>1</v>
      </c>
      <c r="H221">
        <v>0</v>
      </c>
      <c r="I221">
        <v>790</v>
      </c>
      <c r="J221">
        <v>18842</v>
      </c>
      <c r="K221" s="123" t="s">
        <v>250</v>
      </c>
      <c r="L221" s="123" t="s">
        <v>1287</v>
      </c>
    </row>
    <row r="222" spans="1:12" x14ac:dyDescent="0.3">
      <c r="A222" s="95">
        <v>45996</v>
      </c>
      <c r="B222">
        <v>10253</v>
      </c>
      <c r="C222" s="123" t="s">
        <v>185</v>
      </c>
      <c r="D222">
        <v>-34878.97</v>
      </c>
      <c r="E222">
        <v>-49737411.390000001</v>
      </c>
      <c r="F222">
        <v>-34660.216999999997</v>
      </c>
      <c r="G222">
        <v>0</v>
      </c>
      <c r="H222">
        <v>2</v>
      </c>
      <c r="I222">
        <v>0</v>
      </c>
      <c r="J222">
        <v>35643</v>
      </c>
      <c r="K222" s="123" t="s">
        <v>603</v>
      </c>
      <c r="L222" s="123" t="s">
        <v>1220</v>
      </c>
    </row>
    <row r="223" spans="1:12" x14ac:dyDescent="0.3">
      <c r="A223" s="95">
        <v>45996</v>
      </c>
      <c r="B223">
        <v>4213</v>
      </c>
      <c r="C223" s="123" t="s">
        <v>185</v>
      </c>
      <c r="D223">
        <v>-771.88</v>
      </c>
      <c r="E223">
        <v>-1100701.31</v>
      </c>
      <c r="F223">
        <v>-767.03899999999999</v>
      </c>
      <c r="G223">
        <v>0</v>
      </c>
      <c r="H223">
        <v>2</v>
      </c>
      <c r="I223">
        <v>0</v>
      </c>
      <c r="J223">
        <v>32849</v>
      </c>
      <c r="K223" s="123" t="s">
        <v>190</v>
      </c>
      <c r="L223" s="123" t="s">
        <v>1302</v>
      </c>
    </row>
    <row r="224" spans="1:12" x14ac:dyDescent="0.3">
      <c r="A224" s="95">
        <v>45996</v>
      </c>
      <c r="B224">
        <v>14873</v>
      </c>
      <c r="C224" s="123" t="s">
        <v>950</v>
      </c>
      <c r="D224">
        <v>1886.88</v>
      </c>
      <c r="E224">
        <v>1886.88</v>
      </c>
      <c r="F224">
        <v>1886.88</v>
      </c>
      <c r="G224">
        <v>1</v>
      </c>
      <c r="H224">
        <v>0</v>
      </c>
      <c r="I224">
        <v>107</v>
      </c>
      <c r="J224">
        <v>37088</v>
      </c>
      <c r="K224" s="123" t="s">
        <v>571</v>
      </c>
      <c r="L224" s="123" t="s">
        <v>1269</v>
      </c>
    </row>
    <row r="225" spans="1:12" x14ac:dyDescent="0.3">
      <c r="A225" s="95">
        <v>45996</v>
      </c>
      <c r="B225">
        <v>14750</v>
      </c>
      <c r="C225" s="123" t="s">
        <v>950</v>
      </c>
      <c r="D225">
        <v>39.36</v>
      </c>
      <c r="E225">
        <v>39.36</v>
      </c>
      <c r="F225">
        <v>39.36</v>
      </c>
      <c r="G225">
        <v>1</v>
      </c>
      <c r="H225">
        <v>0</v>
      </c>
      <c r="J225">
        <v>36994</v>
      </c>
      <c r="K225" s="123" t="s">
        <v>1402</v>
      </c>
      <c r="L225" s="123" t="s">
        <v>1403</v>
      </c>
    </row>
    <row r="226" spans="1:12" x14ac:dyDescent="0.3">
      <c r="A226" s="95">
        <v>45996</v>
      </c>
      <c r="B226">
        <v>1853</v>
      </c>
      <c r="C226" s="123" t="s">
        <v>950</v>
      </c>
      <c r="D226">
        <v>0</v>
      </c>
      <c r="E226">
        <v>0</v>
      </c>
      <c r="F226">
        <v>0</v>
      </c>
      <c r="G226">
        <v>0</v>
      </c>
      <c r="H226">
        <v>159</v>
      </c>
      <c r="I226">
        <v>0</v>
      </c>
      <c r="J226">
        <v>19392</v>
      </c>
      <c r="K226" s="123" t="s">
        <v>1309</v>
      </c>
      <c r="L226" s="123" t="s">
        <v>1310</v>
      </c>
    </row>
    <row r="227" spans="1:12" x14ac:dyDescent="0.3">
      <c r="A227" s="95">
        <v>45996</v>
      </c>
      <c r="B227">
        <v>2447</v>
      </c>
      <c r="C227" s="123" t="s">
        <v>801</v>
      </c>
      <c r="D227">
        <v>-0.01</v>
      </c>
      <c r="E227">
        <v>-0.01</v>
      </c>
      <c r="F227">
        <v>-0.01</v>
      </c>
      <c r="G227">
        <v>0</v>
      </c>
      <c r="H227">
        <v>23</v>
      </c>
      <c r="I227">
        <v>0</v>
      </c>
      <c r="J227">
        <v>30642</v>
      </c>
      <c r="K227" s="123" t="s">
        <v>399</v>
      </c>
      <c r="L227" s="123" t="s">
        <v>1358</v>
      </c>
    </row>
    <row r="228" spans="1:12" x14ac:dyDescent="0.3">
      <c r="A228" s="95">
        <v>45996</v>
      </c>
      <c r="B228">
        <v>2298</v>
      </c>
      <c r="C228" s="123" t="s">
        <v>950</v>
      </c>
      <c r="D228">
        <v>3613.43</v>
      </c>
      <c r="E228">
        <v>3613.43</v>
      </c>
      <c r="F228">
        <v>3613.43</v>
      </c>
      <c r="G228">
        <v>1</v>
      </c>
      <c r="H228">
        <v>0</v>
      </c>
      <c r="I228">
        <v>592</v>
      </c>
      <c r="J228">
        <v>30387</v>
      </c>
      <c r="K228" s="123" t="s">
        <v>1532</v>
      </c>
      <c r="L228" s="123" t="s">
        <v>1291</v>
      </c>
    </row>
    <row r="229" spans="1:12" x14ac:dyDescent="0.3">
      <c r="A229" s="95">
        <v>45996</v>
      </c>
      <c r="B229">
        <v>2109</v>
      </c>
      <c r="C229" s="123" t="s">
        <v>188</v>
      </c>
      <c r="D229">
        <v>7.0000000000000007E-2</v>
      </c>
      <c r="E229">
        <v>7.0000000000000007E-2</v>
      </c>
      <c r="F229">
        <v>7.0000000000000007E-2</v>
      </c>
      <c r="G229">
        <v>1</v>
      </c>
      <c r="H229">
        <v>0</v>
      </c>
      <c r="I229">
        <v>790</v>
      </c>
      <c r="J229">
        <v>20716</v>
      </c>
      <c r="K229" s="123" t="s">
        <v>323</v>
      </c>
      <c r="L229" s="123" t="s">
        <v>1388</v>
      </c>
    </row>
    <row r="230" spans="1:12" x14ac:dyDescent="0.3">
      <c r="A230" s="95">
        <v>45996</v>
      </c>
      <c r="B230">
        <v>1456</v>
      </c>
      <c r="C230" s="123" t="s">
        <v>185</v>
      </c>
      <c r="D230">
        <v>-2.2330000000000001</v>
      </c>
      <c r="E230">
        <v>-3184.83</v>
      </c>
      <c r="F230">
        <v>-2.2189999999999999</v>
      </c>
      <c r="G230">
        <v>0</v>
      </c>
      <c r="H230">
        <v>141</v>
      </c>
      <c r="I230">
        <v>0</v>
      </c>
      <c r="J230">
        <v>19844</v>
      </c>
      <c r="K230" s="123" t="s">
        <v>535</v>
      </c>
      <c r="L230" s="123" t="s">
        <v>1420</v>
      </c>
    </row>
    <row r="231" spans="1:12" x14ac:dyDescent="0.3">
      <c r="A231" s="95">
        <v>45996</v>
      </c>
      <c r="B231">
        <v>6999</v>
      </c>
      <c r="C231" s="123" t="s">
        <v>188</v>
      </c>
      <c r="D231">
        <v>0.1</v>
      </c>
      <c r="E231">
        <v>0.1</v>
      </c>
      <c r="F231">
        <v>0.1</v>
      </c>
      <c r="G231">
        <v>1</v>
      </c>
      <c r="H231">
        <v>0</v>
      </c>
      <c r="J231">
        <v>34695</v>
      </c>
      <c r="K231" s="123" t="s">
        <v>325</v>
      </c>
      <c r="L231" s="123" t="s">
        <v>1267</v>
      </c>
    </row>
    <row r="232" spans="1:12" x14ac:dyDescent="0.3">
      <c r="A232" s="95">
        <v>45996</v>
      </c>
      <c r="B232">
        <v>315</v>
      </c>
      <c r="C232" s="123" t="s">
        <v>185</v>
      </c>
      <c r="D232">
        <v>-12.819000000000001</v>
      </c>
      <c r="E232">
        <v>-18279.740000000002</v>
      </c>
      <c r="F232">
        <v>-12.738</v>
      </c>
      <c r="G232">
        <v>0</v>
      </c>
      <c r="H232">
        <v>145</v>
      </c>
      <c r="I232">
        <v>0</v>
      </c>
      <c r="J232">
        <v>736</v>
      </c>
      <c r="K232" s="123" t="s">
        <v>404</v>
      </c>
      <c r="L232" s="123" t="s">
        <v>1408</v>
      </c>
    </row>
    <row r="233" spans="1:12" x14ac:dyDescent="0.3">
      <c r="A233" s="95">
        <v>45996</v>
      </c>
      <c r="B233">
        <v>3713</v>
      </c>
      <c r="C233" s="123" t="s">
        <v>185</v>
      </c>
      <c r="D233">
        <v>1E-3</v>
      </c>
      <c r="E233">
        <v>0.8</v>
      </c>
      <c r="F233">
        <v>1E-3</v>
      </c>
      <c r="G233">
        <v>1</v>
      </c>
      <c r="H233">
        <v>0</v>
      </c>
      <c r="I233">
        <v>4</v>
      </c>
      <c r="J233">
        <v>32219</v>
      </c>
      <c r="K233" s="123" t="s">
        <v>804</v>
      </c>
      <c r="L233" s="123" t="s">
        <v>1429</v>
      </c>
    </row>
    <row r="234" spans="1:12" x14ac:dyDescent="0.3">
      <c r="A234" s="95">
        <v>45996</v>
      </c>
      <c r="B234">
        <v>2390</v>
      </c>
      <c r="C234" s="123" t="s">
        <v>950</v>
      </c>
      <c r="D234">
        <v>81.72</v>
      </c>
      <c r="E234">
        <v>81.72</v>
      </c>
      <c r="F234">
        <v>81.72</v>
      </c>
      <c r="G234">
        <v>1</v>
      </c>
      <c r="H234">
        <v>0</v>
      </c>
      <c r="I234">
        <v>472</v>
      </c>
      <c r="J234">
        <v>30567</v>
      </c>
      <c r="K234" s="123" t="s">
        <v>363</v>
      </c>
      <c r="L234" s="123" t="s">
        <v>1434</v>
      </c>
    </row>
    <row r="235" spans="1:12" x14ac:dyDescent="0.3">
      <c r="A235" s="95">
        <v>45996</v>
      </c>
      <c r="B235">
        <v>3451</v>
      </c>
      <c r="C235" s="123" t="s">
        <v>185</v>
      </c>
      <c r="D235">
        <v>0.78900000000000003</v>
      </c>
      <c r="E235">
        <v>1125.07</v>
      </c>
      <c r="F235">
        <v>0.78400000000000003</v>
      </c>
      <c r="G235">
        <v>1</v>
      </c>
      <c r="H235">
        <v>0</v>
      </c>
      <c r="I235">
        <v>647</v>
      </c>
      <c r="J235">
        <v>31905</v>
      </c>
      <c r="K235" s="123" t="s">
        <v>1437</v>
      </c>
      <c r="L235" s="123" t="s">
        <v>1438</v>
      </c>
    </row>
    <row r="236" spans="1:12" x14ac:dyDescent="0.3">
      <c r="A236" s="95">
        <v>45996</v>
      </c>
      <c r="B236">
        <v>2774</v>
      </c>
      <c r="C236" s="123" t="s">
        <v>185</v>
      </c>
      <c r="D236">
        <v>1E-3</v>
      </c>
      <c r="E236">
        <v>0.84</v>
      </c>
      <c r="F236">
        <v>1E-3</v>
      </c>
      <c r="G236">
        <v>1</v>
      </c>
      <c r="H236">
        <v>0</v>
      </c>
      <c r="I236">
        <v>406</v>
      </c>
      <c r="J236">
        <v>31060</v>
      </c>
      <c r="K236" s="123" t="s">
        <v>1384</v>
      </c>
      <c r="L236" s="123" t="s">
        <v>1385</v>
      </c>
    </row>
    <row r="237" spans="1:12" x14ac:dyDescent="0.3">
      <c r="A237" s="95">
        <v>45996</v>
      </c>
      <c r="B237">
        <v>765</v>
      </c>
      <c r="C237" s="123" t="s">
        <v>188</v>
      </c>
      <c r="D237">
        <v>1248.5999999999999</v>
      </c>
      <c r="E237">
        <v>1248.5999999999999</v>
      </c>
      <c r="F237">
        <v>1248.5999999999999</v>
      </c>
      <c r="G237">
        <v>1</v>
      </c>
      <c r="H237">
        <v>0</v>
      </c>
      <c r="I237">
        <v>790</v>
      </c>
      <c r="J237">
        <v>10023</v>
      </c>
      <c r="K237" s="123" t="s">
        <v>939</v>
      </c>
      <c r="L237" s="123" t="s">
        <v>940</v>
      </c>
    </row>
    <row r="238" spans="1:12" x14ac:dyDescent="0.3">
      <c r="A238" s="95">
        <v>45996</v>
      </c>
      <c r="B238">
        <v>391</v>
      </c>
      <c r="C238" s="123" t="s">
        <v>950</v>
      </c>
      <c r="D238">
        <v>1.06</v>
      </c>
      <c r="E238">
        <v>1.06</v>
      </c>
      <c r="F238">
        <v>1.06</v>
      </c>
      <c r="G238">
        <v>1</v>
      </c>
      <c r="H238">
        <v>0</v>
      </c>
      <c r="I238">
        <v>324</v>
      </c>
      <c r="J238">
        <v>7691</v>
      </c>
      <c r="K238" s="123" t="s">
        <v>314</v>
      </c>
      <c r="L238" s="123" t="s">
        <v>959</v>
      </c>
    </row>
    <row r="239" spans="1:12" x14ac:dyDescent="0.3">
      <c r="A239" s="95">
        <v>45996</v>
      </c>
      <c r="B239">
        <v>1240</v>
      </c>
      <c r="C239" s="123" t="s">
        <v>801</v>
      </c>
      <c r="D239">
        <v>0</v>
      </c>
      <c r="E239">
        <v>0</v>
      </c>
      <c r="F239">
        <v>0</v>
      </c>
      <c r="G239">
        <v>0</v>
      </c>
      <c r="H239">
        <v>24</v>
      </c>
      <c r="I239">
        <v>0</v>
      </c>
      <c r="J239">
        <v>19320</v>
      </c>
      <c r="K239" s="123" t="s">
        <v>388</v>
      </c>
      <c r="L239" s="123" t="s">
        <v>974</v>
      </c>
    </row>
    <row r="240" spans="1:12" x14ac:dyDescent="0.3">
      <c r="A240" s="95">
        <v>45996</v>
      </c>
      <c r="B240">
        <v>1750</v>
      </c>
      <c r="C240" s="123" t="s">
        <v>188</v>
      </c>
      <c r="D240">
        <v>898.52</v>
      </c>
      <c r="E240">
        <v>898.52</v>
      </c>
      <c r="F240">
        <v>898.52</v>
      </c>
      <c r="G240">
        <v>1</v>
      </c>
      <c r="H240">
        <v>0</v>
      </c>
      <c r="I240">
        <v>389</v>
      </c>
      <c r="J240">
        <v>20554</v>
      </c>
      <c r="K240" s="123" t="s">
        <v>505</v>
      </c>
      <c r="L240" s="123" t="s">
        <v>973</v>
      </c>
    </row>
    <row r="241" spans="1:12" x14ac:dyDescent="0.3">
      <c r="A241" s="95">
        <v>45996</v>
      </c>
      <c r="B241">
        <v>12755</v>
      </c>
      <c r="C241" s="123" t="s">
        <v>185</v>
      </c>
      <c r="D241">
        <v>0</v>
      </c>
      <c r="E241">
        <v>0.18</v>
      </c>
      <c r="F241">
        <v>0</v>
      </c>
      <c r="G241">
        <v>1</v>
      </c>
      <c r="H241">
        <v>0</v>
      </c>
      <c r="I241">
        <v>614</v>
      </c>
      <c r="K241" s="123" t="s">
        <v>1040</v>
      </c>
      <c r="L241" s="123" t="s">
        <v>1041</v>
      </c>
    </row>
    <row r="242" spans="1:12" x14ac:dyDescent="0.3">
      <c r="A242" s="95">
        <v>45996</v>
      </c>
      <c r="B242">
        <v>9956</v>
      </c>
      <c r="C242" s="123" t="s">
        <v>185</v>
      </c>
      <c r="D242">
        <v>2.4140000000000001</v>
      </c>
      <c r="E242">
        <v>3442.2</v>
      </c>
      <c r="F242">
        <v>2.399</v>
      </c>
      <c r="G242">
        <v>1</v>
      </c>
      <c r="H242">
        <v>0</v>
      </c>
      <c r="I242">
        <v>789</v>
      </c>
      <c r="J242">
        <v>35455</v>
      </c>
      <c r="K242" s="123" t="s">
        <v>424</v>
      </c>
      <c r="L242" s="123" t="s">
        <v>991</v>
      </c>
    </row>
    <row r="243" spans="1:12" x14ac:dyDescent="0.3">
      <c r="A243" s="95">
        <v>45996</v>
      </c>
      <c r="B243">
        <v>654</v>
      </c>
      <c r="C243" s="123" t="s">
        <v>185</v>
      </c>
      <c r="D243">
        <v>-54.756999999999998</v>
      </c>
      <c r="E243">
        <v>-78083.600000000006</v>
      </c>
      <c r="F243">
        <v>-54.414000000000001</v>
      </c>
      <c r="G243">
        <v>0</v>
      </c>
      <c r="I243">
        <v>0</v>
      </c>
      <c r="J243">
        <v>9500</v>
      </c>
      <c r="K243" s="123" t="s">
        <v>1002</v>
      </c>
      <c r="L243" s="123" t="s">
        <v>1003</v>
      </c>
    </row>
    <row r="244" spans="1:12" x14ac:dyDescent="0.3">
      <c r="A244" s="95">
        <v>45996</v>
      </c>
      <c r="B244">
        <v>9948</v>
      </c>
      <c r="C244" s="123" t="s">
        <v>185</v>
      </c>
      <c r="D244">
        <v>-1.2E-2</v>
      </c>
      <c r="E244">
        <v>-17.21</v>
      </c>
      <c r="F244">
        <v>-1.2E-2</v>
      </c>
      <c r="G244">
        <v>0</v>
      </c>
      <c r="H244">
        <v>249</v>
      </c>
      <c r="I244">
        <v>0</v>
      </c>
      <c r="J244">
        <v>35447</v>
      </c>
      <c r="K244" s="123" t="s">
        <v>352</v>
      </c>
      <c r="L244" s="123" t="s">
        <v>1093</v>
      </c>
    </row>
    <row r="245" spans="1:12" x14ac:dyDescent="0.3">
      <c r="A245" s="95">
        <v>45996</v>
      </c>
      <c r="B245">
        <v>1523</v>
      </c>
      <c r="C245" s="123" t="s">
        <v>188</v>
      </c>
      <c r="D245">
        <v>1189.83</v>
      </c>
      <c r="E245">
        <v>1189.83</v>
      </c>
      <c r="F245">
        <v>1189.83</v>
      </c>
      <c r="G245">
        <v>1</v>
      </c>
      <c r="H245">
        <v>0</v>
      </c>
      <c r="I245">
        <v>790</v>
      </c>
      <c r="J245">
        <v>20093</v>
      </c>
      <c r="K245" s="123" t="s">
        <v>987</v>
      </c>
      <c r="L245" s="123" t="s">
        <v>988</v>
      </c>
    </row>
    <row r="246" spans="1:12" x14ac:dyDescent="0.3">
      <c r="A246" s="95">
        <v>45996</v>
      </c>
      <c r="B246">
        <v>10244</v>
      </c>
      <c r="C246" s="123" t="s">
        <v>185</v>
      </c>
      <c r="D246">
        <v>1.6240000000000001</v>
      </c>
      <c r="E246">
        <v>2315.31</v>
      </c>
      <c r="F246">
        <v>1.613</v>
      </c>
      <c r="G246">
        <v>1</v>
      </c>
      <c r="H246">
        <v>0</v>
      </c>
      <c r="I246">
        <v>7</v>
      </c>
      <c r="J246">
        <v>35636</v>
      </c>
      <c r="K246" s="123" t="s">
        <v>564</v>
      </c>
      <c r="L246" s="123" t="s">
        <v>1017</v>
      </c>
    </row>
    <row r="247" spans="1:12" x14ac:dyDescent="0.3">
      <c r="A247" s="95">
        <v>45996</v>
      </c>
      <c r="B247">
        <v>3719</v>
      </c>
      <c r="C247" s="123" t="s">
        <v>185</v>
      </c>
      <c r="D247">
        <v>0</v>
      </c>
      <c r="E247">
        <v>-0.2</v>
      </c>
      <c r="F247">
        <v>0</v>
      </c>
      <c r="G247">
        <v>0</v>
      </c>
      <c r="H247">
        <v>10</v>
      </c>
      <c r="I247">
        <v>0</v>
      </c>
      <c r="J247">
        <v>32231</v>
      </c>
      <c r="K247" s="123" t="s">
        <v>1603</v>
      </c>
      <c r="L247" s="123" t="s">
        <v>1604</v>
      </c>
    </row>
    <row r="248" spans="1:12" x14ac:dyDescent="0.3">
      <c r="A248" s="95">
        <v>45996</v>
      </c>
      <c r="B248">
        <v>5025</v>
      </c>
      <c r="C248" s="123" t="s">
        <v>185</v>
      </c>
      <c r="D248">
        <v>2.7280000000000002</v>
      </c>
      <c r="E248">
        <v>3889.56</v>
      </c>
      <c r="F248">
        <v>2.71</v>
      </c>
      <c r="G248">
        <v>1</v>
      </c>
      <c r="H248">
        <v>0</v>
      </c>
      <c r="I248">
        <v>642</v>
      </c>
      <c r="J248">
        <v>33266</v>
      </c>
      <c r="K248" s="123" t="s">
        <v>475</v>
      </c>
      <c r="L248" s="123" t="s">
        <v>1051</v>
      </c>
    </row>
    <row r="249" spans="1:12" x14ac:dyDescent="0.3">
      <c r="A249" s="95">
        <v>45996</v>
      </c>
      <c r="B249">
        <v>4955</v>
      </c>
      <c r="C249" s="123" t="s">
        <v>185</v>
      </c>
      <c r="D249">
        <v>0</v>
      </c>
      <c r="E249">
        <v>0.27</v>
      </c>
      <c r="F249">
        <v>0</v>
      </c>
      <c r="G249">
        <v>1</v>
      </c>
      <c r="H249">
        <v>0</v>
      </c>
      <c r="I249">
        <v>6</v>
      </c>
      <c r="J249">
        <v>32964</v>
      </c>
      <c r="K249" s="123" t="s">
        <v>527</v>
      </c>
      <c r="L249" s="123" t="s">
        <v>981</v>
      </c>
    </row>
    <row r="250" spans="1:12" x14ac:dyDescent="0.3">
      <c r="A250" s="95">
        <v>45996</v>
      </c>
      <c r="B250">
        <v>990</v>
      </c>
      <c r="C250" s="123" t="s">
        <v>185</v>
      </c>
      <c r="D250">
        <v>0.10199999999999999</v>
      </c>
      <c r="E250">
        <v>144.99</v>
      </c>
      <c r="F250">
        <v>0.10100000000000001</v>
      </c>
      <c r="G250">
        <v>1</v>
      </c>
      <c r="H250">
        <v>0</v>
      </c>
      <c r="I250">
        <v>224</v>
      </c>
      <c r="J250">
        <v>18212</v>
      </c>
      <c r="K250" s="123" t="s">
        <v>1091</v>
      </c>
      <c r="L250" s="123" t="s">
        <v>1092</v>
      </c>
    </row>
    <row r="251" spans="1:12" x14ac:dyDescent="0.3">
      <c r="A251" s="95">
        <v>45996</v>
      </c>
      <c r="B251">
        <v>675</v>
      </c>
      <c r="C251" s="123" t="s">
        <v>950</v>
      </c>
      <c r="D251">
        <v>91.94</v>
      </c>
      <c r="E251">
        <v>91.94</v>
      </c>
      <c r="F251">
        <v>91.94</v>
      </c>
      <c r="G251">
        <v>1</v>
      </c>
      <c r="H251">
        <v>0</v>
      </c>
      <c r="I251">
        <v>455</v>
      </c>
      <c r="J251">
        <v>9743</v>
      </c>
      <c r="K251" s="123" t="s">
        <v>1065</v>
      </c>
      <c r="L251" s="123" t="s">
        <v>1066</v>
      </c>
    </row>
    <row r="252" spans="1:12" x14ac:dyDescent="0.3">
      <c r="A252" s="95">
        <v>45996</v>
      </c>
      <c r="B252">
        <v>2077</v>
      </c>
      <c r="C252" s="123" t="s">
        <v>950</v>
      </c>
      <c r="D252">
        <v>3.72</v>
      </c>
      <c r="E252">
        <v>3.72</v>
      </c>
      <c r="F252">
        <v>3.72</v>
      </c>
      <c r="G252">
        <v>1</v>
      </c>
      <c r="H252">
        <v>0</v>
      </c>
      <c r="I252">
        <v>107</v>
      </c>
      <c r="J252">
        <v>30257</v>
      </c>
      <c r="K252" s="123" t="s">
        <v>611</v>
      </c>
      <c r="L252" s="123" t="s">
        <v>1063</v>
      </c>
    </row>
    <row r="253" spans="1:12" x14ac:dyDescent="0.3">
      <c r="A253" s="95">
        <v>45996</v>
      </c>
      <c r="B253">
        <v>1522</v>
      </c>
      <c r="C253" s="123" t="s">
        <v>801</v>
      </c>
      <c r="D253">
        <v>-2290.87</v>
      </c>
      <c r="E253">
        <v>-2290.87</v>
      </c>
      <c r="F253">
        <v>-2290.87</v>
      </c>
      <c r="G253">
        <v>0</v>
      </c>
      <c r="I253">
        <v>0</v>
      </c>
      <c r="J253">
        <v>20094</v>
      </c>
      <c r="K253" s="123" t="s">
        <v>488</v>
      </c>
      <c r="L253" s="123" t="s">
        <v>1050</v>
      </c>
    </row>
    <row r="254" spans="1:12" x14ac:dyDescent="0.3">
      <c r="A254" s="95">
        <v>45996</v>
      </c>
      <c r="B254">
        <v>4195</v>
      </c>
      <c r="C254" s="123" t="s">
        <v>801</v>
      </c>
      <c r="D254">
        <v>-1.1200000000000001</v>
      </c>
      <c r="E254">
        <v>-1.1200000000000001</v>
      </c>
      <c r="F254">
        <v>-1.1200000000000001</v>
      </c>
      <c r="G254">
        <v>0</v>
      </c>
      <c r="H254">
        <v>294</v>
      </c>
      <c r="I254">
        <v>0</v>
      </c>
      <c r="J254">
        <v>32828</v>
      </c>
      <c r="K254" s="123" t="s">
        <v>605</v>
      </c>
      <c r="L254" s="123" t="s">
        <v>1126</v>
      </c>
    </row>
    <row r="255" spans="1:12" x14ac:dyDescent="0.3">
      <c r="A255" s="95">
        <v>45996</v>
      </c>
      <c r="B255">
        <v>13748</v>
      </c>
      <c r="C255" s="123" t="s">
        <v>185</v>
      </c>
      <c r="D255">
        <v>45.009</v>
      </c>
      <c r="E255">
        <v>64182.97</v>
      </c>
      <c r="F255">
        <v>44.726999999999997</v>
      </c>
      <c r="G255">
        <v>1</v>
      </c>
      <c r="H255">
        <v>0</v>
      </c>
      <c r="I255">
        <v>10</v>
      </c>
      <c r="J255">
        <v>36902</v>
      </c>
      <c r="K255" s="123" t="s">
        <v>1130</v>
      </c>
      <c r="L255" s="123" t="s">
        <v>1131</v>
      </c>
    </row>
    <row r="256" spans="1:12" x14ac:dyDescent="0.3">
      <c r="A256" s="95">
        <v>45996</v>
      </c>
      <c r="B256">
        <v>4259</v>
      </c>
      <c r="C256" s="123" t="s">
        <v>188</v>
      </c>
      <c r="D256">
        <v>2.6</v>
      </c>
      <c r="E256">
        <v>2.6</v>
      </c>
      <c r="F256">
        <v>2.6</v>
      </c>
      <c r="G256">
        <v>1</v>
      </c>
      <c r="H256">
        <v>0</v>
      </c>
      <c r="I256">
        <v>790</v>
      </c>
      <c r="J256">
        <v>19330</v>
      </c>
      <c r="K256" s="123" t="s">
        <v>293</v>
      </c>
      <c r="L256" s="123" t="s">
        <v>1166</v>
      </c>
    </row>
    <row r="257" spans="1:12" x14ac:dyDescent="0.3">
      <c r="A257" s="95">
        <v>45996</v>
      </c>
      <c r="B257">
        <v>1563</v>
      </c>
      <c r="C257" s="123" t="s">
        <v>185</v>
      </c>
      <c r="D257">
        <v>-3.5329999999999999</v>
      </c>
      <c r="E257">
        <v>-5037.66</v>
      </c>
      <c r="F257">
        <v>-3.5110000000000001</v>
      </c>
      <c r="G257">
        <v>0</v>
      </c>
      <c r="H257">
        <v>75</v>
      </c>
      <c r="I257">
        <v>0</v>
      </c>
      <c r="J257">
        <v>20242</v>
      </c>
      <c r="K257" s="123" t="s">
        <v>631</v>
      </c>
      <c r="L257" s="123" t="s">
        <v>1190</v>
      </c>
    </row>
    <row r="258" spans="1:12" x14ac:dyDescent="0.3">
      <c r="A258" s="95">
        <v>45996</v>
      </c>
      <c r="B258">
        <v>2153</v>
      </c>
      <c r="C258" s="123" t="s">
        <v>950</v>
      </c>
      <c r="D258">
        <v>301400</v>
      </c>
      <c r="E258">
        <v>301400</v>
      </c>
      <c r="F258">
        <v>301400</v>
      </c>
      <c r="G258">
        <v>1</v>
      </c>
      <c r="H258">
        <v>0</v>
      </c>
      <c r="I258">
        <v>194</v>
      </c>
      <c r="J258">
        <v>30090</v>
      </c>
      <c r="K258" s="123" t="s">
        <v>619</v>
      </c>
      <c r="L258" s="123" t="s">
        <v>1068</v>
      </c>
    </row>
    <row r="259" spans="1:12" x14ac:dyDescent="0.3">
      <c r="A259" s="95">
        <v>45996</v>
      </c>
      <c r="B259">
        <v>2042</v>
      </c>
      <c r="C259" s="123" t="s">
        <v>950</v>
      </c>
      <c r="D259">
        <v>-0.09</v>
      </c>
      <c r="E259">
        <v>-0.09</v>
      </c>
      <c r="F259">
        <v>-0.09</v>
      </c>
      <c r="G259">
        <v>0</v>
      </c>
      <c r="H259">
        <v>140</v>
      </c>
      <c r="I259">
        <v>0</v>
      </c>
      <c r="J259">
        <v>30036</v>
      </c>
      <c r="K259" s="123" t="s">
        <v>445</v>
      </c>
      <c r="L259" s="123" t="s">
        <v>1189</v>
      </c>
    </row>
    <row r="260" spans="1:12" x14ac:dyDescent="0.3">
      <c r="A260" s="95">
        <v>45996</v>
      </c>
      <c r="B260">
        <v>13568</v>
      </c>
      <c r="C260" s="123" t="s">
        <v>185</v>
      </c>
      <c r="D260">
        <v>-0.91600000000000004</v>
      </c>
      <c r="E260">
        <v>-1306.4000000000001</v>
      </c>
      <c r="F260">
        <v>-0.91</v>
      </c>
      <c r="G260">
        <v>0</v>
      </c>
      <c r="H260">
        <v>18</v>
      </c>
      <c r="I260">
        <v>0</v>
      </c>
      <c r="J260">
        <v>36739</v>
      </c>
      <c r="K260" s="123" t="s">
        <v>538</v>
      </c>
      <c r="L260" s="123" t="s">
        <v>1266</v>
      </c>
    </row>
    <row r="261" spans="1:12" x14ac:dyDescent="0.3">
      <c r="A261" s="95">
        <v>45996</v>
      </c>
      <c r="B261">
        <v>1168</v>
      </c>
      <c r="C261" s="123" t="s">
        <v>185</v>
      </c>
      <c r="D261">
        <v>0</v>
      </c>
      <c r="E261">
        <v>-0.18</v>
      </c>
      <c r="F261">
        <v>0</v>
      </c>
      <c r="G261">
        <v>0</v>
      </c>
      <c r="H261">
        <v>3</v>
      </c>
      <c r="I261">
        <v>0</v>
      </c>
      <c r="J261">
        <v>18976</v>
      </c>
      <c r="K261" s="123" t="s">
        <v>305</v>
      </c>
      <c r="L261" s="123" t="s">
        <v>1207</v>
      </c>
    </row>
    <row r="262" spans="1:12" x14ac:dyDescent="0.3">
      <c r="A262" s="95">
        <v>45996</v>
      </c>
      <c r="B262">
        <v>1273</v>
      </c>
      <c r="C262" s="123" t="s">
        <v>801</v>
      </c>
      <c r="D262">
        <v>5580</v>
      </c>
      <c r="E262">
        <v>5580</v>
      </c>
      <c r="F262">
        <v>5580</v>
      </c>
      <c r="G262">
        <v>1</v>
      </c>
      <c r="H262">
        <v>0</v>
      </c>
      <c r="I262">
        <v>11</v>
      </c>
      <c r="J262">
        <v>19363</v>
      </c>
      <c r="K262" s="123" t="s">
        <v>1183</v>
      </c>
      <c r="L262" s="123" t="s">
        <v>1184</v>
      </c>
    </row>
    <row r="263" spans="1:12" x14ac:dyDescent="0.3">
      <c r="A263" s="95">
        <v>45996</v>
      </c>
      <c r="B263">
        <v>5235</v>
      </c>
      <c r="C263" s="123" t="s">
        <v>185</v>
      </c>
      <c r="D263">
        <v>-7.9000000000000001E-2</v>
      </c>
      <c r="E263">
        <v>-113.33</v>
      </c>
      <c r="F263">
        <v>-7.9000000000000001E-2</v>
      </c>
      <c r="G263">
        <v>0</v>
      </c>
      <c r="H263">
        <v>6</v>
      </c>
      <c r="I263">
        <v>0</v>
      </c>
      <c r="J263">
        <v>33099</v>
      </c>
      <c r="K263" s="123" t="s">
        <v>346</v>
      </c>
      <c r="L263" s="123" t="s">
        <v>1118</v>
      </c>
    </row>
    <row r="264" spans="1:12" x14ac:dyDescent="0.3">
      <c r="A264" s="95">
        <v>45996</v>
      </c>
      <c r="B264">
        <v>1430</v>
      </c>
      <c r="C264" s="123" t="s">
        <v>185</v>
      </c>
      <c r="D264">
        <v>3.0000000000000001E-3</v>
      </c>
      <c r="E264">
        <v>4.16</v>
      </c>
      <c r="F264">
        <v>3.0000000000000001E-3</v>
      </c>
      <c r="G264">
        <v>1</v>
      </c>
      <c r="H264">
        <v>0</v>
      </c>
      <c r="I264">
        <v>16</v>
      </c>
      <c r="J264">
        <v>19710</v>
      </c>
      <c r="K264" s="123" t="s">
        <v>351</v>
      </c>
      <c r="L264" s="123" t="s">
        <v>1278</v>
      </c>
    </row>
    <row r="265" spans="1:12" x14ac:dyDescent="0.3">
      <c r="A265" s="95">
        <v>45996</v>
      </c>
      <c r="B265">
        <v>1048</v>
      </c>
      <c r="C265" s="123" t="s">
        <v>185</v>
      </c>
      <c r="D265">
        <v>-126922.255</v>
      </c>
      <c r="E265">
        <v>-180991135.87</v>
      </c>
      <c r="F265">
        <v>-126126.227</v>
      </c>
      <c r="G265">
        <v>0</v>
      </c>
      <c r="H265">
        <v>31</v>
      </c>
      <c r="I265">
        <v>0</v>
      </c>
      <c r="J265">
        <v>2240</v>
      </c>
      <c r="K265" s="123" t="s">
        <v>1177</v>
      </c>
      <c r="L265" s="123" t="s">
        <v>1178</v>
      </c>
    </row>
    <row r="266" spans="1:12" x14ac:dyDescent="0.3">
      <c r="A266" s="95">
        <v>45996</v>
      </c>
      <c r="B266">
        <v>5858</v>
      </c>
      <c r="C266" s="123" t="s">
        <v>950</v>
      </c>
      <c r="D266">
        <v>103.44</v>
      </c>
      <c r="E266">
        <v>103.44</v>
      </c>
      <c r="F266">
        <v>103.44</v>
      </c>
      <c r="G266">
        <v>1</v>
      </c>
      <c r="H266">
        <v>0</v>
      </c>
      <c r="I266">
        <v>92</v>
      </c>
      <c r="J266">
        <v>34098</v>
      </c>
      <c r="K266" s="123" t="s">
        <v>393</v>
      </c>
      <c r="L266" s="123" t="s">
        <v>1144</v>
      </c>
    </row>
    <row r="267" spans="1:12" x14ac:dyDescent="0.3">
      <c r="A267" s="95">
        <v>45996</v>
      </c>
      <c r="B267">
        <v>1592</v>
      </c>
      <c r="C267" s="123" t="s">
        <v>185</v>
      </c>
      <c r="D267">
        <v>-1.1579999999999999</v>
      </c>
      <c r="E267">
        <v>-1651.09</v>
      </c>
      <c r="F267">
        <v>-1.151</v>
      </c>
      <c r="G267">
        <v>0</v>
      </c>
      <c r="H267">
        <v>9</v>
      </c>
      <c r="I267">
        <v>0</v>
      </c>
      <c r="J267">
        <v>8614</v>
      </c>
      <c r="K267" s="123" t="s">
        <v>530</v>
      </c>
      <c r="L267" s="123" t="s">
        <v>1188</v>
      </c>
    </row>
    <row r="268" spans="1:12" x14ac:dyDescent="0.3">
      <c r="A268" s="95">
        <v>45996</v>
      </c>
      <c r="B268">
        <v>4241</v>
      </c>
      <c r="C268" s="123" t="s">
        <v>185</v>
      </c>
      <c r="D268">
        <v>0</v>
      </c>
      <c r="E268">
        <v>0</v>
      </c>
      <c r="F268">
        <v>0</v>
      </c>
      <c r="G268">
        <v>0</v>
      </c>
      <c r="H268">
        <v>278</v>
      </c>
      <c r="I268">
        <v>0</v>
      </c>
      <c r="J268">
        <v>32893</v>
      </c>
      <c r="K268" s="123" t="s">
        <v>125</v>
      </c>
      <c r="L268" s="123" t="s">
        <v>1158</v>
      </c>
    </row>
    <row r="269" spans="1:12" x14ac:dyDescent="0.3">
      <c r="A269" s="95">
        <v>45996</v>
      </c>
      <c r="B269">
        <v>1141</v>
      </c>
      <c r="C269" s="123" t="s">
        <v>188</v>
      </c>
      <c r="D269">
        <v>247.75</v>
      </c>
      <c r="E269">
        <v>247.75</v>
      </c>
      <c r="F269">
        <v>247.75</v>
      </c>
      <c r="G269">
        <v>1</v>
      </c>
      <c r="H269">
        <v>0</v>
      </c>
      <c r="I269">
        <v>790</v>
      </c>
      <c r="J269">
        <v>18969</v>
      </c>
      <c r="K269" s="123" t="s">
        <v>395</v>
      </c>
      <c r="L269" s="123" t="s">
        <v>1280</v>
      </c>
    </row>
    <row r="270" spans="1:12" x14ac:dyDescent="0.3">
      <c r="A270" s="95">
        <v>45996</v>
      </c>
      <c r="B270">
        <v>606</v>
      </c>
      <c r="C270" s="123" t="s">
        <v>185</v>
      </c>
      <c r="D270">
        <v>-0.04</v>
      </c>
      <c r="E270">
        <v>-57.56</v>
      </c>
      <c r="F270">
        <v>-0.04</v>
      </c>
      <c r="G270">
        <v>0</v>
      </c>
      <c r="H270">
        <v>618</v>
      </c>
      <c r="I270">
        <v>0</v>
      </c>
      <c r="J270">
        <v>2093</v>
      </c>
      <c r="K270" s="123" t="s">
        <v>365</v>
      </c>
      <c r="L270" s="123" t="s">
        <v>1206</v>
      </c>
    </row>
    <row r="271" spans="1:12" x14ac:dyDescent="0.3">
      <c r="A271" s="95">
        <v>45996</v>
      </c>
      <c r="B271">
        <v>3997</v>
      </c>
      <c r="C271" s="123" t="s">
        <v>188</v>
      </c>
      <c r="D271">
        <v>30</v>
      </c>
      <c r="E271">
        <v>30</v>
      </c>
      <c r="F271">
        <v>30</v>
      </c>
      <c r="G271">
        <v>1</v>
      </c>
      <c r="H271">
        <v>0</v>
      </c>
      <c r="I271">
        <v>790</v>
      </c>
      <c r="J271">
        <v>32594</v>
      </c>
      <c r="K271" s="123" t="s">
        <v>123</v>
      </c>
      <c r="L271" s="123" t="s">
        <v>1363</v>
      </c>
    </row>
    <row r="272" spans="1:12" x14ac:dyDescent="0.3">
      <c r="A272" s="95">
        <v>45996</v>
      </c>
      <c r="B272">
        <v>10061</v>
      </c>
      <c r="C272" s="123" t="s">
        <v>188</v>
      </c>
      <c r="D272">
        <v>0.39</v>
      </c>
      <c r="E272">
        <v>0.39</v>
      </c>
      <c r="F272">
        <v>0.39</v>
      </c>
      <c r="G272">
        <v>1</v>
      </c>
      <c r="H272">
        <v>0</v>
      </c>
      <c r="I272">
        <v>340</v>
      </c>
      <c r="J272">
        <v>35528</v>
      </c>
      <c r="K272" s="123" t="s">
        <v>616</v>
      </c>
      <c r="L272" s="123" t="s">
        <v>1237</v>
      </c>
    </row>
    <row r="273" spans="1:12" x14ac:dyDescent="0.3">
      <c r="A273" s="95">
        <v>45996</v>
      </c>
      <c r="B273">
        <v>1437</v>
      </c>
      <c r="C273" s="123" t="s">
        <v>801</v>
      </c>
      <c r="D273">
        <v>0</v>
      </c>
      <c r="E273">
        <v>0</v>
      </c>
      <c r="F273">
        <v>0</v>
      </c>
      <c r="G273">
        <v>0</v>
      </c>
      <c r="H273">
        <v>3</v>
      </c>
      <c r="I273">
        <v>0</v>
      </c>
      <c r="J273">
        <v>19791</v>
      </c>
      <c r="K273" s="123" t="s">
        <v>172</v>
      </c>
      <c r="L273" s="123" t="s">
        <v>1223</v>
      </c>
    </row>
    <row r="274" spans="1:12" x14ac:dyDescent="0.3">
      <c r="A274" s="95">
        <v>45996</v>
      </c>
      <c r="B274">
        <v>6005</v>
      </c>
      <c r="C274" s="123" t="s">
        <v>950</v>
      </c>
      <c r="D274">
        <v>49.28</v>
      </c>
      <c r="E274">
        <v>49.28</v>
      </c>
      <c r="F274">
        <v>49.28</v>
      </c>
      <c r="G274">
        <v>1</v>
      </c>
      <c r="H274">
        <v>0</v>
      </c>
      <c r="J274">
        <v>33372</v>
      </c>
      <c r="K274" s="123" t="s">
        <v>416</v>
      </c>
      <c r="L274" s="123" t="s">
        <v>1186</v>
      </c>
    </row>
    <row r="275" spans="1:12" x14ac:dyDescent="0.3">
      <c r="A275" s="95">
        <v>45996</v>
      </c>
      <c r="B275">
        <v>1099</v>
      </c>
      <c r="C275" s="123" t="s">
        <v>185</v>
      </c>
      <c r="D275">
        <v>0</v>
      </c>
      <c r="E275">
        <v>0.13</v>
      </c>
      <c r="F275">
        <v>0</v>
      </c>
      <c r="G275">
        <v>1</v>
      </c>
      <c r="H275">
        <v>0</v>
      </c>
      <c r="I275">
        <v>12</v>
      </c>
      <c r="J275">
        <v>18842</v>
      </c>
      <c r="K275" s="123" t="s">
        <v>250</v>
      </c>
      <c r="L275" s="123" t="s">
        <v>1287</v>
      </c>
    </row>
    <row r="276" spans="1:12" x14ac:dyDescent="0.3">
      <c r="A276" s="95">
        <v>45996</v>
      </c>
      <c r="B276">
        <v>10253</v>
      </c>
      <c r="C276" s="123" t="s">
        <v>188</v>
      </c>
      <c r="D276">
        <v>274.08</v>
      </c>
      <c r="E276">
        <v>274.08</v>
      </c>
      <c r="F276">
        <v>274.08</v>
      </c>
      <c r="G276">
        <v>1</v>
      </c>
      <c r="H276">
        <v>0</v>
      </c>
      <c r="J276">
        <v>35643</v>
      </c>
      <c r="K276" s="123" t="s">
        <v>603</v>
      </c>
      <c r="L276" s="123" t="s">
        <v>1220</v>
      </c>
    </row>
    <row r="277" spans="1:12" x14ac:dyDescent="0.3">
      <c r="A277" s="95">
        <v>45996</v>
      </c>
      <c r="B277">
        <v>4213</v>
      </c>
      <c r="C277" s="123" t="s">
        <v>950</v>
      </c>
      <c r="D277">
        <v>1.19</v>
      </c>
      <c r="E277">
        <v>1.19</v>
      </c>
      <c r="F277">
        <v>1.19</v>
      </c>
      <c r="G277">
        <v>1</v>
      </c>
      <c r="H277">
        <v>0</v>
      </c>
      <c r="I277">
        <v>351</v>
      </c>
      <c r="J277">
        <v>32849</v>
      </c>
      <c r="K277" s="123" t="s">
        <v>190</v>
      </c>
      <c r="L277" s="123" t="s">
        <v>1302</v>
      </c>
    </row>
    <row r="278" spans="1:12" x14ac:dyDescent="0.3">
      <c r="A278" s="95">
        <v>45996</v>
      </c>
      <c r="B278">
        <v>14873</v>
      </c>
      <c r="C278" s="123" t="s">
        <v>188</v>
      </c>
      <c r="D278">
        <v>237.43</v>
      </c>
      <c r="E278">
        <v>237.43</v>
      </c>
      <c r="F278">
        <v>237.43</v>
      </c>
      <c r="G278">
        <v>1</v>
      </c>
      <c r="H278">
        <v>0</v>
      </c>
      <c r="J278">
        <v>37088</v>
      </c>
      <c r="K278" s="123" t="s">
        <v>571</v>
      </c>
      <c r="L278" s="123" t="s">
        <v>1269</v>
      </c>
    </row>
    <row r="279" spans="1:12" x14ac:dyDescent="0.3">
      <c r="A279" s="95">
        <v>45996</v>
      </c>
      <c r="B279">
        <v>1853</v>
      </c>
      <c r="C279" s="123" t="s">
        <v>185</v>
      </c>
      <c r="D279">
        <v>-4158.4170000000004</v>
      </c>
      <c r="E279">
        <v>-5929903.1900000004</v>
      </c>
      <c r="F279">
        <v>-4132.3370000000004</v>
      </c>
      <c r="G279">
        <v>0</v>
      </c>
      <c r="H279">
        <v>60</v>
      </c>
      <c r="I279">
        <v>0</v>
      </c>
      <c r="J279">
        <v>19392</v>
      </c>
      <c r="K279" s="123" t="s">
        <v>1309</v>
      </c>
      <c r="L279" s="123" t="s">
        <v>1310</v>
      </c>
    </row>
    <row r="280" spans="1:12" x14ac:dyDescent="0.3">
      <c r="A280" s="95">
        <v>45996</v>
      </c>
      <c r="B280">
        <v>3288</v>
      </c>
      <c r="C280" s="123" t="s">
        <v>950</v>
      </c>
      <c r="D280">
        <v>10.58</v>
      </c>
      <c r="E280">
        <v>10.58</v>
      </c>
      <c r="F280">
        <v>10.58</v>
      </c>
      <c r="G280">
        <v>1</v>
      </c>
      <c r="H280">
        <v>0</v>
      </c>
      <c r="I280">
        <v>119</v>
      </c>
      <c r="J280">
        <v>31716</v>
      </c>
      <c r="K280" s="123" t="s">
        <v>544</v>
      </c>
      <c r="L280" s="123" t="s">
        <v>1353</v>
      </c>
    </row>
    <row r="281" spans="1:12" x14ac:dyDescent="0.3">
      <c r="A281" s="95">
        <v>45996</v>
      </c>
      <c r="B281">
        <v>2298</v>
      </c>
      <c r="C281" s="123" t="s">
        <v>188</v>
      </c>
      <c r="D281">
        <v>3.64</v>
      </c>
      <c r="E281">
        <v>3.64</v>
      </c>
      <c r="F281">
        <v>3.64</v>
      </c>
      <c r="G281">
        <v>1</v>
      </c>
      <c r="H281">
        <v>0</v>
      </c>
      <c r="I281">
        <v>222</v>
      </c>
      <c r="J281">
        <v>30387</v>
      </c>
      <c r="K281" s="123" t="s">
        <v>1532</v>
      </c>
      <c r="L281" s="123" t="s">
        <v>1291</v>
      </c>
    </row>
    <row r="282" spans="1:12" x14ac:dyDescent="0.3">
      <c r="A282" s="95">
        <v>45996</v>
      </c>
      <c r="B282">
        <v>2109</v>
      </c>
      <c r="C282" s="123" t="s">
        <v>185</v>
      </c>
      <c r="D282">
        <v>0.01</v>
      </c>
      <c r="E282">
        <v>13.97</v>
      </c>
      <c r="F282">
        <v>0.01</v>
      </c>
      <c r="G282">
        <v>1</v>
      </c>
      <c r="H282">
        <v>0</v>
      </c>
      <c r="I282">
        <v>3</v>
      </c>
      <c r="J282">
        <v>20716</v>
      </c>
      <c r="K282" s="123" t="s">
        <v>323</v>
      </c>
      <c r="L282" s="123" t="s">
        <v>1388</v>
      </c>
    </row>
    <row r="283" spans="1:12" x14ac:dyDescent="0.3">
      <c r="A283" s="95">
        <v>45996</v>
      </c>
      <c r="B283">
        <v>2346</v>
      </c>
      <c r="C283" s="123" t="s">
        <v>185</v>
      </c>
      <c r="D283">
        <v>-1E-3</v>
      </c>
      <c r="E283">
        <v>-0.92</v>
      </c>
      <c r="F283">
        <v>-1E-3</v>
      </c>
      <c r="G283">
        <v>0</v>
      </c>
      <c r="H283">
        <v>3</v>
      </c>
      <c r="I283">
        <v>0</v>
      </c>
      <c r="J283">
        <v>30471</v>
      </c>
      <c r="K283" s="123" t="s">
        <v>469</v>
      </c>
      <c r="L283" s="123" t="s">
        <v>1316</v>
      </c>
    </row>
    <row r="284" spans="1:12" x14ac:dyDescent="0.3">
      <c r="A284" s="95">
        <v>45996</v>
      </c>
      <c r="B284">
        <v>6999</v>
      </c>
      <c r="C284" s="123" t="s">
        <v>185</v>
      </c>
      <c r="D284">
        <v>13.284000000000001</v>
      </c>
      <c r="E284">
        <v>18942.95</v>
      </c>
      <c r="F284">
        <v>13.201000000000001</v>
      </c>
      <c r="G284">
        <v>1</v>
      </c>
      <c r="H284">
        <v>0</v>
      </c>
      <c r="I284">
        <v>19</v>
      </c>
      <c r="J284">
        <v>34695</v>
      </c>
      <c r="K284" s="123" t="s">
        <v>325</v>
      </c>
      <c r="L284" s="123" t="s">
        <v>1267</v>
      </c>
    </row>
    <row r="285" spans="1:12" x14ac:dyDescent="0.3">
      <c r="A285" s="95">
        <v>45996</v>
      </c>
      <c r="B285">
        <v>12993</v>
      </c>
      <c r="C285" s="123" t="s">
        <v>185</v>
      </c>
      <c r="D285">
        <v>-39.052999999999997</v>
      </c>
      <c r="E285">
        <v>-55688.87</v>
      </c>
      <c r="F285">
        <v>-38.808</v>
      </c>
      <c r="G285">
        <v>0</v>
      </c>
      <c r="H285">
        <v>18</v>
      </c>
      <c r="I285">
        <v>0</v>
      </c>
      <c r="J285">
        <v>36201</v>
      </c>
      <c r="K285" s="123" t="s">
        <v>617</v>
      </c>
      <c r="L285" s="123" t="s">
        <v>1515</v>
      </c>
    </row>
    <row r="286" spans="1:12" x14ac:dyDescent="0.3">
      <c r="A286" s="95">
        <v>45996</v>
      </c>
      <c r="B286">
        <v>5868</v>
      </c>
      <c r="C286" s="123" t="s">
        <v>185</v>
      </c>
      <c r="D286">
        <v>-19.856000000000002</v>
      </c>
      <c r="E286">
        <v>-28315.1</v>
      </c>
      <c r="F286">
        <v>-19.731999999999999</v>
      </c>
      <c r="G286">
        <v>0</v>
      </c>
      <c r="H286">
        <v>18</v>
      </c>
      <c r="I286">
        <v>0</v>
      </c>
      <c r="J286">
        <v>33580</v>
      </c>
      <c r="K286" s="123" t="s">
        <v>348</v>
      </c>
      <c r="L286" s="123" t="s">
        <v>1277</v>
      </c>
    </row>
    <row r="287" spans="1:12" x14ac:dyDescent="0.3">
      <c r="A287" s="95">
        <v>45996</v>
      </c>
      <c r="B287">
        <v>5875</v>
      </c>
      <c r="C287" s="123" t="s">
        <v>188</v>
      </c>
      <c r="D287">
        <v>25.34</v>
      </c>
      <c r="E287">
        <v>25.34</v>
      </c>
      <c r="F287">
        <v>25.34</v>
      </c>
      <c r="G287">
        <v>1</v>
      </c>
      <c r="H287">
        <v>0</v>
      </c>
      <c r="I287">
        <v>790</v>
      </c>
      <c r="J287">
        <v>33579</v>
      </c>
      <c r="K287" s="123" t="s">
        <v>344</v>
      </c>
      <c r="L287" s="123" t="s">
        <v>1395</v>
      </c>
    </row>
    <row r="288" spans="1:12" x14ac:dyDescent="0.3">
      <c r="A288" s="95">
        <v>45996</v>
      </c>
      <c r="B288">
        <v>765</v>
      </c>
      <c r="C288" s="123" t="s">
        <v>950</v>
      </c>
      <c r="D288">
        <v>0</v>
      </c>
      <c r="E288">
        <v>0</v>
      </c>
      <c r="F288">
        <v>0</v>
      </c>
      <c r="G288">
        <v>0</v>
      </c>
      <c r="H288">
        <v>278</v>
      </c>
      <c r="I288">
        <v>0</v>
      </c>
      <c r="J288">
        <v>10023</v>
      </c>
      <c r="K288" s="123" t="s">
        <v>939</v>
      </c>
      <c r="L288" s="123" t="s">
        <v>940</v>
      </c>
    </row>
    <row r="289" spans="1:12" x14ac:dyDescent="0.3">
      <c r="A289" s="95">
        <v>45996</v>
      </c>
      <c r="B289">
        <v>963</v>
      </c>
      <c r="C289" s="123" t="s">
        <v>801</v>
      </c>
      <c r="D289">
        <v>0</v>
      </c>
      <c r="E289">
        <v>0</v>
      </c>
      <c r="F289">
        <v>0</v>
      </c>
      <c r="G289">
        <v>0</v>
      </c>
      <c r="H289">
        <v>31</v>
      </c>
      <c r="I289">
        <v>0</v>
      </c>
      <c r="J289">
        <v>6929</v>
      </c>
      <c r="K289" s="123" t="s">
        <v>482</v>
      </c>
      <c r="L289" s="123" t="s">
        <v>961</v>
      </c>
    </row>
    <row r="290" spans="1:12" x14ac:dyDescent="0.3">
      <c r="A290" s="95">
        <v>45996</v>
      </c>
      <c r="B290">
        <v>1291</v>
      </c>
      <c r="C290" s="123" t="s">
        <v>185</v>
      </c>
      <c r="D290">
        <v>0</v>
      </c>
      <c r="E290">
        <v>0.17</v>
      </c>
      <c r="F290">
        <v>0</v>
      </c>
      <c r="G290">
        <v>1</v>
      </c>
      <c r="H290">
        <v>0</v>
      </c>
      <c r="I290">
        <v>2</v>
      </c>
      <c r="J290">
        <v>19409</v>
      </c>
      <c r="K290" s="123" t="s">
        <v>308</v>
      </c>
      <c r="L290" s="123" t="s">
        <v>954</v>
      </c>
    </row>
    <row r="291" spans="1:12" x14ac:dyDescent="0.3">
      <c r="A291" s="95">
        <v>45996</v>
      </c>
      <c r="B291">
        <v>12923</v>
      </c>
      <c r="C291" s="123" t="s">
        <v>950</v>
      </c>
      <c r="D291">
        <v>329.15</v>
      </c>
      <c r="E291">
        <v>329.15</v>
      </c>
      <c r="F291">
        <v>329.15</v>
      </c>
      <c r="G291">
        <v>1</v>
      </c>
      <c r="H291">
        <v>0</v>
      </c>
      <c r="J291">
        <v>36141</v>
      </c>
      <c r="K291" s="123" t="s">
        <v>694</v>
      </c>
      <c r="L291" s="123" t="s">
        <v>966</v>
      </c>
    </row>
    <row r="292" spans="1:12" x14ac:dyDescent="0.3">
      <c r="A292" s="95">
        <v>45996</v>
      </c>
      <c r="B292">
        <v>9956</v>
      </c>
      <c r="C292" s="123" t="s">
        <v>950</v>
      </c>
      <c r="D292">
        <v>0.44</v>
      </c>
      <c r="E292">
        <v>0.44</v>
      </c>
      <c r="F292">
        <v>0.44</v>
      </c>
      <c r="G292">
        <v>1</v>
      </c>
      <c r="H292">
        <v>0</v>
      </c>
      <c r="I292">
        <v>787</v>
      </c>
      <c r="J292">
        <v>35455</v>
      </c>
      <c r="K292" s="123" t="s">
        <v>424</v>
      </c>
      <c r="L292" s="123" t="s">
        <v>991</v>
      </c>
    </row>
    <row r="293" spans="1:12" x14ac:dyDescent="0.3">
      <c r="A293" s="95">
        <v>45996</v>
      </c>
      <c r="B293">
        <v>1076</v>
      </c>
      <c r="C293" s="123" t="s">
        <v>185</v>
      </c>
      <c r="D293">
        <v>-4.101</v>
      </c>
      <c r="E293">
        <v>-5848.61</v>
      </c>
      <c r="F293">
        <v>-4.0759999999999996</v>
      </c>
      <c r="G293">
        <v>0</v>
      </c>
      <c r="H293">
        <v>10</v>
      </c>
      <c r="I293">
        <v>0</v>
      </c>
      <c r="J293">
        <v>18780</v>
      </c>
      <c r="K293" s="123" t="s">
        <v>120</v>
      </c>
      <c r="L293" s="123" t="s">
        <v>983</v>
      </c>
    </row>
    <row r="294" spans="1:12" x14ac:dyDescent="0.3">
      <c r="A294" s="95">
        <v>45996</v>
      </c>
      <c r="B294">
        <v>1523</v>
      </c>
      <c r="C294" s="123" t="s">
        <v>185</v>
      </c>
      <c r="D294">
        <v>0.41699999999999998</v>
      </c>
      <c r="E294">
        <v>594.77</v>
      </c>
      <c r="F294">
        <v>0.41399999999999998</v>
      </c>
      <c r="G294">
        <v>1</v>
      </c>
      <c r="H294">
        <v>0</v>
      </c>
      <c r="I294">
        <v>2</v>
      </c>
      <c r="J294">
        <v>20093</v>
      </c>
      <c r="K294" s="123" t="s">
        <v>987</v>
      </c>
      <c r="L294" s="123" t="s">
        <v>988</v>
      </c>
    </row>
    <row r="295" spans="1:12" x14ac:dyDescent="0.3">
      <c r="A295" s="95">
        <v>45996</v>
      </c>
      <c r="B295">
        <v>12937</v>
      </c>
      <c r="C295" s="123" t="s">
        <v>188</v>
      </c>
      <c r="D295">
        <v>46.19</v>
      </c>
      <c r="E295">
        <v>46.19</v>
      </c>
      <c r="F295">
        <v>46.19</v>
      </c>
      <c r="G295">
        <v>1</v>
      </c>
      <c r="H295">
        <v>0</v>
      </c>
      <c r="I295">
        <v>350</v>
      </c>
      <c r="J295">
        <v>36152</v>
      </c>
      <c r="K295" s="123" t="s">
        <v>624</v>
      </c>
      <c r="L295" s="123" t="s">
        <v>1006</v>
      </c>
    </row>
    <row r="296" spans="1:12" x14ac:dyDescent="0.3">
      <c r="A296" s="95">
        <v>45996</v>
      </c>
      <c r="B296">
        <v>5628</v>
      </c>
      <c r="C296" s="123" t="s">
        <v>185</v>
      </c>
      <c r="D296">
        <v>1.3109999999999999</v>
      </c>
      <c r="E296">
        <v>1869.56</v>
      </c>
      <c r="F296">
        <v>1.3029999999999999</v>
      </c>
      <c r="G296">
        <v>1</v>
      </c>
      <c r="H296">
        <v>0</v>
      </c>
      <c r="I296">
        <v>471</v>
      </c>
      <c r="J296">
        <v>33867</v>
      </c>
      <c r="K296" s="123" t="s">
        <v>578</v>
      </c>
      <c r="L296" s="123" t="s">
        <v>1076</v>
      </c>
    </row>
    <row r="297" spans="1:12" x14ac:dyDescent="0.3">
      <c r="A297" s="95">
        <v>45996</v>
      </c>
      <c r="B297">
        <v>5025</v>
      </c>
      <c r="C297" s="123" t="s">
        <v>950</v>
      </c>
      <c r="D297">
        <v>50.32</v>
      </c>
      <c r="E297">
        <v>50.32</v>
      </c>
      <c r="F297">
        <v>50.32</v>
      </c>
      <c r="G297">
        <v>1</v>
      </c>
      <c r="H297">
        <v>0</v>
      </c>
      <c r="I297">
        <v>587</v>
      </c>
      <c r="J297">
        <v>33266</v>
      </c>
      <c r="K297" s="123" t="s">
        <v>475</v>
      </c>
      <c r="L297" s="123" t="s">
        <v>1051</v>
      </c>
    </row>
    <row r="298" spans="1:12" x14ac:dyDescent="0.3">
      <c r="A298" s="95">
        <v>45996</v>
      </c>
      <c r="B298">
        <v>5866</v>
      </c>
      <c r="C298" s="123" t="s">
        <v>188</v>
      </c>
      <c r="D298">
        <v>1699.94</v>
      </c>
      <c r="E298">
        <v>1699.94</v>
      </c>
      <c r="F298">
        <v>1699.94</v>
      </c>
      <c r="G298">
        <v>1</v>
      </c>
      <c r="H298">
        <v>0</v>
      </c>
      <c r="I298">
        <v>790</v>
      </c>
      <c r="J298">
        <v>33662</v>
      </c>
      <c r="K298" s="123" t="s">
        <v>124</v>
      </c>
      <c r="L298" s="123" t="s">
        <v>1028</v>
      </c>
    </row>
    <row r="299" spans="1:12" x14ac:dyDescent="0.3">
      <c r="A299" s="95">
        <v>45996</v>
      </c>
      <c r="B299">
        <v>1105</v>
      </c>
      <c r="C299" s="123" t="s">
        <v>801</v>
      </c>
      <c r="D299">
        <v>0</v>
      </c>
      <c r="E299">
        <v>0</v>
      </c>
      <c r="F299">
        <v>0</v>
      </c>
      <c r="G299">
        <v>0</v>
      </c>
      <c r="H299">
        <v>5</v>
      </c>
      <c r="I299">
        <v>0</v>
      </c>
      <c r="J299">
        <v>18797</v>
      </c>
      <c r="K299" s="123" t="s">
        <v>298</v>
      </c>
      <c r="L299" s="123" t="s">
        <v>1062</v>
      </c>
    </row>
    <row r="300" spans="1:12" x14ac:dyDescent="0.3">
      <c r="A300" s="95">
        <v>45996</v>
      </c>
      <c r="B300">
        <v>675</v>
      </c>
      <c r="C300" s="123" t="s">
        <v>185</v>
      </c>
      <c r="D300">
        <v>0</v>
      </c>
      <c r="E300">
        <v>0.63</v>
      </c>
      <c r="F300">
        <v>0</v>
      </c>
      <c r="G300">
        <v>1</v>
      </c>
      <c r="H300">
        <v>0</v>
      </c>
      <c r="I300">
        <v>22</v>
      </c>
      <c r="J300">
        <v>9743</v>
      </c>
      <c r="K300" s="123" t="s">
        <v>1065</v>
      </c>
      <c r="L300" s="123" t="s">
        <v>1066</v>
      </c>
    </row>
    <row r="301" spans="1:12" x14ac:dyDescent="0.3">
      <c r="A301" s="95">
        <v>45996</v>
      </c>
      <c r="B301">
        <v>2077</v>
      </c>
      <c r="C301" s="123" t="s">
        <v>185</v>
      </c>
      <c r="D301">
        <v>0</v>
      </c>
      <c r="E301">
        <v>0.28000000000000003</v>
      </c>
      <c r="F301">
        <v>0</v>
      </c>
      <c r="G301">
        <v>1</v>
      </c>
      <c r="H301">
        <v>0</v>
      </c>
      <c r="I301">
        <v>2</v>
      </c>
      <c r="J301">
        <v>30257</v>
      </c>
      <c r="K301" s="123" t="s">
        <v>611</v>
      </c>
      <c r="L301" s="123" t="s">
        <v>1063</v>
      </c>
    </row>
    <row r="302" spans="1:12" x14ac:dyDescent="0.3">
      <c r="A302" s="95">
        <v>45996</v>
      </c>
      <c r="B302">
        <v>1819</v>
      </c>
      <c r="C302" s="123" t="s">
        <v>801</v>
      </c>
      <c r="D302">
        <v>-25138.63</v>
      </c>
      <c r="E302">
        <v>-25138.63</v>
      </c>
      <c r="F302">
        <v>-25138.63</v>
      </c>
      <c r="G302">
        <v>0</v>
      </c>
      <c r="I302">
        <v>0</v>
      </c>
      <c r="J302">
        <v>3798</v>
      </c>
      <c r="K302" s="123" t="s">
        <v>1058</v>
      </c>
      <c r="L302" s="123" t="s">
        <v>1059</v>
      </c>
    </row>
    <row r="303" spans="1:12" x14ac:dyDescent="0.3">
      <c r="A303" s="95">
        <v>45996</v>
      </c>
      <c r="B303">
        <v>4195</v>
      </c>
      <c r="C303" s="123" t="s">
        <v>185</v>
      </c>
      <c r="D303">
        <v>6.0000000000000001E-3</v>
      </c>
      <c r="E303">
        <v>9.26</v>
      </c>
      <c r="F303">
        <v>6.0000000000000001E-3</v>
      </c>
      <c r="G303">
        <v>1</v>
      </c>
      <c r="H303">
        <v>0</v>
      </c>
      <c r="I303">
        <v>270</v>
      </c>
      <c r="J303">
        <v>32828</v>
      </c>
      <c r="K303" s="123" t="s">
        <v>605</v>
      </c>
      <c r="L303" s="123" t="s">
        <v>1126</v>
      </c>
    </row>
    <row r="304" spans="1:12" x14ac:dyDescent="0.3">
      <c r="A304" s="95">
        <v>45996</v>
      </c>
      <c r="B304">
        <v>14776</v>
      </c>
      <c r="C304" s="123" t="s">
        <v>185</v>
      </c>
      <c r="D304">
        <v>0</v>
      </c>
      <c r="E304">
        <v>0.13</v>
      </c>
      <c r="F304">
        <v>0</v>
      </c>
      <c r="G304">
        <v>1</v>
      </c>
      <c r="H304">
        <v>0</v>
      </c>
      <c r="I304">
        <v>4</v>
      </c>
      <c r="J304">
        <v>37012</v>
      </c>
      <c r="K304" s="123" t="s">
        <v>1136</v>
      </c>
      <c r="L304" s="123" t="s">
        <v>1137</v>
      </c>
    </row>
    <row r="305" spans="1:12" x14ac:dyDescent="0.3">
      <c r="A305" s="95">
        <v>45996</v>
      </c>
      <c r="B305">
        <v>4259</v>
      </c>
      <c r="C305" s="123" t="s">
        <v>185</v>
      </c>
      <c r="D305">
        <v>-1.2999999999999999E-2</v>
      </c>
      <c r="E305">
        <v>-18.239999999999998</v>
      </c>
      <c r="F305">
        <v>-1.2999999999999999E-2</v>
      </c>
      <c r="G305">
        <v>0</v>
      </c>
      <c r="H305">
        <v>18</v>
      </c>
      <c r="I305">
        <v>0</v>
      </c>
      <c r="J305">
        <v>19330</v>
      </c>
      <c r="K305" s="123" t="s">
        <v>293</v>
      </c>
      <c r="L305" s="123" t="s">
        <v>1166</v>
      </c>
    </row>
    <row r="306" spans="1:12" x14ac:dyDescent="0.3">
      <c r="A306" s="95">
        <v>45996</v>
      </c>
      <c r="B306">
        <v>3456</v>
      </c>
      <c r="C306" s="123" t="s">
        <v>185</v>
      </c>
      <c r="D306">
        <v>-7.8E-2</v>
      </c>
      <c r="E306">
        <v>-110.77</v>
      </c>
      <c r="F306">
        <v>-7.6999999999999999E-2</v>
      </c>
      <c r="G306">
        <v>0</v>
      </c>
      <c r="H306">
        <v>683</v>
      </c>
      <c r="I306">
        <v>0</v>
      </c>
      <c r="J306">
        <v>31910</v>
      </c>
      <c r="K306" s="123" t="s">
        <v>473</v>
      </c>
      <c r="L306" s="123" t="s">
        <v>1257</v>
      </c>
    </row>
    <row r="307" spans="1:12" x14ac:dyDescent="0.3">
      <c r="A307" s="95">
        <v>45996</v>
      </c>
      <c r="B307">
        <v>2153</v>
      </c>
      <c r="C307" s="123" t="s">
        <v>185</v>
      </c>
      <c r="D307">
        <v>27.05</v>
      </c>
      <c r="E307">
        <v>38573.760000000002</v>
      </c>
      <c r="F307">
        <v>26.881</v>
      </c>
      <c r="G307">
        <v>1</v>
      </c>
      <c r="H307">
        <v>0</v>
      </c>
      <c r="I307">
        <v>18</v>
      </c>
      <c r="J307">
        <v>30090</v>
      </c>
      <c r="K307" s="123" t="s">
        <v>619</v>
      </c>
      <c r="L307" s="123" t="s">
        <v>1068</v>
      </c>
    </row>
    <row r="308" spans="1:12" x14ac:dyDescent="0.3">
      <c r="A308" s="95">
        <v>45996</v>
      </c>
      <c r="B308">
        <v>3479</v>
      </c>
      <c r="C308" s="123" t="s">
        <v>950</v>
      </c>
      <c r="D308">
        <v>-0.42</v>
      </c>
      <c r="E308">
        <v>-0.42</v>
      </c>
      <c r="F308">
        <v>-0.42</v>
      </c>
      <c r="G308">
        <v>0</v>
      </c>
      <c r="H308">
        <v>5</v>
      </c>
      <c r="I308">
        <v>0</v>
      </c>
      <c r="J308">
        <v>31936</v>
      </c>
      <c r="K308" s="123" t="s">
        <v>456</v>
      </c>
      <c r="L308" s="123" t="s">
        <v>1119</v>
      </c>
    </row>
    <row r="309" spans="1:12" x14ac:dyDescent="0.3">
      <c r="A309" s="95">
        <v>45996</v>
      </c>
      <c r="B309">
        <v>2133</v>
      </c>
      <c r="C309" s="123" t="s">
        <v>801</v>
      </c>
      <c r="D309">
        <v>3000</v>
      </c>
      <c r="E309">
        <v>3000</v>
      </c>
      <c r="F309">
        <v>3000</v>
      </c>
      <c r="G309">
        <v>1</v>
      </c>
      <c r="H309">
        <v>0</v>
      </c>
      <c r="I309">
        <v>19</v>
      </c>
      <c r="J309">
        <v>30043</v>
      </c>
      <c r="K309" s="123" t="s">
        <v>196</v>
      </c>
      <c r="L309" s="123" t="s">
        <v>1185</v>
      </c>
    </row>
    <row r="310" spans="1:12" x14ac:dyDescent="0.3">
      <c r="A310" s="95">
        <v>45996</v>
      </c>
      <c r="B310">
        <v>1352</v>
      </c>
      <c r="C310" s="123" t="s">
        <v>950</v>
      </c>
      <c r="D310">
        <v>0.25</v>
      </c>
      <c r="E310">
        <v>0.25</v>
      </c>
      <c r="F310">
        <v>0.25</v>
      </c>
      <c r="G310">
        <v>1</v>
      </c>
      <c r="H310">
        <v>0</v>
      </c>
      <c r="I310">
        <v>425</v>
      </c>
      <c r="J310">
        <v>19501</v>
      </c>
      <c r="K310" s="123" t="s">
        <v>192</v>
      </c>
      <c r="L310" s="123" t="s">
        <v>1129</v>
      </c>
    </row>
    <row r="311" spans="1:12" x14ac:dyDescent="0.3">
      <c r="A311" s="95">
        <v>45996</v>
      </c>
      <c r="B311">
        <v>5235</v>
      </c>
      <c r="C311" s="123" t="s">
        <v>188</v>
      </c>
      <c r="D311">
        <v>359.96</v>
      </c>
      <c r="E311">
        <v>359.96</v>
      </c>
      <c r="F311">
        <v>359.96</v>
      </c>
      <c r="G311">
        <v>1</v>
      </c>
      <c r="H311">
        <v>0</v>
      </c>
      <c r="I311">
        <v>578</v>
      </c>
      <c r="J311">
        <v>33099</v>
      </c>
      <c r="K311" s="123" t="s">
        <v>346</v>
      </c>
      <c r="L311" s="123" t="s">
        <v>1118</v>
      </c>
    </row>
    <row r="312" spans="1:12" x14ac:dyDescent="0.3">
      <c r="A312" s="95">
        <v>45996</v>
      </c>
      <c r="B312">
        <v>2369</v>
      </c>
      <c r="C312" s="123" t="s">
        <v>185</v>
      </c>
      <c r="D312">
        <v>-3.0790000000000002</v>
      </c>
      <c r="E312">
        <v>-4391.26</v>
      </c>
      <c r="F312">
        <v>-3.06</v>
      </c>
      <c r="G312">
        <v>0</v>
      </c>
      <c r="H312">
        <v>387</v>
      </c>
      <c r="I312">
        <v>0</v>
      </c>
      <c r="J312">
        <v>30511</v>
      </c>
      <c r="K312" s="123" t="s">
        <v>575</v>
      </c>
      <c r="L312" s="123" t="s">
        <v>1311</v>
      </c>
    </row>
    <row r="313" spans="1:12" x14ac:dyDescent="0.3">
      <c r="A313" s="95">
        <v>45996</v>
      </c>
      <c r="B313">
        <v>1343</v>
      </c>
      <c r="C313" s="123" t="s">
        <v>801</v>
      </c>
      <c r="D313">
        <v>-0.01</v>
      </c>
      <c r="E313">
        <v>-0.01</v>
      </c>
      <c r="F313">
        <v>-0.01</v>
      </c>
      <c r="G313">
        <v>0</v>
      </c>
      <c r="H313">
        <v>520</v>
      </c>
      <c r="I313">
        <v>0</v>
      </c>
      <c r="J313">
        <v>17661</v>
      </c>
      <c r="K313" s="123" t="s">
        <v>255</v>
      </c>
      <c r="L313" s="123" t="s">
        <v>1132</v>
      </c>
    </row>
    <row r="314" spans="1:12" x14ac:dyDescent="0.3">
      <c r="A314" s="95">
        <v>45996</v>
      </c>
      <c r="B314">
        <v>5878</v>
      </c>
      <c r="C314" s="123" t="s">
        <v>185</v>
      </c>
      <c r="D314">
        <v>1.7270000000000001</v>
      </c>
      <c r="E314">
        <v>2463.3000000000002</v>
      </c>
      <c r="F314">
        <v>1.7170000000000001</v>
      </c>
      <c r="G314">
        <v>1</v>
      </c>
      <c r="H314">
        <v>0</v>
      </c>
      <c r="I314">
        <v>790</v>
      </c>
      <c r="J314">
        <v>33471</v>
      </c>
      <c r="K314" s="123" t="s">
        <v>549</v>
      </c>
      <c r="L314" s="123" t="s">
        <v>1274</v>
      </c>
    </row>
    <row r="315" spans="1:12" x14ac:dyDescent="0.3">
      <c r="A315" s="95">
        <v>45996</v>
      </c>
      <c r="B315">
        <v>1628</v>
      </c>
      <c r="C315" s="123" t="s">
        <v>185</v>
      </c>
      <c r="D315">
        <v>0</v>
      </c>
      <c r="E315">
        <v>0</v>
      </c>
      <c r="F315">
        <v>0</v>
      </c>
      <c r="G315">
        <v>0</v>
      </c>
      <c r="H315">
        <v>25</v>
      </c>
      <c r="I315">
        <v>0</v>
      </c>
      <c r="J315">
        <v>20351</v>
      </c>
      <c r="K315" s="123" t="s">
        <v>1163</v>
      </c>
      <c r="L315" s="123" t="s">
        <v>1164</v>
      </c>
    </row>
    <row r="316" spans="1:12" x14ac:dyDescent="0.3">
      <c r="A316" s="95">
        <v>45996</v>
      </c>
      <c r="B316">
        <v>4241</v>
      </c>
      <c r="C316" s="123" t="s">
        <v>188</v>
      </c>
      <c r="D316">
        <v>2392.9299999999998</v>
      </c>
      <c r="E316">
        <v>2392.9299999999998</v>
      </c>
      <c r="F316">
        <v>2392.9299999999998</v>
      </c>
      <c r="G316">
        <v>1</v>
      </c>
      <c r="H316">
        <v>0</v>
      </c>
      <c r="I316">
        <v>790</v>
      </c>
      <c r="J316">
        <v>32893</v>
      </c>
      <c r="K316" s="123" t="s">
        <v>125</v>
      </c>
      <c r="L316" s="123" t="s">
        <v>1158</v>
      </c>
    </row>
    <row r="317" spans="1:12" x14ac:dyDescent="0.3">
      <c r="A317" s="95">
        <v>45996</v>
      </c>
      <c r="B317">
        <v>1277</v>
      </c>
      <c r="C317" s="123" t="s">
        <v>188</v>
      </c>
      <c r="D317">
        <v>0.3</v>
      </c>
      <c r="E317">
        <v>0.3</v>
      </c>
      <c r="F317">
        <v>0.3</v>
      </c>
      <c r="G317">
        <v>1</v>
      </c>
      <c r="H317">
        <v>0</v>
      </c>
      <c r="J317">
        <v>19100</v>
      </c>
      <c r="K317" s="123" t="s">
        <v>254</v>
      </c>
      <c r="L317" s="123" t="s">
        <v>1240</v>
      </c>
    </row>
    <row r="318" spans="1:12" x14ac:dyDescent="0.3">
      <c r="A318" s="95">
        <v>45996</v>
      </c>
      <c r="B318">
        <v>606</v>
      </c>
      <c r="C318" s="123" t="s">
        <v>950</v>
      </c>
      <c r="D318">
        <v>1898.06</v>
      </c>
      <c r="E318">
        <v>1898.06</v>
      </c>
      <c r="F318">
        <v>1898.06</v>
      </c>
      <c r="G318">
        <v>1</v>
      </c>
      <c r="H318">
        <v>0</v>
      </c>
      <c r="I318">
        <v>672</v>
      </c>
      <c r="J318">
        <v>2093</v>
      </c>
      <c r="K318" s="123" t="s">
        <v>365</v>
      </c>
      <c r="L318" s="123" t="s">
        <v>1206</v>
      </c>
    </row>
    <row r="319" spans="1:12" x14ac:dyDescent="0.3">
      <c r="A319" s="95">
        <v>45996</v>
      </c>
      <c r="B319">
        <v>4171</v>
      </c>
      <c r="C319" s="123" t="s">
        <v>188</v>
      </c>
      <c r="D319">
        <v>-0.02</v>
      </c>
      <c r="E319">
        <v>-0.02</v>
      </c>
      <c r="F319">
        <v>-0.02</v>
      </c>
      <c r="G319">
        <v>0</v>
      </c>
      <c r="H319">
        <v>328</v>
      </c>
      <c r="I319">
        <v>0</v>
      </c>
      <c r="J319">
        <v>32799</v>
      </c>
      <c r="K319" s="123" t="s">
        <v>262</v>
      </c>
      <c r="L319" s="123" t="s">
        <v>1288</v>
      </c>
    </row>
    <row r="320" spans="1:12" x14ac:dyDescent="0.3">
      <c r="A320" s="95">
        <v>45996</v>
      </c>
      <c r="B320">
        <v>10061</v>
      </c>
      <c r="C320" s="123" t="s">
        <v>950</v>
      </c>
      <c r="D320">
        <v>8.8800000000000008</v>
      </c>
      <c r="E320">
        <v>8.8800000000000008</v>
      </c>
      <c r="F320">
        <v>8.8800000000000008</v>
      </c>
      <c r="G320">
        <v>1</v>
      </c>
      <c r="H320">
        <v>0</v>
      </c>
      <c r="I320">
        <v>49</v>
      </c>
      <c r="J320">
        <v>35528</v>
      </c>
      <c r="K320" s="123" t="s">
        <v>616</v>
      </c>
      <c r="L320" s="123" t="s">
        <v>1237</v>
      </c>
    </row>
    <row r="321" spans="1:12" x14ac:dyDescent="0.3">
      <c r="A321" s="95">
        <v>45996</v>
      </c>
      <c r="B321">
        <v>1566</v>
      </c>
      <c r="C321" s="123" t="s">
        <v>188</v>
      </c>
      <c r="D321">
        <v>17.95</v>
      </c>
      <c r="E321">
        <v>17.95</v>
      </c>
      <c r="F321">
        <v>17.95</v>
      </c>
      <c r="G321">
        <v>1</v>
      </c>
      <c r="H321">
        <v>0</v>
      </c>
      <c r="I321">
        <v>790</v>
      </c>
      <c r="J321">
        <v>20248</v>
      </c>
      <c r="K321" s="123" t="s">
        <v>1249</v>
      </c>
      <c r="L321" s="123" t="s">
        <v>1250</v>
      </c>
    </row>
    <row r="322" spans="1:12" x14ac:dyDescent="0.3">
      <c r="A322" s="95">
        <v>45996</v>
      </c>
      <c r="B322">
        <v>7231</v>
      </c>
      <c r="C322" s="123" t="s">
        <v>185</v>
      </c>
      <c r="D322">
        <v>8.4640000000000004</v>
      </c>
      <c r="E322">
        <v>12069.81</v>
      </c>
      <c r="F322">
        <v>8.4109999999999996</v>
      </c>
      <c r="G322">
        <v>1</v>
      </c>
      <c r="H322">
        <v>0</v>
      </c>
      <c r="I322">
        <v>445</v>
      </c>
      <c r="J322">
        <v>34881</v>
      </c>
      <c r="K322" s="123" t="s">
        <v>394</v>
      </c>
      <c r="L322" s="123" t="s">
        <v>1275</v>
      </c>
    </row>
    <row r="323" spans="1:12" x14ac:dyDescent="0.3">
      <c r="A323" s="95">
        <v>45996</v>
      </c>
      <c r="B323">
        <v>2027</v>
      </c>
      <c r="C323" s="123" t="s">
        <v>185</v>
      </c>
      <c r="D323">
        <v>1.143</v>
      </c>
      <c r="E323">
        <v>1630.4</v>
      </c>
      <c r="F323">
        <v>1.1359999999999999</v>
      </c>
      <c r="G323">
        <v>1</v>
      </c>
      <c r="H323">
        <v>0</v>
      </c>
      <c r="I323">
        <v>19</v>
      </c>
      <c r="J323">
        <v>20888</v>
      </c>
      <c r="K323" s="123" t="s">
        <v>358</v>
      </c>
      <c r="L323" s="123" t="s">
        <v>1268</v>
      </c>
    </row>
    <row r="324" spans="1:12" x14ac:dyDescent="0.3">
      <c r="A324" s="95">
        <v>45996</v>
      </c>
      <c r="B324">
        <v>12999</v>
      </c>
      <c r="C324" s="123" t="s">
        <v>185</v>
      </c>
      <c r="D324">
        <v>0</v>
      </c>
      <c r="E324">
        <v>0.44</v>
      </c>
      <c r="F324">
        <v>0</v>
      </c>
      <c r="G324">
        <v>1</v>
      </c>
      <c r="H324">
        <v>0</v>
      </c>
      <c r="I324">
        <v>6</v>
      </c>
      <c r="J324">
        <v>36209</v>
      </c>
      <c r="K324" s="123" t="s">
        <v>586</v>
      </c>
      <c r="L324" s="123" t="s">
        <v>1421</v>
      </c>
    </row>
    <row r="325" spans="1:12" x14ac:dyDescent="0.3">
      <c r="A325" s="95">
        <v>45996</v>
      </c>
      <c r="B325">
        <v>9952</v>
      </c>
      <c r="C325" s="123" t="s">
        <v>185</v>
      </c>
      <c r="D325">
        <v>1.228</v>
      </c>
      <c r="E325">
        <v>1751.56</v>
      </c>
      <c r="F325">
        <v>1.2210000000000001</v>
      </c>
      <c r="G325">
        <v>1</v>
      </c>
      <c r="H325">
        <v>0</v>
      </c>
      <c r="I325">
        <v>781</v>
      </c>
      <c r="J325">
        <v>35451</v>
      </c>
      <c r="K325" s="123" t="s">
        <v>477</v>
      </c>
      <c r="L325" s="123" t="s">
        <v>1435</v>
      </c>
    </row>
    <row r="326" spans="1:12" x14ac:dyDescent="0.3">
      <c r="A326" s="95">
        <v>45996</v>
      </c>
      <c r="B326">
        <v>1853</v>
      </c>
      <c r="C326" s="123" t="s">
        <v>801</v>
      </c>
      <c r="D326">
        <v>-72660</v>
      </c>
      <c r="E326">
        <v>-72660</v>
      </c>
      <c r="F326">
        <v>-72660</v>
      </c>
      <c r="G326">
        <v>0</v>
      </c>
      <c r="H326">
        <v>101</v>
      </c>
      <c r="I326">
        <v>0</v>
      </c>
      <c r="J326">
        <v>19392</v>
      </c>
      <c r="K326" s="123" t="s">
        <v>1309</v>
      </c>
      <c r="L326" s="123" t="s">
        <v>1310</v>
      </c>
    </row>
    <row r="327" spans="1:12" x14ac:dyDescent="0.3">
      <c r="A327" s="95">
        <v>45996</v>
      </c>
      <c r="B327">
        <v>3661</v>
      </c>
      <c r="C327" s="123" t="s">
        <v>950</v>
      </c>
      <c r="D327">
        <v>9.86</v>
      </c>
      <c r="E327">
        <v>9.86</v>
      </c>
      <c r="F327">
        <v>9.86</v>
      </c>
      <c r="G327">
        <v>1</v>
      </c>
      <c r="H327">
        <v>0</v>
      </c>
      <c r="I327">
        <v>631</v>
      </c>
      <c r="J327">
        <v>32155</v>
      </c>
      <c r="K327" s="123" t="s">
        <v>1313</v>
      </c>
      <c r="L327" s="123" t="s">
        <v>1314</v>
      </c>
    </row>
    <row r="328" spans="1:12" x14ac:dyDescent="0.3">
      <c r="A328" s="95">
        <v>45996</v>
      </c>
      <c r="B328">
        <v>6921</v>
      </c>
      <c r="C328" s="123" t="s">
        <v>185</v>
      </c>
      <c r="D328">
        <v>-138.53899999999999</v>
      </c>
      <c r="E328">
        <v>-197556.33</v>
      </c>
      <c r="F328">
        <v>-137.66999999999999</v>
      </c>
      <c r="G328">
        <v>0</v>
      </c>
      <c r="H328">
        <v>572</v>
      </c>
      <c r="I328">
        <v>0</v>
      </c>
      <c r="J328">
        <v>34623</v>
      </c>
      <c r="K328" s="123" t="s">
        <v>1364</v>
      </c>
      <c r="L328" s="123" t="s">
        <v>1365</v>
      </c>
    </row>
    <row r="329" spans="1:12" x14ac:dyDescent="0.3">
      <c r="A329" s="95">
        <v>45996</v>
      </c>
      <c r="B329">
        <v>2109</v>
      </c>
      <c r="C329" s="123" t="s">
        <v>801</v>
      </c>
      <c r="D329">
        <v>-0.01</v>
      </c>
      <c r="E329">
        <v>-0.01</v>
      </c>
      <c r="F329">
        <v>-0.01</v>
      </c>
      <c r="G329">
        <v>0</v>
      </c>
      <c r="H329">
        <v>17</v>
      </c>
      <c r="I329">
        <v>0</v>
      </c>
      <c r="J329">
        <v>20716</v>
      </c>
      <c r="K329" s="123" t="s">
        <v>323</v>
      </c>
      <c r="L329" s="123" t="s">
        <v>1388</v>
      </c>
    </row>
    <row r="330" spans="1:12" x14ac:dyDescent="0.3">
      <c r="A330" s="95">
        <v>45996</v>
      </c>
      <c r="B330">
        <v>2346</v>
      </c>
      <c r="C330" s="123" t="s">
        <v>801</v>
      </c>
      <c r="D330">
        <v>0</v>
      </c>
      <c r="E330">
        <v>0</v>
      </c>
      <c r="F330">
        <v>0</v>
      </c>
      <c r="G330">
        <v>0</v>
      </c>
      <c r="H330">
        <v>8</v>
      </c>
      <c r="I330">
        <v>0</v>
      </c>
      <c r="J330">
        <v>30471</v>
      </c>
      <c r="K330" s="123" t="s">
        <v>469</v>
      </c>
      <c r="L330" s="123" t="s">
        <v>1316</v>
      </c>
    </row>
    <row r="331" spans="1:12" x14ac:dyDescent="0.3">
      <c r="A331" s="95">
        <v>45996</v>
      </c>
      <c r="B331">
        <v>6999</v>
      </c>
      <c r="C331" s="123" t="s">
        <v>950</v>
      </c>
      <c r="D331">
        <v>-3.23</v>
      </c>
      <c r="E331">
        <v>-3.23</v>
      </c>
      <c r="F331">
        <v>-3.23</v>
      </c>
      <c r="G331">
        <v>0</v>
      </c>
      <c r="H331">
        <v>98</v>
      </c>
      <c r="I331">
        <v>0</v>
      </c>
      <c r="J331">
        <v>34695</v>
      </c>
      <c r="K331" s="123" t="s">
        <v>325</v>
      </c>
      <c r="L331" s="123" t="s">
        <v>1267</v>
      </c>
    </row>
    <row r="332" spans="1:12" x14ac:dyDescent="0.3">
      <c r="A332" s="95">
        <v>45996</v>
      </c>
      <c r="B332">
        <v>12993</v>
      </c>
      <c r="C332" s="123" t="s">
        <v>950</v>
      </c>
      <c r="D332">
        <v>92.2</v>
      </c>
      <c r="E332">
        <v>92.2</v>
      </c>
      <c r="F332">
        <v>92.2</v>
      </c>
      <c r="G332">
        <v>1</v>
      </c>
      <c r="H332">
        <v>0</v>
      </c>
      <c r="I332">
        <v>294</v>
      </c>
      <c r="J332">
        <v>36201</v>
      </c>
      <c r="K332" s="123" t="s">
        <v>617</v>
      </c>
      <c r="L332" s="123" t="s">
        <v>1515</v>
      </c>
    </row>
    <row r="333" spans="1:12" x14ac:dyDescent="0.3">
      <c r="A333" s="95">
        <v>45996</v>
      </c>
      <c r="B333">
        <v>5868</v>
      </c>
      <c r="C333" s="123" t="s">
        <v>188</v>
      </c>
      <c r="D333">
        <v>20.23</v>
      </c>
      <c r="E333">
        <v>20.23</v>
      </c>
      <c r="F333">
        <v>20.23</v>
      </c>
      <c r="G333">
        <v>1</v>
      </c>
      <c r="H333">
        <v>0</v>
      </c>
      <c r="I333">
        <v>147</v>
      </c>
      <c r="J333">
        <v>33580</v>
      </c>
      <c r="K333" s="123" t="s">
        <v>348</v>
      </c>
      <c r="L333" s="123" t="s">
        <v>1277</v>
      </c>
    </row>
    <row r="334" spans="1:12" x14ac:dyDescent="0.3">
      <c r="A334" s="95">
        <v>45996</v>
      </c>
      <c r="B334">
        <v>5875</v>
      </c>
      <c r="C334" s="123" t="s">
        <v>950</v>
      </c>
      <c r="D334">
        <v>4835.66</v>
      </c>
      <c r="E334">
        <v>4835.66</v>
      </c>
      <c r="F334">
        <v>4835.66</v>
      </c>
      <c r="G334">
        <v>1</v>
      </c>
      <c r="H334">
        <v>0</v>
      </c>
      <c r="I334">
        <v>9</v>
      </c>
      <c r="J334">
        <v>33579</v>
      </c>
      <c r="K334" s="123" t="s">
        <v>344</v>
      </c>
      <c r="L334" s="123" t="s">
        <v>1395</v>
      </c>
    </row>
    <row r="335" spans="1:12" x14ac:dyDescent="0.3">
      <c r="A335" s="95">
        <v>45996</v>
      </c>
      <c r="B335">
        <v>765</v>
      </c>
      <c r="C335" s="123" t="s">
        <v>185</v>
      </c>
      <c r="D335">
        <v>1E-3</v>
      </c>
      <c r="E335">
        <v>1.91</v>
      </c>
      <c r="F335">
        <v>1E-3</v>
      </c>
      <c r="G335">
        <v>1</v>
      </c>
      <c r="H335">
        <v>0</v>
      </c>
      <c r="I335">
        <v>3</v>
      </c>
      <c r="J335">
        <v>10023</v>
      </c>
      <c r="K335" s="123" t="s">
        <v>939</v>
      </c>
      <c r="L335" s="123" t="s">
        <v>940</v>
      </c>
    </row>
    <row r="336" spans="1:12" x14ac:dyDescent="0.3">
      <c r="A336" s="95">
        <v>45996</v>
      </c>
      <c r="B336">
        <v>1632</v>
      </c>
      <c r="C336" s="123" t="s">
        <v>185</v>
      </c>
      <c r="D336">
        <v>-14.276999999999999</v>
      </c>
      <c r="E336">
        <v>-20359.04</v>
      </c>
      <c r="F336">
        <v>-14.186999999999999</v>
      </c>
      <c r="G336">
        <v>0</v>
      </c>
      <c r="H336">
        <v>401</v>
      </c>
      <c r="I336">
        <v>0</v>
      </c>
      <c r="J336">
        <v>20362</v>
      </c>
      <c r="K336" s="123" t="s">
        <v>350</v>
      </c>
      <c r="L336" s="123" t="s">
        <v>982</v>
      </c>
    </row>
    <row r="337" spans="1:12" x14ac:dyDescent="0.3">
      <c r="A337" s="95">
        <v>45996</v>
      </c>
      <c r="B337">
        <v>1879</v>
      </c>
      <c r="C337" s="123" t="s">
        <v>950</v>
      </c>
      <c r="D337">
        <v>-0.01</v>
      </c>
      <c r="E337">
        <v>-0.01</v>
      </c>
      <c r="F337">
        <v>-0.01</v>
      </c>
      <c r="G337">
        <v>0</v>
      </c>
      <c r="H337">
        <v>679</v>
      </c>
      <c r="I337">
        <v>0</v>
      </c>
      <c r="J337">
        <v>20694</v>
      </c>
      <c r="K337" s="123" t="s">
        <v>994</v>
      </c>
      <c r="L337" s="123" t="s">
        <v>995</v>
      </c>
    </row>
    <row r="338" spans="1:12" x14ac:dyDescent="0.3">
      <c r="A338" s="95">
        <v>45996</v>
      </c>
      <c r="B338">
        <v>12923</v>
      </c>
      <c r="C338" s="123" t="s">
        <v>188</v>
      </c>
      <c r="D338">
        <v>122243.85</v>
      </c>
      <c r="E338">
        <v>122243.85</v>
      </c>
      <c r="F338">
        <v>122243.85</v>
      </c>
      <c r="G338">
        <v>1</v>
      </c>
      <c r="H338">
        <v>0</v>
      </c>
      <c r="I338">
        <v>25</v>
      </c>
      <c r="J338">
        <v>36141</v>
      </c>
      <c r="K338" s="123" t="s">
        <v>694</v>
      </c>
      <c r="L338" s="123" t="s">
        <v>966</v>
      </c>
    </row>
    <row r="339" spans="1:12" x14ac:dyDescent="0.3">
      <c r="A339" s="95">
        <v>45996</v>
      </c>
      <c r="B339">
        <v>1076</v>
      </c>
      <c r="C339" s="123" t="s">
        <v>188</v>
      </c>
      <c r="D339">
        <v>5682.4</v>
      </c>
      <c r="E339">
        <v>5682.4</v>
      </c>
      <c r="F339">
        <v>5682.4</v>
      </c>
      <c r="G339">
        <v>1</v>
      </c>
      <c r="H339">
        <v>0</v>
      </c>
      <c r="I339">
        <v>790</v>
      </c>
      <c r="J339">
        <v>18780</v>
      </c>
      <c r="K339" s="123" t="s">
        <v>120</v>
      </c>
      <c r="L339" s="123" t="s">
        <v>983</v>
      </c>
    </row>
    <row r="340" spans="1:12" x14ac:dyDescent="0.3">
      <c r="A340" s="95">
        <v>45996</v>
      </c>
      <c r="B340">
        <v>1523</v>
      </c>
      <c r="C340" s="123" t="s">
        <v>801</v>
      </c>
      <c r="D340">
        <v>-6</v>
      </c>
      <c r="E340">
        <v>-6</v>
      </c>
      <c r="F340">
        <v>-6</v>
      </c>
      <c r="G340">
        <v>0</v>
      </c>
      <c r="I340">
        <v>0</v>
      </c>
      <c r="J340">
        <v>20093</v>
      </c>
      <c r="K340" s="123" t="s">
        <v>987</v>
      </c>
      <c r="L340" s="123" t="s">
        <v>988</v>
      </c>
    </row>
    <row r="341" spans="1:12" x14ac:dyDescent="0.3">
      <c r="A341" s="95">
        <v>45996</v>
      </c>
      <c r="B341">
        <v>12937</v>
      </c>
      <c r="C341" s="123" t="s">
        <v>950</v>
      </c>
      <c r="D341">
        <v>646.83000000000004</v>
      </c>
      <c r="E341">
        <v>646.83000000000004</v>
      </c>
      <c r="F341">
        <v>646.83000000000004</v>
      </c>
      <c r="G341">
        <v>1</v>
      </c>
      <c r="H341">
        <v>0</v>
      </c>
      <c r="I341">
        <v>471</v>
      </c>
      <c r="J341">
        <v>36152</v>
      </c>
      <c r="K341" s="123" t="s">
        <v>624</v>
      </c>
      <c r="L341" s="123" t="s">
        <v>1006</v>
      </c>
    </row>
    <row r="342" spans="1:12" x14ac:dyDescent="0.3">
      <c r="A342" s="95">
        <v>45996</v>
      </c>
      <c r="B342">
        <v>8985</v>
      </c>
      <c r="C342" s="123" t="s">
        <v>185</v>
      </c>
      <c r="D342">
        <v>0</v>
      </c>
      <c r="E342">
        <v>0.45</v>
      </c>
      <c r="F342">
        <v>0</v>
      </c>
      <c r="G342">
        <v>1</v>
      </c>
      <c r="H342">
        <v>0</v>
      </c>
      <c r="I342">
        <v>4</v>
      </c>
      <c r="J342">
        <v>35359</v>
      </c>
      <c r="K342" s="123" t="s">
        <v>208</v>
      </c>
      <c r="L342" s="123" t="s">
        <v>997</v>
      </c>
    </row>
    <row r="343" spans="1:12" x14ac:dyDescent="0.3">
      <c r="A343" s="95">
        <v>45996</v>
      </c>
      <c r="B343">
        <v>5866</v>
      </c>
      <c r="C343" s="123" t="s">
        <v>950</v>
      </c>
      <c r="D343">
        <v>0.66</v>
      </c>
      <c r="E343">
        <v>0.66</v>
      </c>
      <c r="F343">
        <v>0.66</v>
      </c>
      <c r="G343">
        <v>1</v>
      </c>
      <c r="H343">
        <v>0</v>
      </c>
      <c r="I343">
        <v>790</v>
      </c>
      <c r="J343">
        <v>33662</v>
      </c>
      <c r="K343" s="123" t="s">
        <v>124</v>
      </c>
      <c r="L343" s="123" t="s">
        <v>1028</v>
      </c>
    </row>
    <row r="344" spans="1:12" x14ac:dyDescent="0.3">
      <c r="A344" s="95">
        <v>45996</v>
      </c>
      <c r="B344">
        <v>1105</v>
      </c>
      <c r="C344" s="123" t="s">
        <v>185</v>
      </c>
      <c r="D344">
        <v>0</v>
      </c>
      <c r="E344">
        <v>0</v>
      </c>
      <c r="F344">
        <v>0</v>
      </c>
      <c r="G344">
        <v>0</v>
      </c>
      <c r="H344">
        <v>3</v>
      </c>
      <c r="I344">
        <v>0</v>
      </c>
      <c r="J344">
        <v>18797</v>
      </c>
      <c r="K344" s="123" t="s">
        <v>298</v>
      </c>
      <c r="L344" s="123" t="s">
        <v>1062</v>
      </c>
    </row>
    <row r="345" spans="1:12" x14ac:dyDescent="0.3">
      <c r="A345" s="95">
        <v>45996</v>
      </c>
      <c r="B345">
        <v>4262</v>
      </c>
      <c r="C345" s="123" t="s">
        <v>185</v>
      </c>
      <c r="D345">
        <v>1.7270000000000001</v>
      </c>
      <c r="E345">
        <v>2462.54</v>
      </c>
      <c r="F345">
        <v>1.716</v>
      </c>
      <c r="G345">
        <v>1</v>
      </c>
      <c r="H345">
        <v>0</v>
      </c>
      <c r="I345">
        <v>642</v>
      </c>
      <c r="J345">
        <v>32448</v>
      </c>
      <c r="K345" s="123" t="s">
        <v>1161</v>
      </c>
      <c r="L345" s="123" t="s">
        <v>1162</v>
      </c>
    </row>
    <row r="346" spans="1:12" x14ac:dyDescent="0.3">
      <c r="A346" s="95">
        <v>45996</v>
      </c>
      <c r="B346">
        <v>6934</v>
      </c>
      <c r="C346" s="123" t="s">
        <v>185</v>
      </c>
      <c r="D346">
        <v>0</v>
      </c>
      <c r="E346">
        <v>0.01</v>
      </c>
      <c r="F346">
        <v>0</v>
      </c>
      <c r="G346">
        <v>1</v>
      </c>
      <c r="H346">
        <v>0</v>
      </c>
      <c r="I346">
        <v>727</v>
      </c>
      <c r="J346">
        <v>34636</v>
      </c>
      <c r="K346" s="123" t="s">
        <v>503</v>
      </c>
      <c r="L346" s="123" t="s">
        <v>1133</v>
      </c>
    </row>
    <row r="347" spans="1:12" x14ac:dyDescent="0.3">
      <c r="A347" s="95">
        <v>45996</v>
      </c>
      <c r="B347">
        <v>1819</v>
      </c>
      <c r="C347" s="123" t="s">
        <v>185</v>
      </c>
      <c r="D347">
        <v>4.0000000000000001E-3</v>
      </c>
      <c r="E347">
        <v>5.98</v>
      </c>
      <c r="F347">
        <v>4.0000000000000001E-3</v>
      </c>
      <c r="G347">
        <v>1</v>
      </c>
      <c r="H347">
        <v>0</v>
      </c>
      <c r="I347">
        <v>4</v>
      </c>
      <c r="J347">
        <v>3798</v>
      </c>
      <c r="K347" s="123" t="s">
        <v>1058</v>
      </c>
      <c r="L347" s="123" t="s">
        <v>1059</v>
      </c>
    </row>
    <row r="348" spans="1:12" x14ac:dyDescent="0.3">
      <c r="A348" s="95">
        <v>45996</v>
      </c>
      <c r="B348">
        <v>12567</v>
      </c>
      <c r="C348" s="123" t="s">
        <v>185</v>
      </c>
      <c r="D348">
        <v>0.16</v>
      </c>
      <c r="E348">
        <v>228.23</v>
      </c>
      <c r="F348">
        <v>0.159</v>
      </c>
      <c r="G348">
        <v>1</v>
      </c>
      <c r="H348">
        <v>0</v>
      </c>
      <c r="I348">
        <v>639</v>
      </c>
      <c r="J348">
        <v>35830</v>
      </c>
      <c r="K348" s="123" t="s">
        <v>333</v>
      </c>
      <c r="L348" s="123" t="s">
        <v>1170</v>
      </c>
    </row>
    <row r="349" spans="1:12" x14ac:dyDescent="0.3">
      <c r="A349" s="95">
        <v>45996</v>
      </c>
      <c r="B349">
        <v>14776</v>
      </c>
      <c r="C349" s="123" t="s">
        <v>950</v>
      </c>
      <c r="D349">
        <v>47.17</v>
      </c>
      <c r="E349">
        <v>47.17</v>
      </c>
      <c r="F349">
        <v>47.17</v>
      </c>
      <c r="G349">
        <v>1</v>
      </c>
      <c r="H349">
        <v>0</v>
      </c>
      <c r="J349">
        <v>37012</v>
      </c>
      <c r="K349" s="123" t="s">
        <v>1136</v>
      </c>
      <c r="L349" s="123" t="s">
        <v>1137</v>
      </c>
    </row>
    <row r="350" spans="1:12" x14ac:dyDescent="0.3">
      <c r="A350" s="95">
        <v>45996</v>
      </c>
      <c r="B350">
        <v>4867</v>
      </c>
      <c r="C350" s="123" t="s">
        <v>185</v>
      </c>
      <c r="D350">
        <v>1.2490000000000001</v>
      </c>
      <c r="E350">
        <v>1780.96</v>
      </c>
      <c r="F350">
        <v>1.2410000000000001</v>
      </c>
      <c r="G350">
        <v>1</v>
      </c>
      <c r="H350">
        <v>0</v>
      </c>
      <c r="I350">
        <v>790</v>
      </c>
      <c r="J350">
        <v>33007</v>
      </c>
      <c r="K350" s="123" t="s">
        <v>256</v>
      </c>
      <c r="L350" s="123" t="s">
        <v>1099</v>
      </c>
    </row>
    <row r="351" spans="1:12" x14ac:dyDescent="0.3">
      <c r="A351" s="95">
        <v>45996</v>
      </c>
      <c r="B351">
        <v>10127</v>
      </c>
      <c r="C351" s="123" t="s">
        <v>185</v>
      </c>
      <c r="D351">
        <v>0.86899999999999999</v>
      </c>
      <c r="E351">
        <v>1239.33</v>
      </c>
      <c r="F351">
        <v>0.86399999999999999</v>
      </c>
      <c r="G351">
        <v>1</v>
      </c>
      <c r="H351">
        <v>0</v>
      </c>
      <c r="I351">
        <v>651</v>
      </c>
      <c r="J351">
        <v>35592</v>
      </c>
      <c r="K351" s="123" t="s">
        <v>526</v>
      </c>
      <c r="L351" s="123" t="s">
        <v>1208</v>
      </c>
    </row>
    <row r="352" spans="1:12" x14ac:dyDescent="0.3">
      <c r="A352" s="95">
        <v>45996</v>
      </c>
      <c r="B352">
        <v>3479</v>
      </c>
      <c r="C352" s="123" t="s">
        <v>188</v>
      </c>
      <c r="D352">
        <v>443.35</v>
      </c>
      <c r="E352">
        <v>443.35</v>
      </c>
      <c r="F352">
        <v>443.35</v>
      </c>
      <c r="G352">
        <v>1</v>
      </c>
      <c r="H352">
        <v>0</v>
      </c>
      <c r="I352">
        <v>291</v>
      </c>
      <c r="J352">
        <v>31936</v>
      </c>
      <c r="K352" s="123" t="s">
        <v>456</v>
      </c>
      <c r="L352" s="123" t="s">
        <v>1119</v>
      </c>
    </row>
    <row r="353" spans="1:12" x14ac:dyDescent="0.3">
      <c r="A353" s="95">
        <v>45996</v>
      </c>
      <c r="B353">
        <v>2133</v>
      </c>
      <c r="C353" s="123" t="s">
        <v>950</v>
      </c>
      <c r="D353">
        <v>76.2</v>
      </c>
      <c r="E353">
        <v>76.2</v>
      </c>
      <c r="F353">
        <v>76.2</v>
      </c>
      <c r="G353">
        <v>1</v>
      </c>
      <c r="H353">
        <v>0</v>
      </c>
      <c r="I353">
        <v>790</v>
      </c>
      <c r="J353">
        <v>30043</v>
      </c>
      <c r="K353" s="123" t="s">
        <v>196</v>
      </c>
      <c r="L353" s="123" t="s">
        <v>1185</v>
      </c>
    </row>
    <row r="354" spans="1:12" x14ac:dyDescent="0.3">
      <c r="A354" s="95">
        <v>45996</v>
      </c>
      <c r="B354">
        <v>1352</v>
      </c>
      <c r="C354" s="123" t="s">
        <v>185</v>
      </c>
      <c r="D354">
        <v>-1.5369999999999999</v>
      </c>
      <c r="E354">
        <v>-2191.58</v>
      </c>
      <c r="F354">
        <v>-1.5269999999999999</v>
      </c>
      <c r="G354">
        <v>0</v>
      </c>
      <c r="H354">
        <v>126</v>
      </c>
      <c r="I354">
        <v>0</v>
      </c>
      <c r="J354">
        <v>19501</v>
      </c>
      <c r="K354" s="123" t="s">
        <v>192</v>
      </c>
      <c r="L354" s="123" t="s">
        <v>1129</v>
      </c>
    </row>
    <row r="355" spans="1:12" x14ac:dyDescent="0.3">
      <c r="A355" s="95">
        <v>45996</v>
      </c>
      <c r="B355">
        <v>5235</v>
      </c>
      <c r="C355" s="123" t="s">
        <v>950</v>
      </c>
      <c r="D355">
        <v>-5</v>
      </c>
      <c r="E355">
        <v>-5</v>
      </c>
      <c r="F355">
        <v>-5</v>
      </c>
      <c r="G355">
        <v>0</v>
      </c>
      <c r="H355">
        <v>100</v>
      </c>
      <c r="I355">
        <v>0</v>
      </c>
      <c r="J355">
        <v>33099</v>
      </c>
      <c r="K355" s="123" t="s">
        <v>346</v>
      </c>
      <c r="L355" s="123" t="s">
        <v>1118</v>
      </c>
    </row>
    <row r="356" spans="1:12" x14ac:dyDescent="0.3">
      <c r="A356" s="95">
        <v>45996</v>
      </c>
      <c r="B356">
        <v>6418</v>
      </c>
      <c r="C356" s="123" t="s">
        <v>185</v>
      </c>
      <c r="D356">
        <v>34.457000000000001</v>
      </c>
      <c r="E356">
        <v>49135.18</v>
      </c>
      <c r="F356">
        <v>34.241</v>
      </c>
      <c r="G356">
        <v>1</v>
      </c>
      <c r="H356">
        <v>0</v>
      </c>
      <c r="I356">
        <v>21</v>
      </c>
      <c r="J356">
        <v>4368</v>
      </c>
      <c r="K356" s="123" t="s">
        <v>1168</v>
      </c>
      <c r="L356" s="123" t="s">
        <v>1169</v>
      </c>
    </row>
    <row r="357" spans="1:12" x14ac:dyDescent="0.3">
      <c r="A357" s="95">
        <v>45996</v>
      </c>
      <c r="B357">
        <v>3119</v>
      </c>
      <c r="C357" s="123" t="s">
        <v>950</v>
      </c>
      <c r="D357">
        <v>2905.66</v>
      </c>
      <c r="E357">
        <v>2905.66</v>
      </c>
      <c r="F357">
        <v>2905.66</v>
      </c>
      <c r="G357">
        <v>1</v>
      </c>
      <c r="H357">
        <v>0</v>
      </c>
      <c r="I357">
        <v>714</v>
      </c>
      <c r="J357">
        <v>31525</v>
      </c>
      <c r="K357" s="123" t="s">
        <v>432</v>
      </c>
      <c r="L357" s="123" t="s">
        <v>1145</v>
      </c>
    </row>
    <row r="358" spans="1:12" x14ac:dyDescent="0.3">
      <c r="A358" s="95">
        <v>45996</v>
      </c>
      <c r="B358">
        <v>5906</v>
      </c>
      <c r="C358" s="123" t="s">
        <v>188</v>
      </c>
      <c r="D358">
        <v>5126.7</v>
      </c>
      <c r="E358">
        <v>5126.7</v>
      </c>
      <c r="F358">
        <v>5126.7</v>
      </c>
      <c r="G358">
        <v>1</v>
      </c>
      <c r="H358">
        <v>0</v>
      </c>
      <c r="I358">
        <v>790</v>
      </c>
      <c r="J358">
        <v>34129</v>
      </c>
      <c r="K358" s="123" t="s">
        <v>127</v>
      </c>
      <c r="L358" s="123" t="s">
        <v>1263</v>
      </c>
    </row>
    <row r="359" spans="1:12" x14ac:dyDescent="0.3">
      <c r="A359" s="95">
        <v>45996</v>
      </c>
      <c r="B359">
        <v>2184</v>
      </c>
      <c r="C359" s="123" t="s">
        <v>185</v>
      </c>
      <c r="D359">
        <v>3.5649999999999999</v>
      </c>
      <c r="E359">
        <v>5083.6499999999996</v>
      </c>
      <c r="F359">
        <v>3.5430000000000001</v>
      </c>
      <c r="G359">
        <v>1</v>
      </c>
      <c r="H359">
        <v>0</v>
      </c>
      <c r="I359">
        <v>90</v>
      </c>
      <c r="J359">
        <v>30161</v>
      </c>
      <c r="K359" s="123" t="s">
        <v>434</v>
      </c>
      <c r="L359" s="123" t="s">
        <v>1325</v>
      </c>
    </row>
    <row r="360" spans="1:12" x14ac:dyDescent="0.3">
      <c r="A360" s="95">
        <v>45996</v>
      </c>
      <c r="B360">
        <v>4612</v>
      </c>
      <c r="C360" s="123" t="s">
        <v>185</v>
      </c>
      <c r="D360">
        <v>1.978</v>
      </c>
      <c r="E360">
        <v>2820.94</v>
      </c>
      <c r="F360">
        <v>1.966</v>
      </c>
      <c r="G360">
        <v>1</v>
      </c>
      <c r="H360">
        <v>0</v>
      </c>
      <c r="I360">
        <v>790</v>
      </c>
      <c r="J360">
        <v>18749</v>
      </c>
      <c r="K360" s="123" t="s">
        <v>625</v>
      </c>
      <c r="L360" s="123" t="s">
        <v>1380</v>
      </c>
    </row>
    <row r="361" spans="1:12" x14ac:dyDescent="0.3">
      <c r="A361" s="95">
        <v>45996</v>
      </c>
      <c r="B361">
        <v>1277</v>
      </c>
      <c r="C361" s="123" t="s">
        <v>185</v>
      </c>
      <c r="D361">
        <v>0</v>
      </c>
      <c r="E361">
        <v>0.26</v>
      </c>
      <c r="F361">
        <v>0</v>
      </c>
      <c r="G361">
        <v>1</v>
      </c>
      <c r="H361">
        <v>0</v>
      </c>
      <c r="I361">
        <v>3</v>
      </c>
      <c r="J361">
        <v>19100</v>
      </c>
      <c r="K361" s="123" t="s">
        <v>254</v>
      </c>
      <c r="L361" s="123" t="s">
        <v>1240</v>
      </c>
    </row>
    <row r="362" spans="1:12" x14ac:dyDescent="0.3">
      <c r="A362" s="95">
        <v>45996</v>
      </c>
      <c r="B362">
        <v>1021</v>
      </c>
      <c r="C362" s="123" t="s">
        <v>950</v>
      </c>
      <c r="D362">
        <v>26.49</v>
      </c>
      <c r="E362">
        <v>26.49</v>
      </c>
      <c r="F362">
        <v>26.49</v>
      </c>
      <c r="G362">
        <v>1</v>
      </c>
      <c r="H362">
        <v>0</v>
      </c>
      <c r="I362">
        <v>6</v>
      </c>
      <c r="J362">
        <v>13900</v>
      </c>
      <c r="K362" s="123" t="s">
        <v>462</v>
      </c>
      <c r="L362" s="123" t="s">
        <v>1211</v>
      </c>
    </row>
    <row r="363" spans="1:12" x14ac:dyDescent="0.3">
      <c r="A363" s="95">
        <v>45996</v>
      </c>
      <c r="B363">
        <v>4171</v>
      </c>
      <c r="C363" s="123" t="s">
        <v>185</v>
      </c>
      <c r="D363">
        <v>0</v>
      </c>
      <c r="E363">
        <v>-0.1</v>
      </c>
      <c r="F363">
        <v>0</v>
      </c>
      <c r="G363">
        <v>0</v>
      </c>
      <c r="H363">
        <v>328</v>
      </c>
      <c r="I363">
        <v>0</v>
      </c>
      <c r="J363">
        <v>32799</v>
      </c>
      <c r="K363" s="123" t="s">
        <v>262</v>
      </c>
      <c r="L363" s="123" t="s">
        <v>1288</v>
      </c>
    </row>
    <row r="364" spans="1:12" x14ac:dyDescent="0.3">
      <c r="A364" s="95">
        <v>45996</v>
      </c>
      <c r="B364">
        <v>10061</v>
      </c>
      <c r="C364" s="123" t="s">
        <v>185</v>
      </c>
      <c r="D364">
        <v>-3.2000000000000001E-2</v>
      </c>
      <c r="E364">
        <v>-45.84</v>
      </c>
      <c r="F364">
        <v>-3.2000000000000001E-2</v>
      </c>
      <c r="G364">
        <v>0</v>
      </c>
      <c r="H364">
        <v>3</v>
      </c>
      <c r="I364">
        <v>0</v>
      </c>
      <c r="J364">
        <v>35528</v>
      </c>
      <c r="K364" s="123" t="s">
        <v>616</v>
      </c>
      <c r="L364" s="123" t="s">
        <v>1237</v>
      </c>
    </row>
    <row r="365" spans="1:12" x14ac:dyDescent="0.3">
      <c r="A365" s="95">
        <v>45996</v>
      </c>
      <c r="B365">
        <v>1566</v>
      </c>
      <c r="C365" s="123" t="s">
        <v>950</v>
      </c>
      <c r="D365">
        <v>44.14</v>
      </c>
      <c r="E365">
        <v>44.14</v>
      </c>
      <c r="F365">
        <v>44.14</v>
      </c>
      <c r="G365">
        <v>1</v>
      </c>
      <c r="H365">
        <v>0</v>
      </c>
      <c r="I365">
        <v>790</v>
      </c>
      <c r="J365">
        <v>20248</v>
      </c>
      <c r="K365" s="123" t="s">
        <v>1249</v>
      </c>
      <c r="L365" s="123" t="s">
        <v>1250</v>
      </c>
    </row>
    <row r="366" spans="1:12" x14ac:dyDescent="0.3">
      <c r="A366" s="95">
        <v>45996</v>
      </c>
      <c r="B366">
        <v>10133</v>
      </c>
      <c r="C366" s="123" t="s">
        <v>950</v>
      </c>
      <c r="D366">
        <v>50.45</v>
      </c>
      <c r="E366">
        <v>50.45</v>
      </c>
      <c r="F366">
        <v>50.45</v>
      </c>
      <c r="G366">
        <v>1</v>
      </c>
      <c r="H366">
        <v>0</v>
      </c>
      <c r="J366">
        <v>35598</v>
      </c>
      <c r="K366" s="123" t="s">
        <v>371</v>
      </c>
      <c r="L366" s="123" t="s">
        <v>1236</v>
      </c>
    </row>
    <row r="367" spans="1:12" x14ac:dyDescent="0.3">
      <c r="A367" s="95">
        <v>45996</v>
      </c>
      <c r="B367">
        <v>10083</v>
      </c>
      <c r="C367" s="123" t="s">
        <v>185</v>
      </c>
      <c r="D367">
        <v>1.155</v>
      </c>
      <c r="E367">
        <v>1647.53</v>
      </c>
      <c r="F367">
        <v>1.1479999999999999</v>
      </c>
      <c r="G367">
        <v>1</v>
      </c>
      <c r="H367">
        <v>0</v>
      </c>
      <c r="I367">
        <v>338</v>
      </c>
      <c r="J367">
        <v>35548</v>
      </c>
      <c r="K367" s="123" t="s">
        <v>400</v>
      </c>
      <c r="L367" s="123" t="s">
        <v>1228</v>
      </c>
    </row>
    <row r="368" spans="1:12" x14ac:dyDescent="0.3">
      <c r="A368" s="95">
        <v>45996</v>
      </c>
      <c r="B368">
        <v>15937</v>
      </c>
      <c r="C368" s="123" t="s">
        <v>185</v>
      </c>
      <c r="D368">
        <v>-95.864999999999995</v>
      </c>
      <c r="E368">
        <v>-136702.92000000001</v>
      </c>
      <c r="F368">
        <v>-95.263000000000005</v>
      </c>
      <c r="G368">
        <v>0</v>
      </c>
      <c r="H368">
        <v>141</v>
      </c>
      <c r="I368">
        <v>0</v>
      </c>
      <c r="J368">
        <v>37489</v>
      </c>
      <c r="K368" s="123" t="s">
        <v>688</v>
      </c>
      <c r="L368" s="123" t="s">
        <v>1290</v>
      </c>
    </row>
    <row r="369" spans="1:12" x14ac:dyDescent="0.3">
      <c r="A369" s="95">
        <v>45996</v>
      </c>
      <c r="B369">
        <v>2084</v>
      </c>
      <c r="C369" s="123" t="s">
        <v>185</v>
      </c>
      <c r="D369">
        <v>7.4999999999999997E-2</v>
      </c>
      <c r="E369">
        <v>106.92</v>
      </c>
      <c r="F369">
        <v>7.4999999999999997E-2</v>
      </c>
      <c r="G369">
        <v>1</v>
      </c>
      <c r="H369">
        <v>0</v>
      </c>
      <c r="I369">
        <v>549</v>
      </c>
      <c r="J369">
        <v>3107</v>
      </c>
      <c r="K369" s="123" t="s">
        <v>280</v>
      </c>
      <c r="L369" s="123" t="s">
        <v>1401</v>
      </c>
    </row>
    <row r="370" spans="1:12" x14ac:dyDescent="0.3">
      <c r="A370" s="95">
        <v>45996</v>
      </c>
      <c r="B370">
        <v>3661</v>
      </c>
      <c r="C370" s="123" t="s">
        <v>185</v>
      </c>
      <c r="D370">
        <v>-0.89</v>
      </c>
      <c r="E370">
        <v>-1269.03</v>
      </c>
      <c r="F370">
        <v>-0.88400000000000001</v>
      </c>
      <c r="G370">
        <v>0</v>
      </c>
      <c r="H370">
        <v>2</v>
      </c>
      <c r="I370">
        <v>0</v>
      </c>
      <c r="J370">
        <v>32155</v>
      </c>
      <c r="K370" s="123" t="s">
        <v>1313</v>
      </c>
      <c r="L370" s="123" t="s">
        <v>1314</v>
      </c>
    </row>
    <row r="371" spans="1:12" x14ac:dyDescent="0.3">
      <c r="A371" s="95">
        <v>45996</v>
      </c>
      <c r="B371">
        <v>13260</v>
      </c>
      <c r="C371" s="123" t="s">
        <v>950</v>
      </c>
      <c r="D371">
        <v>34.619999999999997</v>
      </c>
      <c r="E371">
        <v>34.619999999999997</v>
      </c>
      <c r="F371">
        <v>34.619999999999997</v>
      </c>
      <c r="G371">
        <v>1</v>
      </c>
      <c r="H371">
        <v>0</v>
      </c>
      <c r="J371">
        <v>36446</v>
      </c>
      <c r="K371" s="123" t="s">
        <v>1370</v>
      </c>
      <c r="L371" s="123" t="s">
        <v>1371</v>
      </c>
    </row>
    <row r="372" spans="1:12" x14ac:dyDescent="0.3">
      <c r="A372" s="95">
        <v>45996</v>
      </c>
      <c r="B372">
        <v>2109</v>
      </c>
      <c r="C372" s="123" t="s">
        <v>950</v>
      </c>
      <c r="D372">
        <v>82359.649999999994</v>
      </c>
      <c r="E372">
        <v>82359.649999999994</v>
      </c>
      <c r="F372">
        <v>82359.649999999994</v>
      </c>
      <c r="G372">
        <v>1</v>
      </c>
      <c r="H372">
        <v>0</v>
      </c>
      <c r="I372">
        <v>100</v>
      </c>
      <c r="J372">
        <v>20716</v>
      </c>
      <c r="K372" s="123" t="s">
        <v>323</v>
      </c>
      <c r="L372" s="123" t="s">
        <v>1388</v>
      </c>
    </row>
    <row r="373" spans="1:12" x14ac:dyDescent="0.3">
      <c r="A373" s="95">
        <v>45996</v>
      </c>
      <c r="B373">
        <v>5251</v>
      </c>
      <c r="C373" s="123" t="s">
        <v>950</v>
      </c>
      <c r="D373">
        <v>37314.449999999997</v>
      </c>
      <c r="E373">
        <v>37314.449999999997</v>
      </c>
      <c r="F373">
        <v>37314.449999999997</v>
      </c>
      <c r="G373">
        <v>1</v>
      </c>
      <c r="H373">
        <v>0</v>
      </c>
      <c r="J373">
        <v>33173</v>
      </c>
      <c r="K373" s="123" t="s">
        <v>341</v>
      </c>
      <c r="L373" s="123" t="s">
        <v>1318</v>
      </c>
    </row>
    <row r="374" spans="1:12" x14ac:dyDescent="0.3">
      <c r="A374" s="95">
        <v>45996</v>
      </c>
      <c r="B374">
        <v>10023</v>
      </c>
      <c r="C374" s="123" t="s">
        <v>185</v>
      </c>
      <c r="D374">
        <v>0.42899999999999999</v>
      </c>
      <c r="E374">
        <v>611.52</v>
      </c>
      <c r="F374">
        <v>0.42599999999999999</v>
      </c>
      <c r="G374">
        <v>1</v>
      </c>
      <c r="H374">
        <v>0</v>
      </c>
      <c r="K374" s="123" t="s">
        <v>276</v>
      </c>
      <c r="L374" s="123" t="s">
        <v>1381</v>
      </c>
    </row>
    <row r="375" spans="1:12" x14ac:dyDescent="0.3">
      <c r="A375" s="95">
        <v>45996</v>
      </c>
      <c r="B375">
        <v>5874</v>
      </c>
      <c r="C375" s="123" t="s">
        <v>185</v>
      </c>
      <c r="D375">
        <v>0</v>
      </c>
      <c r="E375">
        <v>-0.01</v>
      </c>
      <c r="F375">
        <v>0</v>
      </c>
      <c r="G375">
        <v>0</v>
      </c>
      <c r="H375">
        <v>184</v>
      </c>
      <c r="I375">
        <v>0</v>
      </c>
      <c r="J375">
        <v>33645</v>
      </c>
      <c r="K375" s="123" t="s">
        <v>1414</v>
      </c>
      <c r="L375" s="123" t="s">
        <v>1415</v>
      </c>
    </row>
    <row r="376" spans="1:12" x14ac:dyDescent="0.3">
      <c r="A376" s="95">
        <v>45996</v>
      </c>
      <c r="B376">
        <v>5875</v>
      </c>
      <c r="C376" s="123" t="s">
        <v>185</v>
      </c>
      <c r="D376">
        <v>-17.391999999999999</v>
      </c>
      <c r="E376">
        <v>-24801.07</v>
      </c>
      <c r="F376">
        <v>-17.283000000000001</v>
      </c>
      <c r="G376">
        <v>0</v>
      </c>
      <c r="H376">
        <v>8</v>
      </c>
      <c r="I376">
        <v>0</v>
      </c>
      <c r="J376">
        <v>33579</v>
      </c>
      <c r="K376" s="123" t="s">
        <v>344</v>
      </c>
      <c r="L376" s="123" t="s">
        <v>1395</v>
      </c>
    </row>
    <row r="377" spans="1:12" x14ac:dyDescent="0.3">
      <c r="A377" s="95">
        <v>45996</v>
      </c>
      <c r="B377">
        <v>765</v>
      </c>
      <c r="C377" s="123" t="s">
        <v>801</v>
      </c>
      <c r="D377">
        <v>-332.42</v>
      </c>
      <c r="E377">
        <v>-332.42</v>
      </c>
      <c r="F377">
        <v>-332.42</v>
      </c>
      <c r="G377">
        <v>0</v>
      </c>
      <c r="H377">
        <v>13</v>
      </c>
      <c r="I377">
        <v>0</v>
      </c>
      <c r="J377">
        <v>10023</v>
      </c>
      <c r="K377" s="123" t="s">
        <v>939</v>
      </c>
      <c r="L377" s="123" t="s">
        <v>940</v>
      </c>
    </row>
    <row r="378" spans="1:12" x14ac:dyDescent="0.3">
      <c r="A378" s="95">
        <v>45996</v>
      </c>
      <c r="B378">
        <v>3816</v>
      </c>
      <c r="C378" s="123" t="s">
        <v>950</v>
      </c>
      <c r="D378">
        <v>0.54</v>
      </c>
      <c r="E378">
        <v>0.54</v>
      </c>
      <c r="F378">
        <v>0.54</v>
      </c>
      <c r="G378">
        <v>1</v>
      </c>
      <c r="H378">
        <v>0</v>
      </c>
      <c r="J378">
        <v>32357</v>
      </c>
      <c r="K378" s="123" t="s">
        <v>502</v>
      </c>
      <c r="L378" s="123" t="s">
        <v>971</v>
      </c>
    </row>
    <row r="379" spans="1:12" x14ac:dyDescent="0.3">
      <c r="A379" s="95">
        <v>45996</v>
      </c>
      <c r="B379">
        <v>1944</v>
      </c>
      <c r="C379" s="123" t="s">
        <v>185</v>
      </c>
      <c r="D379">
        <v>0</v>
      </c>
      <c r="E379">
        <v>0.4</v>
      </c>
      <c r="F379">
        <v>0</v>
      </c>
      <c r="G379">
        <v>1</v>
      </c>
      <c r="H379">
        <v>0</v>
      </c>
      <c r="I379">
        <v>55</v>
      </c>
      <c r="J379">
        <v>19333</v>
      </c>
      <c r="K379" s="123" t="s">
        <v>570</v>
      </c>
      <c r="L379" s="123" t="s">
        <v>948</v>
      </c>
    </row>
    <row r="380" spans="1:12" x14ac:dyDescent="0.3">
      <c r="A380" s="95">
        <v>45996</v>
      </c>
      <c r="B380">
        <v>12923</v>
      </c>
      <c r="C380" s="123" t="s">
        <v>801</v>
      </c>
      <c r="D380">
        <v>5650</v>
      </c>
      <c r="E380">
        <v>5650</v>
      </c>
      <c r="F380">
        <v>5650</v>
      </c>
      <c r="G380">
        <v>1</v>
      </c>
      <c r="H380">
        <v>0</v>
      </c>
      <c r="I380">
        <v>2</v>
      </c>
      <c r="J380">
        <v>36141</v>
      </c>
      <c r="K380" s="123" t="s">
        <v>694</v>
      </c>
      <c r="L380" s="123" t="s">
        <v>966</v>
      </c>
    </row>
    <row r="381" spans="1:12" x14ac:dyDescent="0.3">
      <c r="A381" s="95">
        <v>45996</v>
      </c>
      <c r="B381">
        <v>1770</v>
      </c>
      <c r="C381" s="123" t="s">
        <v>950</v>
      </c>
      <c r="D381">
        <v>0.13</v>
      </c>
      <c r="E381">
        <v>0.13</v>
      </c>
      <c r="F381">
        <v>0.13</v>
      </c>
      <c r="G381">
        <v>1</v>
      </c>
      <c r="H381">
        <v>0</v>
      </c>
      <c r="I381">
        <v>665</v>
      </c>
      <c r="J381">
        <v>20579</v>
      </c>
      <c r="K381" s="123" t="s">
        <v>429</v>
      </c>
      <c r="L381" s="123" t="s">
        <v>1057</v>
      </c>
    </row>
    <row r="382" spans="1:12" x14ac:dyDescent="0.3">
      <c r="A382" s="95">
        <v>45996</v>
      </c>
      <c r="B382">
        <v>2009</v>
      </c>
      <c r="C382" s="123" t="s">
        <v>185</v>
      </c>
      <c r="D382">
        <v>-76.947999999999993</v>
      </c>
      <c r="E382">
        <v>-109727.71</v>
      </c>
      <c r="F382">
        <v>-76.465000000000003</v>
      </c>
      <c r="G382">
        <v>0</v>
      </c>
      <c r="H382">
        <v>20</v>
      </c>
      <c r="I382">
        <v>0</v>
      </c>
      <c r="J382">
        <v>20896</v>
      </c>
      <c r="K382" s="123" t="s">
        <v>318</v>
      </c>
      <c r="L382" s="123" t="s">
        <v>980</v>
      </c>
    </row>
    <row r="383" spans="1:12" x14ac:dyDescent="0.3">
      <c r="A383" s="95">
        <v>45996</v>
      </c>
      <c r="B383">
        <v>15883</v>
      </c>
      <c r="C383" s="123" t="s">
        <v>185</v>
      </c>
      <c r="D383">
        <v>0.67500000000000004</v>
      </c>
      <c r="E383">
        <v>962.32</v>
      </c>
      <c r="F383">
        <v>0.67100000000000004</v>
      </c>
      <c r="G383">
        <v>1</v>
      </c>
      <c r="H383">
        <v>0</v>
      </c>
      <c r="I383">
        <v>8</v>
      </c>
      <c r="J383">
        <v>37439</v>
      </c>
      <c r="K383" s="123" t="s">
        <v>1046</v>
      </c>
      <c r="L383" s="123" t="s">
        <v>1047</v>
      </c>
    </row>
    <row r="384" spans="1:12" x14ac:dyDescent="0.3">
      <c r="A384" s="95">
        <v>45996</v>
      </c>
      <c r="B384">
        <v>5866</v>
      </c>
      <c r="C384" s="123" t="s">
        <v>185</v>
      </c>
      <c r="D384">
        <v>0</v>
      </c>
      <c r="E384">
        <v>0.48</v>
      </c>
      <c r="F384">
        <v>0</v>
      </c>
      <c r="G384">
        <v>1</v>
      </c>
      <c r="H384">
        <v>0</v>
      </c>
      <c r="I384">
        <v>377</v>
      </c>
      <c r="J384">
        <v>33662</v>
      </c>
      <c r="K384" s="123" t="s">
        <v>124</v>
      </c>
      <c r="L384" s="123" t="s">
        <v>1028</v>
      </c>
    </row>
    <row r="385" spans="1:12" x14ac:dyDescent="0.3">
      <c r="A385" s="95">
        <v>45996</v>
      </c>
      <c r="B385">
        <v>1315</v>
      </c>
      <c r="C385" s="123" t="s">
        <v>950</v>
      </c>
      <c r="D385">
        <v>23.57</v>
      </c>
      <c r="E385">
        <v>23.57</v>
      </c>
      <c r="F385">
        <v>23.57</v>
      </c>
      <c r="G385">
        <v>1</v>
      </c>
      <c r="H385">
        <v>0</v>
      </c>
      <c r="I385">
        <v>121</v>
      </c>
      <c r="J385">
        <v>7247</v>
      </c>
      <c r="K385" s="123" t="s">
        <v>574</v>
      </c>
      <c r="L385" s="123" t="s">
        <v>1027</v>
      </c>
    </row>
    <row r="386" spans="1:12" x14ac:dyDescent="0.3">
      <c r="A386" s="95">
        <v>45996</v>
      </c>
      <c r="B386">
        <v>12867</v>
      </c>
      <c r="C386" s="123" t="s">
        <v>185</v>
      </c>
      <c r="D386">
        <v>-2.4340000000000002</v>
      </c>
      <c r="E386">
        <v>-3470.54</v>
      </c>
      <c r="F386">
        <v>-2.4180000000000001</v>
      </c>
      <c r="G386">
        <v>0</v>
      </c>
      <c r="H386">
        <v>5</v>
      </c>
      <c r="I386">
        <v>0</v>
      </c>
      <c r="J386">
        <v>36089</v>
      </c>
      <c r="K386" s="123" t="s">
        <v>557</v>
      </c>
      <c r="L386" s="123" t="s">
        <v>1086</v>
      </c>
    </row>
    <row r="387" spans="1:12" x14ac:dyDescent="0.3">
      <c r="A387" s="95">
        <v>45996</v>
      </c>
      <c r="B387">
        <v>12922</v>
      </c>
      <c r="C387" s="123" t="s">
        <v>185</v>
      </c>
      <c r="D387">
        <v>0</v>
      </c>
      <c r="E387">
        <v>0.01</v>
      </c>
      <c r="F387">
        <v>0</v>
      </c>
      <c r="G387">
        <v>1</v>
      </c>
      <c r="H387">
        <v>0</v>
      </c>
      <c r="I387">
        <v>3</v>
      </c>
      <c r="J387">
        <v>36140</v>
      </c>
      <c r="K387" s="123" t="s">
        <v>128</v>
      </c>
      <c r="L387" s="123" t="s">
        <v>1042</v>
      </c>
    </row>
    <row r="388" spans="1:12" x14ac:dyDescent="0.3">
      <c r="A388" s="95">
        <v>45996</v>
      </c>
      <c r="B388">
        <v>7837</v>
      </c>
      <c r="C388" s="123" t="s">
        <v>950</v>
      </c>
      <c r="D388">
        <v>2250.37</v>
      </c>
      <c r="E388">
        <v>2250.37</v>
      </c>
      <c r="F388">
        <v>2250.37</v>
      </c>
      <c r="G388">
        <v>1</v>
      </c>
      <c r="H388">
        <v>0</v>
      </c>
      <c r="I388">
        <v>458</v>
      </c>
      <c r="J388">
        <v>35127</v>
      </c>
      <c r="K388" s="123" t="s">
        <v>306</v>
      </c>
      <c r="L388" s="123" t="s">
        <v>1128</v>
      </c>
    </row>
    <row r="389" spans="1:12" x14ac:dyDescent="0.3">
      <c r="A389" s="95">
        <v>45996</v>
      </c>
      <c r="B389">
        <v>16106</v>
      </c>
      <c r="C389" s="123" t="s">
        <v>185</v>
      </c>
      <c r="D389">
        <v>1E-3</v>
      </c>
      <c r="E389">
        <v>0.78</v>
      </c>
      <c r="F389">
        <v>1E-3</v>
      </c>
      <c r="G389">
        <v>1</v>
      </c>
      <c r="H389">
        <v>0</v>
      </c>
      <c r="J389">
        <v>37627</v>
      </c>
      <c r="K389" s="123" t="s">
        <v>696</v>
      </c>
      <c r="L389" s="123" t="s">
        <v>1067</v>
      </c>
    </row>
    <row r="390" spans="1:12" x14ac:dyDescent="0.3">
      <c r="A390" s="95">
        <v>45996</v>
      </c>
      <c r="B390">
        <v>3479</v>
      </c>
      <c r="C390" s="123" t="s">
        <v>185</v>
      </c>
      <c r="D390">
        <v>0</v>
      </c>
      <c r="E390">
        <v>0.68</v>
      </c>
      <c r="F390">
        <v>0</v>
      </c>
      <c r="G390">
        <v>1</v>
      </c>
      <c r="H390">
        <v>0</v>
      </c>
      <c r="I390">
        <v>2</v>
      </c>
      <c r="J390">
        <v>31936</v>
      </c>
      <c r="K390" s="123" t="s">
        <v>456</v>
      </c>
      <c r="L390" s="123" t="s">
        <v>1119</v>
      </c>
    </row>
    <row r="391" spans="1:12" x14ac:dyDescent="0.3">
      <c r="A391" s="95">
        <v>45996</v>
      </c>
      <c r="B391">
        <v>2852</v>
      </c>
      <c r="C391" s="123" t="s">
        <v>950</v>
      </c>
      <c r="D391">
        <v>-0.16</v>
      </c>
      <c r="E391">
        <v>-0.16</v>
      </c>
      <c r="F391">
        <v>-0.16</v>
      </c>
      <c r="G391">
        <v>0</v>
      </c>
      <c r="H391">
        <v>47</v>
      </c>
      <c r="I391">
        <v>0</v>
      </c>
      <c r="J391">
        <v>31192</v>
      </c>
      <c r="K391" s="123" t="s">
        <v>509</v>
      </c>
      <c r="L391" s="123" t="s">
        <v>1110</v>
      </c>
    </row>
    <row r="392" spans="1:12" x14ac:dyDescent="0.3">
      <c r="A392" s="95">
        <v>45996</v>
      </c>
      <c r="B392">
        <v>1429</v>
      </c>
      <c r="C392" s="123" t="s">
        <v>801</v>
      </c>
      <c r="D392">
        <v>-1.92</v>
      </c>
      <c r="E392">
        <v>-1.92</v>
      </c>
      <c r="F392">
        <v>-1.92</v>
      </c>
      <c r="G392">
        <v>0</v>
      </c>
      <c r="H392">
        <v>25</v>
      </c>
      <c r="I392">
        <v>0</v>
      </c>
      <c r="J392">
        <v>19755</v>
      </c>
      <c r="K392" s="123" t="s">
        <v>374</v>
      </c>
      <c r="L392" s="123" t="s">
        <v>1200</v>
      </c>
    </row>
    <row r="393" spans="1:12" x14ac:dyDescent="0.3">
      <c r="A393" s="95">
        <v>45996</v>
      </c>
      <c r="B393">
        <v>12427</v>
      </c>
      <c r="C393" s="123" t="s">
        <v>185</v>
      </c>
      <c r="D393">
        <v>-63.677999999999997</v>
      </c>
      <c r="E393">
        <v>-90804.33</v>
      </c>
      <c r="F393">
        <v>-63.277999999999999</v>
      </c>
      <c r="G393">
        <v>0</v>
      </c>
      <c r="I393">
        <v>0</v>
      </c>
      <c r="K393" s="123" t="s">
        <v>1258</v>
      </c>
      <c r="L393" s="123" t="s">
        <v>1259</v>
      </c>
    </row>
    <row r="394" spans="1:12" x14ac:dyDescent="0.3">
      <c r="A394" s="95">
        <v>45996</v>
      </c>
      <c r="B394">
        <v>13558</v>
      </c>
      <c r="C394" s="123" t="s">
        <v>185</v>
      </c>
      <c r="D394">
        <v>0</v>
      </c>
      <c r="E394">
        <v>-0.02</v>
      </c>
      <c r="F394">
        <v>0</v>
      </c>
      <c r="G394">
        <v>0</v>
      </c>
      <c r="H394">
        <v>369</v>
      </c>
      <c r="I394">
        <v>0</v>
      </c>
      <c r="J394">
        <v>36729</v>
      </c>
      <c r="K394" s="123" t="s">
        <v>600</v>
      </c>
      <c r="L394" s="123" t="s">
        <v>1328</v>
      </c>
    </row>
    <row r="395" spans="1:12" x14ac:dyDescent="0.3">
      <c r="A395" s="95">
        <v>45996</v>
      </c>
      <c r="B395">
        <v>6154</v>
      </c>
      <c r="C395" s="123" t="s">
        <v>950</v>
      </c>
      <c r="D395">
        <v>33.75</v>
      </c>
      <c r="E395">
        <v>33.75</v>
      </c>
      <c r="F395">
        <v>33.75</v>
      </c>
      <c r="G395">
        <v>1</v>
      </c>
      <c r="H395">
        <v>0</v>
      </c>
      <c r="I395">
        <v>10</v>
      </c>
      <c r="J395">
        <v>34268</v>
      </c>
      <c r="K395" s="123" t="s">
        <v>1141</v>
      </c>
      <c r="L395" s="123" t="s">
        <v>1142</v>
      </c>
    </row>
    <row r="396" spans="1:12" x14ac:dyDescent="0.3">
      <c r="A396" s="95">
        <v>45996</v>
      </c>
      <c r="B396">
        <v>5906</v>
      </c>
      <c r="C396" s="123" t="s">
        <v>185</v>
      </c>
      <c r="D396">
        <v>-89.620999999999995</v>
      </c>
      <c r="E396">
        <v>-127799.14</v>
      </c>
      <c r="F396">
        <v>-89.058999999999997</v>
      </c>
      <c r="G396">
        <v>0</v>
      </c>
      <c r="H396">
        <v>51</v>
      </c>
      <c r="I396">
        <v>0</v>
      </c>
      <c r="J396">
        <v>34129</v>
      </c>
      <c r="K396" s="123" t="s">
        <v>127</v>
      </c>
      <c r="L396" s="123" t="s">
        <v>1263</v>
      </c>
    </row>
    <row r="397" spans="1:12" x14ac:dyDescent="0.3">
      <c r="A397" s="95">
        <v>45996</v>
      </c>
      <c r="B397">
        <v>2817</v>
      </c>
      <c r="C397" s="123" t="s">
        <v>185</v>
      </c>
      <c r="D397">
        <v>0.70699999999999996</v>
      </c>
      <c r="E397">
        <v>1007.7</v>
      </c>
      <c r="F397">
        <v>0.70199999999999996</v>
      </c>
      <c r="G397">
        <v>1</v>
      </c>
      <c r="H397">
        <v>0</v>
      </c>
      <c r="I397">
        <v>790</v>
      </c>
      <c r="J397">
        <v>31142</v>
      </c>
      <c r="K397" s="123" t="s">
        <v>438</v>
      </c>
      <c r="L397" s="123" t="s">
        <v>1197</v>
      </c>
    </row>
    <row r="398" spans="1:12" x14ac:dyDescent="0.3">
      <c r="A398" s="95">
        <v>45996</v>
      </c>
      <c r="B398">
        <v>1277</v>
      </c>
      <c r="C398" s="123" t="s">
        <v>950</v>
      </c>
      <c r="D398">
        <v>2062.16</v>
      </c>
      <c r="E398">
        <v>2062.16</v>
      </c>
      <c r="F398">
        <v>2062.16</v>
      </c>
      <c r="G398">
        <v>1</v>
      </c>
      <c r="H398">
        <v>0</v>
      </c>
      <c r="I398">
        <v>765</v>
      </c>
      <c r="J398">
        <v>19100</v>
      </c>
      <c r="K398" s="123" t="s">
        <v>254</v>
      </c>
      <c r="L398" s="123" t="s">
        <v>1240</v>
      </c>
    </row>
    <row r="399" spans="1:12" x14ac:dyDescent="0.3">
      <c r="A399" s="95">
        <v>45996</v>
      </c>
      <c r="B399">
        <v>1021</v>
      </c>
      <c r="C399" s="123" t="s">
        <v>188</v>
      </c>
      <c r="D399">
        <v>63.55</v>
      </c>
      <c r="E399">
        <v>63.55</v>
      </c>
      <c r="F399">
        <v>63.55</v>
      </c>
      <c r="G399">
        <v>1</v>
      </c>
      <c r="H399">
        <v>0</v>
      </c>
      <c r="I399">
        <v>225</v>
      </c>
      <c r="J399">
        <v>13900</v>
      </c>
      <c r="K399" s="123" t="s">
        <v>462</v>
      </c>
      <c r="L399" s="123" t="s">
        <v>1211</v>
      </c>
    </row>
    <row r="400" spans="1:12" x14ac:dyDescent="0.3">
      <c r="A400" s="95">
        <v>45996</v>
      </c>
      <c r="B400">
        <v>5209</v>
      </c>
      <c r="C400" s="123" t="s">
        <v>185</v>
      </c>
      <c r="D400">
        <v>8.0000000000000002E-3</v>
      </c>
      <c r="E400">
        <v>11.88</v>
      </c>
      <c r="F400">
        <v>8.0000000000000002E-3</v>
      </c>
      <c r="G400">
        <v>1</v>
      </c>
      <c r="H400">
        <v>0</v>
      </c>
      <c r="I400">
        <v>72</v>
      </c>
      <c r="J400">
        <v>33183</v>
      </c>
      <c r="K400" s="123" t="s">
        <v>585</v>
      </c>
      <c r="L400" s="123" t="s">
        <v>1339</v>
      </c>
    </row>
    <row r="401" spans="1:12" x14ac:dyDescent="0.3">
      <c r="A401" s="95">
        <v>45996</v>
      </c>
      <c r="B401">
        <v>12600</v>
      </c>
      <c r="C401" s="123" t="s">
        <v>185</v>
      </c>
      <c r="D401">
        <v>0</v>
      </c>
      <c r="E401">
        <v>0.55000000000000004</v>
      </c>
      <c r="F401">
        <v>0</v>
      </c>
      <c r="G401">
        <v>1</v>
      </c>
      <c r="H401">
        <v>0</v>
      </c>
      <c r="I401">
        <v>5</v>
      </c>
      <c r="J401">
        <v>35861</v>
      </c>
      <c r="K401" s="123" t="s">
        <v>874</v>
      </c>
      <c r="L401" s="123" t="s">
        <v>1471</v>
      </c>
    </row>
    <row r="402" spans="1:12" x14ac:dyDescent="0.3">
      <c r="A402" s="95">
        <v>45996</v>
      </c>
      <c r="B402">
        <v>1566</v>
      </c>
      <c r="C402" s="123" t="s">
        <v>185</v>
      </c>
      <c r="D402">
        <v>0.37</v>
      </c>
      <c r="E402">
        <v>527.37</v>
      </c>
      <c r="F402">
        <v>0.36799999999999999</v>
      </c>
      <c r="G402">
        <v>1</v>
      </c>
      <c r="H402">
        <v>0</v>
      </c>
      <c r="I402">
        <v>6</v>
      </c>
      <c r="J402">
        <v>20248</v>
      </c>
      <c r="K402" s="123" t="s">
        <v>1249</v>
      </c>
      <c r="L402" s="123" t="s">
        <v>1250</v>
      </c>
    </row>
    <row r="403" spans="1:12" x14ac:dyDescent="0.3">
      <c r="A403" s="95">
        <v>45996</v>
      </c>
      <c r="B403">
        <v>16447</v>
      </c>
      <c r="C403" s="123" t="s">
        <v>185</v>
      </c>
      <c r="D403">
        <v>-10165.902</v>
      </c>
      <c r="E403">
        <v>-14496576.9</v>
      </c>
      <c r="F403">
        <v>-10102.144</v>
      </c>
      <c r="G403">
        <v>0</v>
      </c>
      <c r="H403">
        <v>35</v>
      </c>
      <c r="I403">
        <v>0</v>
      </c>
      <c r="J403">
        <v>37899</v>
      </c>
      <c r="K403" s="123" t="s">
        <v>1368</v>
      </c>
      <c r="L403" s="123" t="s">
        <v>1369</v>
      </c>
    </row>
    <row r="404" spans="1:12" x14ac:dyDescent="0.3">
      <c r="A404" s="95">
        <v>45996</v>
      </c>
      <c r="B404">
        <v>10083</v>
      </c>
      <c r="C404" s="123" t="s">
        <v>950</v>
      </c>
      <c r="D404">
        <v>-0.18</v>
      </c>
      <c r="E404">
        <v>-0.18</v>
      </c>
      <c r="F404">
        <v>-0.18</v>
      </c>
      <c r="G404">
        <v>0</v>
      </c>
      <c r="H404">
        <v>338</v>
      </c>
      <c r="I404">
        <v>0</v>
      </c>
      <c r="J404">
        <v>35548</v>
      </c>
      <c r="K404" s="123" t="s">
        <v>400</v>
      </c>
      <c r="L404" s="123" t="s">
        <v>1228</v>
      </c>
    </row>
    <row r="405" spans="1:12" x14ac:dyDescent="0.3">
      <c r="A405" s="95">
        <v>45996</v>
      </c>
      <c r="B405">
        <v>2668</v>
      </c>
      <c r="C405" s="123" t="s">
        <v>185</v>
      </c>
      <c r="D405">
        <v>0</v>
      </c>
      <c r="E405">
        <v>0.4</v>
      </c>
      <c r="F405">
        <v>0</v>
      </c>
      <c r="G405">
        <v>1</v>
      </c>
      <c r="H405">
        <v>0</v>
      </c>
      <c r="I405">
        <v>35</v>
      </c>
      <c r="J405">
        <v>30908</v>
      </c>
      <c r="K405" s="123" t="s">
        <v>304</v>
      </c>
      <c r="L405" s="123" t="s">
        <v>1354</v>
      </c>
    </row>
    <row r="406" spans="1:12" x14ac:dyDescent="0.3">
      <c r="A406" s="95">
        <v>45996</v>
      </c>
      <c r="B406">
        <v>3661</v>
      </c>
      <c r="C406" s="123" t="s">
        <v>801</v>
      </c>
      <c r="D406">
        <v>2691.66</v>
      </c>
      <c r="E406">
        <v>2691.66</v>
      </c>
      <c r="F406">
        <v>2691.66</v>
      </c>
      <c r="G406">
        <v>1</v>
      </c>
      <c r="H406">
        <v>0</v>
      </c>
      <c r="I406">
        <v>2</v>
      </c>
      <c r="J406">
        <v>32155</v>
      </c>
      <c r="K406" s="123" t="s">
        <v>1313</v>
      </c>
      <c r="L406" s="123" t="s">
        <v>1314</v>
      </c>
    </row>
    <row r="407" spans="1:12" x14ac:dyDescent="0.3">
      <c r="A407" s="95">
        <v>45996</v>
      </c>
      <c r="B407">
        <v>13260</v>
      </c>
      <c r="C407" s="123" t="s">
        <v>185</v>
      </c>
      <c r="D407">
        <v>-5.14</v>
      </c>
      <c r="E407">
        <v>-7329.24</v>
      </c>
      <c r="F407">
        <v>-5.1070000000000002</v>
      </c>
      <c r="G407">
        <v>0</v>
      </c>
      <c r="H407">
        <v>53</v>
      </c>
      <c r="I407">
        <v>0</v>
      </c>
      <c r="J407">
        <v>36446</v>
      </c>
      <c r="K407" s="123" t="s">
        <v>1370</v>
      </c>
      <c r="L407" s="123" t="s">
        <v>1371</v>
      </c>
    </row>
    <row r="408" spans="1:12" x14ac:dyDescent="0.3">
      <c r="A408" s="95">
        <v>45996</v>
      </c>
      <c r="B408">
        <v>5747</v>
      </c>
      <c r="C408" s="123" t="s">
        <v>185</v>
      </c>
      <c r="D408">
        <v>0</v>
      </c>
      <c r="E408">
        <v>-0.44</v>
      </c>
      <c r="F408">
        <v>0</v>
      </c>
      <c r="G408">
        <v>0</v>
      </c>
      <c r="H408">
        <v>2</v>
      </c>
      <c r="I408">
        <v>0</v>
      </c>
      <c r="J408">
        <v>33986</v>
      </c>
      <c r="K408" s="123" t="s">
        <v>1417</v>
      </c>
      <c r="L408" s="123" t="s">
        <v>1418</v>
      </c>
    </row>
    <row r="409" spans="1:12" x14ac:dyDescent="0.3">
      <c r="A409" s="95">
        <v>45996</v>
      </c>
      <c r="B409">
        <v>5251</v>
      </c>
      <c r="C409" s="123" t="s">
        <v>185</v>
      </c>
      <c r="D409">
        <v>0</v>
      </c>
      <c r="E409">
        <v>-0.31</v>
      </c>
      <c r="F409">
        <v>0</v>
      </c>
      <c r="G409">
        <v>0</v>
      </c>
      <c r="H409">
        <v>2</v>
      </c>
      <c r="I409">
        <v>0</v>
      </c>
      <c r="J409">
        <v>33173</v>
      </c>
      <c r="K409" s="123" t="s">
        <v>341</v>
      </c>
      <c r="L409" s="123" t="s">
        <v>1318</v>
      </c>
    </row>
    <row r="410" spans="1:12" x14ac:dyDescent="0.3">
      <c r="A410" s="95">
        <v>45996</v>
      </c>
      <c r="B410">
        <v>6247</v>
      </c>
      <c r="C410" s="123" t="s">
        <v>801</v>
      </c>
      <c r="D410">
        <v>2860</v>
      </c>
      <c r="E410">
        <v>2860</v>
      </c>
      <c r="F410">
        <v>2860</v>
      </c>
      <c r="G410">
        <v>1</v>
      </c>
      <c r="H410">
        <v>0</v>
      </c>
      <c r="I410">
        <v>3</v>
      </c>
      <c r="J410">
        <v>34358</v>
      </c>
      <c r="K410" s="123" t="s">
        <v>1373</v>
      </c>
      <c r="L410" s="123" t="s">
        <v>1374</v>
      </c>
    </row>
    <row r="411" spans="1:12" x14ac:dyDescent="0.3">
      <c r="A411" s="95">
        <v>45996</v>
      </c>
      <c r="B411">
        <v>8016</v>
      </c>
      <c r="C411" s="123" t="s">
        <v>950</v>
      </c>
      <c r="D411">
        <v>237.8</v>
      </c>
      <c r="E411">
        <v>237.8</v>
      </c>
      <c r="F411">
        <v>237.8</v>
      </c>
      <c r="G411">
        <v>1</v>
      </c>
      <c r="H411">
        <v>0</v>
      </c>
      <c r="I411">
        <v>767</v>
      </c>
      <c r="J411">
        <v>35240</v>
      </c>
      <c r="K411" s="123" t="s">
        <v>411</v>
      </c>
      <c r="L411" s="123" t="s">
        <v>1411</v>
      </c>
    </row>
    <row r="412" spans="1:12" x14ac:dyDescent="0.3">
      <c r="A412" s="95">
        <v>45996</v>
      </c>
      <c r="B412">
        <v>1588</v>
      </c>
      <c r="C412" s="123" t="s">
        <v>185</v>
      </c>
      <c r="D412">
        <v>0</v>
      </c>
      <c r="E412">
        <v>-0.01</v>
      </c>
      <c r="F412">
        <v>0</v>
      </c>
      <c r="G412">
        <v>0</v>
      </c>
      <c r="H412">
        <v>577</v>
      </c>
      <c r="I412">
        <v>0</v>
      </c>
      <c r="J412">
        <v>19996</v>
      </c>
      <c r="K412" s="123" t="s">
        <v>602</v>
      </c>
      <c r="L412" s="123" t="s">
        <v>972</v>
      </c>
    </row>
    <row r="413" spans="1:12" x14ac:dyDescent="0.3">
      <c r="A413" s="95">
        <v>45996</v>
      </c>
      <c r="B413">
        <v>3816</v>
      </c>
      <c r="C413" s="123" t="s">
        <v>185</v>
      </c>
      <c r="D413">
        <v>18.693000000000001</v>
      </c>
      <c r="E413">
        <v>26655.66</v>
      </c>
      <c r="F413">
        <v>18.574999999999999</v>
      </c>
      <c r="G413">
        <v>1</v>
      </c>
      <c r="H413">
        <v>0</v>
      </c>
      <c r="I413">
        <v>21</v>
      </c>
      <c r="J413">
        <v>32357</v>
      </c>
      <c r="K413" s="123" t="s">
        <v>502</v>
      </c>
      <c r="L413" s="123" t="s">
        <v>971</v>
      </c>
    </row>
    <row r="414" spans="1:12" x14ac:dyDescent="0.3">
      <c r="A414" s="95">
        <v>45996</v>
      </c>
      <c r="B414">
        <v>5288</v>
      </c>
      <c r="C414" s="123" t="s">
        <v>185</v>
      </c>
      <c r="D414">
        <v>1.823</v>
      </c>
      <c r="E414">
        <v>2599.1799999999998</v>
      </c>
      <c r="F414">
        <v>1.8109999999999999</v>
      </c>
      <c r="G414">
        <v>1</v>
      </c>
      <c r="H414">
        <v>0</v>
      </c>
      <c r="I414">
        <v>790</v>
      </c>
      <c r="J414">
        <v>33374</v>
      </c>
      <c r="K414" s="123" t="s">
        <v>356</v>
      </c>
      <c r="L414" s="123" t="s">
        <v>996</v>
      </c>
    </row>
    <row r="415" spans="1:12" x14ac:dyDescent="0.3">
      <c r="A415" s="95">
        <v>45996</v>
      </c>
      <c r="B415">
        <v>14834</v>
      </c>
      <c r="C415" s="123" t="s">
        <v>950</v>
      </c>
      <c r="D415">
        <v>51.63</v>
      </c>
      <c r="E415">
        <v>51.63</v>
      </c>
      <c r="F415">
        <v>51.63</v>
      </c>
      <c r="G415">
        <v>1</v>
      </c>
      <c r="H415">
        <v>0</v>
      </c>
      <c r="J415">
        <v>37055</v>
      </c>
      <c r="K415" s="123" t="s">
        <v>956</v>
      </c>
      <c r="L415" s="123" t="s">
        <v>957</v>
      </c>
    </row>
    <row r="416" spans="1:12" x14ac:dyDescent="0.3">
      <c r="A416" s="95">
        <v>45996</v>
      </c>
      <c r="B416">
        <v>1770</v>
      </c>
      <c r="C416" s="123" t="s">
        <v>185</v>
      </c>
      <c r="D416">
        <v>1.6E-2</v>
      </c>
      <c r="E416">
        <v>22.56</v>
      </c>
      <c r="F416">
        <v>1.6E-2</v>
      </c>
      <c r="G416">
        <v>1</v>
      </c>
      <c r="H416">
        <v>0</v>
      </c>
      <c r="I416">
        <v>353</v>
      </c>
      <c r="J416">
        <v>20579</v>
      </c>
      <c r="K416" s="123" t="s">
        <v>429</v>
      </c>
      <c r="L416" s="123" t="s">
        <v>1057</v>
      </c>
    </row>
    <row r="417" spans="1:12" x14ac:dyDescent="0.3">
      <c r="A417" s="95">
        <v>45996</v>
      </c>
      <c r="B417">
        <v>2009</v>
      </c>
      <c r="C417" s="123" t="s">
        <v>188</v>
      </c>
      <c r="D417">
        <v>285.83999999999997</v>
      </c>
      <c r="E417">
        <v>285.83999999999997</v>
      </c>
      <c r="F417">
        <v>285.83999999999997</v>
      </c>
      <c r="G417">
        <v>1</v>
      </c>
      <c r="H417">
        <v>0</v>
      </c>
      <c r="I417">
        <v>790</v>
      </c>
      <c r="J417">
        <v>20896</v>
      </c>
      <c r="K417" s="123" t="s">
        <v>318</v>
      </c>
      <c r="L417" s="123" t="s">
        <v>980</v>
      </c>
    </row>
    <row r="418" spans="1:12" x14ac:dyDescent="0.3">
      <c r="A418" s="95">
        <v>45996</v>
      </c>
      <c r="B418">
        <v>13687</v>
      </c>
      <c r="C418" s="123" t="s">
        <v>185</v>
      </c>
      <c r="D418">
        <v>11.584</v>
      </c>
      <c r="E418">
        <v>16519.03</v>
      </c>
      <c r="F418">
        <v>11.512</v>
      </c>
      <c r="G418">
        <v>1</v>
      </c>
      <c r="H418">
        <v>0</v>
      </c>
      <c r="I418">
        <v>119</v>
      </c>
      <c r="J418">
        <v>36849</v>
      </c>
      <c r="K418" s="123" t="s">
        <v>1032</v>
      </c>
      <c r="L418" s="123" t="s">
        <v>1033</v>
      </c>
    </row>
    <row r="419" spans="1:12" x14ac:dyDescent="0.3">
      <c r="A419" s="95">
        <v>45996</v>
      </c>
      <c r="B419">
        <v>1315</v>
      </c>
      <c r="C419" s="123" t="s">
        <v>188</v>
      </c>
      <c r="D419">
        <v>-2.86</v>
      </c>
      <c r="E419">
        <v>-2.86</v>
      </c>
      <c r="F419">
        <v>-2.86</v>
      </c>
      <c r="G419">
        <v>0</v>
      </c>
      <c r="H419">
        <v>314</v>
      </c>
      <c r="I419">
        <v>0</v>
      </c>
      <c r="J419">
        <v>7247</v>
      </c>
      <c r="K419" s="123" t="s">
        <v>574</v>
      </c>
      <c r="L419" s="123" t="s">
        <v>1027</v>
      </c>
    </row>
    <row r="420" spans="1:12" x14ac:dyDescent="0.3">
      <c r="A420" s="95">
        <v>45996</v>
      </c>
      <c r="B420">
        <v>12867</v>
      </c>
      <c r="C420" s="123" t="s">
        <v>188</v>
      </c>
      <c r="D420">
        <v>-0.22</v>
      </c>
      <c r="E420">
        <v>-0.22</v>
      </c>
      <c r="F420">
        <v>-0.22</v>
      </c>
      <c r="G420">
        <v>0</v>
      </c>
      <c r="H420">
        <v>133</v>
      </c>
      <c r="I420">
        <v>0</v>
      </c>
      <c r="J420">
        <v>36089</v>
      </c>
      <c r="K420" s="123" t="s">
        <v>557</v>
      </c>
      <c r="L420" s="123" t="s">
        <v>1086</v>
      </c>
    </row>
    <row r="421" spans="1:12" x14ac:dyDescent="0.3">
      <c r="A421" s="95">
        <v>45996</v>
      </c>
      <c r="B421">
        <v>12922</v>
      </c>
      <c r="C421" s="123" t="s">
        <v>950</v>
      </c>
      <c r="D421">
        <v>3954.5</v>
      </c>
      <c r="E421">
        <v>3954.5</v>
      </c>
      <c r="F421">
        <v>3954.5</v>
      </c>
      <c r="G421">
        <v>1</v>
      </c>
      <c r="H421">
        <v>0</v>
      </c>
      <c r="I421">
        <v>241</v>
      </c>
      <c r="J421">
        <v>36140</v>
      </c>
      <c r="K421" s="123" t="s">
        <v>128</v>
      </c>
      <c r="L421" s="123" t="s">
        <v>1042</v>
      </c>
    </row>
    <row r="422" spans="1:12" x14ac:dyDescent="0.3">
      <c r="A422" s="95">
        <v>45996</v>
      </c>
      <c r="B422">
        <v>7837</v>
      </c>
      <c r="C422" s="123" t="s">
        <v>185</v>
      </c>
      <c r="D422">
        <v>0</v>
      </c>
      <c r="E422">
        <v>0.3</v>
      </c>
      <c r="F422">
        <v>0</v>
      </c>
      <c r="G422">
        <v>1</v>
      </c>
      <c r="H422">
        <v>0</v>
      </c>
      <c r="I422">
        <v>8</v>
      </c>
      <c r="J422">
        <v>35127</v>
      </c>
      <c r="K422" s="123" t="s">
        <v>306</v>
      </c>
      <c r="L422" s="123" t="s">
        <v>1128</v>
      </c>
    </row>
    <row r="423" spans="1:12" x14ac:dyDescent="0.3">
      <c r="A423" s="95">
        <v>45996</v>
      </c>
      <c r="B423">
        <v>16286</v>
      </c>
      <c r="C423" s="123" t="s">
        <v>185</v>
      </c>
      <c r="D423">
        <v>46.537999999999997</v>
      </c>
      <c r="E423">
        <v>66363.27</v>
      </c>
      <c r="F423">
        <v>46.246000000000002</v>
      </c>
      <c r="G423">
        <v>1</v>
      </c>
      <c r="H423">
        <v>0</v>
      </c>
      <c r="I423">
        <v>71</v>
      </c>
      <c r="J423">
        <v>37771</v>
      </c>
      <c r="K423" s="123" t="s">
        <v>1094</v>
      </c>
      <c r="L423" s="123" t="s">
        <v>1095</v>
      </c>
    </row>
    <row r="424" spans="1:12" x14ac:dyDescent="0.3">
      <c r="A424" s="95">
        <v>45996</v>
      </c>
      <c r="B424">
        <v>4264</v>
      </c>
      <c r="C424" s="123" t="s">
        <v>950</v>
      </c>
      <c r="D424">
        <v>0</v>
      </c>
      <c r="E424">
        <v>0</v>
      </c>
      <c r="F424">
        <v>0</v>
      </c>
      <c r="G424">
        <v>0</v>
      </c>
      <c r="H424">
        <v>13</v>
      </c>
      <c r="I424">
        <v>0</v>
      </c>
      <c r="J424">
        <v>32301</v>
      </c>
      <c r="K424" s="123" t="s">
        <v>493</v>
      </c>
      <c r="L424" s="123" t="s">
        <v>1104</v>
      </c>
    </row>
    <row r="425" spans="1:12" x14ac:dyDescent="0.3">
      <c r="A425" s="95">
        <v>45996</v>
      </c>
      <c r="B425">
        <v>5197</v>
      </c>
      <c r="C425" s="123" t="s">
        <v>950</v>
      </c>
      <c r="D425">
        <v>960.15</v>
      </c>
      <c r="E425">
        <v>960.15</v>
      </c>
      <c r="F425">
        <v>960.15</v>
      </c>
      <c r="G425">
        <v>1</v>
      </c>
      <c r="H425">
        <v>0</v>
      </c>
      <c r="I425">
        <v>636</v>
      </c>
      <c r="J425">
        <v>33322</v>
      </c>
      <c r="K425" s="123" t="s">
        <v>500</v>
      </c>
      <c r="L425" s="123" t="s">
        <v>1233</v>
      </c>
    </row>
    <row r="426" spans="1:12" x14ac:dyDescent="0.3">
      <c r="A426" s="95">
        <v>45996</v>
      </c>
      <c r="B426">
        <v>1429</v>
      </c>
      <c r="C426" s="123" t="s">
        <v>950</v>
      </c>
      <c r="D426">
        <v>50.75</v>
      </c>
      <c r="E426">
        <v>50.75</v>
      </c>
      <c r="F426">
        <v>50.75</v>
      </c>
      <c r="G426">
        <v>1</v>
      </c>
      <c r="H426">
        <v>0</v>
      </c>
      <c r="J426">
        <v>19755</v>
      </c>
      <c r="K426" s="123" t="s">
        <v>374</v>
      </c>
      <c r="L426" s="123" t="s">
        <v>1200</v>
      </c>
    </row>
    <row r="427" spans="1:12" x14ac:dyDescent="0.3">
      <c r="A427" s="95">
        <v>45996</v>
      </c>
      <c r="B427">
        <v>16773</v>
      </c>
      <c r="C427" s="123" t="s">
        <v>950</v>
      </c>
      <c r="D427">
        <v>81.650000000000006</v>
      </c>
      <c r="E427">
        <v>81.650000000000006</v>
      </c>
      <c r="F427">
        <v>81.650000000000006</v>
      </c>
      <c r="G427">
        <v>1</v>
      </c>
      <c r="H427">
        <v>0</v>
      </c>
      <c r="J427">
        <v>38070</v>
      </c>
      <c r="K427" s="123" t="s">
        <v>1505</v>
      </c>
      <c r="L427" s="123" t="s">
        <v>1506</v>
      </c>
    </row>
    <row r="428" spans="1:12" x14ac:dyDescent="0.3">
      <c r="A428" s="95">
        <v>45996</v>
      </c>
      <c r="B428">
        <v>6154</v>
      </c>
      <c r="C428" s="123" t="s">
        <v>185</v>
      </c>
      <c r="D428">
        <v>0</v>
      </c>
      <c r="E428">
        <v>0.35</v>
      </c>
      <c r="F428">
        <v>0</v>
      </c>
      <c r="G428">
        <v>1</v>
      </c>
      <c r="H428">
        <v>0</v>
      </c>
      <c r="I428">
        <v>3</v>
      </c>
      <c r="J428">
        <v>34268</v>
      </c>
      <c r="K428" s="123" t="s">
        <v>1141</v>
      </c>
      <c r="L428" s="123" t="s">
        <v>1142</v>
      </c>
    </row>
    <row r="429" spans="1:12" x14ac:dyDescent="0.3">
      <c r="A429" s="95">
        <v>45996</v>
      </c>
      <c r="B429">
        <v>5937</v>
      </c>
      <c r="C429" s="123" t="s">
        <v>185</v>
      </c>
      <c r="D429">
        <v>0</v>
      </c>
      <c r="E429">
        <v>0.28000000000000003</v>
      </c>
      <c r="F429">
        <v>0</v>
      </c>
      <c r="G429">
        <v>1</v>
      </c>
      <c r="H429">
        <v>0</v>
      </c>
      <c r="I429">
        <v>320</v>
      </c>
      <c r="J429">
        <v>34160</v>
      </c>
      <c r="K429" s="123" t="s">
        <v>572</v>
      </c>
      <c r="L429" s="123" t="s">
        <v>1282</v>
      </c>
    </row>
    <row r="430" spans="1:12" x14ac:dyDescent="0.3">
      <c r="A430" s="95">
        <v>45996</v>
      </c>
      <c r="B430">
        <v>9981</v>
      </c>
      <c r="C430" s="123" t="s">
        <v>185</v>
      </c>
      <c r="D430">
        <v>4.742</v>
      </c>
      <c r="E430">
        <v>6762.49</v>
      </c>
      <c r="F430">
        <v>4.7130000000000001</v>
      </c>
      <c r="G430">
        <v>1</v>
      </c>
      <c r="H430">
        <v>0</v>
      </c>
      <c r="I430">
        <v>774</v>
      </c>
      <c r="J430">
        <v>35477</v>
      </c>
      <c r="K430" s="123" t="s">
        <v>484</v>
      </c>
      <c r="L430" s="123" t="s">
        <v>1227</v>
      </c>
    </row>
    <row r="431" spans="1:12" x14ac:dyDescent="0.3">
      <c r="A431" s="95">
        <v>45996</v>
      </c>
      <c r="B431">
        <v>1314</v>
      </c>
      <c r="C431" s="123" t="s">
        <v>188</v>
      </c>
      <c r="D431">
        <v>27.79</v>
      </c>
      <c r="E431">
        <v>27.79</v>
      </c>
      <c r="F431">
        <v>27.79</v>
      </c>
      <c r="G431">
        <v>1</v>
      </c>
      <c r="H431">
        <v>0</v>
      </c>
      <c r="I431">
        <v>790</v>
      </c>
      <c r="J431">
        <v>19442</v>
      </c>
      <c r="K431" s="123" t="s">
        <v>309</v>
      </c>
      <c r="L431" s="123" t="s">
        <v>1112</v>
      </c>
    </row>
    <row r="432" spans="1:12" x14ac:dyDescent="0.3">
      <c r="A432" s="95">
        <v>45996</v>
      </c>
      <c r="B432">
        <v>1021</v>
      </c>
      <c r="C432" s="123" t="s">
        <v>185</v>
      </c>
      <c r="D432">
        <v>0</v>
      </c>
      <c r="E432">
        <v>0.32</v>
      </c>
      <c r="F432">
        <v>0</v>
      </c>
      <c r="G432">
        <v>1</v>
      </c>
      <c r="H432">
        <v>0</v>
      </c>
      <c r="I432">
        <v>2</v>
      </c>
      <c r="J432">
        <v>13900</v>
      </c>
      <c r="K432" s="123" t="s">
        <v>462</v>
      </c>
      <c r="L432" s="123" t="s">
        <v>1211</v>
      </c>
    </row>
    <row r="433" spans="1:12" x14ac:dyDescent="0.3">
      <c r="A433" s="95">
        <v>45996</v>
      </c>
      <c r="B433">
        <v>12617</v>
      </c>
      <c r="C433" s="123" t="s">
        <v>950</v>
      </c>
      <c r="D433">
        <v>120260.66</v>
      </c>
      <c r="E433">
        <v>120260.66</v>
      </c>
      <c r="F433">
        <v>120260.66</v>
      </c>
      <c r="G433">
        <v>1</v>
      </c>
      <c r="H433">
        <v>0</v>
      </c>
      <c r="J433">
        <v>35876</v>
      </c>
      <c r="K433" s="123" t="s">
        <v>1512</v>
      </c>
      <c r="L433" s="123" t="s">
        <v>1516</v>
      </c>
    </row>
    <row r="434" spans="1:12" x14ac:dyDescent="0.3">
      <c r="A434" s="95">
        <v>45996</v>
      </c>
      <c r="B434">
        <v>1566</v>
      </c>
      <c r="C434" s="123" t="s">
        <v>801</v>
      </c>
      <c r="D434">
        <v>16991.07</v>
      </c>
      <c r="E434">
        <v>16991.07</v>
      </c>
      <c r="F434">
        <v>16991.07</v>
      </c>
      <c r="G434">
        <v>1</v>
      </c>
      <c r="H434">
        <v>0</v>
      </c>
      <c r="I434">
        <v>13</v>
      </c>
      <c r="J434">
        <v>20248</v>
      </c>
      <c r="K434" s="123" t="s">
        <v>1249</v>
      </c>
      <c r="L434" s="123" t="s">
        <v>1250</v>
      </c>
    </row>
    <row r="435" spans="1:12" x14ac:dyDescent="0.3">
      <c r="A435" s="95">
        <v>45996</v>
      </c>
      <c r="B435">
        <v>12432</v>
      </c>
      <c r="C435" s="123" t="s">
        <v>185</v>
      </c>
      <c r="D435">
        <v>0</v>
      </c>
      <c r="E435">
        <v>0.39</v>
      </c>
      <c r="F435">
        <v>0</v>
      </c>
      <c r="G435">
        <v>1</v>
      </c>
      <c r="H435">
        <v>0</v>
      </c>
      <c r="I435">
        <v>123</v>
      </c>
      <c r="J435">
        <v>35714</v>
      </c>
      <c r="K435" s="123" t="s">
        <v>479</v>
      </c>
      <c r="L435" s="123" t="s">
        <v>1204</v>
      </c>
    </row>
    <row r="436" spans="1:12" x14ac:dyDescent="0.3">
      <c r="A436" s="95">
        <v>45996</v>
      </c>
      <c r="B436">
        <v>7068</v>
      </c>
      <c r="C436" s="123" t="s">
        <v>185</v>
      </c>
      <c r="D436">
        <v>22.279</v>
      </c>
      <c r="E436">
        <v>31769.49</v>
      </c>
      <c r="F436">
        <v>22.138999999999999</v>
      </c>
      <c r="G436">
        <v>1</v>
      </c>
      <c r="H436">
        <v>0</v>
      </c>
      <c r="I436">
        <v>3</v>
      </c>
      <c r="J436">
        <v>34759</v>
      </c>
      <c r="K436" s="123" t="s">
        <v>695</v>
      </c>
      <c r="L436" s="123" t="s">
        <v>1312</v>
      </c>
    </row>
    <row r="437" spans="1:12" x14ac:dyDescent="0.3">
      <c r="A437" s="95">
        <v>45996</v>
      </c>
      <c r="B437">
        <v>12764</v>
      </c>
      <c r="C437" s="123" t="s">
        <v>185</v>
      </c>
      <c r="D437">
        <v>0.34</v>
      </c>
      <c r="E437">
        <v>485.34</v>
      </c>
      <c r="F437">
        <v>0.33800000000000002</v>
      </c>
      <c r="G437">
        <v>1</v>
      </c>
      <c r="H437">
        <v>0</v>
      </c>
      <c r="I437">
        <v>437</v>
      </c>
      <c r="J437">
        <v>35992</v>
      </c>
      <c r="K437" s="123" t="s">
        <v>340</v>
      </c>
      <c r="L437" s="123" t="s">
        <v>1428</v>
      </c>
    </row>
    <row r="438" spans="1:12" x14ac:dyDescent="0.3">
      <c r="A438" s="95">
        <v>45996</v>
      </c>
      <c r="B438">
        <v>15233</v>
      </c>
      <c r="C438" s="123" t="s">
        <v>950</v>
      </c>
      <c r="D438">
        <v>0.94</v>
      </c>
      <c r="E438">
        <v>0.94</v>
      </c>
      <c r="F438">
        <v>0.94</v>
      </c>
      <c r="G438">
        <v>1</v>
      </c>
      <c r="H438">
        <v>0</v>
      </c>
      <c r="J438">
        <v>37359</v>
      </c>
      <c r="K438" s="123" t="s">
        <v>710</v>
      </c>
      <c r="L438" s="123" t="s">
        <v>1232</v>
      </c>
    </row>
    <row r="439" spans="1:12" x14ac:dyDescent="0.3">
      <c r="A439" s="95">
        <v>45996</v>
      </c>
      <c r="B439">
        <v>12829</v>
      </c>
      <c r="C439" s="123" t="s">
        <v>950</v>
      </c>
      <c r="D439">
        <v>0.8</v>
      </c>
      <c r="E439">
        <v>0.8</v>
      </c>
      <c r="F439">
        <v>0.8</v>
      </c>
      <c r="G439">
        <v>1</v>
      </c>
      <c r="H439">
        <v>0</v>
      </c>
      <c r="I439">
        <v>51</v>
      </c>
      <c r="J439">
        <v>36053</v>
      </c>
      <c r="K439" s="123" t="s">
        <v>369</v>
      </c>
      <c r="L439" s="123" t="s">
        <v>1382</v>
      </c>
    </row>
    <row r="440" spans="1:12" x14ac:dyDescent="0.3">
      <c r="A440" s="95">
        <v>45996</v>
      </c>
      <c r="B440">
        <v>5855</v>
      </c>
      <c r="C440" s="123" t="s">
        <v>185</v>
      </c>
      <c r="D440">
        <v>-9.4E-2</v>
      </c>
      <c r="E440">
        <v>-134.5</v>
      </c>
      <c r="F440">
        <v>-9.4E-2</v>
      </c>
      <c r="G440">
        <v>0</v>
      </c>
      <c r="H440">
        <v>683</v>
      </c>
      <c r="I440">
        <v>0</v>
      </c>
      <c r="J440">
        <v>34095</v>
      </c>
      <c r="K440" s="123" t="s">
        <v>406</v>
      </c>
      <c r="L440" s="123" t="s">
        <v>1440</v>
      </c>
    </row>
    <row r="441" spans="1:12" x14ac:dyDescent="0.3">
      <c r="A441" s="95">
        <v>45996</v>
      </c>
      <c r="B441">
        <v>6247</v>
      </c>
      <c r="C441" s="123" t="s">
        <v>185</v>
      </c>
      <c r="D441">
        <v>1E-3</v>
      </c>
      <c r="E441">
        <v>0.97</v>
      </c>
      <c r="F441">
        <v>1E-3</v>
      </c>
      <c r="G441">
        <v>1</v>
      </c>
      <c r="H441">
        <v>0</v>
      </c>
      <c r="I441">
        <v>4</v>
      </c>
      <c r="J441">
        <v>34358</v>
      </c>
      <c r="K441" s="123" t="s">
        <v>1373</v>
      </c>
      <c r="L441" s="123" t="s">
        <v>1374</v>
      </c>
    </row>
    <row r="442" spans="1:12" x14ac:dyDescent="0.3">
      <c r="A442" s="95">
        <v>45996</v>
      </c>
      <c r="B442">
        <v>2823</v>
      </c>
      <c r="C442" s="123" t="s">
        <v>185</v>
      </c>
      <c r="D442">
        <v>-0.66900000000000004</v>
      </c>
      <c r="E442">
        <v>-954.15</v>
      </c>
      <c r="F442">
        <v>-0.66500000000000004</v>
      </c>
      <c r="G442">
        <v>0</v>
      </c>
      <c r="H442">
        <v>256</v>
      </c>
      <c r="I442">
        <v>0</v>
      </c>
      <c r="J442">
        <v>31151</v>
      </c>
      <c r="K442" s="123" t="s">
        <v>579</v>
      </c>
      <c r="L442" s="123" t="s">
        <v>953</v>
      </c>
    </row>
    <row r="443" spans="1:12" x14ac:dyDescent="0.3">
      <c r="A443" s="95">
        <v>45996</v>
      </c>
      <c r="B443">
        <v>5535</v>
      </c>
      <c r="C443" s="123" t="s">
        <v>188</v>
      </c>
      <c r="D443">
        <v>2519.52</v>
      </c>
      <c r="E443">
        <v>2519.52</v>
      </c>
      <c r="F443">
        <v>2519.52</v>
      </c>
      <c r="G443">
        <v>1</v>
      </c>
      <c r="H443">
        <v>0</v>
      </c>
      <c r="I443">
        <v>790</v>
      </c>
      <c r="J443">
        <v>33774</v>
      </c>
      <c r="K443" s="123" t="s">
        <v>126</v>
      </c>
      <c r="L443" s="123" t="s">
        <v>947</v>
      </c>
    </row>
    <row r="444" spans="1:12" x14ac:dyDescent="0.3">
      <c r="A444" s="95">
        <v>45996</v>
      </c>
      <c r="B444">
        <v>5975</v>
      </c>
      <c r="C444" s="123" t="s">
        <v>801</v>
      </c>
      <c r="D444">
        <v>-1332.4</v>
      </c>
      <c r="E444">
        <v>-1332.4</v>
      </c>
      <c r="F444">
        <v>-1332.4</v>
      </c>
      <c r="G444">
        <v>0</v>
      </c>
      <c r="H444">
        <v>103</v>
      </c>
      <c r="I444">
        <v>0</v>
      </c>
      <c r="J444">
        <v>31332</v>
      </c>
      <c r="K444" s="123" t="s">
        <v>541</v>
      </c>
      <c r="L444" s="123" t="s">
        <v>955</v>
      </c>
    </row>
    <row r="445" spans="1:12" x14ac:dyDescent="0.3">
      <c r="A445" s="95">
        <v>45996</v>
      </c>
      <c r="B445">
        <v>14834</v>
      </c>
      <c r="C445" s="123" t="s">
        <v>185</v>
      </c>
      <c r="D445">
        <v>0</v>
      </c>
      <c r="E445">
        <v>0.28000000000000003</v>
      </c>
      <c r="F445">
        <v>0</v>
      </c>
      <c r="G445">
        <v>1</v>
      </c>
      <c r="H445">
        <v>0</v>
      </c>
      <c r="I445">
        <v>11</v>
      </c>
      <c r="J445">
        <v>37055</v>
      </c>
      <c r="K445" s="123" t="s">
        <v>956</v>
      </c>
      <c r="L445" s="123" t="s">
        <v>957</v>
      </c>
    </row>
    <row r="446" spans="1:12" x14ac:dyDescent="0.3">
      <c r="A446" s="95">
        <v>45996</v>
      </c>
      <c r="B446">
        <v>2207</v>
      </c>
      <c r="C446" s="123" t="s">
        <v>185</v>
      </c>
      <c r="D446">
        <v>63.723999999999997</v>
      </c>
      <c r="E446">
        <v>90870</v>
      </c>
      <c r="F446">
        <v>63.323999999999998</v>
      </c>
      <c r="G446">
        <v>1</v>
      </c>
      <c r="H446">
        <v>0</v>
      </c>
      <c r="J446">
        <v>30215</v>
      </c>
      <c r="K446" s="123" t="s">
        <v>324</v>
      </c>
      <c r="L446" s="123" t="s">
        <v>1012</v>
      </c>
    </row>
    <row r="447" spans="1:12" x14ac:dyDescent="0.3">
      <c r="A447" s="95">
        <v>45996</v>
      </c>
      <c r="B447">
        <v>2009</v>
      </c>
      <c r="C447" s="123" t="s">
        <v>801</v>
      </c>
      <c r="D447">
        <v>-5179.87</v>
      </c>
      <c r="E447">
        <v>-5179.87</v>
      </c>
      <c r="F447">
        <v>-5179.87</v>
      </c>
      <c r="G447">
        <v>0</v>
      </c>
      <c r="H447">
        <v>73</v>
      </c>
      <c r="I447">
        <v>0</v>
      </c>
      <c r="J447">
        <v>20896</v>
      </c>
      <c r="K447" s="123" t="s">
        <v>318</v>
      </c>
      <c r="L447" s="123" t="s">
        <v>980</v>
      </c>
    </row>
    <row r="448" spans="1:12" x14ac:dyDescent="0.3">
      <c r="A448" s="95">
        <v>45996</v>
      </c>
      <c r="B448">
        <v>1315</v>
      </c>
      <c r="C448" s="123" t="s">
        <v>185</v>
      </c>
      <c r="D448">
        <v>0</v>
      </c>
      <c r="E448">
        <v>0</v>
      </c>
      <c r="F448">
        <v>0</v>
      </c>
      <c r="G448">
        <v>0</v>
      </c>
      <c r="H448">
        <v>2</v>
      </c>
      <c r="I448">
        <v>0</v>
      </c>
      <c r="J448">
        <v>7247</v>
      </c>
      <c r="K448" s="123" t="s">
        <v>574</v>
      </c>
      <c r="L448" s="123" t="s">
        <v>1027</v>
      </c>
    </row>
    <row r="449" spans="1:12" x14ac:dyDescent="0.3">
      <c r="A449" s="95">
        <v>45996</v>
      </c>
      <c r="B449">
        <v>12922</v>
      </c>
      <c r="C449" s="123" t="s">
        <v>188</v>
      </c>
      <c r="D449">
        <v>225613.52</v>
      </c>
      <c r="E449">
        <v>225613.52</v>
      </c>
      <c r="F449">
        <v>225613.52</v>
      </c>
      <c r="G449">
        <v>1</v>
      </c>
      <c r="H449">
        <v>0</v>
      </c>
      <c r="I449">
        <v>22</v>
      </c>
      <c r="J449">
        <v>36140</v>
      </c>
      <c r="K449" s="123" t="s">
        <v>128</v>
      </c>
      <c r="L449" s="123" t="s">
        <v>1042</v>
      </c>
    </row>
    <row r="450" spans="1:12" x14ac:dyDescent="0.3">
      <c r="A450" s="95">
        <v>45996</v>
      </c>
      <c r="B450">
        <v>9936</v>
      </c>
      <c r="C450" s="123" t="s">
        <v>185</v>
      </c>
      <c r="D450">
        <v>-68.388999999999996</v>
      </c>
      <c r="E450">
        <v>-97522.27</v>
      </c>
      <c r="F450">
        <v>-67.959999999999994</v>
      </c>
      <c r="G450">
        <v>0</v>
      </c>
      <c r="H450">
        <v>61</v>
      </c>
      <c r="I450">
        <v>0</v>
      </c>
      <c r="J450">
        <v>35436</v>
      </c>
      <c r="K450" s="123" t="s">
        <v>300</v>
      </c>
      <c r="L450" s="123" t="s">
        <v>1037</v>
      </c>
    </row>
    <row r="451" spans="1:12" x14ac:dyDescent="0.3">
      <c r="A451" s="95">
        <v>45996</v>
      </c>
      <c r="B451">
        <v>9937</v>
      </c>
      <c r="C451" s="123" t="s">
        <v>185</v>
      </c>
      <c r="D451">
        <v>25.731000000000002</v>
      </c>
      <c r="E451">
        <v>36692.06</v>
      </c>
      <c r="F451">
        <v>25.568999999999999</v>
      </c>
      <c r="G451">
        <v>1</v>
      </c>
      <c r="H451">
        <v>0</v>
      </c>
      <c r="I451">
        <v>710</v>
      </c>
      <c r="J451">
        <v>35437</v>
      </c>
      <c r="K451" s="123" t="s">
        <v>332</v>
      </c>
      <c r="L451" s="123" t="s">
        <v>1173</v>
      </c>
    </row>
    <row r="452" spans="1:12" x14ac:dyDescent="0.3">
      <c r="A452" s="95">
        <v>45996</v>
      </c>
      <c r="B452">
        <v>5197</v>
      </c>
      <c r="C452" s="123" t="s">
        <v>185</v>
      </c>
      <c r="D452">
        <v>0</v>
      </c>
      <c r="E452">
        <v>-0.22</v>
      </c>
      <c r="F452">
        <v>0</v>
      </c>
      <c r="G452">
        <v>0</v>
      </c>
      <c r="H452">
        <v>3</v>
      </c>
      <c r="I452">
        <v>0</v>
      </c>
      <c r="J452">
        <v>33322</v>
      </c>
      <c r="K452" s="123" t="s">
        <v>500</v>
      </c>
      <c r="L452" s="123" t="s">
        <v>1233</v>
      </c>
    </row>
    <row r="453" spans="1:12" x14ac:dyDescent="0.3">
      <c r="A453" s="95">
        <v>45996</v>
      </c>
      <c r="B453">
        <v>1429</v>
      </c>
      <c r="C453" s="123" t="s">
        <v>185</v>
      </c>
      <c r="D453">
        <v>-1.2999999999999999E-2</v>
      </c>
      <c r="E453">
        <v>-19.23</v>
      </c>
      <c r="F453">
        <v>-1.2999999999999999E-2</v>
      </c>
      <c r="G453">
        <v>0</v>
      </c>
      <c r="H453">
        <v>8</v>
      </c>
      <c r="I453">
        <v>0</v>
      </c>
      <c r="J453">
        <v>19755</v>
      </c>
      <c r="K453" s="123" t="s">
        <v>374</v>
      </c>
      <c r="L453" s="123" t="s">
        <v>1200</v>
      </c>
    </row>
    <row r="454" spans="1:12" x14ac:dyDescent="0.3">
      <c r="A454" s="95">
        <v>45996</v>
      </c>
      <c r="B454">
        <v>16773</v>
      </c>
      <c r="C454" s="123" t="s">
        <v>185</v>
      </c>
      <c r="D454">
        <v>9.266</v>
      </c>
      <c r="E454">
        <v>13213.02</v>
      </c>
      <c r="F454">
        <v>9.2080000000000002</v>
      </c>
      <c r="G454">
        <v>1</v>
      </c>
      <c r="H454">
        <v>0</v>
      </c>
      <c r="I454">
        <v>5</v>
      </c>
      <c r="J454">
        <v>38070</v>
      </c>
      <c r="K454" s="123" t="s">
        <v>1505</v>
      </c>
      <c r="L454" s="123" t="s">
        <v>1506</v>
      </c>
    </row>
    <row r="455" spans="1:12" x14ac:dyDescent="0.3">
      <c r="A455" s="95">
        <v>45996</v>
      </c>
      <c r="B455">
        <v>15123</v>
      </c>
      <c r="C455" s="123" t="s">
        <v>950</v>
      </c>
      <c r="D455">
        <v>6.7</v>
      </c>
      <c r="E455">
        <v>6.7</v>
      </c>
      <c r="F455">
        <v>6.7</v>
      </c>
      <c r="G455">
        <v>1</v>
      </c>
      <c r="H455">
        <v>0</v>
      </c>
      <c r="J455">
        <v>37264</v>
      </c>
      <c r="K455" s="123" t="s">
        <v>1212</v>
      </c>
      <c r="L455" s="123" t="s">
        <v>1213</v>
      </c>
    </row>
    <row r="456" spans="1:12" x14ac:dyDescent="0.3">
      <c r="A456" s="95">
        <v>45996</v>
      </c>
      <c r="B456">
        <v>7012</v>
      </c>
      <c r="C456" s="123" t="s">
        <v>188</v>
      </c>
      <c r="D456">
        <v>2.25</v>
      </c>
      <c r="E456">
        <v>2.25</v>
      </c>
      <c r="F456">
        <v>2.25</v>
      </c>
      <c r="G456">
        <v>1</v>
      </c>
      <c r="H456">
        <v>0</v>
      </c>
      <c r="J456">
        <v>34708</v>
      </c>
      <c r="K456" s="123" t="s">
        <v>626</v>
      </c>
      <c r="L456" s="123" t="s">
        <v>1203</v>
      </c>
    </row>
    <row r="457" spans="1:12" x14ac:dyDescent="0.3">
      <c r="A457" s="95">
        <v>45996</v>
      </c>
      <c r="B457">
        <v>13287</v>
      </c>
      <c r="C457" s="123" t="s">
        <v>188</v>
      </c>
      <c r="D457">
        <v>0.39</v>
      </c>
      <c r="E457">
        <v>0.39</v>
      </c>
      <c r="F457">
        <v>0.39</v>
      </c>
      <c r="G457">
        <v>1</v>
      </c>
      <c r="H457">
        <v>0</v>
      </c>
      <c r="I457">
        <v>446</v>
      </c>
      <c r="J457">
        <v>36472</v>
      </c>
      <c r="K457" s="123" t="s">
        <v>467</v>
      </c>
      <c r="L457" s="123" t="s">
        <v>1174</v>
      </c>
    </row>
    <row r="458" spans="1:12" x14ac:dyDescent="0.3">
      <c r="A458" s="95">
        <v>45996</v>
      </c>
      <c r="B458">
        <v>1314</v>
      </c>
      <c r="C458" s="123" t="s">
        <v>185</v>
      </c>
      <c r="D458">
        <v>-22966.364000000001</v>
      </c>
      <c r="E458">
        <v>-32750034.68</v>
      </c>
      <c r="F458">
        <v>-22822.324000000001</v>
      </c>
      <c r="G458">
        <v>0</v>
      </c>
      <c r="H458">
        <v>177</v>
      </c>
      <c r="I458">
        <v>0</v>
      </c>
      <c r="J458">
        <v>19442</v>
      </c>
      <c r="K458" s="123" t="s">
        <v>309</v>
      </c>
      <c r="L458" s="123" t="s">
        <v>1112</v>
      </c>
    </row>
    <row r="459" spans="1:12" x14ac:dyDescent="0.3">
      <c r="A459" s="95">
        <v>45996</v>
      </c>
      <c r="B459">
        <v>1667</v>
      </c>
      <c r="C459" s="123" t="s">
        <v>185</v>
      </c>
      <c r="D459">
        <v>28.388000000000002</v>
      </c>
      <c r="E459">
        <v>40481.03</v>
      </c>
      <c r="F459">
        <v>28.21</v>
      </c>
      <c r="G459">
        <v>1</v>
      </c>
      <c r="H459">
        <v>0</v>
      </c>
      <c r="J459">
        <v>20443</v>
      </c>
      <c r="K459" s="123" t="s">
        <v>1518</v>
      </c>
      <c r="L459" s="123" t="s">
        <v>1519</v>
      </c>
    </row>
    <row r="460" spans="1:12" x14ac:dyDescent="0.3">
      <c r="A460" s="95">
        <v>45996</v>
      </c>
      <c r="B460">
        <v>12617</v>
      </c>
      <c r="C460" s="123" t="s">
        <v>185</v>
      </c>
      <c r="D460">
        <v>-115.02800000000001</v>
      </c>
      <c r="E460">
        <v>-164030.39999999999</v>
      </c>
      <c r="F460">
        <v>-114.307</v>
      </c>
      <c r="G460">
        <v>0</v>
      </c>
      <c r="I460">
        <v>0</v>
      </c>
      <c r="J460">
        <v>35876</v>
      </c>
      <c r="K460" s="123" t="s">
        <v>1512</v>
      </c>
      <c r="L460" s="123" t="s">
        <v>1516</v>
      </c>
    </row>
    <row r="461" spans="1:12" x14ac:dyDescent="0.3">
      <c r="A461" s="95">
        <v>45996</v>
      </c>
      <c r="B461">
        <v>2299</v>
      </c>
      <c r="C461" s="123" t="s">
        <v>188</v>
      </c>
      <c r="D461">
        <v>-7.0000000000000007E-2</v>
      </c>
      <c r="E461">
        <v>-7.0000000000000007E-2</v>
      </c>
      <c r="F461">
        <v>-7.0000000000000007E-2</v>
      </c>
      <c r="G461">
        <v>0</v>
      </c>
      <c r="H461">
        <v>221</v>
      </c>
      <c r="I461">
        <v>0</v>
      </c>
      <c r="J461">
        <v>30388</v>
      </c>
      <c r="K461" s="123" t="s">
        <v>290</v>
      </c>
      <c r="L461" s="123" t="s">
        <v>1160</v>
      </c>
    </row>
    <row r="462" spans="1:12" x14ac:dyDescent="0.3">
      <c r="A462" s="95">
        <v>45996</v>
      </c>
      <c r="B462">
        <v>12432</v>
      </c>
      <c r="C462" s="123" t="s">
        <v>950</v>
      </c>
      <c r="D462">
        <v>430.68</v>
      </c>
      <c r="E462">
        <v>430.68</v>
      </c>
      <c r="F462">
        <v>430.68</v>
      </c>
      <c r="G462">
        <v>1</v>
      </c>
      <c r="H462">
        <v>0</v>
      </c>
      <c r="I462">
        <v>351</v>
      </c>
      <c r="J462">
        <v>35714</v>
      </c>
      <c r="K462" s="123" t="s">
        <v>479</v>
      </c>
      <c r="L462" s="123" t="s">
        <v>1204</v>
      </c>
    </row>
    <row r="463" spans="1:12" x14ac:dyDescent="0.3">
      <c r="A463" s="95">
        <v>45996</v>
      </c>
      <c r="B463">
        <v>7068</v>
      </c>
      <c r="C463" s="123" t="s">
        <v>950</v>
      </c>
      <c r="D463">
        <v>-0.21</v>
      </c>
      <c r="E463">
        <v>-0.21</v>
      </c>
      <c r="F463">
        <v>-0.21</v>
      </c>
      <c r="G463">
        <v>0</v>
      </c>
      <c r="H463">
        <v>2</v>
      </c>
      <c r="I463">
        <v>0</v>
      </c>
      <c r="J463">
        <v>34759</v>
      </c>
      <c r="K463" s="123" t="s">
        <v>695</v>
      </c>
      <c r="L463" s="123" t="s">
        <v>1312</v>
      </c>
    </row>
    <row r="464" spans="1:12" x14ac:dyDescent="0.3">
      <c r="A464" s="95">
        <v>45996</v>
      </c>
      <c r="B464">
        <v>13719</v>
      </c>
      <c r="C464" s="123" t="s">
        <v>801</v>
      </c>
      <c r="D464">
        <v>-78806.86</v>
      </c>
      <c r="E464">
        <v>-78806.86</v>
      </c>
      <c r="F464">
        <v>-78806.86</v>
      </c>
      <c r="G464">
        <v>0</v>
      </c>
      <c r="H464">
        <v>102</v>
      </c>
      <c r="I464">
        <v>0</v>
      </c>
      <c r="J464">
        <v>36879</v>
      </c>
      <c r="K464" s="123" t="s">
        <v>1340</v>
      </c>
      <c r="L464" s="123" t="s">
        <v>1341</v>
      </c>
    </row>
    <row r="465" spans="1:12" x14ac:dyDescent="0.3">
      <c r="A465" s="95">
        <v>45996</v>
      </c>
      <c r="B465">
        <v>12829</v>
      </c>
      <c r="C465" s="123" t="s">
        <v>185</v>
      </c>
      <c r="D465">
        <v>119.21899999999999</v>
      </c>
      <c r="E465">
        <v>170006.99</v>
      </c>
      <c r="F465">
        <v>118.47199999999999</v>
      </c>
      <c r="G465">
        <v>1</v>
      </c>
      <c r="H465">
        <v>0</v>
      </c>
      <c r="I465">
        <v>79</v>
      </c>
      <c r="J465">
        <v>36053</v>
      </c>
      <c r="K465" s="123" t="s">
        <v>369</v>
      </c>
      <c r="L465" s="123" t="s">
        <v>1382</v>
      </c>
    </row>
    <row r="466" spans="1:12" x14ac:dyDescent="0.3">
      <c r="A466" s="95">
        <v>45996</v>
      </c>
      <c r="B466">
        <v>12519</v>
      </c>
      <c r="C466" s="123" t="s">
        <v>950</v>
      </c>
      <c r="D466">
        <v>47.2</v>
      </c>
      <c r="E466">
        <v>47.2</v>
      </c>
      <c r="F466">
        <v>47.2</v>
      </c>
      <c r="G466">
        <v>1</v>
      </c>
      <c r="H466">
        <v>0</v>
      </c>
      <c r="I466">
        <v>583</v>
      </c>
      <c r="J466">
        <v>35782</v>
      </c>
      <c r="K466" s="123" t="s">
        <v>297</v>
      </c>
      <c r="L466" s="123" t="s">
        <v>1367</v>
      </c>
    </row>
    <row r="467" spans="1:12" x14ac:dyDescent="0.3">
      <c r="A467" s="95">
        <v>45996</v>
      </c>
      <c r="B467">
        <v>6247</v>
      </c>
      <c r="C467" s="123" t="s">
        <v>950</v>
      </c>
      <c r="D467">
        <v>9712.0400000000009</v>
      </c>
      <c r="E467">
        <v>9712.0400000000009</v>
      </c>
      <c r="F467">
        <v>9712.0400000000009</v>
      </c>
      <c r="G467">
        <v>1</v>
      </c>
      <c r="H467">
        <v>0</v>
      </c>
      <c r="J467">
        <v>34358</v>
      </c>
      <c r="K467" s="123" t="s">
        <v>1373</v>
      </c>
      <c r="L467" s="123" t="s">
        <v>1374</v>
      </c>
    </row>
    <row r="468" spans="1:12" x14ac:dyDescent="0.3">
      <c r="A468" s="95">
        <v>45996</v>
      </c>
      <c r="B468">
        <v>5356</v>
      </c>
      <c r="C468" s="123" t="s">
        <v>185</v>
      </c>
      <c r="D468">
        <v>0</v>
      </c>
      <c r="E468">
        <v>0.46</v>
      </c>
      <c r="F468">
        <v>0</v>
      </c>
      <c r="G468">
        <v>1</v>
      </c>
      <c r="H468">
        <v>0</v>
      </c>
      <c r="I468">
        <v>2</v>
      </c>
      <c r="J468">
        <v>33310</v>
      </c>
      <c r="K468" s="123" t="s">
        <v>540</v>
      </c>
      <c r="L468" s="123" t="s">
        <v>958</v>
      </c>
    </row>
    <row r="469" spans="1:12" x14ac:dyDescent="0.3">
      <c r="A469" s="95">
        <v>45996</v>
      </c>
      <c r="B469">
        <v>5870</v>
      </c>
      <c r="C469" s="123" t="s">
        <v>185</v>
      </c>
      <c r="D469">
        <v>-0.60599999999999998</v>
      </c>
      <c r="E469">
        <v>-863.85</v>
      </c>
      <c r="F469">
        <v>-0.60199999999999998</v>
      </c>
      <c r="G469">
        <v>0</v>
      </c>
      <c r="H469">
        <v>476</v>
      </c>
      <c r="I469">
        <v>0</v>
      </c>
      <c r="J469">
        <v>33225</v>
      </c>
      <c r="K469" s="123" t="s">
        <v>284</v>
      </c>
      <c r="L469" s="123" t="s">
        <v>949</v>
      </c>
    </row>
    <row r="470" spans="1:12" x14ac:dyDescent="0.3">
      <c r="A470" s="95">
        <v>45996</v>
      </c>
      <c r="B470">
        <v>5975</v>
      </c>
      <c r="C470" s="123" t="s">
        <v>185</v>
      </c>
      <c r="D470">
        <v>0</v>
      </c>
      <c r="E470">
        <v>-0.32</v>
      </c>
      <c r="F470">
        <v>0</v>
      </c>
      <c r="G470">
        <v>0</v>
      </c>
      <c r="H470">
        <v>4</v>
      </c>
      <c r="I470">
        <v>0</v>
      </c>
      <c r="J470">
        <v>31332</v>
      </c>
      <c r="K470" s="123" t="s">
        <v>541</v>
      </c>
      <c r="L470" s="123" t="s">
        <v>955</v>
      </c>
    </row>
    <row r="471" spans="1:12" x14ac:dyDescent="0.3">
      <c r="A471" s="95">
        <v>45996</v>
      </c>
      <c r="B471">
        <v>4260</v>
      </c>
      <c r="C471" s="123" t="s">
        <v>185</v>
      </c>
      <c r="D471">
        <v>1.9419999999999999</v>
      </c>
      <c r="E471">
        <v>2769.84</v>
      </c>
      <c r="F471">
        <v>1.93</v>
      </c>
      <c r="G471">
        <v>1</v>
      </c>
      <c r="H471">
        <v>0</v>
      </c>
      <c r="I471">
        <v>790</v>
      </c>
      <c r="K471" s="123" t="s">
        <v>211</v>
      </c>
      <c r="L471" s="123" t="s">
        <v>993</v>
      </c>
    </row>
    <row r="472" spans="1:12" x14ac:dyDescent="0.3">
      <c r="A472" s="95">
        <v>45996</v>
      </c>
      <c r="B472">
        <v>8017</v>
      </c>
      <c r="C472" s="123" t="s">
        <v>185</v>
      </c>
      <c r="D472">
        <v>7.5999999999999998E-2</v>
      </c>
      <c r="E472">
        <v>107.95</v>
      </c>
      <c r="F472">
        <v>7.4999999999999997E-2</v>
      </c>
      <c r="G472">
        <v>1</v>
      </c>
      <c r="H472">
        <v>0</v>
      </c>
      <c r="I472">
        <v>9</v>
      </c>
      <c r="J472">
        <v>35241</v>
      </c>
      <c r="K472" s="123" t="s">
        <v>294</v>
      </c>
      <c r="L472" s="123" t="s">
        <v>1100</v>
      </c>
    </row>
    <row r="473" spans="1:12" x14ac:dyDescent="0.3">
      <c r="A473" s="95">
        <v>45996</v>
      </c>
      <c r="B473">
        <v>1504</v>
      </c>
      <c r="C473" s="123" t="s">
        <v>185</v>
      </c>
      <c r="D473">
        <v>0</v>
      </c>
      <c r="E473">
        <v>0.23</v>
      </c>
      <c r="F473">
        <v>0</v>
      </c>
      <c r="G473">
        <v>1</v>
      </c>
      <c r="H473">
        <v>0</v>
      </c>
      <c r="I473">
        <v>3</v>
      </c>
      <c r="J473">
        <v>19963</v>
      </c>
      <c r="K473" s="123" t="s">
        <v>461</v>
      </c>
      <c r="L473" s="123" t="s">
        <v>1191</v>
      </c>
    </row>
    <row r="474" spans="1:12" x14ac:dyDescent="0.3">
      <c r="A474" s="95">
        <v>45996</v>
      </c>
      <c r="B474">
        <v>12922</v>
      </c>
      <c r="C474" s="123" t="s">
        <v>801</v>
      </c>
      <c r="D474">
        <v>729.6</v>
      </c>
      <c r="E474">
        <v>729.6</v>
      </c>
      <c r="F474">
        <v>729.6</v>
      </c>
      <c r="G474">
        <v>1</v>
      </c>
      <c r="H474">
        <v>0</v>
      </c>
      <c r="I474">
        <v>70</v>
      </c>
      <c r="J474">
        <v>36140</v>
      </c>
      <c r="K474" s="123" t="s">
        <v>128</v>
      </c>
      <c r="L474" s="123" t="s">
        <v>1042</v>
      </c>
    </row>
    <row r="475" spans="1:12" x14ac:dyDescent="0.3">
      <c r="A475" s="95">
        <v>45996</v>
      </c>
      <c r="B475">
        <v>9936</v>
      </c>
      <c r="C475" s="123" t="s">
        <v>188</v>
      </c>
      <c r="D475">
        <v>141.74</v>
      </c>
      <c r="E475">
        <v>141.74</v>
      </c>
      <c r="F475">
        <v>141.74</v>
      </c>
      <c r="G475">
        <v>1</v>
      </c>
      <c r="H475">
        <v>0</v>
      </c>
      <c r="I475">
        <v>279</v>
      </c>
      <c r="J475">
        <v>35436</v>
      </c>
      <c r="K475" s="123" t="s">
        <v>300</v>
      </c>
      <c r="L475" s="123" t="s">
        <v>1037</v>
      </c>
    </row>
    <row r="476" spans="1:12" x14ac:dyDescent="0.3">
      <c r="A476" s="95">
        <v>45996</v>
      </c>
      <c r="B476">
        <v>15004</v>
      </c>
      <c r="C476" s="123" t="s">
        <v>185</v>
      </c>
      <c r="D476">
        <v>10.93</v>
      </c>
      <c r="E476">
        <v>15585.52</v>
      </c>
      <c r="F476">
        <v>10.861000000000001</v>
      </c>
      <c r="G476">
        <v>1</v>
      </c>
      <c r="H476">
        <v>0</v>
      </c>
      <c r="I476">
        <v>80</v>
      </c>
      <c r="J476">
        <v>37208</v>
      </c>
      <c r="K476" s="123" t="s">
        <v>1113</v>
      </c>
      <c r="L476" s="123" t="s">
        <v>1114</v>
      </c>
    </row>
    <row r="477" spans="1:12" x14ac:dyDescent="0.3">
      <c r="A477" s="95">
        <v>45996</v>
      </c>
      <c r="B477">
        <v>5197</v>
      </c>
      <c r="C477" s="123" t="s">
        <v>801</v>
      </c>
      <c r="D477">
        <v>0</v>
      </c>
      <c r="E477">
        <v>0</v>
      </c>
      <c r="F477">
        <v>0</v>
      </c>
      <c r="G477">
        <v>0</v>
      </c>
      <c r="H477">
        <v>30</v>
      </c>
      <c r="I477">
        <v>0</v>
      </c>
      <c r="J477">
        <v>33322</v>
      </c>
      <c r="K477" s="123" t="s">
        <v>500</v>
      </c>
      <c r="L477" s="123" t="s">
        <v>1233</v>
      </c>
    </row>
    <row r="478" spans="1:12" x14ac:dyDescent="0.3">
      <c r="A478" s="95">
        <v>45996</v>
      </c>
      <c r="B478">
        <v>1538</v>
      </c>
      <c r="C478" s="123" t="s">
        <v>801</v>
      </c>
      <c r="D478">
        <v>0</v>
      </c>
      <c r="E478">
        <v>0</v>
      </c>
      <c r="F478">
        <v>0</v>
      </c>
      <c r="G478">
        <v>0</v>
      </c>
      <c r="H478">
        <v>5</v>
      </c>
      <c r="I478">
        <v>0</v>
      </c>
      <c r="J478">
        <v>19820</v>
      </c>
      <c r="K478" s="123" t="s">
        <v>216</v>
      </c>
      <c r="L478" s="123" t="s">
        <v>1146</v>
      </c>
    </row>
    <row r="479" spans="1:12" x14ac:dyDescent="0.3">
      <c r="A479" s="95">
        <v>45996</v>
      </c>
      <c r="B479">
        <v>15123</v>
      </c>
      <c r="C479" s="123" t="s">
        <v>185</v>
      </c>
      <c r="D479">
        <v>-4.4939999999999998</v>
      </c>
      <c r="E479">
        <v>-6407.8</v>
      </c>
      <c r="F479">
        <v>-4.4649999999999999</v>
      </c>
      <c r="G479">
        <v>0</v>
      </c>
      <c r="I479">
        <v>0</v>
      </c>
      <c r="J479">
        <v>37264</v>
      </c>
      <c r="K479" s="123" t="s">
        <v>1212</v>
      </c>
      <c r="L479" s="123" t="s">
        <v>1213</v>
      </c>
    </row>
    <row r="480" spans="1:12" x14ac:dyDescent="0.3">
      <c r="A480" s="95">
        <v>45996</v>
      </c>
      <c r="B480">
        <v>7012</v>
      </c>
      <c r="C480" s="123" t="s">
        <v>950</v>
      </c>
      <c r="D480">
        <v>-5.63</v>
      </c>
      <c r="E480">
        <v>-5.63</v>
      </c>
      <c r="F480">
        <v>-5.63</v>
      </c>
      <c r="G480">
        <v>0</v>
      </c>
      <c r="H480">
        <v>98</v>
      </c>
      <c r="I480">
        <v>0</v>
      </c>
      <c r="J480">
        <v>34708</v>
      </c>
      <c r="K480" s="123" t="s">
        <v>626</v>
      </c>
      <c r="L480" s="123" t="s">
        <v>1203</v>
      </c>
    </row>
    <row r="481" spans="1:12" x14ac:dyDescent="0.3">
      <c r="A481" s="95">
        <v>45996</v>
      </c>
      <c r="B481">
        <v>14997</v>
      </c>
      <c r="C481" s="123" t="s">
        <v>950</v>
      </c>
      <c r="D481">
        <v>1.86</v>
      </c>
      <c r="E481">
        <v>1.86</v>
      </c>
      <c r="F481">
        <v>1.86</v>
      </c>
      <c r="G481">
        <v>1</v>
      </c>
      <c r="H481">
        <v>0</v>
      </c>
      <c r="J481">
        <v>37202</v>
      </c>
      <c r="K481" s="123" t="s">
        <v>1179</v>
      </c>
      <c r="L481" s="123" t="s">
        <v>1180</v>
      </c>
    </row>
    <row r="482" spans="1:12" x14ac:dyDescent="0.3">
      <c r="A482" s="95">
        <v>45996</v>
      </c>
      <c r="B482">
        <v>1314</v>
      </c>
      <c r="C482" s="123" t="s">
        <v>950</v>
      </c>
      <c r="D482">
        <v>1099.55</v>
      </c>
      <c r="E482">
        <v>1099.55</v>
      </c>
      <c r="F482">
        <v>1099.55</v>
      </c>
      <c r="G482">
        <v>1</v>
      </c>
      <c r="H482">
        <v>0</v>
      </c>
      <c r="I482">
        <v>349</v>
      </c>
      <c r="J482">
        <v>19442</v>
      </c>
      <c r="K482" s="123" t="s">
        <v>309</v>
      </c>
      <c r="L482" s="123" t="s">
        <v>1112</v>
      </c>
    </row>
    <row r="483" spans="1:12" x14ac:dyDescent="0.3">
      <c r="A483" s="95">
        <v>45996</v>
      </c>
      <c r="B483">
        <v>2162</v>
      </c>
      <c r="C483" s="123" t="s">
        <v>188</v>
      </c>
      <c r="D483">
        <v>207.36</v>
      </c>
      <c r="E483">
        <v>207.36</v>
      </c>
      <c r="F483">
        <v>207.36</v>
      </c>
      <c r="G483">
        <v>1</v>
      </c>
      <c r="H483">
        <v>0</v>
      </c>
      <c r="J483">
        <v>30101</v>
      </c>
      <c r="K483" s="123" t="s">
        <v>391</v>
      </c>
      <c r="L483" s="123" t="s">
        <v>1216</v>
      </c>
    </row>
    <row r="484" spans="1:12" x14ac:dyDescent="0.3">
      <c r="A484" s="95">
        <v>45996</v>
      </c>
      <c r="B484">
        <v>2299</v>
      </c>
      <c r="C484" s="123" t="s">
        <v>185</v>
      </c>
      <c r="D484">
        <v>-4.3659999999999997</v>
      </c>
      <c r="E484">
        <v>-6226.22</v>
      </c>
      <c r="F484">
        <v>-4.3390000000000004</v>
      </c>
      <c r="G484">
        <v>0</v>
      </c>
      <c r="H484">
        <v>2</v>
      </c>
      <c r="I484">
        <v>0</v>
      </c>
      <c r="J484">
        <v>30388</v>
      </c>
      <c r="K484" s="123" t="s">
        <v>290</v>
      </c>
      <c r="L484" s="123" t="s">
        <v>1160</v>
      </c>
    </row>
    <row r="485" spans="1:12" x14ac:dyDescent="0.3">
      <c r="A485" s="95">
        <v>45996</v>
      </c>
      <c r="B485">
        <v>13199</v>
      </c>
      <c r="C485" s="123" t="s">
        <v>185</v>
      </c>
      <c r="D485">
        <v>-2.1970000000000001</v>
      </c>
      <c r="E485">
        <v>-3132.63</v>
      </c>
      <c r="F485">
        <v>-2.1829999999999998</v>
      </c>
      <c r="G485">
        <v>0</v>
      </c>
      <c r="H485">
        <v>476</v>
      </c>
      <c r="I485">
        <v>0</v>
      </c>
      <c r="J485">
        <v>36385</v>
      </c>
      <c r="K485" s="123" t="s">
        <v>444</v>
      </c>
      <c r="L485" s="123" t="s">
        <v>1355</v>
      </c>
    </row>
    <row r="486" spans="1:12" x14ac:dyDescent="0.3">
      <c r="A486" s="95">
        <v>45996</v>
      </c>
      <c r="B486">
        <v>13685</v>
      </c>
      <c r="C486" s="123" t="s">
        <v>950</v>
      </c>
      <c r="D486">
        <v>1.05</v>
      </c>
      <c r="E486">
        <v>1.05</v>
      </c>
      <c r="F486">
        <v>1.05</v>
      </c>
      <c r="G486">
        <v>1</v>
      </c>
      <c r="H486">
        <v>0</v>
      </c>
      <c r="I486">
        <v>334</v>
      </c>
      <c r="J486">
        <v>36847</v>
      </c>
      <c r="K486" s="123" t="s">
        <v>292</v>
      </c>
      <c r="L486" s="123" t="s">
        <v>1391</v>
      </c>
    </row>
    <row r="487" spans="1:12" x14ac:dyDescent="0.3">
      <c r="A487" s="95">
        <v>45996</v>
      </c>
      <c r="B487">
        <v>13719</v>
      </c>
      <c r="C487" s="123" t="s">
        <v>185</v>
      </c>
      <c r="D487">
        <v>-6789.0320000000002</v>
      </c>
      <c r="E487">
        <v>-9681160.1099999994</v>
      </c>
      <c r="F487">
        <v>-6746.4530000000004</v>
      </c>
      <c r="G487">
        <v>0</v>
      </c>
      <c r="H487">
        <v>3</v>
      </c>
      <c r="I487">
        <v>0</v>
      </c>
      <c r="J487">
        <v>36879</v>
      </c>
      <c r="K487" s="123" t="s">
        <v>1340</v>
      </c>
      <c r="L487" s="123" t="s">
        <v>1341</v>
      </c>
    </row>
    <row r="488" spans="1:12" x14ac:dyDescent="0.3">
      <c r="A488" s="95">
        <v>45996</v>
      </c>
      <c r="B488">
        <v>13361</v>
      </c>
      <c r="C488" s="123" t="s">
        <v>185</v>
      </c>
      <c r="D488">
        <v>-123.785</v>
      </c>
      <c r="E488">
        <v>-176517.22</v>
      </c>
      <c r="F488">
        <v>-123.009</v>
      </c>
      <c r="G488">
        <v>0</v>
      </c>
      <c r="H488">
        <v>5</v>
      </c>
      <c r="I488">
        <v>0</v>
      </c>
      <c r="J488">
        <v>36541</v>
      </c>
      <c r="K488" s="123" t="s">
        <v>454</v>
      </c>
      <c r="L488" s="123" t="s">
        <v>1322</v>
      </c>
    </row>
    <row r="489" spans="1:12" x14ac:dyDescent="0.3">
      <c r="A489" s="95">
        <v>45996</v>
      </c>
      <c r="B489">
        <v>12519</v>
      </c>
      <c r="C489" s="123" t="s">
        <v>185</v>
      </c>
      <c r="D489">
        <v>6.9619999999999997</v>
      </c>
      <c r="E489">
        <v>9927.4699999999993</v>
      </c>
      <c r="F489">
        <v>6.9180000000000001</v>
      </c>
      <c r="G489">
        <v>1</v>
      </c>
      <c r="H489">
        <v>0</v>
      </c>
      <c r="I489">
        <v>112</v>
      </c>
      <c r="J489">
        <v>35782</v>
      </c>
      <c r="K489" s="123" t="s">
        <v>297</v>
      </c>
      <c r="L489" s="123" t="s">
        <v>1367</v>
      </c>
    </row>
    <row r="490" spans="1:12" x14ac:dyDescent="0.3">
      <c r="A490" s="95">
        <v>45996</v>
      </c>
      <c r="B490">
        <v>12527</v>
      </c>
      <c r="C490" s="123" t="s">
        <v>185</v>
      </c>
      <c r="D490">
        <v>-5.399</v>
      </c>
      <c r="E490">
        <v>-7698.88</v>
      </c>
      <c r="F490">
        <v>-5.3650000000000002</v>
      </c>
      <c r="G490">
        <v>0</v>
      </c>
      <c r="H490">
        <v>82</v>
      </c>
      <c r="I490">
        <v>0</v>
      </c>
      <c r="J490">
        <v>35790</v>
      </c>
      <c r="K490" s="123" t="s">
        <v>376</v>
      </c>
      <c r="L490" s="123" t="s">
        <v>1407</v>
      </c>
    </row>
    <row r="491" spans="1:12" x14ac:dyDescent="0.3">
      <c r="A491" s="95">
        <v>45996</v>
      </c>
      <c r="B491">
        <v>5439</v>
      </c>
      <c r="C491" s="123" t="s">
        <v>185</v>
      </c>
      <c r="D491">
        <v>-2.1160000000000001</v>
      </c>
      <c r="E491">
        <v>-3016.9</v>
      </c>
      <c r="F491">
        <v>-2.1019999999999999</v>
      </c>
      <c r="G491">
        <v>0</v>
      </c>
      <c r="H491">
        <v>18</v>
      </c>
      <c r="I491">
        <v>0</v>
      </c>
      <c r="J491">
        <v>33214</v>
      </c>
      <c r="K491" s="123" t="s">
        <v>846</v>
      </c>
      <c r="L491" s="123" t="s">
        <v>937</v>
      </c>
    </row>
    <row r="492" spans="1:12" x14ac:dyDescent="0.3">
      <c r="A492" s="95">
        <v>45996</v>
      </c>
      <c r="B492">
        <v>10037</v>
      </c>
      <c r="C492" s="123" t="s">
        <v>188</v>
      </c>
      <c r="D492">
        <v>-25.88</v>
      </c>
      <c r="E492">
        <v>-25.88</v>
      </c>
      <c r="F492">
        <v>-25.88</v>
      </c>
      <c r="G492">
        <v>0</v>
      </c>
      <c r="H492">
        <v>161</v>
      </c>
      <c r="I492">
        <v>0</v>
      </c>
      <c r="J492">
        <v>9195</v>
      </c>
      <c r="K492" s="123" t="s">
        <v>307</v>
      </c>
      <c r="L492" s="123" t="s">
        <v>952</v>
      </c>
    </row>
    <row r="493" spans="1:12" x14ac:dyDescent="0.3">
      <c r="A493" s="95">
        <v>45996</v>
      </c>
      <c r="B493">
        <v>4260</v>
      </c>
      <c r="C493" s="123" t="s">
        <v>188</v>
      </c>
      <c r="D493">
        <v>5.7</v>
      </c>
      <c r="E493">
        <v>5.7</v>
      </c>
      <c r="F493">
        <v>5.7</v>
      </c>
      <c r="G493">
        <v>1</v>
      </c>
      <c r="H493">
        <v>0</v>
      </c>
      <c r="I493">
        <v>790</v>
      </c>
      <c r="K493" s="123" t="s">
        <v>211</v>
      </c>
      <c r="L493" s="123" t="s">
        <v>993</v>
      </c>
    </row>
    <row r="494" spans="1:12" x14ac:dyDescent="0.3">
      <c r="A494" s="95">
        <v>45996</v>
      </c>
      <c r="B494">
        <v>10090</v>
      </c>
      <c r="C494" s="123" t="s">
        <v>185</v>
      </c>
      <c r="D494">
        <v>0</v>
      </c>
      <c r="E494">
        <v>0.11</v>
      </c>
      <c r="F494">
        <v>0</v>
      </c>
      <c r="G494">
        <v>1</v>
      </c>
      <c r="H494">
        <v>0</v>
      </c>
      <c r="I494">
        <v>6</v>
      </c>
      <c r="J494">
        <v>35555</v>
      </c>
      <c r="K494" s="123" t="s">
        <v>618</v>
      </c>
      <c r="L494" s="123" t="s">
        <v>1020</v>
      </c>
    </row>
    <row r="495" spans="1:12" x14ac:dyDescent="0.3">
      <c r="A495" s="95">
        <v>45996</v>
      </c>
      <c r="B495">
        <v>2304</v>
      </c>
      <c r="C495" s="123" t="s">
        <v>188</v>
      </c>
      <c r="D495">
        <v>18.29</v>
      </c>
      <c r="E495">
        <v>18.29</v>
      </c>
      <c r="F495">
        <v>18.29</v>
      </c>
      <c r="G495">
        <v>1</v>
      </c>
      <c r="H495">
        <v>0</v>
      </c>
      <c r="I495">
        <v>790</v>
      </c>
      <c r="J495">
        <v>30401</v>
      </c>
      <c r="K495" s="123" t="s">
        <v>366</v>
      </c>
      <c r="L495" s="123" t="s">
        <v>1064</v>
      </c>
    </row>
    <row r="496" spans="1:12" x14ac:dyDescent="0.3">
      <c r="A496" s="95">
        <v>45996</v>
      </c>
      <c r="B496">
        <v>13024</v>
      </c>
      <c r="C496" s="123" t="s">
        <v>185</v>
      </c>
      <c r="D496">
        <v>1.0999999999999999E-2</v>
      </c>
      <c r="E496">
        <v>15.15</v>
      </c>
      <c r="F496">
        <v>1.0999999999999999E-2</v>
      </c>
      <c r="G496">
        <v>1</v>
      </c>
      <c r="H496">
        <v>0</v>
      </c>
      <c r="I496">
        <v>36</v>
      </c>
      <c r="J496">
        <v>36227</v>
      </c>
      <c r="K496" s="123" t="s">
        <v>606</v>
      </c>
      <c r="L496" s="123" t="s">
        <v>1105</v>
      </c>
    </row>
    <row r="497" spans="1:12" x14ac:dyDescent="0.3">
      <c r="A497" s="95">
        <v>45996</v>
      </c>
      <c r="B497">
        <v>9936</v>
      </c>
      <c r="C497" s="123" t="s">
        <v>950</v>
      </c>
      <c r="D497">
        <v>350.76</v>
      </c>
      <c r="E497">
        <v>350.76</v>
      </c>
      <c r="F497">
        <v>350.76</v>
      </c>
      <c r="G497">
        <v>1</v>
      </c>
      <c r="H497">
        <v>0</v>
      </c>
      <c r="I497">
        <v>72</v>
      </c>
      <c r="J497">
        <v>35436</v>
      </c>
      <c r="K497" s="123" t="s">
        <v>300</v>
      </c>
      <c r="L497" s="123" t="s">
        <v>1037</v>
      </c>
    </row>
    <row r="498" spans="1:12" x14ac:dyDescent="0.3">
      <c r="A498" s="95">
        <v>45996</v>
      </c>
      <c r="B498">
        <v>15004</v>
      </c>
      <c r="C498" s="123" t="s">
        <v>950</v>
      </c>
      <c r="D498">
        <v>13913.86</v>
      </c>
      <c r="E498">
        <v>13913.86</v>
      </c>
      <c r="F498">
        <v>13913.86</v>
      </c>
      <c r="G498">
        <v>1</v>
      </c>
      <c r="H498">
        <v>0</v>
      </c>
      <c r="I498">
        <v>26</v>
      </c>
      <c r="J498">
        <v>37208</v>
      </c>
      <c r="K498" s="123" t="s">
        <v>1113</v>
      </c>
      <c r="L498" s="123" t="s">
        <v>1114</v>
      </c>
    </row>
    <row r="499" spans="1:12" x14ac:dyDescent="0.3">
      <c r="A499" s="95">
        <v>45996</v>
      </c>
      <c r="B499">
        <v>7801</v>
      </c>
      <c r="C499" s="123" t="s">
        <v>185</v>
      </c>
      <c r="D499">
        <v>0</v>
      </c>
      <c r="E499">
        <v>-0.2</v>
      </c>
      <c r="F499">
        <v>0</v>
      </c>
      <c r="G499">
        <v>0</v>
      </c>
      <c r="H499">
        <v>4</v>
      </c>
      <c r="I499">
        <v>0</v>
      </c>
      <c r="J499">
        <v>35094</v>
      </c>
      <c r="K499" s="123" t="s">
        <v>558</v>
      </c>
      <c r="L499" s="123" t="s">
        <v>1618</v>
      </c>
    </row>
    <row r="500" spans="1:12" x14ac:dyDescent="0.3">
      <c r="A500" s="95">
        <v>45996</v>
      </c>
      <c r="B500">
        <v>2173</v>
      </c>
      <c r="C500" s="123" t="s">
        <v>185</v>
      </c>
      <c r="D500">
        <v>-3.0209999999999999</v>
      </c>
      <c r="E500">
        <v>-4308.38</v>
      </c>
      <c r="F500">
        <v>-3.0019999999999998</v>
      </c>
      <c r="G500">
        <v>0</v>
      </c>
      <c r="H500">
        <v>26</v>
      </c>
      <c r="I500">
        <v>0</v>
      </c>
      <c r="J500">
        <v>30123</v>
      </c>
      <c r="K500" s="123" t="s">
        <v>599</v>
      </c>
      <c r="L500" s="123" t="s">
        <v>1125</v>
      </c>
    </row>
    <row r="501" spans="1:12" x14ac:dyDescent="0.3">
      <c r="A501" s="95">
        <v>45996</v>
      </c>
      <c r="B501">
        <v>7012</v>
      </c>
      <c r="C501" s="123" t="s">
        <v>185</v>
      </c>
      <c r="D501">
        <v>41.777000000000001</v>
      </c>
      <c r="E501">
        <v>59573.66</v>
      </c>
      <c r="F501">
        <v>41.515000000000001</v>
      </c>
      <c r="G501">
        <v>1</v>
      </c>
      <c r="H501">
        <v>0</v>
      </c>
      <c r="I501">
        <v>144</v>
      </c>
      <c r="J501">
        <v>34708</v>
      </c>
      <c r="K501" s="123" t="s">
        <v>626</v>
      </c>
      <c r="L501" s="123" t="s">
        <v>1203</v>
      </c>
    </row>
    <row r="502" spans="1:12" x14ac:dyDescent="0.3">
      <c r="A502" s="95">
        <v>45996</v>
      </c>
      <c r="B502">
        <v>14997</v>
      </c>
      <c r="C502" s="123" t="s">
        <v>185</v>
      </c>
      <c r="D502">
        <v>-3.0000000000000001E-3</v>
      </c>
      <c r="E502">
        <v>-4.32</v>
      </c>
      <c r="F502">
        <v>-3.0000000000000001E-3</v>
      </c>
      <c r="G502">
        <v>0</v>
      </c>
      <c r="H502">
        <v>34</v>
      </c>
      <c r="I502">
        <v>0</v>
      </c>
      <c r="J502">
        <v>37202</v>
      </c>
      <c r="K502" s="123" t="s">
        <v>1179</v>
      </c>
      <c r="L502" s="123" t="s">
        <v>1180</v>
      </c>
    </row>
    <row r="503" spans="1:12" x14ac:dyDescent="0.3">
      <c r="A503" s="95">
        <v>45996</v>
      </c>
      <c r="B503">
        <v>1314</v>
      </c>
      <c r="C503" s="123" t="s">
        <v>801</v>
      </c>
      <c r="D503">
        <v>-240599.02</v>
      </c>
      <c r="E503">
        <v>-240599.02</v>
      </c>
      <c r="F503">
        <v>-240599.02</v>
      </c>
      <c r="G503">
        <v>0</v>
      </c>
      <c r="H503">
        <v>323</v>
      </c>
      <c r="I503">
        <v>0</v>
      </c>
      <c r="J503">
        <v>19442</v>
      </c>
      <c r="K503" s="123" t="s">
        <v>309</v>
      </c>
      <c r="L503" s="123" t="s">
        <v>1112</v>
      </c>
    </row>
    <row r="504" spans="1:12" x14ac:dyDescent="0.3">
      <c r="A504" s="95">
        <v>45996</v>
      </c>
      <c r="B504">
        <v>2162</v>
      </c>
      <c r="C504" s="123" t="s">
        <v>950</v>
      </c>
      <c r="D504">
        <v>214.74</v>
      </c>
      <c r="E504">
        <v>214.74</v>
      </c>
      <c r="F504">
        <v>214.74</v>
      </c>
      <c r="G504">
        <v>1</v>
      </c>
      <c r="H504">
        <v>0</v>
      </c>
      <c r="J504">
        <v>30101</v>
      </c>
      <c r="K504" s="123" t="s">
        <v>391</v>
      </c>
      <c r="L504" s="123" t="s">
        <v>1216</v>
      </c>
    </row>
    <row r="505" spans="1:12" x14ac:dyDescent="0.3">
      <c r="A505" s="95">
        <v>45996</v>
      </c>
      <c r="B505">
        <v>2299</v>
      </c>
      <c r="C505" s="123" t="s">
        <v>801</v>
      </c>
      <c r="D505">
        <v>-0.01</v>
      </c>
      <c r="E505">
        <v>-0.01</v>
      </c>
      <c r="F505">
        <v>-0.01</v>
      </c>
      <c r="G505">
        <v>0</v>
      </c>
      <c r="H505">
        <v>28</v>
      </c>
      <c r="I505">
        <v>0</v>
      </c>
      <c r="J505">
        <v>30388</v>
      </c>
      <c r="K505" s="123" t="s">
        <v>290</v>
      </c>
      <c r="L505" s="123" t="s">
        <v>1160</v>
      </c>
    </row>
    <row r="506" spans="1:12" x14ac:dyDescent="0.3">
      <c r="A506" s="95">
        <v>45996</v>
      </c>
      <c r="B506">
        <v>13199</v>
      </c>
      <c r="C506" s="123" t="s">
        <v>188</v>
      </c>
      <c r="D506">
        <v>0.04</v>
      </c>
      <c r="E506">
        <v>0.04</v>
      </c>
      <c r="F506">
        <v>0.04</v>
      </c>
      <c r="G506">
        <v>1</v>
      </c>
      <c r="H506">
        <v>0</v>
      </c>
      <c r="I506">
        <v>476</v>
      </c>
      <c r="J506">
        <v>36385</v>
      </c>
      <c r="K506" s="123" t="s">
        <v>444</v>
      </c>
      <c r="L506" s="123" t="s">
        <v>1355</v>
      </c>
    </row>
    <row r="507" spans="1:12" x14ac:dyDescent="0.3">
      <c r="A507" s="95">
        <v>45996</v>
      </c>
      <c r="B507">
        <v>14876</v>
      </c>
      <c r="C507" s="123" t="s">
        <v>950</v>
      </c>
      <c r="D507">
        <v>732.3</v>
      </c>
      <c r="E507">
        <v>732.3</v>
      </c>
      <c r="F507">
        <v>732.3</v>
      </c>
      <c r="G507">
        <v>1</v>
      </c>
      <c r="H507">
        <v>0</v>
      </c>
      <c r="J507">
        <v>37091</v>
      </c>
      <c r="K507" s="123" t="s">
        <v>604</v>
      </c>
      <c r="L507" s="123" t="s">
        <v>1293</v>
      </c>
    </row>
    <row r="508" spans="1:12" x14ac:dyDescent="0.3">
      <c r="A508" s="95">
        <v>45996</v>
      </c>
      <c r="B508">
        <v>13361</v>
      </c>
      <c r="C508" s="123" t="s">
        <v>188</v>
      </c>
      <c r="D508">
        <v>0.92</v>
      </c>
      <c r="E508">
        <v>0.92</v>
      </c>
      <c r="F508">
        <v>0.92</v>
      </c>
      <c r="G508">
        <v>1</v>
      </c>
      <c r="H508">
        <v>0</v>
      </c>
      <c r="J508">
        <v>36541</v>
      </c>
      <c r="K508" s="123" t="s">
        <v>454</v>
      </c>
      <c r="L508" s="123" t="s">
        <v>1322</v>
      </c>
    </row>
    <row r="509" spans="1:12" x14ac:dyDescent="0.3">
      <c r="A509" s="95">
        <v>45996</v>
      </c>
      <c r="B509">
        <v>13188</v>
      </c>
      <c r="C509" s="123" t="s">
        <v>185</v>
      </c>
      <c r="D509">
        <v>0.39400000000000002</v>
      </c>
      <c r="E509">
        <v>561.80999999999995</v>
      </c>
      <c r="F509">
        <v>0.39200000000000002</v>
      </c>
      <c r="G509">
        <v>1</v>
      </c>
      <c r="H509">
        <v>0</v>
      </c>
      <c r="I509">
        <v>4</v>
      </c>
      <c r="J509">
        <v>36372</v>
      </c>
      <c r="K509" s="123" t="s">
        <v>573</v>
      </c>
      <c r="L509" s="123" t="s">
        <v>1303</v>
      </c>
    </row>
    <row r="510" spans="1:12" x14ac:dyDescent="0.3">
      <c r="A510" s="95">
        <v>45996</v>
      </c>
      <c r="B510">
        <v>16751</v>
      </c>
      <c r="C510" s="123" t="s">
        <v>185</v>
      </c>
      <c r="D510">
        <v>0</v>
      </c>
      <c r="E510">
        <v>0.28999999999999998</v>
      </c>
      <c r="F510">
        <v>0</v>
      </c>
      <c r="G510">
        <v>1</v>
      </c>
      <c r="H510">
        <v>0</v>
      </c>
      <c r="I510">
        <v>28</v>
      </c>
      <c r="J510">
        <v>38048</v>
      </c>
      <c r="K510" s="123" t="s">
        <v>858</v>
      </c>
      <c r="L510" s="123" t="s">
        <v>1372</v>
      </c>
    </row>
    <row r="511" spans="1:12" x14ac:dyDescent="0.3">
      <c r="A511" s="95">
        <v>45996</v>
      </c>
      <c r="B511">
        <v>8120</v>
      </c>
      <c r="C511" s="123" t="s">
        <v>185</v>
      </c>
      <c r="D511">
        <v>0</v>
      </c>
      <c r="E511">
        <v>0.03</v>
      </c>
      <c r="F511">
        <v>0</v>
      </c>
      <c r="G511">
        <v>1</v>
      </c>
      <c r="H511">
        <v>0</v>
      </c>
      <c r="I511">
        <v>749</v>
      </c>
      <c r="J511">
        <v>35339</v>
      </c>
      <c r="K511" s="123" t="s">
        <v>381</v>
      </c>
      <c r="L511" s="123" t="s">
        <v>964</v>
      </c>
    </row>
    <row r="512" spans="1:12" x14ac:dyDescent="0.3">
      <c r="A512" s="95">
        <v>45996</v>
      </c>
      <c r="B512">
        <v>10037</v>
      </c>
      <c r="C512" s="123" t="s">
        <v>185</v>
      </c>
      <c r="D512">
        <v>0.23599999999999999</v>
      </c>
      <c r="E512">
        <v>336.44</v>
      </c>
      <c r="F512">
        <v>0.23400000000000001</v>
      </c>
      <c r="G512">
        <v>1</v>
      </c>
      <c r="H512">
        <v>0</v>
      </c>
      <c r="I512">
        <v>119</v>
      </c>
      <c r="J512">
        <v>9195</v>
      </c>
      <c r="K512" s="123" t="s">
        <v>307</v>
      </c>
      <c r="L512" s="123" t="s">
        <v>952</v>
      </c>
    </row>
    <row r="513" spans="1:12" x14ac:dyDescent="0.3">
      <c r="A513" s="95">
        <v>45996</v>
      </c>
      <c r="B513">
        <v>5673</v>
      </c>
      <c r="C513" s="123" t="s">
        <v>185</v>
      </c>
      <c r="D513">
        <v>0.93799999999999994</v>
      </c>
      <c r="E513">
        <v>1337.25</v>
      </c>
      <c r="F513">
        <v>0.93200000000000005</v>
      </c>
      <c r="G513">
        <v>1</v>
      </c>
      <c r="H513">
        <v>0</v>
      </c>
      <c r="I513">
        <v>286</v>
      </c>
      <c r="J513">
        <v>33912</v>
      </c>
      <c r="K513" s="123" t="s">
        <v>248</v>
      </c>
      <c r="L513" s="123" t="s">
        <v>1022</v>
      </c>
    </row>
    <row r="514" spans="1:12" x14ac:dyDescent="0.3">
      <c r="A514" s="95">
        <v>45996</v>
      </c>
      <c r="B514">
        <v>10090</v>
      </c>
      <c r="C514" s="123" t="s">
        <v>950</v>
      </c>
      <c r="D514">
        <v>0.86</v>
      </c>
      <c r="E514">
        <v>0.86</v>
      </c>
      <c r="F514">
        <v>0.86</v>
      </c>
      <c r="G514">
        <v>1</v>
      </c>
      <c r="H514">
        <v>0</v>
      </c>
      <c r="I514">
        <v>470</v>
      </c>
      <c r="J514">
        <v>35555</v>
      </c>
      <c r="K514" s="123" t="s">
        <v>618</v>
      </c>
      <c r="L514" s="123" t="s">
        <v>1020</v>
      </c>
    </row>
    <row r="515" spans="1:12" x14ac:dyDescent="0.3">
      <c r="A515" s="95">
        <v>45996</v>
      </c>
      <c r="B515">
        <v>2304</v>
      </c>
      <c r="C515" s="123" t="s">
        <v>950</v>
      </c>
      <c r="D515">
        <v>22.74</v>
      </c>
      <c r="E515">
        <v>22.74</v>
      </c>
      <c r="F515">
        <v>22.74</v>
      </c>
      <c r="G515">
        <v>1</v>
      </c>
      <c r="H515">
        <v>0</v>
      </c>
      <c r="I515">
        <v>279</v>
      </c>
      <c r="J515">
        <v>30401</v>
      </c>
      <c r="K515" s="123" t="s">
        <v>366</v>
      </c>
      <c r="L515" s="123" t="s">
        <v>1064</v>
      </c>
    </row>
    <row r="516" spans="1:12" x14ac:dyDescent="0.3">
      <c r="A516" s="95">
        <v>45996</v>
      </c>
      <c r="B516">
        <v>15195</v>
      </c>
      <c r="C516" s="123" t="s">
        <v>950</v>
      </c>
      <c r="D516">
        <v>-2.35</v>
      </c>
      <c r="E516">
        <v>-2.35</v>
      </c>
      <c r="F516">
        <v>-2.35</v>
      </c>
      <c r="G516">
        <v>0</v>
      </c>
      <c r="H516">
        <v>45</v>
      </c>
      <c r="I516">
        <v>0</v>
      </c>
      <c r="J516">
        <v>37326</v>
      </c>
      <c r="K516" s="123" t="s">
        <v>716</v>
      </c>
      <c r="L516" s="123" t="s">
        <v>1111</v>
      </c>
    </row>
    <row r="517" spans="1:12" x14ac:dyDescent="0.3">
      <c r="A517" s="95">
        <v>45996</v>
      </c>
      <c r="B517">
        <v>15231</v>
      </c>
      <c r="C517" s="123" t="s">
        <v>185</v>
      </c>
      <c r="D517">
        <v>91.037999999999997</v>
      </c>
      <c r="E517">
        <v>129819.79</v>
      </c>
      <c r="F517">
        <v>90.466999999999999</v>
      </c>
      <c r="G517">
        <v>1</v>
      </c>
      <c r="H517">
        <v>0</v>
      </c>
      <c r="I517">
        <v>11</v>
      </c>
      <c r="J517">
        <v>37357</v>
      </c>
      <c r="K517" s="123" t="s">
        <v>1060</v>
      </c>
      <c r="L517" s="123" t="s">
        <v>1061</v>
      </c>
    </row>
    <row r="518" spans="1:12" x14ac:dyDescent="0.3">
      <c r="A518" s="95">
        <v>45996</v>
      </c>
      <c r="B518">
        <v>10103</v>
      </c>
      <c r="C518" s="123" t="s">
        <v>188</v>
      </c>
      <c r="D518">
        <v>0.5</v>
      </c>
      <c r="E518">
        <v>0.5</v>
      </c>
      <c r="F518">
        <v>0.5</v>
      </c>
      <c r="G518">
        <v>1</v>
      </c>
      <c r="H518">
        <v>0</v>
      </c>
      <c r="I518">
        <v>136</v>
      </c>
      <c r="J518">
        <v>35568</v>
      </c>
      <c r="K518" s="123" t="s">
        <v>299</v>
      </c>
      <c r="L518" s="123" t="s">
        <v>1202</v>
      </c>
    </row>
    <row r="519" spans="1:12" x14ac:dyDescent="0.3">
      <c r="A519" s="95">
        <v>45996</v>
      </c>
      <c r="B519">
        <v>2173</v>
      </c>
      <c r="C519" s="123" t="s">
        <v>950</v>
      </c>
      <c r="D519">
        <v>1567.17</v>
      </c>
      <c r="E519">
        <v>1567.17</v>
      </c>
      <c r="F519">
        <v>1567.17</v>
      </c>
      <c r="G519">
        <v>1</v>
      </c>
      <c r="H519">
        <v>0</v>
      </c>
      <c r="J519">
        <v>30123</v>
      </c>
      <c r="K519" s="123" t="s">
        <v>599</v>
      </c>
      <c r="L519" s="123" t="s">
        <v>1125</v>
      </c>
    </row>
    <row r="520" spans="1:12" x14ac:dyDescent="0.3">
      <c r="A520" s="95">
        <v>45996</v>
      </c>
      <c r="B520">
        <v>7873</v>
      </c>
      <c r="C520" s="123" t="s">
        <v>185</v>
      </c>
      <c r="D520">
        <v>2.0569999999999999</v>
      </c>
      <c r="E520">
        <v>2933.42</v>
      </c>
      <c r="F520">
        <v>2.044</v>
      </c>
      <c r="G520">
        <v>1</v>
      </c>
      <c r="H520">
        <v>0</v>
      </c>
      <c r="I520">
        <v>496</v>
      </c>
      <c r="J520">
        <v>35160</v>
      </c>
      <c r="K520" s="123" t="s">
        <v>552</v>
      </c>
      <c r="L520" s="123" t="s">
        <v>1295</v>
      </c>
    </row>
    <row r="521" spans="1:12" x14ac:dyDescent="0.3">
      <c r="A521" s="95">
        <v>45996</v>
      </c>
      <c r="B521">
        <v>16348</v>
      </c>
      <c r="C521" s="123" t="s">
        <v>185</v>
      </c>
      <c r="D521">
        <v>-2.9000000000000001E-2</v>
      </c>
      <c r="E521">
        <v>-40.97</v>
      </c>
      <c r="F521">
        <v>-2.9000000000000001E-2</v>
      </c>
      <c r="G521">
        <v>0</v>
      </c>
      <c r="H521">
        <v>25</v>
      </c>
      <c r="I521">
        <v>0</v>
      </c>
      <c r="J521">
        <v>37816</v>
      </c>
      <c r="K521" s="123" t="s">
        <v>1198</v>
      </c>
      <c r="L521" s="123" t="s">
        <v>1199</v>
      </c>
    </row>
    <row r="522" spans="1:12" x14ac:dyDescent="0.3">
      <c r="A522" s="95">
        <v>45996</v>
      </c>
      <c r="B522">
        <v>5383</v>
      </c>
      <c r="C522" s="123" t="s">
        <v>950</v>
      </c>
      <c r="D522">
        <v>1064.4000000000001</v>
      </c>
      <c r="E522">
        <v>1064.4000000000001</v>
      </c>
      <c r="F522">
        <v>1064.4000000000001</v>
      </c>
      <c r="G522">
        <v>1</v>
      </c>
      <c r="H522">
        <v>0</v>
      </c>
      <c r="I522">
        <v>59</v>
      </c>
      <c r="J522">
        <v>33182</v>
      </c>
      <c r="K522" s="123" t="s">
        <v>238</v>
      </c>
      <c r="L522" s="123" t="s">
        <v>1167</v>
      </c>
    </row>
    <row r="523" spans="1:12" x14ac:dyDescent="0.3">
      <c r="A523" s="95">
        <v>45996</v>
      </c>
      <c r="B523">
        <v>5486</v>
      </c>
      <c r="C523" s="123" t="s">
        <v>185</v>
      </c>
      <c r="D523">
        <v>-1.3169999999999999</v>
      </c>
      <c r="E523">
        <v>-1878.28</v>
      </c>
      <c r="F523">
        <v>-1.3089999999999999</v>
      </c>
      <c r="G523">
        <v>0</v>
      </c>
      <c r="H523">
        <v>124</v>
      </c>
      <c r="I523">
        <v>0</v>
      </c>
      <c r="J523">
        <v>33102</v>
      </c>
      <c r="K523" s="123" t="s">
        <v>412</v>
      </c>
      <c r="L523" s="123" t="s">
        <v>1410</v>
      </c>
    </row>
    <row r="524" spans="1:12" x14ac:dyDescent="0.3">
      <c r="A524" s="95">
        <v>45996</v>
      </c>
      <c r="B524">
        <v>2299</v>
      </c>
      <c r="C524" s="123" t="s">
        <v>950</v>
      </c>
      <c r="D524">
        <v>4112.05</v>
      </c>
      <c r="E524">
        <v>4112.05</v>
      </c>
      <c r="F524">
        <v>4112.05</v>
      </c>
      <c r="G524">
        <v>1</v>
      </c>
      <c r="H524">
        <v>0</v>
      </c>
      <c r="I524">
        <v>592</v>
      </c>
      <c r="J524">
        <v>30388</v>
      </c>
      <c r="K524" s="123" t="s">
        <v>290</v>
      </c>
      <c r="L524" s="123" t="s">
        <v>1160</v>
      </c>
    </row>
    <row r="525" spans="1:12" x14ac:dyDescent="0.3">
      <c r="A525" s="95">
        <v>45996</v>
      </c>
      <c r="B525">
        <v>14876</v>
      </c>
      <c r="C525" s="123" t="s">
        <v>185</v>
      </c>
      <c r="D525">
        <v>20.152000000000001</v>
      </c>
      <c r="E525">
        <v>28736.25</v>
      </c>
      <c r="F525">
        <v>20.024999999999999</v>
      </c>
      <c r="G525">
        <v>1</v>
      </c>
      <c r="H525">
        <v>0</v>
      </c>
      <c r="I525">
        <v>2</v>
      </c>
      <c r="J525">
        <v>37091</v>
      </c>
      <c r="K525" s="123" t="s">
        <v>604</v>
      </c>
      <c r="L525" s="123" t="s">
        <v>1293</v>
      </c>
    </row>
    <row r="526" spans="1:12" x14ac:dyDescent="0.3">
      <c r="A526" s="95">
        <v>45996</v>
      </c>
      <c r="B526">
        <v>13361</v>
      </c>
      <c r="C526" s="123" t="s">
        <v>950</v>
      </c>
      <c r="D526">
        <v>14444.73</v>
      </c>
      <c r="E526">
        <v>14444.73</v>
      </c>
      <c r="F526">
        <v>14444.73</v>
      </c>
      <c r="G526">
        <v>1</v>
      </c>
      <c r="H526">
        <v>0</v>
      </c>
      <c r="I526">
        <v>256</v>
      </c>
      <c r="J526">
        <v>36541</v>
      </c>
      <c r="K526" s="123" t="s">
        <v>454</v>
      </c>
      <c r="L526" s="123" t="s">
        <v>1322</v>
      </c>
    </row>
    <row r="527" spans="1:12" x14ac:dyDescent="0.3">
      <c r="A527" s="95">
        <v>45996</v>
      </c>
      <c r="B527">
        <v>12767</v>
      </c>
      <c r="C527" s="123" t="s">
        <v>950</v>
      </c>
      <c r="D527">
        <v>-0.49</v>
      </c>
      <c r="E527">
        <v>-0.49</v>
      </c>
      <c r="F527">
        <v>-0.49</v>
      </c>
      <c r="G527">
        <v>0</v>
      </c>
      <c r="H527">
        <v>13</v>
      </c>
      <c r="I527">
        <v>0</v>
      </c>
      <c r="J527">
        <v>35995</v>
      </c>
      <c r="K527" s="123" t="s">
        <v>439</v>
      </c>
      <c r="L527" s="123" t="s">
        <v>936</v>
      </c>
    </row>
    <row r="528" spans="1:12" x14ac:dyDescent="0.3">
      <c r="A528" s="95">
        <v>45996</v>
      </c>
      <c r="B528">
        <v>12415</v>
      </c>
      <c r="C528" s="123" t="s">
        <v>950</v>
      </c>
      <c r="D528">
        <v>0.48</v>
      </c>
      <c r="E528">
        <v>0.48</v>
      </c>
      <c r="F528">
        <v>0.48</v>
      </c>
      <c r="G528">
        <v>1</v>
      </c>
      <c r="H528">
        <v>0</v>
      </c>
      <c r="I528">
        <v>129</v>
      </c>
      <c r="J528">
        <v>35701</v>
      </c>
      <c r="K528" s="123" t="s">
        <v>967</v>
      </c>
      <c r="L528" s="123" t="s">
        <v>968</v>
      </c>
    </row>
    <row r="529" spans="1:12" x14ac:dyDescent="0.3">
      <c r="A529" s="95">
        <v>45996</v>
      </c>
      <c r="B529">
        <v>12995</v>
      </c>
      <c r="C529" s="123" t="s">
        <v>185</v>
      </c>
      <c r="D529">
        <v>2.0270000000000001</v>
      </c>
      <c r="E529">
        <v>2890.07</v>
      </c>
      <c r="F529">
        <v>2.0139999999999998</v>
      </c>
      <c r="G529">
        <v>1</v>
      </c>
      <c r="H529">
        <v>0</v>
      </c>
      <c r="I529">
        <v>544</v>
      </c>
      <c r="J529">
        <v>36203</v>
      </c>
      <c r="K529" s="123" t="s">
        <v>295</v>
      </c>
      <c r="L529" s="123" t="s">
        <v>986</v>
      </c>
    </row>
    <row r="530" spans="1:12" x14ac:dyDescent="0.3">
      <c r="A530" s="95">
        <v>45996</v>
      </c>
      <c r="B530">
        <v>12855</v>
      </c>
      <c r="C530" s="123" t="s">
        <v>185</v>
      </c>
      <c r="D530">
        <v>-2.6539999999999999</v>
      </c>
      <c r="E530">
        <v>-3783.93</v>
      </c>
      <c r="F530">
        <v>-2.637</v>
      </c>
      <c r="G530">
        <v>0</v>
      </c>
      <c r="H530">
        <v>11</v>
      </c>
      <c r="I530">
        <v>0</v>
      </c>
      <c r="J530">
        <v>36077</v>
      </c>
      <c r="K530" s="123" t="s">
        <v>563</v>
      </c>
      <c r="L530" s="123" t="s">
        <v>969</v>
      </c>
    </row>
    <row r="531" spans="1:12" x14ac:dyDescent="0.3">
      <c r="A531" s="95">
        <v>45996</v>
      </c>
      <c r="B531">
        <v>12840</v>
      </c>
      <c r="C531" s="123" t="s">
        <v>801</v>
      </c>
      <c r="D531">
        <v>-1.01</v>
      </c>
      <c r="E531">
        <v>-1.01</v>
      </c>
      <c r="F531">
        <v>-1.01</v>
      </c>
      <c r="G531">
        <v>0</v>
      </c>
      <c r="I531">
        <v>0</v>
      </c>
      <c r="J531">
        <v>36062</v>
      </c>
      <c r="K531" s="123" t="s">
        <v>236</v>
      </c>
      <c r="L531" s="123" t="s">
        <v>1031</v>
      </c>
    </row>
    <row r="532" spans="1:12" x14ac:dyDescent="0.3">
      <c r="A532" s="95">
        <v>45996</v>
      </c>
      <c r="B532">
        <v>15195</v>
      </c>
      <c r="C532" s="123" t="s">
        <v>185</v>
      </c>
      <c r="D532">
        <v>-0.94</v>
      </c>
      <c r="E532">
        <v>-1340.88</v>
      </c>
      <c r="F532">
        <v>-0.93400000000000005</v>
      </c>
      <c r="G532">
        <v>0</v>
      </c>
      <c r="I532">
        <v>0</v>
      </c>
      <c r="J532">
        <v>37326</v>
      </c>
      <c r="K532" s="123" t="s">
        <v>716</v>
      </c>
      <c r="L532" s="123" t="s">
        <v>1111</v>
      </c>
    </row>
    <row r="533" spans="1:12" x14ac:dyDescent="0.3">
      <c r="A533" s="95">
        <v>45996</v>
      </c>
      <c r="B533">
        <v>15231</v>
      </c>
      <c r="C533" s="123" t="s">
        <v>188</v>
      </c>
      <c r="D533">
        <v>38222.57</v>
      </c>
      <c r="E533">
        <v>38222.57</v>
      </c>
      <c r="F533">
        <v>38222.57</v>
      </c>
      <c r="G533">
        <v>1</v>
      </c>
      <c r="H533">
        <v>0</v>
      </c>
      <c r="I533">
        <v>25</v>
      </c>
      <c r="J533">
        <v>37357</v>
      </c>
      <c r="K533" s="123" t="s">
        <v>1060</v>
      </c>
      <c r="L533" s="123" t="s">
        <v>1061</v>
      </c>
    </row>
    <row r="534" spans="1:12" x14ac:dyDescent="0.3">
      <c r="A534" s="95">
        <v>45996</v>
      </c>
      <c r="B534">
        <v>10103</v>
      </c>
      <c r="C534" s="123" t="s">
        <v>950</v>
      </c>
      <c r="D534">
        <v>344.57</v>
      </c>
      <c r="E534">
        <v>344.57</v>
      </c>
      <c r="F534">
        <v>344.57</v>
      </c>
      <c r="G534">
        <v>1</v>
      </c>
      <c r="H534">
        <v>0</v>
      </c>
      <c r="I534">
        <v>486</v>
      </c>
      <c r="J534">
        <v>35568</v>
      </c>
      <c r="K534" s="123" t="s">
        <v>299</v>
      </c>
      <c r="L534" s="123" t="s">
        <v>1202</v>
      </c>
    </row>
    <row r="535" spans="1:12" x14ac:dyDescent="0.3">
      <c r="A535" s="95">
        <v>45996</v>
      </c>
      <c r="B535">
        <v>2173</v>
      </c>
      <c r="C535" s="123" t="s">
        <v>188</v>
      </c>
      <c r="D535">
        <v>736.13</v>
      </c>
      <c r="E535">
        <v>736.13</v>
      </c>
      <c r="F535">
        <v>736.13</v>
      </c>
      <c r="G535">
        <v>1</v>
      </c>
      <c r="H535">
        <v>0</v>
      </c>
      <c r="I535">
        <v>198</v>
      </c>
      <c r="J535">
        <v>30123</v>
      </c>
      <c r="K535" s="123" t="s">
        <v>599</v>
      </c>
      <c r="L535" s="123" t="s">
        <v>1125</v>
      </c>
    </row>
    <row r="536" spans="1:12" x14ac:dyDescent="0.3">
      <c r="A536" s="95">
        <v>45996</v>
      </c>
      <c r="B536">
        <v>10128</v>
      </c>
      <c r="C536" s="123" t="s">
        <v>185</v>
      </c>
      <c r="D536">
        <v>0.69499999999999995</v>
      </c>
      <c r="E536">
        <v>991.75</v>
      </c>
      <c r="F536">
        <v>0.69099999999999995</v>
      </c>
      <c r="G536">
        <v>1</v>
      </c>
      <c r="H536">
        <v>0</v>
      </c>
      <c r="I536">
        <v>576</v>
      </c>
      <c r="J536">
        <v>35593</v>
      </c>
      <c r="K536" s="123" t="s">
        <v>525</v>
      </c>
      <c r="L536" s="123" t="s">
        <v>1296</v>
      </c>
    </row>
    <row r="537" spans="1:12" x14ac:dyDescent="0.3">
      <c r="A537" s="95">
        <v>45996</v>
      </c>
      <c r="B537">
        <v>16348</v>
      </c>
      <c r="C537" s="123" t="s">
        <v>950</v>
      </c>
      <c r="D537">
        <v>6.16</v>
      </c>
      <c r="E537">
        <v>6.16</v>
      </c>
      <c r="F537">
        <v>6.16</v>
      </c>
      <c r="G537">
        <v>1</v>
      </c>
      <c r="H537">
        <v>0</v>
      </c>
      <c r="J537">
        <v>37816</v>
      </c>
      <c r="K537" s="123" t="s">
        <v>1198</v>
      </c>
      <c r="L537" s="123" t="s">
        <v>1199</v>
      </c>
    </row>
    <row r="538" spans="1:12" x14ac:dyDescent="0.3">
      <c r="A538" s="95">
        <v>45996</v>
      </c>
      <c r="B538">
        <v>5383</v>
      </c>
      <c r="C538" s="123" t="s">
        <v>185</v>
      </c>
      <c r="D538">
        <v>0</v>
      </c>
      <c r="E538">
        <v>0.15</v>
      </c>
      <c r="F538">
        <v>0</v>
      </c>
      <c r="G538">
        <v>1</v>
      </c>
      <c r="H538">
        <v>0</v>
      </c>
      <c r="I538">
        <v>2</v>
      </c>
      <c r="J538">
        <v>33182</v>
      </c>
      <c r="K538" s="123" t="s">
        <v>238</v>
      </c>
      <c r="L538" s="123" t="s">
        <v>1167</v>
      </c>
    </row>
    <row r="539" spans="1:12" x14ac:dyDescent="0.3">
      <c r="A539" s="95">
        <v>45996</v>
      </c>
      <c r="B539">
        <v>7139</v>
      </c>
      <c r="C539" s="123" t="s">
        <v>185</v>
      </c>
      <c r="D539">
        <v>18.129000000000001</v>
      </c>
      <c r="E539">
        <v>25851.39</v>
      </c>
      <c r="F539">
        <v>18.015000000000001</v>
      </c>
      <c r="G539">
        <v>1</v>
      </c>
      <c r="H539">
        <v>0</v>
      </c>
      <c r="I539">
        <v>56</v>
      </c>
      <c r="J539">
        <v>34790</v>
      </c>
      <c r="K539" s="123" t="s">
        <v>598</v>
      </c>
      <c r="L539" s="123" t="s">
        <v>1201</v>
      </c>
    </row>
    <row r="540" spans="1:12" x14ac:dyDescent="0.3">
      <c r="A540" s="95">
        <v>45996</v>
      </c>
      <c r="B540">
        <v>5410</v>
      </c>
      <c r="C540" s="123" t="s">
        <v>185</v>
      </c>
      <c r="D540">
        <v>-0.25900000000000001</v>
      </c>
      <c r="E540">
        <v>-369.19</v>
      </c>
      <c r="F540">
        <v>-0.25700000000000001</v>
      </c>
      <c r="G540">
        <v>0</v>
      </c>
      <c r="H540">
        <v>141</v>
      </c>
      <c r="I540">
        <v>0</v>
      </c>
      <c r="J540">
        <v>33533</v>
      </c>
      <c r="K540" s="123" t="s">
        <v>199</v>
      </c>
      <c r="L540" s="123" t="s">
        <v>1359</v>
      </c>
    </row>
    <row r="541" spans="1:12" x14ac:dyDescent="0.3">
      <c r="A541" s="95">
        <v>45996</v>
      </c>
      <c r="B541">
        <v>14876</v>
      </c>
      <c r="C541" s="123" t="s">
        <v>188</v>
      </c>
      <c r="D541">
        <v>237.43</v>
      </c>
      <c r="E541">
        <v>237.43</v>
      </c>
      <c r="F541">
        <v>237.43</v>
      </c>
      <c r="G541">
        <v>1</v>
      </c>
      <c r="H541">
        <v>0</v>
      </c>
      <c r="J541">
        <v>37091</v>
      </c>
      <c r="K541" s="123" t="s">
        <v>604</v>
      </c>
      <c r="L541" s="123" t="s">
        <v>1293</v>
      </c>
    </row>
    <row r="542" spans="1:12" x14ac:dyDescent="0.3">
      <c r="A542" s="95">
        <v>45996</v>
      </c>
      <c r="B542">
        <v>16273</v>
      </c>
      <c r="C542" s="123" t="s">
        <v>185</v>
      </c>
      <c r="D542">
        <v>347.471</v>
      </c>
      <c r="E542">
        <v>495493.2</v>
      </c>
      <c r="F542">
        <v>345.291</v>
      </c>
      <c r="G542">
        <v>1</v>
      </c>
      <c r="H542">
        <v>0</v>
      </c>
      <c r="I542">
        <v>21</v>
      </c>
      <c r="J542">
        <v>37760</v>
      </c>
      <c r="K542" s="123" t="s">
        <v>1349</v>
      </c>
      <c r="L542" s="123" t="s">
        <v>1350</v>
      </c>
    </row>
    <row r="543" spans="1:12" x14ac:dyDescent="0.3">
      <c r="A543" s="95">
        <v>45996</v>
      </c>
      <c r="B543">
        <v>12767</v>
      </c>
      <c r="C543" s="123" t="s">
        <v>185</v>
      </c>
      <c r="D543">
        <v>0</v>
      </c>
      <c r="E543">
        <v>0.28000000000000003</v>
      </c>
      <c r="F543">
        <v>0</v>
      </c>
      <c r="G543">
        <v>1</v>
      </c>
      <c r="H543">
        <v>0</v>
      </c>
      <c r="I543">
        <v>3</v>
      </c>
      <c r="J543">
        <v>35995</v>
      </c>
      <c r="K543" s="123" t="s">
        <v>439</v>
      </c>
      <c r="L543" s="123" t="s">
        <v>936</v>
      </c>
    </row>
    <row r="544" spans="1:12" x14ac:dyDescent="0.3">
      <c r="A544" s="95">
        <v>45996</v>
      </c>
      <c r="B544">
        <v>12415</v>
      </c>
      <c r="C544" s="123" t="s">
        <v>185</v>
      </c>
      <c r="D544">
        <v>-2.5590000000000002</v>
      </c>
      <c r="E544">
        <v>-3648.61</v>
      </c>
      <c r="F544">
        <v>-2.5430000000000001</v>
      </c>
      <c r="G544">
        <v>0</v>
      </c>
      <c r="H544">
        <v>103</v>
      </c>
      <c r="I544">
        <v>0</v>
      </c>
      <c r="J544">
        <v>35701</v>
      </c>
      <c r="K544" s="123" t="s">
        <v>967</v>
      </c>
      <c r="L544" s="123" t="s">
        <v>968</v>
      </c>
    </row>
    <row r="545" spans="1:12" x14ac:dyDescent="0.3">
      <c r="A545" s="95">
        <v>45996</v>
      </c>
      <c r="B545">
        <v>13817</v>
      </c>
      <c r="C545" s="123" t="s">
        <v>950</v>
      </c>
      <c r="D545">
        <v>0.53</v>
      </c>
      <c r="E545">
        <v>0.53</v>
      </c>
      <c r="F545">
        <v>0.53</v>
      </c>
      <c r="G545">
        <v>1</v>
      </c>
      <c r="H545">
        <v>0</v>
      </c>
      <c r="J545">
        <v>36965</v>
      </c>
      <c r="K545" s="123" t="s">
        <v>628</v>
      </c>
      <c r="L545" s="123" t="s">
        <v>1009</v>
      </c>
    </row>
    <row r="546" spans="1:12" x14ac:dyDescent="0.3">
      <c r="A546" s="95">
        <v>45996</v>
      </c>
      <c r="B546">
        <v>12840</v>
      </c>
      <c r="C546" s="123" t="s">
        <v>185</v>
      </c>
      <c r="D546">
        <v>0</v>
      </c>
      <c r="E546">
        <v>-0.3</v>
      </c>
      <c r="F546">
        <v>0</v>
      </c>
      <c r="G546">
        <v>0</v>
      </c>
      <c r="H546">
        <v>13</v>
      </c>
      <c r="I546">
        <v>0</v>
      </c>
      <c r="J546">
        <v>36062</v>
      </c>
      <c r="K546" s="123" t="s">
        <v>236</v>
      </c>
      <c r="L546" s="123" t="s">
        <v>1031</v>
      </c>
    </row>
    <row r="547" spans="1:12" x14ac:dyDescent="0.3">
      <c r="A547" s="95">
        <v>45996</v>
      </c>
      <c r="B547">
        <v>10103</v>
      </c>
      <c r="C547" s="123" t="s">
        <v>185</v>
      </c>
      <c r="D547">
        <v>5.6660000000000004</v>
      </c>
      <c r="E547">
        <v>8080.12</v>
      </c>
      <c r="F547">
        <v>5.6310000000000002</v>
      </c>
      <c r="G547">
        <v>1</v>
      </c>
      <c r="H547">
        <v>0</v>
      </c>
      <c r="I547">
        <v>56</v>
      </c>
      <c r="J547">
        <v>35568</v>
      </c>
      <c r="K547" s="123" t="s">
        <v>299</v>
      </c>
      <c r="L547" s="123" t="s">
        <v>1202</v>
      </c>
    </row>
    <row r="548" spans="1:12" x14ac:dyDescent="0.3">
      <c r="A548" s="95">
        <v>45996</v>
      </c>
      <c r="B548">
        <v>3244</v>
      </c>
      <c r="C548" s="123" t="s">
        <v>185</v>
      </c>
      <c r="D548">
        <v>-0.45200000000000001</v>
      </c>
      <c r="E548">
        <v>-643.88</v>
      </c>
      <c r="F548">
        <v>-0.44900000000000001</v>
      </c>
      <c r="G548">
        <v>0</v>
      </c>
      <c r="H548">
        <v>100</v>
      </c>
      <c r="I548">
        <v>0</v>
      </c>
      <c r="J548">
        <v>31666</v>
      </c>
      <c r="K548" s="123" t="s">
        <v>1151</v>
      </c>
      <c r="L548" s="123" t="s">
        <v>1152</v>
      </c>
    </row>
    <row r="549" spans="1:12" x14ac:dyDescent="0.3">
      <c r="A549" s="95">
        <v>45996</v>
      </c>
      <c r="B549">
        <v>15208</v>
      </c>
      <c r="C549" s="123" t="s">
        <v>801</v>
      </c>
      <c r="D549">
        <v>-20807.63</v>
      </c>
      <c r="E549">
        <v>-20807.63</v>
      </c>
      <c r="F549">
        <v>-20807.63</v>
      </c>
      <c r="G549">
        <v>0</v>
      </c>
      <c r="H549">
        <v>55</v>
      </c>
      <c r="I549">
        <v>0</v>
      </c>
      <c r="J549">
        <v>37337</v>
      </c>
      <c r="K549" s="123" t="s">
        <v>682</v>
      </c>
      <c r="L549" s="123" t="s">
        <v>1155</v>
      </c>
    </row>
    <row r="550" spans="1:12" x14ac:dyDescent="0.3">
      <c r="A550" s="95">
        <v>45996</v>
      </c>
      <c r="B550">
        <v>5383</v>
      </c>
      <c r="C550" s="123" t="s">
        <v>188</v>
      </c>
      <c r="D550">
        <v>196.5</v>
      </c>
      <c r="E550">
        <v>196.5</v>
      </c>
      <c r="F550">
        <v>196.5</v>
      </c>
      <c r="G550">
        <v>1</v>
      </c>
      <c r="H550">
        <v>0</v>
      </c>
      <c r="J550">
        <v>33182</v>
      </c>
      <c r="K550" s="123" t="s">
        <v>238</v>
      </c>
      <c r="L550" s="123" t="s">
        <v>1167</v>
      </c>
    </row>
    <row r="551" spans="1:12" x14ac:dyDescent="0.3">
      <c r="A551" s="95">
        <v>45996</v>
      </c>
      <c r="B551">
        <v>7139</v>
      </c>
      <c r="C551" s="123" t="s">
        <v>950</v>
      </c>
      <c r="D551">
        <v>-2.33</v>
      </c>
      <c r="E551">
        <v>-2.33</v>
      </c>
      <c r="F551">
        <v>-2.33</v>
      </c>
      <c r="G551">
        <v>0</v>
      </c>
      <c r="H551">
        <v>2</v>
      </c>
      <c r="I551">
        <v>0</v>
      </c>
      <c r="J551">
        <v>34790</v>
      </c>
      <c r="K551" s="123" t="s">
        <v>598</v>
      </c>
      <c r="L551" s="123" t="s">
        <v>1201</v>
      </c>
    </row>
    <row r="552" spans="1:12" x14ac:dyDescent="0.3">
      <c r="A552" s="95">
        <v>45996</v>
      </c>
      <c r="B552">
        <v>12979</v>
      </c>
      <c r="C552" s="123" t="s">
        <v>185</v>
      </c>
      <c r="D552">
        <v>0.35499999999999998</v>
      </c>
      <c r="E552">
        <v>506.14</v>
      </c>
      <c r="F552">
        <v>0.35299999999999998</v>
      </c>
      <c r="G552">
        <v>1</v>
      </c>
      <c r="H552">
        <v>0</v>
      </c>
      <c r="I552">
        <v>277</v>
      </c>
      <c r="J552">
        <v>36187</v>
      </c>
      <c r="K552" s="123" t="s">
        <v>311</v>
      </c>
      <c r="L552" s="123" t="s">
        <v>1319</v>
      </c>
    </row>
    <row r="553" spans="1:12" x14ac:dyDescent="0.3">
      <c r="A553" s="95">
        <v>45996</v>
      </c>
      <c r="B553">
        <v>14905</v>
      </c>
      <c r="C553" s="123" t="s">
        <v>185</v>
      </c>
      <c r="D553">
        <v>-29.2</v>
      </c>
      <c r="E553">
        <v>-41639.89</v>
      </c>
      <c r="F553">
        <v>-29.016999999999999</v>
      </c>
      <c r="G553">
        <v>0</v>
      </c>
      <c r="I553">
        <v>0</v>
      </c>
      <c r="J553">
        <v>37115</v>
      </c>
      <c r="K553" s="123" t="s">
        <v>701</v>
      </c>
      <c r="L553" s="123" t="s">
        <v>1330</v>
      </c>
    </row>
    <row r="554" spans="1:12" x14ac:dyDescent="0.3">
      <c r="A554" s="95">
        <v>45996</v>
      </c>
      <c r="B554">
        <v>14966</v>
      </c>
      <c r="C554" s="123" t="s">
        <v>950</v>
      </c>
      <c r="D554">
        <v>7.0000000000000007E-2</v>
      </c>
      <c r="E554">
        <v>7.0000000000000007E-2</v>
      </c>
      <c r="F554">
        <v>7.0000000000000007E-2</v>
      </c>
      <c r="G554">
        <v>1</v>
      </c>
      <c r="H554">
        <v>0</v>
      </c>
      <c r="J554">
        <v>37174</v>
      </c>
      <c r="K554" s="123" t="s">
        <v>984</v>
      </c>
      <c r="L554" s="123" t="s">
        <v>985</v>
      </c>
    </row>
    <row r="555" spans="1:12" x14ac:dyDescent="0.3">
      <c r="A555" s="95">
        <v>45996</v>
      </c>
      <c r="B555">
        <v>13663</v>
      </c>
      <c r="C555" s="123" t="s">
        <v>185</v>
      </c>
      <c r="D555">
        <v>5.1550000000000002</v>
      </c>
      <c r="E555">
        <v>7350.5</v>
      </c>
      <c r="F555">
        <v>5.1219999999999999</v>
      </c>
      <c r="G555">
        <v>1</v>
      </c>
      <c r="H555">
        <v>0</v>
      </c>
      <c r="I555">
        <v>4</v>
      </c>
      <c r="J555">
        <v>36828</v>
      </c>
      <c r="K555" s="123" t="s">
        <v>559</v>
      </c>
      <c r="L555" s="123" t="s">
        <v>1015</v>
      </c>
    </row>
    <row r="556" spans="1:12" x14ac:dyDescent="0.3">
      <c r="A556" s="95">
        <v>45996</v>
      </c>
      <c r="B556">
        <v>13596</v>
      </c>
      <c r="C556" s="123" t="s">
        <v>950</v>
      </c>
      <c r="D556">
        <v>0.39</v>
      </c>
      <c r="E556">
        <v>0.39</v>
      </c>
      <c r="F556">
        <v>0.39</v>
      </c>
      <c r="G556">
        <v>1</v>
      </c>
      <c r="H556">
        <v>0</v>
      </c>
      <c r="I556">
        <v>170</v>
      </c>
      <c r="J556">
        <v>36765</v>
      </c>
      <c r="K556" s="123" t="s">
        <v>450</v>
      </c>
      <c r="L556" s="123" t="s">
        <v>1193</v>
      </c>
    </row>
    <row r="557" spans="1:12" x14ac:dyDescent="0.3">
      <c r="A557" s="95">
        <v>45996</v>
      </c>
      <c r="B557">
        <v>4025</v>
      </c>
      <c r="C557" s="123" t="s">
        <v>185</v>
      </c>
      <c r="D557">
        <v>1.1619999999999999</v>
      </c>
      <c r="E557">
        <v>1656.4</v>
      </c>
      <c r="F557">
        <v>1.1539999999999999</v>
      </c>
      <c r="G557">
        <v>1</v>
      </c>
      <c r="H557">
        <v>0</v>
      </c>
      <c r="I557">
        <v>790</v>
      </c>
      <c r="J557">
        <v>32623</v>
      </c>
      <c r="K557" s="123" t="s">
        <v>335</v>
      </c>
      <c r="L557" s="123" t="s">
        <v>1124</v>
      </c>
    </row>
    <row r="558" spans="1:12" x14ac:dyDescent="0.3">
      <c r="A558" s="95">
        <v>45996</v>
      </c>
      <c r="B558">
        <v>15208</v>
      </c>
      <c r="C558" s="123" t="s">
        <v>185</v>
      </c>
      <c r="D558">
        <v>-15336.623</v>
      </c>
      <c r="E558">
        <v>-21870023.859999999</v>
      </c>
      <c r="F558">
        <v>-15240.434999999999</v>
      </c>
      <c r="G558">
        <v>0</v>
      </c>
      <c r="H558">
        <v>24</v>
      </c>
      <c r="I558">
        <v>0</v>
      </c>
      <c r="J558">
        <v>37337</v>
      </c>
      <c r="K558" s="123" t="s">
        <v>682</v>
      </c>
      <c r="L558" s="123" t="s">
        <v>1155</v>
      </c>
    </row>
    <row r="559" spans="1:12" x14ac:dyDescent="0.3">
      <c r="A559" s="95">
        <v>45996</v>
      </c>
      <c r="B559">
        <v>5876</v>
      </c>
      <c r="C559" s="123" t="s">
        <v>950</v>
      </c>
      <c r="D559">
        <v>7.0000000000000007E-2</v>
      </c>
      <c r="E559">
        <v>7.0000000000000007E-2</v>
      </c>
      <c r="F559">
        <v>7.0000000000000007E-2</v>
      </c>
      <c r="G559">
        <v>1</v>
      </c>
      <c r="H559">
        <v>0</v>
      </c>
      <c r="I559">
        <v>790</v>
      </c>
      <c r="J559">
        <v>32749</v>
      </c>
      <c r="K559" s="123" t="s">
        <v>217</v>
      </c>
      <c r="L559" s="123" t="s">
        <v>1260</v>
      </c>
    </row>
    <row r="560" spans="1:12" x14ac:dyDescent="0.3">
      <c r="A560" s="95">
        <v>45996</v>
      </c>
      <c r="B560">
        <v>12979</v>
      </c>
      <c r="C560" s="123" t="s">
        <v>950</v>
      </c>
      <c r="D560">
        <v>4.84</v>
      </c>
      <c r="E560">
        <v>4.84</v>
      </c>
      <c r="F560">
        <v>4.84</v>
      </c>
      <c r="G560">
        <v>1</v>
      </c>
      <c r="H560">
        <v>0</v>
      </c>
      <c r="I560">
        <v>28</v>
      </c>
      <c r="J560">
        <v>36187</v>
      </c>
      <c r="K560" s="123" t="s">
        <v>311</v>
      </c>
      <c r="L560" s="123" t="s">
        <v>1319</v>
      </c>
    </row>
    <row r="561" spans="1:12" x14ac:dyDescent="0.3">
      <c r="A561" s="95">
        <v>45996</v>
      </c>
      <c r="B561">
        <v>14905</v>
      </c>
      <c r="C561" s="123" t="s">
        <v>950</v>
      </c>
      <c r="D561">
        <v>480.68</v>
      </c>
      <c r="E561">
        <v>480.68</v>
      </c>
      <c r="F561">
        <v>480.68</v>
      </c>
      <c r="G561">
        <v>1</v>
      </c>
      <c r="H561">
        <v>0</v>
      </c>
      <c r="I561">
        <v>96</v>
      </c>
      <c r="J561">
        <v>37115</v>
      </c>
      <c r="K561" s="123" t="s">
        <v>701</v>
      </c>
      <c r="L561" s="123" t="s">
        <v>1330</v>
      </c>
    </row>
    <row r="562" spans="1:12" x14ac:dyDescent="0.3">
      <c r="A562" s="95">
        <v>45996</v>
      </c>
      <c r="B562">
        <v>13663</v>
      </c>
      <c r="C562" s="123" t="s">
        <v>950</v>
      </c>
      <c r="D562">
        <v>7.5</v>
      </c>
      <c r="E562">
        <v>7.5</v>
      </c>
      <c r="F562">
        <v>7.5</v>
      </c>
      <c r="G562">
        <v>1</v>
      </c>
      <c r="H562">
        <v>0</v>
      </c>
      <c r="J562">
        <v>36828</v>
      </c>
      <c r="K562" s="123" t="s">
        <v>559</v>
      </c>
      <c r="L562" s="123" t="s">
        <v>1015</v>
      </c>
    </row>
    <row r="563" spans="1:12" x14ac:dyDescent="0.3">
      <c r="A563" s="95">
        <v>45996</v>
      </c>
      <c r="B563">
        <v>13761</v>
      </c>
      <c r="C563" s="123" t="s">
        <v>185</v>
      </c>
      <c r="D563">
        <v>15.023999999999999</v>
      </c>
      <c r="E563">
        <v>21423.599999999999</v>
      </c>
      <c r="F563">
        <v>14.929</v>
      </c>
      <c r="G563">
        <v>1</v>
      </c>
      <c r="H563">
        <v>0</v>
      </c>
      <c r="I563">
        <v>4</v>
      </c>
      <c r="J563">
        <v>36914</v>
      </c>
      <c r="K563" s="123" t="s">
        <v>315</v>
      </c>
      <c r="L563" s="123" t="s">
        <v>1106</v>
      </c>
    </row>
    <row r="564" spans="1:12" x14ac:dyDescent="0.3">
      <c r="A564" s="95">
        <v>45996</v>
      </c>
      <c r="B564">
        <v>13275</v>
      </c>
      <c r="C564" s="123" t="s">
        <v>185</v>
      </c>
      <c r="D564">
        <v>2.1280000000000001</v>
      </c>
      <c r="E564">
        <v>3035</v>
      </c>
      <c r="F564">
        <v>2.1150000000000002</v>
      </c>
      <c r="G564">
        <v>1</v>
      </c>
      <c r="H564">
        <v>0</v>
      </c>
      <c r="I564">
        <v>11</v>
      </c>
      <c r="J564">
        <v>36459</v>
      </c>
      <c r="K564" s="123" t="s">
        <v>296</v>
      </c>
      <c r="L564" s="123" t="s">
        <v>1138</v>
      </c>
    </row>
    <row r="565" spans="1:12" x14ac:dyDescent="0.3">
      <c r="A565" s="95">
        <v>45996</v>
      </c>
      <c r="B565">
        <v>9947</v>
      </c>
      <c r="C565" s="123" t="s">
        <v>185</v>
      </c>
      <c r="D565">
        <v>8.9999999999999993E-3</v>
      </c>
      <c r="E565">
        <v>13.42</v>
      </c>
      <c r="F565">
        <v>8.9999999999999993E-3</v>
      </c>
      <c r="G565">
        <v>1</v>
      </c>
      <c r="H565">
        <v>0</v>
      </c>
      <c r="I565">
        <v>786</v>
      </c>
      <c r="J565">
        <v>35446</v>
      </c>
      <c r="K565" s="123" t="s">
        <v>354</v>
      </c>
      <c r="L565" s="123" t="s">
        <v>1299</v>
      </c>
    </row>
    <row r="566" spans="1:12" x14ac:dyDescent="0.3">
      <c r="A566" s="95">
        <v>45996</v>
      </c>
      <c r="B566">
        <v>15122</v>
      </c>
      <c r="C566" s="123" t="s">
        <v>185</v>
      </c>
      <c r="D566">
        <v>-47.213000000000001</v>
      </c>
      <c r="E566">
        <v>-67326.25</v>
      </c>
      <c r="F566">
        <v>-46.917000000000002</v>
      </c>
      <c r="G566">
        <v>0</v>
      </c>
      <c r="I566">
        <v>0</v>
      </c>
      <c r="J566">
        <v>37263</v>
      </c>
      <c r="K566" s="123" t="s">
        <v>1342</v>
      </c>
      <c r="L566" s="123" t="s">
        <v>1343</v>
      </c>
    </row>
    <row r="567" spans="1:12" x14ac:dyDescent="0.3">
      <c r="A567" s="95">
        <v>45996</v>
      </c>
      <c r="B567">
        <v>16936</v>
      </c>
      <c r="C567" s="123" t="s">
        <v>950</v>
      </c>
      <c r="D567">
        <v>8800</v>
      </c>
      <c r="E567">
        <v>8800</v>
      </c>
      <c r="F567">
        <v>8800</v>
      </c>
      <c r="G567">
        <v>1</v>
      </c>
      <c r="H567">
        <v>0</v>
      </c>
      <c r="J567">
        <v>38107</v>
      </c>
      <c r="K567" s="123" t="s">
        <v>900</v>
      </c>
      <c r="L567" s="123" t="s">
        <v>1509</v>
      </c>
    </row>
    <row r="568" spans="1:12" x14ac:dyDescent="0.3">
      <c r="A568" s="95">
        <v>45996</v>
      </c>
      <c r="B568">
        <v>13761</v>
      </c>
      <c r="C568" s="123" t="s">
        <v>950</v>
      </c>
      <c r="D568">
        <v>35.380000000000003</v>
      </c>
      <c r="E568">
        <v>35.380000000000003</v>
      </c>
      <c r="F568">
        <v>35.380000000000003</v>
      </c>
      <c r="G568">
        <v>1</v>
      </c>
      <c r="H568">
        <v>0</v>
      </c>
      <c r="I568">
        <v>299</v>
      </c>
      <c r="J568">
        <v>36914</v>
      </c>
      <c r="K568" s="123" t="s">
        <v>315</v>
      </c>
      <c r="L568" s="123" t="s">
        <v>1106</v>
      </c>
    </row>
    <row r="569" spans="1:12" x14ac:dyDescent="0.3">
      <c r="A569" s="95">
        <v>45996</v>
      </c>
      <c r="B569">
        <v>13275</v>
      </c>
      <c r="C569" s="123" t="s">
        <v>950</v>
      </c>
      <c r="D569">
        <v>123.48</v>
      </c>
      <c r="E569">
        <v>123.48</v>
      </c>
      <c r="F569">
        <v>123.48</v>
      </c>
      <c r="G569">
        <v>1</v>
      </c>
      <c r="H569">
        <v>0</v>
      </c>
      <c r="J569">
        <v>36459</v>
      </c>
      <c r="K569" s="123" t="s">
        <v>296</v>
      </c>
      <c r="L569" s="123" t="s">
        <v>1138</v>
      </c>
    </row>
    <row r="570" spans="1:12" x14ac:dyDescent="0.3">
      <c r="A570" s="95">
        <v>45996</v>
      </c>
      <c r="B570">
        <v>9947</v>
      </c>
      <c r="C570" s="123" t="s">
        <v>950</v>
      </c>
      <c r="D570">
        <v>-0.02</v>
      </c>
      <c r="E570">
        <v>-0.02</v>
      </c>
      <c r="F570">
        <v>-0.02</v>
      </c>
      <c r="G570">
        <v>0</v>
      </c>
      <c r="H570">
        <v>718</v>
      </c>
      <c r="I570">
        <v>0</v>
      </c>
      <c r="J570">
        <v>35446</v>
      </c>
      <c r="K570" s="123" t="s">
        <v>354</v>
      </c>
      <c r="L570" s="123" t="s">
        <v>1299</v>
      </c>
    </row>
    <row r="571" spans="1:12" x14ac:dyDescent="0.3">
      <c r="A571" s="95">
        <v>45996</v>
      </c>
      <c r="B571">
        <v>15122</v>
      </c>
      <c r="C571" s="123" t="s">
        <v>950</v>
      </c>
      <c r="D571">
        <v>9.0299999999999994</v>
      </c>
      <c r="E571">
        <v>9.0299999999999994</v>
      </c>
      <c r="F571">
        <v>9.0299999999999994</v>
      </c>
      <c r="G571">
        <v>1</v>
      </c>
      <c r="H571">
        <v>0</v>
      </c>
      <c r="J571">
        <v>37263</v>
      </c>
      <c r="K571" s="123" t="s">
        <v>1342</v>
      </c>
      <c r="L571" s="123" t="s">
        <v>1343</v>
      </c>
    </row>
    <row r="572" spans="1:12" x14ac:dyDescent="0.3">
      <c r="A572" s="95">
        <v>45996</v>
      </c>
      <c r="B572">
        <v>16936</v>
      </c>
      <c r="C572" s="123" t="s">
        <v>185</v>
      </c>
      <c r="D572">
        <v>-49.201999999999998</v>
      </c>
      <c r="E572">
        <v>-70162.16</v>
      </c>
      <c r="F572">
        <v>-48.893000000000001</v>
      </c>
      <c r="G572">
        <v>0</v>
      </c>
      <c r="H572">
        <v>6</v>
      </c>
      <c r="I572">
        <v>0</v>
      </c>
      <c r="J572">
        <v>38107</v>
      </c>
      <c r="K572" s="123" t="s">
        <v>900</v>
      </c>
      <c r="L572" s="123" t="s">
        <v>1509</v>
      </c>
    </row>
    <row r="573" spans="1:12" x14ac:dyDescent="0.3">
      <c r="A573" s="95">
        <v>45996</v>
      </c>
      <c r="B573">
        <v>13761</v>
      </c>
      <c r="C573" s="123" t="s">
        <v>188</v>
      </c>
      <c r="D573">
        <v>3.5</v>
      </c>
      <c r="E573">
        <v>3.5</v>
      </c>
      <c r="F573">
        <v>3.5</v>
      </c>
      <c r="G573">
        <v>1</v>
      </c>
      <c r="H573">
        <v>0</v>
      </c>
      <c r="J573">
        <v>36914</v>
      </c>
      <c r="K573" s="123" t="s">
        <v>315</v>
      </c>
      <c r="L573" s="123" t="s">
        <v>1106</v>
      </c>
    </row>
    <row r="574" spans="1:12" x14ac:dyDescent="0.3">
      <c r="A574" s="95">
        <v>45996</v>
      </c>
      <c r="B574">
        <v>13275</v>
      </c>
      <c r="C574" s="123" t="s">
        <v>801</v>
      </c>
      <c r="D574">
        <v>-2.11</v>
      </c>
      <c r="E574">
        <v>-2.11</v>
      </c>
      <c r="F574">
        <v>-2.11</v>
      </c>
      <c r="G574">
        <v>0</v>
      </c>
      <c r="H574">
        <v>26</v>
      </c>
      <c r="I574">
        <v>0</v>
      </c>
      <c r="J574">
        <v>36459</v>
      </c>
      <c r="K574" s="123" t="s">
        <v>296</v>
      </c>
      <c r="L574" s="123" t="s">
        <v>1138</v>
      </c>
    </row>
    <row r="575" spans="1:12" x14ac:dyDescent="0.3">
      <c r="A575" s="95">
        <v>45996</v>
      </c>
      <c r="B575">
        <v>12910</v>
      </c>
      <c r="C575" s="123" t="s">
        <v>185</v>
      </c>
      <c r="D575">
        <v>0</v>
      </c>
      <c r="E575">
        <v>-0.24</v>
      </c>
      <c r="F575">
        <v>0</v>
      </c>
      <c r="G575">
        <v>0</v>
      </c>
      <c r="H575">
        <v>344</v>
      </c>
      <c r="I575">
        <v>0</v>
      </c>
      <c r="J575">
        <v>36129</v>
      </c>
      <c r="K575" s="123" t="s">
        <v>435</v>
      </c>
      <c r="L575" s="123" t="s">
        <v>1279</v>
      </c>
    </row>
    <row r="576" spans="1:12" x14ac:dyDescent="0.3">
      <c r="A576" s="95">
        <v>45996</v>
      </c>
      <c r="B576">
        <v>13665</v>
      </c>
      <c r="C576" s="123" t="s">
        <v>950</v>
      </c>
      <c r="D576">
        <v>7.41</v>
      </c>
      <c r="E576">
        <v>7.41</v>
      </c>
      <c r="F576">
        <v>7.41</v>
      </c>
      <c r="G576">
        <v>1</v>
      </c>
      <c r="H576">
        <v>0</v>
      </c>
      <c r="J576">
        <v>36829</v>
      </c>
      <c r="K576" s="123" t="s">
        <v>516</v>
      </c>
      <c r="L576" s="123" t="s">
        <v>1175</v>
      </c>
    </row>
    <row r="577" spans="1:12" x14ac:dyDescent="0.3">
      <c r="A577" s="95">
        <v>45996</v>
      </c>
      <c r="B577">
        <v>13665</v>
      </c>
      <c r="C577" s="123" t="s">
        <v>185</v>
      </c>
      <c r="D577">
        <v>2.0289999999999999</v>
      </c>
      <c r="E577">
        <v>2892.72</v>
      </c>
      <c r="F577">
        <v>2.016</v>
      </c>
      <c r="G577">
        <v>1</v>
      </c>
      <c r="H577">
        <v>0</v>
      </c>
      <c r="I577">
        <v>6</v>
      </c>
      <c r="J577">
        <v>36829</v>
      </c>
      <c r="K577" s="123" t="s">
        <v>516</v>
      </c>
      <c r="L577" s="123" t="s">
        <v>1175</v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FA8B01-B9C9-47D1-A520-55E1EA6969C9}">
  <dimension ref="A1:L2132"/>
  <sheetViews>
    <sheetView workbookViewId="0">
      <selection activeCell="F247" sqref="F247"/>
    </sheetView>
  </sheetViews>
  <sheetFormatPr baseColWidth="10" defaultRowHeight="14.4" x14ac:dyDescent="0.3"/>
  <cols>
    <col min="1" max="1" width="15.77734375" bestFit="1" customWidth="1"/>
    <col min="2" max="2" width="14.88671875" bestFit="1" customWidth="1"/>
    <col min="3" max="3" width="11.77734375" bestFit="1" customWidth="1"/>
    <col min="4" max="4" width="13" style="6" bestFit="1" customWidth="1"/>
    <col min="5" max="5" width="25.33203125" bestFit="1" customWidth="1"/>
    <col min="6" max="6" width="35" bestFit="1" customWidth="1"/>
    <col min="7" max="7" width="38" bestFit="1" customWidth="1"/>
    <col min="8" max="8" width="22.21875" bestFit="1" customWidth="1"/>
    <col min="9" max="9" width="30.44140625" bestFit="1" customWidth="1"/>
    <col min="10" max="10" width="77.21875" bestFit="1" customWidth="1"/>
    <col min="11" max="11" width="20.21875" bestFit="1" customWidth="1"/>
    <col min="12" max="12" width="23.88671875" bestFit="1" customWidth="1"/>
  </cols>
  <sheetData>
    <row r="1" spans="1:12" x14ac:dyDescent="0.3">
      <c r="A1" t="s">
        <v>924</v>
      </c>
      <c r="B1" t="s">
        <v>925</v>
      </c>
      <c r="C1" t="s">
        <v>926</v>
      </c>
      <c r="D1" s="6" t="s">
        <v>927</v>
      </c>
      <c r="E1" t="s">
        <v>928</v>
      </c>
      <c r="F1" t="s">
        <v>929</v>
      </c>
      <c r="G1" t="s">
        <v>930</v>
      </c>
      <c r="H1" t="s">
        <v>931</v>
      </c>
      <c r="I1" t="s">
        <v>932</v>
      </c>
      <c r="J1" t="s">
        <v>933</v>
      </c>
      <c r="K1" t="s">
        <v>934</v>
      </c>
      <c r="L1" t="s">
        <v>1446</v>
      </c>
    </row>
    <row r="2" spans="1:12" hidden="1" x14ac:dyDescent="0.3">
      <c r="A2">
        <v>2611769</v>
      </c>
      <c r="B2">
        <v>20251205</v>
      </c>
      <c r="D2">
        <v>1.9396072931276298</v>
      </c>
      <c r="E2" s="123" t="s">
        <v>1563</v>
      </c>
      <c r="F2" s="123" t="s">
        <v>185</v>
      </c>
      <c r="G2" s="123"/>
      <c r="H2" s="95">
        <v>45996</v>
      </c>
      <c r="J2" s="123"/>
      <c r="K2" s="123"/>
      <c r="L2" s="123" t="e">
        <f>VLOOKUP(Fact_AUM_FyoCapital[[#This Row],[Dim_Empresas.CUIT]],'clientes SQL'!C:D,2,0)</f>
        <v>#N/A</v>
      </c>
    </row>
    <row r="3" spans="1:12" hidden="1" x14ac:dyDescent="0.3">
      <c r="A3">
        <v>1855837</v>
      </c>
      <c r="B3">
        <v>20251205</v>
      </c>
      <c r="C3">
        <v>12767</v>
      </c>
      <c r="D3">
        <v>269.47000000000003</v>
      </c>
      <c r="E3" s="123" t="s">
        <v>1568</v>
      </c>
      <c r="F3" s="123" t="s">
        <v>1572</v>
      </c>
      <c r="G3" s="123" t="s">
        <v>1570</v>
      </c>
      <c r="H3" s="95">
        <v>45996</v>
      </c>
      <c r="I3">
        <v>35995</v>
      </c>
      <c r="J3" s="123" t="s">
        <v>439</v>
      </c>
      <c r="K3" s="123" t="s">
        <v>936</v>
      </c>
      <c r="L3" s="123" t="e">
        <f>VLOOKUP(Fact_AUM_FyoCapital[[#This Row],[Dim_Empresas.CUIT]],'clientes SQL'!C:D,2,0)</f>
        <v>#N/A</v>
      </c>
    </row>
    <row r="4" spans="1:12" hidden="1" x14ac:dyDescent="0.3">
      <c r="A4">
        <v>1878937</v>
      </c>
      <c r="B4">
        <v>20251205</v>
      </c>
      <c r="C4">
        <v>5356</v>
      </c>
      <c r="D4">
        <v>754.80297335203363</v>
      </c>
      <c r="E4" s="123" t="s">
        <v>1568</v>
      </c>
      <c r="F4" s="123" t="s">
        <v>1572</v>
      </c>
      <c r="G4" s="123" t="s">
        <v>1574</v>
      </c>
      <c r="H4" s="95">
        <v>45996</v>
      </c>
      <c r="I4">
        <v>33310</v>
      </c>
      <c r="J4" s="123" t="s">
        <v>540</v>
      </c>
      <c r="K4" s="123" t="s">
        <v>958</v>
      </c>
      <c r="L4" s="123" t="e">
        <f>VLOOKUP(Fact_AUM_FyoCapital[[#This Row],[Dim_Empresas.CUIT]],'clientes SQL'!C:D,2,0)</f>
        <v>#N/A</v>
      </c>
    </row>
    <row r="5" spans="1:12" hidden="1" x14ac:dyDescent="0.3">
      <c r="A5">
        <v>2619089</v>
      </c>
      <c r="B5">
        <v>20251205</v>
      </c>
      <c r="C5">
        <v>1</v>
      </c>
      <c r="D5">
        <v>8465.24</v>
      </c>
      <c r="E5" s="123" t="s">
        <v>1563</v>
      </c>
      <c r="F5" s="123" t="s">
        <v>188</v>
      </c>
      <c r="G5" s="123"/>
      <c r="H5" s="95">
        <v>45996</v>
      </c>
      <c r="I5">
        <v>5603</v>
      </c>
      <c r="J5" s="123" t="s">
        <v>943</v>
      </c>
      <c r="K5" s="123" t="s">
        <v>944</v>
      </c>
      <c r="L5" s="123" t="e">
        <f>VLOOKUP(Fact_AUM_FyoCapital[[#This Row],[Dim_Empresas.CUIT]],'clientes SQL'!C:D,2,0)</f>
        <v>#N/A</v>
      </c>
    </row>
    <row r="6" spans="1:12" hidden="1" x14ac:dyDescent="0.3">
      <c r="A6">
        <v>1859857</v>
      </c>
      <c r="B6">
        <v>20251205</v>
      </c>
      <c r="C6">
        <v>10</v>
      </c>
      <c r="D6">
        <v>3491290.07</v>
      </c>
      <c r="E6" s="123" t="s">
        <v>1566</v>
      </c>
      <c r="F6" s="123" t="s">
        <v>1567</v>
      </c>
      <c r="G6" s="123"/>
      <c r="H6" s="95">
        <v>45996</v>
      </c>
      <c r="I6">
        <v>375</v>
      </c>
      <c r="J6" s="123" t="s">
        <v>945</v>
      </c>
      <c r="K6" s="123" t="s">
        <v>946</v>
      </c>
      <c r="L6" s="123" t="e">
        <f>VLOOKUP(Fact_AUM_FyoCapital[[#This Row],[Dim_Empresas.CUIT]],'clientes SQL'!C:D,2,0)</f>
        <v>#N/A</v>
      </c>
    </row>
    <row r="7" spans="1:12" hidden="1" x14ac:dyDescent="0.3">
      <c r="A7">
        <v>2096800</v>
      </c>
      <c r="B7">
        <v>20251205</v>
      </c>
      <c r="C7">
        <v>5356</v>
      </c>
      <c r="D7">
        <v>3849.0868653576435</v>
      </c>
      <c r="E7" s="123" t="s">
        <v>1564</v>
      </c>
      <c r="F7" s="123" t="s">
        <v>1565</v>
      </c>
      <c r="G7" s="123"/>
      <c r="H7" s="95">
        <v>45996</v>
      </c>
      <c r="I7">
        <v>33310</v>
      </c>
      <c r="J7" s="123" t="s">
        <v>540</v>
      </c>
      <c r="K7" s="123" t="s">
        <v>958</v>
      </c>
      <c r="L7" s="123" t="e">
        <f>VLOOKUP(Fact_AUM_FyoCapital[[#This Row],[Dim_Empresas.CUIT]],'clientes SQL'!C:D,2,0)</f>
        <v>#N/A</v>
      </c>
    </row>
    <row r="8" spans="1:12" hidden="1" x14ac:dyDescent="0.3">
      <c r="A8">
        <v>1889017</v>
      </c>
      <c r="B8">
        <v>20251205</v>
      </c>
      <c r="D8">
        <v>4892.1499999999996</v>
      </c>
      <c r="E8" s="123" t="s">
        <v>1568</v>
      </c>
      <c r="F8" s="123" t="s">
        <v>1572</v>
      </c>
      <c r="G8" s="123" t="s">
        <v>1576</v>
      </c>
      <c r="H8" s="95">
        <v>45996</v>
      </c>
      <c r="J8" s="123"/>
      <c r="K8" s="123"/>
      <c r="L8" s="123" t="e">
        <f>VLOOKUP(Fact_AUM_FyoCapital[[#This Row],[Dim_Empresas.CUIT]],'clientes SQL'!C:D,2,0)</f>
        <v>#N/A</v>
      </c>
    </row>
    <row r="9" spans="1:12" hidden="1" x14ac:dyDescent="0.3">
      <c r="A9">
        <v>2627549</v>
      </c>
      <c r="B9">
        <v>20251205</v>
      </c>
      <c r="C9">
        <v>5439</v>
      </c>
      <c r="D9">
        <v>-2.1156381486676019</v>
      </c>
      <c r="E9" s="123" t="s">
        <v>1563</v>
      </c>
      <c r="F9" s="123" t="s">
        <v>185</v>
      </c>
      <c r="G9" s="123"/>
      <c r="H9" s="95">
        <v>45996</v>
      </c>
      <c r="I9">
        <v>33214</v>
      </c>
      <c r="J9" s="123" t="s">
        <v>846</v>
      </c>
      <c r="K9" s="123" t="s">
        <v>937</v>
      </c>
      <c r="L9" s="123" t="e">
        <f>VLOOKUP(Fact_AUM_FyoCapital[[#This Row],[Dim_Empresas.CUIT]],'clientes SQL'!C:D,2,0)</f>
        <v>#N/A</v>
      </c>
    </row>
    <row r="10" spans="1:12" hidden="1" x14ac:dyDescent="0.3">
      <c r="A10">
        <v>1855417</v>
      </c>
      <c r="B10">
        <v>20251205</v>
      </c>
      <c r="C10">
        <v>12767</v>
      </c>
      <c r="D10">
        <v>16327.582727910238</v>
      </c>
      <c r="E10" s="123" t="s">
        <v>1566</v>
      </c>
      <c r="F10" s="123" t="s">
        <v>1571</v>
      </c>
      <c r="G10" s="123"/>
      <c r="H10" s="95">
        <v>45996</v>
      </c>
      <c r="I10">
        <v>35995</v>
      </c>
      <c r="J10" s="123" t="s">
        <v>439</v>
      </c>
      <c r="K10" s="123" t="s">
        <v>936</v>
      </c>
      <c r="L10" s="123" t="e">
        <f>VLOOKUP(Fact_AUM_FyoCapital[[#This Row],[Dim_Empresas.CUIT]],'clientes SQL'!C:D,2,0)</f>
        <v>#N/A</v>
      </c>
    </row>
    <row r="11" spans="1:12" hidden="1" x14ac:dyDescent="0.3">
      <c r="A11">
        <v>2619029</v>
      </c>
      <c r="B11">
        <v>20251205</v>
      </c>
      <c r="C11">
        <v>1</v>
      </c>
      <c r="D11">
        <v>-1220084.0900000001</v>
      </c>
      <c r="E11" s="123" t="s">
        <v>1563</v>
      </c>
      <c r="F11" s="123" t="s">
        <v>801</v>
      </c>
      <c r="G11" s="123"/>
      <c r="H11" s="95">
        <v>45996</v>
      </c>
      <c r="I11">
        <v>5603</v>
      </c>
      <c r="J11" s="123" t="s">
        <v>943</v>
      </c>
      <c r="K11" s="123" t="s">
        <v>944</v>
      </c>
      <c r="L11" s="123" t="e">
        <f>VLOOKUP(Fact_AUM_FyoCapital[[#This Row],[Dim_Empresas.CUIT]],'clientes SQL'!C:D,2,0)</f>
        <v>#N/A</v>
      </c>
    </row>
    <row r="12" spans="1:12" hidden="1" x14ac:dyDescent="0.3">
      <c r="A12">
        <v>2607089</v>
      </c>
      <c r="B12">
        <v>20251205</v>
      </c>
      <c r="D12">
        <v>338.42917251051892</v>
      </c>
      <c r="E12" s="123" t="s">
        <v>1566</v>
      </c>
      <c r="F12" s="123" t="s">
        <v>1580</v>
      </c>
      <c r="G12" s="123"/>
      <c r="H12" s="95">
        <v>45996</v>
      </c>
      <c r="J12" s="123"/>
      <c r="K12" s="123"/>
      <c r="L12" s="123" t="e">
        <f>VLOOKUP(Fact_AUM_FyoCapital[[#This Row],[Dim_Empresas.CUIT]],'clientes SQL'!C:D,2,0)</f>
        <v>#N/A</v>
      </c>
    </row>
    <row r="13" spans="1:12" hidden="1" x14ac:dyDescent="0.3">
      <c r="A13">
        <v>2608049</v>
      </c>
      <c r="B13">
        <v>20251205</v>
      </c>
      <c r="C13">
        <v>765</v>
      </c>
      <c r="D13">
        <v>-332.42</v>
      </c>
      <c r="E13" s="123" t="s">
        <v>1563</v>
      </c>
      <c r="F13" s="123" t="s">
        <v>801</v>
      </c>
      <c r="G13" s="123"/>
      <c r="H13" s="95">
        <v>45996</v>
      </c>
      <c r="I13">
        <v>10023</v>
      </c>
      <c r="J13" s="123" t="s">
        <v>939</v>
      </c>
      <c r="K13" s="123" t="s">
        <v>940</v>
      </c>
      <c r="L13" s="123" t="e">
        <f>VLOOKUP(Fact_AUM_FyoCapital[[#This Row],[Dim_Empresas.CUIT]],'clientes SQL'!C:D,2,0)</f>
        <v>#N/A</v>
      </c>
    </row>
    <row r="14" spans="1:12" hidden="1" x14ac:dyDescent="0.3">
      <c r="A14">
        <v>1888957</v>
      </c>
      <c r="B14">
        <v>20251205</v>
      </c>
      <c r="D14">
        <v>2106.7399999999998</v>
      </c>
      <c r="E14" s="123" t="s">
        <v>1568</v>
      </c>
      <c r="F14" s="123" t="s">
        <v>1575</v>
      </c>
      <c r="G14" s="123" t="s">
        <v>1576</v>
      </c>
      <c r="H14" s="95">
        <v>45996</v>
      </c>
      <c r="J14" s="123"/>
      <c r="K14" s="123"/>
      <c r="L14" s="123" t="e">
        <f>VLOOKUP(Fact_AUM_FyoCapital[[#This Row],[Dim_Empresas.CUIT]],'clientes SQL'!C:D,2,0)</f>
        <v>#N/A</v>
      </c>
    </row>
    <row r="15" spans="1:12" hidden="1" x14ac:dyDescent="0.3">
      <c r="A15">
        <v>1865137</v>
      </c>
      <c r="B15">
        <v>20251205</v>
      </c>
      <c r="C15">
        <v>10</v>
      </c>
      <c r="D15">
        <v>2122.4499999999998</v>
      </c>
      <c r="E15" s="123" t="s">
        <v>1566</v>
      </c>
      <c r="F15" s="123" t="s">
        <v>1579</v>
      </c>
      <c r="G15" s="123"/>
      <c r="H15" s="95">
        <v>45996</v>
      </c>
      <c r="I15">
        <v>375</v>
      </c>
      <c r="J15" s="123" t="s">
        <v>945</v>
      </c>
      <c r="K15" s="123" t="s">
        <v>946</v>
      </c>
      <c r="L15" s="123" t="e">
        <f>VLOOKUP(Fact_AUM_FyoCapital[[#This Row],[Dim_Empresas.CUIT]],'clientes SQL'!C:D,2,0)</f>
        <v>#N/A</v>
      </c>
    </row>
    <row r="16" spans="1:12" hidden="1" x14ac:dyDescent="0.3">
      <c r="A16">
        <v>1854757</v>
      </c>
      <c r="B16">
        <v>20251205</v>
      </c>
      <c r="C16">
        <v>12767</v>
      </c>
      <c r="D16">
        <v>22834.35</v>
      </c>
      <c r="E16" s="123" t="s">
        <v>1566</v>
      </c>
      <c r="F16" s="123" t="s">
        <v>1578</v>
      </c>
      <c r="G16" s="123"/>
      <c r="H16" s="95">
        <v>45996</v>
      </c>
      <c r="I16">
        <v>35995</v>
      </c>
      <c r="J16" s="123" t="s">
        <v>439</v>
      </c>
      <c r="K16" s="123" t="s">
        <v>936</v>
      </c>
      <c r="L16" s="123" t="e">
        <f>VLOOKUP(Fact_AUM_FyoCapital[[#This Row],[Dim_Empresas.CUIT]],'clientes SQL'!C:D,2,0)</f>
        <v>#N/A</v>
      </c>
    </row>
    <row r="17" spans="1:12" hidden="1" x14ac:dyDescent="0.3">
      <c r="A17">
        <v>1873177</v>
      </c>
      <c r="B17">
        <v>20251205</v>
      </c>
      <c r="D17">
        <v>4988.26</v>
      </c>
      <c r="E17" s="123" t="s">
        <v>1566</v>
      </c>
      <c r="F17" s="123" t="s">
        <v>1571</v>
      </c>
      <c r="G17" s="123"/>
      <c r="H17" s="95">
        <v>45996</v>
      </c>
      <c r="J17" s="123"/>
      <c r="K17" s="123"/>
      <c r="L17" s="123" t="e">
        <f>VLOOKUP(Fact_AUM_FyoCapital[[#This Row],[Dim_Empresas.CUIT]],'clientes SQL'!C:D,2,0)</f>
        <v>#N/A</v>
      </c>
    </row>
    <row r="18" spans="1:12" hidden="1" x14ac:dyDescent="0.3">
      <c r="A18">
        <v>2602949</v>
      </c>
      <c r="B18">
        <v>20251205</v>
      </c>
      <c r="C18">
        <v>963</v>
      </c>
      <c r="D18">
        <v>56418.243260869567</v>
      </c>
      <c r="E18" s="123" t="s">
        <v>1568</v>
      </c>
      <c r="F18" s="123" t="s">
        <v>1572</v>
      </c>
      <c r="G18" s="123" t="s">
        <v>1570</v>
      </c>
      <c r="H18" s="95">
        <v>45996</v>
      </c>
      <c r="I18">
        <v>6929</v>
      </c>
      <c r="J18" s="123" t="s">
        <v>482</v>
      </c>
      <c r="K18" s="123" t="s">
        <v>961</v>
      </c>
      <c r="L18" s="123" t="e">
        <f>VLOOKUP(Fact_AUM_FyoCapital[[#This Row],[Dim_Empresas.CUIT]],'clientes SQL'!C:D,2,0)</f>
        <v>#N/A</v>
      </c>
    </row>
    <row r="19" spans="1:12" hidden="1" x14ac:dyDescent="0.3">
      <c r="A19">
        <v>1854937</v>
      </c>
      <c r="B19">
        <v>20251205</v>
      </c>
      <c r="C19">
        <v>12767</v>
      </c>
      <c r="D19">
        <v>3.88</v>
      </c>
      <c r="E19" s="123" t="s">
        <v>1566</v>
      </c>
      <c r="F19" s="123" t="s">
        <v>1571</v>
      </c>
      <c r="G19" s="123"/>
      <c r="H19" s="95">
        <v>45996</v>
      </c>
      <c r="I19">
        <v>35995</v>
      </c>
      <c r="J19" s="123" t="s">
        <v>439</v>
      </c>
      <c r="K19" s="123" t="s">
        <v>936</v>
      </c>
      <c r="L19" s="123" t="e">
        <f>VLOOKUP(Fact_AUM_FyoCapital[[#This Row],[Dim_Empresas.CUIT]],'clientes SQL'!C:D,2,0)</f>
        <v>#N/A</v>
      </c>
    </row>
    <row r="20" spans="1:12" hidden="1" x14ac:dyDescent="0.3">
      <c r="A20">
        <v>2607569</v>
      </c>
      <c r="B20">
        <v>20251205</v>
      </c>
      <c r="D20">
        <v>7894.0561009817675</v>
      </c>
      <c r="E20" s="123" t="s">
        <v>1566</v>
      </c>
      <c r="F20" s="123" t="s">
        <v>1571</v>
      </c>
      <c r="G20" s="123"/>
      <c r="H20" s="95">
        <v>45996</v>
      </c>
      <c r="J20" s="123"/>
      <c r="K20" s="123"/>
      <c r="L20" s="123" t="e">
        <f>VLOOKUP(Fact_AUM_FyoCapital[[#This Row],[Dim_Empresas.CUIT]],'clientes SQL'!C:D,2,0)</f>
        <v>#N/A</v>
      </c>
    </row>
    <row r="21" spans="1:12" hidden="1" x14ac:dyDescent="0.3">
      <c r="A21">
        <v>1878997</v>
      </c>
      <c r="B21">
        <v>20251205</v>
      </c>
      <c r="C21">
        <v>106</v>
      </c>
      <c r="D21">
        <v>45170.07</v>
      </c>
      <c r="E21" s="123" t="s">
        <v>1566</v>
      </c>
      <c r="F21" s="123" t="s">
        <v>1579</v>
      </c>
      <c r="G21" s="123"/>
      <c r="H21" s="95">
        <v>45996</v>
      </c>
      <c r="I21">
        <v>6149</v>
      </c>
      <c r="J21" s="123" t="s">
        <v>554</v>
      </c>
      <c r="K21" s="123" t="s">
        <v>935</v>
      </c>
      <c r="L21" s="123" t="e">
        <f>VLOOKUP(Fact_AUM_FyoCapital[[#This Row],[Dim_Empresas.CUIT]],'clientes SQL'!C:D,2,0)</f>
        <v>#N/A</v>
      </c>
    </row>
    <row r="22" spans="1:12" hidden="1" x14ac:dyDescent="0.3">
      <c r="A22">
        <v>1884397</v>
      </c>
      <c r="B22">
        <v>20251205</v>
      </c>
      <c r="C22">
        <v>1750</v>
      </c>
      <c r="D22">
        <v>17624.490000000002</v>
      </c>
      <c r="E22" s="123" t="s">
        <v>1566</v>
      </c>
      <c r="F22" s="123" t="s">
        <v>1579</v>
      </c>
      <c r="G22" s="123"/>
      <c r="H22" s="95">
        <v>45996</v>
      </c>
      <c r="I22">
        <v>20554</v>
      </c>
      <c r="J22" s="123" t="s">
        <v>505</v>
      </c>
      <c r="K22" s="123" t="s">
        <v>973</v>
      </c>
      <c r="L22" s="123" t="e">
        <f>VLOOKUP(Fact_AUM_FyoCapital[[#This Row],[Dim_Empresas.CUIT]],'clientes SQL'!C:D,2,0)</f>
        <v>#N/A</v>
      </c>
    </row>
    <row r="23" spans="1:12" hidden="1" x14ac:dyDescent="0.3">
      <c r="A23">
        <v>1867657</v>
      </c>
      <c r="B23">
        <v>20251205</v>
      </c>
      <c r="C23">
        <v>5439</v>
      </c>
      <c r="D23">
        <v>11.494361851332398</v>
      </c>
      <c r="E23" s="123" t="s">
        <v>1568</v>
      </c>
      <c r="F23" s="123" t="s">
        <v>1572</v>
      </c>
      <c r="G23" s="123" t="s">
        <v>1570</v>
      </c>
      <c r="H23" s="95">
        <v>45996</v>
      </c>
      <c r="I23">
        <v>33214</v>
      </c>
      <c r="J23" s="123" t="s">
        <v>846</v>
      </c>
      <c r="K23" s="123" t="s">
        <v>937</v>
      </c>
      <c r="L23" s="123" t="e">
        <f>VLOOKUP(Fact_AUM_FyoCapital[[#This Row],[Dim_Empresas.CUIT]],'clientes SQL'!C:D,2,0)</f>
        <v>#N/A</v>
      </c>
    </row>
    <row r="24" spans="1:12" hidden="1" x14ac:dyDescent="0.3">
      <c r="A24">
        <v>1860037</v>
      </c>
      <c r="B24">
        <v>20251205</v>
      </c>
      <c r="C24">
        <v>10</v>
      </c>
      <c r="D24">
        <v>6754953.9400000004</v>
      </c>
      <c r="E24" s="123" t="s">
        <v>1566</v>
      </c>
      <c r="F24" s="123" t="s">
        <v>1567</v>
      </c>
      <c r="G24" s="123"/>
      <c r="H24" s="95">
        <v>45996</v>
      </c>
      <c r="I24">
        <v>375</v>
      </c>
      <c r="J24" s="123" t="s">
        <v>945</v>
      </c>
      <c r="K24" s="123" t="s">
        <v>946</v>
      </c>
      <c r="L24" s="123" t="e">
        <f>VLOOKUP(Fact_AUM_FyoCapital[[#This Row],[Dim_Empresas.CUIT]],'clientes SQL'!C:D,2,0)</f>
        <v>#N/A</v>
      </c>
    </row>
    <row r="25" spans="1:12" hidden="1" x14ac:dyDescent="0.3">
      <c r="A25">
        <v>1900357</v>
      </c>
      <c r="B25">
        <v>20251205</v>
      </c>
      <c r="C25">
        <v>2823</v>
      </c>
      <c r="D25">
        <v>0</v>
      </c>
      <c r="E25" s="123"/>
      <c r="F25" s="123"/>
      <c r="G25" s="123"/>
      <c r="H25" s="95">
        <v>45996</v>
      </c>
      <c r="I25">
        <v>31151</v>
      </c>
      <c r="J25" s="123" t="s">
        <v>579</v>
      </c>
      <c r="K25" s="123" t="s">
        <v>953</v>
      </c>
      <c r="L25" s="123" t="e">
        <f>VLOOKUP(Fact_AUM_FyoCapital[[#This Row],[Dim_Empresas.CUIT]],'clientes SQL'!C:D,2,0)</f>
        <v>#N/A</v>
      </c>
    </row>
    <row r="26" spans="1:12" hidden="1" x14ac:dyDescent="0.3">
      <c r="A26">
        <v>2607329</v>
      </c>
      <c r="B26">
        <v>20251205</v>
      </c>
      <c r="D26">
        <v>6308.4645231416553</v>
      </c>
      <c r="E26" s="123" t="s">
        <v>1568</v>
      </c>
      <c r="F26" s="123" t="s">
        <v>1572</v>
      </c>
      <c r="G26" s="123" t="s">
        <v>1583</v>
      </c>
      <c r="H26" s="95">
        <v>45996</v>
      </c>
      <c r="J26" s="123"/>
      <c r="K26" s="123"/>
      <c r="L26" s="123" t="e">
        <f>VLOOKUP(Fact_AUM_FyoCapital[[#This Row],[Dim_Empresas.CUIT]],'clientes SQL'!C:D,2,0)</f>
        <v>#N/A</v>
      </c>
    </row>
    <row r="27" spans="1:12" hidden="1" x14ac:dyDescent="0.3">
      <c r="A27">
        <v>1855537</v>
      </c>
      <c r="B27">
        <v>20251205</v>
      </c>
      <c r="C27">
        <v>12767</v>
      </c>
      <c r="D27">
        <v>8033.0995792426365</v>
      </c>
      <c r="E27" s="123" t="s">
        <v>1566</v>
      </c>
      <c r="F27" s="123" t="s">
        <v>1580</v>
      </c>
      <c r="G27" s="123"/>
      <c r="H27" s="95">
        <v>45996</v>
      </c>
      <c r="I27">
        <v>35995</v>
      </c>
      <c r="J27" s="123" t="s">
        <v>439</v>
      </c>
      <c r="K27" s="123" t="s">
        <v>936</v>
      </c>
      <c r="L27" s="123" t="e">
        <f>VLOOKUP(Fact_AUM_FyoCapital[[#This Row],[Dim_Empresas.CUIT]],'clientes SQL'!C:D,2,0)</f>
        <v>#N/A</v>
      </c>
    </row>
    <row r="28" spans="1:12" hidden="1" x14ac:dyDescent="0.3">
      <c r="A28">
        <v>2612429</v>
      </c>
      <c r="B28">
        <v>20251205</v>
      </c>
      <c r="C28">
        <v>659</v>
      </c>
      <c r="D28">
        <v>-4.7782328190743337</v>
      </c>
      <c r="E28" s="123" t="s">
        <v>1563</v>
      </c>
      <c r="F28" s="123" t="s">
        <v>185</v>
      </c>
      <c r="G28" s="123"/>
      <c r="H28" s="95">
        <v>45996</v>
      </c>
      <c r="I28">
        <v>9645</v>
      </c>
      <c r="J28" s="123" t="s">
        <v>224</v>
      </c>
      <c r="K28" s="123" t="s">
        <v>978</v>
      </c>
      <c r="L28" s="123" t="e">
        <f>VLOOKUP(Fact_AUM_FyoCapital[[#This Row],[Dim_Empresas.CUIT]],'clientes SQL'!C:D,2,0)</f>
        <v>#N/A</v>
      </c>
    </row>
    <row r="29" spans="1:12" hidden="1" x14ac:dyDescent="0.3">
      <c r="A29">
        <v>1502344</v>
      </c>
      <c r="B29">
        <v>20251205</v>
      </c>
      <c r="C29">
        <v>10</v>
      </c>
      <c r="D29">
        <v>3654583.3320827489</v>
      </c>
      <c r="E29" s="123" t="s">
        <v>1564</v>
      </c>
      <c r="F29" s="123" t="s">
        <v>1581</v>
      </c>
      <c r="G29" s="123"/>
      <c r="H29" s="95">
        <v>45996</v>
      </c>
      <c r="I29">
        <v>375</v>
      </c>
      <c r="J29" s="123" t="s">
        <v>945</v>
      </c>
      <c r="K29" s="123" t="s">
        <v>946</v>
      </c>
      <c r="L29" s="123" t="e">
        <f>VLOOKUP(Fact_AUM_FyoCapital[[#This Row],[Dim_Empresas.CUIT]],'clientes SQL'!C:D,2,0)</f>
        <v>#N/A</v>
      </c>
    </row>
    <row r="30" spans="1:12" hidden="1" x14ac:dyDescent="0.3">
      <c r="A30">
        <v>2632709</v>
      </c>
      <c r="B30">
        <v>20251205</v>
      </c>
      <c r="C30">
        <v>5356</v>
      </c>
      <c r="D30">
        <v>3.2258064516129032E-4</v>
      </c>
      <c r="E30" s="123" t="s">
        <v>1563</v>
      </c>
      <c r="F30" s="123" t="s">
        <v>185</v>
      </c>
      <c r="G30" s="123"/>
      <c r="H30" s="95">
        <v>45996</v>
      </c>
      <c r="I30">
        <v>33310</v>
      </c>
      <c r="J30" s="123" t="s">
        <v>540</v>
      </c>
      <c r="K30" s="123" t="s">
        <v>958</v>
      </c>
      <c r="L30" s="123" t="e">
        <f>VLOOKUP(Fact_AUM_FyoCapital[[#This Row],[Dim_Empresas.CUIT]],'clientes SQL'!C:D,2,0)</f>
        <v>#N/A</v>
      </c>
    </row>
    <row r="31" spans="1:12" hidden="1" x14ac:dyDescent="0.3">
      <c r="A31">
        <v>1860457</v>
      </c>
      <c r="B31">
        <v>20251205</v>
      </c>
      <c r="C31">
        <v>10</v>
      </c>
      <c r="D31">
        <v>0</v>
      </c>
      <c r="E31" s="123"/>
      <c r="F31" s="123"/>
      <c r="G31" s="123"/>
      <c r="H31" s="95">
        <v>45996</v>
      </c>
      <c r="I31">
        <v>375</v>
      </c>
      <c r="J31" s="123" t="s">
        <v>945</v>
      </c>
      <c r="K31" s="123" t="s">
        <v>946</v>
      </c>
      <c r="L31" s="123" t="e">
        <f>VLOOKUP(Fact_AUM_FyoCapital[[#This Row],[Dim_Empresas.CUIT]],'clientes SQL'!C:D,2,0)</f>
        <v>#N/A</v>
      </c>
    </row>
    <row r="32" spans="1:12" hidden="1" x14ac:dyDescent="0.3">
      <c r="A32">
        <v>2600549</v>
      </c>
      <c r="B32">
        <v>20251205</v>
      </c>
      <c r="C32">
        <v>13684</v>
      </c>
      <c r="D32">
        <v>37834.081346423562</v>
      </c>
      <c r="E32" s="123" t="s">
        <v>1566</v>
      </c>
      <c r="F32" s="123" t="s">
        <v>1582</v>
      </c>
      <c r="G32" s="123"/>
      <c r="H32" s="95">
        <v>45996</v>
      </c>
      <c r="I32">
        <v>36846</v>
      </c>
      <c r="J32" s="123" t="s">
        <v>962</v>
      </c>
      <c r="K32" s="123" t="s">
        <v>963</v>
      </c>
      <c r="L32" s="123" t="e">
        <f>VLOOKUP(Fact_AUM_FyoCapital[[#This Row],[Dim_Empresas.CUIT]],'clientes SQL'!C:D,2,0)</f>
        <v>#N/A</v>
      </c>
    </row>
    <row r="33" spans="1:12" hidden="1" x14ac:dyDescent="0.3">
      <c r="A33">
        <v>2639549</v>
      </c>
      <c r="B33">
        <v>20251205</v>
      </c>
      <c r="C33">
        <v>2823</v>
      </c>
      <c r="D33">
        <v>-0.66910939691444604</v>
      </c>
      <c r="E33" s="123" t="s">
        <v>1563</v>
      </c>
      <c r="F33" s="123" t="s">
        <v>185</v>
      </c>
      <c r="G33" s="123"/>
      <c r="H33" s="95">
        <v>45996</v>
      </c>
      <c r="I33">
        <v>31151</v>
      </c>
      <c r="J33" s="123" t="s">
        <v>579</v>
      </c>
      <c r="K33" s="123" t="s">
        <v>953</v>
      </c>
      <c r="L33" s="123" t="e">
        <f>VLOOKUP(Fact_AUM_FyoCapital[[#This Row],[Dim_Empresas.CUIT]],'clientes SQL'!C:D,2,0)</f>
        <v>#N/A</v>
      </c>
    </row>
    <row r="34" spans="1:12" hidden="1" x14ac:dyDescent="0.3">
      <c r="A34">
        <v>2607029</v>
      </c>
      <c r="B34">
        <v>20251205</v>
      </c>
      <c r="D34">
        <v>462.27208976157084</v>
      </c>
      <c r="E34" s="123" t="s">
        <v>1566</v>
      </c>
      <c r="F34" s="123" t="s">
        <v>1580</v>
      </c>
      <c r="G34" s="123"/>
      <c r="H34" s="95">
        <v>45996</v>
      </c>
      <c r="J34" s="123"/>
      <c r="K34" s="123"/>
      <c r="L34" s="123" t="e">
        <f>VLOOKUP(Fact_AUM_FyoCapital[[#This Row],[Dim_Empresas.CUIT]],'clientes SQL'!C:D,2,0)</f>
        <v>#N/A</v>
      </c>
    </row>
    <row r="35" spans="1:12" hidden="1" x14ac:dyDescent="0.3">
      <c r="A35">
        <v>2608109</v>
      </c>
      <c r="B35">
        <v>20251205</v>
      </c>
      <c r="C35">
        <v>765</v>
      </c>
      <c r="D35">
        <v>1248.5999999999999</v>
      </c>
      <c r="E35" s="123" t="s">
        <v>1563</v>
      </c>
      <c r="F35" s="123" t="s">
        <v>188</v>
      </c>
      <c r="G35" s="123"/>
      <c r="H35" s="95">
        <v>45996</v>
      </c>
      <c r="I35">
        <v>10023</v>
      </c>
      <c r="J35" s="123" t="s">
        <v>939</v>
      </c>
      <c r="K35" s="123" t="s">
        <v>940</v>
      </c>
      <c r="L35" s="123" t="e">
        <f>VLOOKUP(Fact_AUM_FyoCapital[[#This Row],[Dim_Empresas.CUIT]],'clientes SQL'!C:D,2,0)</f>
        <v>#N/A</v>
      </c>
    </row>
    <row r="36" spans="1:12" hidden="1" x14ac:dyDescent="0.3">
      <c r="A36">
        <v>1900177</v>
      </c>
      <c r="B36">
        <v>20251205</v>
      </c>
      <c r="C36">
        <v>2823</v>
      </c>
      <c r="D36">
        <v>0</v>
      </c>
      <c r="E36" s="123"/>
      <c r="F36" s="123"/>
      <c r="G36" s="123"/>
      <c r="H36" s="95">
        <v>45996</v>
      </c>
      <c r="I36">
        <v>31151</v>
      </c>
      <c r="J36" s="123" t="s">
        <v>579</v>
      </c>
      <c r="K36" s="123" t="s">
        <v>953</v>
      </c>
      <c r="L36" s="123" t="e">
        <f>VLOOKUP(Fact_AUM_FyoCapital[[#This Row],[Dim_Empresas.CUIT]],'clientes SQL'!C:D,2,0)</f>
        <v>#N/A</v>
      </c>
    </row>
    <row r="37" spans="1:12" hidden="1" x14ac:dyDescent="0.3">
      <c r="A37">
        <v>2627069</v>
      </c>
      <c r="B37">
        <v>20251205</v>
      </c>
      <c r="C37">
        <v>5535</v>
      </c>
      <c r="D37">
        <v>2519.52</v>
      </c>
      <c r="E37" s="123" t="s">
        <v>1563</v>
      </c>
      <c r="F37" s="123" t="s">
        <v>188</v>
      </c>
      <c r="G37" s="123"/>
      <c r="H37" s="95">
        <v>45996</v>
      </c>
      <c r="I37">
        <v>33774</v>
      </c>
      <c r="J37" s="123" t="s">
        <v>126</v>
      </c>
      <c r="K37" s="123" t="s">
        <v>947</v>
      </c>
      <c r="L37" s="123">
        <f>VLOOKUP(Fact_AUM_FyoCapital[[#This Row],[Dim_Empresas.CUIT]],'clientes SQL'!C:D,2,0)</f>
        <v>13035</v>
      </c>
    </row>
    <row r="38" spans="1:12" hidden="1" x14ac:dyDescent="0.3">
      <c r="A38">
        <v>2615669</v>
      </c>
      <c r="B38">
        <v>20251205</v>
      </c>
      <c r="C38">
        <v>1632</v>
      </c>
      <c r="D38">
        <v>-14.277026647966339</v>
      </c>
      <c r="E38" s="123" t="s">
        <v>1563</v>
      </c>
      <c r="F38" s="123" t="s">
        <v>185</v>
      </c>
      <c r="G38" s="123"/>
      <c r="H38" s="95">
        <v>45996</v>
      </c>
      <c r="I38">
        <v>20362</v>
      </c>
      <c r="J38" s="123" t="s">
        <v>350</v>
      </c>
      <c r="K38" s="123" t="s">
        <v>982</v>
      </c>
      <c r="L38" s="123" t="e">
        <f>VLOOKUP(Fact_AUM_FyoCapital[[#This Row],[Dim_Empresas.CUIT]],'clientes SQL'!C:D,2,0)</f>
        <v>#N/A</v>
      </c>
    </row>
    <row r="39" spans="1:12" hidden="1" x14ac:dyDescent="0.3">
      <c r="A39">
        <v>1882537</v>
      </c>
      <c r="B39">
        <v>20251205</v>
      </c>
      <c r="C39">
        <v>5975</v>
      </c>
      <c r="D39">
        <v>0</v>
      </c>
      <c r="E39" s="123"/>
      <c r="F39" s="123"/>
      <c r="G39" s="123"/>
      <c r="H39" s="95">
        <v>45996</v>
      </c>
      <c r="I39">
        <v>31332</v>
      </c>
      <c r="J39" s="123" t="s">
        <v>541</v>
      </c>
      <c r="K39" s="123" t="s">
        <v>955</v>
      </c>
      <c r="L39" s="123" t="e">
        <f>VLOOKUP(Fact_AUM_FyoCapital[[#This Row],[Dim_Empresas.CUIT]],'clientes SQL'!C:D,2,0)</f>
        <v>#N/A</v>
      </c>
    </row>
    <row r="40" spans="1:12" hidden="1" x14ac:dyDescent="0.3">
      <c r="A40">
        <v>2607989</v>
      </c>
      <c r="B40">
        <v>20251205</v>
      </c>
      <c r="C40">
        <v>765</v>
      </c>
      <c r="D40">
        <v>0</v>
      </c>
      <c r="E40" s="123"/>
      <c r="F40" s="123"/>
      <c r="G40" s="123"/>
      <c r="H40" s="95">
        <v>45996</v>
      </c>
      <c r="I40">
        <v>10023</v>
      </c>
      <c r="J40" s="123" t="s">
        <v>939</v>
      </c>
      <c r="K40" s="123" t="s">
        <v>940</v>
      </c>
      <c r="L40" s="123" t="e">
        <f>VLOOKUP(Fact_AUM_FyoCapital[[#This Row],[Dim_Empresas.CUIT]],'clientes SQL'!C:D,2,0)</f>
        <v>#N/A</v>
      </c>
    </row>
    <row r="41" spans="1:12" hidden="1" x14ac:dyDescent="0.3">
      <c r="A41">
        <v>2607929</v>
      </c>
      <c r="B41">
        <v>20251205</v>
      </c>
      <c r="C41">
        <v>765</v>
      </c>
      <c r="D41">
        <v>1.3394109396914445E-3</v>
      </c>
      <c r="E41" s="123" t="s">
        <v>1563</v>
      </c>
      <c r="F41" s="123" t="s">
        <v>185</v>
      </c>
      <c r="G41" s="123"/>
      <c r="H41" s="95">
        <v>45996</v>
      </c>
      <c r="I41">
        <v>10023</v>
      </c>
      <c r="J41" s="123" t="s">
        <v>939</v>
      </c>
      <c r="K41" s="123" t="s">
        <v>940</v>
      </c>
      <c r="L41" s="123" t="e">
        <f>VLOOKUP(Fact_AUM_FyoCapital[[#This Row],[Dim_Empresas.CUIT]],'clientes SQL'!C:D,2,0)</f>
        <v>#N/A</v>
      </c>
    </row>
    <row r="42" spans="1:12" hidden="1" x14ac:dyDescent="0.3">
      <c r="A42">
        <v>1855057</v>
      </c>
      <c r="B42">
        <v>20251205</v>
      </c>
      <c r="C42">
        <v>12767</v>
      </c>
      <c r="D42">
        <v>8351.528751753156</v>
      </c>
      <c r="E42" s="123" t="s">
        <v>1566</v>
      </c>
      <c r="F42" s="123" t="s">
        <v>1580</v>
      </c>
      <c r="G42" s="123"/>
      <c r="H42" s="95">
        <v>45996</v>
      </c>
      <c r="I42">
        <v>35995</v>
      </c>
      <c r="J42" s="123" t="s">
        <v>439</v>
      </c>
      <c r="K42" s="123" t="s">
        <v>936</v>
      </c>
      <c r="L42" s="123" t="e">
        <f>VLOOKUP(Fact_AUM_FyoCapital[[#This Row],[Dim_Empresas.CUIT]],'clientes SQL'!C:D,2,0)</f>
        <v>#N/A</v>
      </c>
    </row>
    <row r="43" spans="1:12" hidden="1" x14ac:dyDescent="0.3">
      <c r="A43">
        <v>2602889</v>
      </c>
      <c r="B43">
        <v>20251205</v>
      </c>
      <c r="C43">
        <v>963</v>
      </c>
      <c r="D43">
        <v>2204.005350631136</v>
      </c>
      <c r="E43" s="123" t="s">
        <v>1568</v>
      </c>
      <c r="F43" s="123" t="s">
        <v>1572</v>
      </c>
      <c r="G43" s="123" t="s">
        <v>1576</v>
      </c>
      <c r="H43" s="95">
        <v>45996</v>
      </c>
      <c r="I43">
        <v>6929</v>
      </c>
      <c r="J43" s="123" t="s">
        <v>482</v>
      </c>
      <c r="K43" s="123" t="s">
        <v>961</v>
      </c>
      <c r="L43" s="123" t="e">
        <f>VLOOKUP(Fact_AUM_FyoCapital[[#This Row],[Dim_Empresas.CUIT]],'clientes SQL'!C:D,2,0)</f>
        <v>#N/A</v>
      </c>
    </row>
    <row r="44" spans="1:12" hidden="1" x14ac:dyDescent="0.3">
      <c r="A44">
        <v>2607449</v>
      </c>
      <c r="B44">
        <v>20251205</v>
      </c>
      <c r="D44">
        <v>3908.55</v>
      </c>
      <c r="E44" s="123" t="s">
        <v>1566</v>
      </c>
      <c r="F44" s="123" t="s">
        <v>1571</v>
      </c>
      <c r="G44" s="123"/>
      <c r="H44" s="95">
        <v>45996</v>
      </c>
      <c r="J44" s="123"/>
      <c r="K44" s="123"/>
      <c r="L44" s="123" t="e">
        <f>VLOOKUP(Fact_AUM_FyoCapital[[#This Row],[Dim_Empresas.CUIT]],'clientes SQL'!C:D,2,0)</f>
        <v>#N/A</v>
      </c>
    </row>
    <row r="45" spans="1:12" hidden="1" x14ac:dyDescent="0.3">
      <c r="A45">
        <v>2638109</v>
      </c>
      <c r="B45">
        <v>20251205</v>
      </c>
      <c r="C45">
        <v>1588</v>
      </c>
      <c r="D45">
        <v>-7.0126227208976159E-6</v>
      </c>
      <c r="E45" s="123" t="s">
        <v>1563</v>
      </c>
      <c r="F45" s="123" t="s">
        <v>185</v>
      </c>
      <c r="G45" s="123"/>
      <c r="H45" s="95">
        <v>45996</v>
      </c>
      <c r="I45">
        <v>19996</v>
      </c>
      <c r="J45" s="123" t="s">
        <v>602</v>
      </c>
      <c r="K45" s="123" t="s">
        <v>972</v>
      </c>
      <c r="L45" s="123" t="e">
        <f>VLOOKUP(Fact_AUM_FyoCapital[[#This Row],[Dim_Empresas.CUIT]],'clientes SQL'!C:D,2,0)</f>
        <v>#N/A</v>
      </c>
    </row>
    <row r="46" spans="1:12" hidden="1" x14ac:dyDescent="0.3">
      <c r="A46">
        <v>1855297</v>
      </c>
      <c r="B46">
        <v>20251205</v>
      </c>
      <c r="C46">
        <v>12767</v>
      </c>
      <c r="D46">
        <v>8362.9032258064508</v>
      </c>
      <c r="E46" s="123" t="s">
        <v>1566</v>
      </c>
      <c r="F46" s="123" t="s">
        <v>1580</v>
      </c>
      <c r="G46" s="123"/>
      <c r="H46" s="95">
        <v>45996</v>
      </c>
      <c r="I46">
        <v>35995</v>
      </c>
      <c r="J46" s="123" t="s">
        <v>439</v>
      </c>
      <c r="K46" s="123" t="s">
        <v>936</v>
      </c>
      <c r="L46" s="123" t="e">
        <f>VLOOKUP(Fact_AUM_FyoCapital[[#This Row],[Dim_Empresas.CUIT]],'clientes SQL'!C:D,2,0)</f>
        <v>#N/A</v>
      </c>
    </row>
    <row r="47" spans="1:12" hidden="1" x14ac:dyDescent="0.3">
      <c r="A47">
        <v>2625569</v>
      </c>
      <c r="B47">
        <v>20251205</v>
      </c>
      <c r="C47">
        <v>391</v>
      </c>
      <c r="D47">
        <v>1.06</v>
      </c>
      <c r="E47" s="123" t="s">
        <v>1563</v>
      </c>
      <c r="F47" s="123" t="s">
        <v>950</v>
      </c>
      <c r="G47" s="123"/>
      <c r="H47" s="95">
        <v>45996</v>
      </c>
      <c r="I47">
        <v>7691</v>
      </c>
      <c r="J47" s="123" t="s">
        <v>314</v>
      </c>
      <c r="K47" s="123" t="s">
        <v>959</v>
      </c>
      <c r="L47" s="123" t="e">
        <f>VLOOKUP(Fact_AUM_FyoCapital[[#This Row],[Dim_Empresas.CUIT]],'clientes SQL'!C:D,2,0)</f>
        <v>#N/A</v>
      </c>
    </row>
    <row r="48" spans="1:12" hidden="1" x14ac:dyDescent="0.3">
      <c r="A48">
        <v>1884457</v>
      </c>
      <c r="B48">
        <v>20251205</v>
      </c>
      <c r="C48">
        <v>1750</v>
      </c>
      <c r="D48">
        <v>167508.23387096773</v>
      </c>
      <c r="E48" s="123" t="s">
        <v>1566</v>
      </c>
      <c r="F48" s="123" t="s">
        <v>1582</v>
      </c>
      <c r="G48" s="123"/>
      <c r="H48" s="95">
        <v>45996</v>
      </c>
      <c r="I48">
        <v>20554</v>
      </c>
      <c r="J48" s="123" t="s">
        <v>505</v>
      </c>
      <c r="K48" s="123" t="s">
        <v>973</v>
      </c>
      <c r="L48" s="123" t="e">
        <f>VLOOKUP(Fact_AUM_FyoCapital[[#This Row],[Dim_Empresas.CUIT]],'clientes SQL'!C:D,2,0)</f>
        <v>#N/A</v>
      </c>
    </row>
    <row r="49" spans="1:12" hidden="1" x14ac:dyDescent="0.3">
      <c r="A49">
        <v>1865257</v>
      </c>
      <c r="B49">
        <v>20251205</v>
      </c>
      <c r="C49">
        <v>10</v>
      </c>
      <c r="D49">
        <v>2.8050490883590464E-5</v>
      </c>
      <c r="E49" s="123" t="s">
        <v>1568</v>
      </c>
      <c r="F49" s="123" t="s">
        <v>1572</v>
      </c>
      <c r="G49" s="123" t="s">
        <v>1574</v>
      </c>
      <c r="H49" s="95">
        <v>45996</v>
      </c>
      <c r="I49">
        <v>375</v>
      </c>
      <c r="J49" s="123" t="s">
        <v>945</v>
      </c>
      <c r="K49" s="123" t="s">
        <v>946</v>
      </c>
      <c r="L49" s="123" t="e">
        <f>VLOOKUP(Fact_AUM_FyoCapital[[#This Row],[Dim_Empresas.CUIT]],'clientes SQL'!C:D,2,0)</f>
        <v>#N/A</v>
      </c>
    </row>
    <row r="50" spans="1:12" hidden="1" x14ac:dyDescent="0.3">
      <c r="A50">
        <v>1882597</v>
      </c>
      <c r="B50">
        <v>20251205</v>
      </c>
      <c r="C50">
        <v>5975</v>
      </c>
      <c r="D50">
        <v>0</v>
      </c>
      <c r="E50" s="123"/>
      <c r="F50" s="123"/>
      <c r="G50" s="123"/>
      <c r="H50" s="95">
        <v>45996</v>
      </c>
      <c r="I50">
        <v>31332</v>
      </c>
      <c r="J50" s="123" t="s">
        <v>541</v>
      </c>
      <c r="K50" s="123" t="s">
        <v>955</v>
      </c>
      <c r="L50" s="123" t="e">
        <f>VLOOKUP(Fact_AUM_FyoCapital[[#This Row],[Dim_Empresas.CUIT]],'clientes SQL'!C:D,2,0)</f>
        <v>#N/A</v>
      </c>
    </row>
    <row r="51" spans="1:12" hidden="1" x14ac:dyDescent="0.3">
      <c r="A51">
        <v>1855777</v>
      </c>
      <c r="B51">
        <v>20251205</v>
      </c>
      <c r="C51">
        <v>12767</v>
      </c>
      <c r="D51">
        <v>9287.7219565217383</v>
      </c>
      <c r="E51" s="123" t="s">
        <v>1568</v>
      </c>
      <c r="F51" s="123" t="s">
        <v>1572</v>
      </c>
      <c r="G51" s="123" t="s">
        <v>1570</v>
      </c>
      <c r="H51" s="95">
        <v>45996</v>
      </c>
      <c r="I51">
        <v>35995</v>
      </c>
      <c r="J51" s="123" t="s">
        <v>439</v>
      </c>
      <c r="K51" s="123" t="s">
        <v>936</v>
      </c>
      <c r="L51" s="123" t="e">
        <f>VLOOKUP(Fact_AUM_FyoCapital[[#This Row],[Dim_Empresas.CUIT]],'clientes SQL'!C:D,2,0)</f>
        <v>#N/A</v>
      </c>
    </row>
    <row r="52" spans="1:12" hidden="1" x14ac:dyDescent="0.3">
      <c r="A52">
        <v>2623229</v>
      </c>
      <c r="B52">
        <v>20251205</v>
      </c>
      <c r="C52">
        <v>12767</v>
      </c>
      <c r="D52">
        <v>-0.49</v>
      </c>
      <c r="E52" s="123" t="s">
        <v>1563</v>
      </c>
      <c r="F52" s="123" t="s">
        <v>950</v>
      </c>
      <c r="G52" s="123"/>
      <c r="H52" s="95">
        <v>45996</v>
      </c>
      <c r="I52">
        <v>35995</v>
      </c>
      <c r="J52" s="123" t="s">
        <v>439</v>
      </c>
      <c r="K52" s="123" t="s">
        <v>936</v>
      </c>
      <c r="L52" s="123" t="e">
        <f>VLOOKUP(Fact_AUM_FyoCapital[[#This Row],[Dim_Empresas.CUIT]],'clientes SQL'!C:D,2,0)</f>
        <v>#N/A</v>
      </c>
    </row>
    <row r="53" spans="1:12" hidden="1" x14ac:dyDescent="0.3">
      <c r="A53">
        <v>1855597</v>
      </c>
      <c r="B53">
        <v>20251205</v>
      </c>
      <c r="C53">
        <v>12767</v>
      </c>
      <c r="D53">
        <v>385.5189340813464</v>
      </c>
      <c r="E53" s="123" t="s">
        <v>1566</v>
      </c>
      <c r="F53" s="123" t="s">
        <v>1573</v>
      </c>
      <c r="G53" s="123"/>
      <c r="H53" s="95">
        <v>45996</v>
      </c>
      <c r="I53">
        <v>35995</v>
      </c>
      <c r="J53" s="123" t="s">
        <v>439</v>
      </c>
      <c r="K53" s="123" t="s">
        <v>936</v>
      </c>
      <c r="L53" s="123" t="e">
        <f>VLOOKUP(Fact_AUM_FyoCapital[[#This Row],[Dim_Empresas.CUIT]],'clientes SQL'!C:D,2,0)</f>
        <v>#N/A</v>
      </c>
    </row>
    <row r="54" spans="1:12" hidden="1" x14ac:dyDescent="0.3">
      <c r="A54">
        <v>1854817</v>
      </c>
      <c r="B54">
        <v>20251205</v>
      </c>
      <c r="C54">
        <v>12767</v>
      </c>
      <c r="D54">
        <v>32400.89</v>
      </c>
      <c r="E54" s="123" t="s">
        <v>1566</v>
      </c>
      <c r="F54" s="123" t="s">
        <v>1571</v>
      </c>
      <c r="G54" s="123"/>
      <c r="H54" s="95">
        <v>45996</v>
      </c>
      <c r="I54">
        <v>35995</v>
      </c>
      <c r="J54" s="123" t="s">
        <v>439</v>
      </c>
      <c r="K54" s="123" t="s">
        <v>936</v>
      </c>
      <c r="L54" s="123" t="e">
        <f>VLOOKUP(Fact_AUM_FyoCapital[[#This Row],[Dim_Empresas.CUIT]],'clientes SQL'!C:D,2,0)</f>
        <v>#N/A</v>
      </c>
    </row>
    <row r="55" spans="1:12" hidden="1" x14ac:dyDescent="0.3">
      <c r="A55">
        <v>1874257</v>
      </c>
      <c r="B55">
        <v>20251205</v>
      </c>
      <c r="C55">
        <v>519</v>
      </c>
      <c r="D55">
        <v>54185.553997194947</v>
      </c>
      <c r="E55" s="123" t="s">
        <v>1566</v>
      </c>
      <c r="F55" s="123" t="s">
        <v>1573</v>
      </c>
      <c r="G55" s="123"/>
      <c r="H55" s="95">
        <v>45996</v>
      </c>
      <c r="I55">
        <v>8959</v>
      </c>
      <c r="J55" s="123" t="s">
        <v>330</v>
      </c>
      <c r="K55" s="123" t="s">
        <v>960</v>
      </c>
      <c r="L55" s="123" t="e">
        <f>VLOOKUP(Fact_AUM_FyoCapital[[#This Row],[Dim_Empresas.CUIT]],'clientes SQL'!C:D,2,0)</f>
        <v>#N/A</v>
      </c>
    </row>
    <row r="56" spans="1:12" hidden="1" x14ac:dyDescent="0.3">
      <c r="A56">
        <v>2607149</v>
      </c>
      <c r="B56">
        <v>20251205</v>
      </c>
      <c r="D56">
        <v>481.7671809256662</v>
      </c>
      <c r="E56" s="123" t="s">
        <v>1566</v>
      </c>
      <c r="F56" s="123" t="s">
        <v>1580</v>
      </c>
      <c r="G56" s="123"/>
      <c r="H56" s="95">
        <v>45996</v>
      </c>
      <c r="J56" s="123"/>
      <c r="K56" s="123"/>
      <c r="L56" s="123" t="e">
        <f>VLOOKUP(Fact_AUM_FyoCapital[[#This Row],[Dim_Empresas.CUIT]],'clientes SQL'!C:D,2,0)</f>
        <v>#N/A</v>
      </c>
    </row>
    <row r="57" spans="1:12" hidden="1" x14ac:dyDescent="0.3">
      <c r="A57">
        <v>1855717</v>
      </c>
      <c r="B57">
        <v>20251205</v>
      </c>
      <c r="C57">
        <v>12767</v>
      </c>
      <c r="D57">
        <v>1.34</v>
      </c>
      <c r="E57" s="123" t="s">
        <v>1568</v>
      </c>
      <c r="F57" s="123" t="s">
        <v>1572</v>
      </c>
      <c r="G57" s="123" t="s">
        <v>1576</v>
      </c>
      <c r="H57" s="95">
        <v>45996</v>
      </c>
      <c r="I57">
        <v>35995</v>
      </c>
      <c r="J57" s="123" t="s">
        <v>439</v>
      </c>
      <c r="K57" s="123" t="s">
        <v>936</v>
      </c>
      <c r="L57" s="123" t="e">
        <f>VLOOKUP(Fact_AUM_FyoCapital[[#This Row],[Dim_Empresas.CUIT]],'clientes SQL'!C:D,2,0)</f>
        <v>#N/A</v>
      </c>
    </row>
    <row r="58" spans="1:12" hidden="1" x14ac:dyDescent="0.3">
      <c r="A58">
        <v>1867237</v>
      </c>
      <c r="B58">
        <v>20251205</v>
      </c>
      <c r="C58">
        <v>5535</v>
      </c>
      <c r="D58">
        <v>309.41414446002807</v>
      </c>
      <c r="E58" s="123" t="s">
        <v>1568</v>
      </c>
      <c r="F58" s="123" t="s">
        <v>1572</v>
      </c>
      <c r="G58" s="123" t="s">
        <v>1570</v>
      </c>
      <c r="H58" s="95">
        <v>45996</v>
      </c>
      <c r="I58">
        <v>33774</v>
      </c>
      <c r="J58" s="123" t="s">
        <v>126</v>
      </c>
      <c r="K58" s="123" t="s">
        <v>947</v>
      </c>
      <c r="L58" s="123">
        <f>VLOOKUP(Fact_AUM_FyoCapital[[#This Row],[Dim_Empresas.CUIT]],'clientes SQL'!C:D,2,0)</f>
        <v>13035</v>
      </c>
    </row>
    <row r="59" spans="1:12" hidden="1" x14ac:dyDescent="0.3">
      <c r="A59">
        <v>2622449</v>
      </c>
      <c r="B59">
        <v>20251205</v>
      </c>
      <c r="C59">
        <v>8120</v>
      </c>
      <c r="D59">
        <v>2.1037868162692847E-5</v>
      </c>
      <c r="E59" s="123" t="s">
        <v>1563</v>
      </c>
      <c r="F59" s="123" t="s">
        <v>185</v>
      </c>
      <c r="G59" s="123"/>
      <c r="H59" s="95">
        <v>45996</v>
      </c>
      <c r="I59">
        <v>35339</v>
      </c>
      <c r="J59" s="123" t="s">
        <v>381</v>
      </c>
      <c r="K59" s="123" t="s">
        <v>964</v>
      </c>
      <c r="L59" s="123" t="e">
        <f>VLOOKUP(Fact_AUM_FyoCapital[[#This Row],[Dim_Empresas.CUIT]],'clientes SQL'!C:D,2,0)</f>
        <v>#N/A</v>
      </c>
    </row>
    <row r="60" spans="1:12" hidden="1" x14ac:dyDescent="0.3">
      <c r="A60">
        <v>1855237</v>
      </c>
      <c r="B60">
        <v>20251205</v>
      </c>
      <c r="C60">
        <v>12767</v>
      </c>
      <c r="D60">
        <v>10768.232819074334</v>
      </c>
      <c r="E60" s="123" t="s">
        <v>1566</v>
      </c>
      <c r="F60" s="123" t="s">
        <v>1580</v>
      </c>
      <c r="G60" s="123"/>
      <c r="H60" s="95">
        <v>45996</v>
      </c>
      <c r="I60">
        <v>35995</v>
      </c>
      <c r="J60" s="123" t="s">
        <v>439</v>
      </c>
      <c r="K60" s="123" t="s">
        <v>936</v>
      </c>
      <c r="L60" s="123" t="e">
        <f>VLOOKUP(Fact_AUM_FyoCapital[[#This Row],[Dim_Empresas.CUIT]],'clientes SQL'!C:D,2,0)</f>
        <v>#N/A</v>
      </c>
    </row>
    <row r="61" spans="1:12" hidden="1" x14ac:dyDescent="0.3">
      <c r="A61">
        <v>1855177</v>
      </c>
      <c r="B61">
        <v>20251205</v>
      </c>
      <c r="C61">
        <v>12767</v>
      </c>
      <c r="D61">
        <v>7810.9396914446006</v>
      </c>
      <c r="E61" s="123" t="s">
        <v>1566</v>
      </c>
      <c r="F61" s="123" t="s">
        <v>1580</v>
      </c>
      <c r="G61" s="123"/>
      <c r="H61" s="95">
        <v>45996</v>
      </c>
      <c r="I61">
        <v>35995</v>
      </c>
      <c r="J61" s="123" t="s">
        <v>439</v>
      </c>
      <c r="K61" s="123" t="s">
        <v>936</v>
      </c>
      <c r="L61" s="123" t="e">
        <f>VLOOKUP(Fact_AUM_FyoCapital[[#This Row],[Dim_Empresas.CUIT]],'clientes SQL'!C:D,2,0)</f>
        <v>#N/A</v>
      </c>
    </row>
    <row r="62" spans="1:12" hidden="1" x14ac:dyDescent="0.3">
      <c r="A62">
        <v>2621249</v>
      </c>
      <c r="B62">
        <v>20251205</v>
      </c>
      <c r="C62">
        <v>1</v>
      </c>
      <c r="D62" s="6">
        <v>13114.641991584853</v>
      </c>
      <c r="E62" s="123" t="s">
        <v>1563</v>
      </c>
      <c r="F62" s="123" t="s">
        <v>185</v>
      </c>
      <c r="G62" s="123"/>
      <c r="H62" s="95">
        <v>45996</v>
      </c>
      <c r="I62">
        <v>5603</v>
      </c>
      <c r="J62" s="123" t="s">
        <v>943</v>
      </c>
      <c r="K62" s="123" t="s">
        <v>944</v>
      </c>
      <c r="L62" s="123" t="e">
        <f>VLOOKUP(Fact_AUM_FyoCapital[[#This Row],[Dim_Empresas.CUIT]],'clientes SQL'!C:D,2,0)</f>
        <v>#N/A</v>
      </c>
    </row>
    <row r="63" spans="1:12" hidden="1" x14ac:dyDescent="0.3">
      <c r="A63">
        <v>1883197</v>
      </c>
      <c r="B63">
        <v>20251205</v>
      </c>
      <c r="C63">
        <v>5975</v>
      </c>
      <c r="D63">
        <v>59157.890441795229</v>
      </c>
      <c r="E63" s="123" t="s">
        <v>1568</v>
      </c>
      <c r="F63" s="123" t="s">
        <v>1572</v>
      </c>
      <c r="G63" s="123" t="s">
        <v>1583</v>
      </c>
      <c r="H63" s="95">
        <v>45996</v>
      </c>
      <c r="I63">
        <v>31332</v>
      </c>
      <c r="J63" s="123" t="s">
        <v>541</v>
      </c>
      <c r="K63" s="123" t="s">
        <v>955</v>
      </c>
      <c r="L63" s="123" t="e">
        <f>VLOOKUP(Fact_AUM_FyoCapital[[#This Row],[Dim_Empresas.CUIT]],'clientes SQL'!C:D,2,0)</f>
        <v>#N/A</v>
      </c>
    </row>
    <row r="64" spans="1:12" hidden="1" x14ac:dyDescent="0.3">
      <c r="A64">
        <v>1855657</v>
      </c>
      <c r="B64">
        <v>20251205</v>
      </c>
      <c r="C64">
        <v>12767</v>
      </c>
      <c r="D64">
        <v>1175.28</v>
      </c>
      <c r="E64" s="123" t="s">
        <v>1568</v>
      </c>
      <c r="F64" s="123" t="s">
        <v>1575</v>
      </c>
      <c r="G64" s="123" t="s">
        <v>1576</v>
      </c>
      <c r="H64" s="95">
        <v>45996</v>
      </c>
      <c r="I64">
        <v>35995</v>
      </c>
      <c r="J64" s="123" t="s">
        <v>439</v>
      </c>
      <c r="K64" s="123" t="s">
        <v>936</v>
      </c>
      <c r="L64" s="123" t="e">
        <f>VLOOKUP(Fact_AUM_FyoCapital[[#This Row],[Dim_Empresas.CUIT]],'clientes SQL'!C:D,2,0)</f>
        <v>#N/A</v>
      </c>
    </row>
    <row r="65" spans="1:12" hidden="1" x14ac:dyDescent="0.3">
      <c r="A65">
        <v>2638229</v>
      </c>
      <c r="B65">
        <v>20251205</v>
      </c>
      <c r="C65">
        <v>10244</v>
      </c>
      <c r="D65">
        <v>1.6236395511921458</v>
      </c>
      <c r="E65" s="123" t="s">
        <v>1563</v>
      </c>
      <c r="F65" s="123" t="s">
        <v>185</v>
      </c>
      <c r="G65" s="123"/>
      <c r="H65" s="95">
        <v>45996</v>
      </c>
      <c r="I65">
        <v>35636</v>
      </c>
      <c r="J65" s="123" t="s">
        <v>564</v>
      </c>
      <c r="K65" s="123" t="s">
        <v>1017</v>
      </c>
      <c r="L65" s="123" t="e">
        <f>VLOOKUP(Fact_AUM_FyoCapital[[#This Row],[Dim_Empresas.CUIT]],'clientes SQL'!C:D,2,0)</f>
        <v>#N/A</v>
      </c>
    </row>
    <row r="66" spans="1:12" hidden="1" x14ac:dyDescent="0.3">
      <c r="A66">
        <v>2607209</v>
      </c>
      <c r="B66">
        <v>20251205</v>
      </c>
      <c r="D66">
        <v>385.5189340813464</v>
      </c>
      <c r="E66" s="123" t="s">
        <v>1566</v>
      </c>
      <c r="F66" s="123" t="s">
        <v>1573</v>
      </c>
      <c r="G66" s="123"/>
      <c r="H66" s="95">
        <v>45996</v>
      </c>
      <c r="J66" s="123"/>
      <c r="K66" s="123"/>
      <c r="L66" s="123" t="e">
        <f>VLOOKUP(Fact_AUM_FyoCapital[[#This Row],[Dim_Empresas.CUIT]],'clientes SQL'!C:D,2,0)</f>
        <v>#N/A</v>
      </c>
    </row>
    <row r="67" spans="1:12" hidden="1" x14ac:dyDescent="0.3">
      <c r="A67">
        <v>1855477</v>
      </c>
      <c r="B67">
        <v>20251205</v>
      </c>
      <c r="C67">
        <v>12767</v>
      </c>
      <c r="D67">
        <v>3654.9789621318373</v>
      </c>
      <c r="E67" s="123" t="s">
        <v>1566</v>
      </c>
      <c r="F67" s="123" t="s">
        <v>1580</v>
      </c>
      <c r="G67" s="123"/>
      <c r="H67" s="95">
        <v>45996</v>
      </c>
      <c r="I67">
        <v>35995</v>
      </c>
      <c r="J67" s="123" t="s">
        <v>439</v>
      </c>
      <c r="K67" s="123" t="s">
        <v>936</v>
      </c>
      <c r="L67" s="123" t="e">
        <f>VLOOKUP(Fact_AUM_FyoCapital[[#This Row],[Dim_Empresas.CUIT]],'clientes SQL'!C:D,2,0)</f>
        <v>#N/A</v>
      </c>
    </row>
    <row r="68" spans="1:12" hidden="1" x14ac:dyDescent="0.3">
      <c r="A68">
        <v>2613329</v>
      </c>
      <c r="B68">
        <v>20251205</v>
      </c>
      <c r="C68">
        <v>1449</v>
      </c>
      <c r="D68">
        <v>0</v>
      </c>
      <c r="E68" s="123"/>
      <c r="F68" s="123"/>
      <c r="G68" s="123"/>
      <c r="H68" s="95">
        <v>45996</v>
      </c>
      <c r="I68">
        <v>3155</v>
      </c>
      <c r="J68" s="123" t="s">
        <v>328</v>
      </c>
      <c r="K68" s="123" t="s">
        <v>1013</v>
      </c>
      <c r="L68" s="123" t="e">
        <f>VLOOKUP(Fact_AUM_FyoCapital[[#This Row],[Dim_Empresas.CUIT]],'clientes SQL'!C:D,2,0)</f>
        <v>#N/A</v>
      </c>
    </row>
    <row r="69" spans="1:12" hidden="1" x14ac:dyDescent="0.3">
      <c r="A69">
        <v>1854877</v>
      </c>
      <c r="B69">
        <v>20251205</v>
      </c>
      <c r="C69">
        <v>12767</v>
      </c>
      <c r="D69">
        <v>10451.4</v>
      </c>
      <c r="E69" s="123" t="s">
        <v>1566</v>
      </c>
      <c r="F69" s="123" t="s">
        <v>1571</v>
      </c>
      <c r="G69" s="123"/>
      <c r="H69" s="95">
        <v>45996</v>
      </c>
      <c r="I69">
        <v>35995</v>
      </c>
      <c r="J69" s="123" t="s">
        <v>439</v>
      </c>
      <c r="K69" s="123" t="s">
        <v>936</v>
      </c>
      <c r="L69" s="123" t="e">
        <f>VLOOKUP(Fact_AUM_FyoCapital[[#This Row],[Dim_Empresas.CUIT]],'clientes SQL'!C:D,2,0)</f>
        <v>#N/A</v>
      </c>
    </row>
    <row r="70" spans="1:12" hidden="1" x14ac:dyDescent="0.3">
      <c r="A70">
        <v>2644829</v>
      </c>
      <c r="B70">
        <v>20251205</v>
      </c>
      <c r="D70">
        <v>335.24152875175315</v>
      </c>
      <c r="E70" s="123" t="s">
        <v>1563</v>
      </c>
      <c r="F70" s="123" t="s">
        <v>185</v>
      </c>
      <c r="G70" s="123"/>
      <c r="H70" s="95">
        <v>45996</v>
      </c>
      <c r="J70" s="123"/>
      <c r="K70" s="123"/>
      <c r="L70" s="123" t="e">
        <f>VLOOKUP(Fact_AUM_FyoCapital[[#This Row],[Dim_Empresas.CUIT]],'clientes SQL'!C:D,2,0)</f>
        <v>#N/A</v>
      </c>
    </row>
    <row r="71" spans="1:12" hidden="1" x14ac:dyDescent="0.3">
      <c r="A71">
        <v>1853317</v>
      </c>
      <c r="B71">
        <v>20251205</v>
      </c>
      <c r="C71">
        <v>1879</v>
      </c>
      <c r="D71">
        <v>7.6479242636746143</v>
      </c>
      <c r="E71" s="123" t="s">
        <v>1568</v>
      </c>
      <c r="F71" s="123" t="s">
        <v>1575</v>
      </c>
      <c r="G71" s="123" t="s">
        <v>1570</v>
      </c>
      <c r="H71" s="95">
        <v>45996</v>
      </c>
      <c r="I71">
        <v>20694</v>
      </c>
      <c r="J71" s="123" t="s">
        <v>994</v>
      </c>
      <c r="K71" s="123" t="s">
        <v>995</v>
      </c>
      <c r="L71" s="123" t="e">
        <f>VLOOKUP(Fact_AUM_FyoCapital[[#This Row],[Dim_Empresas.CUIT]],'clientes SQL'!C:D,2,0)</f>
        <v>#N/A</v>
      </c>
    </row>
    <row r="72" spans="1:12" hidden="1" x14ac:dyDescent="0.3">
      <c r="A72">
        <v>2607269</v>
      </c>
      <c r="B72">
        <v>20251205</v>
      </c>
      <c r="D72">
        <v>358.53469845722299</v>
      </c>
      <c r="E72" s="123" t="s">
        <v>1568</v>
      </c>
      <c r="F72" s="123" t="s">
        <v>1572</v>
      </c>
      <c r="G72" s="123" t="s">
        <v>1570</v>
      </c>
      <c r="H72" s="95">
        <v>45996</v>
      </c>
      <c r="J72" s="123"/>
      <c r="K72" s="123"/>
      <c r="L72" s="123" t="e">
        <f>VLOOKUP(Fact_AUM_FyoCapital[[#This Row],[Dim_Empresas.CUIT]],'clientes SQL'!C:D,2,0)</f>
        <v>#N/A</v>
      </c>
    </row>
    <row r="73" spans="1:12" hidden="1" x14ac:dyDescent="0.3">
      <c r="A73">
        <v>2600609</v>
      </c>
      <c r="B73">
        <v>20251205</v>
      </c>
      <c r="C73">
        <v>13684</v>
      </c>
      <c r="D73">
        <v>449.56376577840115</v>
      </c>
      <c r="E73" s="123" t="s">
        <v>1568</v>
      </c>
      <c r="F73" s="123" t="s">
        <v>1572</v>
      </c>
      <c r="G73" s="123" t="s">
        <v>1570</v>
      </c>
      <c r="H73" s="95">
        <v>45996</v>
      </c>
      <c r="I73">
        <v>36846</v>
      </c>
      <c r="J73" s="123" t="s">
        <v>962</v>
      </c>
      <c r="K73" s="123" t="s">
        <v>963</v>
      </c>
      <c r="L73" s="123" t="e">
        <f>VLOOKUP(Fact_AUM_FyoCapital[[#This Row],[Dim_Empresas.CUIT]],'clientes SQL'!C:D,2,0)</f>
        <v>#N/A</v>
      </c>
    </row>
    <row r="74" spans="1:12" hidden="1" x14ac:dyDescent="0.3">
      <c r="A74">
        <v>2636009</v>
      </c>
      <c r="B74">
        <v>20251205</v>
      </c>
      <c r="C74">
        <v>1076</v>
      </c>
      <c r="D74">
        <v>-4.1014095371669006</v>
      </c>
      <c r="E74" s="123" t="s">
        <v>1563</v>
      </c>
      <c r="F74" s="123" t="s">
        <v>185</v>
      </c>
      <c r="G74" s="123"/>
      <c r="H74" s="95">
        <v>45996</v>
      </c>
      <c r="I74">
        <v>18780</v>
      </c>
      <c r="J74" s="123" t="s">
        <v>120</v>
      </c>
      <c r="K74" s="123" t="s">
        <v>983</v>
      </c>
      <c r="L74" s="123">
        <f>VLOOKUP(Fact_AUM_FyoCapital[[#This Row],[Dim_Empresas.CUIT]],'clientes SQL'!C:D,2,0)</f>
        <v>13016</v>
      </c>
    </row>
    <row r="75" spans="1:12" hidden="1" x14ac:dyDescent="0.3">
      <c r="A75">
        <v>2630369</v>
      </c>
      <c r="B75">
        <v>20251205</v>
      </c>
      <c r="C75">
        <v>519</v>
      </c>
      <c r="D75">
        <v>-909.08833800841512</v>
      </c>
      <c r="E75" s="123" t="s">
        <v>1563</v>
      </c>
      <c r="F75" s="123" t="s">
        <v>185</v>
      </c>
      <c r="G75" s="123"/>
      <c r="H75" s="95">
        <v>45996</v>
      </c>
      <c r="I75">
        <v>8959</v>
      </c>
      <c r="J75" s="123" t="s">
        <v>330</v>
      </c>
      <c r="K75" s="123" t="s">
        <v>960</v>
      </c>
      <c r="L75" s="123" t="e">
        <f>VLOOKUP(Fact_AUM_FyoCapital[[#This Row],[Dim_Empresas.CUIT]],'clientes SQL'!C:D,2,0)</f>
        <v>#N/A</v>
      </c>
    </row>
    <row r="76" spans="1:12" hidden="1" x14ac:dyDescent="0.3">
      <c r="A76">
        <v>1854997</v>
      </c>
      <c r="B76">
        <v>20251205</v>
      </c>
      <c r="C76">
        <v>12767</v>
      </c>
      <c r="D76">
        <v>3.91</v>
      </c>
      <c r="E76" s="123" t="s">
        <v>1566</v>
      </c>
      <c r="F76" s="123" t="s">
        <v>1571</v>
      </c>
      <c r="G76" s="123"/>
      <c r="H76" s="95">
        <v>45996</v>
      </c>
      <c r="I76">
        <v>35995</v>
      </c>
      <c r="J76" s="123" t="s">
        <v>439</v>
      </c>
      <c r="K76" s="123" t="s">
        <v>936</v>
      </c>
      <c r="L76" s="123" t="e">
        <f>VLOOKUP(Fact_AUM_FyoCapital[[#This Row],[Dim_Empresas.CUIT]],'clientes SQL'!C:D,2,0)</f>
        <v>#N/A</v>
      </c>
    </row>
    <row r="77" spans="1:12" hidden="1" x14ac:dyDescent="0.3">
      <c r="A77">
        <v>2601989</v>
      </c>
      <c r="B77">
        <v>20251205</v>
      </c>
      <c r="C77">
        <v>1240</v>
      </c>
      <c r="D77">
        <v>11470.59</v>
      </c>
      <c r="E77" s="123" t="s">
        <v>1566</v>
      </c>
      <c r="F77" s="123" t="s">
        <v>1571</v>
      </c>
      <c r="G77" s="123"/>
      <c r="H77" s="95">
        <v>45996</v>
      </c>
      <c r="I77">
        <v>19320</v>
      </c>
      <c r="J77" s="123" t="s">
        <v>388</v>
      </c>
      <c r="K77" s="123" t="s">
        <v>974</v>
      </c>
      <c r="L77" s="123" t="e">
        <f>VLOOKUP(Fact_AUM_FyoCapital[[#This Row],[Dim_Empresas.CUIT]],'clientes SQL'!C:D,2,0)</f>
        <v>#N/A</v>
      </c>
    </row>
    <row r="78" spans="1:12" hidden="1" x14ac:dyDescent="0.3">
      <c r="A78">
        <v>1849177</v>
      </c>
      <c r="B78">
        <v>20251205</v>
      </c>
      <c r="C78">
        <v>1</v>
      </c>
      <c r="D78">
        <v>10695146.002805049</v>
      </c>
      <c r="E78" s="123" t="s">
        <v>1566</v>
      </c>
      <c r="F78" s="123" t="s">
        <v>1573</v>
      </c>
      <c r="G78" s="123"/>
      <c r="H78" s="95">
        <v>45996</v>
      </c>
      <c r="I78">
        <v>5603</v>
      </c>
      <c r="J78" s="123" t="s">
        <v>943</v>
      </c>
      <c r="K78" s="123" t="s">
        <v>944</v>
      </c>
      <c r="L78" s="123" t="e">
        <f>VLOOKUP(Fact_AUM_FyoCapital[[#This Row],[Dim_Empresas.CUIT]],'clientes SQL'!C:D,2,0)</f>
        <v>#N/A</v>
      </c>
    </row>
    <row r="79" spans="1:12" hidden="1" x14ac:dyDescent="0.3">
      <c r="A79">
        <v>2625869</v>
      </c>
      <c r="B79">
        <v>20251205</v>
      </c>
      <c r="C79">
        <v>10</v>
      </c>
      <c r="D79">
        <v>-1055.24</v>
      </c>
      <c r="E79" s="123" t="s">
        <v>1563</v>
      </c>
      <c r="F79" s="123" t="s">
        <v>188</v>
      </c>
      <c r="G79" s="123"/>
      <c r="H79" s="95">
        <v>45996</v>
      </c>
      <c r="I79">
        <v>375</v>
      </c>
      <c r="J79" s="123" t="s">
        <v>945</v>
      </c>
      <c r="K79" s="123" t="s">
        <v>946</v>
      </c>
      <c r="L79" s="123" t="e">
        <f>VLOOKUP(Fact_AUM_FyoCapital[[#This Row],[Dim_Empresas.CUIT]],'clientes SQL'!C:D,2,0)</f>
        <v>#N/A</v>
      </c>
    </row>
    <row r="80" spans="1:12" hidden="1" x14ac:dyDescent="0.3">
      <c r="A80">
        <v>2621189</v>
      </c>
      <c r="B80">
        <v>20251205</v>
      </c>
      <c r="C80">
        <v>1</v>
      </c>
      <c r="D80">
        <v>24301.91</v>
      </c>
      <c r="E80" s="123" t="s">
        <v>1563</v>
      </c>
      <c r="F80" s="123" t="s">
        <v>801</v>
      </c>
      <c r="G80" s="123"/>
      <c r="H80" s="95">
        <v>45996</v>
      </c>
      <c r="I80">
        <v>5603</v>
      </c>
      <c r="J80" s="123" t="s">
        <v>943</v>
      </c>
      <c r="K80" s="123" t="s">
        <v>944</v>
      </c>
      <c r="L80" s="123" t="e">
        <f>VLOOKUP(Fact_AUM_FyoCapital[[#This Row],[Dim_Empresas.CUIT]],'clientes SQL'!C:D,2,0)</f>
        <v>#N/A</v>
      </c>
    </row>
    <row r="81" spans="1:12" hidden="1" x14ac:dyDescent="0.3">
      <c r="A81">
        <v>1833097</v>
      </c>
      <c r="B81">
        <v>20251205</v>
      </c>
      <c r="C81">
        <v>659</v>
      </c>
      <c r="D81">
        <v>102496.02</v>
      </c>
      <c r="E81" s="123" t="s">
        <v>1566</v>
      </c>
      <c r="F81" s="123" t="s">
        <v>1571</v>
      </c>
      <c r="G81" s="123"/>
      <c r="H81" s="95">
        <v>45996</v>
      </c>
      <c r="I81">
        <v>9645</v>
      </c>
      <c r="J81" s="123" t="s">
        <v>224</v>
      </c>
      <c r="K81" s="123" t="s">
        <v>978</v>
      </c>
      <c r="L81" s="123" t="e">
        <f>VLOOKUP(Fact_AUM_FyoCapital[[#This Row],[Dim_Empresas.CUIT]],'clientes SQL'!C:D,2,0)</f>
        <v>#N/A</v>
      </c>
    </row>
    <row r="82" spans="1:12" hidden="1" x14ac:dyDescent="0.3">
      <c r="A82">
        <v>1890097</v>
      </c>
      <c r="B82">
        <v>20251205</v>
      </c>
      <c r="C82">
        <v>393</v>
      </c>
      <c r="D82">
        <v>10694.703744740533</v>
      </c>
      <c r="E82" s="123" t="s">
        <v>1568</v>
      </c>
      <c r="F82" s="123" t="s">
        <v>1572</v>
      </c>
      <c r="G82" s="123" t="s">
        <v>1574</v>
      </c>
      <c r="H82" s="95">
        <v>45996</v>
      </c>
      <c r="I82">
        <v>1169</v>
      </c>
      <c r="J82" s="123" t="s">
        <v>941</v>
      </c>
      <c r="K82" s="123" t="s">
        <v>942</v>
      </c>
      <c r="L82" s="123" t="e">
        <f>VLOOKUP(Fact_AUM_FyoCapital[[#This Row],[Dim_Empresas.CUIT]],'clientes SQL'!C:D,2,0)</f>
        <v>#N/A</v>
      </c>
    </row>
    <row r="83" spans="1:12" hidden="1" x14ac:dyDescent="0.3">
      <c r="A83">
        <v>1855117</v>
      </c>
      <c r="B83">
        <v>20251205</v>
      </c>
      <c r="C83">
        <v>12767</v>
      </c>
      <c r="D83">
        <v>3936.9424964936889</v>
      </c>
      <c r="E83" s="123" t="s">
        <v>1566</v>
      </c>
      <c r="F83" s="123" t="s">
        <v>1573</v>
      </c>
      <c r="G83" s="123"/>
      <c r="H83" s="95">
        <v>45996</v>
      </c>
      <c r="I83">
        <v>35995</v>
      </c>
      <c r="J83" s="123" t="s">
        <v>439</v>
      </c>
      <c r="K83" s="123" t="s">
        <v>936</v>
      </c>
      <c r="L83" s="123" t="e">
        <f>VLOOKUP(Fact_AUM_FyoCapital[[#This Row],[Dim_Empresas.CUIT]],'clientes SQL'!C:D,2,0)</f>
        <v>#N/A</v>
      </c>
    </row>
    <row r="84" spans="1:12" hidden="1" x14ac:dyDescent="0.3">
      <c r="A84">
        <v>1873237</v>
      </c>
      <c r="B84">
        <v>20251205</v>
      </c>
      <c r="D84">
        <v>5030.53</v>
      </c>
      <c r="E84" s="123" t="s">
        <v>1566</v>
      </c>
      <c r="F84" s="123" t="s">
        <v>1571</v>
      </c>
      <c r="G84" s="123"/>
      <c r="H84" s="95">
        <v>45996</v>
      </c>
      <c r="J84" s="123"/>
      <c r="K84" s="123"/>
      <c r="L84" s="123" t="e">
        <f>VLOOKUP(Fact_AUM_FyoCapital[[#This Row],[Dim_Empresas.CUIT]],'clientes SQL'!C:D,2,0)</f>
        <v>#N/A</v>
      </c>
    </row>
    <row r="85" spans="1:12" hidden="1" x14ac:dyDescent="0.3">
      <c r="A85">
        <v>2623169</v>
      </c>
      <c r="B85">
        <v>20251205</v>
      </c>
      <c r="C85">
        <v>12767</v>
      </c>
      <c r="D85">
        <v>1.9635343618513325E-4</v>
      </c>
      <c r="E85" s="123" t="s">
        <v>1563</v>
      </c>
      <c r="F85" s="123" t="s">
        <v>185</v>
      </c>
      <c r="G85" s="123"/>
      <c r="H85" s="95">
        <v>45996</v>
      </c>
      <c r="I85">
        <v>35995</v>
      </c>
      <c r="J85" s="123" t="s">
        <v>439</v>
      </c>
      <c r="K85" s="123" t="s">
        <v>936</v>
      </c>
      <c r="L85" s="123" t="e">
        <f>VLOOKUP(Fact_AUM_FyoCapital[[#This Row],[Dim_Empresas.CUIT]],'clientes SQL'!C:D,2,0)</f>
        <v>#N/A</v>
      </c>
    </row>
    <row r="86" spans="1:12" hidden="1" x14ac:dyDescent="0.3">
      <c r="A86">
        <v>2636189</v>
      </c>
      <c r="B86">
        <v>20251205</v>
      </c>
      <c r="C86">
        <v>393</v>
      </c>
      <c r="D86">
        <v>37920.949999999997</v>
      </c>
      <c r="E86" s="123" t="s">
        <v>1563</v>
      </c>
      <c r="F86" s="123" t="s">
        <v>950</v>
      </c>
      <c r="G86" s="123"/>
      <c r="H86" s="95">
        <v>45996</v>
      </c>
      <c r="I86">
        <v>1169</v>
      </c>
      <c r="J86" s="123" t="s">
        <v>941</v>
      </c>
      <c r="K86" s="123" t="s">
        <v>942</v>
      </c>
      <c r="L86" s="123" t="e">
        <f>VLOOKUP(Fact_AUM_FyoCapital[[#This Row],[Dim_Empresas.CUIT]],'clientes SQL'!C:D,2,0)</f>
        <v>#N/A</v>
      </c>
    </row>
    <row r="87" spans="1:12" hidden="1" x14ac:dyDescent="0.3">
      <c r="A87">
        <v>1860337</v>
      </c>
      <c r="B87">
        <v>20251205</v>
      </c>
      <c r="C87">
        <v>10</v>
      </c>
      <c r="D87">
        <v>2.173913043478261E-4</v>
      </c>
      <c r="E87" s="123" t="s">
        <v>1568</v>
      </c>
      <c r="F87" s="123" t="s">
        <v>1575</v>
      </c>
      <c r="G87" s="123" t="s">
        <v>1576</v>
      </c>
      <c r="H87" s="95">
        <v>45996</v>
      </c>
      <c r="I87">
        <v>375</v>
      </c>
      <c r="J87" s="123" t="s">
        <v>945</v>
      </c>
      <c r="K87" s="123" t="s">
        <v>946</v>
      </c>
      <c r="L87" s="123" t="e">
        <f>VLOOKUP(Fact_AUM_FyoCapital[[#This Row],[Dim_Empresas.CUIT]],'clientes SQL'!C:D,2,0)</f>
        <v>#N/A</v>
      </c>
    </row>
    <row r="88" spans="1:12" hidden="1" x14ac:dyDescent="0.3">
      <c r="A88">
        <v>1854217</v>
      </c>
      <c r="B88">
        <v>20251205</v>
      </c>
      <c r="C88">
        <v>1325</v>
      </c>
      <c r="D88">
        <v>28.952692847124826</v>
      </c>
      <c r="E88" s="123" t="s">
        <v>1568</v>
      </c>
      <c r="F88" s="123" t="s">
        <v>1572</v>
      </c>
      <c r="G88" s="123" t="s">
        <v>1584</v>
      </c>
      <c r="H88" s="95">
        <v>45996</v>
      </c>
      <c r="I88">
        <v>19458</v>
      </c>
      <c r="J88" s="123" t="s">
        <v>397</v>
      </c>
      <c r="K88" s="123" t="s">
        <v>970</v>
      </c>
      <c r="L88" s="123" t="e">
        <f>VLOOKUP(Fact_AUM_FyoCapital[[#This Row],[Dim_Empresas.CUIT]],'clientes SQL'!C:D,2,0)</f>
        <v>#N/A</v>
      </c>
    </row>
    <row r="89" spans="1:12" hidden="1" x14ac:dyDescent="0.3">
      <c r="A89">
        <v>2625809</v>
      </c>
      <c r="B89">
        <v>20251205</v>
      </c>
      <c r="C89">
        <v>10</v>
      </c>
      <c r="D89">
        <v>-169.8175175315568</v>
      </c>
      <c r="E89" s="123" t="s">
        <v>1563</v>
      </c>
      <c r="F89" s="123" t="s">
        <v>185</v>
      </c>
      <c r="G89" s="123"/>
      <c r="H89" s="95">
        <v>45996</v>
      </c>
      <c r="I89">
        <v>375</v>
      </c>
      <c r="J89" s="123" t="s">
        <v>945</v>
      </c>
      <c r="K89" s="123" t="s">
        <v>946</v>
      </c>
      <c r="L89" s="123" t="e">
        <f>VLOOKUP(Fact_AUM_FyoCapital[[#This Row],[Dim_Empresas.CUIT]],'clientes SQL'!C:D,2,0)</f>
        <v>#N/A</v>
      </c>
    </row>
    <row r="90" spans="1:12" hidden="1" x14ac:dyDescent="0.3">
      <c r="A90">
        <v>1900237</v>
      </c>
      <c r="B90">
        <v>20251205</v>
      </c>
      <c r="C90">
        <v>2823</v>
      </c>
      <c r="D90">
        <v>0</v>
      </c>
      <c r="E90" s="123"/>
      <c r="F90" s="123"/>
      <c r="G90" s="123"/>
      <c r="H90" s="95">
        <v>45996</v>
      </c>
      <c r="I90">
        <v>31151</v>
      </c>
      <c r="J90" s="123" t="s">
        <v>579</v>
      </c>
      <c r="K90" s="123" t="s">
        <v>953</v>
      </c>
      <c r="L90" s="123" t="e">
        <f>VLOOKUP(Fact_AUM_FyoCapital[[#This Row],[Dim_Empresas.CUIT]],'clientes SQL'!C:D,2,0)</f>
        <v>#N/A</v>
      </c>
    </row>
    <row r="91" spans="1:12" hidden="1" x14ac:dyDescent="0.3">
      <c r="A91">
        <v>1865017</v>
      </c>
      <c r="B91">
        <v>20251205</v>
      </c>
      <c r="C91">
        <v>391</v>
      </c>
      <c r="D91">
        <v>25819.608457222999</v>
      </c>
      <c r="E91" s="123" t="s">
        <v>1568</v>
      </c>
      <c r="F91" s="123" t="s">
        <v>1572</v>
      </c>
      <c r="G91" s="123" t="s">
        <v>1574</v>
      </c>
      <c r="H91" s="95">
        <v>45996</v>
      </c>
      <c r="I91">
        <v>7691</v>
      </c>
      <c r="J91" s="123" t="s">
        <v>314</v>
      </c>
      <c r="K91" s="123" t="s">
        <v>959</v>
      </c>
      <c r="L91" s="123" t="e">
        <f>VLOOKUP(Fact_AUM_FyoCapital[[#This Row],[Dim_Empresas.CUIT]],'clientes SQL'!C:D,2,0)</f>
        <v>#N/A</v>
      </c>
    </row>
    <row r="92" spans="1:12" hidden="1" x14ac:dyDescent="0.3">
      <c r="A92">
        <v>1874137</v>
      </c>
      <c r="B92">
        <v>20251205</v>
      </c>
      <c r="C92">
        <v>519</v>
      </c>
      <c r="D92">
        <v>43478.260869565216</v>
      </c>
      <c r="E92" s="123" t="s">
        <v>1566</v>
      </c>
      <c r="F92" s="123" t="s">
        <v>1578</v>
      </c>
      <c r="G92" s="123"/>
      <c r="H92" s="95">
        <v>45996</v>
      </c>
      <c r="I92">
        <v>8959</v>
      </c>
      <c r="J92" s="123" t="s">
        <v>330</v>
      </c>
      <c r="K92" s="123" t="s">
        <v>960</v>
      </c>
      <c r="L92" s="123" t="e">
        <f>VLOOKUP(Fact_AUM_FyoCapital[[#This Row],[Dim_Empresas.CUIT]],'clientes SQL'!C:D,2,0)</f>
        <v>#N/A</v>
      </c>
    </row>
    <row r="93" spans="1:12" hidden="1" x14ac:dyDescent="0.3">
      <c r="A93">
        <v>1873297</v>
      </c>
      <c r="B93">
        <v>20251205</v>
      </c>
      <c r="D93">
        <v>10087.26</v>
      </c>
      <c r="E93" s="123" t="s">
        <v>1566</v>
      </c>
      <c r="F93" s="123" t="s">
        <v>1579</v>
      </c>
      <c r="G93" s="123"/>
      <c r="H93" s="95">
        <v>45996</v>
      </c>
      <c r="J93" s="123"/>
      <c r="K93" s="123"/>
      <c r="L93" s="123" t="e">
        <f>VLOOKUP(Fact_AUM_FyoCapital[[#This Row],[Dim_Empresas.CUIT]],'clientes SQL'!C:D,2,0)</f>
        <v>#N/A</v>
      </c>
    </row>
    <row r="94" spans="1:12" hidden="1" x14ac:dyDescent="0.3">
      <c r="A94">
        <v>2607389</v>
      </c>
      <c r="B94">
        <v>20251205</v>
      </c>
      <c r="D94">
        <v>6412.4437166900425</v>
      </c>
      <c r="E94" s="123" t="s">
        <v>1568</v>
      </c>
      <c r="F94" s="123" t="s">
        <v>1572</v>
      </c>
      <c r="G94" s="123" t="s">
        <v>1574</v>
      </c>
      <c r="H94" s="95">
        <v>45996</v>
      </c>
      <c r="J94" s="123"/>
      <c r="K94" s="123"/>
      <c r="L94" s="123" t="e">
        <f>VLOOKUP(Fact_AUM_FyoCapital[[#This Row],[Dim_Empresas.CUIT]],'clientes SQL'!C:D,2,0)</f>
        <v>#N/A</v>
      </c>
    </row>
    <row r="95" spans="1:12" hidden="1" x14ac:dyDescent="0.3">
      <c r="A95">
        <v>1855357</v>
      </c>
      <c r="B95">
        <v>20251205</v>
      </c>
      <c r="C95">
        <v>12767</v>
      </c>
      <c r="D95">
        <v>3509.4793127629732</v>
      </c>
      <c r="E95" s="123" t="s">
        <v>1566</v>
      </c>
      <c r="F95" s="123" t="s">
        <v>1573</v>
      </c>
      <c r="G95" s="123"/>
      <c r="H95" s="95">
        <v>45996</v>
      </c>
      <c r="I95">
        <v>35995</v>
      </c>
      <c r="J95" s="123" t="s">
        <v>439</v>
      </c>
      <c r="K95" s="123" t="s">
        <v>936</v>
      </c>
      <c r="L95" s="123" t="e">
        <f>VLOOKUP(Fact_AUM_FyoCapital[[#This Row],[Dim_Empresas.CUIT]],'clientes SQL'!C:D,2,0)</f>
        <v>#N/A</v>
      </c>
    </row>
    <row r="96" spans="1:12" hidden="1" x14ac:dyDescent="0.3">
      <c r="A96">
        <v>1900297</v>
      </c>
      <c r="B96">
        <v>20251205</v>
      </c>
      <c r="C96">
        <v>2823</v>
      </c>
      <c r="D96">
        <v>0</v>
      </c>
      <c r="E96" s="123"/>
      <c r="F96" s="123"/>
      <c r="G96" s="123"/>
      <c r="H96" s="95">
        <v>45996</v>
      </c>
      <c r="I96">
        <v>31151</v>
      </c>
      <c r="J96" s="123" t="s">
        <v>579</v>
      </c>
      <c r="K96" s="123" t="s">
        <v>953</v>
      </c>
      <c r="L96" s="123" t="e">
        <f>VLOOKUP(Fact_AUM_FyoCapital[[#This Row],[Dim_Empresas.CUIT]],'clientes SQL'!C:D,2,0)</f>
        <v>#N/A</v>
      </c>
    </row>
    <row r="97" spans="1:12" hidden="1" x14ac:dyDescent="0.3">
      <c r="A97">
        <v>2623589</v>
      </c>
      <c r="B97">
        <v>20251205</v>
      </c>
      <c r="C97">
        <v>12415</v>
      </c>
      <c r="D97">
        <v>-2.5586325385694249</v>
      </c>
      <c r="E97" s="123" t="s">
        <v>1563</v>
      </c>
      <c r="F97" s="123" t="s">
        <v>185</v>
      </c>
      <c r="G97" s="123"/>
      <c r="H97" s="95">
        <v>45996</v>
      </c>
      <c r="I97">
        <v>35701</v>
      </c>
      <c r="J97" s="123" t="s">
        <v>967</v>
      </c>
      <c r="K97" s="123" t="s">
        <v>968</v>
      </c>
      <c r="L97" s="123" t="e">
        <f>VLOOKUP(Fact_AUM_FyoCapital[[#This Row],[Dim_Empresas.CUIT]],'clientes SQL'!C:D,2,0)</f>
        <v>#N/A</v>
      </c>
    </row>
    <row r="98" spans="1:12" hidden="1" x14ac:dyDescent="0.3">
      <c r="A98">
        <v>1846537</v>
      </c>
      <c r="B98">
        <v>20251205</v>
      </c>
      <c r="C98">
        <v>10037</v>
      </c>
      <c r="D98">
        <v>-250000</v>
      </c>
      <c r="E98" s="123" t="s">
        <v>1566</v>
      </c>
      <c r="F98" s="123" t="s">
        <v>1578</v>
      </c>
      <c r="G98" s="123"/>
      <c r="H98" s="95">
        <v>45996</v>
      </c>
      <c r="I98">
        <v>9195</v>
      </c>
      <c r="J98" s="123" t="s">
        <v>307</v>
      </c>
      <c r="K98" s="123" t="s">
        <v>952</v>
      </c>
      <c r="L98" s="123" t="e">
        <f>VLOOKUP(Fact_AUM_FyoCapital[[#This Row],[Dim_Empresas.CUIT]],'clientes SQL'!C:D,2,0)</f>
        <v>#N/A</v>
      </c>
    </row>
    <row r="99" spans="1:12" x14ac:dyDescent="0.3">
      <c r="A99">
        <v>2639189</v>
      </c>
      <c r="B99">
        <v>20251205</v>
      </c>
      <c r="C99">
        <v>12923</v>
      </c>
      <c r="D99">
        <v>122243.85</v>
      </c>
      <c r="E99" s="123" t="s">
        <v>1563</v>
      </c>
      <c r="F99" s="123" t="s">
        <v>188</v>
      </c>
      <c r="G99" s="123"/>
      <c r="H99" s="95">
        <v>45996</v>
      </c>
      <c r="I99">
        <v>36141</v>
      </c>
      <c r="J99" s="123" t="s">
        <v>694</v>
      </c>
      <c r="K99" s="123" t="s">
        <v>966</v>
      </c>
      <c r="L99" s="123">
        <f>VLOOKUP(Fact_AUM_FyoCapital[[#This Row],[Dim_Empresas.CUIT]],'clientes SQL'!C:D,2,0)</f>
        <v>13007</v>
      </c>
    </row>
    <row r="100" spans="1:12" hidden="1" x14ac:dyDescent="0.3">
      <c r="A100">
        <v>1849417</v>
      </c>
      <c r="B100">
        <v>20251205</v>
      </c>
      <c r="C100">
        <v>1</v>
      </c>
      <c r="D100" s="6">
        <v>1909896.3090112202</v>
      </c>
      <c r="E100" s="123" t="s">
        <v>1568</v>
      </c>
      <c r="F100" s="123" t="s">
        <v>1572</v>
      </c>
      <c r="G100" s="123" t="s">
        <v>1574</v>
      </c>
      <c r="H100" s="95">
        <v>45996</v>
      </c>
      <c r="I100">
        <v>5603</v>
      </c>
      <c r="J100" s="123" t="s">
        <v>943</v>
      </c>
      <c r="K100" s="123" t="s">
        <v>944</v>
      </c>
      <c r="L100" s="123" t="e">
        <f>VLOOKUP(Fact_AUM_FyoCapital[[#This Row],[Dim_Empresas.CUIT]],'clientes SQL'!C:D,2,0)</f>
        <v>#N/A</v>
      </c>
    </row>
    <row r="101" spans="1:12" hidden="1" x14ac:dyDescent="0.3">
      <c r="A101">
        <v>2611109</v>
      </c>
      <c r="B101">
        <v>20251205</v>
      </c>
      <c r="C101">
        <v>5870</v>
      </c>
      <c r="D101">
        <v>-0.6057854137447406</v>
      </c>
      <c r="E101" s="123" t="s">
        <v>1563</v>
      </c>
      <c r="F101" s="123" t="s">
        <v>185</v>
      </c>
      <c r="G101" s="123"/>
      <c r="H101" s="95">
        <v>45996</v>
      </c>
      <c r="I101">
        <v>33225</v>
      </c>
      <c r="J101" s="123" t="s">
        <v>284</v>
      </c>
      <c r="K101" s="123" t="s">
        <v>949</v>
      </c>
      <c r="L101" s="123" t="e">
        <f>VLOOKUP(Fact_AUM_FyoCapital[[#This Row],[Dim_Empresas.CUIT]],'clientes SQL'!C:D,2,0)</f>
        <v>#N/A</v>
      </c>
    </row>
    <row r="102" spans="1:12" hidden="1" x14ac:dyDescent="0.3">
      <c r="A102">
        <v>2644949</v>
      </c>
      <c r="B102">
        <v>20251205</v>
      </c>
      <c r="D102">
        <v>11.303218793828892</v>
      </c>
      <c r="E102" s="123" t="s">
        <v>1563</v>
      </c>
      <c r="F102" s="123" t="s">
        <v>185</v>
      </c>
      <c r="G102" s="123"/>
      <c r="H102" s="95">
        <v>45996</v>
      </c>
      <c r="J102" s="123"/>
      <c r="K102" s="123"/>
      <c r="L102" s="123" t="e">
        <f>VLOOKUP(Fact_AUM_FyoCapital[[#This Row],[Dim_Empresas.CUIT]],'clientes SQL'!C:D,2,0)</f>
        <v>#N/A</v>
      </c>
    </row>
    <row r="103" spans="1:12" hidden="1" x14ac:dyDescent="0.3">
      <c r="A103">
        <v>2642669</v>
      </c>
      <c r="B103">
        <v>20251205</v>
      </c>
      <c r="C103">
        <v>963</v>
      </c>
      <c r="D103">
        <v>0</v>
      </c>
      <c r="E103" s="123"/>
      <c r="F103" s="123"/>
      <c r="G103" s="123"/>
      <c r="H103" s="95">
        <v>45996</v>
      </c>
      <c r="I103">
        <v>6929</v>
      </c>
      <c r="J103" s="123" t="s">
        <v>482</v>
      </c>
      <c r="K103" s="123" t="s">
        <v>961</v>
      </c>
      <c r="L103" s="123" t="e">
        <f>VLOOKUP(Fact_AUM_FyoCapital[[#This Row],[Dim_Empresas.CUIT]],'clientes SQL'!C:D,2,0)</f>
        <v>#N/A</v>
      </c>
    </row>
    <row r="104" spans="1:12" hidden="1" x14ac:dyDescent="0.3">
      <c r="A104">
        <v>2628329</v>
      </c>
      <c r="B104">
        <v>20251205</v>
      </c>
      <c r="C104">
        <v>369</v>
      </c>
      <c r="D104">
        <v>0</v>
      </c>
      <c r="E104" s="123"/>
      <c r="F104" s="123"/>
      <c r="G104" s="123"/>
      <c r="H104" s="95">
        <v>45996</v>
      </c>
      <c r="I104">
        <v>5848</v>
      </c>
      <c r="J104" s="123" t="s">
        <v>446</v>
      </c>
      <c r="K104" s="123" t="s">
        <v>965</v>
      </c>
      <c r="L104" s="123" t="e">
        <f>VLOOKUP(Fact_AUM_FyoCapital[[#This Row],[Dim_Empresas.CUIT]],'clientes SQL'!C:D,2,0)</f>
        <v>#N/A</v>
      </c>
    </row>
    <row r="105" spans="1:12" hidden="1" x14ac:dyDescent="0.3">
      <c r="A105">
        <v>1859977</v>
      </c>
      <c r="B105">
        <v>20251205</v>
      </c>
      <c r="C105">
        <v>10</v>
      </c>
      <c r="D105">
        <v>3535530.4</v>
      </c>
      <c r="E105" s="123" t="s">
        <v>1566</v>
      </c>
      <c r="F105" s="123" t="s">
        <v>1567</v>
      </c>
      <c r="G105" s="123"/>
      <c r="H105" s="95">
        <v>45996</v>
      </c>
      <c r="I105">
        <v>375</v>
      </c>
      <c r="J105" s="123" t="s">
        <v>945</v>
      </c>
      <c r="K105" s="123" t="s">
        <v>946</v>
      </c>
      <c r="L105" s="123" t="e">
        <f>VLOOKUP(Fact_AUM_FyoCapital[[#This Row],[Dim_Empresas.CUIT]],'clientes SQL'!C:D,2,0)</f>
        <v>#N/A</v>
      </c>
    </row>
    <row r="106" spans="1:12" hidden="1" x14ac:dyDescent="0.3">
      <c r="A106">
        <v>2615249</v>
      </c>
      <c r="B106">
        <v>20251205</v>
      </c>
      <c r="C106">
        <v>5288</v>
      </c>
      <c r="D106">
        <v>1.8227068723702664</v>
      </c>
      <c r="E106" s="123" t="s">
        <v>1563</v>
      </c>
      <c r="F106" s="123" t="s">
        <v>185</v>
      </c>
      <c r="G106" s="123"/>
      <c r="H106" s="95">
        <v>45996</v>
      </c>
      <c r="I106">
        <v>33374</v>
      </c>
      <c r="J106" s="123" t="s">
        <v>356</v>
      </c>
      <c r="K106" s="123" t="s">
        <v>996</v>
      </c>
      <c r="L106" s="123" t="e">
        <f>VLOOKUP(Fact_AUM_FyoCapital[[#This Row],[Dim_Empresas.CUIT]],'clientes SQL'!C:D,2,0)</f>
        <v>#N/A</v>
      </c>
    </row>
    <row r="107" spans="1:12" hidden="1" x14ac:dyDescent="0.3">
      <c r="A107">
        <v>1503424</v>
      </c>
      <c r="B107">
        <v>20251205</v>
      </c>
      <c r="C107">
        <v>5975</v>
      </c>
      <c r="D107">
        <v>53876.708471248246</v>
      </c>
      <c r="E107" s="123" t="s">
        <v>1564</v>
      </c>
      <c r="F107" s="123" t="s">
        <v>1581</v>
      </c>
      <c r="G107" s="123"/>
      <c r="H107" s="95">
        <v>45996</v>
      </c>
      <c r="I107">
        <v>31332</v>
      </c>
      <c r="J107" s="123" t="s">
        <v>541</v>
      </c>
      <c r="K107" s="123" t="s">
        <v>955</v>
      </c>
      <c r="L107" s="123" t="e">
        <f>VLOOKUP(Fact_AUM_FyoCapital[[#This Row],[Dim_Empresas.CUIT]],'clientes SQL'!C:D,2,0)</f>
        <v>#N/A</v>
      </c>
    </row>
    <row r="108" spans="1:12" hidden="1" x14ac:dyDescent="0.3">
      <c r="A108">
        <v>2616749</v>
      </c>
      <c r="B108">
        <v>20251205</v>
      </c>
      <c r="C108">
        <v>12497</v>
      </c>
      <c r="D108">
        <v>1.6830294530154277E-4</v>
      </c>
      <c r="E108" s="123" t="s">
        <v>1563</v>
      </c>
      <c r="F108" s="123" t="s">
        <v>185</v>
      </c>
      <c r="G108" s="123"/>
      <c r="H108" s="95">
        <v>45996</v>
      </c>
      <c r="I108">
        <v>35761</v>
      </c>
      <c r="J108" s="123" t="s">
        <v>338</v>
      </c>
      <c r="K108" s="123" t="s">
        <v>1000</v>
      </c>
      <c r="L108" s="123" t="e">
        <f>VLOOKUP(Fact_AUM_FyoCapital[[#This Row],[Dim_Empresas.CUIT]],'clientes SQL'!C:D,2,0)</f>
        <v>#N/A</v>
      </c>
    </row>
    <row r="109" spans="1:12" hidden="1" x14ac:dyDescent="0.3">
      <c r="A109">
        <v>1860277</v>
      </c>
      <c r="B109">
        <v>20251205</v>
      </c>
      <c r="C109">
        <v>10</v>
      </c>
      <c r="D109">
        <v>696336.44601683028</v>
      </c>
      <c r="E109" s="123" t="s">
        <v>1568</v>
      </c>
      <c r="F109" s="123" t="s">
        <v>1572</v>
      </c>
      <c r="G109" s="123" t="s">
        <v>1577</v>
      </c>
      <c r="H109" s="95">
        <v>45996</v>
      </c>
      <c r="I109">
        <v>375</v>
      </c>
      <c r="J109" s="123" t="s">
        <v>945</v>
      </c>
      <c r="K109" s="123" t="s">
        <v>946</v>
      </c>
      <c r="L109" s="123" t="e">
        <f>VLOOKUP(Fact_AUM_FyoCapital[[#This Row],[Dim_Empresas.CUIT]],'clientes SQL'!C:D,2,0)</f>
        <v>#N/A</v>
      </c>
    </row>
    <row r="110" spans="1:12" hidden="1" x14ac:dyDescent="0.3">
      <c r="A110">
        <v>1882657</v>
      </c>
      <c r="B110">
        <v>20251205</v>
      </c>
      <c r="C110">
        <v>5975</v>
      </c>
      <c r="D110">
        <v>0</v>
      </c>
      <c r="E110" s="123"/>
      <c r="F110" s="123"/>
      <c r="G110" s="123"/>
      <c r="H110" s="95">
        <v>45996</v>
      </c>
      <c r="I110">
        <v>31332</v>
      </c>
      <c r="J110" s="123" t="s">
        <v>541</v>
      </c>
      <c r="K110" s="123" t="s">
        <v>955</v>
      </c>
      <c r="L110" s="123" t="e">
        <f>VLOOKUP(Fact_AUM_FyoCapital[[#This Row],[Dim_Empresas.CUIT]],'clientes SQL'!C:D,2,0)</f>
        <v>#N/A</v>
      </c>
    </row>
    <row r="111" spans="1:12" hidden="1" x14ac:dyDescent="0.3">
      <c r="A111">
        <v>1867177</v>
      </c>
      <c r="B111">
        <v>20251205</v>
      </c>
      <c r="C111">
        <v>5535</v>
      </c>
      <c r="D111">
        <v>294.73973352033659</v>
      </c>
      <c r="E111" s="123" t="s">
        <v>1568</v>
      </c>
      <c r="F111" s="123" t="s">
        <v>1572</v>
      </c>
      <c r="G111" s="123" t="s">
        <v>1576</v>
      </c>
      <c r="H111" s="95">
        <v>45996</v>
      </c>
      <c r="I111">
        <v>33774</v>
      </c>
      <c r="J111" s="123" t="s">
        <v>126</v>
      </c>
      <c r="K111" s="123" t="s">
        <v>947</v>
      </c>
      <c r="L111" s="123">
        <f>VLOOKUP(Fact_AUM_FyoCapital[[#This Row],[Dim_Empresas.CUIT]],'clientes SQL'!C:D,2,0)</f>
        <v>13035</v>
      </c>
    </row>
    <row r="112" spans="1:12" hidden="1" x14ac:dyDescent="0.3">
      <c r="A112">
        <v>1859797</v>
      </c>
      <c r="B112">
        <v>20251205</v>
      </c>
      <c r="C112">
        <v>10</v>
      </c>
      <c r="D112">
        <v>4449568.24</v>
      </c>
      <c r="E112" s="123" t="s">
        <v>1566</v>
      </c>
      <c r="F112" s="123" t="s">
        <v>1567</v>
      </c>
      <c r="G112" s="123"/>
      <c r="H112" s="95">
        <v>45996</v>
      </c>
      <c r="I112">
        <v>375</v>
      </c>
      <c r="J112" s="123" t="s">
        <v>945</v>
      </c>
      <c r="K112" s="123" t="s">
        <v>946</v>
      </c>
      <c r="L112" s="123" t="e">
        <f>VLOOKUP(Fact_AUM_FyoCapital[[#This Row],[Dim_Empresas.CUIT]],'clientes SQL'!C:D,2,0)</f>
        <v>#N/A</v>
      </c>
    </row>
    <row r="113" spans="1:12" hidden="1" x14ac:dyDescent="0.3">
      <c r="A113">
        <v>1901317</v>
      </c>
      <c r="B113">
        <v>20251205</v>
      </c>
      <c r="C113">
        <v>1350</v>
      </c>
      <c r="D113">
        <v>67.33474053295933</v>
      </c>
      <c r="E113" s="123" t="s">
        <v>1568</v>
      </c>
      <c r="F113" s="123" t="s">
        <v>1572</v>
      </c>
      <c r="G113" s="123" t="s">
        <v>1570</v>
      </c>
      <c r="H113" s="95">
        <v>45996</v>
      </c>
      <c r="I113">
        <v>6980</v>
      </c>
      <c r="J113" s="123" t="s">
        <v>1004</v>
      </c>
      <c r="K113" s="123" t="s">
        <v>1005</v>
      </c>
      <c r="L113" s="123" t="e">
        <f>VLOOKUP(Fact_AUM_FyoCapital[[#This Row],[Dim_Empresas.CUIT]],'clientes SQL'!C:D,2,0)</f>
        <v>#N/A</v>
      </c>
    </row>
    <row r="114" spans="1:12" hidden="1" x14ac:dyDescent="0.3">
      <c r="A114">
        <v>1865077</v>
      </c>
      <c r="B114">
        <v>20251205</v>
      </c>
      <c r="C114">
        <v>10</v>
      </c>
      <c r="D114">
        <v>1825.96</v>
      </c>
      <c r="E114" s="123" t="s">
        <v>1566</v>
      </c>
      <c r="F114" s="123" t="s">
        <v>1579</v>
      </c>
      <c r="G114" s="123"/>
      <c r="H114" s="95">
        <v>45996</v>
      </c>
      <c r="I114">
        <v>375</v>
      </c>
      <c r="J114" s="123" t="s">
        <v>945</v>
      </c>
      <c r="K114" s="123" t="s">
        <v>946</v>
      </c>
      <c r="L114" s="123" t="e">
        <f>VLOOKUP(Fact_AUM_FyoCapital[[#This Row],[Dim_Empresas.CUIT]],'clientes SQL'!C:D,2,0)</f>
        <v>#N/A</v>
      </c>
    </row>
    <row r="115" spans="1:12" hidden="1" x14ac:dyDescent="0.3">
      <c r="A115">
        <v>2620889</v>
      </c>
      <c r="B115">
        <v>20251205</v>
      </c>
      <c r="C115">
        <v>1770</v>
      </c>
      <c r="D115">
        <v>0.13</v>
      </c>
      <c r="E115" s="123" t="s">
        <v>1563</v>
      </c>
      <c r="F115" s="123" t="s">
        <v>950</v>
      </c>
      <c r="G115" s="123"/>
      <c r="H115" s="95">
        <v>45996</v>
      </c>
      <c r="I115">
        <v>20579</v>
      </c>
      <c r="J115" s="123" t="s">
        <v>429</v>
      </c>
      <c r="K115" s="123" t="s">
        <v>1057</v>
      </c>
      <c r="L115" s="123" t="e">
        <f>VLOOKUP(Fact_AUM_FyoCapital[[#This Row],[Dim_Empresas.CUIT]],'clientes SQL'!C:D,2,0)</f>
        <v>#N/A</v>
      </c>
    </row>
    <row r="116" spans="1:12" hidden="1" x14ac:dyDescent="0.3">
      <c r="A116">
        <v>1849117</v>
      </c>
      <c r="B116">
        <v>20251205</v>
      </c>
      <c r="C116">
        <v>1</v>
      </c>
      <c r="D116">
        <v>231177.059256662</v>
      </c>
      <c r="E116" s="123" t="s">
        <v>1566</v>
      </c>
      <c r="F116" s="123" t="s">
        <v>1579</v>
      </c>
      <c r="G116" s="123"/>
      <c r="H116" s="95">
        <v>45996</v>
      </c>
      <c r="I116">
        <v>5603</v>
      </c>
      <c r="J116" s="123" t="s">
        <v>943</v>
      </c>
      <c r="K116" s="123" t="s">
        <v>944</v>
      </c>
      <c r="L116" s="123" t="e">
        <f>VLOOKUP(Fact_AUM_FyoCapital[[#This Row],[Dim_Empresas.CUIT]],'clientes SQL'!C:D,2,0)</f>
        <v>#N/A</v>
      </c>
    </row>
    <row r="117" spans="1:12" hidden="1" x14ac:dyDescent="0.3">
      <c r="A117">
        <v>2624189</v>
      </c>
      <c r="B117">
        <v>20251205</v>
      </c>
      <c r="C117">
        <v>10</v>
      </c>
      <c r="D117">
        <v>-1976.2199158485273</v>
      </c>
      <c r="E117" s="123" t="s">
        <v>1563</v>
      </c>
      <c r="F117" s="123" t="s">
        <v>185</v>
      </c>
      <c r="G117" s="123"/>
      <c r="H117" s="95">
        <v>45996</v>
      </c>
      <c r="I117">
        <v>375</v>
      </c>
      <c r="J117" s="123" t="s">
        <v>945</v>
      </c>
      <c r="K117" s="123" t="s">
        <v>946</v>
      </c>
      <c r="L117" s="123" t="e">
        <f>VLOOKUP(Fact_AUM_FyoCapital[[#This Row],[Dim_Empresas.CUIT]],'clientes SQL'!C:D,2,0)</f>
        <v>#N/A</v>
      </c>
    </row>
    <row r="118" spans="1:12" hidden="1" x14ac:dyDescent="0.3">
      <c r="A118">
        <v>2608829</v>
      </c>
      <c r="B118">
        <v>20251205</v>
      </c>
      <c r="C118">
        <v>4260</v>
      </c>
      <c r="D118">
        <v>1.9423842917251053</v>
      </c>
      <c r="E118" s="123" t="s">
        <v>1563</v>
      </c>
      <c r="F118" s="123" t="s">
        <v>185</v>
      </c>
      <c r="G118" s="123"/>
      <c r="H118" s="95">
        <v>45996</v>
      </c>
      <c r="J118" s="123" t="s">
        <v>211</v>
      </c>
      <c r="K118" s="123" t="s">
        <v>993</v>
      </c>
      <c r="L118" s="123" t="e">
        <f>VLOOKUP(Fact_AUM_FyoCapital[[#This Row],[Dim_Empresas.CUIT]],'clientes SQL'!C:D,2,0)</f>
        <v>#N/A</v>
      </c>
    </row>
    <row r="119" spans="1:12" hidden="1" x14ac:dyDescent="0.3">
      <c r="A119">
        <v>1829377</v>
      </c>
      <c r="B119">
        <v>20251205</v>
      </c>
      <c r="C119">
        <v>6020</v>
      </c>
      <c r="D119">
        <v>42840.288807854136</v>
      </c>
      <c r="E119" s="123" t="s">
        <v>1568</v>
      </c>
      <c r="F119" s="123" t="s">
        <v>1572</v>
      </c>
      <c r="G119" s="123" t="s">
        <v>1577</v>
      </c>
      <c r="H119" s="95">
        <v>45996</v>
      </c>
      <c r="I119">
        <v>33531</v>
      </c>
      <c r="J119" s="123" t="s">
        <v>203</v>
      </c>
      <c r="K119" s="123" t="s">
        <v>999</v>
      </c>
      <c r="L119" s="123" t="e">
        <f>VLOOKUP(Fact_AUM_FyoCapital[[#This Row],[Dim_Empresas.CUIT]],'clientes SQL'!C:D,2,0)</f>
        <v>#N/A</v>
      </c>
    </row>
    <row r="120" spans="1:12" hidden="1" x14ac:dyDescent="0.3">
      <c r="A120">
        <v>1860097</v>
      </c>
      <c r="B120">
        <v>20251205</v>
      </c>
      <c r="C120">
        <v>10</v>
      </c>
      <c r="D120">
        <v>161540.91164095371</v>
      </c>
      <c r="E120" s="123" t="s">
        <v>1566</v>
      </c>
      <c r="F120" s="123" t="s">
        <v>1573</v>
      </c>
      <c r="G120" s="123"/>
      <c r="H120" s="95">
        <v>45996</v>
      </c>
      <c r="I120">
        <v>375</v>
      </c>
      <c r="J120" s="123" t="s">
        <v>945</v>
      </c>
      <c r="K120" s="123" t="s">
        <v>946</v>
      </c>
      <c r="L120" s="123" t="e">
        <f>VLOOKUP(Fact_AUM_FyoCapital[[#This Row],[Dim_Empresas.CUIT]],'clientes SQL'!C:D,2,0)</f>
        <v>#N/A</v>
      </c>
    </row>
    <row r="121" spans="1:12" hidden="1" x14ac:dyDescent="0.3">
      <c r="A121">
        <v>1860157</v>
      </c>
      <c r="B121">
        <v>20251205</v>
      </c>
      <c r="C121">
        <v>10</v>
      </c>
      <c r="D121">
        <v>1353820.34</v>
      </c>
      <c r="E121" s="123" t="s">
        <v>1566</v>
      </c>
      <c r="F121" s="123" t="s">
        <v>1579</v>
      </c>
      <c r="G121" s="123"/>
      <c r="H121" s="95">
        <v>45996</v>
      </c>
      <c r="I121">
        <v>375</v>
      </c>
      <c r="J121" s="123" t="s">
        <v>945</v>
      </c>
      <c r="K121" s="123" t="s">
        <v>946</v>
      </c>
      <c r="L121" s="123" t="e">
        <f>VLOOKUP(Fact_AUM_FyoCapital[[#This Row],[Dim_Empresas.CUIT]],'clientes SQL'!C:D,2,0)</f>
        <v>#N/A</v>
      </c>
    </row>
    <row r="122" spans="1:12" hidden="1" x14ac:dyDescent="0.3">
      <c r="A122">
        <v>1882477</v>
      </c>
      <c r="B122">
        <v>20251205</v>
      </c>
      <c r="C122">
        <v>5975</v>
      </c>
      <c r="D122">
        <v>0</v>
      </c>
      <c r="E122" s="123"/>
      <c r="F122" s="123"/>
      <c r="G122" s="123"/>
      <c r="H122" s="95">
        <v>45996</v>
      </c>
      <c r="I122">
        <v>31332</v>
      </c>
      <c r="J122" s="123" t="s">
        <v>541</v>
      </c>
      <c r="K122" s="123" t="s">
        <v>955</v>
      </c>
      <c r="L122" s="123" t="e">
        <f>VLOOKUP(Fact_AUM_FyoCapital[[#This Row],[Dim_Empresas.CUIT]],'clientes SQL'!C:D,2,0)</f>
        <v>#N/A</v>
      </c>
    </row>
    <row r="123" spans="1:12" hidden="1" x14ac:dyDescent="0.3">
      <c r="A123">
        <v>2636069</v>
      </c>
      <c r="B123">
        <v>20251205</v>
      </c>
      <c r="C123">
        <v>1076</v>
      </c>
      <c r="D123">
        <v>5682.4</v>
      </c>
      <c r="E123" s="123" t="s">
        <v>1563</v>
      </c>
      <c r="F123" s="123" t="s">
        <v>188</v>
      </c>
      <c r="G123" s="123"/>
      <c r="H123" s="95">
        <v>45996</v>
      </c>
      <c r="I123">
        <v>18780</v>
      </c>
      <c r="J123" s="123" t="s">
        <v>120</v>
      </c>
      <c r="K123" s="123" t="s">
        <v>983</v>
      </c>
      <c r="L123" s="123">
        <f>VLOOKUP(Fact_AUM_FyoCapital[[#This Row],[Dim_Empresas.CUIT]],'clientes SQL'!C:D,2,0)</f>
        <v>13016</v>
      </c>
    </row>
    <row r="124" spans="1:12" hidden="1" x14ac:dyDescent="0.3">
      <c r="A124">
        <v>2629709</v>
      </c>
      <c r="B124">
        <v>20251205</v>
      </c>
      <c r="D124">
        <v>40000</v>
      </c>
      <c r="E124" s="123" t="s">
        <v>1563</v>
      </c>
      <c r="F124" s="123" t="s">
        <v>950</v>
      </c>
      <c r="G124" s="123"/>
      <c r="H124" s="95">
        <v>45996</v>
      </c>
      <c r="J124" s="123"/>
      <c r="K124" s="123"/>
      <c r="L124" s="123" t="e">
        <f>VLOOKUP(Fact_AUM_FyoCapital[[#This Row],[Dim_Empresas.CUIT]],'clientes SQL'!C:D,2,0)</f>
        <v>#N/A</v>
      </c>
    </row>
    <row r="125" spans="1:12" hidden="1" x14ac:dyDescent="0.3">
      <c r="A125">
        <v>1894417</v>
      </c>
      <c r="B125">
        <v>20251205</v>
      </c>
      <c r="C125">
        <v>1315</v>
      </c>
      <c r="D125">
        <v>469298.28050490882</v>
      </c>
      <c r="E125" s="123" t="s">
        <v>1566</v>
      </c>
      <c r="F125" s="123" t="s">
        <v>1571</v>
      </c>
      <c r="G125" s="123"/>
      <c r="H125" s="95">
        <v>45996</v>
      </c>
      <c r="I125">
        <v>7247</v>
      </c>
      <c r="J125" s="123" t="s">
        <v>574</v>
      </c>
      <c r="K125" s="123" t="s">
        <v>1027</v>
      </c>
      <c r="L125" s="123" t="e">
        <f>VLOOKUP(Fact_AUM_FyoCapital[[#This Row],[Dim_Empresas.CUIT]],'clientes SQL'!C:D,2,0)</f>
        <v>#N/A</v>
      </c>
    </row>
    <row r="126" spans="1:12" hidden="1" x14ac:dyDescent="0.3">
      <c r="A126">
        <v>2602229</v>
      </c>
      <c r="B126">
        <v>20251205</v>
      </c>
      <c r="C126">
        <v>1240</v>
      </c>
      <c r="D126">
        <v>253.92318373071529</v>
      </c>
      <c r="E126" s="123" t="s">
        <v>1568</v>
      </c>
      <c r="F126" s="123" t="s">
        <v>1572</v>
      </c>
      <c r="G126" s="123" t="s">
        <v>1570</v>
      </c>
      <c r="H126" s="95">
        <v>45996</v>
      </c>
      <c r="I126">
        <v>19320</v>
      </c>
      <c r="J126" s="123" t="s">
        <v>388</v>
      </c>
      <c r="K126" s="123" t="s">
        <v>974</v>
      </c>
      <c r="L126" s="123" t="e">
        <f>VLOOKUP(Fact_AUM_FyoCapital[[#This Row],[Dim_Empresas.CUIT]],'clientes SQL'!C:D,2,0)</f>
        <v>#N/A</v>
      </c>
    </row>
    <row r="127" spans="1:12" hidden="1" x14ac:dyDescent="0.3">
      <c r="A127">
        <v>1860217</v>
      </c>
      <c r="B127">
        <v>20251205</v>
      </c>
      <c r="C127">
        <v>10</v>
      </c>
      <c r="D127">
        <v>8557869.5901683029</v>
      </c>
      <c r="E127" s="123" t="s">
        <v>1566</v>
      </c>
      <c r="F127" s="123" t="s">
        <v>1571</v>
      </c>
      <c r="G127" s="123"/>
      <c r="H127" s="95">
        <v>45996</v>
      </c>
      <c r="I127">
        <v>375</v>
      </c>
      <c r="J127" s="123" t="s">
        <v>945</v>
      </c>
      <c r="K127" s="123" t="s">
        <v>946</v>
      </c>
      <c r="L127" s="123" t="e">
        <f>VLOOKUP(Fact_AUM_FyoCapital[[#This Row],[Dim_Empresas.CUIT]],'clientes SQL'!C:D,2,0)</f>
        <v>#N/A</v>
      </c>
    </row>
    <row r="128" spans="1:12" hidden="1" x14ac:dyDescent="0.3">
      <c r="A128">
        <v>1833157</v>
      </c>
      <c r="B128">
        <v>20251205</v>
      </c>
      <c r="C128">
        <v>659</v>
      </c>
      <c r="D128">
        <v>66.251746143057503</v>
      </c>
      <c r="E128" s="123" t="s">
        <v>1568</v>
      </c>
      <c r="F128" s="123" t="s">
        <v>1572</v>
      </c>
      <c r="G128" s="123" t="s">
        <v>1577</v>
      </c>
      <c r="H128" s="95">
        <v>45996</v>
      </c>
      <c r="I128">
        <v>9645</v>
      </c>
      <c r="J128" s="123" t="s">
        <v>224</v>
      </c>
      <c r="K128" s="123" t="s">
        <v>978</v>
      </c>
      <c r="L128" s="123" t="e">
        <f>VLOOKUP(Fact_AUM_FyoCapital[[#This Row],[Dim_Empresas.CUIT]],'clientes SQL'!C:D,2,0)</f>
        <v>#N/A</v>
      </c>
    </row>
    <row r="129" spans="1:12" hidden="1" x14ac:dyDescent="0.3">
      <c r="A129">
        <v>1502884</v>
      </c>
      <c r="B129">
        <v>20251205</v>
      </c>
      <c r="C129">
        <v>10</v>
      </c>
      <c r="D129">
        <v>869.24988078541378</v>
      </c>
      <c r="E129" s="123" t="s">
        <v>1564</v>
      </c>
      <c r="F129" s="123" t="s">
        <v>1581</v>
      </c>
      <c r="G129" s="123"/>
      <c r="H129" s="95">
        <v>45996</v>
      </c>
      <c r="I129">
        <v>375</v>
      </c>
      <c r="J129" s="123" t="s">
        <v>945</v>
      </c>
      <c r="K129" s="123" t="s">
        <v>946</v>
      </c>
      <c r="L129" s="123" t="e">
        <f>VLOOKUP(Fact_AUM_FyoCapital[[#This Row],[Dim_Empresas.CUIT]],'clientes SQL'!C:D,2,0)</f>
        <v>#N/A</v>
      </c>
    </row>
    <row r="130" spans="1:12" hidden="1" x14ac:dyDescent="0.3">
      <c r="A130">
        <v>2642189</v>
      </c>
      <c r="B130">
        <v>20251205</v>
      </c>
      <c r="C130">
        <v>1240</v>
      </c>
      <c r="D130">
        <v>17.905652173913044</v>
      </c>
      <c r="E130" s="123" t="s">
        <v>1563</v>
      </c>
      <c r="F130" s="123" t="s">
        <v>185</v>
      </c>
      <c r="G130" s="123"/>
      <c r="H130" s="95">
        <v>45996</v>
      </c>
      <c r="I130">
        <v>19320</v>
      </c>
      <c r="J130" s="123" t="s">
        <v>388</v>
      </c>
      <c r="K130" s="123" t="s">
        <v>974</v>
      </c>
      <c r="L130" s="123" t="e">
        <f>VLOOKUP(Fact_AUM_FyoCapital[[#This Row],[Dim_Empresas.CUIT]],'clientes SQL'!C:D,2,0)</f>
        <v>#N/A</v>
      </c>
    </row>
    <row r="131" spans="1:12" hidden="1" x14ac:dyDescent="0.3">
      <c r="A131">
        <v>1879117</v>
      </c>
      <c r="B131">
        <v>20251205</v>
      </c>
      <c r="C131">
        <v>106</v>
      </c>
      <c r="D131">
        <v>43827.260855539971</v>
      </c>
      <c r="E131" s="123" t="s">
        <v>1568</v>
      </c>
      <c r="F131" s="123" t="s">
        <v>1572</v>
      </c>
      <c r="G131" s="123" t="s">
        <v>1570</v>
      </c>
      <c r="H131" s="95">
        <v>45996</v>
      </c>
      <c r="I131">
        <v>6149</v>
      </c>
      <c r="J131" s="123" t="s">
        <v>554</v>
      </c>
      <c r="K131" s="123" t="s">
        <v>935</v>
      </c>
      <c r="L131" s="123" t="e">
        <f>VLOOKUP(Fact_AUM_FyoCapital[[#This Row],[Dim_Empresas.CUIT]],'clientes SQL'!C:D,2,0)</f>
        <v>#N/A</v>
      </c>
    </row>
    <row r="132" spans="1:12" hidden="1" x14ac:dyDescent="0.3">
      <c r="A132">
        <v>2637329</v>
      </c>
      <c r="B132">
        <v>20251205</v>
      </c>
      <c r="C132">
        <v>3816</v>
      </c>
      <c r="D132">
        <v>0.54</v>
      </c>
      <c r="E132" s="123" t="s">
        <v>1563</v>
      </c>
      <c r="F132" s="123" t="s">
        <v>950</v>
      </c>
      <c r="G132" s="123"/>
      <c r="H132" s="95">
        <v>45996</v>
      </c>
      <c r="I132">
        <v>32357</v>
      </c>
      <c r="J132" s="123" t="s">
        <v>502</v>
      </c>
      <c r="K132" s="123" t="s">
        <v>971</v>
      </c>
      <c r="L132" s="123" t="e">
        <f>VLOOKUP(Fact_AUM_FyoCapital[[#This Row],[Dim_Empresas.CUIT]],'clientes SQL'!C:D,2,0)</f>
        <v>#N/A</v>
      </c>
    </row>
    <row r="133" spans="1:12" hidden="1" x14ac:dyDescent="0.3">
      <c r="A133">
        <v>1864957</v>
      </c>
      <c r="B133">
        <v>20251205</v>
      </c>
      <c r="C133">
        <v>391</v>
      </c>
      <c r="D133">
        <v>274152.87903225806</v>
      </c>
      <c r="E133" s="123" t="s">
        <v>1568</v>
      </c>
      <c r="F133" s="123" t="s">
        <v>1572</v>
      </c>
      <c r="G133" s="123" t="s">
        <v>1570</v>
      </c>
      <c r="H133" s="95">
        <v>45996</v>
      </c>
      <c r="I133">
        <v>7691</v>
      </c>
      <c r="J133" s="123" t="s">
        <v>314</v>
      </c>
      <c r="K133" s="123" t="s">
        <v>959</v>
      </c>
      <c r="L133" s="123" t="e">
        <f>VLOOKUP(Fact_AUM_FyoCapital[[#This Row],[Dim_Empresas.CUIT]],'clientes SQL'!C:D,2,0)</f>
        <v>#N/A</v>
      </c>
    </row>
    <row r="134" spans="1:12" hidden="1" x14ac:dyDescent="0.3">
      <c r="A134">
        <v>2631809</v>
      </c>
      <c r="B134">
        <v>20251205</v>
      </c>
      <c r="C134">
        <v>1523</v>
      </c>
      <c r="D134">
        <v>-6</v>
      </c>
      <c r="E134" s="123" t="s">
        <v>1563</v>
      </c>
      <c r="F134" s="123" t="s">
        <v>801</v>
      </c>
      <c r="G134" s="123"/>
      <c r="H134" s="95">
        <v>45996</v>
      </c>
      <c r="I134">
        <v>20093</v>
      </c>
      <c r="J134" s="123" t="s">
        <v>987</v>
      </c>
      <c r="K134" s="123" t="s">
        <v>988</v>
      </c>
      <c r="L134" s="123" t="e">
        <f>VLOOKUP(Fact_AUM_FyoCapital[[#This Row],[Dim_Empresas.CUIT]],'clientes SQL'!C:D,2,0)</f>
        <v>#N/A</v>
      </c>
    </row>
    <row r="135" spans="1:12" hidden="1" x14ac:dyDescent="0.3">
      <c r="A135">
        <v>1843537</v>
      </c>
      <c r="B135">
        <v>20251205</v>
      </c>
      <c r="C135">
        <v>9948</v>
      </c>
      <c r="D135">
        <v>3.0273492286115009E-2</v>
      </c>
      <c r="E135" s="123" t="s">
        <v>1568</v>
      </c>
      <c r="F135" s="123" t="s">
        <v>1572</v>
      </c>
      <c r="G135" s="123" t="s">
        <v>1574</v>
      </c>
      <c r="H135" s="95">
        <v>45996</v>
      </c>
      <c r="I135">
        <v>35447</v>
      </c>
      <c r="J135" s="123" t="s">
        <v>352</v>
      </c>
      <c r="K135" s="123" t="s">
        <v>1093</v>
      </c>
      <c r="L135" s="123" t="e">
        <f>VLOOKUP(Fact_AUM_FyoCapital[[#This Row],[Dim_Empresas.CUIT]],'clientes SQL'!C:D,2,0)</f>
        <v>#N/A</v>
      </c>
    </row>
    <row r="136" spans="1:12" hidden="1" x14ac:dyDescent="0.3">
      <c r="A136">
        <v>1874797</v>
      </c>
      <c r="B136">
        <v>20251205</v>
      </c>
      <c r="C136">
        <v>1032</v>
      </c>
      <c r="D136">
        <v>56912.736795231416</v>
      </c>
      <c r="E136" s="123" t="s">
        <v>1568</v>
      </c>
      <c r="F136" s="123" t="s">
        <v>1572</v>
      </c>
      <c r="G136" s="123" t="s">
        <v>1570</v>
      </c>
      <c r="H136" s="95">
        <v>45996</v>
      </c>
      <c r="I136">
        <v>18646</v>
      </c>
      <c r="J136" s="123" t="s">
        <v>334</v>
      </c>
      <c r="K136" s="123" t="s">
        <v>977</v>
      </c>
      <c r="L136" s="123" t="e">
        <f>VLOOKUP(Fact_AUM_FyoCapital[[#This Row],[Dim_Empresas.CUIT]],'clientes SQL'!C:D,2,0)</f>
        <v>#N/A</v>
      </c>
    </row>
    <row r="137" spans="1:12" hidden="1" x14ac:dyDescent="0.3">
      <c r="A137">
        <v>1884757</v>
      </c>
      <c r="B137">
        <v>20251205</v>
      </c>
      <c r="C137">
        <v>1750</v>
      </c>
      <c r="D137">
        <v>85135.906030855534</v>
      </c>
      <c r="E137" s="123" t="s">
        <v>1568</v>
      </c>
      <c r="F137" s="123" t="s">
        <v>1569</v>
      </c>
      <c r="G137" s="123" t="s">
        <v>1570</v>
      </c>
      <c r="H137" s="95">
        <v>45996</v>
      </c>
      <c r="I137">
        <v>20554</v>
      </c>
      <c r="J137" s="123" t="s">
        <v>505</v>
      </c>
      <c r="K137" s="123" t="s">
        <v>973</v>
      </c>
      <c r="L137" s="123" t="e">
        <f>VLOOKUP(Fact_AUM_FyoCapital[[#This Row],[Dim_Empresas.CUIT]],'clientes SQL'!C:D,2,0)</f>
        <v>#N/A</v>
      </c>
    </row>
    <row r="138" spans="1:12" hidden="1" x14ac:dyDescent="0.3">
      <c r="A138">
        <v>1882057</v>
      </c>
      <c r="B138">
        <v>20251205</v>
      </c>
      <c r="C138">
        <v>633</v>
      </c>
      <c r="D138">
        <v>30654.53</v>
      </c>
      <c r="E138" s="123" t="s">
        <v>1566</v>
      </c>
      <c r="F138" s="123" t="s">
        <v>1579</v>
      </c>
      <c r="G138" s="123"/>
      <c r="H138" s="95">
        <v>45996</v>
      </c>
      <c r="I138">
        <v>4875</v>
      </c>
      <c r="J138" s="123" t="s">
        <v>546</v>
      </c>
      <c r="K138" s="123" t="s">
        <v>1023</v>
      </c>
      <c r="L138" s="123" t="e">
        <f>VLOOKUP(Fact_AUM_FyoCapital[[#This Row],[Dim_Empresas.CUIT]],'clientes SQL'!C:D,2,0)</f>
        <v>#N/A</v>
      </c>
    </row>
    <row r="139" spans="1:12" hidden="1" x14ac:dyDescent="0.3">
      <c r="A139">
        <v>2621309</v>
      </c>
      <c r="B139">
        <v>20251205</v>
      </c>
      <c r="C139">
        <v>1</v>
      </c>
      <c r="D139">
        <v>1127993.51</v>
      </c>
      <c r="E139" s="123" t="s">
        <v>1563</v>
      </c>
      <c r="F139" s="123" t="s">
        <v>801</v>
      </c>
      <c r="G139" s="123"/>
      <c r="H139" s="95">
        <v>45996</v>
      </c>
      <c r="I139">
        <v>5603</v>
      </c>
      <c r="J139" s="123" t="s">
        <v>943</v>
      </c>
      <c r="K139" s="123" t="s">
        <v>944</v>
      </c>
      <c r="L139" s="123" t="e">
        <f>VLOOKUP(Fact_AUM_FyoCapital[[#This Row],[Dim_Empresas.CUIT]],'clientes SQL'!C:D,2,0)</f>
        <v>#N/A</v>
      </c>
    </row>
    <row r="140" spans="1:12" hidden="1" x14ac:dyDescent="0.3">
      <c r="A140">
        <v>2619809</v>
      </c>
      <c r="B140">
        <v>20251205</v>
      </c>
      <c r="C140">
        <v>776</v>
      </c>
      <c r="D140">
        <v>2193.7800000000002</v>
      </c>
      <c r="E140" s="123" t="s">
        <v>1563</v>
      </c>
      <c r="F140" s="123" t="s">
        <v>950</v>
      </c>
      <c r="G140" s="123"/>
      <c r="H140" s="95">
        <v>45996</v>
      </c>
      <c r="I140">
        <v>16699</v>
      </c>
      <c r="J140" s="123" t="s">
        <v>261</v>
      </c>
      <c r="K140" s="123" t="s">
        <v>938</v>
      </c>
      <c r="L140" s="123">
        <f>VLOOKUP(Fact_AUM_FyoCapital[[#This Row],[Dim_Empresas.CUIT]],'clientes SQL'!C:D,2,0)</f>
        <v>13008</v>
      </c>
    </row>
    <row r="141" spans="1:12" hidden="1" x14ac:dyDescent="0.3">
      <c r="A141">
        <v>2606789</v>
      </c>
      <c r="B141">
        <v>20251205</v>
      </c>
      <c r="C141">
        <v>14966</v>
      </c>
      <c r="D141">
        <v>4538.9880504908833</v>
      </c>
      <c r="E141" s="123" t="s">
        <v>1568</v>
      </c>
      <c r="F141" s="123" t="s">
        <v>1572</v>
      </c>
      <c r="G141" s="123" t="s">
        <v>1574</v>
      </c>
      <c r="H141" s="95">
        <v>45996</v>
      </c>
      <c r="I141">
        <v>37174</v>
      </c>
      <c r="J141" s="123" t="s">
        <v>984</v>
      </c>
      <c r="K141" s="123" t="s">
        <v>985</v>
      </c>
      <c r="L141" s="123" t="e">
        <f>VLOOKUP(Fact_AUM_FyoCapital[[#This Row],[Dim_Empresas.CUIT]],'clientes SQL'!C:D,2,0)</f>
        <v>#N/A</v>
      </c>
    </row>
    <row r="142" spans="1:12" hidden="1" x14ac:dyDescent="0.3">
      <c r="A142">
        <v>2625689</v>
      </c>
      <c r="B142">
        <v>20251205</v>
      </c>
      <c r="C142">
        <v>2009</v>
      </c>
      <c r="D142">
        <v>-5179.87</v>
      </c>
      <c r="E142" s="123" t="s">
        <v>1563</v>
      </c>
      <c r="F142" s="123" t="s">
        <v>801</v>
      </c>
      <c r="G142" s="123"/>
      <c r="H142" s="95">
        <v>45996</v>
      </c>
      <c r="I142">
        <v>20896</v>
      </c>
      <c r="J142" s="123" t="s">
        <v>318</v>
      </c>
      <c r="K142" s="123" t="s">
        <v>980</v>
      </c>
      <c r="L142" s="123" t="e">
        <f>VLOOKUP(Fact_AUM_FyoCapital[[#This Row],[Dim_Empresas.CUIT]],'clientes SQL'!C:D,2,0)</f>
        <v>#N/A</v>
      </c>
    </row>
    <row r="143" spans="1:12" hidden="1" x14ac:dyDescent="0.3">
      <c r="A143">
        <v>1868077</v>
      </c>
      <c r="B143">
        <v>20251205</v>
      </c>
      <c r="C143">
        <v>369</v>
      </c>
      <c r="D143">
        <v>59794.354838709674</v>
      </c>
      <c r="E143" s="123" t="s">
        <v>1566</v>
      </c>
      <c r="F143" s="123" t="s">
        <v>1582</v>
      </c>
      <c r="G143" s="123"/>
      <c r="H143" s="95">
        <v>45996</v>
      </c>
      <c r="I143">
        <v>5848</v>
      </c>
      <c r="J143" s="123" t="s">
        <v>446</v>
      </c>
      <c r="K143" s="123" t="s">
        <v>965</v>
      </c>
      <c r="L143" s="123" t="e">
        <f>VLOOKUP(Fact_AUM_FyoCapital[[#This Row],[Dim_Empresas.CUIT]],'clientes SQL'!C:D,2,0)</f>
        <v>#N/A</v>
      </c>
    </row>
    <row r="144" spans="1:12" hidden="1" x14ac:dyDescent="0.3">
      <c r="A144">
        <v>2637269</v>
      </c>
      <c r="B144">
        <v>20251205</v>
      </c>
      <c r="C144">
        <v>3816</v>
      </c>
      <c r="D144">
        <v>18.692608695652172</v>
      </c>
      <c r="E144" s="123" t="s">
        <v>1563</v>
      </c>
      <c r="F144" s="123" t="s">
        <v>185</v>
      </c>
      <c r="G144" s="123"/>
      <c r="H144" s="95">
        <v>45996</v>
      </c>
      <c r="I144">
        <v>32357</v>
      </c>
      <c r="J144" s="123" t="s">
        <v>502</v>
      </c>
      <c r="K144" s="123" t="s">
        <v>971</v>
      </c>
      <c r="L144" s="123" t="e">
        <f>VLOOKUP(Fact_AUM_FyoCapital[[#This Row],[Dim_Empresas.CUIT]],'clientes SQL'!C:D,2,0)</f>
        <v>#N/A</v>
      </c>
    </row>
    <row r="145" spans="1:12" hidden="1" x14ac:dyDescent="0.3">
      <c r="A145">
        <v>1865197</v>
      </c>
      <c r="B145">
        <v>20251205</v>
      </c>
      <c r="C145">
        <v>10</v>
      </c>
      <c r="D145">
        <v>100227.5035483871</v>
      </c>
      <c r="E145" s="123" t="s">
        <v>1568</v>
      </c>
      <c r="F145" s="123" t="s">
        <v>1569</v>
      </c>
      <c r="G145" s="123" t="s">
        <v>1570</v>
      </c>
      <c r="H145" s="95">
        <v>45996</v>
      </c>
      <c r="I145">
        <v>375</v>
      </c>
      <c r="J145" s="123" t="s">
        <v>945</v>
      </c>
      <c r="K145" s="123" t="s">
        <v>946</v>
      </c>
      <c r="L145" s="123" t="e">
        <f>VLOOKUP(Fact_AUM_FyoCapital[[#This Row],[Dim_Empresas.CUIT]],'clientes SQL'!C:D,2,0)</f>
        <v>#N/A</v>
      </c>
    </row>
    <row r="146" spans="1:12" hidden="1" x14ac:dyDescent="0.3">
      <c r="A146">
        <v>1877137</v>
      </c>
      <c r="B146">
        <v>20251205</v>
      </c>
      <c r="C146">
        <v>1523</v>
      </c>
      <c r="D146">
        <v>20018.11</v>
      </c>
      <c r="E146" s="123" t="s">
        <v>1566</v>
      </c>
      <c r="F146" s="123" t="s">
        <v>1571</v>
      </c>
      <c r="G146" s="123"/>
      <c r="H146" s="95">
        <v>45996</v>
      </c>
      <c r="I146">
        <v>20093</v>
      </c>
      <c r="J146" s="123" t="s">
        <v>987</v>
      </c>
      <c r="K146" s="123" t="s">
        <v>988</v>
      </c>
      <c r="L146" s="123" t="e">
        <f>VLOOKUP(Fact_AUM_FyoCapital[[#This Row],[Dim_Empresas.CUIT]],'clientes SQL'!C:D,2,0)</f>
        <v>#N/A</v>
      </c>
    </row>
    <row r="147" spans="1:12" hidden="1" x14ac:dyDescent="0.3">
      <c r="A147">
        <v>2618909</v>
      </c>
      <c r="B147">
        <v>20251205</v>
      </c>
      <c r="C147">
        <v>1</v>
      </c>
      <c r="D147">
        <v>-254813.02652875174</v>
      </c>
      <c r="E147" s="123" t="s">
        <v>1563</v>
      </c>
      <c r="F147" s="123" t="s">
        <v>185</v>
      </c>
      <c r="G147" s="123"/>
      <c r="H147" s="95">
        <v>45996</v>
      </c>
      <c r="I147">
        <v>5603</v>
      </c>
      <c r="J147" s="123" t="s">
        <v>943</v>
      </c>
      <c r="K147" s="123" t="s">
        <v>944</v>
      </c>
      <c r="L147" s="123" t="e">
        <f>VLOOKUP(Fact_AUM_FyoCapital[[#This Row],[Dim_Empresas.CUIT]],'clientes SQL'!C:D,2,0)</f>
        <v>#N/A</v>
      </c>
    </row>
    <row r="148" spans="1:12" hidden="1" x14ac:dyDescent="0.3">
      <c r="A148">
        <v>1898257</v>
      </c>
      <c r="B148">
        <v>20251205</v>
      </c>
      <c r="C148">
        <v>12855</v>
      </c>
      <c r="D148">
        <v>14120.22</v>
      </c>
      <c r="E148" s="123" t="s">
        <v>1566</v>
      </c>
      <c r="F148" s="123" t="s">
        <v>1578</v>
      </c>
      <c r="G148" s="123"/>
      <c r="H148" s="95">
        <v>45996</v>
      </c>
      <c r="I148">
        <v>36077</v>
      </c>
      <c r="J148" s="123" t="s">
        <v>563</v>
      </c>
      <c r="K148" s="123" t="s">
        <v>969</v>
      </c>
      <c r="L148" s="123" t="e">
        <f>VLOOKUP(Fact_AUM_FyoCapital[[#This Row],[Dim_Empresas.CUIT]],'clientes SQL'!C:D,2,0)</f>
        <v>#N/A</v>
      </c>
    </row>
    <row r="149" spans="1:12" hidden="1" x14ac:dyDescent="0.3">
      <c r="A149">
        <v>2622569</v>
      </c>
      <c r="B149">
        <v>20251205</v>
      </c>
      <c r="C149">
        <v>9956</v>
      </c>
      <c r="D149">
        <v>0.44</v>
      </c>
      <c r="E149" s="123" t="s">
        <v>1563</v>
      </c>
      <c r="F149" s="123" t="s">
        <v>950</v>
      </c>
      <c r="G149" s="123"/>
      <c r="H149" s="95">
        <v>45996</v>
      </c>
      <c r="I149">
        <v>35455</v>
      </c>
      <c r="J149" s="123" t="s">
        <v>424</v>
      </c>
      <c r="K149" s="123" t="s">
        <v>991</v>
      </c>
      <c r="L149" s="123" t="e">
        <f>VLOOKUP(Fact_AUM_FyoCapital[[#This Row],[Dim_Empresas.CUIT]],'clientes SQL'!C:D,2,0)</f>
        <v>#N/A</v>
      </c>
    </row>
    <row r="150" spans="1:12" hidden="1" x14ac:dyDescent="0.3">
      <c r="A150">
        <v>1893157</v>
      </c>
      <c r="B150">
        <v>20251205</v>
      </c>
      <c r="C150">
        <v>3816</v>
      </c>
      <c r="D150">
        <v>2.173913043478261E-4</v>
      </c>
      <c r="E150" s="123" t="s">
        <v>1568</v>
      </c>
      <c r="F150" s="123" t="s">
        <v>1572</v>
      </c>
      <c r="G150" s="123" t="s">
        <v>1570</v>
      </c>
      <c r="H150" s="95">
        <v>45996</v>
      </c>
      <c r="I150">
        <v>32357</v>
      </c>
      <c r="J150" s="123" t="s">
        <v>502</v>
      </c>
      <c r="K150" s="123" t="s">
        <v>971</v>
      </c>
      <c r="L150" s="123" t="e">
        <f>VLOOKUP(Fact_AUM_FyoCapital[[#This Row],[Dim_Empresas.CUIT]],'clientes SQL'!C:D,2,0)</f>
        <v>#N/A</v>
      </c>
    </row>
    <row r="151" spans="1:12" hidden="1" x14ac:dyDescent="0.3">
      <c r="A151">
        <v>1874437</v>
      </c>
      <c r="B151">
        <v>20251205</v>
      </c>
      <c r="C151">
        <v>519</v>
      </c>
      <c r="D151">
        <v>191356.16</v>
      </c>
      <c r="E151" s="123" t="s">
        <v>1566</v>
      </c>
      <c r="F151" s="123" t="s">
        <v>1579</v>
      </c>
      <c r="G151" s="123"/>
      <c r="H151" s="95">
        <v>45996</v>
      </c>
      <c r="I151">
        <v>8959</v>
      </c>
      <c r="J151" s="123" t="s">
        <v>330</v>
      </c>
      <c r="K151" s="123" t="s">
        <v>960</v>
      </c>
      <c r="L151" s="123" t="e">
        <f>VLOOKUP(Fact_AUM_FyoCapital[[#This Row],[Dim_Empresas.CUIT]],'clientes SQL'!C:D,2,0)</f>
        <v>#N/A</v>
      </c>
    </row>
    <row r="152" spans="1:12" hidden="1" x14ac:dyDescent="0.3">
      <c r="A152">
        <v>1874677</v>
      </c>
      <c r="B152">
        <v>20251205</v>
      </c>
      <c r="C152">
        <v>519</v>
      </c>
      <c r="D152">
        <v>36046.020336605892</v>
      </c>
      <c r="E152" s="123" t="s">
        <v>1566</v>
      </c>
      <c r="F152" s="123" t="s">
        <v>1573</v>
      </c>
      <c r="G152" s="123"/>
      <c r="H152" s="95">
        <v>45996</v>
      </c>
      <c r="I152">
        <v>8959</v>
      </c>
      <c r="J152" s="123" t="s">
        <v>330</v>
      </c>
      <c r="K152" s="123" t="s">
        <v>960</v>
      </c>
      <c r="L152" s="123" t="e">
        <f>VLOOKUP(Fact_AUM_FyoCapital[[#This Row],[Dim_Empresas.CUIT]],'clientes SQL'!C:D,2,0)</f>
        <v>#N/A</v>
      </c>
    </row>
    <row r="153" spans="1:12" hidden="1" x14ac:dyDescent="0.3">
      <c r="A153">
        <v>1502704</v>
      </c>
      <c r="B153">
        <v>20251205</v>
      </c>
      <c r="C153">
        <v>519</v>
      </c>
      <c r="D153">
        <v>61327.892180925664</v>
      </c>
      <c r="E153" s="123" t="s">
        <v>1564</v>
      </c>
      <c r="F153" s="123" t="s">
        <v>1581</v>
      </c>
      <c r="G153" s="123"/>
      <c r="H153" s="95">
        <v>45996</v>
      </c>
      <c r="I153">
        <v>8959</v>
      </c>
      <c r="J153" s="123" t="s">
        <v>330</v>
      </c>
      <c r="K153" s="123" t="s">
        <v>960</v>
      </c>
      <c r="L153" s="123" t="e">
        <f>VLOOKUP(Fact_AUM_FyoCapital[[#This Row],[Dim_Empresas.CUIT]],'clientes SQL'!C:D,2,0)</f>
        <v>#N/A</v>
      </c>
    </row>
    <row r="154" spans="1:12" hidden="1" x14ac:dyDescent="0.3">
      <c r="A154">
        <v>1849357</v>
      </c>
      <c r="B154">
        <v>20251205</v>
      </c>
      <c r="C154">
        <v>1</v>
      </c>
      <c r="D154">
        <v>77923.460000000006</v>
      </c>
      <c r="E154" s="123" t="s">
        <v>1568</v>
      </c>
      <c r="F154" s="123" t="s">
        <v>1572</v>
      </c>
      <c r="G154" s="123" t="s">
        <v>1574</v>
      </c>
      <c r="H154" s="95">
        <v>45996</v>
      </c>
      <c r="I154">
        <v>5603</v>
      </c>
      <c r="J154" s="123" t="s">
        <v>943</v>
      </c>
      <c r="K154" s="123" t="s">
        <v>944</v>
      </c>
      <c r="L154" s="123" t="e">
        <f>VLOOKUP(Fact_AUM_FyoCapital[[#This Row],[Dim_Empresas.CUIT]],'clientes SQL'!C:D,2,0)</f>
        <v>#N/A</v>
      </c>
    </row>
    <row r="155" spans="1:12" hidden="1" x14ac:dyDescent="0.3">
      <c r="A155">
        <v>2096680</v>
      </c>
      <c r="B155">
        <v>20251205</v>
      </c>
      <c r="C155">
        <v>10</v>
      </c>
      <c r="D155" s="6">
        <v>1027.0944600280504</v>
      </c>
      <c r="E155" s="123" t="s">
        <v>1564</v>
      </c>
      <c r="F155" s="123" t="s">
        <v>1565</v>
      </c>
      <c r="G155" s="123"/>
      <c r="H155" s="95">
        <v>45996</v>
      </c>
      <c r="I155">
        <v>375</v>
      </c>
      <c r="J155" s="123" t="s">
        <v>945</v>
      </c>
      <c r="K155" s="123" t="s">
        <v>946</v>
      </c>
      <c r="L155" s="123" t="e">
        <f>VLOOKUP(Fact_AUM_FyoCapital[[#This Row],[Dim_Empresas.CUIT]],'clientes SQL'!C:D,2,0)</f>
        <v>#N/A</v>
      </c>
    </row>
    <row r="156" spans="1:12" hidden="1" x14ac:dyDescent="0.3">
      <c r="A156">
        <v>1859917</v>
      </c>
      <c r="B156">
        <v>20251205</v>
      </c>
      <c r="C156">
        <v>10</v>
      </c>
      <c r="D156">
        <v>0</v>
      </c>
      <c r="E156" s="123"/>
      <c r="F156" s="123"/>
      <c r="G156" s="123"/>
      <c r="H156" s="95">
        <v>45996</v>
      </c>
      <c r="I156">
        <v>375</v>
      </c>
      <c r="J156" s="123" t="s">
        <v>945</v>
      </c>
      <c r="K156" s="123" t="s">
        <v>946</v>
      </c>
      <c r="L156" s="123" t="e">
        <f>VLOOKUP(Fact_AUM_FyoCapital[[#This Row],[Dim_Empresas.CUIT]],'clientes SQL'!C:D,2,0)</f>
        <v>#N/A</v>
      </c>
    </row>
    <row r="157" spans="1:12" hidden="1" x14ac:dyDescent="0.3">
      <c r="A157">
        <v>2644229</v>
      </c>
      <c r="B157">
        <v>20251205</v>
      </c>
      <c r="C157">
        <v>12937</v>
      </c>
      <c r="D157">
        <v>646.83000000000004</v>
      </c>
      <c r="E157" s="123" t="s">
        <v>1563</v>
      </c>
      <c r="F157" s="123" t="s">
        <v>950</v>
      </c>
      <c r="G157" s="123"/>
      <c r="H157" s="95">
        <v>45996</v>
      </c>
      <c r="I157">
        <v>36152</v>
      </c>
      <c r="J157" s="123" t="s">
        <v>624</v>
      </c>
      <c r="K157" s="123" t="s">
        <v>1006</v>
      </c>
      <c r="L157" s="123" t="e">
        <f>VLOOKUP(Fact_AUM_FyoCapital[[#This Row],[Dim_Empresas.CUIT]],'clientes SQL'!C:D,2,0)</f>
        <v>#N/A</v>
      </c>
    </row>
    <row r="158" spans="1:12" hidden="1" x14ac:dyDescent="0.3">
      <c r="A158">
        <v>2601689</v>
      </c>
      <c r="B158">
        <v>20251205</v>
      </c>
      <c r="C158">
        <v>783</v>
      </c>
      <c r="D158">
        <v>1734548.4749579243</v>
      </c>
      <c r="E158" s="123" t="s">
        <v>1566</v>
      </c>
      <c r="F158" s="123" t="s">
        <v>1571</v>
      </c>
      <c r="G158" s="123"/>
      <c r="H158" s="95">
        <v>45996</v>
      </c>
      <c r="I158">
        <v>15348</v>
      </c>
      <c r="J158" s="123" t="s">
        <v>384</v>
      </c>
      <c r="K158" s="123" t="s">
        <v>998</v>
      </c>
      <c r="L158" s="123">
        <f>VLOOKUP(Fact_AUM_FyoCapital[[#This Row],[Dim_Empresas.CUIT]],'clientes SQL'!C:D,2,0)</f>
        <v>13010</v>
      </c>
    </row>
    <row r="159" spans="1:12" hidden="1" x14ac:dyDescent="0.3">
      <c r="A159">
        <v>2625629</v>
      </c>
      <c r="B159">
        <v>20251205</v>
      </c>
      <c r="C159">
        <v>2009</v>
      </c>
      <c r="D159">
        <v>-76.947903225806456</v>
      </c>
      <c r="E159" s="123" t="s">
        <v>1563</v>
      </c>
      <c r="F159" s="123" t="s">
        <v>185</v>
      </c>
      <c r="G159" s="123"/>
      <c r="H159" s="95">
        <v>45996</v>
      </c>
      <c r="I159">
        <v>20896</v>
      </c>
      <c r="J159" s="123" t="s">
        <v>318</v>
      </c>
      <c r="K159" s="123" t="s">
        <v>980</v>
      </c>
      <c r="L159" s="123" t="e">
        <f>VLOOKUP(Fact_AUM_FyoCapital[[#This Row],[Dim_Empresas.CUIT]],'clientes SQL'!C:D,2,0)</f>
        <v>#N/A</v>
      </c>
    </row>
    <row r="160" spans="1:12" hidden="1" x14ac:dyDescent="0.3">
      <c r="A160">
        <v>1886377</v>
      </c>
      <c r="B160">
        <v>20251205</v>
      </c>
      <c r="C160">
        <v>797</v>
      </c>
      <c r="D160">
        <v>27135.59</v>
      </c>
      <c r="E160" s="123" t="s">
        <v>1568</v>
      </c>
      <c r="F160" s="123" t="s">
        <v>1572</v>
      </c>
      <c r="G160" s="123" t="s">
        <v>1570</v>
      </c>
      <c r="H160" s="95">
        <v>45996</v>
      </c>
      <c r="I160">
        <v>8008</v>
      </c>
      <c r="J160" s="123" t="s">
        <v>1147</v>
      </c>
      <c r="K160" s="123" t="s">
        <v>1148</v>
      </c>
      <c r="L160" s="123" t="e">
        <f>VLOOKUP(Fact_AUM_FyoCapital[[#This Row],[Dim_Empresas.CUIT]],'clientes SQL'!C:D,2,0)</f>
        <v>#N/A</v>
      </c>
    </row>
    <row r="161" spans="1:12" hidden="1" x14ac:dyDescent="0.3">
      <c r="A161">
        <v>1883257</v>
      </c>
      <c r="B161">
        <v>20251205</v>
      </c>
      <c r="C161">
        <v>5975</v>
      </c>
      <c r="D161">
        <v>0</v>
      </c>
      <c r="E161" s="123"/>
      <c r="F161" s="123"/>
      <c r="G161" s="123"/>
      <c r="H161" s="95">
        <v>45996</v>
      </c>
      <c r="I161">
        <v>31332</v>
      </c>
      <c r="J161" s="123" t="s">
        <v>541</v>
      </c>
      <c r="K161" s="123" t="s">
        <v>955</v>
      </c>
      <c r="L161" s="123" t="e">
        <f>VLOOKUP(Fact_AUM_FyoCapital[[#This Row],[Dim_Empresas.CUIT]],'clientes SQL'!C:D,2,0)</f>
        <v>#N/A</v>
      </c>
    </row>
    <row r="162" spans="1:12" hidden="1" x14ac:dyDescent="0.3">
      <c r="A162">
        <v>1882717</v>
      </c>
      <c r="B162">
        <v>20251205</v>
      </c>
      <c r="C162">
        <v>5975</v>
      </c>
      <c r="D162">
        <v>0</v>
      </c>
      <c r="E162" s="123"/>
      <c r="F162" s="123"/>
      <c r="G162" s="123"/>
      <c r="H162" s="95">
        <v>45996</v>
      </c>
      <c r="I162">
        <v>31332</v>
      </c>
      <c r="J162" s="123" t="s">
        <v>541</v>
      </c>
      <c r="K162" s="123" t="s">
        <v>955</v>
      </c>
      <c r="L162" s="123" t="e">
        <f>VLOOKUP(Fact_AUM_FyoCapital[[#This Row],[Dim_Empresas.CUIT]],'clientes SQL'!C:D,2,0)</f>
        <v>#N/A</v>
      </c>
    </row>
    <row r="163" spans="1:12" hidden="1" x14ac:dyDescent="0.3">
      <c r="A163">
        <v>1882777</v>
      </c>
      <c r="B163">
        <v>20251205</v>
      </c>
      <c r="C163">
        <v>5975</v>
      </c>
      <c r="D163">
        <v>0</v>
      </c>
      <c r="E163" s="123"/>
      <c r="F163" s="123"/>
      <c r="G163" s="123"/>
      <c r="H163" s="95">
        <v>45996</v>
      </c>
      <c r="I163">
        <v>31332</v>
      </c>
      <c r="J163" s="123" t="s">
        <v>541</v>
      </c>
      <c r="K163" s="123" t="s">
        <v>955</v>
      </c>
      <c r="L163" s="123" t="e">
        <f>VLOOKUP(Fact_AUM_FyoCapital[[#This Row],[Dim_Empresas.CUIT]],'clientes SQL'!C:D,2,0)</f>
        <v>#N/A</v>
      </c>
    </row>
    <row r="164" spans="1:12" hidden="1" x14ac:dyDescent="0.3">
      <c r="A164">
        <v>1846477</v>
      </c>
      <c r="B164">
        <v>20251205</v>
      </c>
      <c r="C164">
        <v>10037</v>
      </c>
      <c r="D164">
        <v>-250000</v>
      </c>
      <c r="E164" s="123" t="s">
        <v>1566</v>
      </c>
      <c r="F164" s="123" t="s">
        <v>1578</v>
      </c>
      <c r="G164" s="123"/>
      <c r="H164" s="95">
        <v>45996</v>
      </c>
      <c r="I164">
        <v>9195</v>
      </c>
      <c r="J164" s="123" t="s">
        <v>307</v>
      </c>
      <c r="K164" s="123" t="s">
        <v>952</v>
      </c>
      <c r="L164" s="123" t="e">
        <f>VLOOKUP(Fact_AUM_FyoCapital[[#This Row],[Dim_Empresas.CUIT]],'clientes SQL'!C:D,2,0)</f>
        <v>#N/A</v>
      </c>
    </row>
    <row r="165" spans="1:12" hidden="1" x14ac:dyDescent="0.3">
      <c r="A165">
        <v>2641169</v>
      </c>
      <c r="B165">
        <v>20251205</v>
      </c>
      <c r="D165">
        <v>2000</v>
      </c>
      <c r="E165" s="123" t="s">
        <v>1563</v>
      </c>
      <c r="F165" s="123" t="s">
        <v>950</v>
      </c>
      <c r="G165" s="123"/>
      <c r="H165" s="95">
        <v>45996</v>
      </c>
      <c r="J165" s="123"/>
      <c r="K165" s="123"/>
      <c r="L165" s="123" t="e">
        <f>VLOOKUP(Fact_AUM_FyoCapital[[#This Row],[Dim_Empresas.CUIT]],'clientes SQL'!C:D,2,0)</f>
        <v>#N/A</v>
      </c>
    </row>
    <row r="166" spans="1:12" hidden="1" x14ac:dyDescent="0.3">
      <c r="A166">
        <v>1503724</v>
      </c>
      <c r="B166">
        <v>20251205</v>
      </c>
      <c r="C166">
        <v>659</v>
      </c>
      <c r="D166">
        <v>114089.98961430576</v>
      </c>
      <c r="E166" s="123" t="s">
        <v>1564</v>
      </c>
      <c r="F166" s="123" t="s">
        <v>1581</v>
      </c>
      <c r="G166" s="123"/>
      <c r="H166" s="95">
        <v>45996</v>
      </c>
      <c r="I166">
        <v>9645</v>
      </c>
      <c r="J166" s="123" t="s">
        <v>224</v>
      </c>
      <c r="K166" s="123" t="s">
        <v>978</v>
      </c>
      <c r="L166" s="123" t="e">
        <f>VLOOKUP(Fact_AUM_FyoCapital[[#This Row],[Dim_Empresas.CUIT]],'clientes SQL'!C:D,2,0)</f>
        <v>#N/A</v>
      </c>
    </row>
    <row r="167" spans="1:12" hidden="1" x14ac:dyDescent="0.3">
      <c r="A167">
        <v>2611529</v>
      </c>
      <c r="B167">
        <v>20251205</v>
      </c>
      <c r="C167">
        <v>659</v>
      </c>
      <c r="D167">
        <v>3728.59</v>
      </c>
      <c r="E167" s="123" t="s">
        <v>1563</v>
      </c>
      <c r="F167" s="123" t="s">
        <v>950</v>
      </c>
      <c r="G167" s="123"/>
      <c r="H167" s="95">
        <v>45996</v>
      </c>
      <c r="I167">
        <v>9645</v>
      </c>
      <c r="J167" s="123" t="s">
        <v>224</v>
      </c>
      <c r="K167" s="123" t="s">
        <v>978</v>
      </c>
      <c r="L167" s="123" t="e">
        <f>VLOOKUP(Fact_AUM_FyoCapital[[#This Row],[Dim_Empresas.CUIT]],'clientes SQL'!C:D,2,0)</f>
        <v>#N/A</v>
      </c>
    </row>
    <row r="168" spans="1:12" hidden="1" x14ac:dyDescent="0.3">
      <c r="A168">
        <v>2623529</v>
      </c>
      <c r="B168">
        <v>20251205</v>
      </c>
      <c r="C168">
        <v>5224</v>
      </c>
      <c r="D168">
        <v>2545.14</v>
      </c>
      <c r="E168" s="123" t="s">
        <v>1563</v>
      </c>
      <c r="F168" s="123" t="s">
        <v>950</v>
      </c>
      <c r="G168" s="123"/>
      <c r="H168" s="95">
        <v>45996</v>
      </c>
      <c r="I168">
        <v>33640</v>
      </c>
      <c r="J168" s="123" t="s">
        <v>379</v>
      </c>
      <c r="K168" s="123" t="s">
        <v>992</v>
      </c>
      <c r="L168" s="123" t="e">
        <f>VLOOKUP(Fact_AUM_FyoCapital[[#This Row],[Dim_Empresas.CUIT]],'clientes SQL'!C:D,2,0)</f>
        <v>#N/A</v>
      </c>
    </row>
    <row r="169" spans="1:12" hidden="1" x14ac:dyDescent="0.3">
      <c r="A169">
        <v>2618969</v>
      </c>
      <c r="B169">
        <v>20251205</v>
      </c>
      <c r="C169">
        <v>1</v>
      </c>
      <c r="D169">
        <v>0</v>
      </c>
      <c r="E169" s="123"/>
      <c r="F169" s="123"/>
      <c r="G169" s="123"/>
      <c r="H169" s="95">
        <v>45996</v>
      </c>
      <c r="I169">
        <v>5603</v>
      </c>
      <c r="J169" s="123" t="s">
        <v>943</v>
      </c>
      <c r="K169" s="123" t="s">
        <v>944</v>
      </c>
      <c r="L169" s="123" t="e">
        <f>VLOOKUP(Fact_AUM_FyoCapital[[#This Row],[Dim_Empresas.CUIT]],'clientes SQL'!C:D,2,0)</f>
        <v>#N/A</v>
      </c>
    </row>
    <row r="170" spans="1:12" hidden="1" x14ac:dyDescent="0.3">
      <c r="A170">
        <v>2601929</v>
      </c>
      <c r="B170">
        <v>20251205</v>
      </c>
      <c r="C170">
        <v>783</v>
      </c>
      <c r="D170">
        <v>23.166051893408135</v>
      </c>
      <c r="E170" s="123" t="s">
        <v>1568</v>
      </c>
      <c r="F170" s="123" t="s">
        <v>1572</v>
      </c>
      <c r="G170" s="123" t="s">
        <v>1574</v>
      </c>
      <c r="H170" s="95">
        <v>45996</v>
      </c>
      <c r="I170">
        <v>15348</v>
      </c>
      <c r="J170" s="123" t="s">
        <v>384</v>
      </c>
      <c r="K170" s="123" t="s">
        <v>998</v>
      </c>
      <c r="L170" s="123">
        <f>VLOOKUP(Fact_AUM_FyoCapital[[#This Row],[Dim_Empresas.CUIT]],'clientes SQL'!C:D,2,0)</f>
        <v>13010</v>
      </c>
    </row>
    <row r="171" spans="1:12" hidden="1" x14ac:dyDescent="0.3">
      <c r="A171">
        <v>2602169</v>
      </c>
      <c r="B171">
        <v>20251205</v>
      </c>
      <c r="C171">
        <v>1240</v>
      </c>
      <c r="D171">
        <v>0</v>
      </c>
      <c r="E171" s="123"/>
      <c r="F171" s="123"/>
      <c r="G171" s="123"/>
      <c r="H171" s="95">
        <v>45996</v>
      </c>
      <c r="I171">
        <v>19320</v>
      </c>
      <c r="J171" s="123" t="s">
        <v>388</v>
      </c>
      <c r="K171" s="123" t="s">
        <v>974</v>
      </c>
      <c r="L171" s="123" t="e">
        <f>VLOOKUP(Fact_AUM_FyoCapital[[#This Row],[Dim_Empresas.CUIT]],'clientes SQL'!C:D,2,0)</f>
        <v>#N/A</v>
      </c>
    </row>
    <row r="172" spans="1:12" hidden="1" x14ac:dyDescent="0.3">
      <c r="A172">
        <v>2623649</v>
      </c>
      <c r="B172">
        <v>20251205</v>
      </c>
      <c r="C172">
        <v>12415</v>
      </c>
      <c r="D172">
        <v>0.48</v>
      </c>
      <c r="E172" s="123" t="s">
        <v>1563</v>
      </c>
      <c r="F172" s="123" t="s">
        <v>950</v>
      </c>
      <c r="G172" s="123"/>
      <c r="H172" s="95">
        <v>45996</v>
      </c>
      <c r="I172">
        <v>35701</v>
      </c>
      <c r="J172" s="123" t="s">
        <v>967</v>
      </c>
      <c r="K172" s="123" t="s">
        <v>968</v>
      </c>
      <c r="L172" s="123" t="e">
        <f>VLOOKUP(Fact_AUM_FyoCapital[[#This Row],[Dim_Empresas.CUIT]],'clientes SQL'!C:D,2,0)</f>
        <v>#N/A</v>
      </c>
    </row>
    <row r="173" spans="1:12" hidden="1" x14ac:dyDescent="0.3">
      <c r="A173">
        <v>2616449</v>
      </c>
      <c r="B173">
        <v>20251205</v>
      </c>
      <c r="C173">
        <v>9948</v>
      </c>
      <c r="D173">
        <v>-1.2068723702664798E-2</v>
      </c>
      <c r="E173" s="123" t="s">
        <v>1563</v>
      </c>
      <c r="F173" s="123" t="s">
        <v>185</v>
      </c>
      <c r="G173" s="123"/>
      <c r="H173" s="95">
        <v>45996</v>
      </c>
      <c r="I173">
        <v>35447</v>
      </c>
      <c r="J173" s="123" t="s">
        <v>352</v>
      </c>
      <c r="K173" s="123" t="s">
        <v>1093</v>
      </c>
      <c r="L173" s="123" t="e">
        <f>VLOOKUP(Fact_AUM_FyoCapital[[#This Row],[Dim_Empresas.CUIT]],'clientes SQL'!C:D,2,0)</f>
        <v>#N/A</v>
      </c>
    </row>
    <row r="174" spans="1:12" hidden="1" x14ac:dyDescent="0.3">
      <c r="A174">
        <v>2607509</v>
      </c>
      <c r="B174">
        <v>20251205</v>
      </c>
      <c r="D174">
        <v>10739.632468443198</v>
      </c>
      <c r="E174" s="123" t="s">
        <v>1566</v>
      </c>
      <c r="F174" s="123" t="s">
        <v>1582</v>
      </c>
      <c r="G174" s="123"/>
      <c r="H174" s="95">
        <v>45996</v>
      </c>
      <c r="J174" s="123"/>
      <c r="K174" s="123"/>
      <c r="L174" s="123" t="e">
        <f>VLOOKUP(Fact_AUM_FyoCapital[[#This Row],[Dim_Empresas.CUIT]],'clientes SQL'!C:D,2,0)</f>
        <v>#N/A</v>
      </c>
    </row>
    <row r="175" spans="1:12" hidden="1" x14ac:dyDescent="0.3">
      <c r="A175">
        <v>1886197</v>
      </c>
      <c r="B175">
        <v>20251205</v>
      </c>
      <c r="C175">
        <v>13158</v>
      </c>
      <c r="D175">
        <v>9645.0258415147255</v>
      </c>
      <c r="E175" s="123" t="s">
        <v>1568</v>
      </c>
      <c r="F175" s="123" t="s">
        <v>1572</v>
      </c>
      <c r="G175" s="123" t="s">
        <v>1570</v>
      </c>
      <c r="H175" s="95">
        <v>45996</v>
      </c>
      <c r="I175">
        <v>36348</v>
      </c>
      <c r="J175" s="123" t="s">
        <v>536</v>
      </c>
      <c r="K175" s="123" t="s">
        <v>1007</v>
      </c>
      <c r="L175" s="123" t="e">
        <f>VLOOKUP(Fact_AUM_FyoCapital[[#This Row],[Dim_Empresas.CUIT]],'clientes SQL'!C:D,2,0)</f>
        <v>#N/A</v>
      </c>
    </row>
    <row r="176" spans="1:12" hidden="1" x14ac:dyDescent="0.3">
      <c r="A176">
        <v>1882897</v>
      </c>
      <c r="B176">
        <v>20251205</v>
      </c>
      <c r="C176">
        <v>5975</v>
      </c>
      <c r="D176">
        <v>0</v>
      </c>
      <c r="E176" s="123"/>
      <c r="F176" s="123"/>
      <c r="G176" s="123"/>
      <c r="H176" s="95">
        <v>45996</v>
      </c>
      <c r="I176">
        <v>31332</v>
      </c>
      <c r="J176" s="123" t="s">
        <v>541</v>
      </c>
      <c r="K176" s="123" t="s">
        <v>955</v>
      </c>
      <c r="L176" s="123" t="e">
        <f>VLOOKUP(Fact_AUM_FyoCapital[[#This Row],[Dim_Empresas.CUIT]],'clientes SQL'!C:D,2,0)</f>
        <v>#N/A</v>
      </c>
    </row>
    <row r="177" spans="1:12" hidden="1" x14ac:dyDescent="0.3">
      <c r="A177">
        <v>1860397</v>
      </c>
      <c r="B177">
        <v>20251205</v>
      </c>
      <c r="C177">
        <v>10</v>
      </c>
      <c r="D177">
        <v>191771.95161290321</v>
      </c>
      <c r="E177" s="123" t="s">
        <v>1568</v>
      </c>
      <c r="F177" s="123" t="s">
        <v>1572</v>
      </c>
      <c r="G177" s="123" t="s">
        <v>1570</v>
      </c>
      <c r="H177" s="95">
        <v>45996</v>
      </c>
      <c r="I177">
        <v>375</v>
      </c>
      <c r="J177" s="123" t="s">
        <v>945</v>
      </c>
      <c r="K177" s="123" t="s">
        <v>946</v>
      </c>
      <c r="L177" s="123" t="e">
        <f>VLOOKUP(Fact_AUM_FyoCapital[[#This Row],[Dim_Empresas.CUIT]],'clientes SQL'!C:D,2,0)</f>
        <v>#N/A</v>
      </c>
    </row>
    <row r="178" spans="1:12" hidden="1" x14ac:dyDescent="0.3">
      <c r="A178">
        <v>1876897</v>
      </c>
      <c r="B178">
        <v>20251205</v>
      </c>
      <c r="C178">
        <v>1523</v>
      </c>
      <c r="D178">
        <v>0</v>
      </c>
      <c r="E178" s="123"/>
      <c r="F178" s="123"/>
      <c r="G178" s="123"/>
      <c r="H178" s="95">
        <v>45996</v>
      </c>
      <c r="I178">
        <v>20093</v>
      </c>
      <c r="J178" s="123" t="s">
        <v>987</v>
      </c>
      <c r="K178" s="123" t="s">
        <v>988</v>
      </c>
      <c r="L178" s="123" t="e">
        <f>VLOOKUP(Fact_AUM_FyoCapital[[#This Row],[Dim_Empresas.CUIT]],'clientes SQL'!C:D,2,0)</f>
        <v>#N/A</v>
      </c>
    </row>
    <row r="179" spans="1:12" hidden="1" x14ac:dyDescent="0.3">
      <c r="A179">
        <v>2609489</v>
      </c>
      <c r="B179">
        <v>20251205</v>
      </c>
      <c r="C179">
        <v>5673</v>
      </c>
      <c r="D179">
        <v>0.93776297335203362</v>
      </c>
      <c r="E179" s="123" t="s">
        <v>1563</v>
      </c>
      <c r="F179" s="123" t="s">
        <v>185</v>
      </c>
      <c r="G179" s="123"/>
      <c r="H179" s="95">
        <v>45996</v>
      </c>
      <c r="I179">
        <v>33912</v>
      </c>
      <c r="J179" s="123" t="s">
        <v>248</v>
      </c>
      <c r="K179" s="123" t="s">
        <v>1022</v>
      </c>
      <c r="L179" s="123" t="e">
        <f>VLOOKUP(Fact_AUM_FyoCapital[[#This Row],[Dim_Empresas.CUIT]],'clientes SQL'!C:D,2,0)</f>
        <v>#N/A</v>
      </c>
    </row>
    <row r="180" spans="1:12" hidden="1" x14ac:dyDescent="0.3">
      <c r="A180">
        <v>2642249</v>
      </c>
      <c r="B180">
        <v>20251205</v>
      </c>
      <c r="C180">
        <v>1240</v>
      </c>
      <c r="D180">
        <v>1217.93</v>
      </c>
      <c r="E180" s="123" t="s">
        <v>1563</v>
      </c>
      <c r="F180" s="123" t="s">
        <v>950</v>
      </c>
      <c r="G180" s="123"/>
      <c r="H180" s="95">
        <v>45996</v>
      </c>
      <c r="I180">
        <v>19320</v>
      </c>
      <c r="J180" s="123" t="s">
        <v>388</v>
      </c>
      <c r="K180" s="123" t="s">
        <v>974</v>
      </c>
      <c r="L180" s="123" t="e">
        <f>VLOOKUP(Fact_AUM_FyoCapital[[#This Row],[Dim_Empresas.CUIT]],'clientes SQL'!C:D,2,0)</f>
        <v>#N/A</v>
      </c>
    </row>
    <row r="181" spans="1:12" hidden="1" x14ac:dyDescent="0.3">
      <c r="A181">
        <v>2633189</v>
      </c>
      <c r="B181">
        <v>20251205</v>
      </c>
      <c r="C181">
        <v>5975</v>
      </c>
      <c r="D181">
        <v>-2.2440392706872371E-4</v>
      </c>
      <c r="E181" s="123" t="s">
        <v>1563</v>
      </c>
      <c r="F181" s="123" t="s">
        <v>185</v>
      </c>
      <c r="G181" s="123"/>
      <c r="H181" s="95">
        <v>45996</v>
      </c>
      <c r="I181">
        <v>31332</v>
      </c>
      <c r="J181" s="123" t="s">
        <v>541</v>
      </c>
      <c r="K181" s="123" t="s">
        <v>955</v>
      </c>
      <c r="L181" s="123" t="e">
        <f>VLOOKUP(Fact_AUM_FyoCapital[[#This Row],[Dim_Empresas.CUIT]],'clientes SQL'!C:D,2,0)</f>
        <v>#N/A</v>
      </c>
    </row>
    <row r="182" spans="1:12" hidden="1" x14ac:dyDescent="0.3">
      <c r="A182">
        <v>2617949</v>
      </c>
      <c r="B182">
        <v>20251205</v>
      </c>
      <c r="C182">
        <v>10037</v>
      </c>
      <c r="D182">
        <v>0.23593267882187938</v>
      </c>
      <c r="E182" s="123" t="s">
        <v>1563</v>
      </c>
      <c r="F182" s="123" t="s">
        <v>185</v>
      </c>
      <c r="G182" s="123"/>
      <c r="H182" s="95">
        <v>45996</v>
      </c>
      <c r="I182">
        <v>9195</v>
      </c>
      <c r="J182" s="123" t="s">
        <v>307</v>
      </c>
      <c r="K182" s="123" t="s">
        <v>952</v>
      </c>
      <c r="L182" s="123" t="e">
        <f>VLOOKUP(Fact_AUM_FyoCapital[[#This Row],[Dim_Empresas.CUIT]],'clientes SQL'!C:D,2,0)</f>
        <v>#N/A</v>
      </c>
    </row>
    <row r="183" spans="1:12" hidden="1" x14ac:dyDescent="0.3">
      <c r="A183">
        <v>2606609</v>
      </c>
      <c r="B183">
        <v>20251205</v>
      </c>
      <c r="C183">
        <v>13817</v>
      </c>
      <c r="D183">
        <v>40.275813464235625</v>
      </c>
      <c r="E183" s="123" t="s">
        <v>1568</v>
      </c>
      <c r="F183" s="123" t="s">
        <v>1572</v>
      </c>
      <c r="G183" s="123" t="s">
        <v>1574</v>
      </c>
      <c r="H183" s="95">
        <v>45996</v>
      </c>
      <c r="I183">
        <v>36965</v>
      </c>
      <c r="J183" s="123" t="s">
        <v>628</v>
      </c>
      <c r="K183" s="123" t="s">
        <v>1009</v>
      </c>
      <c r="L183" s="123" t="e">
        <f>VLOOKUP(Fact_AUM_FyoCapital[[#This Row],[Dim_Empresas.CUIT]],'clientes SQL'!C:D,2,0)</f>
        <v>#N/A</v>
      </c>
    </row>
    <row r="184" spans="1:12" hidden="1" x14ac:dyDescent="0.3">
      <c r="A184">
        <v>1849537</v>
      </c>
      <c r="B184">
        <v>20251205</v>
      </c>
      <c r="C184">
        <v>1</v>
      </c>
      <c r="D184">
        <v>361219.10593267879</v>
      </c>
      <c r="E184" s="123" t="s">
        <v>1568</v>
      </c>
      <c r="F184" s="123" t="s">
        <v>1572</v>
      </c>
      <c r="G184" s="123" t="s">
        <v>1584</v>
      </c>
      <c r="H184" s="95">
        <v>45996</v>
      </c>
      <c r="I184">
        <v>5603</v>
      </c>
      <c r="J184" s="123" t="s">
        <v>943</v>
      </c>
      <c r="K184" s="123" t="s">
        <v>944</v>
      </c>
      <c r="L184" s="123" t="e">
        <f>VLOOKUP(Fact_AUM_FyoCapital[[#This Row],[Dim_Empresas.CUIT]],'clientes SQL'!C:D,2,0)</f>
        <v>#N/A</v>
      </c>
    </row>
    <row r="185" spans="1:12" hidden="1" x14ac:dyDescent="0.3">
      <c r="A185">
        <v>1878397</v>
      </c>
      <c r="B185">
        <v>20251205</v>
      </c>
      <c r="C185">
        <v>1522</v>
      </c>
      <c r="D185">
        <v>4039.2706872370268</v>
      </c>
      <c r="E185" s="123" t="s">
        <v>1566</v>
      </c>
      <c r="F185" s="123" t="s">
        <v>1573</v>
      </c>
      <c r="G185" s="123"/>
      <c r="H185" s="95">
        <v>45996</v>
      </c>
      <c r="I185">
        <v>20094</v>
      </c>
      <c r="J185" s="123" t="s">
        <v>488</v>
      </c>
      <c r="K185" s="123" t="s">
        <v>1050</v>
      </c>
      <c r="L185" s="123" t="e">
        <f>VLOOKUP(Fact_AUM_FyoCapital[[#This Row],[Dim_Empresas.CUIT]],'clientes SQL'!C:D,2,0)</f>
        <v>#N/A</v>
      </c>
    </row>
    <row r="186" spans="1:12" hidden="1" x14ac:dyDescent="0.3">
      <c r="A186">
        <v>1874737</v>
      </c>
      <c r="B186">
        <v>20251205</v>
      </c>
      <c r="C186">
        <v>519</v>
      </c>
      <c r="D186">
        <v>44801.023842917253</v>
      </c>
      <c r="E186" s="123" t="s">
        <v>1568</v>
      </c>
      <c r="F186" s="123" t="s">
        <v>1572</v>
      </c>
      <c r="G186" s="123" t="s">
        <v>1570</v>
      </c>
      <c r="H186" s="95">
        <v>45996</v>
      </c>
      <c r="I186">
        <v>8959</v>
      </c>
      <c r="J186" s="123" t="s">
        <v>330</v>
      </c>
      <c r="K186" s="123" t="s">
        <v>960</v>
      </c>
      <c r="L186" s="123" t="e">
        <f>VLOOKUP(Fact_AUM_FyoCapital[[#This Row],[Dim_Empresas.CUIT]],'clientes SQL'!C:D,2,0)</f>
        <v>#N/A</v>
      </c>
    </row>
    <row r="187" spans="1:12" hidden="1" x14ac:dyDescent="0.3">
      <c r="A187">
        <v>2621069</v>
      </c>
      <c r="B187">
        <v>20251205</v>
      </c>
      <c r="C187">
        <v>1</v>
      </c>
      <c r="D187">
        <v>67788.67</v>
      </c>
      <c r="E187" s="123" t="s">
        <v>1563</v>
      </c>
      <c r="F187" s="123" t="s">
        <v>801</v>
      </c>
      <c r="G187" s="123"/>
      <c r="H187" s="95">
        <v>45996</v>
      </c>
      <c r="I187">
        <v>5603</v>
      </c>
      <c r="J187" s="123" t="s">
        <v>943</v>
      </c>
      <c r="K187" s="123" t="s">
        <v>944</v>
      </c>
      <c r="L187" s="123" t="e">
        <f>VLOOKUP(Fact_AUM_FyoCapital[[#This Row],[Dim_Empresas.CUIT]],'clientes SQL'!C:D,2,0)</f>
        <v>#N/A</v>
      </c>
    </row>
    <row r="188" spans="1:12" hidden="1" x14ac:dyDescent="0.3">
      <c r="A188">
        <v>2599649</v>
      </c>
      <c r="B188">
        <v>20251205</v>
      </c>
      <c r="C188">
        <v>12717</v>
      </c>
      <c r="D188">
        <v>102.04788218793828</v>
      </c>
      <c r="E188" s="123" t="s">
        <v>1568</v>
      </c>
      <c r="F188" s="123" t="s">
        <v>1572</v>
      </c>
      <c r="G188" s="123" t="s">
        <v>1570</v>
      </c>
      <c r="H188" s="95">
        <v>45996</v>
      </c>
      <c r="I188">
        <v>35959</v>
      </c>
      <c r="J188" s="123" t="s">
        <v>1101</v>
      </c>
      <c r="K188" s="123" t="s">
        <v>1102</v>
      </c>
      <c r="L188" s="123" t="e">
        <f>VLOOKUP(Fact_AUM_FyoCapital[[#This Row],[Dim_Empresas.CUIT]],'clientes SQL'!C:D,2,0)</f>
        <v>#N/A</v>
      </c>
    </row>
    <row r="189" spans="1:12" hidden="1" x14ac:dyDescent="0.3">
      <c r="A189">
        <v>2096920</v>
      </c>
      <c r="B189">
        <v>20251205</v>
      </c>
      <c r="C189">
        <v>1944</v>
      </c>
      <c r="D189">
        <v>2616.2823071528751</v>
      </c>
      <c r="E189" s="123" t="s">
        <v>1564</v>
      </c>
      <c r="F189" s="123" t="s">
        <v>1565</v>
      </c>
      <c r="G189" s="123"/>
      <c r="H189" s="95">
        <v>45996</v>
      </c>
      <c r="I189">
        <v>19333</v>
      </c>
      <c r="J189" s="123" t="s">
        <v>570</v>
      </c>
      <c r="K189" s="123" t="s">
        <v>948</v>
      </c>
      <c r="L189" s="123" t="e">
        <f>VLOOKUP(Fact_AUM_FyoCapital[[#This Row],[Dim_Empresas.CUIT]],'clientes SQL'!C:D,2,0)</f>
        <v>#N/A</v>
      </c>
    </row>
    <row r="190" spans="1:12" hidden="1" x14ac:dyDescent="0.3">
      <c r="A190">
        <v>1884877</v>
      </c>
      <c r="B190">
        <v>20251205</v>
      </c>
      <c r="C190">
        <v>1750</v>
      </c>
      <c r="D190">
        <v>741.69</v>
      </c>
      <c r="E190" s="123" t="s">
        <v>1568</v>
      </c>
      <c r="F190" s="123" t="s">
        <v>1572</v>
      </c>
      <c r="G190" s="123" t="s">
        <v>1570</v>
      </c>
      <c r="H190" s="95">
        <v>45996</v>
      </c>
      <c r="I190">
        <v>20554</v>
      </c>
      <c r="J190" s="123" t="s">
        <v>505</v>
      </c>
      <c r="K190" s="123" t="s">
        <v>973</v>
      </c>
      <c r="L190" s="123" t="e">
        <f>VLOOKUP(Fact_AUM_FyoCapital[[#This Row],[Dim_Empresas.CUIT]],'clientes SQL'!C:D,2,0)</f>
        <v>#N/A</v>
      </c>
    </row>
    <row r="191" spans="1:12" hidden="1" x14ac:dyDescent="0.3">
      <c r="A191">
        <v>1889797</v>
      </c>
      <c r="B191">
        <v>20251205</v>
      </c>
      <c r="C191">
        <v>393</v>
      </c>
      <c r="D191">
        <v>142216.36395511922</v>
      </c>
      <c r="E191" s="123" t="s">
        <v>1566</v>
      </c>
      <c r="F191" s="123" t="s">
        <v>1573</v>
      </c>
      <c r="G191" s="123"/>
      <c r="H191" s="95">
        <v>45996</v>
      </c>
      <c r="I191">
        <v>1169</v>
      </c>
      <c r="J191" s="123" t="s">
        <v>941</v>
      </c>
      <c r="K191" s="123" t="s">
        <v>942</v>
      </c>
      <c r="L191" s="123" t="e">
        <f>VLOOKUP(Fact_AUM_FyoCapital[[#This Row],[Dim_Empresas.CUIT]],'clientes SQL'!C:D,2,0)</f>
        <v>#N/A</v>
      </c>
    </row>
    <row r="192" spans="1:12" hidden="1" x14ac:dyDescent="0.3">
      <c r="A192">
        <v>1849237</v>
      </c>
      <c r="B192">
        <v>20251205</v>
      </c>
      <c r="C192">
        <v>1</v>
      </c>
      <c r="D192">
        <v>484046.28330995794</v>
      </c>
      <c r="E192" s="123" t="s">
        <v>1566</v>
      </c>
      <c r="F192" s="123" t="s">
        <v>1571</v>
      </c>
      <c r="G192" s="123"/>
      <c r="H192" s="95">
        <v>45996</v>
      </c>
      <c r="I192">
        <v>5603</v>
      </c>
      <c r="J192" s="123" t="s">
        <v>943</v>
      </c>
      <c r="K192" s="123" t="s">
        <v>944</v>
      </c>
      <c r="L192" s="123" t="e">
        <f>VLOOKUP(Fact_AUM_FyoCapital[[#This Row],[Dim_Empresas.CUIT]],'clientes SQL'!C:D,2,0)</f>
        <v>#N/A</v>
      </c>
    </row>
    <row r="193" spans="1:12" hidden="1" x14ac:dyDescent="0.3">
      <c r="A193">
        <v>2633249</v>
      </c>
      <c r="B193">
        <v>20251205</v>
      </c>
      <c r="C193">
        <v>5975</v>
      </c>
      <c r="D193">
        <v>-1332.4</v>
      </c>
      <c r="E193" s="123" t="s">
        <v>1563</v>
      </c>
      <c r="F193" s="123" t="s">
        <v>801</v>
      </c>
      <c r="G193" s="123"/>
      <c r="H193" s="95">
        <v>45996</v>
      </c>
      <c r="I193">
        <v>31332</v>
      </c>
      <c r="J193" s="123" t="s">
        <v>541</v>
      </c>
      <c r="K193" s="123" t="s">
        <v>955</v>
      </c>
      <c r="L193" s="123" t="e">
        <f>VLOOKUP(Fact_AUM_FyoCapital[[#This Row],[Dim_Empresas.CUIT]],'clientes SQL'!C:D,2,0)</f>
        <v>#N/A</v>
      </c>
    </row>
    <row r="194" spans="1:12" hidden="1" x14ac:dyDescent="0.3">
      <c r="A194">
        <v>2629889</v>
      </c>
      <c r="B194">
        <v>20251205</v>
      </c>
      <c r="C194">
        <v>3051</v>
      </c>
      <c r="D194">
        <v>158.85196353436186</v>
      </c>
      <c r="E194" s="123" t="s">
        <v>1563</v>
      </c>
      <c r="F194" s="123" t="s">
        <v>185</v>
      </c>
      <c r="G194" s="123"/>
      <c r="H194" s="95">
        <v>45996</v>
      </c>
      <c r="I194">
        <v>31447</v>
      </c>
      <c r="J194" s="123" t="s">
        <v>1492</v>
      </c>
      <c r="K194" s="123" t="s">
        <v>1493</v>
      </c>
      <c r="L194" s="123" t="e">
        <f>VLOOKUP(Fact_AUM_FyoCapital[[#This Row],[Dim_Empresas.CUIT]],'clientes SQL'!C:D,2,0)</f>
        <v>#N/A</v>
      </c>
    </row>
    <row r="195" spans="1:12" hidden="1" x14ac:dyDescent="0.3">
      <c r="A195">
        <v>1502944</v>
      </c>
      <c r="B195">
        <v>20251205</v>
      </c>
      <c r="C195">
        <v>1523</v>
      </c>
      <c r="D195">
        <v>90010.9</v>
      </c>
      <c r="E195" s="123" t="s">
        <v>1564</v>
      </c>
      <c r="F195" s="123" t="s">
        <v>1581</v>
      </c>
      <c r="G195" s="123"/>
      <c r="H195" s="95">
        <v>45996</v>
      </c>
      <c r="I195">
        <v>20093</v>
      </c>
      <c r="J195" s="123" t="s">
        <v>987</v>
      </c>
      <c r="K195" s="123" t="s">
        <v>988</v>
      </c>
      <c r="L195" s="123" t="e">
        <f>VLOOKUP(Fact_AUM_FyoCapital[[#This Row],[Dim_Empresas.CUIT]],'clientes SQL'!C:D,2,0)</f>
        <v>#N/A</v>
      </c>
    </row>
    <row r="196" spans="1:12" hidden="1" x14ac:dyDescent="0.3">
      <c r="A196">
        <v>2601629</v>
      </c>
      <c r="B196">
        <v>20251205</v>
      </c>
      <c r="C196">
        <v>783</v>
      </c>
      <c r="D196">
        <v>186854.58115708275</v>
      </c>
      <c r="E196" s="123" t="s">
        <v>1566</v>
      </c>
      <c r="F196" s="123" t="s">
        <v>1571</v>
      </c>
      <c r="G196" s="123"/>
      <c r="H196" s="95">
        <v>45996</v>
      </c>
      <c r="I196">
        <v>15348</v>
      </c>
      <c r="J196" s="123" t="s">
        <v>384</v>
      </c>
      <c r="K196" s="123" t="s">
        <v>998</v>
      </c>
      <c r="L196" s="123">
        <f>VLOOKUP(Fact_AUM_FyoCapital[[#This Row],[Dim_Empresas.CUIT]],'clientes SQL'!C:D,2,0)</f>
        <v>13010</v>
      </c>
    </row>
    <row r="197" spans="1:12" hidden="1" x14ac:dyDescent="0.3">
      <c r="A197">
        <v>2601809</v>
      </c>
      <c r="B197">
        <v>20251205</v>
      </c>
      <c r="C197">
        <v>783</v>
      </c>
      <c r="D197">
        <v>345.72665497896213</v>
      </c>
      <c r="E197" s="123" t="s">
        <v>1568</v>
      </c>
      <c r="F197" s="123" t="s">
        <v>1572</v>
      </c>
      <c r="G197" s="123" t="s">
        <v>1570</v>
      </c>
      <c r="H197" s="95">
        <v>45996</v>
      </c>
      <c r="I197">
        <v>15348</v>
      </c>
      <c r="J197" s="123" t="s">
        <v>384</v>
      </c>
      <c r="K197" s="123" t="s">
        <v>998</v>
      </c>
      <c r="L197" s="123">
        <f>VLOOKUP(Fact_AUM_FyoCapital[[#This Row],[Dim_Empresas.CUIT]],'clientes SQL'!C:D,2,0)</f>
        <v>13010</v>
      </c>
    </row>
    <row r="198" spans="1:12" hidden="1" x14ac:dyDescent="0.3">
      <c r="A198">
        <v>2637389</v>
      </c>
      <c r="B198">
        <v>20251205</v>
      </c>
      <c r="C198">
        <v>4955</v>
      </c>
      <c r="D198">
        <v>1.8934081346423564E-4</v>
      </c>
      <c r="E198" s="123" t="s">
        <v>1563</v>
      </c>
      <c r="F198" s="123" t="s">
        <v>185</v>
      </c>
      <c r="G198" s="123"/>
      <c r="H198" s="95">
        <v>45996</v>
      </c>
      <c r="I198">
        <v>32964</v>
      </c>
      <c r="J198" s="123" t="s">
        <v>527</v>
      </c>
      <c r="K198" s="123" t="s">
        <v>981</v>
      </c>
      <c r="L198" s="123" t="e">
        <f>VLOOKUP(Fact_AUM_FyoCapital[[#This Row],[Dim_Empresas.CUIT]],'clientes SQL'!C:D,2,0)</f>
        <v>#N/A</v>
      </c>
    </row>
    <row r="199" spans="1:12" hidden="1" x14ac:dyDescent="0.3">
      <c r="A199">
        <v>1833697</v>
      </c>
      <c r="B199">
        <v>20251205</v>
      </c>
      <c r="C199">
        <v>14834</v>
      </c>
      <c r="D199">
        <v>102287.25946704067</v>
      </c>
      <c r="E199" s="123" t="s">
        <v>1566</v>
      </c>
      <c r="F199" s="123" t="s">
        <v>1571</v>
      </c>
      <c r="G199" s="123"/>
      <c r="H199" s="95">
        <v>45996</v>
      </c>
      <c r="I199">
        <v>37055</v>
      </c>
      <c r="J199" s="123" t="s">
        <v>956</v>
      </c>
      <c r="K199" s="123" t="s">
        <v>957</v>
      </c>
      <c r="L199" s="123" t="e">
        <f>VLOOKUP(Fact_AUM_FyoCapital[[#This Row],[Dim_Empresas.CUIT]],'clientes SQL'!C:D,2,0)</f>
        <v>#N/A</v>
      </c>
    </row>
    <row r="200" spans="1:12" hidden="1" x14ac:dyDescent="0.3">
      <c r="A200">
        <v>2625029</v>
      </c>
      <c r="B200">
        <v>20251205</v>
      </c>
      <c r="C200">
        <v>1105</v>
      </c>
      <c r="D200">
        <v>-3.9901823281907438E-3</v>
      </c>
      <c r="E200" s="123" t="s">
        <v>1563</v>
      </c>
      <c r="F200" s="123" t="s">
        <v>185</v>
      </c>
      <c r="G200" s="123"/>
      <c r="H200" s="95">
        <v>45996</v>
      </c>
      <c r="I200">
        <v>18797</v>
      </c>
      <c r="J200" s="123" t="s">
        <v>298</v>
      </c>
      <c r="K200" s="123" t="s">
        <v>1062</v>
      </c>
      <c r="L200" s="123" t="e">
        <f>VLOOKUP(Fact_AUM_FyoCapital[[#This Row],[Dim_Empresas.CUIT]],'clientes SQL'!C:D,2,0)</f>
        <v>#N/A</v>
      </c>
    </row>
    <row r="201" spans="1:12" hidden="1" x14ac:dyDescent="0.3">
      <c r="A201">
        <v>1837777</v>
      </c>
      <c r="B201">
        <v>20251205</v>
      </c>
      <c r="C201">
        <v>2207</v>
      </c>
      <c r="D201">
        <v>626.60979663394107</v>
      </c>
      <c r="E201" s="123" t="s">
        <v>1568</v>
      </c>
      <c r="F201" s="123" t="s">
        <v>1572</v>
      </c>
      <c r="G201" s="123" t="s">
        <v>1574</v>
      </c>
      <c r="H201" s="95">
        <v>45996</v>
      </c>
      <c r="I201">
        <v>30215</v>
      </c>
      <c r="J201" s="123" t="s">
        <v>324</v>
      </c>
      <c r="K201" s="123" t="s">
        <v>1012</v>
      </c>
      <c r="L201" s="123" t="e">
        <f>VLOOKUP(Fact_AUM_FyoCapital[[#This Row],[Dim_Empresas.CUIT]],'clientes SQL'!C:D,2,0)</f>
        <v>#N/A</v>
      </c>
    </row>
    <row r="202" spans="1:12" hidden="1" x14ac:dyDescent="0.3">
      <c r="A202">
        <v>1898077</v>
      </c>
      <c r="B202">
        <v>20251205</v>
      </c>
      <c r="C202">
        <v>12855</v>
      </c>
      <c r="D202">
        <v>23551.86</v>
      </c>
      <c r="E202" s="123" t="s">
        <v>1566</v>
      </c>
      <c r="F202" s="123" t="s">
        <v>1578</v>
      </c>
      <c r="G202" s="123"/>
      <c r="H202" s="95">
        <v>45996</v>
      </c>
      <c r="I202">
        <v>36077</v>
      </c>
      <c r="J202" s="123" t="s">
        <v>563</v>
      </c>
      <c r="K202" s="123" t="s">
        <v>969</v>
      </c>
      <c r="L202" s="123" t="e">
        <f>VLOOKUP(Fact_AUM_FyoCapital[[#This Row],[Dim_Empresas.CUIT]],'clientes SQL'!C:D,2,0)</f>
        <v>#N/A</v>
      </c>
    </row>
    <row r="203" spans="1:12" hidden="1" x14ac:dyDescent="0.3">
      <c r="A203">
        <v>1877917</v>
      </c>
      <c r="B203">
        <v>20251205</v>
      </c>
      <c r="C203">
        <v>1523</v>
      </c>
      <c r="D203">
        <v>18042.286115007013</v>
      </c>
      <c r="E203" s="123" t="s">
        <v>1566</v>
      </c>
      <c r="F203" s="123" t="s">
        <v>1573</v>
      </c>
      <c r="G203" s="123"/>
      <c r="H203" s="95">
        <v>45996</v>
      </c>
      <c r="I203">
        <v>20093</v>
      </c>
      <c r="J203" s="123" t="s">
        <v>987</v>
      </c>
      <c r="K203" s="123" t="s">
        <v>988</v>
      </c>
      <c r="L203" s="123" t="e">
        <f>VLOOKUP(Fact_AUM_FyoCapital[[#This Row],[Dim_Empresas.CUIT]],'clientes SQL'!C:D,2,0)</f>
        <v>#N/A</v>
      </c>
    </row>
    <row r="204" spans="1:12" hidden="1" x14ac:dyDescent="0.3">
      <c r="A204">
        <v>1874557</v>
      </c>
      <c r="B204">
        <v>20251205</v>
      </c>
      <c r="C204">
        <v>519</v>
      </c>
      <c r="D204">
        <v>4362.9032258064517</v>
      </c>
      <c r="E204" s="123" t="s">
        <v>1566</v>
      </c>
      <c r="F204" s="123" t="s">
        <v>1573</v>
      </c>
      <c r="G204" s="123"/>
      <c r="H204" s="95">
        <v>45996</v>
      </c>
      <c r="I204">
        <v>8959</v>
      </c>
      <c r="J204" s="123" t="s">
        <v>330</v>
      </c>
      <c r="K204" s="123" t="s">
        <v>960</v>
      </c>
      <c r="L204" s="123" t="e">
        <f>VLOOKUP(Fact_AUM_FyoCapital[[#This Row],[Dim_Empresas.CUIT]],'clientes SQL'!C:D,2,0)</f>
        <v>#N/A</v>
      </c>
    </row>
    <row r="205" spans="1:12" hidden="1" x14ac:dyDescent="0.3">
      <c r="A205">
        <v>1868137</v>
      </c>
      <c r="B205">
        <v>20251205</v>
      </c>
      <c r="C205">
        <v>369</v>
      </c>
      <c r="D205">
        <v>263465.78501402523</v>
      </c>
      <c r="E205" s="123" t="s">
        <v>1566</v>
      </c>
      <c r="F205" s="123" t="s">
        <v>1571</v>
      </c>
      <c r="G205" s="123"/>
      <c r="H205" s="95">
        <v>45996</v>
      </c>
      <c r="I205">
        <v>5848</v>
      </c>
      <c r="J205" s="123" t="s">
        <v>446</v>
      </c>
      <c r="K205" s="123" t="s">
        <v>965</v>
      </c>
      <c r="L205" s="123" t="e">
        <f>VLOOKUP(Fact_AUM_FyoCapital[[#This Row],[Dim_Empresas.CUIT]],'clientes SQL'!C:D,2,0)</f>
        <v>#N/A</v>
      </c>
    </row>
    <row r="206" spans="1:12" hidden="1" x14ac:dyDescent="0.3">
      <c r="A206">
        <v>1882357</v>
      </c>
      <c r="B206">
        <v>20251205</v>
      </c>
      <c r="C206">
        <v>633</v>
      </c>
      <c r="D206">
        <v>432592.07610799436</v>
      </c>
      <c r="E206" s="123" t="s">
        <v>1568</v>
      </c>
      <c r="F206" s="123" t="s">
        <v>1572</v>
      </c>
      <c r="G206" s="123" t="s">
        <v>1583</v>
      </c>
      <c r="H206" s="95">
        <v>45996</v>
      </c>
      <c r="I206">
        <v>4875</v>
      </c>
      <c r="J206" s="123" t="s">
        <v>546</v>
      </c>
      <c r="K206" s="123" t="s">
        <v>1023</v>
      </c>
      <c r="L206" s="123" t="e">
        <f>VLOOKUP(Fact_AUM_FyoCapital[[#This Row],[Dim_Empresas.CUIT]],'clientes SQL'!C:D,2,0)</f>
        <v>#N/A</v>
      </c>
    </row>
    <row r="207" spans="1:12" hidden="1" x14ac:dyDescent="0.3">
      <c r="A207">
        <v>1883017</v>
      </c>
      <c r="B207">
        <v>20251205</v>
      </c>
      <c r="C207">
        <v>5975</v>
      </c>
      <c r="D207">
        <v>65802.244039270692</v>
      </c>
      <c r="E207" s="123" t="s">
        <v>1566</v>
      </c>
      <c r="F207" s="123" t="s">
        <v>1580</v>
      </c>
      <c r="G207" s="123"/>
      <c r="H207" s="95">
        <v>45996</v>
      </c>
      <c r="I207">
        <v>31332</v>
      </c>
      <c r="J207" s="123" t="s">
        <v>541</v>
      </c>
      <c r="K207" s="123" t="s">
        <v>955</v>
      </c>
      <c r="L207" s="123" t="e">
        <f>VLOOKUP(Fact_AUM_FyoCapital[[#This Row],[Dim_Empresas.CUIT]],'clientes SQL'!C:D,2,0)</f>
        <v>#N/A</v>
      </c>
    </row>
    <row r="208" spans="1:12" hidden="1" x14ac:dyDescent="0.3">
      <c r="A208">
        <v>1877617</v>
      </c>
      <c r="B208">
        <v>20251205</v>
      </c>
      <c r="C208">
        <v>1523</v>
      </c>
      <c r="D208">
        <v>28977.419354838708</v>
      </c>
      <c r="E208" s="123" t="s">
        <v>1566</v>
      </c>
      <c r="F208" s="123" t="s">
        <v>1579</v>
      </c>
      <c r="G208" s="123"/>
      <c r="H208" s="95">
        <v>45996</v>
      </c>
      <c r="I208">
        <v>20093</v>
      </c>
      <c r="J208" s="123" t="s">
        <v>987</v>
      </c>
      <c r="K208" s="123" t="s">
        <v>988</v>
      </c>
      <c r="L208" s="123" t="e">
        <f>VLOOKUP(Fact_AUM_FyoCapital[[#This Row],[Dim_Empresas.CUIT]],'clientes SQL'!C:D,2,0)</f>
        <v>#N/A</v>
      </c>
    </row>
    <row r="209" spans="1:12" hidden="1" x14ac:dyDescent="0.3">
      <c r="A209">
        <v>2606669</v>
      </c>
      <c r="B209">
        <v>20251205</v>
      </c>
      <c r="C209">
        <v>13817</v>
      </c>
      <c r="D209">
        <v>6.87</v>
      </c>
      <c r="E209" s="123" t="s">
        <v>1568</v>
      </c>
      <c r="F209" s="123" t="s">
        <v>1572</v>
      </c>
      <c r="G209" s="123" t="s">
        <v>1584</v>
      </c>
      <c r="H209" s="95">
        <v>45996</v>
      </c>
      <c r="I209">
        <v>36965</v>
      </c>
      <c r="J209" s="123" t="s">
        <v>628</v>
      </c>
      <c r="K209" s="123" t="s">
        <v>1009</v>
      </c>
      <c r="L209" s="123" t="e">
        <f>VLOOKUP(Fact_AUM_FyoCapital[[#This Row],[Dim_Empresas.CUIT]],'clientes SQL'!C:D,2,0)</f>
        <v>#N/A</v>
      </c>
    </row>
    <row r="210" spans="1:12" hidden="1" x14ac:dyDescent="0.3">
      <c r="A210">
        <v>1849297</v>
      </c>
      <c r="B210">
        <v>20251205</v>
      </c>
      <c r="C210">
        <v>1</v>
      </c>
      <c r="D210">
        <v>19555.954277699861</v>
      </c>
      <c r="E210" s="123" t="s">
        <v>1568</v>
      </c>
      <c r="F210" s="123" t="s">
        <v>1572</v>
      </c>
      <c r="G210" s="123" t="s">
        <v>1570</v>
      </c>
      <c r="H210" s="95">
        <v>45996</v>
      </c>
      <c r="I210">
        <v>5603</v>
      </c>
      <c r="J210" s="123" t="s">
        <v>943</v>
      </c>
      <c r="K210" s="123" t="s">
        <v>944</v>
      </c>
      <c r="L210" s="123" t="e">
        <f>VLOOKUP(Fact_AUM_FyoCapital[[#This Row],[Dim_Empresas.CUIT]],'clientes SQL'!C:D,2,0)</f>
        <v>#N/A</v>
      </c>
    </row>
    <row r="211" spans="1:12" hidden="1" x14ac:dyDescent="0.3">
      <c r="A211">
        <v>1879237</v>
      </c>
      <c r="B211">
        <v>20251205</v>
      </c>
      <c r="C211">
        <v>106</v>
      </c>
      <c r="D211">
        <v>263.35066619915847</v>
      </c>
      <c r="E211" s="123" t="s">
        <v>1568</v>
      </c>
      <c r="F211" s="123" t="s">
        <v>1572</v>
      </c>
      <c r="G211" s="123" t="s">
        <v>1574</v>
      </c>
      <c r="H211" s="95">
        <v>45996</v>
      </c>
      <c r="I211">
        <v>6149</v>
      </c>
      <c r="J211" s="123" t="s">
        <v>554</v>
      </c>
      <c r="K211" s="123" t="s">
        <v>935</v>
      </c>
      <c r="L211" s="123" t="e">
        <f>VLOOKUP(Fact_AUM_FyoCapital[[#This Row],[Dim_Empresas.CUIT]],'clientes SQL'!C:D,2,0)</f>
        <v>#N/A</v>
      </c>
    </row>
    <row r="212" spans="1:12" hidden="1" x14ac:dyDescent="0.3">
      <c r="A212">
        <v>1829497</v>
      </c>
      <c r="B212">
        <v>20251205</v>
      </c>
      <c r="C212">
        <v>6020</v>
      </c>
      <c r="D212">
        <v>1.4025245441795232E-5</v>
      </c>
      <c r="E212" s="123" t="s">
        <v>1568</v>
      </c>
      <c r="F212" s="123" t="s">
        <v>1572</v>
      </c>
      <c r="G212" s="123" t="s">
        <v>1574</v>
      </c>
      <c r="H212" s="95">
        <v>45996</v>
      </c>
      <c r="I212">
        <v>33531</v>
      </c>
      <c r="J212" s="123" t="s">
        <v>203</v>
      </c>
      <c r="K212" s="123" t="s">
        <v>999</v>
      </c>
      <c r="L212" s="123" t="e">
        <f>VLOOKUP(Fact_AUM_FyoCapital[[#This Row],[Dim_Empresas.CUIT]],'clientes SQL'!C:D,2,0)</f>
        <v>#N/A</v>
      </c>
    </row>
    <row r="213" spans="1:12" hidden="1" x14ac:dyDescent="0.3">
      <c r="A213">
        <v>1874617</v>
      </c>
      <c r="B213">
        <v>20251205</v>
      </c>
      <c r="C213">
        <v>519</v>
      </c>
      <c r="D213">
        <v>17269.77559607293</v>
      </c>
      <c r="E213" s="123" t="s">
        <v>1566</v>
      </c>
      <c r="F213" s="123" t="s">
        <v>1580</v>
      </c>
      <c r="G213" s="123"/>
      <c r="H213" s="95">
        <v>45996</v>
      </c>
      <c r="I213">
        <v>8959</v>
      </c>
      <c r="J213" s="123" t="s">
        <v>330</v>
      </c>
      <c r="K213" s="123" t="s">
        <v>960</v>
      </c>
      <c r="L213" s="123" t="e">
        <f>VLOOKUP(Fact_AUM_FyoCapital[[#This Row],[Dim_Empresas.CUIT]],'clientes SQL'!C:D,2,0)</f>
        <v>#N/A</v>
      </c>
    </row>
    <row r="214" spans="1:12" hidden="1" x14ac:dyDescent="0.3">
      <c r="A214">
        <v>1849477</v>
      </c>
      <c r="B214">
        <v>20251205</v>
      </c>
      <c r="C214">
        <v>1</v>
      </c>
      <c r="D214">
        <v>820.85341514726508</v>
      </c>
      <c r="E214" s="123" t="s">
        <v>1568</v>
      </c>
      <c r="F214" s="123" t="s">
        <v>1572</v>
      </c>
      <c r="G214" s="123" t="s">
        <v>1574</v>
      </c>
      <c r="H214" s="95">
        <v>45996</v>
      </c>
      <c r="I214">
        <v>5603</v>
      </c>
      <c r="J214" s="123" t="s">
        <v>943</v>
      </c>
      <c r="K214" s="123" t="s">
        <v>944</v>
      </c>
      <c r="L214" s="123" t="e">
        <f>VLOOKUP(Fact_AUM_FyoCapital[[#This Row],[Dim_Empresas.CUIT]],'clientes SQL'!C:D,2,0)</f>
        <v>#N/A</v>
      </c>
    </row>
    <row r="215" spans="1:12" hidden="1" x14ac:dyDescent="0.3">
      <c r="A215">
        <v>2602049</v>
      </c>
      <c r="B215">
        <v>20251205</v>
      </c>
      <c r="C215">
        <v>1240</v>
      </c>
      <c r="D215">
        <v>32844.1</v>
      </c>
      <c r="E215" s="123" t="s">
        <v>1566</v>
      </c>
      <c r="F215" s="123" t="s">
        <v>1571</v>
      </c>
      <c r="G215" s="123"/>
      <c r="H215" s="95">
        <v>45996</v>
      </c>
      <c r="I215">
        <v>19320</v>
      </c>
      <c r="J215" s="123" t="s">
        <v>388</v>
      </c>
      <c r="K215" s="123" t="s">
        <v>974</v>
      </c>
      <c r="L215" s="123" t="e">
        <f>VLOOKUP(Fact_AUM_FyoCapital[[#This Row],[Dim_Empresas.CUIT]],'clientes SQL'!C:D,2,0)</f>
        <v>#N/A</v>
      </c>
    </row>
    <row r="216" spans="1:12" x14ac:dyDescent="0.3">
      <c r="A216">
        <v>2639069</v>
      </c>
      <c r="B216">
        <v>20251205</v>
      </c>
      <c r="C216">
        <v>12923</v>
      </c>
      <c r="D216">
        <v>329.15</v>
      </c>
      <c r="E216" s="123" t="s">
        <v>1563</v>
      </c>
      <c r="F216" s="123" t="s">
        <v>950</v>
      </c>
      <c r="G216" s="123"/>
      <c r="H216" s="95">
        <v>45996</v>
      </c>
      <c r="I216">
        <v>36141</v>
      </c>
      <c r="J216" s="123" t="s">
        <v>694</v>
      </c>
      <c r="K216" s="123" t="s">
        <v>966</v>
      </c>
      <c r="L216" s="123">
        <f>VLOOKUP(Fact_AUM_FyoCapital[[#This Row],[Dim_Empresas.CUIT]],'clientes SQL'!C:D,2,0)</f>
        <v>13007</v>
      </c>
    </row>
    <row r="217" spans="1:12" hidden="1" x14ac:dyDescent="0.3">
      <c r="A217">
        <v>1837177</v>
      </c>
      <c r="B217">
        <v>20251205</v>
      </c>
      <c r="C217">
        <v>626</v>
      </c>
      <c r="D217">
        <v>141325.04908835905</v>
      </c>
      <c r="E217" s="123" t="s">
        <v>1566</v>
      </c>
      <c r="F217" s="123" t="s">
        <v>1573</v>
      </c>
      <c r="G217" s="123"/>
      <c r="H217" s="95">
        <v>45996</v>
      </c>
      <c r="I217">
        <v>580</v>
      </c>
      <c r="J217" s="123" t="s">
        <v>345</v>
      </c>
      <c r="K217" s="123" t="s">
        <v>979</v>
      </c>
      <c r="L217" s="123" t="e">
        <f>VLOOKUP(Fact_AUM_FyoCapital[[#This Row],[Dim_Empresas.CUIT]],'clientes SQL'!C:D,2,0)</f>
        <v>#N/A</v>
      </c>
    </row>
    <row r="218" spans="1:12" hidden="1" x14ac:dyDescent="0.3">
      <c r="A218">
        <v>1895377</v>
      </c>
      <c r="B218">
        <v>20251205</v>
      </c>
      <c r="C218">
        <v>10244</v>
      </c>
      <c r="D218">
        <v>57661</v>
      </c>
      <c r="E218" s="123" t="s">
        <v>1566</v>
      </c>
      <c r="F218" s="123" t="s">
        <v>1571</v>
      </c>
      <c r="G218" s="123"/>
      <c r="H218" s="95">
        <v>45996</v>
      </c>
      <c r="I218">
        <v>35636</v>
      </c>
      <c r="J218" s="123" t="s">
        <v>564</v>
      </c>
      <c r="K218" s="123" t="s">
        <v>1017</v>
      </c>
      <c r="L218" s="123" t="e">
        <f>VLOOKUP(Fact_AUM_FyoCapital[[#This Row],[Dim_Empresas.CUIT]],'clientes SQL'!C:D,2,0)</f>
        <v>#N/A</v>
      </c>
    </row>
    <row r="219" spans="1:12" hidden="1" x14ac:dyDescent="0.3">
      <c r="A219">
        <v>2631749</v>
      </c>
      <c r="B219">
        <v>20251205</v>
      </c>
      <c r="C219">
        <v>1523</v>
      </c>
      <c r="D219">
        <v>0.23</v>
      </c>
      <c r="E219" s="123" t="s">
        <v>1563</v>
      </c>
      <c r="F219" s="123" t="s">
        <v>950</v>
      </c>
      <c r="G219" s="123"/>
      <c r="H219" s="95">
        <v>45996</v>
      </c>
      <c r="I219">
        <v>20093</v>
      </c>
      <c r="J219" s="123" t="s">
        <v>987</v>
      </c>
      <c r="K219" s="123" t="s">
        <v>988</v>
      </c>
      <c r="L219" s="123" t="e">
        <f>VLOOKUP(Fact_AUM_FyoCapital[[#This Row],[Dim_Empresas.CUIT]],'clientes SQL'!C:D,2,0)</f>
        <v>#N/A</v>
      </c>
    </row>
    <row r="220" spans="1:12" hidden="1" x14ac:dyDescent="0.3">
      <c r="A220">
        <v>1875037</v>
      </c>
      <c r="B220">
        <v>20251205</v>
      </c>
      <c r="C220">
        <v>969</v>
      </c>
      <c r="D220">
        <v>348.11009817671811</v>
      </c>
      <c r="E220" s="123" t="s">
        <v>1566</v>
      </c>
      <c r="F220" s="123" t="s">
        <v>1573</v>
      </c>
      <c r="G220" s="123"/>
      <c r="H220" s="95">
        <v>45996</v>
      </c>
      <c r="I220">
        <v>3511</v>
      </c>
      <c r="J220" s="123" t="s">
        <v>989</v>
      </c>
      <c r="K220" s="123" t="s">
        <v>990</v>
      </c>
      <c r="L220" s="123" t="e">
        <f>VLOOKUP(Fact_AUM_FyoCapital[[#This Row],[Dim_Empresas.CUIT]],'clientes SQL'!C:D,2,0)</f>
        <v>#N/A</v>
      </c>
    </row>
    <row r="221" spans="1:12" hidden="1" x14ac:dyDescent="0.3">
      <c r="A221">
        <v>1842097</v>
      </c>
      <c r="B221">
        <v>20251205</v>
      </c>
      <c r="C221">
        <v>1291</v>
      </c>
      <c r="D221">
        <v>12528.913927068725</v>
      </c>
      <c r="E221" s="123" t="s">
        <v>1568</v>
      </c>
      <c r="F221" s="123" t="s">
        <v>1572</v>
      </c>
      <c r="G221" s="123" t="s">
        <v>1574</v>
      </c>
      <c r="H221" s="95">
        <v>45996</v>
      </c>
      <c r="I221">
        <v>19409</v>
      </c>
      <c r="J221" s="123" t="s">
        <v>308</v>
      </c>
      <c r="K221" s="123" t="s">
        <v>954</v>
      </c>
      <c r="L221" s="123" t="e">
        <f>VLOOKUP(Fact_AUM_FyoCapital[[#This Row],[Dim_Empresas.CUIT]],'clientes SQL'!C:D,2,0)</f>
        <v>#N/A</v>
      </c>
    </row>
    <row r="222" spans="1:12" hidden="1" x14ac:dyDescent="0.3">
      <c r="A222">
        <v>2609969</v>
      </c>
      <c r="B222">
        <v>20251205</v>
      </c>
      <c r="C222">
        <v>6020</v>
      </c>
      <c r="D222">
        <v>0</v>
      </c>
      <c r="E222" s="123"/>
      <c r="F222" s="123"/>
      <c r="G222" s="123"/>
      <c r="H222" s="95">
        <v>45996</v>
      </c>
      <c r="I222">
        <v>33531</v>
      </c>
      <c r="J222" s="123" t="s">
        <v>203</v>
      </c>
      <c r="K222" s="123" t="s">
        <v>999</v>
      </c>
      <c r="L222" s="123" t="e">
        <f>VLOOKUP(Fact_AUM_FyoCapital[[#This Row],[Dim_Empresas.CUIT]],'clientes SQL'!C:D,2,0)</f>
        <v>#N/A</v>
      </c>
    </row>
    <row r="223" spans="1:12" hidden="1" x14ac:dyDescent="0.3">
      <c r="A223">
        <v>2618009</v>
      </c>
      <c r="B223">
        <v>20251205</v>
      </c>
      <c r="C223">
        <v>10037</v>
      </c>
      <c r="D223">
        <v>-25.88</v>
      </c>
      <c r="E223" s="123" t="s">
        <v>1563</v>
      </c>
      <c r="F223" s="123" t="s">
        <v>188</v>
      </c>
      <c r="G223" s="123"/>
      <c r="H223" s="95">
        <v>45996</v>
      </c>
      <c r="I223">
        <v>9195</v>
      </c>
      <c r="J223" s="123" t="s">
        <v>307</v>
      </c>
      <c r="K223" s="123" t="s">
        <v>952</v>
      </c>
      <c r="L223" s="123" t="e">
        <f>VLOOKUP(Fact_AUM_FyoCapital[[#This Row],[Dim_Empresas.CUIT]],'clientes SQL'!C:D,2,0)</f>
        <v>#N/A</v>
      </c>
    </row>
    <row r="224" spans="1:12" hidden="1" x14ac:dyDescent="0.3">
      <c r="A224">
        <v>1884637</v>
      </c>
      <c r="B224">
        <v>20251205</v>
      </c>
      <c r="C224">
        <v>1750</v>
      </c>
      <c r="D224">
        <v>25602.5</v>
      </c>
      <c r="E224" s="123" t="s">
        <v>1566</v>
      </c>
      <c r="F224" s="123" t="s">
        <v>1579</v>
      </c>
      <c r="G224" s="123"/>
      <c r="H224" s="95">
        <v>45996</v>
      </c>
      <c r="I224">
        <v>20554</v>
      </c>
      <c r="J224" s="123" t="s">
        <v>505</v>
      </c>
      <c r="K224" s="123" t="s">
        <v>973</v>
      </c>
      <c r="L224" s="123" t="e">
        <f>VLOOKUP(Fact_AUM_FyoCapital[[#This Row],[Dim_Empresas.CUIT]],'clientes SQL'!C:D,2,0)</f>
        <v>#N/A</v>
      </c>
    </row>
    <row r="225" spans="1:12" hidden="1" x14ac:dyDescent="0.3">
      <c r="A225">
        <v>1839817</v>
      </c>
      <c r="B225">
        <v>20251205</v>
      </c>
      <c r="C225">
        <v>136</v>
      </c>
      <c r="D225">
        <v>7774.0890603085554</v>
      </c>
      <c r="E225" s="123" t="s">
        <v>1568</v>
      </c>
      <c r="F225" s="123" t="s">
        <v>1572</v>
      </c>
      <c r="G225" s="123" t="s">
        <v>1570</v>
      </c>
      <c r="H225" s="95">
        <v>45996</v>
      </c>
      <c r="I225">
        <v>2458</v>
      </c>
      <c r="J225" s="123" t="s">
        <v>975</v>
      </c>
      <c r="K225" s="123" t="s">
        <v>976</v>
      </c>
      <c r="L225" s="123" t="e">
        <f>VLOOKUP(Fact_AUM_FyoCapital[[#This Row],[Dim_Empresas.CUIT]],'clientes SQL'!C:D,2,0)</f>
        <v>#N/A</v>
      </c>
    </row>
    <row r="226" spans="1:12" hidden="1" x14ac:dyDescent="0.3">
      <c r="A226">
        <v>2626589</v>
      </c>
      <c r="B226">
        <v>20251205</v>
      </c>
      <c r="C226">
        <v>2611</v>
      </c>
      <c r="D226">
        <v>-8650</v>
      </c>
      <c r="E226" s="123" t="s">
        <v>1563</v>
      </c>
      <c r="F226" s="123" t="s">
        <v>801</v>
      </c>
      <c r="G226" s="123"/>
      <c r="H226" s="95">
        <v>45996</v>
      </c>
      <c r="I226">
        <v>30836</v>
      </c>
      <c r="J226" s="123" t="s">
        <v>452</v>
      </c>
      <c r="K226" s="123" t="s">
        <v>1014</v>
      </c>
      <c r="L226" s="123" t="e">
        <f>VLOOKUP(Fact_AUM_FyoCapital[[#This Row],[Dim_Empresas.CUIT]],'clientes SQL'!C:D,2,0)</f>
        <v>#N/A</v>
      </c>
    </row>
    <row r="227" spans="1:12" hidden="1" x14ac:dyDescent="0.3">
      <c r="A227">
        <v>1833277</v>
      </c>
      <c r="B227">
        <v>20251205</v>
      </c>
      <c r="C227">
        <v>659</v>
      </c>
      <c r="D227">
        <v>0.98993688639551203</v>
      </c>
      <c r="E227" s="123" t="s">
        <v>1568</v>
      </c>
      <c r="F227" s="123" t="s">
        <v>1572</v>
      </c>
      <c r="G227" s="123" t="s">
        <v>1574</v>
      </c>
      <c r="H227" s="95">
        <v>45996</v>
      </c>
      <c r="I227">
        <v>9645</v>
      </c>
      <c r="J227" s="123" t="s">
        <v>224</v>
      </c>
      <c r="K227" s="123" t="s">
        <v>978</v>
      </c>
      <c r="L227" s="123" t="e">
        <f>VLOOKUP(Fact_AUM_FyoCapital[[#This Row],[Dim_Empresas.CUIT]],'clientes SQL'!C:D,2,0)</f>
        <v>#N/A</v>
      </c>
    </row>
    <row r="228" spans="1:12" hidden="1" x14ac:dyDescent="0.3">
      <c r="A228">
        <v>2626529</v>
      </c>
      <c r="B228">
        <v>20251205</v>
      </c>
      <c r="C228">
        <v>2611</v>
      </c>
      <c r="D228">
        <v>-116.12929172510519</v>
      </c>
      <c r="E228" s="123" t="s">
        <v>1563</v>
      </c>
      <c r="F228" s="123" t="s">
        <v>185</v>
      </c>
      <c r="G228" s="123"/>
      <c r="H228" s="95">
        <v>45996</v>
      </c>
      <c r="I228">
        <v>30836</v>
      </c>
      <c r="J228" s="123" t="s">
        <v>452</v>
      </c>
      <c r="K228" s="123" t="s">
        <v>1014</v>
      </c>
      <c r="L228" s="123" t="e">
        <f>VLOOKUP(Fact_AUM_FyoCapital[[#This Row],[Dim_Empresas.CUIT]],'clientes SQL'!C:D,2,0)</f>
        <v>#N/A</v>
      </c>
    </row>
    <row r="229" spans="1:12" hidden="1" x14ac:dyDescent="0.3">
      <c r="A229">
        <v>2621849</v>
      </c>
      <c r="B229">
        <v>20251205</v>
      </c>
      <c r="C229">
        <v>1879</v>
      </c>
      <c r="D229">
        <v>-0.01</v>
      </c>
      <c r="E229" s="123" t="s">
        <v>1563</v>
      </c>
      <c r="F229" s="123" t="s">
        <v>950</v>
      </c>
      <c r="G229" s="123"/>
      <c r="H229" s="95">
        <v>45996</v>
      </c>
      <c r="I229">
        <v>20694</v>
      </c>
      <c r="J229" s="123" t="s">
        <v>994</v>
      </c>
      <c r="K229" s="123" t="s">
        <v>995</v>
      </c>
      <c r="L229" s="123" t="e">
        <f>VLOOKUP(Fact_AUM_FyoCapital[[#This Row],[Dim_Empresas.CUIT]],'clientes SQL'!C:D,2,0)</f>
        <v>#N/A</v>
      </c>
    </row>
    <row r="230" spans="1:12" hidden="1" x14ac:dyDescent="0.3">
      <c r="A230">
        <v>1502464</v>
      </c>
      <c r="B230">
        <v>20251205</v>
      </c>
      <c r="C230">
        <v>776</v>
      </c>
      <c r="D230">
        <v>1146.7763464235625</v>
      </c>
      <c r="E230" s="123" t="s">
        <v>1564</v>
      </c>
      <c r="F230" s="123" t="s">
        <v>1581</v>
      </c>
      <c r="G230" s="123"/>
      <c r="H230" s="95">
        <v>45996</v>
      </c>
      <c r="I230">
        <v>16699</v>
      </c>
      <c r="J230" s="123" t="s">
        <v>261</v>
      </c>
      <c r="K230" s="123" t="s">
        <v>938</v>
      </c>
      <c r="L230" s="123">
        <f>VLOOKUP(Fact_AUM_FyoCapital[[#This Row],[Dim_Empresas.CUIT]],'clientes SQL'!C:D,2,0)</f>
        <v>13008</v>
      </c>
    </row>
    <row r="231" spans="1:12" hidden="1" x14ac:dyDescent="0.3">
      <c r="A231">
        <v>2638169</v>
      </c>
      <c r="B231">
        <v>20251205</v>
      </c>
      <c r="C231">
        <v>1944</v>
      </c>
      <c r="D231">
        <v>2.8050490883590464E-4</v>
      </c>
      <c r="E231" s="123" t="s">
        <v>1563</v>
      </c>
      <c r="F231" s="123" t="s">
        <v>185</v>
      </c>
      <c r="G231" s="123"/>
      <c r="H231" s="95">
        <v>45996</v>
      </c>
      <c r="I231">
        <v>19333</v>
      </c>
      <c r="J231" s="123" t="s">
        <v>570</v>
      </c>
      <c r="K231" s="123" t="s">
        <v>948</v>
      </c>
      <c r="L231" s="123" t="e">
        <f>VLOOKUP(Fact_AUM_FyoCapital[[#This Row],[Dim_Empresas.CUIT]],'clientes SQL'!C:D,2,0)</f>
        <v>#N/A</v>
      </c>
    </row>
    <row r="232" spans="1:12" hidden="1" x14ac:dyDescent="0.3">
      <c r="A232">
        <v>2606729</v>
      </c>
      <c r="B232">
        <v>20251205</v>
      </c>
      <c r="C232">
        <v>4069</v>
      </c>
      <c r="D232">
        <v>31277.824039270687</v>
      </c>
      <c r="E232" s="123" t="s">
        <v>1568</v>
      </c>
      <c r="F232" s="123" t="s">
        <v>1572</v>
      </c>
      <c r="G232" s="123" t="s">
        <v>1570</v>
      </c>
      <c r="H232" s="95">
        <v>45996</v>
      </c>
      <c r="I232">
        <v>32670</v>
      </c>
      <c r="J232" s="123" t="s">
        <v>648</v>
      </c>
      <c r="K232" s="123" t="s">
        <v>1018</v>
      </c>
      <c r="L232" s="123" t="e">
        <f>VLOOKUP(Fact_AUM_FyoCapital[[#This Row],[Dim_Empresas.CUIT]],'clientes SQL'!C:D,2,0)</f>
        <v>#N/A</v>
      </c>
    </row>
    <row r="233" spans="1:12" hidden="1" x14ac:dyDescent="0.3">
      <c r="A233">
        <v>2620649</v>
      </c>
      <c r="B233">
        <v>20251205</v>
      </c>
      <c r="C233">
        <v>1233</v>
      </c>
      <c r="D233">
        <v>0.84</v>
      </c>
      <c r="E233" s="123" t="s">
        <v>1563</v>
      </c>
      <c r="F233" s="123" t="s">
        <v>950</v>
      </c>
      <c r="G233" s="123"/>
      <c r="H233" s="95">
        <v>45996</v>
      </c>
      <c r="I233">
        <v>19052</v>
      </c>
      <c r="J233" s="123" t="s">
        <v>1010</v>
      </c>
      <c r="K233" s="123" t="s">
        <v>1011</v>
      </c>
      <c r="L233" s="123" t="e">
        <f>VLOOKUP(Fact_AUM_FyoCapital[[#This Row],[Dim_Empresas.CUIT]],'clientes SQL'!C:D,2,0)</f>
        <v>#N/A</v>
      </c>
    </row>
    <row r="234" spans="1:12" hidden="1" x14ac:dyDescent="0.3">
      <c r="A234">
        <v>2621009</v>
      </c>
      <c r="B234">
        <v>20251205</v>
      </c>
      <c r="C234">
        <v>1</v>
      </c>
      <c r="D234">
        <v>-92008.363148667602</v>
      </c>
      <c r="E234" s="123" t="s">
        <v>1563</v>
      </c>
      <c r="F234" s="123" t="s">
        <v>185</v>
      </c>
      <c r="G234" s="123"/>
      <c r="H234" s="95">
        <v>45996</v>
      </c>
      <c r="I234">
        <v>5603</v>
      </c>
      <c r="J234" s="123" t="s">
        <v>943</v>
      </c>
      <c r="K234" s="123" t="s">
        <v>944</v>
      </c>
      <c r="L234" s="123" t="e">
        <f>VLOOKUP(Fact_AUM_FyoCapital[[#This Row],[Dim_Empresas.CUIT]],'clientes SQL'!C:D,2,0)</f>
        <v>#N/A</v>
      </c>
    </row>
    <row r="235" spans="1:12" hidden="1" x14ac:dyDescent="0.3">
      <c r="A235">
        <v>1837597</v>
      </c>
      <c r="B235">
        <v>20251205</v>
      </c>
      <c r="C235">
        <v>626</v>
      </c>
      <c r="D235">
        <v>893251.05189340818</v>
      </c>
      <c r="E235" s="123" t="s">
        <v>1566</v>
      </c>
      <c r="F235" s="123" t="s">
        <v>1571</v>
      </c>
      <c r="G235" s="123"/>
      <c r="H235" s="95">
        <v>45996</v>
      </c>
      <c r="I235">
        <v>580</v>
      </c>
      <c r="J235" s="123" t="s">
        <v>345</v>
      </c>
      <c r="K235" s="123" t="s">
        <v>979</v>
      </c>
      <c r="L235" s="123" t="e">
        <f>VLOOKUP(Fact_AUM_FyoCapital[[#This Row],[Dim_Empresas.CUIT]],'clientes SQL'!C:D,2,0)</f>
        <v>#N/A</v>
      </c>
    </row>
    <row r="236" spans="1:12" hidden="1" x14ac:dyDescent="0.3">
      <c r="A236">
        <v>1889497</v>
      </c>
      <c r="B236">
        <v>20251205</v>
      </c>
      <c r="C236">
        <v>393</v>
      </c>
      <c r="D236">
        <v>188866.48</v>
      </c>
      <c r="E236" s="123" t="s">
        <v>1566</v>
      </c>
      <c r="F236" s="123" t="s">
        <v>1571</v>
      </c>
      <c r="G236" s="123"/>
      <c r="H236" s="95">
        <v>45996</v>
      </c>
      <c r="I236">
        <v>1169</v>
      </c>
      <c r="J236" s="123" t="s">
        <v>941</v>
      </c>
      <c r="K236" s="123" t="s">
        <v>942</v>
      </c>
      <c r="L236" s="123" t="e">
        <f>VLOOKUP(Fact_AUM_FyoCapital[[#This Row],[Dim_Empresas.CUIT]],'clientes SQL'!C:D,2,0)</f>
        <v>#N/A</v>
      </c>
    </row>
    <row r="237" spans="1:12" hidden="1" x14ac:dyDescent="0.3">
      <c r="A237">
        <v>2621129</v>
      </c>
      <c r="B237">
        <v>20251205</v>
      </c>
      <c r="C237">
        <v>1</v>
      </c>
      <c r="D237">
        <v>333706.74754558207</v>
      </c>
      <c r="E237" s="123" t="s">
        <v>1563</v>
      </c>
      <c r="F237" s="123" t="s">
        <v>185</v>
      </c>
      <c r="G237" s="123"/>
      <c r="H237" s="95">
        <v>45996</v>
      </c>
      <c r="I237">
        <v>5603</v>
      </c>
      <c r="J237" s="123" t="s">
        <v>943</v>
      </c>
      <c r="K237" s="123" t="s">
        <v>944</v>
      </c>
      <c r="L237" s="123" t="e">
        <f>VLOOKUP(Fact_AUM_FyoCapital[[#This Row],[Dim_Empresas.CUIT]],'clientes SQL'!C:D,2,0)</f>
        <v>#N/A</v>
      </c>
    </row>
    <row r="238" spans="1:12" hidden="1" x14ac:dyDescent="0.3">
      <c r="A238">
        <v>1878037</v>
      </c>
      <c r="B238">
        <v>20251205</v>
      </c>
      <c r="C238">
        <v>1523</v>
      </c>
      <c r="D238">
        <v>1289.9025806451614</v>
      </c>
      <c r="E238" s="123" t="s">
        <v>1568</v>
      </c>
      <c r="F238" s="123" t="s">
        <v>1572</v>
      </c>
      <c r="G238" s="123" t="s">
        <v>1574</v>
      </c>
      <c r="H238" s="95">
        <v>45996</v>
      </c>
      <c r="I238">
        <v>20093</v>
      </c>
      <c r="J238" s="123" t="s">
        <v>987</v>
      </c>
      <c r="K238" s="123" t="s">
        <v>988</v>
      </c>
      <c r="L238" s="123" t="e">
        <f>VLOOKUP(Fact_AUM_FyoCapital[[#This Row],[Dim_Empresas.CUIT]],'clientes SQL'!C:D,2,0)</f>
        <v>#N/A</v>
      </c>
    </row>
    <row r="239" spans="1:12" hidden="1" x14ac:dyDescent="0.3">
      <c r="A239">
        <v>2636549</v>
      </c>
      <c r="B239">
        <v>20251205</v>
      </c>
      <c r="C239">
        <v>2304</v>
      </c>
      <c r="D239">
        <v>18.29</v>
      </c>
      <c r="E239" s="123" t="s">
        <v>1563</v>
      </c>
      <c r="F239" s="123" t="s">
        <v>188</v>
      </c>
      <c r="G239" s="123"/>
      <c r="H239" s="95">
        <v>45996</v>
      </c>
      <c r="I239">
        <v>30401</v>
      </c>
      <c r="J239" s="123" t="s">
        <v>366</v>
      </c>
      <c r="K239" s="123" t="s">
        <v>1064</v>
      </c>
      <c r="L239" s="123" t="e">
        <f>VLOOKUP(Fact_AUM_FyoCapital[[#This Row],[Dim_Empresas.CUIT]],'clientes SQL'!C:D,2,0)</f>
        <v>#N/A</v>
      </c>
    </row>
    <row r="240" spans="1:12" hidden="1" x14ac:dyDescent="0.3">
      <c r="A240">
        <v>2642369</v>
      </c>
      <c r="B240">
        <v>20251205</v>
      </c>
      <c r="C240">
        <v>1240</v>
      </c>
      <c r="D240">
        <v>7.85</v>
      </c>
      <c r="E240" s="123" t="s">
        <v>1563</v>
      </c>
      <c r="F240" s="123" t="s">
        <v>188</v>
      </c>
      <c r="G240" s="123"/>
      <c r="H240" s="95">
        <v>45996</v>
      </c>
      <c r="I240">
        <v>19320</v>
      </c>
      <c r="J240" s="123" t="s">
        <v>388</v>
      </c>
      <c r="K240" s="123" t="s">
        <v>974</v>
      </c>
      <c r="L240" s="123" t="e">
        <f>VLOOKUP(Fact_AUM_FyoCapital[[#This Row],[Dim_Empresas.CUIT]],'clientes SQL'!C:D,2,0)</f>
        <v>#N/A</v>
      </c>
    </row>
    <row r="241" spans="1:12" hidden="1" x14ac:dyDescent="0.3">
      <c r="A241">
        <v>1868017</v>
      </c>
      <c r="B241">
        <v>20251205</v>
      </c>
      <c r="C241">
        <v>369</v>
      </c>
      <c r="D241">
        <v>83942.31718092566</v>
      </c>
      <c r="E241" s="123" t="s">
        <v>1566</v>
      </c>
      <c r="F241" s="123" t="s">
        <v>1582</v>
      </c>
      <c r="G241" s="123"/>
      <c r="H241" s="95">
        <v>45996</v>
      </c>
      <c r="I241">
        <v>5848</v>
      </c>
      <c r="J241" s="123" t="s">
        <v>446</v>
      </c>
      <c r="K241" s="123" t="s">
        <v>965</v>
      </c>
      <c r="L241" s="123" t="e">
        <f>VLOOKUP(Fact_AUM_FyoCapital[[#This Row],[Dim_Empresas.CUIT]],'clientes SQL'!C:D,2,0)</f>
        <v>#N/A</v>
      </c>
    </row>
    <row r="242" spans="1:12" hidden="1" x14ac:dyDescent="0.3">
      <c r="A242">
        <v>2618189</v>
      </c>
      <c r="B242">
        <v>20251205</v>
      </c>
      <c r="C242">
        <v>12755</v>
      </c>
      <c r="D242">
        <v>1.2622720897615707E-4</v>
      </c>
      <c r="E242" s="123" t="s">
        <v>1563</v>
      </c>
      <c r="F242" s="123" t="s">
        <v>185</v>
      </c>
      <c r="G242" s="123"/>
      <c r="H242" s="95">
        <v>45996</v>
      </c>
      <c r="J242" s="123" t="s">
        <v>1040</v>
      </c>
      <c r="K242" s="123" t="s">
        <v>1041</v>
      </c>
      <c r="L242" s="123" t="e">
        <f>VLOOKUP(Fact_AUM_FyoCapital[[#This Row],[Dim_Empresas.CUIT]],'clientes SQL'!C:D,2,0)</f>
        <v>#N/A</v>
      </c>
    </row>
    <row r="243" spans="1:12" hidden="1" x14ac:dyDescent="0.3">
      <c r="A243">
        <v>1835797</v>
      </c>
      <c r="B243">
        <v>20251205</v>
      </c>
      <c r="C243">
        <v>626</v>
      </c>
      <c r="D243">
        <v>0</v>
      </c>
      <c r="E243" s="123"/>
      <c r="F243" s="123"/>
      <c r="G243" s="123"/>
      <c r="H243" s="95">
        <v>45996</v>
      </c>
      <c r="I243">
        <v>580</v>
      </c>
      <c r="J243" s="123" t="s">
        <v>345</v>
      </c>
      <c r="K243" s="123" t="s">
        <v>979</v>
      </c>
      <c r="L243" s="123" t="e">
        <f>VLOOKUP(Fact_AUM_FyoCapital[[#This Row],[Dim_Empresas.CUIT]],'clientes SQL'!C:D,2,0)</f>
        <v>#N/A</v>
      </c>
    </row>
    <row r="244" spans="1:12" hidden="1" x14ac:dyDescent="0.3">
      <c r="A244">
        <v>1874917</v>
      </c>
      <c r="B244">
        <v>20251205</v>
      </c>
      <c r="C244">
        <v>1032</v>
      </c>
      <c r="D244">
        <v>86.810932678821885</v>
      </c>
      <c r="E244" s="123" t="s">
        <v>1568</v>
      </c>
      <c r="F244" s="123" t="s">
        <v>1572</v>
      </c>
      <c r="G244" s="123" t="s">
        <v>1574</v>
      </c>
      <c r="H244" s="95">
        <v>45996</v>
      </c>
      <c r="I244">
        <v>18646</v>
      </c>
      <c r="J244" s="123" t="s">
        <v>334</v>
      </c>
      <c r="K244" s="123" t="s">
        <v>977</v>
      </c>
      <c r="L244" s="123" t="e">
        <f>VLOOKUP(Fact_AUM_FyoCapital[[#This Row],[Dim_Empresas.CUIT]],'clientes SQL'!C:D,2,0)</f>
        <v>#N/A</v>
      </c>
    </row>
    <row r="245" spans="1:12" hidden="1" x14ac:dyDescent="0.3">
      <c r="A245">
        <v>2638529</v>
      </c>
      <c r="B245">
        <v>20251205</v>
      </c>
      <c r="C245">
        <v>3043</v>
      </c>
      <c r="D245">
        <v>-0.4985834502103787</v>
      </c>
      <c r="E245" s="123" t="s">
        <v>1563</v>
      </c>
      <c r="F245" s="123" t="s">
        <v>185</v>
      </c>
      <c r="G245" s="123"/>
      <c r="H245" s="95">
        <v>45996</v>
      </c>
      <c r="I245">
        <v>31436</v>
      </c>
      <c r="J245" s="123" t="s">
        <v>1255</v>
      </c>
      <c r="K245" s="123" t="s">
        <v>1256</v>
      </c>
      <c r="L245" s="123" t="e">
        <f>VLOOKUP(Fact_AUM_FyoCapital[[#This Row],[Dim_Empresas.CUIT]],'clientes SQL'!C:D,2,0)</f>
        <v>#N/A</v>
      </c>
    </row>
    <row r="246" spans="1:12" hidden="1" x14ac:dyDescent="0.3">
      <c r="A246">
        <v>1833217</v>
      </c>
      <c r="B246">
        <v>20251205</v>
      </c>
      <c r="C246">
        <v>659</v>
      </c>
      <c r="D246">
        <v>275828.58508415148</v>
      </c>
      <c r="E246" s="123" t="s">
        <v>1568</v>
      </c>
      <c r="F246" s="123" t="s">
        <v>1572</v>
      </c>
      <c r="G246" s="123" t="s">
        <v>1583</v>
      </c>
      <c r="H246" s="95">
        <v>45996</v>
      </c>
      <c r="I246">
        <v>9645</v>
      </c>
      <c r="J246" s="123" t="s">
        <v>224</v>
      </c>
      <c r="K246" s="123" t="s">
        <v>978</v>
      </c>
      <c r="L246" s="123" t="e">
        <f>VLOOKUP(Fact_AUM_FyoCapital[[#This Row],[Dim_Empresas.CUIT]],'clientes SQL'!C:D,2,0)</f>
        <v>#N/A</v>
      </c>
    </row>
    <row r="247" spans="1:12" x14ac:dyDescent="0.3">
      <c r="A247">
        <v>1899397</v>
      </c>
      <c r="B247">
        <v>20251205</v>
      </c>
      <c r="C247">
        <v>12923</v>
      </c>
      <c r="D247">
        <v>13134.13</v>
      </c>
      <c r="E247" s="123" t="s">
        <v>1566</v>
      </c>
      <c r="F247" s="123" t="s">
        <v>1571</v>
      </c>
      <c r="G247" s="123"/>
      <c r="H247" s="95">
        <v>45996</v>
      </c>
      <c r="I247">
        <v>36141</v>
      </c>
      <c r="J247" s="123" t="s">
        <v>694</v>
      </c>
      <c r="K247" s="123" t="s">
        <v>966</v>
      </c>
      <c r="L247" s="123">
        <f>VLOOKUP(Fact_AUM_FyoCapital[[#This Row],[Dim_Empresas.CUIT]],'clientes SQL'!C:D,2,0)</f>
        <v>13007</v>
      </c>
    </row>
    <row r="248" spans="1:12" hidden="1" x14ac:dyDescent="0.3">
      <c r="A248">
        <v>2601869</v>
      </c>
      <c r="B248">
        <v>20251205</v>
      </c>
      <c r="C248">
        <v>783</v>
      </c>
      <c r="D248">
        <v>457026.96213183732</v>
      </c>
      <c r="E248" s="123" t="s">
        <v>1568</v>
      </c>
      <c r="F248" s="123" t="s">
        <v>1572</v>
      </c>
      <c r="G248" s="123" t="s">
        <v>1583</v>
      </c>
      <c r="H248" s="95">
        <v>45996</v>
      </c>
      <c r="I248">
        <v>15348</v>
      </c>
      <c r="J248" s="123" t="s">
        <v>384</v>
      </c>
      <c r="K248" s="123" t="s">
        <v>998</v>
      </c>
      <c r="L248" s="123">
        <f>VLOOKUP(Fact_AUM_FyoCapital[[#This Row],[Dim_Empresas.CUIT]],'clientes SQL'!C:D,2,0)</f>
        <v>13010</v>
      </c>
    </row>
    <row r="249" spans="1:12" hidden="1" x14ac:dyDescent="0.3">
      <c r="A249">
        <v>1874857</v>
      </c>
      <c r="B249">
        <v>20251205</v>
      </c>
      <c r="C249">
        <v>1032</v>
      </c>
      <c r="D249">
        <v>307413.04563814867</v>
      </c>
      <c r="E249" s="123" t="s">
        <v>1568</v>
      </c>
      <c r="F249" s="123" t="s">
        <v>1572</v>
      </c>
      <c r="G249" s="123" t="s">
        <v>1583</v>
      </c>
      <c r="H249" s="95">
        <v>45996</v>
      </c>
      <c r="I249">
        <v>18646</v>
      </c>
      <c r="J249" s="123" t="s">
        <v>334</v>
      </c>
      <c r="K249" s="123" t="s">
        <v>977</v>
      </c>
      <c r="L249" s="123" t="e">
        <f>VLOOKUP(Fact_AUM_FyoCapital[[#This Row],[Dim_Empresas.CUIT]],'clientes SQL'!C:D,2,0)</f>
        <v>#N/A</v>
      </c>
    </row>
    <row r="250" spans="1:12" hidden="1" x14ac:dyDescent="0.3">
      <c r="A250">
        <v>1874317</v>
      </c>
      <c r="B250">
        <v>20251205</v>
      </c>
      <c r="C250">
        <v>519</v>
      </c>
      <c r="D250">
        <v>18052.5</v>
      </c>
      <c r="E250" s="123" t="s">
        <v>1566</v>
      </c>
      <c r="F250" s="123" t="s">
        <v>1573</v>
      </c>
      <c r="G250" s="123"/>
      <c r="H250" s="95">
        <v>45996</v>
      </c>
      <c r="I250">
        <v>8959</v>
      </c>
      <c r="J250" s="123" t="s">
        <v>330</v>
      </c>
      <c r="K250" s="123" t="s">
        <v>960</v>
      </c>
      <c r="L250" s="123" t="e">
        <f>VLOOKUP(Fact_AUM_FyoCapital[[#This Row],[Dim_Empresas.CUIT]],'clientes SQL'!C:D,2,0)</f>
        <v>#N/A</v>
      </c>
    </row>
    <row r="251" spans="1:12" hidden="1" x14ac:dyDescent="0.3">
      <c r="A251">
        <v>1901377</v>
      </c>
      <c r="B251">
        <v>20251205</v>
      </c>
      <c r="C251">
        <v>1350</v>
      </c>
      <c r="D251">
        <v>0</v>
      </c>
      <c r="E251" s="123"/>
      <c r="F251" s="123"/>
      <c r="G251" s="123"/>
      <c r="H251" s="95">
        <v>45996</v>
      </c>
      <c r="I251">
        <v>6980</v>
      </c>
      <c r="J251" s="123" t="s">
        <v>1004</v>
      </c>
      <c r="K251" s="123" t="s">
        <v>1005</v>
      </c>
      <c r="L251" s="123" t="e">
        <f>VLOOKUP(Fact_AUM_FyoCapital[[#This Row],[Dim_Empresas.CUIT]],'clientes SQL'!C:D,2,0)</f>
        <v>#N/A</v>
      </c>
    </row>
    <row r="252" spans="1:12" hidden="1" x14ac:dyDescent="0.3">
      <c r="A252">
        <v>1884337</v>
      </c>
      <c r="B252">
        <v>20251205</v>
      </c>
      <c r="C252">
        <v>1750</v>
      </c>
      <c r="D252">
        <v>103801.05</v>
      </c>
      <c r="E252" s="123" t="s">
        <v>1566</v>
      </c>
      <c r="F252" s="123" t="s">
        <v>1571</v>
      </c>
      <c r="G252" s="123"/>
      <c r="H252" s="95">
        <v>45996</v>
      </c>
      <c r="I252">
        <v>20554</v>
      </c>
      <c r="J252" s="123" t="s">
        <v>505</v>
      </c>
      <c r="K252" s="123" t="s">
        <v>973</v>
      </c>
      <c r="L252" s="123" t="e">
        <f>VLOOKUP(Fact_AUM_FyoCapital[[#This Row],[Dim_Empresas.CUIT]],'clientes SQL'!C:D,2,0)</f>
        <v>#N/A</v>
      </c>
    </row>
    <row r="253" spans="1:12" hidden="1" x14ac:dyDescent="0.3">
      <c r="A253">
        <v>1833637</v>
      </c>
      <c r="B253">
        <v>20251205</v>
      </c>
      <c r="C253">
        <v>14834</v>
      </c>
      <c r="D253">
        <v>96280.5</v>
      </c>
      <c r="E253" s="123" t="s">
        <v>1566</v>
      </c>
      <c r="F253" s="123" t="s">
        <v>1578</v>
      </c>
      <c r="G253" s="123"/>
      <c r="H253" s="95">
        <v>45996</v>
      </c>
      <c r="I253">
        <v>37055</v>
      </c>
      <c r="J253" s="123" t="s">
        <v>956</v>
      </c>
      <c r="K253" s="123" t="s">
        <v>957</v>
      </c>
      <c r="L253" s="123" t="e">
        <f>VLOOKUP(Fact_AUM_FyoCapital[[#This Row],[Dim_Empresas.CUIT]],'clientes SQL'!C:D,2,0)</f>
        <v>#N/A</v>
      </c>
    </row>
    <row r="254" spans="1:12" hidden="1" x14ac:dyDescent="0.3">
      <c r="A254">
        <v>1836517</v>
      </c>
      <c r="B254">
        <v>20251205</v>
      </c>
      <c r="C254">
        <v>626</v>
      </c>
      <c r="D254">
        <v>703.78</v>
      </c>
      <c r="E254" s="123" t="s">
        <v>1566</v>
      </c>
      <c r="F254" s="123" t="s">
        <v>1571</v>
      </c>
      <c r="G254" s="123"/>
      <c r="H254" s="95">
        <v>45996</v>
      </c>
      <c r="I254">
        <v>580</v>
      </c>
      <c r="J254" s="123" t="s">
        <v>345</v>
      </c>
      <c r="K254" s="123" t="s">
        <v>979</v>
      </c>
      <c r="L254" s="123" t="e">
        <f>VLOOKUP(Fact_AUM_FyoCapital[[#This Row],[Dim_Empresas.CUIT]],'clientes SQL'!C:D,2,0)</f>
        <v>#N/A</v>
      </c>
    </row>
    <row r="255" spans="1:12" hidden="1" x14ac:dyDescent="0.3">
      <c r="A255">
        <v>2633009</v>
      </c>
      <c r="B255">
        <v>20251205</v>
      </c>
      <c r="C255">
        <v>633</v>
      </c>
      <c r="D255">
        <v>2.4544179523141652E-4</v>
      </c>
      <c r="E255" s="123" t="s">
        <v>1563</v>
      </c>
      <c r="F255" s="123" t="s">
        <v>185</v>
      </c>
      <c r="G255" s="123"/>
      <c r="H255" s="95">
        <v>45996</v>
      </c>
      <c r="I255">
        <v>4875</v>
      </c>
      <c r="J255" s="123" t="s">
        <v>546</v>
      </c>
      <c r="K255" s="123" t="s">
        <v>1023</v>
      </c>
      <c r="L255" s="123" t="e">
        <f>VLOOKUP(Fact_AUM_FyoCapital[[#This Row],[Dim_Empresas.CUIT]],'clientes SQL'!C:D,2,0)</f>
        <v>#N/A</v>
      </c>
    </row>
    <row r="256" spans="1:12" hidden="1" x14ac:dyDescent="0.3">
      <c r="A256">
        <v>1872517</v>
      </c>
      <c r="B256">
        <v>20251205</v>
      </c>
      <c r="C256">
        <v>949</v>
      </c>
      <c r="D256">
        <v>87090.218793828899</v>
      </c>
      <c r="E256" s="123" t="s">
        <v>1566</v>
      </c>
      <c r="F256" s="123" t="s">
        <v>1582</v>
      </c>
      <c r="G256" s="123"/>
      <c r="H256" s="95">
        <v>45996</v>
      </c>
      <c r="I256">
        <v>17696</v>
      </c>
      <c r="J256" s="123" t="s">
        <v>725</v>
      </c>
      <c r="K256" s="123" t="s">
        <v>1021</v>
      </c>
      <c r="L256" s="123" t="e">
        <f>VLOOKUP(Fact_AUM_FyoCapital[[#This Row],[Dim_Empresas.CUIT]],'clientes SQL'!C:D,2,0)</f>
        <v>#N/A</v>
      </c>
    </row>
    <row r="257" spans="1:12" hidden="1" x14ac:dyDescent="0.3">
      <c r="A257">
        <v>2630669</v>
      </c>
      <c r="B257">
        <v>20251205</v>
      </c>
      <c r="C257">
        <v>969</v>
      </c>
      <c r="D257">
        <v>59.35</v>
      </c>
      <c r="E257" s="123" t="s">
        <v>1563</v>
      </c>
      <c r="F257" s="123" t="s">
        <v>950</v>
      </c>
      <c r="G257" s="123"/>
      <c r="H257" s="95">
        <v>45996</v>
      </c>
      <c r="I257">
        <v>3511</v>
      </c>
      <c r="J257" s="123" t="s">
        <v>989</v>
      </c>
      <c r="K257" s="123" t="s">
        <v>990</v>
      </c>
      <c r="L257" s="123" t="e">
        <f>VLOOKUP(Fact_AUM_FyoCapital[[#This Row],[Dim_Empresas.CUIT]],'clientes SQL'!C:D,2,0)</f>
        <v>#N/A</v>
      </c>
    </row>
    <row r="258" spans="1:12" hidden="1" x14ac:dyDescent="0.3">
      <c r="A258">
        <v>1842757</v>
      </c>
      <c r="B258">
        <v>20251205</v>
      </c>
      <c r="C258">
        <v>9936</v>
      </c>
      <c r="D258">
        <v>1751.4025245441794</v>
      </c>
      <c r="E258" s="123" t="s">
        <v>1566</v>
      </c>
      <c r="F258" s="123" t="s">
        <v>1580</v>
      </c>
      <c r="G258" s="123"/>
      <c r="H258" s="95">
        <v>45996</v>
      </c>
      <c r="I258">
        <v>35436</v>
      </c>
      <c r="J258" s="123" t="s">
        <v>300</v>
      </c>
      <c r="K258" s="123" t="s">
        <v>1037</v>
      </c>
      <c r="L258" s="123" t="e">
        <f>VLOOKUP(Fact_AUM_FyoCapital[[#This Row],[Dim_Empresas.CUIT]],'clientes SQL'!C:D,2,0)</f>
        <v>#N/A</v>
      </c>
    </row>
    <row r="259" spans="1:12" hidden="1" x14ac:dyDescent="0.3">
      <c r="A259">
        <v>1889617</v>
      </c>
      <c r="B259">
        <v>20251205</v>
      </c>
      <c r="C259">
        <v>393</v>
      </c>
      <c r="D259">
        <v>182237.82</v>
      </c>
      <c r="E259" s="123" t="s">
        <v>1566</v>
      </c>
      <c r="F259" s="123" t="s">
        <v>1571</v>
      </c>
      <c r="G259" s="123"/>
      <c r="H259" s="95">
        <v>45996</v>
      </c>
      <c r="I259">
        <v>1169</v>
      </c>
      <c r="J259" s="123" t="s">
        <v>941</v>
      </c>
      <c r="K259" s="123" t="s">
        <v>942</v>
      </c>
      <c r="L259" s="123" t="e">
        <f>VLOOKUP(Fact_AUM_FyoCapital[[#This Row],[Dim_Empresas.CUIT]],'clientes SQL'!C:D,2,0)</f>
        <v>#N/A</v>
      </c>
    </row>
    <row r="260" spans="1:12" hidden="1" x14ac:dyDescent="0.3">
      <c r="A260">
        <v>1894297</v>
      </c>
      <c r="B260">
        <v>20251205</v>
      </c>
      <c r="C260">
        <v>1315</v>
      </c>
      <c r="D260">
        <v>301051.89340813464</v>
      </c>
      <c r="E260" s="123" t="s">
        <v>1566</v>
      </c>
      <c r="F260" s="123" t="s">
        <v>1582</v>
      </c>
      <c r="G260" s="123"/>
      <c r="H260" s="95">
        <v>45996</v>
      </c>
      <c r="I260">
        <v>7247</v>
      </c>
      <c r="J260" s="123" t="s">
        <v>574</v>
      </c>
      <c r="K260" s="123" t="s">
        <v>1027</v>
      </c>
      <c r="L260" s="123" t="e">
        <f>VLOOKUP(Fact_AUM_FyoCapital[[#This Row],[Dim_Empresas.CUIT]],'clientes SQL'!C:D,2,0)</f>
        <v>#N/A</v>
      </c>
    </row>
    <row r="261" spans="1:12" hidden="1" x14ac:dyDescent="0.3">
      <c r="A261">
        <v>1900117</v>
      </c>
      <c r="B261">
        <v>20251205</v>
      </c>
      <c r="C261">
        <v>3187</v>
      </c>
      <c r="D261">
        <v>6278.5702454417951</v>
      </c>
      <c r="E261" s="123" t="s">
        <v>1568</v>
      </c>
      <c r="F261" s="123" t="s">
        <v>1572</v>
      </c>
      <c r="G261" s="123" t="s">
        <v>1570</v>
      </c>
      <c r="H261" s="95">
        <v>45996</v>
      </c>
      <c r="I261">
        <v>31603</v>
      </c>
      <c r="J261" s="123" t="s">
        <v>1035</v>
      </c>
      <c r="K261" s="123" t="s">
        <v>1036</v>
      </c>
      <c r="L261" s="123" t="e">
        <f>VLOOKUP(Fact_AUM_FyoCapital[[#This Row],[Dim_Empresas.CUIT]],'clientes SQL'!C:D,2,0)</f>
        <v>#N/A</v>
      </c>
    </row>
    <row r="262" spans="1:12" hidden="1" x14ac:dyDescent="0.3">
      <c r="A262">
        <v>1898317</v>
      </c>
      <c r="B262">
        <v>20251205</v>
      </c>
      <c r="C262">
        <v>12855</v>
      </c>
      <c r="D262">
        <v>14120.22</v>
      </c>
      <c r="E262" s="123" t="s">
        <v>1566</v>
      </c>
      <c r="F262" s="123" t="s">
        <v>1578</v>
      </c>
      <c r="G262" s="123"/>
      <c r="H262" s="95">
        <v>45996</v>
      </c>
      <c r="I262">
        <v>36077</v>
      </c>
      <c r="J262" s="123" t="s">
        <v>563</v>
      </c>
      <c r="K262" s="123" t="s">
        <v>969</v>
      </c>
      <c r="L262" s="123" t="e">
        <f>VLOOKUP(Fact_AUM_FyoCapital[[#This Row],[Dim_Empresas.CUIT]],'clientes SQL'!C:D,2,0)</f>
        <v>#N/A</v>
      </c>
    </row>
    <row r="263" spans="1:12" hidden="1" x14ac:dyDescent="0.3">
      <c r="A263">
        <v>1882177</v>
      </c>
      <c r="B263">
        <v>20251205</v>
      </c>
      <c r="C263">
        <v>633</v>
      </c>
      <c r="D263">
        <v>49232.953716690041</v>
      </c>
      <c r="E263" s="123" t="s">
        <v>1566</v>
      </c>
      <c r="F263" s="123" t="s">
        <v>1571</v>
      </c>
      <c r="G263" s="123"/>
      <c r="H263" s="95">
        <v>45996</v>
      </c>
      <c r="I263">
        <v>4875</v>
      </c>
      <c r="J263" s="123" t="s">
        <v>546</v>
      </c>
      <c r="K263" s="123" t="s">
        <v>1023</v>
      </c>
      <c r="L263" s="123" t="e">
        <f>VLOOKUP(Fact_AUM_FyoCapital[[#This Row],[Dim_Empresas.CUIT]],'clientes SQL'!C:D,2,0)</f>
        <v>#N/A</v>
      </c>
    </row>
    <row r="264" spans="1:12" hidden="1" x14ac:dyDescent="0.3">
      <c r="A264">
        <v>2609909</v>
      </c>
      <c r="B264">
        <v>20251205</v>
      </c>
      <c r="C264">
        <v>6020</v>
      </c>
      <c r="D264">
        <v>2.594670406732118E-4</v>
      </c>
      <c r="E264" s="123" t="s">
        <v>1563</v>
      </c>
      <c r="F264" s="123" t="s">
        <v>185</v>
      </c>
      <c r="G264" s="123"/>
      <c r="H264" s="95">
        <v>45996</v>
      </c>
      <c r="I264">
        <v>33531</v>
      </c>
      <c r="J264" s="123" t="s">
        <v>203</v>
      </c>
      <c r="K264" s="123" t="s">
        <v>999</v>
      </c>
      <c r="L264" s="123" t="e">
        <f>VLOOKUP(Fact_AUM_FyoCapital[[#This Row],[Dim_Empresas.CUIT]],'clientes SQL'!C:D,2,0)</f>
        <v>#N/A</v>
      </c>
    </row>
    <row r="265" spans="1:12" hidden="1" x14ac:dyDescent="0.3">
      <c r="A265">
        <v>2630489</v>
      </c>
      <c r="B265">
        <v>20251205</v>
      </c>
      <c r="C265">
        <v>1032</v>
      </c>
      <c r="D265">
        <v>-19.675841514726507</v>
      </c>
      <c r="E265" s="123" t="s">
        <v>1563</v>
      </c>
      <c r="F265" s="123" t="s">
        <v>185</v>
      </c>
      <c r="G265" s="123"/>
      <c r="H265" s="95">
        <v>45996</v>
      </c>
      <c r="I265">
        <v>18646</v>
      </c>
      <c r="J265" s="123" t="s">
        <v>334</v>
      </c>
      <c r="K265" s="123" t="s">
        <v>977</v>
      </c>
      <c r="L265" s="123" t="e">
        <f>VLOOKUP(Fact_AUM_FyoCapital[[#This Row],[Dim_Empresas.CUIT]],'clientes SQL'!C:D,2,0)</f>
        <v>#N/A</v>
      </c>
    </row>
    <row r="266" spans="1:12" hidden="1" x14ac:dyDescent="0.3">
      <c r="A266">
        <v>1836577</v>
      </c>
      <c r="B266">
        <v>20251205</v>
      </c>
      <c r="C266">
        <v>626</v>
      </c>
      <c r="D266">
        <v>767.77</v>
      </c>
      <c r="E266" s="123" t="s">
        <v>1566</v>
      </c>
      <c r="F266" s="123" t="s">
        <v>1571</v>
      </c>
      <c r="G266" s="123"/>
      <c r="H266" s="95">
        <v>45996</v>
      </c>
      <c r="I266">
        <v>580</v>
      </c>
      <c r="J266" s="123" t="s">
        <v>345</v>
      </c>
      <c r="K266" s="123" t="s">
        <v>979</v>
      </c>
      <c r="L266" s="123" t="e">
        <f>VLOOKUP(Fact_AUM_FyoCapital[[#This Row],[Dim_Empresas.CUIT]],'clientes SQL'!C:D,2,0)</f>
        <v>#N/A</v>
      </c>
    </row>
    <row r="267" spans="1:12" hidden="1" x14ac:dyDescent="0.3">
      <c r="A267">
        <v>2611829</v>
      </c>
      <c r="B267">
        <v>20251205</v>
      </c>
      <c r="C267">
        <v>14834</v>
      </c>
      <c r="D267">
        <v>1.9635343618513325E-4</v>
      </c>
      <c r="E267" s="123" t="s">
        <v>1563</v>
      </c>
      <c r="F267" s="123" t="s">
        <v>185</v>
      </c>
      <c r="G267" s="123"/>
      <c r="H267" s="95">
        <v>45996</v>
      </c>
      <c r="I267">
        <v>37055</v>
      </c>
      <c r="J267" s="123" t="s">
        <v>956</v>
      </c>
      <c r="K267" s="123" t="s">
        <v>957</v>
      </c>
      <c r="L267" s="123" t="e">
        <f>VLOOKUP(Fact_AUM_FyoCapital[[#This Row],[Dim_Empresas.CUIT]],'clientes SQL'!C:D,2,0)</f>
        <v>#N/A</v>
      </c>
    </row>
    <row r="268" spans="1:12" hidden="1" x14ac:dyDescent="0.3">
      <c r="A268">
        <v>2633369</v>
      </c>
      <c r="B268">
        <v>20251205</v>
      </c>
      <c r="C268">
        <v>510</v>
      </c>
      <c r="D268">
        <v>-0.52514726507713883</v>
      </c>
      <c r="E268" s="123" t="s">
        <v>1563</v>
      </c>
      <c r="F268" s="123" t="s">
        <v>185</v>
      </c>
      <c r="G268" s="123"/>
      <c r="H268" s="95">
        <v>45996</v>
      </c>
      <c r="I268">
        <v>8656</v>
      </c>
      <c r="J268" s="123" t="s">
        <v>1038</v>
      </c>
      <c r="K268" s="123" t="s">
        <v>1039</v>
      </c>
      <c r="L268" s="123" t="e">
        <f>VLOOKUP(Fact_AUM_FyoCapital[[#This Row],[Dim_Empresas.CUIT]],'clientes SQL'!C:D,2,0)</f>
        <v>#N/A</v>
      </c>
    </row>
    <row r="269" spans="1:12" hidden="1" x14ac:dyDescent="0.3">
      <c r="A269">
        <v>1866757</v>
      </c>
      <c r="B269">
        <v>20251205</v>
      </c>
      <c r="C269">
        <v>2611</v>
      </c>
      <c r="D269">
        <v>11.580245441795231</v>
      </c>
      <c r="E269" s="123" t="s">
        <v>1568</v>
      </c>
      <c r="F269" s="123" t="s">
        <v>1572</v>
      </c>
      <c r="G269" s="123" t="s">
        <v>1570</v>
      </c>
      <c r="H269" s="95">
        <v>45996</v>
      </c>
      <c r="I269">
        <v>30836</v>
      </c>
      <c r="J269" s="123" t="s">
        <v>452</v>
      </c>
      <c r="K269" s="123" t="s">
        <v>1014</v>
      </c>
      <c r="L269" s="123" t="e">
        <f>VLOOKUP(Fact_AUM_FyoCapital[[#This Row],[Dim_Empresas.CUIT]],'clientes SQL'!C:D,2,0)</f>
        <v>#N/A</v>
      </c>
    </row>
    <row r="270" spans="1:12" hidden="1" x14ac:dyDescent="0.3">
      <c r="A270">
        <v>1883077</v>
      </c>
      <c r="B270">
        <v>20251205</v>
      </c>
      <c r="C270">
        <v>5975</v>
      </c>
      <c r="D270">
        <v>11201.304586255259</v>
      </c>
      <c r="E270" s="123" t="s">
        <v>1568</v>
      </c>
      <c r="F270" s="123" t="s">
        <v>1572</v>
      </c>
      <c r="G270" s="123" t="s">
        <v>1570</v>
      </c>
      <c r="H270" s="95">
        <v>45996</v>
      </c>
      <c r="I270">
        <v>31332</v>
      </c>
      <c r="J270" s="123" t="s">
        <v>541</v>
      </c>
      <c r="K270" s="123" t="s">
        <v>955</v>
      </c>
      <c r="L270" s="123" t="e">
        <f>VLOOKUP(Fact_AUM_FyoCapital[[#This Row],[Dim_Empresas.CUIT]],'clientes SQL'!C:D,2,0)</f>
        <v>#N/A</v>
      </c>
    </row>
    <row r="271" spans="1:12" hidden="1" x14ac:dyDescent="0.3">
      <c r="A271">
        <v>2636309</v>
      </c>
      <c r="B271">
        <v>20251205</v>
      </c>
      <c r="C271">
        <v>393</v>
      </c>
      <c r="D271">
        <v>-0.96</v>
      </c>
      <c r="E271" s="123" t="s">
        <v>1563</v>
      </c>
      <c r="F271" s="123" t="s">
        <v>188</v>
      </c>
      <c r="G271" s="123"/>
      <c r="H271" s="95">
        <v>45996</v>
      </c>
      <c r="I271">
        <v>1169</v>
      </c>
      <c r="J271" s="123" t="s">
        <v>941</v>
      </c>
      <c r="K271" s="123" t="s">
        <v>942</v>
      </c>
      <c r="L271" s="123" t="e">
        <f>VLOOKUP(Fact_AUM_FyoCapital[[#This Row],[Dim_Empresas.CUIT]],'clientes SQL'!C:D,2,0)</f>
        <v>#N/A</v>
      </c>
    </row>
    <row r="272" spans="1:12" hidden="1" x14ac:dyDescent="0.3">
      <c r="A272">
        <v>1895197</v>
      </c>
      <c r="B272">
        <v>20251205</v>
      </c>
      <c r="C272">
        <v>10244</v>
      </c>
      <c r="D272">
        <v>22904.86</v>
      </c>
      <c r="E272" s="123" t="s">
        <v>1566</v>
      </c>
      <c r="F272" s="123" t="s">
        <v>1578</v>
      </c>
      <c r="G272" s="123"/>
      <c r="H272" s="95">
        <v>45996</v>
      </c>
      <c r="I272">
        <v>35636</v>
      </c>
      <c r="J272" s="123" t="s">
        <v>564</v>
      </c>
      <c r="K272" s="123" t="s">
        <v>1017</v>
      </c>
      <c r="L272" s="123" t="e">
        <f>VLOOKUP(Fact_AUM_FyoCapital[[#This Row],[Dim_Empresas.CUIT]],'clientes SQL'!C:D,2,0)</f>
        <v>#N/A</v>
      </c>
    </row>
    <row r="273" spans="1:12" hidden="1" x14ac:dyDescent="0.3">
      <c r="A273">
        <v>2627369</v>
      </c>
      <c r="B273">
        <v>20251205</v>
      </c>
      <c r="C273">
        <v>6316</v>
      </c>
      <c r="D273">
        <v>0.05</v>
      </c>
      <c r="E273" s="123" t="s">
        <v>1563</v>
      </c>
      <c r="F273" s="123" t="s">
        <v>950</v>
      </c>
      <c r="G273" s="123"/>
      <c r="H273" s="95">
        <v>45996</v>
      </c>
      <c r="I273">
        <v>34427</v>
      </c>
      <c r="J273" s="123" t="s">
        <v>487</v>
      </c>
      <c r="K273" s="123" t="s">
        <v>1034</v>
      </c>
      <c r="L273" s="123" t="e">
        <f>VLOOKUP(Fact_AUM_FyoCapital[[#This Row],[Dim_Empresas.CUIT]],'clientes SQL'!C:D,2,0)</f>
        <v>#N/A</v>
      </c>
    </row>
    <row r="274" spans="1:12" hidden="1" x14ac:dyDescent="0.3">
      <c r="A274">
        <v>1882837</v>
      </c>
      <c r="B274">
        <v>20251205</v>
      </c>
      <c r="C274">
        <v>5975</v>
      </c>
      <c r="D274">
        <v>0</v>
      </c>
      <c r="E274" s="123"/>
      <c r="F274" s="123"/>
      <c r="G274" s="123"/>
      <c r="H274" s="95">
        <v>45996</v>
      </c>
      <c r="I274">
        <v>31332</v>
      </c>
      <c r="J274" s="123" t="s">
        <v>541</v>
      </c>
      <c r="K274" s="123" t="s">
        <v>955</v>
      </c>
      <c r="L274" s="123" t="e">
        <f>VLOOKUP(Fact_AUM_FyoCapital[[#This Row],[Dim_Empresas.CUIT]],'clientes SQL'!C:D,2,0)</f>
        <v>#N/A</v>
      </c>
    </row>
    <row r="275" spans="1:12" hidden="1" x14ac:dyDescent="0.3">
      <c r="A275">
        <v>2630429</v>
      </c>
      <c r="B275">
        <v>20251205</v>
      </c>
      <c r="C275">
        <v>519</v>
      </c>
      <c r="D275">
        <v>15958.14</v>
      </c>
      <c r="E275" s="123" t="s">
        <v>1563</v>
      </c>
      <c r="F275" s="123" t="s">
        <v>950</v>
      </c>
      <c r="G275" s="123"/>
      <c r="H275" s="95">
        <v>45996</v>
      </c>
      <c r="I275">
        <v>8959</v>
      </c>
      <c r="J275" s="123" t="s">
        <v>330</v>
      </c>
      <c r="K275" s="123" t="s">
        <v>960</v>
      </c>
      <c r="L275" s="123" t="e">
        <f>VLOOKUP(Fact_AUM_FyoCapital[[#This Row],[Dim_Empresas.CUIT]],'clientes SQL'!C:D,2,0)</f>
        <v>#N/A</v>
      </c>
    </row>
    <row r="276" spans="1:12" hidden="1" x14ac:dyDescent="0.3">
      <c r="A276">
        <v>2644709</v>
      </c>
      <c r="B276">
        <v>20251205</v>
      </c>
      <c r="C276">
        <v>14966</v>
      </c>
      <c r="D276">
        <v>7.0000000000000007E-2</v>
      </c>
      <c r="E276" s="123" t="s">
        <v>1563</v>
      </c>
      <c r="F276" s="123" t="s">
        <v>950</v>
      </c>
      <c r="G276" s="123"/>
      <c r="H276" s="95">
        <v>45996</v>
      </c>
      <c r="I276">
        <v>37174</v>
      </c>
      <c r="J276" s="123" t="s">
        <v>984</v>
      </c>
      <c r="K276" s="123" t="s">
        <v>985</v>
      </c>
      <c r="L276" s="123" t="e">
        <f>VLOOKUP(Fact_AUM_FyoCapital[[#This Row],[Dim_Empresas.CUIT]],'clientes SQL'!C:D,2,0)</f>
        <v>#N/A</v>
      </c>
    </row>
    <row r="277" spans="1:12" hidden="1" x14ac:dyDescent="0.3">
      <c r="A277">
        <v>1893337</v>
      </c>
      <c r="B277">
        <v>20251205</v>
      </c>
      <c r="C277">
        <v>4955</v>
      </c>
      <c r="D277">
        <v>-96280.5</v>
      </c>
      <c r="E277" s="123" t="s">
        <v>1566</v>
      </c>
      <c r="F277" s="123" t="s">
        <v>1578</v>
      </c>
      <c r="G277" s="123"/>
      <c r="H277" s="95">
        <v>45996</v>
      </c>
      <c r="I277">
        <v>32964</v>
      </c>
      <c r="J277" s="123" t="s">
        <v>527</v>
      </c>
      <c r="K277" s="123" t="s">
        <v>981</v>
      </c>
      <c r="L277" s="123" t="e">
        <f>VLOOKUP(Fact_AUM_FyoCapital[[#This Row],[Dim_Empresas.CUIT]],'clientes SQL'!C:D,2,0)</f>
        <v>#N/A</v>
      </c>
    </row>
    <row r="278" spans="1:12" hidden="1" x14ac:dyDescent="0.3">
      <c r="A278">
        <v>1852117</v>
      </c>
      <c r="B278">
        <v>20251205</v>
      </c>
      <c r="C278">
        <v>757</v>
      </c>
      <c r="D278">
        <v>115413.6584852735</v>
      </c>
      <c r="E278" s="123" t="s">
        <v>1566</v>
      </c>
      <c r="F278" s="123" t="s">
        <v>1571</v>
      </c>
      <c r="G278" s="123"/>
      <c r="H278" s="95">
        <v>45996</v>
      </c>
      <c r="I278">
        <v>13408</v>
      </c>
      <c r="J278" s="123" t="s">
        <v>274</v>
      </c>
      <c r="K278" s="123" t="s">
        <v>1001</v>
      </c>
      <c r="L278" s="123" t="e">
        <f>VLOOKUP(Fact_AUM_FyoCapital[[#This Row],[Dim_Empresas.CUIT]],'clientes SQL'!C:D,2,0)</f>
        <v>#N/A</v>
      </c>
    </row>
    <row r="279" spans="1:12" hidden="1" x14ac:dyDescent="0.3">
      <c r="A279">
        <v>1872637</v>
      </c>
      <c r="B279">
        <v>20251205</v>
      </c>
      <c r="C279">
        <v>949</v>
      </c>
      <c r="D279">
        <v>2197.8205189340815</v>
      </c>
      <c r="E279" s="123" t="s">
        <v>1568</v>
      </c>
      <c r="F279" s="123" t="s">
        <v>1572</v>
      </c>
      <c r="G279" s="123" t="s">
        <v>1570</v>
      </c>
      <c r="H279" s="95">
        <v>45996</v>
      </c>
      <c r="I279">
        <v>17696</v>
      </c>
      <c r="J279" s="123" t="s">
        <v>725</v>
      </c>
      <c r="K279" s="123" t="s">
        <v>1021</v>
      </c>
      <c r="L279" s="123" t="e">
        <f>VLOOKUP(Fact_AUM_FyoCapital[[#This Row],[Dim_Empresas.CUIT]],'clientes SQL'!C:D,2,0)</f>
        <v>#N/A</v>
      </c>
    </row>
    <row r="280" spans="1:12" hidden="1" x14ac:dyDescent="0.3">
      <c r="A280">
        <v>1877857</v>
      </c>
      <c r="B280">
        <v>20251205</v>
      </c>
      <c r="C280">
        <v>1523</v>
      </c>
      <c r="D280">
        <v>144745.1</v>
      </c>
      <c r="E280" s="123" t="s">
        <v>1566</v>
      </c>
      <c r="F280" s="123" t="s">
        <v>1579</v>
      </c>
      <c r="G280" s="123"/>
      <c r="H280" s="95">
        <v>45996</v>
      </c>
      <c r="I280">
        <v>20093</v>
      </c>
      <c r="J280" s="123" t="s">
        <v>987</v>
      </c>
      <c r="K280" s="123" t="s">
        <v>988</v>
      </c>
      <c r="L280" s="123" t="e">
        <f>VLOOKUP(Fact_AUM_FyoCapital[[#This Row],[Dim_Empresas.CUIT]],'clientes SQL'!C:D,2,0)</f>
        <v>#N/A</v>
      </c>
    </row>
    <row r="281" spans="1:12" x14ac:dyDescent="0.3">
      <c r="A281">
        <v>1899457</v>
      </c>
      <c r="B281">
        <v>20251205</v>
      </c>
      <c r="C281">
        <v>12923</v>
      </c>
      <c r="D281">
        <v>5748.5158765778397</v>
      </c>
      <c r="E281" s="123" t="s">
        <v>1568</v>
      </c>
      <c r="F281" s="123" t="s">
        <v>1572</v>
      </c>
      <c r="G281" s="123" t="s">
        <v>1583</v>
      </c>
      <c r="H281" s="95">
        <v>45996</v>
      </c>
      <c r="I281">
        <v>36141</v>
      </c>
      <c r="J281" s="123" t="s">
        <v>694</v>
      </c>
      <c r="K281" s="123" t="s">
        <v>966</v>
      </c>
      <c r="L281" s="123">
        <f>VLOOKUP(Fact_AUM_FyoCapital[[#This Row],[Dim_Empresas.CUIT]],'clientes SQL'!C:D,2,0)</f>
        <v>13007</v>
      </c>
    </row>
    <row r="282" spans="1:12" hidden="1" x14ac:dyDescent="0.3">
      <c r="A282">
        <v>1854157</v>
      </c>
      <c r="B282">
        <v>20251205</v>
      </c>
      <c r="C282">
        <v>1325</v>
      </c>
      <c r="D282">
        <v>79166.594873772789</v>
      </c>
      <c r="E282" s="123" t="s">
        <v>1568</v>
      </c>
      <c r="F282" s="123" t="s">
        <v>1572</v>
      </c>
      <c r="G282" s="123" t="s">
        <v>1574</v>
      </c>
      <c r="H282" s="95">
        <v>45996</v>
      </c>
      <c r="I282">
        <v>19458</v>
      </c>
      <c r="J282" s="123" t="s">
        <v>397</v>
      </c>
      <c r="K282" s="123" t="s">
        <v>970</v>
      </c>
      <c r="L282" s="123" t="e">
        <f>VLOOKUP(Fact_AUM_FyoCapital[[#This Row],[Dim_Empresas.CUIT]],'clientes SQL'!C:D,2,0)</f>
        <v>#N/A</v>
      </c>
    </row>
    <row r="283" spans="1:12" hidden="1" x14ac:dyDescent="0.3">
      <c r="A283">
        <v>2627309</v>
      </c>
      <c r="B283">
        <v>20251205</v>
      </c>
      <c r="C283">
        <v>6316</v>
      </c>
      <c r="D283">
        <v>7.5476858345021033E-2</v>
      </c>
      <c r="E283" s="123" t="s">
        <v>1563</v>
      </c>
      <c r="F283" s="123" t="s">
        <v>185</v>
      </c>
      <c r="G283" s="123"/>
      <c r="H283" s="95">
        <v>45996</v>
      </c>
      <c r="I283">
        <v>34427</v>
      </c>
      <c r="J283" s="123" t="s">
        <v>487</v>
      </c>
      <c r="K283" s="123" t="s">
        <v>1034</v>
      </c>
      <c r="L283" s="123" t="e">
        <f>VLOOKUP(Fact_AUM_FyoCapital[[#This Row],[Dim_Empresas.CUIT]],'clientes SQL'!C:D,2,0)</f>
        <v>#N/A</v>
      </c>
    </row>
    <row r="284" spans="1:12" hidden="1" x14ac:dyDescent="0.3">
      <c r="A284">
        <v>1884817</v>
      </c>
      <c r="B284">
        <v>20251205</v>
      </c>
      <c r="C284">
        <v>1750</v>
      </c>
      <c r="D284">
        <v>8997.7741795231414</v>
      </c>
      <c r="E284" s="123" t="s">
        <v>1568</v>
      </c>
      <c r="F284" s="123" t="s">
        <v>1572</v>
      </c>
      <c r="G284" s="123" t="s">
        <v>1570</v>
      </c>
      <c r="H284" s="95">
        <v>45996</v>
      </c>
      <c r="I284">
        <v>20554</v>
      </c>
      <c r="J284" s="123" t="s">
        <v>505</v>
      </c>
      <c r="K284" s="123" t="s">
        <v>973</v>
      </c>
      <c r="L284" s="123" t="e">
        <f>VLOOKUP(Fact_AUM_FyoCapital[[#This Row],[Dim_Empresas.CUIT]],'clientes SQL'!C:D,2,0)</f>
        <v>#N/A</v>
      </c>
    </row>
    <row r="285" spans="1:12" hidden="1" x14ac:dyDescent="0.3">
      <c r="A285">
        <v>2635469</v>
      </c>
      <c r="B285">
        <v>20251205</v>
      </c>
      <c r="C285">
        <v>743</v>
      </c>
      <c r="D285">
        <v>2.8716690042075738E-2</v>
      </c>
      <c r="E285" s="123" t="s">
        <v>1563</v>
      </c>
      <c r="F285" s="123" t="s">
        <v>185</v>
      </c>
      <c r="G285" s="123"/>
      <c r="H285" s="95">
        <v>45996</v>
      </c>
      <c r="I285">
        <v>9444</v>
      </c>
      <c r="J285" s="123" t="s">
        <v>1089</v>
      </c>
      <c r="K285" s="123" t="s">
        <v>1090</v>
      </c>
      <c r="L285" s="123" t="e">
        <f>VLOOKUP(Fact_AUM_FyoCapital[[#This Row],[Dim_Empresas.CUIT]],'clientes SQL'!C:D,2,0)</f>
        <v>#N/A</v>
      </c>
    </row>
    <row r="286" spans="1:12" hidden="1" x14ac:dyDescent="0.3">
      <c r="A286">
        <v>2645009</v>
      </c>
      <c r="B286">
        <v>20251205</v>
      </c>
      <c r="C286">
        <v>15883</v>
      </c>
      <c r="D286">
        <v>0.67483870967741943</v>
      </c>
      <c r="E286" s="123" t="s">
        <v>1563</v>
      </c>
      <c r="F286" s="123" t="s">
        <v>185</v>
      </c>
      <c r="G286" s="123"/>
      <c r="H286" s="95">
        <v>45996</v>
      </c>
      <c r="I286">
        <v>37439</v>
      </c>
      <c r="J286" s="123" t="s">
        <v>1046</v>
      </c>
      <c r="K286" s="123" t="s">
        <v>1047</v>
      </c>
      <c r="L286" s="123" t="e">
        <f>VLOOKUP(Fact_AUM_FyoCapital[[#This Row],[Dim_Empresas.CUIT]],'clientes SQL'!C:D,2,0)</f>
        <v>#N/A</v>
      </c>
    </row>
    <row r="287" spans="1:12" hidden="1" x14ac:dyDescent="0.3">
      <c r="A287">
        <v>2613449</v>
      </c>
      <c r="B287">
        <v>20251205</v>
      </c>
      <c r="C287">
        <v>2207</v>
      </c>
      <c r="D287">
        <v>63.723702664796633</v>
      </c>
      <c r="E287" s="123" t="s">
        <v>1563</v>
      </c>
      <c r="F287" s="123" t="s">
        <v>185</v>
      </c>
      <c r="G287" s="123"/>
      <c r="H287" s="95">
        <v>45996</v>
      </c>
      <c r="I287">
        <v>30215</v>
      </c>
      <c r="J287" s="123" t="s">
        <v>324</v>
      </c>
      <c r="K287" s="123" t="s">
        <v>1012</v>
      </c>
      <c r="L287" s="123" t="e">
        <f>VLOOKUP(Fact_AUM_FyoCapital[[#This Row],[Dim_Empresas.CUIT]],'clientes SQL'!C:D,2,0)</f>
        <v>#N/A</v>
      </c>
    </row>
    <row r="288" spans="1:12" hidden="1" x14ac:dyDescent="0.3">
      <c r="A288">
        <v>1874977</v>
      </c>
      <c r="B288">
        <v>20251205</v>
      </c>
      <c r="C288">
        <v>969</v>
      </c>
      <c r="D288">
        <v>499.70546984572229</v>
      </c>
      <c r="E288" s="123" t="s">
        <v>1566</v>
      </c>
      <c r="F288" s="123" t="s">
        <v>1573</v>
      </c>
      <c r="G288" s="123"/>
      <c r="H288" s="95">
        <v>45996</v>
      </c>
      <c r="I288">
        <v>3511</v>
      </c>
      <c r="J288" s="123" t="s">
        <v>989</v>
      </c>
      <c r="K288" s="123" t="s">
        <v>990</v>
      </c>
      <c r="L288" s="123" t="e">
        <f>VLOOKUP(Fact_AUM_FyoCapital[[#This Row],[Dim_Empresas.CUIT]],'clientes SQL'!C:D,2,0)</f>
        <v>#N/A</v>
      </c>
    </row>
    <row r="289" spans="1:12" hidden="1" x14ac:dyDescent="0.3">
      <c r="A289">
        <v>1874497</v>
      </c>
      <c r="B289">
        <v>20251205</v>
      </c>
      <c r="C289">
        <v>519</v>
      </c>
      <c r="D289">
        <v>17739.130434782608</v>
      </c>
      <c r="E289" s="123" t="s">
        <v>1566</v>
      </c>
      <c r="F289" s="123" t="s">
        <v>1573</v>
      </c>
      <c r="G289" s="123"/>
      <c r="H289" s="95">
        <v>45996</v>
      </c>
      <c r="I289">
        <v>8959</v>
      </c>
      <c r="J289" s="123" t="s">
        <v>330</v>
      </c>
      <c r="K289" s="123" t="s">
        <v>960</v>
      </c>
      <c r="L289" s="123" t="e">
        <f>VLOOKUP(Fact_AUM_FyoCapital[[#This Row],[Dim_Empresas.CUIT]],'clientes SQL'!C:D,2,0)</f>
        <v>#N/A</v>
      </c>
    </row>
    <row r="290" spans="1:12" hidden="1" x14ac:dyDescent="0.3">
      <c r="A290">
        <v>1898017</v>
      </c>
      <c r="B290">
        <v>20251205</v>
      </c>
      <c r="C290">
        <v>12855</v>
      </c>
      <c r="D290">
        <v>18801.8</v>
      </c>
      <c r="E290" s="123" t="s">
        <v>1566</v>
      </c>
      <c r="F290" s="123" t="s">
        <v>1578</v>
      </c>
      <c r="G290" s="123"/>
      <c r="H290" s="95">
        <v>45996</v>
      </c>
      <c r="I290">
        <v>36077</v>
      </c>
      <c r="J290" s="123" t="s">
        <v>563</v>
      </c>
      <c r="K290" s="123" t="s">
        <v>969</v>
      </c>
      <c r="L290" s="123" t="e">
        <f>VLOOKUP(Fact_AUM_FyoCapital[[#This Row],[Dim_Empresas.CUIT]],'clientes SQL'!C:D,2,0)</f>
        <v>#N/A</v>
      </c>
    </row>
    <row r="291" spans="1:12" hidden="1" x14ac:dyDescent="0.3">
      <c r="A291">
        <v>2630549</v>
      </c>
      <c r="B291">
        <v>20251205</v>
      </c>
      <c r="C291">
        <v>1032</v>
      </c>
      <c r="D291">
        <v>109755.8</v>
      </c>
      <c r="E291" s="123" t="s">
        <v>1563</v>
      </c>
      <c r="F291" s="123" t="s">
        <v>188</v>
      </c>
      <c r="G291" s="123"/>
      <c r="H291" s="95">
        <v>45996</v>
      </c>
      <c r="I291">
        <v>18646</v>
      </c>
      <c r="J291" s="123" t="s">
        <v>334</v>
      </c>
      <c r="K291" s="123" t="s">
        <v>977</v>
      </c>
      <c r="L291" s="123" t="e">
        <f>VLOOKUP(Fact_AUM_FyoCapital[[#This Row],[Dim_Empresas.CUIT]],'clientes SQL'!C:D,2,0)</f>
        <v>#N/A</v>
      </c>
    </row>
    <row r="292" spans="1:12" hidden="1" x14ac:dyDescent="0.3">
      <c r="A292">
        <v>1853977</v>
      </c>
      <c r="B292">
        <v>20251205</v>
      </c>
      <c r="C292">
        <v>1325</v>
      </c>
      <c r="D292">
        <v>191213.82047685835</v>
      </c>
      <c r="E292" s="123" t="s">
        <v>1566</v>
      </c>
      <c r="F292" s="123" t="s">
        <v>1571</v>
      </c>
      <c r="G292" s="123"/>
      <c r="H292" s="95">
        <v>45996</v>
      </c>
      <c r="I292">
        <v>19458</v>
      </c>
      <c r="J292" s="123" t="s">
        <v>397</v>
      </c>
      <c r="K292" s="123" t="s">
        <v>970</v>
      </c>
      <c r="L292" s="123" t="e">
        <f>VLOOKUP(Fact_AUM_FyoCapital[[#This Row],[Dim_Empresas.CUIT]],'clientes SQL'!C:D,2,0)</f>
        <v>#N/A</v>
      </c>
    </row>
    <row r="293" spans="1:12" hidden="1" x14ac:dyDescent="0.3">
      <c r="A293">
        <v>2610329</v>
      </c>
      <c r="B293">
        <v>20251205</v>
      </c>
      <c r="C293">
        <v>8985</v>
      </c>
      <c r="D293" s="6">
        <v>3.1556802244039271E-4</v>
      </c>
      <c r="E293" s="123" t="s">
        <v>1563</v>
      </c>
      <c r="F293" s="123" t="s">
        <v>185</v>
      </c>
      <c r="G293" s="123"/>
      <c r="H293" s="95">
        <v>45996</v>
      </c>
      <c r="I293">
        <v>35359</v>
      </c>
      <c r="J293" s="123" t="s">
        <v>208</v>
      </c>
      <c r="K293" s="123" t="s">
        <v>997</v>
      </c>
      <c r="L293" s="123" t="e">
        <f>VLOOKUP(Fact_AUM_FyoCapital[[#This Row],[Dim_Empresas.CUIT]],'clientes SQL'!C:D,2,0)</f>
        <v>#N/A</v>
      </c>
    </row>
    <row r="294" spans="1:12" hidden="1" x14ac:dyDescent="0.3">
      <c r="A294">
        <v>2633969</v>
      </c>
      <c r="B294">
        <v>20251205</v>
      </c>
      <c r="C294">
        <v>1750</v>
      </c>
      <c r="D294">
        <v>898.52</v>
      </c>
      <c r="E294" s="123" t="s">
        <v>1563</v>
      </c>
      <c r="F294" s="123" t="s">
        <v>188</v>
      </c>
      <c r="G294" s="123"/>
      <c r="H294" s="95">
        <v>45996</v>
      </c>
      <c r="I294">
        <v>20554</v>
      </c>
      <c r="J294" s="123" t="s">
        <v>505</v>
      </c>
      <c r="K294" s="123" t="s">
        <v>973</v>
      </c>
      <c r="L294" s="123" t="e">
        <f>VLOOKUP(Fact_AUM_FyoCapital[[#This Row],[Dim_Empresas.CUIT]],'clientes SQL'!C:D,2,0)</f>
        <v>#N/A</v>
      </c>
    </row>
    <row r="295" spans="1:12" hidden="1" x14ac:dyDescent="0.3">
      <c r="A295">
        <v>1836937</v>
      </c>
      <c r="B295">
        <v>20251205</v>
      </c>
      <c r="C295">
        <v>626</v>
      </c>
      <c r="D295">
        <v>767.81</v>
      </c>
      <c r="E295" s="123" t="s">
        <v>1566</v>
      </c>
      <c r="F295" s="123" t="s">
        <v>1571</v>
      </c>
      <c r="G295" s="123"/>
      <c r="H295" s="95">
        <v>45996</v>
      </c>
      <c r="I295">
        <v>580</v>
      </c>
      <c r="J295" s="123" t="s">
        <v>345</v>
      </c>
      <c r="K295" s="123" t="s">
        <v>979</v>
      </c>
      <c r="L295" s="123" t="e">
        <f>VLOOKUP(Fact_AUM_FyoCapital[[#This Row],[Dim_Empresas.CUIT]],'clientes SQL'!C:D,2,0)</f>
        <v>#N/A</v>
      </c>
    </row>
    <row r="296" spans="1:12" hidden="1" x14ac:dyDescent="0.3">
      <c r="A296">
        <v>1875157</v>
      </c>
      <c r="B296">
        <v>20251205</v>
      </c>
      <c r="C296">
        <v>969</v>
      </c>
      <c r="D296">
        <v>0</v>
      </c>
      <c r="E296" s="123"/>
      <c r="F296" s="123"/>
      <c r="G296" s="123"/>
      <c r="H296" s="95">
        <v>45996</v>
      </c>
      <c r="I296">
        <v>3511</v>
      </c>
      <c r="J296" s="123" t="s">
        <v>989</v>
      </c>
      <c r="K296" s="123" t="s">
        <v>990</v>
      </c>
      <c r="L296" s="123" t="e">
        <f>VLOOKUP(Fact_AUM_FyoCapital[[#This Row],[Dim_Empresas.CUIT]],'clientes SQL'!C:D,2,0)</f>
        <v>#N/A</v>
      </c>
    </row>
    <row r="297" spans="1:12" hidden="1" x14ac:dyDescent="0.3">
      <c r="A297">
        <v>2616029</v>
      </c>
      <c r="B297">
        <v>20251205</v>
      </c>
      <c r="C297">
        <v>1291</v>
      </c>
      <c r="D297">
        <v>1.1921458625525948E-4</v>
      </c>
      <c r="E297" s="123" t="s">
        <v>1563</v>
      </c>
      <c r="F297" s="123" t="s">
        <v>185</v>
      </c>
      <c r="G297" s="123"/>
      <c r="H297" s="95">
        <v>45996</v>
      </c>
      <c r="I297">
        <v>19409</v>
      </c>
      <c r="J297" s="123" t="s">
        <v>308</v>
      </c>
      <c r="K297" s="123" t="s">
        <v>954</v>
      </c>
      <c r="L297" s="123" t="e">
        <f>VLOOKUP(Fact_AUM_FyoCapital[[#This Row],[Dim_Empresas.CUIT]],'clientes SQL'!C:D,2,0)</f>
        <v>#N/A</v>
      </c>
    </row>
    <row r="298" spans="1:12" hidden="1" x14ac:dyDescent="0.3">
      <c r="A298">
        <v>1876957</v>
      </c>
      <c r="B298">
        <v>20251205</v>
      </c>
      <c r="C298">
        <v>1523</v>
      </c>
      <c r="D298">
        <v>90000</v>
      </c>
      <c r="E298" s="123" t="s">
        <v>1566</v>
      </c>
      <c r="F298" s="123" t="s">
        <v>1578</v>
      </c>
      <c r="G298" s="123"/>
      <c r="H298" s="95">
        <v>45996</v>
      </c>
      <c r="I298">
        <v>20093</v>
      </c>
      <c r="J298" s="123" t="s">
        <v>987</v>
      </c>
      <c r="K298" s="123" t="s">
        <v>988</v>
      </c>
      <c r="L298" s="123" t="e">
        <f>VLOOKUP(Fact_AUM_FyoCapital[[#This Row],[Dim_Empresas.CUIT]],'clientes SQL'!C:D,2,0)</f>
        <v>#N/A</v>
      </c>
    </row>
    <row r="299" spans="1:12" hidden="1" x14ac:dyDescent="0.3">
      <c r="A299">
        <v>1901137</v>
      </c>
      <c r="B299">
        <v>20251205</v>
      </c>
      <c r="C299">
        <v>13663</v>
      </c>
      <c r="D299">
        <v>43.175063113604487</v>
      </c>
      <c r="E299" s="123" t="s">
        <v>1568</v>
      </c>
      <c r="F299" s="123" t="s">
        <v>1572</v>
      </c>
      <c r="G299" s="123" t="s">
        <v>1574</v>
      </c>
      <c r="H299" s="95">
        <v>45996</v>
      </c>
      <c r="I299">
        <v>36828</v>
      </c>
      <c r="J299" s="123" t="s">
        <v>559</v>
      </c>
      <c r="K299" s="123" t="s">
        <v>1015</v>
      </c>
      <c r="L299" s="123" t="e">
        <f>VLOOKUP(Fact_AUM_FyoCapital[[#This Row],[Dim_Empresas.CUIT]],'clientes SQL'!C:D,2,0)</f>
        <v>#N/A</v>
      </c>
    </row>
    <row r="300" spans="1:12" hidden="1" x14ac:dyDescent="0.3">
      <c r="A300">
        <v>2642009</v>
      </c>
      <c r="B300">
        <v>20251205</v>
      </c>
      <c r="C300">
        <v>783</v>
      </c>
      <c r="D300">
        <v>0</v>
      </c>
      <c r="E300" s="123"/>
      <c r="F300" s="123"/>
      <c r="G300" s="123"/>
      <c r="H300" s="95">
        <v>45996</v>
      </c>
      <c r="I300">
        <v>15348</v>
      </c>
      <c r="J300" s="123" t="s">
        <v>384</v>
      </c>
      <c r="K300" s="123" t="s">
        <v>998</v>
      </c>
      <c r="L300" s="123">
        <f>VLOOKUP(Fact_AUM_FyoCapital[[#This Row],[Dim_Empresas.CUIT]],'clientes SQL'!C:D,2,0)</f>
        <v>13010</v>
      </c>
    </row>
    <row r="301" spans="1:12" hidden="1" x14ac:dyDescent="0.3">
      <c r="A301">
        <v>1874197</v>
      </c>
      <c r="B301">
        <v>20251205</v>
      </c>
      <c r="C301">
        <v>519</v>
      </c>
      <c r="D301">
        <v>0</v>
      </c>
      <c r="E301" s="123"/>
      <c r="F301" s="123"/>
      <c r="G301" s="123"/>
      <c r="H301" s="95">
        <v>45996</v>
      </c>
      <c r="I301">
        <v>8959</v>
      </c>
      <c r="J301" s="123" t="s">
        <v>330</v>
      </c>
      <c r="K301" s="123" t="s">
        <v>960</v>
      </c>
      <c r="L301" s="123" t="e">
        <f>VLOOKUP(Fact_AUM_FyoCapital[[#This Row],[Dim_Empresas.CUIT]],'clientes SQL'!C:D,2,0)</f>
        <v>#N/A</v>
      </c>
    </row>
    <row r="302" spans="1:12" hidden="1" x14ac:dyDescent="0.3">
      <c r="A302">
        <v>1889677</v>
      </c>
      <c r="B302">
        <v>20251205</v>
      </c>
      <c r="C302">
        <v>393</v>
      </c>
      <c r="D302">
        <v>61114.270687237025</v>
      </c>
      <c r="E302" s="123" t="s">
        <v>1566</v>
      </c>
      <c r="F302" s="123" t="s">
        <v>1573</v>
      </c>
      <c r="G302" s="123"/>
      <c r="H302" s="95">
        <v>45996</v>
      </c>
      <c r="I302">
        <v>1169</v>
      </c>
      <c r="J302" s="123" t="s">
        <v>941</v>
      </c>
      <c r="K302" s="123" t="s">
        <v>942</v>
      </c>
      <c r="L302" s="123" t="e">
        <f>VLOOKUP(Fact_AUM_FyoCapital[[#This Row],[Dim_Empresas.CUIT]],'clientes SQL'!C:D,2,0)</f>
        <v>#N/A</v>
      </c>
    </row>
    <row r="303" spans="1:12" hidden="1" x14ac:dyDescent="0.3">
      <c r="A303">
        <v>1837117</v>
      </c>
      <c r="B303">
        <v>20251205</v>
      </c>
      <c r="C303">
        <v>626</v>
      </c>
      <c r="D303">
        <v>58436.535764375876</v>
      </c>
      <c r="E303" s="123" t="s">
        <v>1566</v>
      </c>
      <c r="F303" s="123" t="s">
        <v>1582</v>
      </c>
      <c r="G303" s="123"/>
      <c r="H303" s="95">
        <v>45996</v>
      </c>
      <c r="I303">
        <v>580</v>
      </c>
      <c r="J303" s="123" t="s">
        <v>345</v>
      </c>
      <c r="K303" s="123" t="s">
        <v>979</v>
      </c>
      <c r="L303" s="123" t="e">
        <f>VLOOKUP(Fact_AUM_FyoCapital[[#This Row],[Dim_Empresas.CUIT]],'clientes SQL'!C:D,2,0)</f>
        <v>#N/A</v>
      </c>
    </row>
    <row r="304" spans="1:12" hidden="1" x14ac:dyDescent="0.3">
      <c r="A304">
        <v>1884697</v>
      </c>
      <c r="B304">
        <v>20251205</v>
      </c>
      <c r="C304">
        <v>1750</v>
      </c>
      <c r="D304">
        <v>0</v>
      </c>
      <c r="E304" s="123"/>
      <c r="F304" s="123"/>
      <c r="G304" s="123"/>
      <c r="H304" s="95">
        <v>45996</v>
      </c>
      <c r="I304">
        <v>20554</v>
      </c>
      <c r="J304" s="123" t="s">
        <v>505</v>
      </c>
      <c r="K304" s="123" t="s">
        <v>973</v>
      </c>
      <c r="L304" s="123" t="e">
        <f>VLOOKUP(Fact_AUM_FyoCapital[[#This Row],[Dim_Empresas.CUIT]],'clientes SQL'!C:D,2,0)</f>
        <v>#N/A</v>
      </c>
    </row>
    <row r="305" spans="1:12" hidden="1" x14ac:dyDescent="0.3">
      <c r="A305">
        <v>1847437</v>
      </c>
      <c r="B305">
        <v>20251205</v>
      </c>
      <c r="C305">
        <v>13761</v>
      </c>
      <c r="D305">
        <v>7035</v>
      </c>
      <c r="E305" s="123" t="s">
        <v>1566</v>
      </c>
      <c r="F305" s="123" t="s">
        <v>1579</v>
      </c>
      <c r="G305" s="123"/>
      <c r="H305" s="95">
        <v>45996</v>
      </c>
      <c r="I305">
        <v>36914</v>
      </c>
      <c r="J305" s="123" t="s">
        <v>315</v>
      </c>
      <c r="K305" s="123" t="s">
        <v>1106</v>
      </c>
      <c r="L305" s="123" t="e">
        <f>VLOOKUP(Fact_AUM_FyoCapital[[#This Row],[Dim_Empresas.CUIT]],'clientes SQL'!C:D,2,0)</f>
        <v>#N/A</v>
      </c>
    </row>
    <row r="306" spans="1:12" hidden="1" x14ac:dyDescent="0.3">
      <c r="A306">
        <v>1898497</v>
      </c>
      <c r="B306">
        <v>20251205</v>
      </c>
      <c r="C306">
        <v>12855</v>
      </c>
      <c r="D306">
        <v>166440000</v>
      </c>
      <c r="E306" s="123" t="s">
        <v>1566</v>
      </c>
      <c r="F306" s="123" t="s">
        <v>1579</v>
      </c>
      <c r="G306" s="123"/>
      <c r="H306" s="95">
        <v>45996</v>
      </c>
      <c r="I306">
        <v>36077</v>
      </c>
      <c r="J306" s="123" t="s">
        <v>563</v>
      </c>
      <c r="K306" s="123" t="s">
        <v>969</v>
      </c>
      <c r="L306" s="123" t="e">
        <f>VLOOKUP(Fact_AUM_FyoCapital[[#This Row],[Dim_Empresas.CUIT]],'clientes SQL'!C:D,2,0)</f>
        <v>#N/A</v>
      </c>
    </row>
    <row r="307" spans="1:12" hidden="1" x14ac:dyDescent="0.3">
      <c r="A307">
        <v>2628929</v>
      </c>
      <c r="B307">
        <v>20251205</v>
      </c>
      <c r="C307">
        <v>654</v>
      </c>
      <c r="D307">
        <v>-54.757082748948108</v>
      </c>
      <c r="E307" s="123" t="s">
        <v>1563</v>
      </c>
      <c r="F307" s="123" t="s">
        <v>185</v>
      </c>
      <c r="G307" s="123"/>
      <c r="H307" s="95">
        <v>45996</v>
      </c>
      <c r="I307">
        <v>9500</v>
      </c>
      <c r="J307" s="123" t="s">
        <v>1002</v>
      </c>
      <c r="K307" s="123" t="s">
        <v>1003</v>
      </c>
      <c r="L307" s="123" t="e">
        <f>VLOOKUP(Fact_AUM_FyoCapital[[#This Row],[Dim_Empresas.CUIT]],'clientes SQL'!C:D,2,0)</f>
        <v>#N/A</v>
      </c>
    </row>
    <row r="308" spans="1:12" hidden="1" x14ac:dyDescent="0.3">
      <c r="A308">
        <v>2621489</v>
      </c>
      <c r="B308">
        <v>20251205</v>
      </c>
      <c r="C308">
        <v>5871</v>
      </c>
      <c r="D308">
        <v>0.52</v>
      </c>
      <c r="E308" s="123" t="s">
        <v>1563</v>
      </c>
      <c r="F308" s="123" t="s">
        <v>950</v>
      </c>
      <c r="G308" s="123"/>
      <c r="H308" s="95">
        <v>45996</v>
      </c>
      <c r="I308">
        <v>31505</v>
      </c>
      <c r="J308" s="123" t="s">
        <v>385</v>
      </c>
      <c r="K308" s="123" t="s">
        <v>1053</v>
      </c>
      <c r="L308" s="123" t="e">
        <f>VLOOKUP(Fact_AUM_FyoCapital[[#This Row],[Dim_Empresas.CUIT]],'clientes SQL'!C:D,2,0)</f>
        <v>#N/A</v>
      </c>
    </row>
    <row r="309" spans="1:12" hidden="1" x14ac:dyDescent="0.3">
      <c r="A309">
        <v>1879057</v>
      </c>
      <c r="B309">
        <v>20251205</v>
      </c>
      <c r="C309">
        <v>106</v>
      </c>
      <c r="D309">
        <v>738088.01</v>
      </c>
      <c r="E309" s="123" t="s">
        <v>1566</v>
      </c>
      <c r="F309" s="123" t="s">
        <v>1579</v>
      </c>
      <c r="G309" s="123"/>
      <c r="H309" s="95">
        <v>45996</v>
      </c>
      <c r="I309">
        <v>6149</v>
      </c>
      <c r="J309" s="123" t="s">
        <v>554</v>
      </c>
      <c r="K309" s="123" t="s">
        <v>935</v>
      </c>
      <c r="L309" s="123" t="e">
        <f>VLOOKUP(Fact_AUM_FyoCapital[[#This Row],[Dim_Empresas.CUIT]],'clientes SQL'!C:D,2,0)</f>
        <v>#N/A</v>
      </c>
    </row>
    <row r="310" spans="1:12" hidden="1" x14ac:dyDescent="0.3">
      <c r="A310">
        <v>1829437</v>
      </c>
      <c r="B310">
        <v>20251205</v>
      </c>
      <c r="C310">
        <v>6020</v>
      </c>
      <c r="D310">
        <v>11718.641234221599</v>
      </c>
      <c r="E310" s="123" t="s">
        <v>1568</v>
      </c>
      <c r="F310" s="123" t="s">
        <v>1572</v>
      </c>
      <c r="G310" s="123" t="s">
        <v>1570</v>
      </c>
      <c r="H310" s="95">
        <v>45996</v>
      </c>
      <c r="I310">
        <v>33531</v>
      </c>
      <c r="J310" s="123" t="s">
        <v>203</v>
      </c>
      <c r="K310" s="123" t="s">
        <v>999</v>
      </c>
      <c r="L310" s="123" t="e">
        <f>VLOOKUP(Fact_AUM_FyoCapital[[#This Row],[Dim_Empresas.CUIT]],'clientes SQL'!C:D,2,0)</f>
        <v>#N/A</v>
      </c>
    </row>
    <row r="311" spans="1:12" hidden="1" x14ac:dyDescent="0.3">
      <c r="A311">
        <v>1898557</v>
      </c>
      <c r="B311">
        <v>20251205</v>
      </c>
      <c r="C311">
        <v>12855</v>
      </c>
      <c r="D311">
        <v>4184.1099999999997</v>
      </c>
      <c r="E311" s="123" t="s">
        <v>1568</v>
      </c>
      <c r="F311" s="123" t="s">
        <v>1575</v>
      </c>
      <c r="G311" s="123" t="s">
        <v>1583</v>
      </c>
      <c r="H311" s="95">
        <v>45996</v>
      </c>
      <c r="I311">
        <v>36077</v>
      </c>
      <c r="J311" s="123" t="s">
        <v>563</v>
      </c>
      <c r="K311" s="123" t="s">
        <v>969</v>
      </c>
      <c r="L311" s="123" t="e">
        <f>VLOOKUP(Fact_AUM_FyoCapital[[#This Row],[Dim_Empresas.CUIT]],'clientes SQL'!C:D,2,0)</f>
        <v>#N/A</v>
      </c>
    </row>
    <row r="312" spans="1:12" hidden="1" x14ac:dyDescent="0.3">
      <c r="A312">
        <v>1884577</v>
      </c>
      <c r="B312">
        <v>20251205</v>
      </c>
      <c r="C312">
        <v>1750</v>
      </c>
      <c r="D312">
        <v>355095.27152875176</v>
      </c>
      <c r="E312" s="123" t="s">
        <v>1566</v>
      </c>
      <c r="F312" s="123" t="s">
        <v>1571</v>
      </c>
      <c r="G312" s="123"/>
      <c r="H312" s="95">
        <v>45996</v>
      </c>
      <c r="I312">
        <v>20554</v>
      </c>
      <c r="J312" s="123" t="s">
        <v>505</v>
      </c>
      <c r="K312" s="123" t="s">
        <v>973</v>
      </c>
      <c r="L312" s="123" t="e">
        <f>VLOOKUP(Fact_AUM_FyoCapital[[#This Row],[Dim_Empresas.CUIT]],'clientes SQL'!C:D,2,0)</f>
        <v>#N/A</v>
      </c>
    </row>
    <row r="313" spans="1:12" hidden="1" x14ac:dyDescent="0.3">
      <c r="A313">
        <v>1889977</v>
      </c>
      <c r="B313">
        <v>20251205</v>
      </c>
      <c r="C313">
        <v>393</v>
      </c>
      <c r="D313">
        <v>0</v>
      </c>
      <c r="E313" s="123"/>
      <c r="F313" s="123"/>
      <c r="G313" s="123"/>
      <c r="H313" s="95">
        <v>45996</v>
      </c>
      <c r="I313">
        <v>1169</v>
      </c>
      <c r="J313" s="123" t="s">
        <v>941</v>
      </c>
      <c r="K313" s="123" t="s">
        <v>942</v>
      </c>
      <c r="L313" s="123" t="e">
        <f>VLOOKUP(Fact_AUM_FyoCapital[[#This Row],[Dim_Empresas.CUIT]],'clientes SQL'!C:D,2,0)</f>
        <v>#N/A</v>
      </c>
    </row>
    <row r="314" spans="1:12" hidden="1" x14ac:dyDescent="0.3">
      <c r="A314">
        <v>1893397</v>
      </c>
      <c r="B314">
        <v>20251205</v>
      </c>
      <c r="C314">
        <v>4955</v>
      </c>
      <c r="D314">
        <v>-50000</v>
      </c>
      <c r="E314" s="123" t="s">
        <v>1566</v>
      </c>
      <c r="F314" s="123" t="s">
        <v>1578</v>
      </c>
      <c r="G314" s="123"/>
      <c r="H314" s="95">
        <v>45996</v>
      </c>
      <c r="I314">
        <v>32964</v>
      </c>
      <c r="J314" s="123" t="s">
        <v>527</v>
      </c>
      <c r="K314" s="123" t="s">
        <v>981</v>
      </c>
      <c r="L314" s="123" t="e">
        <f>VLOOKUP(Fact_AUM_FyoCapital[[#This Row],[Dim_Empresas.CUIT]],'clientes SQL'!C:D,2,0)</f>
        <v>#N/A</v>
      </c>
    </row>
    <row r="315" spans="1:12" hidden="1" x14ac:dyDescent="0.3">
      <c r="A315">
        <v>1893577</v>
      </c>
      <c r="B315">
        <v>20251205</v>
      </c>
      <c r="C315">
        <v>4955</v>
      </c>
      <c r="D315">
        <v>0</v>
      </c>
      <c r="E315" s="123"/>
      <c r="F315" s="123"/>
      <c r="G315" s="123"/>
      <c r="H315" s="95">
        <v>45996</v>
      </c>
      <c r="I315">
        <v>32964</v>
      </c>
      <c r="J315" s="123" t="s">
        <v>527</v>
      </c>
      <c r="K315" s="123" t="s">
        <v>981</v>
      </c>
      <c r="L315" s="123" t="e">
        <f>VLOOKUP(Fact_AUM_FyoCapital[[#This Row],[Dim_Empresas.CUIT]],'clientes SQL'!C:D,2,0)</f>
        <v>#N/A</v>
      </c>
    </row>
    <row r="316" spans="1:12" hidden="1" x14ac:dyDescent="0.3">
      <c r="A316">
        <v>2627009</v>
      </c>
      <c r="B316">
        <v>20251205</v>
      </c>
      <c r="C316">
        <v>1843</v>
      </c>
      <c r="D316">
        <v>-0.01</v>
      </c>
      <c r="E316" s="123" t="s">
        <v>1563</v>
      </c>
      <c r="F316" s="123" t="s">
        <v>801</v>
      </c>
      <c r="G316" s="123"/>
      <c r="H316" s="95">
        <v>45996</v>
      </c>
      <c r="I316">
        <v>20674</v>
      </c>
      <c r="J316" s="123" t="s">
        <v>474</v>
      </c>
      <c r="K316" s="123" t="s">
        <v>1052</v>
      </c>
      <c r="L316" s="123" t="e">
        <f>VLOOKUP(Fact_AUM_FyoCapital[[#This Row],[Dim_Empresas.CUIT]],'clientes SQL'!C:D,2,0)</f>
        <v>#N/A</v>
      </c>
    </row>
    <row r="317" spans="1:12" hidden="1" x14ac:dyDescent="0.3">
      <c r="A317">
        <v>1865737</v>
      </c>
      <c r="B317">
        <v>20251205</v>
      </c>
      <c r="C317">
        <v>5869</v>
      </c>
      <c r="D317">
        <v>258110.0631136045</v>
      </c>
      <c r="E317" s="123" t="s">
        <v>1566</v>
      </c>
      <c r="F317" s="123" t="s">
        <v>1573</v>
      </c>
      <c r="G317" s="123"/>
      <c r="H317" s="95">
        <v>45996</v>
      </c>
      <c r="I317">
        <v>33280</v>
      </c>
      <c r="J317" s="123" t="s">
        <v>495</v>
      </c>
      <c r="K317" s="123" t="s">
        <v>1019</v>
      </c>
      <c r="L317" s="123" t="e">
        <f>VLOOKUP(Fact_AUM_FyoCapital[[#This Row],[Dim_Empresas.CUIT]],'clientes SQL'!C:D,2,0)</f>
        <v>#N/A</v>
      </c>
    </row>
    <row r="318" spans="1:12" hidden="1" x14ac:dyDescent="0.3">
      <c r="A318">
        <v>2618069</v>
      </c>
      <c r="B318">
        <v>20251205</v>
      </c>
      <c r="C318">
        <v>9936</v>
      </c>
      <c r="D318">
        <v>-60.822405329593266</v>
      </c>
      <c r="E318" s="123" t="s">
        <v>1563</v>
      </c>
      <c r="F318" s="123" t="s">
        <v>185</v>
      </c>
      <c r="G318" s="123"/>
      <c r="H318" s="95">
        <v>45996</v>
      </c>
      <c r="I318">
        <v>35436</v>
      </c>
      <c r="J318" s="123" t="s">
        <v>300</v>
      </c>
      <c r="K318" s="123" t="s">
        <v>1037</v>
      </c>
      <c r="L318" s="123" t="e">
        <f>VLOOKUP(Fact_AUM_FyoCapital[[#This Row],[Dim_Empresas.CUIT]],'clientes SQL'!C:D,2,0)</f>
        <v>#N/A</v>
      </c>
    </row>
    <row r="319" spans="1:12" hidden="1" x14ac:dyDescent="0.3">
      <c r="A319">
        <v>1877317</v>
      </c>
      <c r="B319">
        <v>20251205</v>
      </c>
      <c r="C319">
        <v>1523</v>
      </c>
      <c r="D319">
        <v>9334.14</v>
      </c>
      <c r="E319" s="123" t="s">
        <v>1566</v>
      </c>
      <c r="F319" s="123" t="s">
        <v>1571</v>
      </c>
      <c r="G319" s="123"/>
      <c r="H319" s="95">
        <v>45996</v>
      </c>
      <c r="I319">
        <v>20093</v>
      </c>
      <c r="J319" s="123" t="s">
        <v>987</v>
      </c>
      <c r="K319" s="123" t="s">
        <v>988</v>
      </c>
      <c r="L319" s="123" t="e">
        <f>VLOOKUP(Fact_AUM_FyoCapital[[#This Row],[Dim_Empresas.CUIT]],'clientes SQL'!C:D,2,0)</f>
        <v>#N/A</v>
      </c>
    </row>
    <row r="320" spans="1:12" hidden="1" x14ac:dyDescent="0.3">
      <c r="A320">
        <v>2637149</v>
      </c>
      <c r="B320">
        <v>20251205</v>
      </c>
      <c r="C320">
        <v>4262</v>
      </c>
      <c r="D320">
        <v>1.7268863955119214</v>
      </c>
      <c r="E320" s="123" t="s">
        <v>1563</v>
      </c>
      <c r="F320" s="123" t="s">
        <v>185</v>
      </c>
      <c r="G320" s="123"/>
      <c r="H320" s="95">
        <v>45996</v>
      </c>
      <c r="I320">
        <v>32448</v>
      </c>
      <c r="J320" s="123" t="s">
        <v>1161</v>
      </c>
      <c r="K320" s="123" t="s">
        <v>1162</v>
      </c>
      <c r="L320" s="123" t="e">
        <f>VLOOKUP(Fact_AUM_FyoCapital[[#This Row],[Dim_Empresas.CUIT]],'clientes SQL'!C:D,2,0)</f>
        <v>#N/A</v>
      </c>
    </row>
    <row r="321" spans="1:12" hidden="1" x14ac:dyDescent="0.3">
      <c r="A321">
        <v>1503184</v>
      </c>
      <c r="B321">
        <v>20251205</v>
      </c>
      <c r="C321">
        <v>2077</v>
      </c>
      <c r="D321">
        <v>35735.703323983173</v>
      </c>
      <c r="E321" s="123" t="s">
        <v>1564</v>
      </c>
      <c r="F321" s="123" t="s">
        <v>1581</v>
      </c>
      <c r="G321" s="123"/>
      <c r="H321" s="95">
        <v>45996</v>
      </c>
      <c r="I321">
        <v>30257</v>
      </c>
      <c r="J321" s="123" t="s">
        <v>611</v>
      </c>
      <c r="K321" s="123" t="s">
        <v>1063</v>
      </c>
      <c r="L321" s="123" t="e">
        <f>VLOOKUP(Fact_AUM_FyoCapital[[#This Row],[Dim_Empresas.CUIT]],'clientes SQL'!C:D,2,0)</f>
        <v>#N/A</v>
      </c>
    </row>
    <row r="322" spans="1:12" hidden="1" x14ac:dyDescent="0.3">
      <c r="A322">
        <v>2605409</v>
      </c>
      <c r="B322">
        <v>20251205</v>
      </c>
      <c r="C322">
        <v>10090</v>
      </c>
      <c r="D322">
        <v>66936.748948106586</v>
      </c>
      <c r="E322" s="123" t="s">
        <v>1566</v>
      </c>
      <c r="F322" s="123" t="s">
        <v>1571</v>
      </c>
      <c r="G322" s="123"/>
      <c r="H322" s="95">
        <v>45996</v>
      </c>
      <c r="I322">
        <v>35555</v>
      </c>
      <c r="J322" s="123" t="s">
        <v>618</v>
      </c>
      <c r="K322" s="123" t="s">
        <v>1020</v>
      </c>
      <c r="L322" s="123" t="e">
        <f>VLOOKUP(Fact_AUM_FyoCapital[[#This Row],[Dim_Empresas.CUIT]],'clientes SQL'!C:D,2,0)</f>
        <v>#N/A</v>
      </c>
    </row>
    <row r="323" spans="1:12" hidden="1" x14ac:dyDescent="0.3">
      <c r="A323">
        <v>1837357</v>
      </c>
      <c r="B323">
        <v>20251205</v>
      </c>
      <c r="C323">
        <v>626</v>
      </c>
      <c r="D323">
        <v>227061.96141654981</v>
      </c>
      <c r="E323" s="123" t="s">
        <v>1566</v>
      </c>
      <c r="F323" s="123" t="s">
        <v>1571</v>
      </c>
      <c r="G323" s="123"/>
      <c r="H323" s="95">
        <v>45996</v>
      </c>
      <c r="I323">
        <v>580</v>
      </c>
      <c r="J323" s="123" t="s">
        <v>345</v>
      </c>
      <c r="K323" s="123" t="s">
        <v>979</v>
      </c>
      <c r="L323" s="123" t="e">
        <f>VLOOKUP(Fact_AUM_FyoCapital[[#This Row],[Dim_Empresas.CUIT]],'clientes SQL'!C:D,2,0)</f>
        <v>#N/A</v>
      </c>
    </row>
    <row r="324" spans="1:12" hidden="1" x14ac:dyDescent="0.3">
      <c r="A324">
        <v>2617229</v>
      </c>
      <c r="B324">
        <v>20251205</v>
      </c>
      <c r="C324">
        <v>12995</v>
      </c>
      <c r="D324">
        <v>2.0266970546984573</v>
      </c>
      <c r="E324" s="123" t="s">
        <v>1563</v>
      </c>
      <c r="F324" s="123" t="s">
        <v>185</v>
      </c>
      <c r="G324" s="123"/>
      <c r="H324" s="95">
        <v>45996</v>
      </c>
      <c r="I324">
        <v>36203</v>
      </c>
      <c r="J324" s="123" t="s">
        <v>295</v>
      </c>
      <c r="K324" s="123" t="s">
        <v>986</v>
      </c>
      <c r="L324" s="123" t="e">
        <f>VLOOKUP(Fact_AUM_FyoCapital[[#This Row],[Dim_Empresas.CUIT]],'clientes SQL'!C:D,2,0)</f>
        <v>#N/A</v>
      </c>
    </row>
    <row r="325" spans="1:12" hidden="1" x14ac:dyDescent="0.3">
      <c r="A325">
        <v>1889377</v>
      </c>
      <c r="B325">
        <v>20251205</v>
      </c>
      <c r="C325">
        <v>1076</v>
      </c>
      <c r="D325">
        <v>123.65507012622722</v>
      </c>
      <c r="E325" s="123" t="s">
        <v>1568</v>
      </c>
      <c r="F325" s="123" t="s">
        <v>1572</v>
      </c>
      <c r="G325" s="123" t="s">
        <v>1574</v>
      </c>
      <c r="H325" s="95">
        <v>45996</v>
      </c>
      <c r="I325">
        <v>18780</v>
      </c>
      <c r="J325" s="123" t="s">
        <v>120</v>
      </c>
      <c r="K325" s="123" t="s">
        <v>983</v>
      </c>
      <c r="L325" s="123">
        <f>VLOOKUP(Fact_AUM_FyoCapital[[#This Row],[Dim_Empresas.CUIT]],'clientes SQL'!C:D,2,0)</f>
        <v>13016</v>
      </c>
    </row>
    <row r="326" spans="1:12" hidden="1" x14ac:dyDescent="0.3">
      <c r="A326">
        <v>2625089</v>
      </c>
      <c r="B326">
        <v>20251205</v>
      </c>
      <c r="C326">
        <v>1105</v>
      </c>
      <c r="D326">
        <v>0</v>
      </c>
      <c r="E326" s="123"/>
      <c r="F326" s="123"/>
      <c r="G326" s="123"/>
      <c r="H326" s="95">
        <v>45996</v>
      </c>
      <c r="I326">
        <v>18797</v>
      </c>
      <c r="J326" s="123" t="s">
        <v>298</v>
      </c>
      <c r="K326" s="123" t="s">
        <v>1062</v>
      </c>
      <c r="L326" s="123" t="e">
        <f>VLOOKUP(Fact_AUM_FyoCapital[[#This Row],[Dim_Empresas.CUIT]],'clientes SQL'!C:D,2,0)</f>
        <v>#N/A</v>
      </c>
    </row>
    <row r="327" spans="1:12" hidden="1" x14ac:dyDescent="0.3">
      <c r="A327">
        <v>1898137</v>
      </c>
      <c r="B327">
        <v>20251205</v>
      </c>
      <c r="C327">
        <v>12855</v>
      </c>
      <c r="D327">
        <v>14120.22</v>
      </c>
      <c r="E327" s="123" t="s">
        <v>1566</v>
      </c>
      <c r="F327" s="123" t="s">
        <v>1578</v>
      </c>
      <c r="G327" s="123"/>
      <c r="H327" s="95">
        <v>45996</v>
      </c>
      <c r="I327">
        <v>36077</v>
      </c>
      <c r="J327" s="123" t="s">
        <v>563</v>
      </c>
      <c r="K327" s="123" t="s">
        <v>969</v>
      </c>
      <c r="L327" s="123" t="e">
        <f>VLOOKUP(Fact_AUM_FyoCapital[[#This Row],[Dim_Empresas.CUIT]],'clientes SQL'!C:D,2,0)</f>
        <v>#N/A</v>
      </c>
    </row>
    <row r="328" spans="1:12" hidden="1" x14ac:dyDescent="0.3">
      <c r="A328">
        <v>1836337</v>
      </c>
      <c r="B328">
        <v>20251205</v>
      </c>
      <c r="C328">
        <v>626</v>
      </c>
      <c r="D328">
        <v>10148.66</v>
      </c>
      <c r="E328" s="123" t="s">
        <v>1566</v>
      </c>
      <c r="F328" s="123" t="s">
        <v>1585</v>
      </c>
      <c r="G328" s="123"/>
      <c r="H328" s="95">
        <v>45996</v>
      </c>
      <c r="I328">
        <v>580</v>
      </c>
      <c r="J328" s="123" t="s">
        <v>345</v>
      </c>
      <c r="K328" s="123" t="s">
        <v>979</v>
      </c>
      <c r="L328" s="123" t="e">
        <f>VLOOKUP(Fact_AUM_FyoCapital[[#This Row],[Dim_Empresas.CUIT]],'clientes SQL'!C:D,2,0)</f>
        <v>#N/A</v>
      </c>
    </row>
    <row r="329" spans="1:12" hidden="1" x14ac:dyDescent="0.3">
      <c r="A329">
        <v>1875097</v>
      </c>
      <c r="B329">
        <v>20251205</v>
      </c>
      <c r="C329">
        <v>969</v>
      </c>
      <c r="D329">
        <v>346.96704067321178</v>
      </c>
      <c r="E329" s="123" t="s">
        <v>1566</v>
      </c>
      <c r="F329" s="123" t="s">
        <v>1573</v>
      </c>
      <c r="G329" s="123"/>
      <c r="H329" s="95">
        <v>45996</v>
      </c>
      <c r="I329">
        <v>3511</v>
      </c>
      <c r="J329" s="123" t="s">
        <v>989</v>
      </c>
      <c r="K329" s="123" t="s">
        <v>990</v>
      </c>
      <c r="L329" s="123" t="e">
        <f>VLOOKUP(Fact_AUM_FyoCapital[[#This Row],[Dim_Empresas.CUIT]],'clientes SQL'!C:D,2,0)</f>
        <v>#N/A</v>
      </c>
    </row>
    <row r="330" spans="1:12" hidden="1" x14ac:dyDescent="0.3">
      <c r="A330">
        <v>1883137</v>
      </c>
      <c r="B330">
        <v>20251205</v>
      </c>
      <c r="C330">
        <v>5975</v>
      </c>
      <c r="D330">
        <v>7881.4</v>
      </c>
      <c r="E330" s="123" t="s">
        <v>1568</v>
      </c>
      <c r="F330" s="123" t="s">
        <v>1572</v>
      </c>
      <c r="G330" s="123" t="s">
        <v>1570</v>
      </c>
      <c r="H330" s="95">
        <v>45996</v>
      </c>
      <c r="I330">
        <v>31332</v>
      </c>
      <c r="J330" s="123" t="s">
        <v>541</v>
      </c>
      <c r="K330" s="123" t="s">
        <v>955</v>
      </c>
      <c r="L330" s="123" t="e">
        <f>VLOOKUP(Fact_AUM_FyoCapital[[#This Row],[Dim_Empresas.CUIT]],'clientes SQL'!C:D,2,0)</f>
        <v>#N/A</v>
      </c>
    </row>
    <row r="331" spans="1:12" hidden="1" x14ac:dyDescent="0.3">
      <c r="A331">
        <v>1897897</v>
      </c>
      <c r="B331">
        <v>20251205</v>
      </c>
      <c r="C331">
        <v>12855</v>
      </c>
      <c r="D331">
        <v>14101.35</v>
      </c>
      <c r="E331" s="123" t="s">
        <v>1566</v>
      </c>
      <c r="F331" s="123" t="s">
        <v>1578</v>
      </c>
      <c r="G331" s="123"/>
      <c r="H331" s="95">
        <v>45996</v>
      </c>
      <c r="I331">
        <v>36077</v>
      </c>
      <c r="J331" s="123" t="s">
        <v>563</v>
      </c>
      <c r="K331" s="123" t="s">
        <v>969</v>
      </c>
      <c r="L331" s="123" t="e">
        <f>VLOOKUP(Fact_AUM_FyoCapital[[#This Row],[Dim_Empresas.CUIT]],'clientes SQL'!C:D,2,0)</f>
        <v>#N/A</v>
      </c>
    </row>
    <row r="332" spans="1:12" hidden="1" x14ac:dyDescent="0.3">
      <c r="A332">
        <v>1893697</v>
      </c>
      <c r="B332">
        <v>20251205</v>
      </c>
      <c r="C332">
        <v>4955</v>
      </c>
      <c r="D332">
        <v>10551.105133239831</v>
      </c>
      <c r="E332" s="123" t="s">
        <v>1568</v>
      </c>
      <c r="F332" s="123" t="s">
        <v>1572</v>
      </c>
      <c r="G332" s="123" t="s">
        <v>1583</v>
      </c>
      <c r="H332" s="95">
        <v>45996</v>
      </c>
      <c r="I332">
        <v>32964</v>
      </c>
      <c r="J332" s="123" t="s">
        <v>527</v>
      </c>
      <c r="K332" s="123" t="s">
        <v>981</v>
      </c>
      <c r="L332" s="123" t="e">
        <f>VLOOKUP(Fact_AUM_FyoCapital[[#This Row],[Dim_Empresas.CUIT]],'clientes SQL'!C:D,2,0)</f>
        <v>#N/A</v>
      </c>
    </row>
    <row r="333" spans="1:12" hidden="1" x14ac:dyDescent="0.3">
      <c r="A333">
        <v>2644649</v>
      </c>
      <c r="B333">
        <v>20251205</v>
      </c>
      <c r="C333">
        <v>13817</v>
      </c>
      <c r="D333">
        <v>0.53</v>
      </c>
      <c r="E333" s="123" t="s">
        <v>1563</v>
      </c>
      <c r="F333" s="123" t="s">
        <v>950</v>
      </c>
      <c r="G333" s="123"/>
      <c r="H333" s="95">
        <v>45996</v>
      </c>
      <c r="I333">
        <v>36965</v>
      </c>
      <c r="J333" s="123" t="s">
        <v>628</v>
      </c>
      <c r="K333" s="123" t="s">
        <v>1009</v>
      </c>
      <c r="L333" s="123" t="e">
        <f>VLOOKUP(Fact_AUM_FyoCapital[[#This Row],[Dim_Empresas.CUIT]],'clientes SQL'!C:D,2,0)</f>
        <v>#N/A</v>
      </c>
    </row>
    <row r="334" spans="1:12" hidden="1" x14ac:dyDescent="0.3">
      <c r="A334">
        <v>1882957</v>
      </c>
      <c r="B334">
        <v>20251205</v>
      </c>
      <c r="C334">
        <v>5975</v>
      </c>
      <c r="D334">
        <v>0</v>
      </c>
      <c r="E334" s="123"/>
      <c r="F334" s="123"/>
      <c r="G334" s="123"/>
      <c r="H334" s="95">
        <v>45996</v>
      </c>
      <c r="I334">
        <v>31332</v>
      </c>
      <c r="J334" s="123" t="s">
        <v>541</v>
      </c>
      <c r="K334" s="123" t="s">
        <v>955</v>
      </c>
      <c r="L334" s="123" t="e">
        <f>VLOOKUP(Fact_AUM_FyoCapital[[#This Row],[Dim_Empresas.CUIT]],'clientes SQL'!C:D,2,0)</f>
        <v>#N/A</v>
      </c>
    </row>
    <row r="335" spans="1:12" hidden="1" x14ac:dyDescent="0.3">
      <c r="A335">
        <v>1833757</v>
      </c>
      <c r="B335">
        <v>20251205</v>
      </c>
      <c r="C335">
        <v>14834</v>
      </c>
      <c r="D335">
        <v>836.89828892005607</v>
      </c>
      <c r="E335" s="123" t="s">
        <v>1568</v>
      </c>
      <c r="F335" s="123" t="s">
        <v>1572</v>
      </c>
      <c r="G335" s="123" t="s">
        <v>1570</v>
      </c>
      <c r="H335" s="95">
        <v>45996</v>
      </c>
      <c r="I335">
        <v>37055</v>
      </c>
      <c r="J335" s="123" t="s">
        <v>956</v>
      </c>
      <c r="K335" s="123" t="s">
        <v>957</v>
      </c>
      <c r="L335" s="123" t="e">
        <f>VLOOKUP(Fact_AUM_FyoCapital[[#This Row],[Dim_Empresas.CUIT]],'clientes SQL'!C:D,2,0)</f>
        <v>#N/A</v>
      </c>
    </row>
    <row r="336" spans="1:12" hidden="1" x14ac:dyDescent="0.3">
      <c r="A336">
        <v>1890037</v>
      </c>
      <c r="B336">
        <v>20251205</v>
      </c>
      <c r="C336">
        <v>393</v>
      </c>
      <c r="D336">
        <v>1188453.496339411</v>
      </c>
      <c r="E336" s="123" t="s">
        <v>1568</v>
      </c>
      <c r="F336" s="123" t="s">
        <v>1572</v>
      </c>
      <c r="G336" s="123" t="s">
        <v>1583</v>
      </c>
      <c r="H336" s="95">
        <v>45996</v>
      </c>
      <c r="I336">
        <v>1169</v>
      </c>
      <c r="J336" s="123" t="s">
        <v>941</v>
      </c>
      <c r="K336" s="123" t="s">
        <v>942</v>
      </c>
      <c r="L336" s="123" t="e">
        <f>VLOOKUP(Fact_AUM_FyoCapital[[#This Row],[Dim_Empresas.CUIT]],'clientes SQL'!C:D,2,0)</f>
        <v>#N/A</v>
      </c>
    </row>
    <row r="337" spans="1:12" hidden="1" x14ac:dyDescent="0.3">
      <c r="A337">
        <v>1901077</v>
      </c>
      <c r="B337">
        <v>20251205</v>
      </c>
      <c r="C337">
        <v>13663</v>
      </c>
      <c r="D337">
        <v>451.69697755960732</v>
      </c>
      <c r="E337" s="123" t="s">
        <v>1568</v>
      </c>
      <c r="F337" s="123" t="s">
        <v>1572</v>
      </c>
      <c r="G337" s="123" t="s">
        <v>1583</v>
      </c>
      <c r="H337" s="95">
        <v>45996</v>
      </c>
      <c r="I337">
        <v>36828</v>
      </c>
      <c r="J337" s="123" t="s">
        <v>559</v>
      </c>
      <c r="K337" s="123" t="s">
        <v>1015</v>
      </c>
      <c r="L337" s="123" t="e">
        <f>VLOOKUP(Fact_AUM_FyoCapital[[#This Row],[Dim_Empresas.CUIT]],'clientes SQL'!C:D,2,0)</f>
        <v>#N/A</v>
      </c>
    </row>
    <row r="338" spans="1:12" hidden="1" x14ac:dyDescent="0.3">
      <c r="A338">
        <v>2613509</v>
      </c>
      <c r="B338">
        <v>20251205</v>
      </c>
      <c r="C338">
        <v>675</v>
      </c>
      <c r="D338">
        <v>4.417952314165498E-4</v>
      </c>
      <c r="E338" s="123" t="s">
        <v>1563</v>
      </c>
      <c r="F338" s="123" t="s">
        <v>185</v>
      </c>
      <c r="G338" s="123"/>
      <c r="H338" s="95">
        <v>45996</v>
      </c>
      <c r="I338">
        <v>9743</v>
      </c>
      <c r="J338" s="123" t="s">
        <v>1065</v>
      </c>
      <c r="K338" s="123" t="s">
        <v>1066</v>
      </c>
      <c r="L338" s="123" t="e">
        <f>VLOOKUP(Fact_AUM_FyoCapital[[#This Row],[Dim_Empresas.CUIT]],'clientes SQL'!C:D,2,0)</f>
        <v>#N/A</v>
      </c>
    </row>
    <row r="339" spans="1:12" hidden="1" x14ac:dyDescent="0.3">
      <c r="A339">
        <v>1885837</v>
      </c>
      <c r="B339">
        <v>20251205</v>
      </c>
      <c r="C339">
        <v>12867</v>
      </c>
      <c r="D339">
        <v>31706.942496493688</v>
      </c>
      <c r="E339" s="123" t="s">
        <v>1566</v>
      </c>
      <c r="F339" s="123" t="s">
        <v>1580</v>
      </c>
      <c r="G339" s="123"/>
      <c r="H339" s="95">
        <v>45996</v>
      </c>
      <c r="I339">
        <v>36089</v>
      </c>
      <c r="J339" s="123" t="s">
        <v>557</v>
      </c>
      <c r="K339" s="123" t="s">
        <v>1086</v>
      </c>
      <c r="L339" s="123" t="e">
        <f>VLOOKUP(Fact_AUM_FyoCapital[[#This Row],[Dim_Empresas.CUIT]],'clientes SQL'!C:D,2,0)</f>
        <v>#N/A</v>
      </c>
    </row>
    <row r="340" spans="1:12" hidden="1" x14ac:dyDescent="0.3">
      <c r="A340">
        <v>2634629</v>
      </c>
      <c r="B340">
        <v>20251205</v>
      </c>
      <c r="C340">
        <v>13687</v>
      </c>
      <c r="D340">
        <v>11.584172510518933</v>
      </c>
      <c r="E340" s="123" t="s">
        <v>1563</v>
      </c>
      <c r="F340" s="123" t="s">
        <v>185</v>
      </c>
      <c r="G340" s="123"/>
      <c r="H340" s="95">
        <v>45996</v>
      </c>
      <c r="I340">
        <v>36849</v>
      </c>
      <c r="J340" s="123" t="s">
        <v>1032</v>
      </c>
      <c r="K340" s="123" t="s">
        <v>1033</v>
      </c>
      <c r="L340" s="123" t="e">
        <f>VLOOKUP(Fact_AUM_FyoCapital[[#This Row],[Dim_Empresas.CUIT]],'clientes SQL'!C:D,2,0)</f>
        <v>#N/A</v>
      </c>
    </row>
    <row r="341" spans="1:12" hidden="1" x14ac:dyDescent="0.3">
      <c r="A341">
        <v>1886317</v>
      </c>
      <c r="B341">
        <v>20251205</v>
      </c>
      <c r="C341">
        <v>797</v>
      </c>
      <c r="D341">
        <v>466.99793828892007</v>
      </c>
      <c r="E341" s="123" t="s">
        <v>1568</v>
      </c>
      <c r="F341" s="123" t="s">
        <v>1572</v>
      </c>
      <c r="G341" s="123" t="s">
        <v>1570</v>
      </c>
      <c r="H341" s="95">
        <v>45996</v>
      </c>
      <c r="I341">
        <v>8008</v>
      </c>
      <c r="J341" s="123" t="s">
        <v>1147</v>
      </c>
      <c r="K341" s="123" t="s">
        <v>1148</v>
      </c>
      <c r="L341" s="123" t="e">
        <f>VLOOKUP(Fact_AUM_FyoCapital[[#This Row],[Dim_Empresas.CUIT]],'clientes SQL'!C:D,2,0)</f>
        <v>#N/A</v>
      </c>
    </row>
    <row r="342" spans="1:12" hidden="1" x14ac:dyDescent="0.3">
      <c r="A342">
        <v>1882237</v>
      </c>
      <c r="B342">
        <v>20251205</v>
      </c>
      <c r="C342">
        <v>633</v>
      </c>
      <c r="D342">
        <v>110399.57</v>
      </c>
      <c r="E342" s="123" t="s">
        <v>1566</v>
      </c>
      <c r="F342" s="123" t="s">
        <v>1579</v>
      </c>
      <c r="G342" s="123"/>
      <c r="H342" s="95">
        <v>45996</v>
      </c>
      <c r="I342">
        <v>4875</v>
      </c>
      <c r="J342" s="123" t="s">
        <v>546</v>
      </c>
      <c r="K342" s="123" t="s">
        <v>1023</v>
      </c>
      <c r="L342" s="123" t="e">
        <f>VLOOKUP(Fact_AUM_FyoCapital[[#This Row],[Dim_Empresas.CUIT]],'clientes SQL'!C:D,2,0)</f>
        <v>#N/A</v>
      </c>
    </row>
    <row r="343" spans="1:12" hidden="1" x14ac:dyDescent="0.3">
      <c r="A343">
        <v>1867957</v>
      </c>
      <c r="B343">
        <v>20251205</v>
      </c>
      <c r="C343">
        <v>5348</v>
      </c>
      <c r="D343">
        <v>10933.79139551192</v>
      </c>
      <c r="E343" s="123" t="s">
        <v>1568</v>
      </c>
      <c r="F343" s="123" t="s">
        <v>1572</v>
      </c>
      <c r="G343" s="123" t="s">
        <v>1583</v>
      </c>
      <c r="H343" s="95">
        <v>45996</v>
      </c>
      <c r="I343">
        <v>33543</v>
      </c>
      <c r="J343" s="123" t="s">
        <v>458</v>
      </c>
      <c r="K343" s="123" t="s">
        <v>1115</v>
      </c>
      <c r="L343" s="123" t="e">
        <f>VLOOKUP(Fact_AUM_FyoCapital[[#This Row],[Dim_Empresas.CUIT]],'clientes SQL'!C:D,2,0)</f>
        <v>#N/A</v>
      </c>
    </row>
    <row r="344" spans="1:12" hidden="1" x14ac:dyDescent="0.3">
      <c r="A344">
        <v>1889737</v>
      </c>
      <c r="B344">
        <v>20251205</v>
      </c>
      <c r="C344">
        <v>393</v>
      </c>
      <c r="D344">
        <v>60028.9270687237</v>
      </c>
      <c r="E344" s="123" t="s">
        <v>1566</v>
      </c>
      <c r="F344" s="123" t="s">
        <v>1573</v>
      </c>
      <c r="G344" s="123"/>
      <c r="H344" s="95">
        <v>45996</v>
      </c>
      <c r="I344">
        <v>1169</v>
      </c>
      <c r="J344" s="123" t="s">
        <v>941</v>
      </c>
      <c r="K344" s="123" t="s">
        <v>942</v>
      </c>
      <c r="L344" s="123" t="e">
        <f>VLOOKUP(Fact_AUM_FyoCapital[[#This Row],[Dim_Empresas.CUIT]],'clientes SQL'!C:D,2,0)</f>
        <v>#N/A</v>
      </c>
    </row>
    <row r="345" spans="1:12" hidden="1" x14ac:dyDescent="0.3">
      <c r="A345">
        <v>1837417</v>
      </c>
      <c r="B345">
        <v>20251205</v>
      </c>
      <c r="C345">
        <v>626</v>
      </c>
      <c r="D345">
        <v>26880.007012622722</v>
      </c>
      <c r="E345" s="123" t="s">
        <v>1566</v>
      </c>
      <c r="F345" s="123" t="s">
        <v>1573</v>
      </c>
      <c r="G345" s="123"/>
      <c r="H345" s="95">
        <v>45996</v>
      </c>
      <c r="I345">
        <v>580</v>
      </c>
      <c r="J345" s="123" t="s">
        <v>345</v>
      </c>
      <c r="K345" s="123" t="s">
        <v>979</v>
      </c>
      <c r="L345" s="123" t="e">
        <f>VLOOKUP(Fact_AUM_FyoCapital[[#This Row],[Dim_Empresas.CUIT]],'clientes SQL'!C:D,2,0)</f>
        <v>#N/A</v>
      </c>
    </row>
    <row r="346" spans="1:12" hidden="1" x14ac:dyDescent="0.3">
      <c r="A346">
        <v>2613269</v>
      </c>
      <c r="B346">
        <v>20251205</v>
      </c>
      <c r="C346">
        <v>626</v>
      </c>
      <c r="D346">
        <v>6157.59</v>
      </c>
      <c r="E346" s="123" t="s">
        <v>1563</v>
      </c>
      <c r="F346" s="123" t="s">
        <v>801</v>
      </c>
      <c r="G346" s="123"/>
      <c r="H346" s="95">
        <v>45996</v>
      </c>
      <c r="I346">
        <v>580</v>
      </c>
      <c r="J346" s="123" t="s">
        <v>345</v>
      </c>
      <c r="K346" s="123" t="s">
        <v>979</v>
      </c>
      <c r="L346" s="123" t="e">
        <f>VLOOKUP(Fact_AUM_FyoCapital[[#This Row],[Dim_Empresas.CUIT]],'clientes SQL'!C:D,2,0)</f>
        <v>#N/A</v>
      </c>
    </row>
    <row r="347" spans="1:12" hidden="1" x14ac:dyDescent="0.3">
      <c r="A347">
        <v>2601749</v>
      </c>
      <c r="B347">
        <v>20251205</v>
      </c>
      <c r="C347">
        <v>783</v>
      </c>
      <c r="D347">
        <v>24249.140953716691</v>
      </c>
      <c r="E347" s="123" t="s">
        <v>1566</v>
      </c>
      <c r="F347" s="123" t="s">
        <v>1573</v>
      </c>
      <c r="G347" s="123"/>
      <c r="H347" s="95">
        <v>45996</v>
      </c>
      <c r="I347">
        <v>15348</v>
      </c>
      <c r="J347" s="123" t="s">
        <v>384</v>
      </c>
      <c r="K347" s="123" t="s">
        <v>998</v>
      </c>
      <c r="L347" s="123">
        <f>VLOOKUP(Fact_AUM_FyoCapital[[#This Row],[Dim_Empresas.CUIT]],'clientes SQL'!C:D,2,0)</f>
        <v>13010</v>
      </c>
    </row>
    <row r="348" spans="1:12" hidden="1" x14ac:dyDescent="0.3">
      <c r="A348">
        <v>1877197</v>
      </c>
      <c r="B348">
        <v>20251205</v>
      </c>
      <c r="C348">
        <v>1523</v>
      </c>
      <c r="D348">
        <v>27929.789621318374</v>
      </c>
      <c r="E348" s="123" t="s">
        <v>1566</v>
      </c>
      <c r="F348" s="123" t="s">
        <v>1573</v>
      </c>
      <c r="G348" s="123"/>
      <c r="H348" s="95">
        <v>45996</v>
      </c>
      <c r="I348">
        <v>20093</v>
      </c>
      <c r="J348" s="123" t="s">
        <v>987</v>
      </c>
      <c r="K348" s="123" t="s">
        <v>988</v>
      </c>
      <c r="L348" s="123" t="e">
        <f>VLOOKUP(Fact_AUM_FyoCapital[[#This Row],[Dim_Empresas.CUIT]],'clientes SQL'!C:D,2,0)</f>
        <v>#N/A</v>
      </c>
    </row>
    <row r="349" spans="1:12" hidden="1" x14ac:dyDescent="0.3">
      <c r="A349">
        <v>2619749</v>
      </c>
      <c r="B349">
        <v>20251205</v>
      </c>
      <c r="C349">
        <v>776</v>
      </c>
      <c r="D349">
        <v>-1.82328190743338E-4</v>
      </c>
      <c r="E349" s="123" t="s">
        <v>1563</v>
      </c>
      <c r="F349" s="123" t="s">
        <v>185</v>
      </c>
      <c r="G349" s="123"/>
      <c r="H349" s="95">
        <v>45996</v>
      </c>
      <c r="I349">
        <v>16699</v>
      </c>
      <c r="J349" s="123" t="s">
        <v>261</v>
      </c>
      <c r="K349" s="123" t="s">
        <v>938</v>
      </c>
      <c r="L349" s="123">
        <f>VLOOKUP(Fact_AUM_FyoCapital[[#This Row],[Dim_Empresas.CUIT]],'clientes SQL'!C:D,2,0)</f>
        <v>13008</v>
      </c>
    </row>
    <row r="350" spans="1:12" hidden="1" x14ac:dyDescent="0.3">
      <c r="A350">
        <v>1898437</v>
      </c>
      <c r="B350">
        <v>20251205</v>
      </c>
      <c r="C350">
        <v>12855</v>
      </c>
      <c r="D350">
        <v>18889.22</v>
      </c>
      <c r="E350" s="123" t="s">
        <v>1566</v>
      </c>
      <c r="F350" s="123" t="s">
        <v>1578</v>
      </c>
      <c r="G350" s="123"/>
      <c r="H350" s="95">
        <v>45996</v>
      </c>
      <c r="I350">
        <v>36077</v>
      </c>
      <c r="J350" s="123" t="s">
        <v>563</v>
      </c>
      <c r="K350" s="123" t="s">
        <v>969</v>
      </c>
      <c r="L350" s="123" t="e">
        <f>VLOOKUP(Fact_AUM_FyoCapital[[#This Row],[Dim_Empresas.CUIT]],'clientes SQL'!C:D,2,0)</f>
        <v>#N/A</v>
      </c>
    </row>
    <row r="351" spans="1:12" hidden="1" x14ac:dyDescent="0.3">
      <c r="A351">
        <v>2622509</v>
      </c>
      <c r="B351">
        <v>20251205</v>
      </c>
      <c r="C351">
        <v>9956</v>
      </c>
      <c r="D351">
        <v>2.4138849929873771</v>
      </c>
      <c r="E351" s="123" t="s">
        <v>1563</v>
      </c>
      <c r="F351" s="123" t="s">
        <v>185</v>
      </c>
      <c r="G351" s="123"/>
      <c r="H351" s="95">
        <v>45996</v>
      </c>
      <c r="I351">
        <v>35455</v>
      </c>
      <c r="J351" s="123" t="s">
        <v>424</v>
      </c>
      <c r="K351" s="123" t="s">
        <v>991</v>
      </c>
      <c r="L351" s="123" t="e">
        <f>VLOOKUP(Fact_AUM_FyoCapital[[#This Row],[Dim_Empresas.CUIT]],'clientes SQL'!C:D,2,0)</f>
        <v>#N/A</v>
      </c>
    </row>
    <row r="352" spans="1:12" hidden="1" x14ac:dyDescent="0.3">
      <c r="A352">
        <v>2619869</v>
      </c>
      <c r="B352">
        <v>20251205</v>
      </c>
      <c r="C352">
        <v>776</v>
      </c>
      <c r="D352">
        <v>7.32</v>
      </c>
      <c r="E352" s="123" t="s">
        <v>1563</v>
      </c>
      <c r="F352" s="123" t="s">
        <v>188</v>
      </c>
      <c r="G352" s="123"/>
      <c r="H352" s="95">
        <v>45996</v>
      </c>
      <c r="I352">
        <v>16699</v>
      </c>
      <c r="J352" s="123" t="s">
        <v>261</v>
      </c>
      <c r="K352" s="123" t="s">
        <v>938</v>
      </c>
      <c r="L352" s="123">
        <f>VLOOKUP(Fact_AUM_FyoCapital[[#This Row],[Dim_Empresas.CUIT]],'clientes SQL'!C:D,2,0)</f>
        <v>13008</v>
      </c>
    </row>
    <row r="353" spans="1:12" hidden="1" x14ac:dyDescent="0.3">
      <c r="A353">
        <v>2610869</v>
      </c>
      <c r="B353">
        <v>20251205</v>
      </c>
      <c r="C353">
        <v>12840</v>
      </c>
      <c r="D353">
        <v>-2.1037868162692845E-4</v>
      </c>
      <c r="E353" s="123" t="s">
        <v>1563</v>
      </c>
      <c r="F353" s="123" t="s">
        <v>185</v>
      </c>
      <c r="G353" s="123"/>
      <c r="H353" s="95">
        <v>45996</v>
      </c>
      <c r="I353">
        <v>36062</v>
      </c>
      <c r="J353" s="123" t="s">
        <v>236</v>
      </c>
      <c r="K353" s="123" t="s">
        <v>1031</v>
      </c>
      <c r="L353" s="123" t="e">
        <f>VLOOKUP(Fact_AUM_FyoCapital[[#This Row],[Dim_Empresas.CUIT]],'clientes SQL'!C:D,2,0)</f>
        <v>#N/A</v>
      </c>
    </row>
    <row r="354" spans="1:12" hidden="1" x14ac:dyDescent="0.3">
      <c r="A354">
        <v>1836157</v>
      </c>
      <c r="B354">
        <v>20251205</v>
      </c>
      <c r="C354">
        <v>626</v>
      </c>
      <c r="D354">
        <v>0</v>
      </c>
      <c r="E354" s="123"/>
      <c r="F354" s="123"/>
      <c r="G354" s="123"/>
      <c r="H354" s="95">
        <v>45996</v>
      </c>
      <c r="I354">
        <v>580</v>
      </c>
      <c r="J354" s="123" t="s">
        <v>345</v>
      </c>
      <c r="K354" s="123" t="s">
        <v>979</v>
      </c>
      <c r="L354" s="123" t="e">
        <f>VLOOKUP(Fact_AUM_FyoCapital[[#This Row],[Dim_Empresas.CUIT]],'clientes SQL'!C:D,2,0)</f>
        <v>#N/A</v>
      </c>
    </row>
    <row r="355" spans="1:12" hidden="1" x14ac:dyDescent="0.3">
      <c r="A355">
        <v>2640749</v>
      </c>
      <c r="B355">
        <v>20251205</v>
      </c>
      <c r="C355">
        <v>15231</v>
      </c>
      <c r="D355">
        <v>91.037720897615699</v>
      </c>
      <c r="E355" s="123" t="s">
        <v>1563</v>
      </c>
      <c r="F355" s="123" t="s">
        <v>185</v>
      </c>
      <c r="G355" s="123"/>
      <c r="H355" s="95">
        <v>45996</v>
      </c>
      <c r="I355">
        <v>37357</v>
      </c>
      <c r="J355" s="123" t="s">
        <v>1060</v>
      </c>
      <c r="K355" s="123" t="s">
        <v>1061</v>
      </c>
      <c r="L355" s="123">
        <f>VLOOKUP(Fact_AUM_FyoCapital[[#This Row],[Dim_Empresas.CUIT]],'clientes SQL'!C:D,2,0)</f>
        <v>13009</v>
      </c>
    </row>
    <row r="356" spans="1:12" hidden="1" x14ac:dyDescent="0.3">
      <c r="A356">
        <v>1882417</v>
      </c>
      <c r="B356">
        <v>20251205</v>
      </c>
      <c r="C356">
        <v>633</v>
      </c>
      <c r="D356">
        <v>49954.351683029454</v>
      </c>
      <c r="E356" s="123" t="s">
        <v>1568</v>
      </c>
      <c r="F356" s="123" t="s">
        <v>1572</v>
      </c>
      <c r="G356" s="123" t="s">
        <v>1574</v>
      </c>
      <c r="H356" s="95">
        <v>45996</v>
      </c>
      <c r="I356">
        <v>4875</v>
      </c>
      <c r="J356" s="123" t="s">
        <v>546</v>
      </c>
      <c r="K356" s="123" t="s">
        <v>1023</v>
      </c>
      <c r="L356" s="123" t="e">
        <f>VLOOKUP(Fact_AUM_FyoCapital[[#This Row],[Dim_Empresas.CUIT]],'clientes SQL'!C:D,2,0)</f>
        <v>#N/A</v>
      </c>
    </row>
    <row r="357" spans="1:12" hidden="1" x14ac:dyDescent="0.3">
      <c r="A357">
        <v>1502764</v>
      </c>
      <c r="B357">
        <v>20251205</v>
      </c>
      <c r="C357">
        <v>1240</v>
      </c>
      <c r="D357">
        <v>43384.650224403929</v>
      </c>
      <c r="E357" s="123" t="s">
        <v>1564</v>
      </c>
      <c r="F357" s="123" t="s">
        <v>1581</v>
      </c>
      <c r="G357" s="123"/>
      <c r="H357" s="95">
        <v>45996</v>
      </c>
      <c r="I357">
        <v>19320</v>
      </c>
      <c r="J357" s="123" t="s">
        <v>388</v>
      </c>
      <c r="K357" s="123" t="s">
        <v>974</v>
      </c>
      <c r="L357" s="123" t="e">
        <f>VLOOKUP(Fact_AUM_FyoCapital[[#This Row],[Dim_Empresas.CUIT]],'clientes SQL'!C:D,2,0)</f>
        <v>#N/A</v>
      </c>
    </row>
    <row r="358" spans="1:12" hidden="1" x14ac:dyDescent="0.3">
      <c r="A358">
        <v>2609309</v>
      </c>
      <c r="B358">
        <v>20251205</v>
      </c>
      <c r="C358">
        <v>5866</v>
      </c>
      <c r="D358">
        <v>1699.94</v>
      </c>
      <c r="E358" s="123" t="s">
        <v>1563</v>
      </c>
      <c r="F358" s="123" t="s">
        <v>188</v>
      </c>
      <c r="G358" s="123"/>
      <c r="H358" s="95">
        <v>45996</v>
      </c>
      <c r="I358">
        <v>33662</v>
      </c>
      <c r="J358" s="123" t="s">
        <v>124</v>
      </c>
      <c r="K358" s="123" t="s">
        <v>1028</v>
      </c>
      <c r="L358" s="123">
        <f>VLOOKUP(Fact_AUM_FyoCapital[[#This Row],[Dim_Empresas.CUIT]],'clientes SQL'!C:D,2,0)</f>
        <v>13002</v>
      </c>
    </row>
    <row r="359" spans="1:12" hidden="1" x14ac:dyDescent="0.3">
      <c r="A359">
        <v>2637809</v>
      </c>
      <c r="B359">
        <v>20251205</v>
      </c>
      <c r="C359">
        <v>1315</v>
      </c>
      <c r="D359">
        <v>23.57</v>
      </c>
      <c r="E359" s="123" t="s">
        <v>1563</v>
      </c>
      <c r="F359" s="123" t="s">
        <v>950</v>
      </c>
      <c r="G359" s="123"/>
      <c r="H359" s="95">
        <v>45996</v>
      </c>
      <c r="I359">
        <v>7247</v>
      </c>
      <c r="J359" s="123" t="s">
        <v>574</v>
      </c>
      <c r="K359" s="123" t="s">
        <v>1027</v>
      </c>
      <c r="L359" s="123" t="e">
        <f>VLOOKUP(Fact_AUM_FyoCapital[[#This Row],[Dim_Empresas.CUIT]],'clientes SQL'!C:D,2,0)</f>
        <v>#N/A</v>
      </c>
    </row>
    <row r="360" spans="1:12" hidden="1" x14ac:dyDescent="0.3">
      <c r="A360">
        <v>2642129</v>
      </c>
      <c r="B360">
        <v>20251205</v>
      </c>
      <c r="C360">
        <v>783</v>
      </c>
      <c r="D360">
        <v>25235</v>
      </c>
      <c r="E360" s="123" t="s">
        <v>1563</v>
      </c>
      <c r="F360" s="123" t="s">
        <v>188</v>
      </c>
      <c r="G360" s="123"/>
      <c r="H360" s="95">
        <v>45996</v>
      </c>
      <c r="I360">
        <v>15348</v>
      </c>
      <c r="J360" s="123" t="s">
        <v>384</v>
      </c>
      <c r="K360" s="123" t="s">
        <v>998</v>
      </c>
      <c r="L360" s="123">
        <f>VLOOKUP(Fact_AUM_FyoCapital[[#This Row],[Dim_Empresas.CUIT]],'clientes SQL'!C:D,2,0)</f>
        <v>13010</v>
      </c>
    </row>
    <row r="361" spans="1:12" hidden="1" x14ac:dyDescent="0.3">
      <c r="A361">
        <v>1843897</v>
      </c>
      <c r="B361">
        <v>20251205</v>
      </c>
      <c r="C361">
        <v>12497</v>
      </c>
      <c r="D361">
        <v>6938.7595932678823</v>
      </c>
      <c r="E361" s="123" t="s">
        <v>1568</v>
      </c>
      <c r="F361" s="123" t="s">
        <v>1572</v>
      </c>
      <c r="G361" s="123" t="s">
        <v>1570</v>
      </c>
      <c r="H361" s="95">
        <v>45996</v>
      </c>
      <c r="I361">
        <v>35761</v>
      </c>
      <c r="J361" s="123" t="s">
        <v>338</v>
      </c>
      <c r="K361" s="123" t="s">
        <v>1000</v>
      </c>
      <c r="L361" s="123" t="e">
        <f>VLOOKUP(Fact_AUM_FyoCapital[[#This Row],[Dim_Empresas.CUIT]],'clientes SQL'!C:D,2,0)</f>
        <v>#N/A</v>
      </c>
    </row>
    <row r="362" spans="1:12" hidden="1" x14ac:dyDescent="0.3">
      <c r="A362">
        <v>2642069</v>
      </c>
      <c r="B362">
        <v>20251205</v>
      </c>
      <c r="C362">
        <v>783</v>
      </c>
      <c r="D362">
        <v>0</v>
      </c>
      <c r="E362" s="123"/>
      <c r="F362" s="123"/>
      <c r="G362" s="123"/>
      <c r="H362" s="95">
        <v>45996</v>
      </c>
      <c r="I362">
        <v>15348</v>
      </c>
      <c r="J362" s="123" t="s">
        <v>384</v>
      </c>
      <c r="K362" s="123" t="s">
        <v>998</v>
      </c>
      <c r="L362" s="123">
        <f>VLOOKUP(Fact_AUM_FyoCapital[[#This Row],[Dim_Empresas.CUIT]],'clientes SQL'!C:D,2,0)</f>
        <v>13010</v>
      </c>
    </row>
    <row r="363" spans="1:12" hidden="1" x14ac:dyDescent="0.3">
      <c r="A363">
        <v>1832017</v>
      </c>
      <c r="B363">
        <v>20251205</v>
      </c>
      <c r="C363">
        <v>12840</v>
      </c>
      <c r="D363">
        <v>46091.9</v>
      </c>
      <c r="E363" s="123" t="s">
        <v>1566</v>
      </c>
      <c r="F363" s="123" t="s">
        <v>1578</v>
      </c>
      <c r="G363" s="123"/>
      <c r="H363" s="95">
        <v>45996</v>
      </c>
      <c r="I363">
        <v>36062</v>
      </c>
      <c r="J363" s="123" t="s">
        <v>236</v>
      </c>
      <c r="K363" s="123" t="s">
        <v>1031</v>
      </c>
      <c r="L363" s="123" t="e">
        <f>VLOOKUP(Fact_AUM_FyoCapital[[#This Row],[Dim_Empresas.CUIT]],'clientes SQL'!C:D,2,0)</f>
        <v>#N/A</v>
      </c>
    </row>
    <row r="364" spans="1:12" hidden="1" x14ac:dyDescent="0.3">
      <c r="A364">
        <v>2636249</v>
      </c>
      <c r="B364">
        <v>20251205</v>
      </c>
      <c r="C364">
        <v>393</v>
      </c>
      <c r="D364">
        <v>0</v>
      </c>
      <c r="E364" s="123"/>
      <c r="F364" s="123"/>
      <c r="G364" s="123"/>
      <c r="H364" s="95">
        <v>45996</v>
      </c>
      <c r="I364">
        <v>1169</v>
      </c>
      <c r="J364" s="123" t="s">
        <v>941</v>
      </c>
      <c r="K364" s="123" t="s">
        <v>942</v>
      </c>
      <c r="L364" s="123" t="e">
        <f>VLOOKUP(Fact_AUM_FyoCapital[[#This Row],[Dim_Empresas.CUIT]],'clientes SQL'!C:D,2,0)</f>
        <v>#N/A</v>
      </c>
    </row>
    <row r="365" spans="1:12" hidden="1" x14ac:dyDescent="0.3">
      <c r="A365">
        <v>2599169</v>
      </c>
      <c r="B365">
        <v>20251205</v>
      </c>
      <c r="C365">
        <v>15174</v>
      </c>
      <c r="D365">
        <v>15613.127629733521</v>
      </c>
      <c r="E365" s="123" t="s">
        <v>1566</v>
      </c>
      <c r="F365" s="123" t="s">
        <v>1573</v>
      </c>
      <c r="G365" s="123"/>
      <c r="H365" s="95">
        <v>45996</v>
      </c>
      <c r="I365">
        <v>37310</v>
      </c>
      <c r="J365" s="123" t="s">
        <v>1084</v>
      </c>
      <c r="K365" s="123" t="s">
        <v>1085</v>
      </c>
      <c r="L365" s="123" t="e">
        <f>VLOOKUP(Fact_AUM_FyoCapital[[#This Row],[Dim_Empresas.CUIT]],'clientes SQL'!C:D,2,0)</f>
        <v>#N/A</v>
      </c>
    </row>
    <row r="366" spans="1:12" hidden="1" x14ac:dyDescent="0.3">
      <c r="A366">
        <v>1895257</v>
      </c>
      <c r="B366">
        <v>20251205</v>
      </c>
      <c r="C366">
        <v>10244</v>
      </c>
      <c r="D366" s="6">
        <v>23422.75</v>
      </c>
      <c r="E366" s="123" t="s">
        <v>1566</v>
      </c>
      <c r="F366" s="123" t="s">
        <v>1578</v>
      </c>
      <c r="G366" s="123"/>
      <c r="H366" s="95">
        <v>45996</v>
      </c>
      <c r="I366">
        <v>35636</v>
      </c>
      <c r="J366" s="123" t="s">
        <v>564</v>
      </c>
      <c r="K366" s="123" t="s">
        <v>1017</v>
      </c>
      <c r="L366" s="123" t="e">
        <f>VLOOKUP(Fact_AUM_FyoCapital[[#This Row],[Dim_Empresas.CUIT]],'clientes SQL'!C:D,2,0)</f>
        <v>#N/A</v>
      </c>
    </row>
    <row r="367" spans="1:12" hidden="1" x14ac:dyDescent="0.3">
      <c r="A367">
        <v>1850977</v>
      </c>
      <c r="B367">
        <v>20251205</v>
      </c>
      <c r="C367">
        <v>776</v>
      </c>
      <c r="D367">
        <v>1188.2187938288921</v>
      </c>
      <c r="E367" s="123" t="s">
        <v>1566</v>
      </c>
      <c r="F367" s="123" t="s">
        <v>1580</v>
      </c>
      <c r="G367" s="123"/>
      <c r="H367" s="95">
        <v>45996</v>
      </c>
      <c r="I367">
        <v>16699</v>
      </c>
      <c r="J367" s="123" t="s">
        <v>261</v>
      </c>
      <c r="K367" s="123" t="s">
        <v>938</v>
      </c>
      <c r="L367" s="123">
        <f>VLOOKUP(Fact_AUM_FyoCapital[[#This Row],[Dim_Empresas.CUIT]],'clientes SQL'!C:D,2,0)</f>
        <v>13008</v>
      </c>
    </row>
    <row r="368" spans="1:12" hidden="1" x14ac:dyDescent="0.3">
      <c r="A368">
        <v>1865797</v>
      </c>
      <c r="B368">
        <v>20251205</v>
      </c>
      <c r="C368">
        <v>5869</v>
      </c>
      <c r="D368">
        <v>6819.7475455820477</v>
      </c>
      <c r="E368" s="123" t="s">
        <v>1566</v>
      </c>
      <c r="F368" s="123" t="s">
        <v>1573</v>
      </c>
      <c r="G368" s="123"/>
      <c r="H368" s="95">
        <v>45996</v>
      </c>
      <c r="I368">
        <v>33280</v>
      </c>
      <c r="J368" s="123" t="s">
        <v>495</v>
      </c>
      <c r="K368" s="123" t="s">
        <v>1019</v>
      </c>
      <c r="L368" s="123" t="e">
        <f>VLOOKUP(Fact_AUM_FyoCapital[[#This Row],[Dim_Empresas.CUIT]],'clientes SQL'!C:D,2,0)</f>
        <v>#N/A</v>
      </c>
    </row>
    <row r="369" spans="1:12" hidden="1" x14ac:dyDescent="0.3">
      <c r="A369">
        <v>2611469</v>
      </c>
      <c r="B369">
        <v>20251205</v>
      </c>
      <c r="C369">
        <v>659</v>
      </c>
      <c r="D369">
        <v>-5.1192145862552594E-4</v>
      </c>
      <c r="E369" s="123" t="s">
        <v>1563</v>
      </c>
      <c r="F369" s="123" t="s">
        <v>185</v>
      </c>
      <c r="G369" s="123"/>
      <c r="H369" s="95">
        <v>45996</v>
      </c>
      <c r="I369">
        <v>9645</v>
      </c>
      <c r="J369" s="123" t="s">
        <v>224</v>
      </c>
      <c r="K369" s="123" t="s">
        <v>978</v>
      </c>
      <c r="L369" s="123" t="e">
        <f>VLOOKUP(Fact_AUM_FyoCapital[[#This Row],[Dim_Empresas.CUIT]],'clientes SQL'!C:D,2,0)</f>
        <v>#N/A</v>
      </c>
    </row>
    <row r="370" spans="1:12" hidden="1" x14ac:dyDescent="0.3">
      <c r="A370">
        <v>2641949</v>
      </c>
      <c r="B370">
        <v>20251205</v>
      </c>
      <c r="C370">
        <v>783</v>
      </c>
      <c r="D370">
        <v>2.7349228611500703E-4</v>
      </c>
      <c r="E370" s="123" t="s">
        <v>1563</v>
      </c>
      <c r="F370" s="123" t="s">
        <v>185</v>
      </c>
      <c r="G370" s="123"/>
      <c r="H370" s="95">
        <v>45996</v>
      </c>
      <c r="I370">
        <v>15348</v>
      </c>
      <c r="J370" s="123" t="s">
        <v>384</v>
      </c>
      <c r="K370" s="123" t="s">
        <v>998</v>
      </c>
      <c r="L370" s="123">
        <f>VLOOKUP(Fact_AUM_FyoCapital[[#This Row],[Dim_Empresas.CUIT]],'clientes SQL'!C:D,2,0)</f>
        <v>13010</v>
      </c>
    </row>
    <row r="371" spans="1:12" hidden="1" x14ac:dyDescent="0.3">
      <c r="A371">
        <v>2644049</v>
      </c>
      <c r="B371">
        <v>20251205</v>
      </c>
      <c r="C371">
        <v>10090</v>
      </c>
      <c r="D371">
        <v>0.86</v>
      </c>
      <c r="E371" s="123" t="s">
        <v>1563</v>
      </c>
      <c r="F371" s="123" t="s">
        <v>950</v>
      </c>
      <c r="G371" s="123"/>
      <c r="H371" s="95">
        <v>45996</v>
      </c>
      <c r="I371">
        <v>35555</v>
      </c>
      <c r="J371" s="123" t="s">
        <v>618</v>
      </c>
      <c r="K371" s="123" t="s">
        <v>1020</v>
      </c>
      <c r="L371" s="123" t="e">
        <f>VLOOKUP(Fact_AUM_FyoCapital[[#This Row],[Dim_Empresas.CUIT]],'clientes SQL'!C:D,2,0)</f>
        <v>#N/A</v>
      </c>
    </row>
    <row r="372" spans="1:12" hidden="1" x14ac:dyDescent="0.3">
      <c r="A372">
        <v>1874377</v>
      </c>
      <c r="B372">
        <v>20251205</v>
      </c>
      <c r="C372">
        <v>519</v>
      </c>
      <c r="D372">
        <v>32712.706872370265</v>
      </c>
      <c r="E372" s="123" t="s">
        <v>1566</v>
      </c>
      <c r="F372" s="123" t="s">
        <v>1573</v>
      </c>
      <c r="G372" s="123"/>
      <c r="H372" s="95">
        <v>45996</v>
      </c>
      <c r="I372">
        <v>8959</v>
      </c>
      <c r="J372" s="123" t="s">
        <v>330</v>
      </c>
      <c r="K372" s="123" t="s">
        <v>960</v>
      </c>
      <c r="L372" s="123" t="e">
        <f>VLOOKUP(Fact_AUM_FyoCapital[[#This Row],[Dim_Empresas.CUIT]],'clientes SQL'!C:D,2,0)</f>
        <v>#N/A</v>
      </c>
    </row>
    <row r="373" spans="1:12" hidden="1" x14ac:dyDescent="0.3">
      <c r="A373">
        <v>2605469</v>
      </c>
      <c r="B373">
        <v>20251205</v>
      </c>
      <c r="C373">
        <v>10090</v>
      </c>
      <c r="D373">
        <v>355.3262342215989</v>
      </c>
      <c r="E373" s="123" t="s">
        <v>1568</v>
      </c>
      <c r="F373" s="123" t="s">
        <v>1572</v>
      </c>
      <c r="G373" s="123" t="s">
        <v>1570</v>
      </c>
      <c r="H373" s="95">
        <v>45996</v>
      </c>
      <c r="I373">
        <v>35555</v>
      </c>
      <c r="J373" s="123" t="s">
        <v>618</v>
      </c>
      <c r="K373" s="123" t="s">
        <v>1020</v>
      </c>
      <c r="L373" s="123" t="e">
        <f>VLOOKUP(Fact_AUM_FyoCapital[[#This Row],[Dim_Empresas.CUIT]],'clientes SQL'!C:D,2,0)</f>
        <v>#N/A</v>
      </c>
    </row>
    <row r="374" spans="1:12" hidden="1" x14ac:dyDescent="0.3">
      <c r="A374">
        <v>2635589</v>
      </c>
      <c r="B374">
        <v>20251205</v>
      </c>
      <c r="C374">
        <v>16936</v>
      </c>
      <c r="D374">
        <v>-49.202075736325391</v>
      </c>
      <c r="E374" s="123" t="s">
        <v>1563</v>
      </c>
      <c r="F374" s="123" t="s">
        <v>185</v>
      </c>
      <c r="G374" s="123"/>
      <c r="H374" s="95">
        <v>45996</v>
      </c>
      <c r="I374">
        <v>38107</v>
      </c>
      <c r="J374" s="123" t="s">
        <v>900</v>
      </c>
      <c r="K374" s="123" t="s">
        <v>1509</v>
      </c>
      <c r="L374" s="123" t="e">
        <f>VLOOKUP(Fact_AUM_FyoCapital[[#This Row],[Dim_Empresas.CUIT]],'clientes SQL'!C:D,2,0)</f>
        <v>#N/A</v>
      </c>
    </row>
    <row r="375" spans="1:12" hidden="1" x14ac:dyDescent="0.3">
      <c r="A375">
        <v>2610929</v>
      </c>
      <c r="B375">
        <v>20251205</v>
      </c>
      <c r="C375">
        <v>12840</v>
      </c>
      <c r="D375">
        <v>-1.01</v>
      </c>
      <c r="E375" s="123" t="s">
        <v>1563</v>
      </c>
      <c r="F375" s="123" t="s">
        <v>801</v>
      </c>
      <c r="G375" s="123"/>
      <c r="H375" s="95">
        <v>45996</v>
      </c>
      <c r="I375">
        <v>36062</v>
      </c>
      <c r="J375" s="123" t="s">
        <v>236</v>
      </c>
      <c r="K375" s="123" t="s">
        <v>1031</v>
      </c>
      <c r="L375" s="123" t="e">
        <f>VLOOKUP(Fact_AUM_FyoCapital[[#This Row],[Dim_Empresas.CUIT]],'clientes SQL'!C:D,2,0)</f>
        <v>#N/A</v>
      </c>
    </row>
    <row r="376" spans="1:12" hidden="1" x14ac:dyDescent="0.3">
      <c r="A376">
        <v>2643269</v>
      </c>
      <c r="B376">
        <v>20251205</v>
      </c>
      <c r="C376">
        <v>2077</v>
      </c>
      <c r="D376">
        <v>3.72</v>
      </c>
      <c r="E376" s="123" t="s">
        <v>1563</v>
      </c>
      <c r="F376" s="123" t="s">
        <v>950</v>
      </c>
      <c r="G376" s="123"/>
      <c r="H376" s="95">
        <v>45996</v>
      </c>
      <c r="I376">
        <v>30257</v>
      </c>
      <c r="J376" s="123" t="s">
        <v>611</v>
      </c>
      <c r="K376" s="123" t="s">
        <v>1063</v>
      </c>
      <c r="L376" s="123" t="e">
        <f>VLOOKUP(Fact_AUM_FyoCapital[[#This Row],[Dim_Empresas.CUIT]],'clientes SQL'!C:D,2,0)</f>
        <v>#N/A</v>
      </c>
    </row>
    <row r="377" spans="1:12" hidden="1" x14ac:dyDescent="0.3">
      <c r="A377">
        <v>1893517</v>
      </c>
      <c r="B377">
        <v>20251205</v>
      </c>
      <c r="C377">
        <v>4955</v>
      </c>
      <c r="D377">
        <v>0</v>
      </c>
      <c r="E377" s="123"/>
      <c r="F377" s="123"/>
      <c r="G377" s="123"/>
      <c r="H377" s="95">
        <v>45996</v>
      </c>
      <c r="I377">
        <v>32964</v>
      </c>
      <c r="J377" s="123" t="s">
        <v>527</v>
      </c>
      <c r="K377" s="123" t="s">
        <v>981</v>
      </c>
      <c r="L377" s="123" t="e">
        <f>VLOOKUP(Fact_AUM_FyoCapital[[#This Row],[Dim_Empresas.CUIT]],'clientes SQL'!C:D,2,0)</f>
        <v>#N/A</v>
      </c>
    </row>
    <row r="378" spans="1:12" hidden="1" x14ac:dyDescent="0.3">
      <c r="A378">
        <v>1888357</v>
      </c>
      <c r="B378">
        <v>20251205</v>
      </c>
      <c r="C378">
        <v>1819</v>
      </c>
      <c r="D378">
        <v>0</v>
      </c>
      <c r="E378" s="123"/>
      <c r="F378" s="123"/>
      <c r="G378" s="123"/>
      <c r="H378" s="95">
        <v>45996</v>
      </c>
      <c r="I378">
        <v>3798</v>
      </c>
      <c r="J378" s="123" t="s">
        <v>1058</v>
      </c>
      <c r="K378" s="123" t="s">
        <v>1059</v>
      </c>
      <c r="L378" s="123" t="e">
        <f>VLOOKUP(Fact_AUM_FyoCapital[[#This Row],[Dim_Empresas.CUIT]],'clientes SQL'!C:D,2,0)</f>
        <v>#N/A</v>
      </c>
    </row>
    <row r="379" spans="1:12" hidden="1" x14ac:dyDescent="0.3">
      <c r="A379">
        <v>2615609</v>
      </c>
      <c r="B379">
        <v>20251205</v>
      </c>
      <c r="C379">
        <v>857</v>
      </c>
      <c r="D379">
        <v>-0.84795932678821884</v>
      </c>
      <c r="E379" s="123" t="s">
        <v>1563</v>
      </c>
      <c r="F379" s="123" t="s">
        <v>185</v>
      </c>
      <c r="G379" s="123"/>
      <c r="H379" s="95">
        <v>45996</v>
      </c>
      <c r="I379">
        <v>17691</v>
      </c>
      <c r="J379" s="123" t="s">
        <v>1055</v>
      </c>
      <c r="K379" s="123" t="s">
        <v>1056</v>
      </c>
      <c r="L379" s="123" t="e">
        <f>VLOOKUP(Fact_AUM_FyoCapital[[#This Row],[Dim_Empresas.CUIT]],'clientes SQL'!C:D,2,0)</f>
        <v>#N/A</v>
      </c>
    </row>
    <row r="380" spans="1:12" hidden="1" x14ac:dyDescent="0.3">
      <c r="A380">
        <v>2617649</v>
      </c>
      <c r="B380">
        <v>20251205</v>
      </c>
      <c r="C380">
        <v>9936</v>
      </c>
      <c r="D380">
        <v>177.1</v>
      </c>
      <c r="E380" s="123" t="s">
        <v>1563</v>
      </c>
      <c r="F380" s="123" t="s">
        <v>950</v>
      </c>
      <c r="G380" s="123"/>
      <c r="H380" s="95">
        <v>45996</v>
      </c>
      <c r="I380">
        <v>35436</v>
      </c>
      <c r="J380" s="123" t="s">
        <v>300</v>
      </c>
      <c r="K380" s="123" t="s">
        <v>1037</v>
      </c>
      <c r="L380" s="123" t="e">
        <f>VLOOKUP(Fact_AUM_FyoCapital[[#This Row],[Dim_Empresas.CUIT]],'clientes SQL'!C:D,2,0)</f>
        <v>#N/A</v>
      </c>
    </row>
    <row r="381" spans="1:12" hidden="1" x14ac:dyDescent="0.3">
      <c r="A381">
        <v>1853377</v>
      </c>
      <c r="B381">
        <v>20251205</v>
      </c>
      <c r="C381">
        <v>317</v>
      </c>
      <c r="D381">
        <v>172.86718793828891</v>
      </c>
      <c r="E381" s="123" t="s">
        <v>1568</v>
      </c>
      <c r="F381" s="123" t="s">
        <v>1572</v>
      </c>
      <c r="G381" s="123" t="s">
        <v>1574</v>
      </c>
      <c r="H381" s="95">
        <v>45996</v>
      </c>
      <c r="I381">
        <v>2217</v>
      </c>
      <c r="J381" s="123" t="s">
        <v>433</v>
      </c>
      <c r="K381" s="123" t="s">
        <v>1150</v>
      </c>
      <c r="L381" s="123" t="e">
        <f>VLOOKUP(Fact_AUM_FyoCapital[[#This Row],[Dim_Empresas.CUIT]],'clientes SQL'!C:D,2,0)</f>
        <v>#N/A</v>
      </c>
    </row>
    <row r="382" spans="1:12" hidden="1" x14ac:dyDescent="0.3">
      <c r="A382">
        <v>2631689</v>
      </c>
      <c r="B382">
        <v>20251205</v>
      </c>
      <c r="C382">
        <v>1523</v>
      </c>
      <c r="D382">
        <v>0.4170897615708275</v>
      </c>
      <c r="E382" s="123" t="s">
        <v>1563</v>
      </c>
      <c r="F382" s="123" t="s">
        <v>185</v>
      </c>
      <c r="G382" s="123"/>
      <c r="H382" s="95">
        <v>45996</v>
      </c>
      <c r="I382">
        <v>20093</v>
      </c>
      <c r="J382" s="123" t="s">
        <v>987</v>
      </c>
      <c r="K382" s="123" t="s">
        <v>988</v>
      </c>
      <c r="L382" s="123" t="e">
        <f>VLOOKUP(Fact_AUM_FyoCapital[[#This Row],[Dim_Empresas.CUIT]],'clientes SQL'!C:D,2,0)</f>
        <v>#N/A</v>
      </c>
    </row>
    <row r="383" spans="1:12" hidden="1" x14ac:dyDescent="0.3">
      <c r="A383">
        <v>1836097</v>
      </c>
      <c r="B383">
        <v>20251205</v>
      </c>
      <c r="C383">
        <v>626</v>
      </c>
      <c r="D383">
        <v>0</v>
      </c>
      <c r="E383" s="123"/>
      <c r="F383" s="123"/>
      <c r="G383" s="123"/>
      <c r="H383" s="95">
        <v>45996</v>
      </c>
      <c r="I383">
        <v>580</v>
      </c>
      <c r="J383" s="123" t="s">
        <v>345</v>
      </c>
      <c r="K383" s="123" t="s">
        <v>979</v>
      </c>
      <c r="L383" s="123" t="e">
        <f>VLOOKUP(Fact_AUM_FyoCapital[[#This Row],[Dim_Empresas.CUIT]],'clientes SQL'!C:D,2,0)</f>
        <v>#N/A</v>
      </c>
    </row>
    <row r="384" spans="1:12" hidden="1" x14ac:dyDescent="0.3">
      <c r="A384">
        <v>1889917</v>
      </c>
      <c r="B384">
        <v>20251205</v>
      </c>
      <c r="C384">
        <v>393</v>
      </c>
      <c r="D384">
        <v>105541.80673211781</v>
      </c>
      <c r="E384" s="123" t="s">
        <v>1568</v>
      </c>
      <c r="F384" s="123" t="s">
        <v>1575</v>
      </c>
      <c r="G384" s="123" t="s">
        <v>1577</v>
      </c>
      <c r="H384" s="95">
        <v>45996</v>
      </c>
      <c r="I384">
        <v>1169</v>
      </c>
      <c r="J384" s="123" t="s">
        <v>941</v>
      </c>
      <c r="K384" s="123" t="s">
        <v>942</v>
      </c>
      <c r="L384" s="123" t="e">
        <f>VLOOKUP(Fact_AUM_FyoCapital[[#This Row],[Dim_Empresas.CUIT]],'clientes SQL'!C:D,2,0)</f>
        <v>#N/A</v>
      </c>
    </row>
    <row r="385" spans="1:12" hidden="1" x14ac:dyDescent="0.3">
      <c r="A385">
        <v>2620829</v>
      </c>
      <c r="B385">
        <v>20251205</v>
      </c>
      <c r="C385">
        <v>1770</v>
      </c>
      <c r="D385">
        <v>1.582047685834502E-2</v>
      </c>
      <c r="E385" s="123" t="s">
        <v>1563</v>
      </c>
      <c r="F385" s="123" t="s">
        <v>185</v>
      </c>
      <c r="G385" s="123"/>
      <c r="H385" s="95">
        <v>45996</v>
      </c>
      <c r="I385">
        <v>20579</v>
      </c>
      <c r="J385" s="123" t="s">
        <v>429</v>
      </c>
      <c r="K385" s="123" t="s">
        <v>1057</v>
      </c>
      <c r="L385" s="123" t="e">
        <f>VLOOKUP(Fact_AUM_FyoCapital[[#This Row],[Dim_Empresas.CUIT]],'clientes SQL'!C:D,2,0)</f>
        <v>#N/A</v>
      </c>
    </row>
    <row r="386" spans="1:12" hidden="1" x14ac:dyDescent="0.3">
      <c r="A386">
        <v>1851937</v>
      </c>
      <c r="B386">
        <v>20251205</v>
      </c>
      <c r="C386">
        <v>757</v>
      </c>
      <c r="D386">
        <v>265767.97594670404</v>
      </c>
      <c r="E386" s="123" t="s">
        <v>1566</v>
      </c>
      <c r="F386" s="123" t="s">
        <v>1571</v>
      </c>
      <c r="G386" s="123"/>
      <c r="H386" s="95">
        <v>45996</v>
      </c>
      <c r="I386">
        <v>13408</v>
      </c>
      <c r="J386" s="123" t="s">
        <v>274</v>
      </c>
      <c r="K386" s="123" t="s">
        <v>1001</v>
      </c>
      <c r="L386" s="123" t="e">
        <f>VLOOKUP(Fact_AUM_FyoCapital[[#This Row],[Dim_Empresas.CUIT]],'clientes SQL'!C:D,2,0)</f>
        <v>#N/A</v>
      </c>
    </row>
    <row r="387" spans="1:12" hidden="1" x14ac:dyDescent="0.3">
      <c r="A387">
        <v>2644289</v>
      </c>
      <c r="B387">
        <v>20251205</v>
      </c>
      <c r="C387">
        <v>12937</v>
      </c>
      <c r="D387">
        <v>46.19</v>
      </c>
      <c r="E387" s="123" t="s">
        <v>1563</v>
      </c>
      <c r="F387" s="123" t="s">
        <v>188</v>
      </c>
      <c r="G387" s="123"/>
      <c r="H387" s="95">
        <v>45996</v>
      </c>
      <c r="I387">
        <v>36152</v>
      </c>
      <c r="J387" s="123" t="s">
        <v>624</v>
      </c>
      <c r="K387" s="123" t="s">
        <v>1006</v>
      </c>
      <c r="L387" s="123" t="e">
        <f>VLOOKUP(Fact_AUM_FyoCapital[[#This Row],[Dim_Empresas.CUIT]],'clientes SQL'!C:D,2,0)</f>
        <v>#N/A</v>
      </c>
    </row>
    <row r="388" spans="1:12" hidden="1" x14ac:dyDescent="0.3">
      <c r="A388">
        <v>2634149</v>
      </c>
      <c r="B388">
        <v>20251205</v>
      </c>
      <c r="C388">
        <v>12867</v>
      </c>
      <c r="D388">
        <v>-0.22</v>
      </c>
      <c r="E388" s="123" t="s">
        <v>1563</v>
      </c>
      <c r="F388" s="123" t="s">
        <v>188</v>
      </c>
      <c r="G388" s="123"/>
      <c r="H388" s="95">
        <v>45996</v>
      </c>
      <c r="I388">
        <v>36089</v>
      </c>
      <c r="J388" s="123" t="s">
        <v>557</v>
      </c>
      <c r="K388" s="123" t="s">
        <v>1086</v>
      </c>
      <c r="L388" s="123" t="e">
        <f>VLOOKUP(Fact_AUM_FyoCapital[[#This Row],[Dim_Empresas.CUIT]],'clientes SQL'!C:D,2,0)</f>
        <v>#N/A</v>
      </c>
    </row>
    <row r="389" spans="1:12" hidden="1" x14ac:dyDescent="0.3">
      <c r="A389">
        <v>1877677</v>
      </c>
      <c r="B389">
        <v>20251205</v>
      </c>
      <c r="C389">
        <v>1523</v>
      </c>
      <c r="D389">
        <v>11664.621318373072</v>
      </c>
      <c r="E389" s="123" t="s">
        <v>1566</v>
      </c>
      <c r="F389" s="123" t="s">
        <v>1573</v>
      </c>
      <c r="G389" s="123"/>
      <c r="H389" s="95">
        <v>45996</v>
      </c>
      <c r="I389">
        <v>20093</v>
      </c>
      <c r="J389" s="123" t="s">
        <v>987</v>
      </c>
      <c r="K389" s="123" t="s">
        <v>988</v>
      </c>
      <c r="L389" s="123" t="e">
        <f>VLOOKUP(Fact_AUM_FyoCapital[[#This Row],[Dim_Empresas.CUIT]],'clientes SQL'!C:D,2,0)</f>
        <v>#N/A</v>
      </c>
    </row>
    <row r="390" spans="1:12" hidden="1" x14ac:dyDescent="0.3">
      <c r="A390">
        <v>2642309</v>
      </c>
      <c r="B390">
        <v>20251205</v>
      </c>
      <c r="C390">
        <v>1240</v>
      </c>
      <c r="D390">
        <v>0</v>
      </c>
      <c r="E390" s="123"/>
      <c r="F390" s="123"/>
      <c r="G390" s="123"/>
      <c r="H390" s="95">
        <v>45996</v>
      </c>
      <c r="I390">
        <v>19320</v>
      </c>
      <c r="J390" s="123" t="s">
        <v>388</v>
      </c>
      <c r="K390" s="123" t="s">
        <v>974</v>
      </c>
      <c r="L390" s="123" t="e">
        <f>VLOOKUP(Fact_AUM_FyoCapital[[#This Row],[Dim_Empresas.CUIT]],'clientes SQL'!C:D,2,0)</f>
        <v>#N/A</v>
      </c>
    </row>
    <row r="391" spans="1:12" hidden="1" x14ac:dyDescent="0.3">
      <c r="A391">
        <v>1898377</v>
      </c>
      <c r="B391">
        <v>20251205</v>
      </c>
      <c r="C391">
        <v>12855</v>
      </c>
      <c r="D391">
        <v>18889.22</v>
      </c>
      <c r="E391" s="123" t="s">
        <v>1566</v>
      </c>
      <c r="F391" s="123" t="s">
        <v>1578</v>
      </c>
      <c r="G391" s="123"/>
      <c r="H391" s="95">
        <v>45996</v>
      </c>
      <c r="I391">
        <v>36077</v>
      </c>
      <c r="J391" s="123" t="s">
        <v>563</v>
      </c>
      <c r="K391" s="123" t="s">
        <v>969</v>
      </c>
      <c r="L391" s="123" t="e">
        <f>VLOOKUP(Fact_AUM_FyoCapital[[#This Row],[Dim_Empresas.CUIT]],'clientes SQL'!C:D,2,0)</f>
        <v>#N/A</v>
      </c>
    </row>
    <row r="392" spans="1:12" hidden="1" x14ac:dyDescent="0.3">
      <c r="A392">
        <v>1852177</v>
      </c>
      <c r="B392">
        <v>20251205</v>
      </c>
      <c r="C392">
        <v>757</v>
      </c>
      <c r="D392">
        <v>36263.486065918652</v>
      </c>
      <c r="E392" s="123" t="s">
        <v>1568</v>
      </c>
      <c r="F392" s="123" t="s">
        <v>1572</v>
      </c>
      <c r="G392" s="123" t="s">
        <v>1570</v>
      </c>
      <c r="H392" s="95">
        <v>45996</v>
      </c>
      <c r="I392">
        <v>13408</v>
      </c>
      <c r="J392" s="123" t="s">
        <v>274</v>
      </c>
      <c r="K392" s="123" t="s">
        <v>1001</v>
      </c>
      <c r="L392" s="123" t="e">
        <f>VLOOKUP(Fact_AUM_FyoCapital[[#This Row],[Dim_Empresas.CUIT]],'clientes SQL'!C:D,2,0)</f>
        <v>#N/A</v>
      </c>
    </row>
    <row r="393" spans="1:12" hidden="1" x14ac:dyDescent="0.3">
      <c r="A393">
        <v>2630609</v>
      </c>
      <c r="B393">
        <v>20251205</v>
      </c>
      <c r="C393">
        <v>969</v>
      </c>
      <c r="D393">
        <v>-2.594670406732118E-4</v>
      </c>
      <c r="E393" s="123" t="s">
        <v>1563</v>
      </c>
      <c r="F393" s="123" t="s">
        <v>185</v>
      </c>
      <c r="G393" s="123"/>
      <c r="H393" s="95">
        <v>45996</v>
      </c>
      <c r="I393">
        <v>3511</v>
      </c>
      <c r="J393" s="123" t="s">
        <v>989</v>
      </c>
      <c r="K393" s="123" t="s">
        <v>990</v>
      </c>
      <c r="L393" s="123" t="e">
        <f>VLOOKUP(Fact_AUM_FyoCapital[[#This Row],[Dim_Empresas.CUIT]],'clientes SQL'!C:D,2,0)</f>
        <v>#N/A</v>
      </c>
    </row>
    <row r="394" spans="1:12" hidden="1" x14ac:dyDescent="0.3">
      <c r="A394">
        <v>2602109</v>
      </c>
      <c r="B394">
        <v>20251205</v>
      </c>
      <c r="C394">
        <v>1240</v>
      </c>
      <c r="D394">
        <v>7252.931276297335</v>
      </c>
      <c r="E394" s="123" t="s">
        <v>1566</v>
      </c>
      <c r="F394" s="123" t="s">
        <v>1573</v>
      </c>
      <c r="G394" s="123"/>
      <c r="H394" s="95">
        <v>45996</v>
      </c>
      <c r="I394">
        <v>19320</v>
      </c>
      <c r="J394" s="123" t="s">
        <v>388</v>
      </c>
      <c r="K394" s="123" t="s">
        <v>974</v>
      </c>
      <c r="L394" s="123" t="e">
        <f>VLOOKUP(Fact_AUM_FyoCapital[[#This Row],[Dim_Empresas.CUIT]],'clientes SQL'!C:D,2,0)</f>
        <v>#N/A</v>
      </c>
    </row>
    <row r="395" spans="1:12" hidden="1" x14ac:dyDescent="0.3">
      <c r="A395">
        <v>1883317</v>
      </c>
      <c r="B395">
        <v>20251205</v>
      </c>
      <c r="C395">
        <v>2396</v>
      </c>
      <c r="D395">
        <v>31.402251051893408</v>
      </c>
      <c r="E395" s="123" t="s">
        <v>1568</v>
      </c>
      <c r="F395" s="123" t="s">
        <v>1572</v>
      </c>
      <c r="G395" s="123" t="s">
        <v>1570</v>
      </c>
      <c r="H395" s="95">
        <v>45996</v>
      </c>
      <c r="I395">
        <v>30576</v>
      </c>
      <c r="J395" s="123" t="s">
        <v>1024</v>
      </c>
      <c r="K395" s="123" t="s">
        <v>1025</v>
      </c>
      <c r="L395" s="123" t="e">
        <f>VLOOKUP(Fact_AUM_FyoCapital[[#This Row],[Dim_Empresas.CUIT]],'clientes SQL'!C:D,2,0)</f>
        <v>#N/A</v>
      </c>
    </row>
    <row r="396" spans="1:12" hidden="1" x14ac:dyDescent="0.3">
      <c r="A396">
        <v>1851037</v>
      </c>
      <c r="B396">
        <v>20251205</v>
      </c>
      <c r="C396">
        <v>776</v>
      </c>
      <c r="D396">
        <v>50411.040000000001</v>
      </c>
      <c r="E396" s="123" t="s">
        <v>1568</v>
      </c>
      <c r="F396" s="123" t="s">
        <v>1575</v>
      </c>
      <c r="G396" s="123" t="s">
        <v>1576</v>
      </c>
      <c r="H396" s="95">
        <v>45996</v>
      </c>
      <c r="I396">
        <v>16699</v>
      </c>
      <c r="J396" s="123" t="s">
        <v>261</v>
      </c>
      <c r="K396" s="123" t="s">
        <v>938</v>
      </c>
      <c r="L396" s="123">
        <f>VLOOKUP(Fact_AUM_FyoCapital[[#This Row],[Dim_Empresas.CUIT]],'clientes SQL'!C:D,2,0)</f>
        <v>13008</v>
      </c>
    </row>
    <row r="397" spans="1:12" hidden="1" x14ac:dyDescent="0.3">
      <c r="A397">
        <v>2096560</v>
      </c>
      <c r="B397">
        <v>20251205</v>
      </c>
      <c r="C397">
        <v>757</v>
      </c>
      <c r="D397">
        <v>146871.36708274894</v>
      </c>
      <c r="E397" s="123" t="s">
        <v>1564</v>
      </c>
      <c r="F397" s="123" t="s">
        <v>1565</v>
      </c>
      <c r="G397" s="123"/>
      <c r="H397" s="95">
        <v>45996</v>
      </c>
      <c r="I397">
        <v>13408</v>
      </c>
      <c r="J397" s="123" t="s">
        <v>274</v>
      </c>
      <c r="K397" s="123" t="s">
        <v>1001</v>
      </c>
      <c r="L397" s="123" t="e">
        <f>VLOOKUP(Fact_AUM_FyoCapital[[#This Row],[Dim_Empresas.CUIT]],'clientes SQL'!C:D,2,0)</f>
        <v>#N/A</v>
      </c>
    </row>
    <row r="398" spans="1:12" hidden="1" x14ac:dyDescent="0.3">
      <c r="A398">
        <v>2634089</v>
      </c>
      <c r="B398">
        <v>20251205</v>
      </c>
      <c r="C398">
        <v>12867</v>
      </c>
      <c r="D398">
        <v>-2.4337587657784012</v>
      </c>
      <c r="E398" s="123" t="s">
        <v>1563</v>
      </c>
      <c r="F398" s="123" t="s">
        <v>185</v>
      </c>
      <c r="G398" s="123"/>
      <c r="H398" s="95">
        <v>45996</v>
      </c>
      <c r="I398">
        <v>36089</v>
      </c>
      <c r="J398" s="123" t="s">
        <v>557</v>
      </c>
      <c r="K398" s="123" t="s">
        <v>1086</v>
      </c>
      <c r="L398" s="123" t="e">
        <f>VLOOKUP(Fact_AUM_FyoCapital[[#This Row],[Dim_Empresas.CUIT]],'clientes SQL'!C:D,2,0)</f>
        <v>#N/A</v>
      </c>
    </row>
    <row r="399" spans="1:12" hidden="1" x14ac:dyDescent="0.3">
      <c r="A399">
        <v>2634929</v>
      </c>
      <c r="B399">
        <v>20251205</v>
      </c>
      <c r="C399">
        <v>15195</v>
      </c>
      <c r="D399">
        <v>-0.94030855539971958</v>
      </c>
      <c r="E399" s="123" t="s">
        <v>1563</v>
      </c>
      <c r="F399" s="123" t="s">
        <v>185</v>
      </c>
      <c r="G399" s="123"/>
      <c r="H399" s="95">
        <v>45996</v>
      </c>
      <c r="I399">
        <v>37326</v>
      </c>
      <c r="J399" s="123" t="s">
        <v>716</v>
      </c>
      <c r="K399" s="123" t="s">
        <v>1111</v>
      </c>
      <c r="L399" s="123" t="e">
        <f>VLOOKUP(Fact_AUM_FyoCapital[[#This Row],[Dim_Empresas.CUIT]],'clientes SQL'!C:D,2,0)</f>
        <v>#N/A</v>
      </c>
    </row>
    <row r="400" spans="1:12" hidden="1" x14ac:dyDescent="0.3">
      <c r="A400">
        <v>1900957</v>
      </c>
      <c r="B400">
        <v>20251205</v>
      </c>
      <c r="C400">
        <v>13663</v>
      </c>
      <c r="D400">
        <v>1310.7643758765778</v>
      </c>
      <c r="E400" s="123" t="s">
        <v>1566</v>
      </c>
      <c r="F400" s="123" t="s">
        <v>1573</v>
      </c>
      <c r="G400" s="123"/>
      <c r="H400" s="95">
        <v>45996</v>
      </c>
      <c r="I400">
        <v>36828</v>
      </c>
      <c r="J400" s="123" t="s">
        <v>559</v>
      </c>
      <c r="K400" s="123" t="s">
        <v>1015</v>
      </c>
      <c r="L400" s="123" t="e">
        <f>VLOOKUP(Fact_AUM_FyoCapital[[#This Row],[Dim_Empresas.CUIT]],'clientes SQL'!C:D,2,0)</f>
        <v>#N/A</v>
      </c>
    </row>
    <row r="401" spans="1:12" hidden="1" x14ac:dyDescent="0.3">
      <c r="A401">
        <v>1503364</v>
      </c>
      <c r="B401">
        <v>20251205</v>
      </c>
      <c r="C401">
        <v>633</v>
      </c>
      <c r="D401">
        <v>426304.80682328192</v>
      </c>
      <c r="E401" s="123" t="s">
        <v>1564</v>
      </c>
      <c r="F401" s="123" t="s">
        <v>1581</v>
      </c>
      <c r="G401" s="123"/>
      <c r="H401" s="95">
        <v>45996</v>
      </c>
      <c r="I401">
        <v>4875</v>
      </c>
      <c r="J401" s="123" t="s">
        <v>546</v>
      </c>
      <c r="K401" s="123" t="s">
        <v>1023</v>
      </c>
      <c r="L401" s="123" t="e">
        <f>VLOOKUP(Fact_AUM_FyoCapital[[#This Row],[Dim_Empresas.CUIT]],'clientes SQL'!C:D,2,0)</f>
        <v>#N/A</v>
      </c>
    </row>
    <row r="402" spans="1:12" hidden="1" x14ac:dyDescent="0.3">
      <c r="A402">
        <v>1836397</v>
      </c>
      <c r="B402">
        <v>20251205</v>
      </c>
      <c r="C402">
        <v>626</v>
      </c>
      <c r="D402">
        <v>76487.960000000006</v>
      </c>
      <c r="E402" s="123" t="s">
        <v>1566</v>
      </c>
      <c r="F402" s="123" t="s">
        <v>1571</v>
      </c>
      <c r="G402" s="123"/>
      <c r="H402" s="95">
        <v>45996</v>
      </c>
      <c r="I402">
        <v>580</v>
      </c>
      <c r="J402" s="123" t="s">
        <v>345</v>
      </c>
      <c r="K402" s="123" t="s">
        <v>979</v>
      </c>
      <c r="L402" s="123" t="e">
        <f>VLOOKUP(Fact_AUM_FyoCapital[[#This Row],[Dim_Empresas.CUIT]],'clientes SQL'!C:D,2,0)</f>
        <v>#N/A</v>
      </c>
    </row>
    <row r="403" spans="1:12" hidden="1" x14ac:dyDescent="0.3">
      <c r="A403">
        <v>2605529</v>
      </c>
      <c r="B403">
        <v>20251205</v>
      </c>
      <c r="C403">
        <v>1094</v>
      </c>
      <c r="D403">
        <v>170.37906030855541</v>
      </c>
      <c r="E403" s="123" t="s">
        <v>1568</v>
      </c>
      <c r="F403" s="123" t="s">
        <v>1572</v>
      </c>
      <c r="G403" s="123" t="s">
        <v>1570</v>
      </c>
      <c r="H403" s="95">
        <v>45996</v>
      </c>
      <c r="I403">
        <v>8147</v>
      </c>
      <c r="J403" s="123" t="s">
        <v>613</v>
      </c>
      <c r="K403" s="123" t="s">
        <v>1043</v>
      </c>
      <c r="L403" s="123" t="e">
        <f>VLOOKUP(Fact_AUM_FyoCapital[[#This Row],[Dim_Empresas.CUIT]],'clientes SQL'!C:D,2,0)</f>
        <v>#N/A</v>
      </c>
    </row>
    <row r="404" spans="1:12" hidden="1" x14ac:dyDescent="0.3">
      <c r="A404">
        <v>1895497</v>
      </c>
      <c r="B404">
        <v>20251205</v>
      </c>
      <c r="C404">
        <v>10244</v>
      </c>
      <c r="D404">
        <v>333175.08112201962</v>
      </c>
      <c r="E404" s="123" t="s">
        <v>1566</v>
      </c>
      <c r="F404" s="123" t="s">
        <v>1571</v>
      </c>
      <c r="G404" s="123"/>
      <c r="H404" s="95">
        <v>45996</v>
      </c>
      <c r="I404">
        <v>35636</v>
      </c>
      <c r="J404" s="123" t="s">
        <v>564</v>
      </c>
      <c r="K404" s="123" t="s">
        <v>1017</v>
      </c>
      <c r="L404" s="123" t="e">
        <f>VLOOKUP(Fact_AUM_FyoCapital[[#This Row],[Dim_Empresas.CUIT]],'clientes SQL'!C:D,2,0)</f>
        <v>#N/A</v>
      </c>
    </row>
    <row r="405" spans="1:12" hidden="1" x14ac:dyDescent="0.3">
      <c r="A405">
        <v>1837297</v>
      </c>
      <c r="B405">
        <v>20251205</v>
      </c>
      <c r="C405">
        <v>626</v>
      </c>
      <c r="D405">
        <v>5990.554488078541</v>
      </c>
      <c r="E405" s="123" t="s">
        <v>1566</v>
      </c>
      <c r="F405" s="123" t="s">
        <v>1571</v>
      </c>
      <c r="G405" s="123"/>
      <c r="H405" s="95">
        <v>45996</v>
      </c>
      <c r="I405">
        <v>580</v>
      </c>
      <c r="J405" s="123" t="s">
        <v>345</v>
      </c>
      <c r="K405" s="123" t="s">
        <v>979</v>
      </c>
      <c r="L405" s="123" t="e">
        <f>VLOOKUP(Fact_AUM_FyoCapital[[#This Row],[Dim_Empresas.CUIT]],'clientes SQL'!C:D,2,0)</f>
        <v>#N/A</v>
      </c>
    </row>
    <row r="406" spans="1:12" hidden="1" x14ac:dyDescent="0.3">
      <c r="A406">
        <v>1835737</v>
      </c>
      <c r="B406">
        <v>20251205</v>
      </c>
      <c r="C406">
        <v>626</v>
      </c>
      <c r="D406">
        <v>174957.92426367462</v>
      </c>
      <c r="E406" s="123" t="s">
        <v>1566</v>
      </c>
      <c r="F406" s="123" t="s">
        <v>1578</v>
      </c>
      <c r="G406" s="123"/>
      <c r="H406" s="95">
        <v>45996</v>
      </c>
      <c r="I406">
        <v>580</v>
      </c>
      <c r="J406" s="123" t="s">
        <v>345</v>
      </c>
      <c r="K406" s="123" t="s">
        <v>979</v>
      </c>
      <c r="L406" s="123" t="e">
        <f>VLOOKUP(Fact_AUM_FyoCapital[[#This Row],[Dim_Empresas.CUIT]],'clientes SQL'!C:D,2,0)</f>
        <v>#N/A</v>
      </c>
    </row>
    <row r="407" spans="1:12" hidden="1" x14ac:dyDescent="0.3">
      <c r="A407">
        <v>1882297</v>
      </c>
      <c r="B407">
        <v>20251205</v>
      </c>
      <c r="C407">
        <v>633</v>
      </c>
      <c r="D407">
        <v>604081.62</v>
      </c>
      <c r="E407" s="123" t="s">
        <v>1566</v>
      </c>
      <c r="F407" s="123" t="s">
        <v>1579</v>
      </c>
      <c r="G407" s="123"/>
      <c r="H407" s="95">
        <v>45996</v>
      </c>
      <c r="I407">
        <v>4875</v>
      </c>
      <c r="J407" s="123" t="s">
        <v>546</v>
      </c>
      <c r="K407" s="123" t="s">
        <v>1023</v>
      </c>
      <c r="L407" s="123" t="e">
        <f>VLOOKUP(Fact_AUM_FyoCapital[[#This Row],[Dim_Empresas.CUIT]],'clientes SQL'!C:D,2,0)</f>
        <v>#N/A</v>
      </c>
    </row>
    <row r="408" spans="1:12" hidden="1" x14ac:dyDescent="0.3">
      <c r="A408">
        <v>1901257</v>
      </c>
      <c r="B408">
        <v>20251205</v>
      </c>
      <c r="C408">
        <v>13663</v>
      </c>
      <c r="D408">
        <v>2303.9406802244039</v>
      </c>
      <c r="E408" s="123" t="s">
        <v>1568</v>
      </c>
      <c r="F408" s="123" t="s">
        <v>1572</v>
      </c>
      <c r="G408" s="123" t="s">
        <v>1584</v>
      </c>
      <c r="H408" s="95">
        <v>45996</v>
      </c>
      <c r="I408">
        <v>36828</v>
      </c>
      <c r="J408" s="123" t="s">
        <v>559</v>
      </c>
      <c r="K408" s="123" t="s">
        <v>1015</v>
      </c>
      <c r="L408" s="123" t="e">
        <f>VLOOKUP(Fact_AUM_FyoCapital[[#This Row],[Dim_Empresas.CUIT]],'clientes SQL'!C:D,2,0)</f>
        <v>#N/A</v>
      </c>
    </row>
    <row r="409" spans="1:12" hidden="1" x14ac:dyDescent="0.3">
      <c r="A409">
        <v>2643989</v>
      </c>
      <c r="B409">
        <v>20251205</v>
      </c>
      <c r="C409">
        <v>10090</v>
      </c>
      <c r="D409">
        <v>7.7138849929873774E-5</v>
      </c>
      <c r="E409" s="123" t="s">
        <v>1563</v>
      </c>
      <c r="F409" s="123" t="s">
        <v>185</v>
      </c>
      <c r="G409" s="123"/>
      <c r="H409" s="95">
        <v>45996</v>
      </c>
      <c r="I409">
        <v>35555</v>
      </c>
      <c r="J409" s="123" t="s">
        <v>618</v>
      </c>
      <c r="K409" s="123" t="s">
        <v>1020</v>
      </c>
      <c r="L409" s="123" t="e">
        <f>VLOOKUP(Fact_AUM_FyoCapital[[#This Row],[Dim_Empresas.CUIT]],'clientes SQL'!C:D,2,0)</f>
        <v>#N/A</v>
      </c>
    </row>
    <row r="410" spans="1:12" hidden="1" x14ac:dyDescent="0.3">
      <c r="A410">
        <v>1895437</v>
      </c>
      <c r="B410">
        <v>20251205</v>
      </c>
      <c r="C410">
        <v>10244</v>
      </c>
      <c r="D410">
        <v>1014711.0641654979</v>
      </c>
      <c r="E410" s="123" t="s">
        <v>1566</v>
      </c>
      <c r="F410" s="123" t="s">
        <v>1571</v>
      </c>
      <c r="G410" s="123"/>
      <c r="H410" s="95">
        <v>45996</v>
      </c>
      <c r="I410">
        <v>35636</v>
      </c>
      <c r="J410" s="123" t="s">
        <v>564</v>
      </c>
      <c r="K410" s="123" t="s">
        <v>1017</v>
      </c>
      <c r="L410" s="123" t="e">
        <f>VLOOKUP(Fact_AUM_FyoCapital[[#This Row],[Dim_Empresas.CUIT]],'clientes SQL'!C:D,2,0)</f>
        <v>#N/A</v>
      </c>
    </row>
    <row r="411" spans="1:12" hidden="1" x14ac:dyDescent="0.3">
      <c r="A411">
        <v>2606549</v>
      </c>
      <c r="B411">
        <v>20251205</v>
      </c>
      <c r="C411">
        <v>13817</v>
      </c>
      <c r="D411">
        <v>15.0411079943899</v>
      </c>
      <c r="E411" s="123" t="s">
        <v>1568</v>
      </c>
      <c r="F411" s="123" t="s">
        <v>1572</v>
      </c>
      <c r="G411" s="123" t="s">
        <v>1570</v>
      </c>
      <c r="H411" s="95">
        <v>45996</v>
      </c>
      <c r="I411">
        <v>36965</v>
      </c>
      <c r="J411" s="123" t="s">
        <v>628</v>
      </c>
      <c r="K411" s="123" t="s">
        <v>1009</v>
      </c>
      <c r="L411" s="123" t="e">
        <f>VLOOKUP(Fact_AUM_FyoCapital[[#This Row],[Dim_Empresas.CUIT]],'clientes SQL'!C:D,2,0)</f>
        <v>#N/A</v>
      </c>
    </row>
    <row r="412" spans="1:12" hidden="1" x14ac:dyDescent="0.3">
      <c r="A412">
        <v>2626169</v>
      </c>
      <c r="B412">
        <v>20251205</v>
      </c>
      <c r="C412">
        <v>5869</v>
      </c>
      <c r="D412">
        <v>0.47403927068723706</v>
      </c>
      <c r="E412" s="123" t="s">
        <v>1563</v>
      </c>
      <c r="F412" s="123" t="s">
        <v>185</v>
      </c>
      <c r="G412" s="123"/>
      <c r="H412" s="95">
        <v>45996</v>
      </c>
      <c r="I412">
        <v>33280</v>
      </c>
      <c r="J412" s="123" t="s">
        <v>495</v>
      </c>
      <c r="K412" s="123" t="s">
        <v>1019</v>
      </c>
      <c r="L412" s="123" t="e">
        <f>VLOOKUP(Fact_AUM_FyoCapital[[#This Row],[Dim_Empresas.CUIT]],'clientes SQL'!C:D,2,0)</f>
        <v>#N/A</v>
      </c>
    </row>
    <row r="413" spans="1:12" hidden="1" x14ac:dyDescent="0.3">
      <c r="A413">
        <v>2619989</v>
      </c>
      <c r="B413">
        <v>20251205</v>
      </c>
      <c r="C413">
        <v>855</v>
      </c>
      <c r="D413">
        <v>2303.31</v>
      </c>
      <c r="E413" s="123" t="s">
        <v>1563</v>
      </c>
      <c r="F413" s="123" t="s">
        <v>950</v>
      </c>
      <c r="G413" s="123"/>
      <c r="H413" s="95">
        <v>45996</v>
      </c>
      <c r="I413">
        <v>17742</v>
      </c>
      <c r="J413" s="123" t="s">
        <v>266</v>
      </c>
      <c r="K413" s="123" t="s">
        <v>1030</v>
      </c>
      <c r="L413" s="123" t="e">
        <f>VLOOKUP(Fact_AUM_FyoCapital[[#This Row],[Dim_Empresas.CUIT]],'clientes SQL'!C:D,2,0)</f>
        <v>#N/A</v>
      </c>
    </row>
    <row r="414" spans="1:12" hidden="1" x14ac:dyDescent="0.3">
      <c r="A414">
        <v>1832737</v>
      </c>
      <c r="B414">
        <v>20251205</v>
      </c>
      <c r="C414">
        <v>12840</v>
      </c>
      <c r="D414">
        <v>84101.36</v>
      </c>
      <c r="E414" s="123" t="s">
        <v>1566</v>
      </c>
      <c r="F414" s="123" t="s">
        <v>1579</v>
      </c>
      <c r="G414" s="123"/>
      <c r="H414" s="95">
        <v>45996</v>
      </c>
      <c r="I414">
        <v>36062</v>
      </c>
      <c r="J414" s="123" t="s">
        <v>236</v>
      </c>
      <c r="K414" s="123" t="s">
        <v>1031</v>
      </c>
      <c r="L414" s="123" t="e">
        <f>VLOOKUP(Fact_AUM_FyoCapital[[#This Row],[Dim_Empresas.CUIT]],'clientes SQL'!C:D,2,0)</f>
        <v>#N/A</v>
      </c>
    </row>
    <row r="415" spans="1:12" hidden="1" x14ac:dyDescent="0.3">
      <c r="A415">
        <v>1845457</v>
      </c>
      <c r="B415">
        <v>20251205</v>
      </c>
      <c r="C415">
        <v>9936</v>
      </c>
      <c r="D415">
        <v>1464.9719495091165</v>
      </c>
      <c r="E415" s="123" t="s">
        <v>1566</v>
      </c>
      <c r="F415" s="123" t="s">
        <v>1573</v>
      </c>
      <c r="G415" s="123"/>
      <c r="H415" s="95">
        <v>45996</v>
      </c>
      <c r="I415">
        <v>35436</v>
      </c>
      <c r="J415" s="123" t="s">
        <v>300</v>
      </c>
      <c r="K415" s="123" t="s">
        <v>1037</v>
      </c>
      <c r="L415" s="123" t="e">
        <f>VLOOKUP(Fact_AUM_FyoCapital[[#This Row],[Dim_Empresas.CUIT]],'clientes SQL'!C:D,2,0)</f>
        <v>#N/A</v>
      </c>
    </row>
    <row r="416" spans="1:12" hidden="1" x14ac:dyDescent="0.3">
      <c r="A416">
        <v>1835917</v>
      </c>
      <c r="B416">
        <v>20251205</v>
      </c>
      <c r="C416">
        <v>626</v>
      </c>
      <c r="D416">
        <v>0</v>
      </c>
      <c r="E416" s="123"/>
      <c r="F416" s="123"/>
      <c r="G416" s="123"/>
      <c r="H416" s="95">
        <v>45996</v>
      </c>
      <c r="I416">
        <v>580</v>
      </c>
      <c r="J416" s="123" t="s">
        <v>345</v>
      </c>
      <c r="K416" s="123" t="s">
        <v>979</v>
      </c>
      <c r="L416" s="123" t="e">
        <f>VLOOKUP(Fact_AUM_FyoCapital[[#This Row],[Dim_Empresas.CUIT]],'clientes SQL'!C:D,2,0)</f>
        <v>#N/A</v>
      </c>
    </row>
    <row r="417" spans="1:12" hidden="1" x14ac:dyDescent="0.3">
      <c r="A417">
        <v>1884517</v>
      </c>
      <c r="B417">
        <v>20251205</v>
      </c>
      <c r="C417">
        <v>1750</v>
      </c>
      <c r="D417">
        <v>34035.491753155678</v>
      </c>
      <c r="E417" s="123" t="s">
        <v>1566</v>
      </c>
      <c r="F417" s="123" t="s">
        <v>1571</v>
      </c>
      <c r="G417" s="123"/>
      <c r="H417" s="95">
        <v>45996</v>
      </c>
      <c r="I417">
        <v>20554</v>
      </c>
      <c r="J417" s="123" t="s">
        <v>505</v>
      </c>
      <c r="K417" s="123" t="s">
        <v>973</v>
      </c>
      <c r="L417" s="123" t="e">
        <f>VLOOKUP(Fact_AUM_FyoCapital[[#This Row],[Dim_Empresas.CUIT]],'clientes SQL'!C:D,2,0)</f>
        <v>#N/A</v>
      </c>
    </row>
    <row r="418" spans="1:12" hidden="1" x14ac:dyDescent="0.3">
      <c r="A418">
        <v>1832077</v>
      </c>
      <c r="B418">
        <v>20251205</v>
      </c>
      <c r="C418">
        <v>12840</v>
      </c>
      <c r="D418">
        <v>94733.4</v>
      </c>
      <c r="E418" s="123" t="s">
        <v>1566</v>
      </c>
      <c r="F418" s="123" t="s">
        <v>1578</v>
      </c>
      <c r="G418" s="123"/>
      <c r="H418" s="95">
        <v>45996</v>
      </c>
      <c r="I418">
        <v>36062</v>
      </c>
      <c r="J418" s="123" t="s">
        <v>236</v>
      </c>
      <c r="K418" s="123" t="s">
        <v>1031</v>
      </c>
      <c r="L418" s="123" t="e">
        <f>VLOOKUP(Fact_AUM_FyoCapital[[#This Row],[Dim_Empresas.CUIT]],'clientes SQL'!C:D,2,0)</f>
        <v>#N/A</v>
      </c>
    </row>
    <row r="419" spans="1:12" hidden="1" x14ac:dyDescent="0.3">
      <c r="A419">
        <v>2632109</v>
      </c>
      <c r="B419">
        <v>20251205</v>
      </c>
      <c r="C419">
        <v>1522</v>
      </c>
      <c r="D419">
        <v>-0.06</v>
      </c>
      <c r="E419" s="123" t="s">
        <v>1563</v>
      </c>
      <c r="F419" s="123" t="s">
        <v>188</v>
      </c>
      <c r="G419" s="123"/>
      <c r="H419" s="95">
        <v>45996</v>
      </c>
      <c r="I419">
        <v>20094</v>
      </c>
      <c r="J419" s="123" t="s">
        <v>488</v>
      </c>
      <c r="K419" s="123" t="s">
        <v>1050</v>
      </c>
      <c r="L419" s="123" t="e">
        <f>VLOOKUP(Fact_AUM_FyoCapital[[#This Row],[Dim_Empresas.CUIT]],'clientes SQL'!C:D,2,0)</f>
        <v>#N/A</v>
      </c>
    </row>
    <row r="420" spans="1:12" hidden="1" x14ac:dyDescent="0.3">
      <c r="A420">
        <v>1895137</v>
      </c>
      <c r="B420">
        <v>20251205</v>
      </c>
      <c r="C420">
        <v>10244</v>
      </c>
      <c r="D420">
        <v>19207.580000000002</v>
      </c>
      <c r="E420" s="123" t="s">
        <v>1566</v>
      </c>
      <c r="F420" s="123" t="s">
        <v>1578</v>
      </c>
      <c r="G420" s="123"/>
      <c r="H420" s="95">
        <v>45996</v>
      </c>
      <c r="I420">
        <v>35636</v>
      </c>
      <c r="J420" s="123" t="s">
        <v>564</v>
      </c>
      <c r="K420" s="123" t="s">
        <v>1017</v>
      </c>
      <c r="L420" s="123" t="e">
        <f>VLOOKUP(Fact_AUM_FyoCapital[[#This Row],[Dim_Empresas.CUIT]],'clientes SQL'!C:D,2,0)</f>
        <v>#N/A</v>
      </c>
    </row>
    <row r="421" spans="1:12" hidden="1" x14ac:dyDescent="0.3">
      <c r="A421">
        <v>2636129</v>
      </c>
      <c r="B421">
        <v>20251205</v>
      </c>
      <c r="C421">
        <v>393</v>
      </c>
      <c r="D421">
        <v>1.2622720897615707E-4</v>
      </c>
      <c r="E421" s="123" t="s">
        <v>1563</v>
      </c>
      <c r="F421" s="123" t="s">
        <v>185</v>
      </c>
      <c r="G421" s="123"/>
      <c r="H421" s="95">
        <v>45996</v>
      </c>
      <c r="I421">
        <v>1169</v>
      </c>
      <c r="J421" s="123" t="s">
        <v>941</v>
      </c>
      <c r="K421" s="123" t="s">
        <v>942</v>
      </c>
      <c r="L421" s="123" t="e">
        <f>VLOOKUP(Fact_AUM_FyoCapital[[#This Row],[Dim_Empresas.CUIT]],'clientes SQL'!C:D,2,0)</f>
        <v>#N/A</v>
      </c>
    </row>
    <row r="422" spans="1:12" hidden="1" x14ac:dyDescent="0.3">
      <c r="A422">
        <v>1851097</v>
      </c>
      <c r="B422">
        <v>20251205</v>
      </c>
      <c r="C422">
        <v>776</v>
      </c>
      <c r="D422">
        <v>82369.89</v>
      </c>
      <c r="E422" s="123" t="s">
        <v>1568</v>
      </c>
      <c r="F422" s="123" t="s">
        <v>1572</v>
      </c>
      <c r="G422" s="123" t="s">
        <v>1576</v>
      </c>
      <c r="H422" s="95">
        <v>45996</v>
      </c>
      <c r="I422">
        <v>16699</v>
      </c>
      <c r="J422" s="123" t="s">
        <v>261</v>
      </c>
      <c r="K422" s="123" t="s">
        <v>938</v>
      </c>
      <c r="L422" s="123">
        <f>VLOOKUP(Fact_AUM_FyoCapital[[#This Row],[Dim_Empresas.CUIT]],'clientes SQL'!C:D,2,0)</f>
        <v>13008</v>
      </c>
    </row>
    <row r="423" spans="1:12" hidden="1" x14ac:dyDescent="0.3">
      <c r="A423">
        <v>2637869</v>
      </c>
      <c r="B423">
        <v>20251205</v>
      </c>
      <c r="C423">
        <v>1315</v>
      </c>
      <c r="D423">
        <v>-2.86</v>
      </c>
      <c r="E423" s="123" t="s">
        <v>1563</v>
      </c>
      <c r="F423" s="123" t="s">
        <v>188</v>
      </c>
      <c r="G423" s="123"/>
      <c r="H423" s="95">
        <v>45996</v>
      </c>
      <c r="I423">
        <v>7247</v>
      </c>
      <c r="J423" s="123" t="s">
        <v>574</v>
      </c>
      <c r="K423" s="123" t="s">
        <v>1027</v>
      </c>
      <c r="L423" s="123" t="e">
        <f>VLOOKUP(Fact_AUM_FyoCapital[[#This Row],[Dim_Empresas.CUIT]],'clientes SQL'!C:D,2,0)</f>
        <v>#N/A</v>
      </c>
    </row>
    <row r="424" spans="1:12" hidden="1" x14ac:dyDescent="0.3">
      <c r="A424">
        <v>1856557</v>
      </c>
      <c r="B424">
        <v>20251205</v>
      </c>
      <c r="C424">
        <v>5224</v>
      </c>
      <c r="D424">
        <v>2155018.1653997195</v>
      </c>
      <c r="E424" s="123" t="s">
        <v>1566</v>
      </c>
      <c r="F424" s="123" t="s">
        <v>1571</v>
      </c>
      <c r="G424" s="123"/>
      <c r="H424" s="95">
        <v>45996</v>
      </c>
      <c r="I424">
        <v>33640</v>
      </c>
      <c r="J424" s="123" t="s">
        <v>379</v>
      </c>
      <c r="K424" s="123" t="s">
        <v>992</v>
      </c>
      <c r="L424" s="123" t="e">
        <f>VLOOKUP(Fact_AUM_FyoCapital[[#This Row],[Dim_Empresas.CUIT]],'clientes SQL'!C:D,2,0)</f>
        <v>#N/A</v>
      </c>
    </row>
    <row r="425" spans="1:12" hidden="1" x14ac:dyDescent="0.3">
      <c r="A425">
        <v>1831717</v>
      </c>
      <c r="B425">
        <v>20251205</v>
      </c>
      <c r="C425">
        <v>1352</v>
      </c>
      <c r="D425">
        <v>494.75149368863953</v>
      </c>
      <c r="E425" s="123" t="s">
        <v>1568</v>
      </c>
      <c r="F425" s="123" t="s">
        <v>1572</v>
      </c>
      <c r="G425" s="123" t="s">
        <v>1574</v>
      </c>
      <c r="H425" s="95">
        <v>45996</v>
      </c>
      <c r="I425">
        <v>19501</v>
      </c>
      <c r="J425" s="123" t="s">
        <v>192</v>
      </c>
      <c r="K425" s="123" t="s">
        <v>1129</v>
      </c>
      <c r="L425" s="123" t="e">
        <f>VLOOKUP(Fact_AUM_FyoCapital[[#This Row],[Dim_Empresas.CUIT]],'clientes SQL'!C:D,2,0)</f>
        <v>#N/A</v>
      </c>
    </row>
    <row r="426" spans="1:12" hidden="1" x14ac:dyDescent="0.3">
      <c r="A426">
        <v>2626469</v>
      </c>
      <c r="B426">
        <v>20251205</v>
      </c>
      <c r="C426">
        <v>5025</v>
      </c>
      <c r="D426">
        <v>50.32</v>
      </c>
      <c r="E426" s="123" t="s">
        <v>1563</v>
      </c>
      <c r="F426" s="123" t="s">
        <v>950</v>
      </c>
      <c r="G426" s="123"/>
      <c r="H426" s="95">
        <v>45996</v>
      </c>
      <c r="I426">
        <v>33266</v>
      </c>
      <c r="J426" s="123" t="s">
        <v>475</v>
      </c>
      <c r="K426" s="123" t="s">
        <v>1051</v>
      </c>
      <c r="L426" s="123" t="e">
        <f>VLOOKUP(Fact_AUM_FyoCapital[[#This Row],[Dim_Empresas.CUIT]],'clientes SQL'!C:D,2,0)</f>
        <v>#N/A</v>
      </c>
    </row>
    <row r="427" spans="1:12" hidden="1" x14ac:dyDescent="0.3">
      <c r="A427">
        <v>1877737</v>
      </c>
      <c r="B427">
        <v>20251205</v>
      </c>
      <c r="C427">
        <v>1523</v>
      </c>
      <c r="D427">
        <v>21856.774193548386</v>
      </c>
      <c r="E427" s="123" t="s">
        <v>1566</v>
      </c>
      <c r="F427" s="123" t="s">
        <v>1580</v>
      </c>
      <c r="G427" s="123"/>
      <c r="H427" s="95">
        <v>45996</v>
      </c>
      <c r="I427">
        <v>20093</v>
      </c>
      <c r="J427" s="123" t="s">
        <v>987</v>
      </c>
      <c r="K427" s="123" t="s">
        <v>988</v>
      </c>
      <c r="L427" s="123" t="e">
        <f>VLOOKUP(Fact_AUM_FyoCapital[[#This Row],[Dim_Empresas.CUIT]],'clientes SQL'!C:D,2,0)</f>
        <v>#N/A</v>
      </c>
    </row>
    <row r="428" spans="1:12" hidden="1" x14ac:dyDescent="0.3">
      <c r="A428">
        <v>2639009</v>
      </c>
      <c r="B428">
        <v>20251205</v>
      </c>
      <c r="C428">
        <v>12922</v>
      </c>
      <c r="D428">
        <v>225613.52</v>
      </c>
      <c r="E428" s="123" t="s">
        <v>1563</v>
      </c>
      <c r="F428" s="123" t="s">
        <v>188</v>
      </c>
      <c r="G428" s="123"/>
      <c r="H428" s="95">
        <v>45996</v>
      </c>
      <c r="I428">
        <v>36140</v>
      </c>
      <c r="J428" s="123" t="s">
        <v>128</v>
      </c>
      <c r="K428" s="123" t="s">
        <v>1042</v>
      </c>
      <c r="L428" s="123">
        <f>VLOOKUP(Fact_AUM_FyoCapital[[#This Row],[Dim_Empresas.CUIT]],'clientes SQL'!C:D,2,0)</f>
        <v>13006</v>
      </c>
    </row>
    <row r="429" spans="1:12" hidden="1" x14ac:dyDescent="0.3">
      <c r="A429">
        <v>1889857</v>
      </c>
      <c r="B429">
        <v>20251205</v>
      </c>
      <c r="C429">
        <v>393</v>
      </c>
      <c r="D429">
        <v>128637.44389901824</v>
      </c>
      <c r="E429" s="123" t="s">
        <v>1566</v>
      </c>
      <c r="F429" s="123" t="s">
        <v>1573</v>
      </c>
      <c r="G429" s="123"/>
      <c r="H429" s="95">
        <v>45996</v>
      </c>
      <c r="I429">
        <v>1169</v>
      </c>
      <c r="J429" s="123" t="s">
        <v>941</v>
      </c>
      <c r="K429" s="123" t="s">
        <v>942</v>
      </c>
      <c r="L429" s="123" t="e">
        <f>VLOOKUP(Fact_AUM_FyoCapital[[#This Row],[Dim_Empresas.CUIT]],'clientes SQL'!C:D,2,0)</f>
        <v>#N/A</v>
      </c>
    </row>
    <row r="430" spans="1:12" hidden="1" x14ac:dyDescent="0.3">
      <c r="A430">
        <v>1875217</v>
      </c>
      <c r="B430">
        <v>20251205</v>
      </c>
      <c r="C430">
        <v>969</v>
      </c>
      <c r="D430">
        <v>49.460392706872376</v>
      </c>
      <c r="E430" s="123" t="s">
        <v>1568</v>
      </c>
      <c r="F430" s="123" t="s">
        <v>1572</v>
      </c>
      <c r="G430" s="123" t="s">
        <v>1570</v>
      </c>
      <c r="H430" s="95">
        <v>45996</v>
      </c>
      <c r="I430">
        <v>3511</v>
      </c>
      <c r="J430" s="123" t="s">
        <v>989</v>
      </c>
      <c r="K430" s="123" t="s">
        <v>990</v>
      </c>
      <c r="L430" s="123" t="e">
        <f>VLOOKUP(Fact_AUM_FyoCapital[[#This Row],[Dim_Empresas.CUIT]],'clientes SQL'!C:D,2,0)</f>
        <v>#N/A</v>
      </c>
    </row>
    <row r="431" spans="1:12" hidden="1" x14ac:dyDescent="0.3">
      <c r="A431">
        <v>2631869</v>
      </c>
      <c r="B431">
        <v>20251205</v>
      </c>
      <c r="C431">
        <v>1523</v>
      </c>
      <c r="D431">
        <v>1189.83</v>
      </c>
      <c r="E431" s="123" t="s">
        <v>1563</v>
      </c>
      <c r="F431" s="123" t="s">
        <v>188</v>
      </c>
      <c r="G431" s="123"/>
      <c r="H431" s="95">
        <v>45996</v>
      </c>
      <c r="I431">
        <v>20093</v>
      </c>
      <c r="J431" s="123" t="s">
        <v>987</v>
      </c>
      <c r="K431" s="123" t="s">
        <v>988</v>
      </c>
      <c r="L431" s="123" t="e">
        <f>VLOOKUP(Fact_AUM_FyoCapital[[#This Row],[Dim_Empresas.CUIT]],'clientes SQL'!C:D,2,0)</f>
        <v>#N/A</v>
      </c>
    </row>
    <row r="432" spans="1:12" hidden="1" x14ac:dyDescent="0.3">
      <c r="A432">
        <v>1833037</v>
      </c>
      <c r="B432">
        <v>20251205</v>
      </c>
      <c r="C432">
        <v>659</v>
      </c>
      <c r="D432">
        <v>29000.03</v>
      </c>
      <c r="E432" s="123" t="s">
        <v>1566</v>
      </c>
      <c r="F432" s="123" t="s">
        <v>1571</v>
      </c>
      <c r="G432" s="123"/>
      <c r="H432" s="95">
        <v>45996</v>
      </c>
      <c r="I432">
        <v>9645</v>
      </c>
      <c r="J432" s="123" t="s">
        <v>224</v>
      </c>
      <c r="K432" s="123" t="s">
        <v>978</v>
      </c>
      <c r="L432" s="123" t="e">
        <f>VLOOKUP(Fact_AUM_FyoCapital[[#This Row],[Dim_Empresas.CUIT]],'clientes SQL'!C:D,2,0)</f>
        <v>#N/A</v>
      </c>
    </row>
    <row r="433" spans="1:12" hidden="1" x14ac:dyDescent="0.3">
      <c r="A433">
        <v>2615969</v>
      </c>
      <c r="B433">
        <v>20251205</v>
      </c>
      <c r="C433">
        <v>8017</v>
      </c>
      <c r="D433">
        <v>7.5701262272089759E-2</v>
      </c>
      <c r="E433" s="123" t="s">
        <v>1563</v>
      </c>
      <c r="F433" s="123" t="s">
        <v>185</v>
      </c>
      <c r="G433" s="123"/>
      <c r="H433" s="95">
        <v>45996</v>
      </c>
      <c r="I433">
        <v>35241</v>
      </c>
      <c r="J433" s="123" t="s">
        <v>294</v>
      </c>
      <c r="K433" s="123" t="s">
        <v>1100</v>
      </c>
      <c r="L433" s="123" t="e">
        <f>VLOOKUP(Fact_AUM_FyoCapital[[#This Row],[Dim_Empresas.CUIT]],'clientes SQL'!C:D,2,0)</f>
        <v>#N/A</v>
      </c>
    </row>
    <row r="434" spans="1:12" hidden="1" x14ac:dyDescent="0.3">
      <c r="A434">
        <v>2628089</v>
      </c>
      <c r="B434">
        <v>20251205</v>
      </c>
      <c r="C434">
        <v>6934</v>
      </c>
      <c r="D434">
        <v>7.0126227208976159E-6</v>
      </c>
      <c r="E434" s="123" t="s">
        <v>1563</v>
      </c>
      <c r="F434" s="123" t="s">
        <v>185</v>
      </c>
      <c r="G434" s="123"/>
      <c r="H434" s="95">
        <v>45996</v>
      </c>
      <c r="I434">
        <v>34636</v>
      </c>
      <c r="J434" s="123" t="s">
        <v>503</v>
      </c>
      <c r="K434" s="123" t="s">
        <v>1133</v>
      </c>
      <c r="L434" s="123" t="e">
        <f>VLOOKUP(Fact_AUM_FyoCapital[[#This Row],[Dim_Empresas.CUIT]],'clientes SQL'!C:D,2,0)</f>
        <v>#N/A</v>
      </c>
    </row>
    <row r="435" spans="1:12" hidden="1" x14ac:dyDescent="0.3">
      <c r="A435">
        <v>1900897</v>
      </c>
      <c r="B435">
        <v>20251205</v>
      </c>
      <c r="C435">
        <v>13663</v>
      </c>
      <c r="D435">
        <v>1334.0673211781207</v>
      </c>
      <c r="E435" s="123" t="s">
        <v>1566</v>
      </c>
      <c r="F435" s="123" t="s">
        <v>1580</v>
      </c>
      <c r="G435" s="123"/>
      <c r="H435" s="95">
        <v>45996</v>
      </c>
      <c r="I435">
        <v>36828</v>
      </c>
      <c r="J435" s="123" t="s">
        <v>559</v>
      </c>
      <c r="K435" s="123" t="s">
        <v>1015</v>
      </c>
      <c r="L435" s="123" t="e">
        <f>VLOOKUP(Fact_AUM_FyoCapital[[#This Row],[Dim_Empresas.CUIT]],'clientes SQL'!C:D,2,0)</f>
        <v>#N/A</v>
      </c>
    </row>
    <row r="436" spans="1:12" hidden="1" x14ac:dyDescent="0.3">
      <c r="A436">
        <v>1843177</v>
      </c>
      <c r="B436">
        <v>20251205</v>
      </c>
      <c r="C436">
        <v>9936</v>
      </c>
      <c r="D436">
        <v>83477.473863955121</v>
      </c>
      <c r="E436" s="123" t="s">
        <v>1566</v>
      </c>
      <c r="F436" s="123" t="s">
        <v>1571</v>
      </c>
      <c r="G436" s="123"/>
      <c r="H436" s="95">
        <v>45996</v>
      </c>
      <c r="I436">
        <v>35436</v>
      </c>
      <c r="J436" s="123" t="s">
        <v>300</v>
      </c>
      <c r="K436" s="123" t="s">
        <v>1037</v>
      </c>
      <c r="L436" s="123" t="e">
        <f>VLOOKUP(Fact_AUM_FyoCapital[[#This Row],[Dim_Empresas.CUIT]],'clientes SQL'!C:D,2,0)</f>
        <v>#N/A</v>
      </c>
    </row>
    <row r="437" spans="1:12" hidden="1" x14ac:dyDescent="0.3">
      <c r="A437">
        <v>2615549</v>
      </c>
      <c r="B437">
        <v>20251205</v>
      </c>
      <c r="C437">
        <v>1986</v>
      </c>
      <c r="D437">
        <v>2.4</v>
      </c>
      <c r="E437" s="123" t="s">
        <v>1563</v>
      </c>
      <c r="F437" s="123" t="s">
        <v>950</v>
      </c>
      <c r="G437" s="123"/>
      <c r="H437" s="95">
        <v>45996</v>
      </c>
      <c r="I437">
        <v>20868</v>
      </c>
      <c r="J437" s="123" t="s">
        <v>312</v>
      </c>
      <c r="K437" s="123" t="s">
        <v>1073</v>
      </c>
      <c r="L437" s="123" t="e">
        <f>VLOOKUP(Fact_AUM_FyoCapital[[#This Row],[Dim_Empresas.CUIT]],'clientes SQL'!C:D,2,0)</f>
        <v>#N/A</v>
      </c>
    </row>
    <row r="438" spans="1:12" hidden="1" x14ac:dyDescent="0.3">
      <c r="A438">
        <v>1894957</v>
      </c>
      <c r="B438">
        <v>20251205</v>
      </c>
      <c r="C438">
        <v>3176</v>
      </c>
      <c r="D438">
        <v>5086.1000000000004</v>
      </c>
      <c r="E438" s="123" t="s">
        <v>1568</v>
      </c>
      <c r="F438" s="123" t="s">
        <v>1572</v>
      </c>
      <c r="G438" s="123" t="s">
        <v>1576</v>
      </c>
      <c r="H438" s="95">
        <v>45996</v>
      </c>
      <c r="I438">
        <v>31590</v>
      </c>
      <c r="J438" s="123" t="s">
        <v>1044</v>
      </c>
      <c r="K438" s="123" t="s">
        <v>1045</v>
      </c>
      <c r="L438" s="123" t="e">
        <f>VLOOKUP(Fact_AUM_FyoCapital[[#This Row],[Dim_Empresas.CUIT]],'clientes SQL'!C:D,2,0)</f>
        <v>#N/A</v>
      </c>
    </row>
    <row r="439" spans="1:12" hidden="1" x14ac:dyDescent="0.3">
      <c r="A439">
        <v>1837237</v>
      </c>
      <c r="B439">
        <v>20251205</v>
      </c>
      <c r="C439">
        <v>626</v>
      </c>
      <c r="D439">
        <v>56249.16081346423</v>
      </c>
      <c r="E439" s="123" t="s">
        <v>1566</v>
      </c>
      <c r="F439" s="123" t="s">
        <v>1571</v>
      </c>
      <c r="G439" s="123"/>
      <c r="H439" s="95">
        <v>45996</v>
      </c>
      <c r="I439">
        <v>580</v>
      </c>
      <c r="J439" s="123" t="s">
        <v>345</v>
      </c>
      <c r="K439" s="123" t="s">
        <v>979</v>
      </c>
      <c r="L439" s="123" t="e">
        <f>VLOOKUP(Fact_AUM_FyoCapital[[#This Row],[Dim_Empresas.CUIT]],'clientes SQL'!C:D,2,0)</f>
        <v>#N/A</v>
      </c>
    </row>
    <row r="440" spans="1:12" hidden="1" x14ac:dyDescent="0.3">
      <c r="A440">
        <v>1842937</v>
      </c>
      <c r="B440">
        <v>20251205</v>
      </c>
      <c r="C440">
        <v>9936</v>
      </c>
      <c r="D440">
        <v>1362.1318373071529</v>
      </c>
      <c r="E440" s="123" t="s">
        <v>1566</v>
      </c>
      <c r="F440" s="123" t="s">
        <v>1580</v>
      </c>
      <c r="G440" s="123"/>
      <c r="H440" s="95">
        <v>45996</v>
      </c>
      <c r="I440">
        <v>35436</v>
      </c>
      <c r="J440" s="123" t="s">
        <v>300</v>
      </c>
      <c r="K440" s="123" t="s">
        <v>1037</v>
      </c>
      <c r="L440" s="123" t="e">
        <f>VLOOKUP(Fact_AUM_FyoCapital[[#This Row],[Dim_Empresas.CUIT]],'clientes SQL'!C:D,2,0)</f>
        <v>#N/A</v>
      </c>
    </row>
    <row r="441" spans="1:12" hidden="1" x14ac:dyDescent="0.3">
      <c r="A441">
        <v>1846957</v>
      </c>
      <c r="B441">
        <v>20251205</v>
      </c>
      <c r="C441">
        <v>9936</v>
      </c>
      <c r="D441">
        <v>1349.3162692847125</v>
      </c>
      <c r="E441" s="123" t="s">
        <v>1566</v>
      </c>
      <c r="F441" s="123" t="s">
        <v>1573</v>
      </c>
      <c r="G441" s="123"/>
      <c r="H441" s="95">
        <v>45996</v>
      </c>
      <c r="I441">
        <v>35436</v>
      </c>
      <c r="J441" s="123" t="s">
        <v>300</v>
      </c>
      <c r="K441" s="123" t="s">
        <v>1037</v>
      </c>
      <c r="L441" s="123" t="e">
        <f>VLOOKUP(Fact_AUM_FyoCapital[[#This Row],[Dim_Empresas.CUIT]],'clientes SQL'!C:D,2,0)</f>
        <v>#N/A</v>
      </c>
    </row>
    <row r="442" spans="1:12" hidden="1" x14ac:dyDescent="0.3">
      <c r="A442">
        <v>1877377</v>
      </c>
      <c r="B442">
        <v>20251205</v>
      </c>
      <c r="C442">
        <v>1523</v>
      </c>
      <c r="D442">
        <v>24456.437587657783</v>
      </c>
      <c r="E442" s="123" t="s">
        <v>1566</v>
      </c>
      <c r="F442" s="123" t="s">
        <v>1573</v>
      </c>
      <c r="G442" s="123"/>
      <c r="H442" s="95">
        <v>45996</v>
      </c>
      <c r="I442">
        <v>20093</v>
      </c>
      <c r="J442" s="123" t="s">
        <v>987</v>
      </c>
      <c r="K442" s="123" t="s">
        <v>988</v>
      </c>
      <c r="L442" s="123" t="e">
        <f>VLOOKUP(Fact_AUM_FyoCapital[[#This Row],[Dim_Empresas.CUIT]],'clientes SQL'!C:D,2,0)</f>
        <v>#N/A</v>
      </c>
    </row>
    <row r="443" spans="1:12" hidden="1" x14ac:dyDescent="0.3">
      <c r="A443">
        <v>1899277</v>
      </c>
      <c r="B443">
        <v>20251205</v>
      </c>
      <c r="C443">
        <v>12922</v>
      </c>
      <c r="D443">
        <v>2200.0300000000002</v>
      </c>
      <c r="E443" s="123" t="s">
        <v>1568</v>
      </c>
      <c r="F443" s="123" t="s">
        <v>1572</v>
      </c>
      <c r="G443" s="123" t="s">
        <v>1570</v>
      </c>
      <c r="H443" s="95">
        <v>45996</v>
      </c>
      <c r="I443">
        <v>36140</v>
      </c>
      <c r="J443" s="123" t="s">
        <v>128</v>
      </c>
      <c r="K443" s="123" t="s">
        <v>1042</v>
      </c>
      <c r="L443" s="123">
        <f>VLOOKUP(Fact_AUM_FyoCapital[[#This Row],[Dim_Empresas.CUIT]],'clientes SQL'!C:D,2,0)</f>
        <v>13006</v>
      </c>
    </row>
    <row r="444" spans="1:12" hidden="1" x14ac:dyDescent="0.3">
      <c r="A444">
        <v>1854097</v>
      </c>
      <c r="B444">
        <v>20251205</v>
      </c>
      <c r="C444">
        <v>1325</v>
      </c>
      <c r="D444">
        <v>5.7496493688639551E-2</v>
      </c>
      <c r="E444" s="123" t="s">
        <v>1568</v>
      </c>
      <c r="F444" s="123" t="s">
        <v>1575</v>
      </c>
      <c r="G444" s="123" t="s">
        <v>1570</v>
      </c>
      <c r="H444" s="95">
        <v>45996</v>
      </c>
      <c r="I444">
        <v>19458</v>
      </c>
      <c r="J444" s="123" t="s">
        <v>397</v>
      </c>
      <c r="K444" s="123" t="s">
        <v>970</v>
      </c>
      <c r="L444" s="123" t="e">
        <f>VLOOKUP(Fact_AUM_FyoCapital[[#This Row],[Dim_Empresas.CUIT]],'clientes SQL'!C:D,2,0)</f>
        <v>#N/A</v>
      </c>
    </row>
    <row r="445" spans="1:12" hidden="1" x14ac:dyDescent="0.3">
      <c r="A445">
        <v>1854037</v>
      </c>
      <c r="B445">
        <v>20251205</v>
      </c>
      <c r="C445">
        <v>1325</v>
      </c>
      <c r="D445">
        <v>51734.795126227204</v>
      </c>
      <c r="E445" s="123" t="s">
        <v>1566</v>
      </c>
      <c r="F445" s="123" t="s">
        <v>1571</v>
      </c>
      <c r="G445" s="123"/>
      <c r="H445" s="95">
        <v>45996</v>
      </c>
      <c r="I445">
        <v>19458</v>
      </c>
      <c r="J445" s="123" t="s">
        <v>397</v>
      </c>
      <c r="K445" s="123" t="s">
        <v>970</v>
      </c>
      <c r="L445" s="123" t="e">
        <f>VLOOKUP(Fact_AUM_FyoCapital[[#This Row],[Dim_Empresas.CUIT]],'clientes SQL'!C:D,2,0)</f>
        <v>#N/A</v>
      </c>
    </row>
    <row r="446" spans="1:12" hidden="1" x14ac:dyDescent="0.3">
      <c r="A446">
        <v>1885777</v>
      </c>
      <c r="B446">
        <v>20251205</v>
      </c>
      <c r="C446">
        <v>12867</v>
      </c>
      <c r="D446">
        <v>34282.019999999997</v>
      </c>
      <c r="E446" s="123" t="s">
        <v>1566</v>
      </c>
      <c r="F446" s="123" t="s">
        <v>1579</v>
      </c>
      <c r="G446" s="123"/>
      <c r="H446" s="95">
        <v>45996</v>
      </c>
      <c r="I446">
        <v>36089</v>
      </c>
      <c r="J446" s="123" t="s">
        <v>557</v>
      </c>
      <c r="K446" s="123" t="s">
        <v>1086</v>
      </c>
      <c r="L446" s="123" t="e">
        <f>VLOOKUP(Fact_AUM_FyoCapital[[#This Row],[Dim_Empresas.CUIT]],'clientes SQL'!C:D,2,0)</f>
        <v>#N/A</v>
      </c>
    </row>
    <row r="447" spans="1:12" hidden="1" x14ac:dyDescent="0.3">
      <c r="A447">
        <v>1837717</v>
      </c>
      <c r="B447">
        <v>20251205</v>
      </c>
      <c r="C447">
        <v>626</v>
      </c>
      <c r="D447">
        <v>71578.298246844322</v>
      </c>
      <c r="E447" s="123" t="s">
        <v>1568</v>
      </c>
      <c r="F447" s="123" t="s">
        <v>1572</v>
      </c>
      <c r="G447" s="123" t="s">
        <v>1570</v>
      </c>
      <c r="H447" s="95">
        <v>45996</v>
      </c>
      <c r="I447">
        <v>580</v>
      </c>
      <c r="J447" s="123" t="s">
        <v>345</v>
      </c>
      <c r="K447" s="123" t="s">
        <v>979</v>
      </c>
      <c r="L447" s="123" t="e">
        <f>VLOOKUP(Fact_AUM_FyoCapital[[#This Row],[Dim_Empresas.CUIT]],'clientes SQL'!C:D,2,0)</f>
        <v>#N/A</v>
      </c>
    </row>
    <row r="448" spans="1:12" hidden="1" x14ac:dyDescent="0.3">
      <c r="A448">
        <v>2638829</v>
      </c>
      <c r="B448">
        <v>20251205</v>
      </c>
      <c r="C448">
        <v>12922</v>
      </c>
      <c r="D448">
        <v>7.0126227208976159E-6</v>
      </c>
      <c r="E448" s="123" t="s">
        <v>1563</v>
      </c>
      <c r="F448" s="123" t="s">
        <v>185</v>
      </c>
      <c r="G448" s="123"/>
      <c r="H448" s="95">
        <v>45996</v>
      </c>
      <c r="I448">
        <v>36140</v>
      </c>
      <c r="J448" s="123" t="s">
        <v>128</v>
      </c>
      <c r="K448" s="123" t="s">
        <v>1042</v>
      </c>
      <c r="L448" s="123">
        <f>VLOOKUP(Fact_AUM_FyoCapital[[#This Row],[Dim_Empresas.CUIT]],'clientes SQL'!C:D,2,0)</f>
        <v>13006</v>
      </c>
    </row>
    <row r="449" spans="1:12" hidden="1" x14ac:dyDescent="0.3">
      <c r="A449">
        <v>1830457</v>
      </c>
      <c r="B449">
        <v>20251205</v>
      </c>
      <c r="C449">
        <v>8985</v>
      </c>
      <c r="D449">
        <v>552289.73352033657</v>
      </c>
      <c r="E449" s="123" t="s">
        <v>1566</v>
      </c>
      <c r="F449" s="123" t="s">
        <v>1582</v>
      </c>
      <c r="G449" s="123"/>
      <c r="H449" s="95">
        <v>45996</v>
      </c>
      <c r="I449">
        <v>35359</v>
      </c>
      <c r="J449" s="123" t="s">
        <v>208</v>
      </c>
      <c r="K449" s="123" t="s">
        <v>997</v>
      </c>
      <c r="L449" s="123" t="e">
        <f>VLOOKUP(Fact_AUM_FyoCapital[[#This Row],[Dim_Empresas.CUIT]],'clientes SQL'!C:D,2,0)</f>
        <v>#N/A</v>
      </c>
    </row>
    <row r="450" spans="1:12" hidden="1" x14ac:dyDescent="0.3">
      <c r="A450">
        <v>2611889</v>
      </c>
      <c r="B450">
        <v>20251205</v>
      </c>
      <c r="C450">
        <v>14834</v>
      </c>
      <c r="D450">
        <v>51.63</v>
      </c>
      <c r="E450" s="123" t="s">
        <v>1563</v>
      </c>
      <c r="F450" s="123" t="s">
        <v>950</v>
      </c>
      <c r="G450" s="123"/>
      <c r="H450" s="95">
        <v>45996</v>
      </c>
      <c r="I450">
        <v>37055</v>
      </c>
      <c r="J450" s="123" t="s">
        <v>956</v>
      </c>
      <c r="K450" s="123" t="s">
        <v>957</v>
      </c>
      <c r="L450" s="123" t="e">
        <f>VLOOKUP(Fact_AUM_FyoCapital[[#This Row],[Dim_Empresas.CUIT]],'clientes SQL'!C:D,2,0)</f>
        <v>#N/A</v>
      </c>
    </row>
    <row r="451" spans="1:12" hidden="1" x14ac:dyDescent="0.3">
      <c r="A451">
        <v>1899157</v>
      </c>
      <c r="B451">
        <v>20251205</v>
      </c>
      <c r="C451">
        <v>12922</v>
      </c>
      <c r="D451">
        <v>5599.7655610098182</v>
      </c>
      <c r="E451" s="123" t="s">
        <v>1568</v>
      </c>
      <c r="F451" s="123" t="s">
        <v>1572</v>
      </c>
      <c r="G451" s="123" t="s">
        <v>1577</v>
      </c>
      <c r="H451" s="95">
        <v>45996</v>
      </c>
      <c r="I451">
        <v>36140</v>
      </c>
      <c r="J451" s="123" t="s">
        <v>128</v>
      </c>
      <c r="K451" s="123" t="s">
        <v>1042</v>
      </c>
      <c r="L451" s="123">
        <f>VLOOKUP(Fact_AUM_FyoCapital[[#This Row],[Dim_Empresas.CUIT]],'clientes SQL'!C:D,2,0)</f>
        <v>13006</v>
      </c>
    </row>
    <row r="452" spans="1:12" hidden="1" x14ac:dyDescent="0.3">
      <c r="A452">
        <v>1851277</v>
      </c>
      <c r="B452">
        <v>20251205</v>
      </c>
      <c r="C452">
        <v>855</v>
      </c>
      <c r="D452">
        <v>30600</v>
      </c>
      <c r="E452" s="123" t="s">
        <v>1566</v>
      </c>
      <c r="F452" s="123" t="s">
        <v>1573</v>
      </c>
      <c r="G452" s="123"/>
      <c r="H452" s="95">
        <v>45996</v>
      </c>
      <c r="I452">
        <v>17742</v>
      </c>
      <c r="J452" s="123" t="s">
        <v>266</v>
      </c>
      <c r="K452" s="123" t="s">
        <v>1030</v>
      </c>
      <c r="L452" s="123" t="e">
        <f>VLOOKUP(Fact_AUM_FyoCapital[[#This Row],[Dim_Empresas.CUIT]],'clientes SQL'!C:D,2,0)</f>
        <v>#N/A</v>
      </c>
    </row>
    <row r="453" spans="1:12" hidden="1" x14ac:dyDescent="0.3">
      <c r="A453">
        <v>2616689</v>
      </c>
      <c r="B453">
        <v>20251205</v>
      </c>
      <c r="C453">
        <v>3719</v>
      </c>
      <c r="D453">
        <v>-1.4025245441795232E-4</v>
      </c>
      <c r="E453" s="123" t="s">
        <v>1563</v>
      </c>
      <c r="F453" s="123" t="s">
        <v>185</v>
      </c>
      <c r="G453" s="123"/>
      <c r="H453" s="95">
        <v>45996</v>
      </c>
      <c r="I453">
        <v>32231</v>
      </c>
      <c r="J453" s="123" t="s">
        <v>1603</v>
      </c>
      <c r="K453" s="123" t="s">
        <v>1604</v>
      </c>
      <c r="L453" s="123" t="e">
        <f>VLOOKUP(Fact_AUM_FyoCapital[[#This Row],[Dim_Empresas.CUIT]],'clientes SQL'!C:D,2,0)</f>
        <v>#N/A</v>
      </c>
    </row>
    <row r="454" spans="1:12" hidden="1" x14ac:dyDescent="0.3">
      <c r="A454">
        <v>1879177</v>
      </c>
      <c r="B454">
        <v>20251205</v>
      </c>
      <c r="C454">
        <v>106</v>
      </c>
      <c r="D454">
        <v>0</v>
      </c>
      <c r="E454" s="123"/>
      <c r="F454" s="123"/>
      <c r="G454" s="123"/>
      <c r="H454" s="95">
        <v>45996</v>
      </c>
      <c r="I454">
        <v>6149</v>
      </c>
      <c r="J454" s="123" t="s">
        <v>554</v>
      </c>
      <c r="K454" s="123" t="s">
        <v>935</v>
      </c>
      <c r="L454" s="123" t="e">
        <f>VLOOKUP(Fact_AUM_FyoCapital[[#This Row],[Dim_Empresas.CUIT]],'clientes SQL'!C:D,2,0)</f>
        <v>#N/A</v>
      </c>
    </row>
    <row r="455" spans="1:12" hidden="1" x14ac:dyDescent="0.3">
      <c r="A455">
        <v>2625749</v>
      </c>
      <c r="B455">
        <v>20251205</v>
      </c>
      <c r="C455">
        <v>2009</v>
      </c>
      <c r="D455">
        <v>285.83999999999997</v>
      </c>
      <c r="E455" s="123" t="s">
        <v>1563</v>
      </c>
      <c r="F455" s="123" t="s">
        <v>188</v>
      </c>
      <c r="G455" s="123"/>
      <c r="H455" s="95">
        <v>45996</v>
      </c>
      <c r="I455">
        <v>20896</v>
      </c>
      <c r="J455" s="123" t="s">
        <v>318</v>
      </c>
      <c r="K455" s="123" t="s">
        <v>980</v>
      </c>
      <c r="L455" s="123" t="e">
        <f>VLOOKUP(Fact_AUM_FyoCapital[[#This Row],[Dim_Empresas.CUIT]],'clientes SQL'!C:D,2,0)</f>
        <v>#N/A</v>
      </c>
    </row>
    <row r="456" spans="1:12" hidden="1" x14ac:dyDescent="0.3">
      <c r="A456">
        <v>1832557</v>
      </c>
      <c r="B456">
        <v>20251205</v>
      </c>
      <c r="C456">
        <v>12840</v>
      </c>
      <c r="D456">
        <v>12628.961640953718</v>
      </c>
      <c r="E456" s="123" t="s">
        <v>1566</v>
      </c>
      <c r="F456" s="123" t="s">
        <v>1579</v>
      </c>
      <c r="G456" s="123"/>
      <c r="H456" s="95">
        <v>45996</v>
      </c>
      <c r="I456">
        <v>36062</v>
      </c>
      <c r="J456" s="123" t="s">
        <v>236</v>
      </c>
      <c r="K456" s="123" t="s">
        <v>1031</v>
      </c>
      <c r="L456" s="123" t="e">
        <f>VLOOKUP(Fact_AUM_FyoCapital[[#This Row],[Dim_Empresas.CUIT]],'clientes SQL'!C:D,2,0)</f>
        <v>#N/A</v>
      </c>
    </row>
    <row r="457" spans="1:12" hidden="1" x14ac:dyDescent="0.3">
      <c r="A457">
        <v>1845277</v>
      </c>
      <c r="B457">
        <v>20251205</v>
      </c>
      <c r="C457">
        <v>9936</v>
      </c>
      <c r="D457">
        <v>2147.6455960729313</v>
      </c>
      <c r="E457" s="123" t="s">
        <v>1566</v>
      </c>
      <c r="F457" s="123" t="s">
        <v>1571</v>
      </c>
      <c r="G457" s="123"/>
      <c r="H457" s="95">
        <v>45996</v>
      </c>
      <c r="I457">
        <v>35436</v>
      </c>
      <c r="J457" s="123" t="s">
        <v>300</v>
      </c>
      <c r="K457" s="123" t="s">
        <v>1037</v>
      </c>
      <c r="L457" s="123" t="e">
        <f>VLOOKUP(Fact_AUM_FyoCapital[[#This Row],[Dim_Empresas.CUIT]],'clientes SQL'!C:D,2,0)</f>
        <v>#N/A</v>
      </c>
    </row>
    <row r="458" spans="1:12" hidden="1" x14ac:dyDescent="0.3">
      <c r="A458">
        <v>1886017</v>
      </c>
      <c r="B458">
        <v>20251205</v>
      </c>
      <c r="C458">
        <v>12867</v>
      </c>
      <c r="D458">
        <v>109718.6886395512</v>
      </c>
      <c r="E458" s="123" t="s">
        <v>1566</v>
      </c>
      <c r="F458" s="123" t="s">
        <v>1573</v>
      </c>
      <c r="G458" s="123"/>
      <c r="H458" s="95">
        <v>45996</v>
      </c>
      <c r="I458">
        <v>36089</v>
      </c>
      <c r="J458" s="123" t="s">
        <v>557</v>
      </c>
      <c r="K458" s="123" t="s">
        <v>1086</v>
      </c>
      <c r="L458" s="123" t="e">
        <f>VLOOKUP(Fact_AUM_FyoCapital[[#This Row],[Dim_Empresas.CUIT]],'clientes SQL'!C:D,2,0)</f>
        <v>#N/A</v>
      </c>
    </row>
    <row r="459" spans="1:12" hidden="1" x14ac:dyDescent="0.3">
      <c r="A459">
        <v>1842697</v>
      </c>
      <c r="B459">
        <v>20251205</v>
      </c>
      <c r="C459">
        <v>9936</v>
      </c>
      <c r="D459">
        <v>32019.97</v>
      </c>
      <c r="E459" s="123" t="s">
        <v>1566</v>
      </c>
      <c r="F459" s="123" t="s">
        <v>1579</v>
      </c>
      <c r="G459" s="123"/>
      <c r="H459" s="95">
        <v>45996</v>
      </c>
      <c r="I459">
        <v>35436</v>
      </c>
      <c r="J459" s="123" t="s">
        <v>300</v>
      </c>
      <c r="K459" s="123" t="s">
        <v>1037</v>
      </c>
      <c r="L459" s="123" t="e">
        <f>VLOOKUP(Fact_AUM_FyoCapital[[#This Row],[Dim_Empresas.CUIT]],'clientes SQL'!C:D,2,0)</f>
        <v>#N/A</v>
      </c>
    </row>
    <row r="460" spans="1:12" hidden="1" x14ac:dyDescent="0.3">
      <c r="A460">
        <v>1844317</v>
      </c>
      <c r="B460">
        <v>20251205</v>
      </c>
      <c r="C460">
        <v>7837</v>
      </c>
      <c r="D460">
        <v>10075.434782608696</v>
      </c>
      <c r="E460" s="123" t="s">
        <v>1566</v>
      </c>
      <c r="F460" s="123" t="s">
        <v>1579</v>
      </c>
      <c r="G460" s="123"/>
      <c r="H460" s="95">
        <v>45996</v>
      </c>
      <c r="I460">
        <v>35127</v>
      </c>
      <c r="J460" s="123" t="s">
        <v>306</v>
      </c>
      <c r="K460" s="123" t="s">
        <v>1128</v>
      </c>
      <c r="L460" s="123" t="e">
        <f>VLOOKUP(Fact_AUM_FyoCapital[[#This Row],[Dim_Empresas.CUIT]],'clientes SQL'!C:D,2,0)</f>
        <v>#N/A</v>
      </c>
    </row>
    <row r="461" spans="1:12" hidden="1" x14ac:dyDescent="0.3">
      <c r="A461">
        <v>2629769</v>
      </c>
      <c r="B461">
        <v>20251205</v>
      </c>
      <c r="C461">
        <v>534</v>
      </c>
      <c r="D461">
        <v>1.4142847124824685</v>
      </c>
      <c r="E461" s="123" t="s">
        <v>1563</v>
      </c>
      <c r="F461" s="123" t="s">
        <v>185</v>
      </c>
      <c r="G461" s="123"/>
      <c r="H461" s="95">
        <v>45996</v>
      </c>
      <c r="I461">
        <v>3765</v>
      </c>
      <c r="J461" s="123" t="s">
        <v>1071</v>
      </c>
      <c r="K461" s="123" t="s">
        <v>1072</v>
      </c>
      <c r="L461" s="123" t="e">
        <f>VLOOKUP(Fact_AUM_FyoCapital[[#This Row],[Dim_Empresas.CUIT]],'clientes SQL'!C:D,2,0)</f>
        <v>#N/A</v>
      </c>
    </row>
    <row r="462" spans="1:12" hidden="1" x14ac:dyDescent="0.3">
      <c r="A462">
        <v>2629589</v>
      </c>
      <c r="B462">
        <v>20251205</v>
      </c>
      <c r="C462">
        <v>949</v>
      </c>
      <c r="D462">
        <v>1657.18</v>
      </c>
      <c r="E462" s="123" t="s">
        <v>1563</v>
      </c>
      <c r="F462" s="123" t="s">
        <v>950</v>
      </c>
      <c r="G462" s="123"/>
      <c r="H462" s="95">
        <v>45996</v>
      </c>
      <c r="I462">
        <v>17696</v>
      </c>
      <c r="J462" s="123" t="s">
        <v>725</v>
      </c>
      <c r="K462" s="123" t="s">
        <v>1021</v>
      </c>
      <c r="L462" s="123" t="e">
        <f>VLOOKUP(Fact_AUM_FyoCapital[[#This Row],[Dim_Empresas.CUIT]],'clientes SQL'!C:D,2,0)</f>
        <v>#N/A</v>
      </c>
    </row>
    <row r="463" spans="1:12" hidden="1" x14ac:dyDescent="0.3">
      <c r="A463">
        <v>1843057</v>
      </c>
      <c r="B463">
        <v>20251205</v>
      </c>
      <c r="C463">
        <v>9936</v>
      </c>
      <c r="D463">
        <v>4363.2538569424969</v>
      </c>
      <c r="E463" s="123" t="s">
        <v>1566</v>
      </c>
      <c r="F463" s="123" t="s">
        <v>1580</v>
      </c>
      <c r="G463" s="123"/>
      <c r="H463" s="95">
        <v>45996</v>
      </c>
      <c r="I463">
        <v>35436</v>
      </c>
      <c r="J463" s="123" t="s">
        <v>300</v>
      </c>
      <c r="K463" s="123" t="s">
        <v>1037</v>
      </c>
      <c r="L463" s="123" t="e">
        <f>VLOOKUP(Fact_AUM_FyoCapital[[#This Row],[Dim_Empresas.CUIT]],'clientes SQL'!C:D,2,0)</f>
        <v>#N/A</v>
      </c>
    </row>
    <row r="464" spans="1:12" hidden="1" x14ac:dyDescent="0.3">
      <c r="A464">
        <v>1843837</v>
      </c>
      <c r="B464">
        <v>20251205</v>
      </c>
      <c r="C464">
        <v>3719</v>
      </c>
      <c r="D464">
        <v>177.97150771388499</v>
      </c>
      <c r="E464" s="123" t="s">
        <v>1568</v>
      </c>
      <c r="F464" s="123" t="s">
        <v>1572</v>
      </c>
      <c r="G464" s="123" t="s">
        <v>1570</v>
      </c>
      <c r="H464" s="95">
        <v>45996</v>
      </c>
      <c r="I464">
        <v>32231</v>
      </c>
      <c r="J464" s="123" t="s">
        <v>1603</v>
      </c>
      <c r="K464" s="123" t="s">
        <v>1604</v>
      </c>
      <c r="L464" s="123" t="e">
        <f>VLOOKUP(Fact_AUM_FyoCapital[[#This Row],[Dim_Empresas.CUIT]],'clientes SQL'!C:D,2,0)</f>
        <v>#N/A</v>
      </c>
    </row>
    <row r="465" spans="1:12" hidden="1" x14ac:dyDescent="0.3">
      <c r="A465">
        <v>1836037</v>
      </c>
      <c r="B465">
        <v>20251205</v>
      </c>
      <c r="C465">
        <v>626</v>
      </c>
      <c r="D465">
        <v>0</v>
      </c>
      <c r="E465" s="123"/>
      <c r="F465" s="123"/>
      <c r="G465" s="123"/>
      <c r="H465" s="95">
        <v>45996</v>
      </c>
      <c r="I465">
        <v>580</v>
      </c>
      <c r="J465" s="123" t="s">
        <v>345</v>
      </c>
      <c r="K465" s="123" t="s">
        <v>979</v>
      </c>
      <c r="L465" s="123" t="e">
        <f>VLOOKUP(Fact_AUM_FyoCapital[[#This Row],[Dim_Empresas.CUIT]],'clientes SQL'!C:D,2,0)</f>
        <v>#N/A</v>
      </c>
    </row>
    <row r="466" spans="1:12" hidden="1" x14ac:dyDescent="0.3">
      <c r="A466">
        <v>1832497</v>
      </c>
      <c r="B466">
        <v>20251205</v>
      </c>
      <c r="C466">
        <v>12840</v>
      </c>
      <c r="D466">
        <v>93402.2</v>
      </c>
      <c r="E466" s="123" t="s">
        <v>1566</v>
      </c>
      <c r="F466" s="123" t="s">
        <v>1578</v>
      </c>
      <c r="G466" s="123"/>
      <c r="H466" s="95">
        <v>45996</v>
      </c>
      <c r="I466">
        <v>36062</v>
      </c>
      <c r="J466" s="123" t="s">
        <v>236</v>
      </c>
      <c r="K466" s="123" t="s">
        <v>1031</v>
      </c>
      <c r="L466" s="123" t="e">
        <f>VLOOKUP(Fact_AUM_FyoCapital[[#This Row],[Dim_Empresas.CUIT]],'clientes SQL'!C:D,2,0)</f>
        <v>#N/A</v>
      </c>
    </row>
    <row r="467" spans="1:12" hidden="1" x14ac:dyDescent="0.3">
      <c r="A467">
        <v>1893277</v>
      </c>
      <c r="B467">
        <v>20251205</v>
      </c>
      <c r="C467">
        <v>4955</v>
      </c>
      <c r="D467">
        <v>-94733.4</v>
      </c>
      <c r="E467" s="123" t="s">
        <v>1566</v>
      </c>
      <c r="F467" s="123" t="s">
        <v>1578</v>
      </c>
      <c r="G467" s="123"/>
      <c r="H467" s="95">
        <v>45996</v>
      </c>
      <c r="I467">
        <v>32964</v>
      </c>
      <c r="J467" s="123" t="s">
        <v>527</v>
      </c>
      <c r="K467" s="123" t="s">
        <v>981</v>
      </c>
      <c r="L467" s="123" t="e">
        <f>VLOOKUP(Fact_AUM_FyoCapital[[#This Row],[Dim_Empresas.CUIT]],'clientes SQL'!C:D,2,0)</f>
        <v>#N/A</v>
      </c>
    </row>
    <row r="468" spans="1:12" hidden="1" x14ac:dyDescent="0.3">
      <c r="A468">
        <v>2637089</v>
      </c>
      <c r="B468">
        <v>20251205</v>
      </c>
      <c r="C468">
        <v>3479</v>
      </c>
      <c r="D468">
        <v>443.35</v>
      </c>
      <c r="E468" s="123" t="s">
        <v>1563</v>
      </c>
      <c r="F468" s="123" t="s">
        <v>188</v>
      </c>
      <c r="G468" s="123"/>
      <c r="H468" s="95">
        <v>45996</v>
      </c>
      <c r="I468">
        <v>31936</v>
      </c>
      <c r="J468" s="123" t="s">
        <v>456</v>
      </c>
      <c r="K468" s="123" t="s">
        <v>1119</v>
      </c>
      <c r="L468" s="123" t="e">
        <f>VLOOKUP(Fact_AUM_FyoCapital[[#This Row],[Dim_Empresas.CUIT]],'clientes SQL'!C:D,2,0)</f>
        <v>#N/A</v>
      </c>
    </row>
    <row r="469" spans="1:12" hidden="1" x14ac:dyDescent="0.3">
      <c r="A469">
        <v>1894357</v>
      </c>
      <c r="B469">
        <v>20251205</v>
      </c>
      <c r="C469">
        <v>1315</v>
      </c>
      <c r="D469">
        <v>1360992.5238429173</v>
      </c>
      <c r="E469" s="123" t="s">
        <v>1566</v>
      </c>
      <c r="F469" s="123" t="s">
        <v>1571</v>
      </c>
      <c r="G469" s="123"/>
      <c r="H469" s="95">
        <v>45996</v>
      </c>
      <c r="I469">
        <v>7247</v>
      </c>
      <c r="J469" s="123" t="s">
        <v>574</v>
      </c>
      <c r="K469" s="123" t="s">
        <v>1027</v>
      </c>
      <c r="L469" s="123" t="e">
        <f>VLOOKUP(Fact_AUM_FyoCapital[[#This Row],[Dim_Empresas.CUIT]],'clientes SQL'!C:D,2,0)</f>
        <v>#N/A</v>
      </c>
    </row>
    <row r="470" spans="1:12" hidden="1" x14ac:dyDescent="0.3">
      <c r="A470">
        <v>1836637</v>
      </c>
      <c r="B470">
        <v>20251205</v>
      </c>
      <c r="C470">
        <v>626</v>
      </c>
      <c r="D470">
        <v>167888.94635343619</v>
      </c>
      <c r="E470" s="123" t="s">
        <v>1566</v>
      </c>
      <c r="F470" s="123" t="s">
        <v>1573</v>
      </c>
      <c r="G470" s="123"/>
      <c r="H470" s="95">
        <v>45996</v>
      </c>
      <c r="I470">
        <v>580</v>
      </c>
      <c r="J470" s="123" t="s">
        <v>345</v>
      </c>
      <c r="K470" s="123" t="s">
        <v>979</v>
      </c>
      <c r="L470" s="123" t="e">
        <f>VLOOKUP(Fact_AUM_FyoCapital[[#This Row],[Dim_Empresas.CUIT]],'clientes SQL'!C:D,2,0)</f>
        <v>#N/A</v>
      </c>
    </row>
    <row r="471" spans="1:12" hidden="1" x14ac:dyDescent="0.3">
      <c r="A471">
        <v>1852957</v>
      </c>
      <c r="B471">
        <v>20251205</v>
      </c>
      <c r="C471">
        <v>5871</v>
      </c>
      <c r="D471">
        <v>133306.08740532957</v>
      </c>
      <c r="E471" s="123" t="s">
        <v>1568</v>
      </c>
      <c r="F471" s="123" t="s">
        <v>1575</v>
      </c>
      <c r="G471" s="123" t="s">
        <v>1574</v>
      </c>
      <c r="H471" s="95">
        <v>45996</v>
      </c>
      <c r="I471">
        <v>31505</v>
      </c>
      <c r="J471" s="123" t="s">
        <v>385</v>
      </c>
      <c r="K471" s="123" t="s">
        <v>1053</v>
      </c>
      <c r="L471" s="123" t="e">
        <f>VLOOKUP(Fact_AUM_FyoCapital[[#This Row],[Dim_Empresas.CUIT]],'clientes SQL'!C:D,2,0)</f>
        <v>#N/A</v>
      </c>
    </row>
    <row r="472" spans="1:12" hidden="1" x14ac:dyDescent="0.3">
      <c r="A472">
        <v>1881997</v>
      </c>
      <c r="B472">
        <v>20251205</v>
      </c>
      <c r="C472">
        <v>633</v>
      </c>
      <c r="D472">
        <v>10045.189340813464</v>
      </c>
      <c r="E472" s="123" t="s">
        <v>1566</v>
      </c>
      <c r="F472" s="123" t="s">
        <v>1580</v>
      </c>
      <c r="G472" s="123"/>
      <c r="H472" s="95">
        <v>45996</v>
      </c>
      <c r="I472">
        <v>4875</v>
      </c>
      <c r="J472" s="123" t="s">
        <v>546</v>
      </c>
      <c r="K472" s="123" t="s">
        <v>1023</v>
      </c>
      <c r="L472" s="123" t="e">
        <f>VLOOKUP(Fact_AUM_FyoCapital[[#This Row],[Dim_Empresas.CUIT]],'clientes SQL'!C:D,2,0)</f>
        <v>#N/A</v>
      </c>
    </row>
    <row r="473" spans="1:12" hidden="1" x14ac:dyDescent="0.3">
      <c r="A473">
        <v>1851397</v>
      </c>
      <c r="B473">
        <v>20251205</v>
      </c>
      <c r="C473">
        <v>855</v>
      </c>
      <c r="D473">
        <v>64411.844319775599</v>
      </c>
      <c r="E473" s="123" t="s">
        <v>1566</v>
      </c>
      <c r="F473" s="123" t="s">
        <v>1573</v>
      </c>
      <c r="G473" s="123"/>
      <c r="H473" s="95">
        <v>45996</v>
      </c>
      <c r="I473">
        <v>17742</v>
      </c>
      <c r="J473" s="123" t="s">
        <v>266</v>
      </c>
      <c r="K473" s="123" t="s">
        <v>1030</v>
      </c>
      <c r="L473" s="123" t="e">
        <f>VLOOKUP(Fact_AUM_FyoCapital[[#This Row],[Dim_Empresas.CUIT]],'clientes SQL'!C:D,2,0)</f>
        <v>#N/A</v>
      </c>
    </row>
    <row r="474" spans="1:12" hidden="1" x14ac:dyDescent="0.3">
      <c r="A474">
        <v>1832437</v>
      </c>
      <c r="B474">
        <v>20251205</v>
      </c>
      <c r="C474">
        <v>12840</v>
      </c>
      <c r="D474">
        <v>96709.1</v>
      </c>
      <c r="E474" s="123" t="s">
        <v>1566</v>
      </c>
      <c r="F474" s="123" t="s">
        <v>1578</v>
      </c>
      <c r="G474" s="123"/>
      <c r="H474" s="95">
        <v>45996</v>
      </c>
      <c r="I474">
        <v>36062</v>
      </c>
      <c r="J474" s="123" t="s">
        <v>236</v>
      </c>
      <c r="K474" s="123" t="s">
        <v>1031</v>
      </c>
      <c r="L474" s="123" t="e">
        <f>VLOOKUP(Fact_AUM_FyoCapital[[#This Row],[Dim_Empresas.CUIT]],'clientes SQL'!C:D,2,0)</f>
        <v>#N/A</v>
      </c>
    </row>
    <row r="475" spans="1:12" hidden="1" x14ac:dyDescent="0.3">
      <c r="A475">
        <v>1843237</v>
      </c>
      <c r="B475">
        <v>20251205</v>
      </c>
      <c r="C475">
        <v>9936</v>
      </c>
      <c r="D475">
        <v>1670.8555399719496</v>
      </c>
      <c r="E475" s="123" t="s">
        <v>1566</v>
      </c>
      <c r="F475" s="123" t="s">
        <v>1580</v>
      </c>
      <c r="G475" s="123"/>
      <c r="H475" s="95">
        <v>45996</v>
      </c>
      <c r="I475">
        <v>35436</v>
      </c>
      <c r="J475" s="123" t="s">
        <v>300</v>
      </c>
      <c r="K475" s="123" t="s">
        <v>1037</v>
      </c>
      <c r="L475" s="123" t="e">
        <f>VLOOKUP(Fact_AUM_FyoCapital[[#This Row],[Dim_Empresas.CUIT]],'clientes SQL'!C:D,2,0)</f>
        <v>#N/A</v>
      </c>
    </row>
    <row r="476" spans="1:12" hidden="1" x14ac:dyDescent="0.3">
      <c r="A476">
        <v>1887397</v>
      </c>
      <c r="B476">
        <v>20251205</v>
      </c>
      <c r="C476">
        <v>13687</v>
      </c>
      <c r="D476">
        <v>5474.3688639551192</v>
      </c>
      <c r="E476" s="123" t="s">
        <v>1566</v>
      </c>
      <c r="F476" s="123" t="s">
        <v>1573</v>
      </c>
      <c r="G476" s="123"/>
      <c r="H476" s="95">
        <v>45996</v>
      </c>
      <c r="I476">
        <v>36849</v>
      </c>
      <c r="J476" s="123" t="s">
        <v>1032</v>
      </c>
      <c r="K476" s="123" t="s">
        <v>1033</v>
      </c>
      <c r="L476" s="123" t="e">
        <f>VLOOKUP(Fact_AUM_FyoCapital[[#This Row],[Dim_Empresas.CUIT]],'clientes SQL'!C:D,2,0)</f>
        <v>#N/A</v>
      </c>
    </row>
    <row r="477" spans="1:12" hidden="1" x14ac:dyDescent="0.3">
      <c r="A477">
        <v>1889557</v>
      </c>
      <c r="B477">
        <v>20251205</v>
      </c>
      <c r="C477">
        <v>393</v>
      </c>
      <c r="D477">
        <v>171912.27</v>
      </c>
      <c r="E477" s="123" t="s">
        <v>1566</v>
      </c>
      <c r="F477" s="123" t="s">
        <v>1571</v>
      </c>
      <c r="G477" s="123"/>
      <c r="H477" s="95">
        <v>45996</v>
      </c>
      <c r="I477">
        <v>1169</v>
      </c>
      <c r="J477" s="123" t="s">
        <v>941</v>
      </c>
      <c r="K477" s="123" t="s">
        <v>942</v>
      </c>
      <c r="L477" s="123" t="e">
        <f>VLOOKUP(Fact_AUM_FyoCapital[[#This Row],[Dim_Empresas.CUIT]],'clientes SQL'!C:D,2,0)</f>
        <v>#N/A</v>
      </c>
    </row>
    <row r="478" spans="1:12" hidden="1" x14ac:dyDescent="0.3">
      <c r="A478">
        <v>1851997</v>
      </c>
      <c r="B478">
        <v>20251205</v>
      </c>
      <c r="C478">
        <v>757</v>
      </c>
      <c r="D478">
        <v>70892.67245441796</v>
      </c>
      <c r="E478" s="123" t="s">
        <v>1566</v>
      </c>
      <c r="F478" s="123" t="s">
        <v>1571</v>
      </c>
      <c r="G478" s="123"/>
      <c r="H478" s="95">
        <v>45996</v>
      </c>
      <c r="I478">
        <v>13408</v>
      </c>
      <c r="J478" s="123" t="s">
        <v>274</v>
      </c>
      <c r="K478" s="123" t="s">
        <v>1001</v>
      </c>
      <c r="L478" s="123" t="e">
        <f>VLOOKUP(Fact_AUM_FyoCapital[[#This Row],[Dim_Empresas.CUIT]],'clientes SQL'!C:D,2,0)</f>
        <v>#N/A</v>
      </c>
    </row>
    <row r="479" spans="1:12" hidden="1" x14ac:dyDescent="0.3">
      <c r="A479">
        <v>1894597</v>
      </c>
      <c r="B479">
        <v>20251205</v>
      </c>
      <c r="C479">
        <v>3176</v>
      </c>
      <c r="D479">
        <v>45897.281907433382</v>
      </c>
      <c r="E479" s="123" t="s">
        <v>1566</v>
      </c>
      <c r="F479" s="123" t="s">
        <v>1571</v>
      </c>
      <c r="G479" s="123"/>
      <c r="H479" s="95">
        <v>45996</v>
      </c>
      <c r="I479">
        <v>31590</v>
      </c>
      <c r="J479" s="123" t="s">
        <v>1044</v>
      </c>
      <c r="K479" s="123" t="s">
        <v>1045</v>
      </c>
      <c r="L479" s="123" t="e">
        <f>VLOOKUP(Fact_AUM_FyoCapital[[#This Row],[Dim_Empresas.CUIT]],'clientes SQL'!C:D,2,0)</f>
        <v>#N/A</v>
      </c>
    </row>
    <row r="480" spans="1:12" hidden="1" x14ac:dyDescent="0.3">
      <c r="A480">
        <v>2621909</v>
      </c>
      <c r="B480">
        <v>20251205</v>
      </c>
      <c r="C480">
        <v>1207</v>
      </c>
      <c r="D480">
        <v>0.90282608695652178</v>
      </c>
      <c r="E480" s="123" t="s">
        <v>1563</v>
      </c>
      <c r="F480" s="123" t="s">
        <v>185</v>
      </c>
      <c r="G480" s="123"/>
      <c r="H480" s="95">
        <v>45996</v>
      </c>
      <c r="I480">
        <v>9817</v>
      </c>
      <c r="J480" s="123" t="s">
        <v>396</v>
      </c>
      <c r="K480" s="123" t="s">
        <v>1120</v>
      </c>
      <c r="L480" s="123" t="e">
        <f>VLOOKUP(Fact_AUM_FyoCapital[[#This Row],[Dim_Empresas.CUIT]],'clientes SQL'!C:D,2,0)</f>
        <v>#N/A</v>
      </c>
    </row>
    <row r="481" spans="1:12" hidden="1" x14ac:dyDescent="0.3">
      <c r="A481">
        <v>1877497</v>
      </c>
      <c r="B481">
        <v>20251205</v>
      </c>
      <c r="C481">
        <v>1523</v>
      </c>
      <c r="D481">
        <v>19957.03716690042</v>
      </c>
      <c r="E481" s="123" t="s">
        <v>1566</v>
      </c>
      <c r="F481" s="123" t="s">
        <v>1573</v>
      </c>
      <c r="G481" s="123"/>
      <c r="H481" s="95">
        <v>45996</v>
      </c>
      <c r="I481">
        <v>20093</v>
      </c>
      <c r="J481" s="123" t="s">
        <v>987</v>
      </c>
      <c r="K481" s="123" t="s">
        <v>988</v>
      </c>
      <c r="L481" s="123" t="e">
        <f>VLOOKUP(Fact_AUM_FyoCapital[[#This Row],[Dim_Empresas.CUIT]],'clientes SQL'!C:D,2,0)</f>
        <v>#N/A</v>
      </c>
    </row>
    <row r="482" spans="1:12" hidden="1" x14ac:dyDescent="0.3">
      <c r="A482">
        <v>1898197</v>
      </c>
      <c r="B482">
        <v>20251205</v>
      </c>
      <c r="C482">
        <v>12855</v>
      </c>
      <c r="D482">
        <v>14120.22</v>
      </c>
      <c r="E482" s="123" t="s">
        <v>1566</v>
      </c>
      <c r="F482" s="123" t="s">
        <v>1578</v>
      </c>
      <c r="G482" s="123"/>
      <c r="H482" s="95">
        <v>45996</v>
      </c>
      <c r="I482">
        <v>36077</v>
      </c>
      <c r="J482" s="123" t="s">
        <v>563</v>
      </c>
      <c r="K482" s="123" t="s">
        <v>969</v>
      </c>
      <c r="L482" s="123" t="e">
        <f>VLOOKUP(Fact_AUM_FyoCapital[[#This Row],[Dim_Empresas.CUIT]],'clientes SQL'!C:D,2,0)</f>
        <v>#N/A</v>
      </c>
    </row>
    <row r="483" spans="1:12" hidden="1" x14ac:dyDescent="0.3">
      <c r="A483">
        <v>1899037</v>
      </c>
      <c r="B483">
        <v>20251205</v>
      </c>
      <c r="C483">
        <v>12922</v>
      </c>
      <c r="D483">
        <v>4290.5294530154279</v>
      </c>
      <c r="E483" s="123" t="s">
        <v>1566</v>
      </c>
      <c r="F483" s="123" t="s">
        <v>1573</v>
      </c>
      <c r="G483" s="123"/>
      <c r="H483" s="95">
        <v>45996</v>
      </c>
      <c r="I483">
        <v>36140</v>
      </c>
      <c r="J483" s="123" t="s">
        <v>128</v>
      </c>
      <c r="K483" s="123" t="s">
        <v>1042</v>
      </c>
      <c r="L483" s="123">
        <f>VLOOKUP(Fact_AUM_FyoCapital[[#This Row],[Dim_Empresas.CUIT]],'clientes SQL'!C:D,2,0)</f>
        <v>13006</v>
      </c>
    </row>
    <row r="484" spans="1:12" hidden="1" x14ac:dyDescent="0.3">
      <c r="A484">
        <v>1893457</v>
      </c>
      <c r="B484">
        <v>20251205</v>
      </c>
      <c r="C484">
        <v>4955</v>
      </c>
      <c r="D484">
        <v>0</v>
      </c>
      <c r="E484" s="123"/>
      <c r="F484" s="123"/>
      <c r="G484" s="123"/>
      <c r="H484" s="95">
        <v>45996</v>
      </c>
      <c r="I484">
        <v>32964</v>
      </c>
      <c r="J484" s="123" t="s">
        <v>527</v>
      </c>
      <c r="K484" s="123" t="s">
        <v>981</v>
      </c>
      <c r="L484" s="123" t="e">
        <f>VLOOKUP(Fact_AUM_FyoCapital[[#This Row],[Dim_Empresas.CUIT]],'clientes SQL'!C:D,2,0)</f>
        <v>#N/A</v>
      </c>
    </row>
    <row r="485" spans="1:12" hidden="1" x14ac:dyDescent="0.3">
      <c r="A485">
        <v>2639429</v>
      </c>
      <c r="B485">
        <v>20251205</v>
      </c>
      <c r="C485">
        <v>656</v>
      </c>
      <c r="D485">
        <v>0</v>
      </c>
      <c r="E485" s="123"/>
      <c r="F485" s="123"/>
      <c r="G485" s="123"/>
      <c r="H485" s="95">
        <v>45996</v>
      </c>
      <c r="I485">
        <v>5003</v>
      </c>
      <c r="J485" s="123" t="s">
        <v>1153</v>
      </c>
      <c r="K485" s="123" t="s">
        <v>1154</v>
      </c>
      <c r="L485" s="123" t="e">
        <f>VLOOKUP(Fact_AUM_FyoCapital[[#This Row],[Dim_Empresas.CUIT]],'clientes SQL'!C:D,2,0)</f>
        <v>#N/A</v>
      </c>
    </row>
    <row r="486" spans="1:12" hidden="1" x14ac:dyDescent="0.3">
      <c r="A486">
        <v>1836877</v>
      </c>
      <c r="B486">
        <v>20251205</v>
      </c>
      <c r="C486">
        <v>626</v>
      </c>
      <c r="D486">
        <v>867.49</v>
      </c>
      <c r="E486" s="123" t="s">
        <v>1566</v>
      </c>
      <c r="F486" s="123" t="s">
        <v>1571</v>
      </c>
      <c r="G486" s="123"/>
      <c r="H486" s="95">
        <v>45996</v>
      </c>
      <c r="I486">
        <v>580</v>
      </c>
      <c r="J486" s="123" t="s">
        <v>345</v>
      </c>
      <c r="K486" s="123" t="s">
        <v>979</v>
      </c>
      <c r="L486" s="123" t="e">
        <f>VLOOKUP(Fact_AUM_FyoCapital[[#This Row],[Dim_Empresas.CUIT]],'clientes SQL'!C:D,2,0)</f>
        <v>#N/A</v>
      </c>
    </row>
    <row r="487" spans="1:12" hidden="1" x14ac:dyDescent="0.3">
      <c r="A487">
        <v>2629949</v>
      </c>
      <c r="B487">
        <v>20251205</v>
      </c>
      <c r="C487">
        <v>3051</v>
      </c>
      <c r="D487">
        <v>202146.74</v>
      </c>
      <c r="E487" s="123" t="s">
        <v>1563</v>
      </c>
      <c r="F487" s="123" t="s">
        <v>950</v>
      </c>
      <c r="G487" s="123"/>
      <c r="H487" s="95">
        <v>45996</v>
      </c>
      <c r="I487">
        <v>31447</v>
      </c>
      <c r="J487" s="123" t="s">
        <v>1492</v>
      </c>
      <c r="K487" s="123" t="s">
        <v>1493</v>
      </c>
      <c r="L487" s="123" t="e">
        <f>VLOOKUP(Fact_AUM_FyoCapital[[#This Row],[Dim_Empresas.CUIT]],'clientes SQL'!C:D,2,0)</f>
        <v>#N/A</v>
      </c>
    </row>
    <row r="488" spans="1:12" hidden="1" x14ac:dyDescent="0.3">
      <c r="A488">
        <v>1878457</v>
      </c>
      <c r="B488">
        <v>20251205</v>
      </c>
      <c r="C488">
        <v>1522</v>
      </c>
      <c r="D488">
        <v>2683.8709677419356</v>
      </c>
      <c r="E488" s="123" t="s">
        <v>1566</v>
      </c>
      <c r="F488" s="123" t="s">
        <v>1579</v>
      </c>
      <c r="G488" s="123"/>
      <c r="H488" s="95">
        <v>45996</v>
      </c>
      <c r="I488">
        <v>20094</v>
      </c>
      <c r="J488" s="123" t="s">
        <v>488</v>
      </c>
      <c r="K488" s="123" t="s">
        <v>1050</v>
      </c>
      <c r="L488" s="123" t="e">
        <f>VLOOKUP(Fact_AUM_FyoCapital[[#This Row],[Dim_Empresas.CUIT]],'clientes SQL'!C:D,2,0)</f>
        <v>#N/A</v>
      </c>
    </row>
    <row r="489" spans="1:12" hidden="1" x14ac:dyDescent="0.3">
      <c r="A489">
        <v>2613209</v>
      </c>
      <c r="B489">
        <v>20251205</v>
      </c>
      <c r="C489">
        <v>626</v>
      </c>
      <c r="D489">
        <v>921.89</v>
      </c>
      <c r="E489" s="123" t="s">
        <v>1563</v>
      </c>
      <c r="F489" s="123" t="s">
        <v>950</v>
      </c>
      <c r="G489" s="123"/>
      <c r="H489" s="95">
        <v>45996</v>
      </c>
      <c r="I489">
        <v>580</v>
      </c>
      <c r="J489" s="123" t="s">
        <v>345</v>
      </c>
      <c r="K489" s="123" t="s">
        <v>979</v>
      </c>
      <c r="L489" s="123" t="e">
        <f>VLOOKUP(Fact_AUM_FyoCapital[[#This Row],[Dim_Empresas.CUIT]],'clientes SQL'!C:D,2,0)</f>
        <v>#N/A</v>
      </c>
    </row>
    <row r="490" spans="1:12" hidden="1" x14ac:dyDescent="0.3">
      <c r="A490">
        <v>1897957</v>
      </c>
      <c r="B490">
        <v>20251205</v>
      </c>
      <c r="C490">
        <v>12855</v>
      </c>
      <c r="D490" s="6">
        <v>14101.35</v>
      </c>
      <c r="E490" s="123" t="s">
        <v>1566</v>
      </c>
      <c r="F490" s="123" t="s">
        <v>1578</v>
      </c>
      <c r="G490" s="123"/>
      <c r="H490" s="95">
        <v>45996</v>
      </c>
      <c r="I490">
        <v>36077</v>
      </c>
      <c r="J490" s="123" t="s">
        <v>563</v>
      </c>
      <c r="K490" s="123" t="s">
        <v>969</v>
      </c>
      <c r="L490" s="123" t="e">
        <f>VLOOKUP(Fact_AUM_FyoCapital[[#This Row],[Dim_Empresas.CUIT]],'clientes SQL'!C:D,2,0)</f>
        <v>#N/A</v>
      </c>
    </row>
    <row r="491" spans="1:12" hidden="1" x14ac:dyDescent="0.3">
      <c r="A491">
        <v>1837477</v>
      </c>
      <c r="B491">
        <v>20251205</v>
      </c>
      <c r="C491">
        <v>626</v>
      </c>
      <c r="D491">
        <v>34727.244039270685</v>
      </c>
      <c r="E491" s="123" t="s">
        <v>1566</v>
      </c>
      <c r="F491" s="123" t="s">
        <v>1573</v>
      </c>
      <c r="G491" s="123"/>
      <c r="H491" s="95">
        <v>45996</v>
      </c>
      <c r="I491">
        <v>580</v>
      </c>
      <c r="J491" s="123" t="s">
        <v>345</v>
      </c>
      <c r="K491" s="123" t="s">
        <v>979</v>
      </c>
      <c r="L491" s="123" t="e">
        <f>VLOOKUP(Fact_AUM_FyoCapital[[#This Row],[Dim_Empresas.CUIT]],'clientes SQL'!C:D,2,0)</f>
        <v>#N/A</v>
      </c>
    </row>
    <row r="492" spans="1:12" hidden="1" x14ac:dyDescent="0.3">
      <c r="A492">
        <v>2608889</v>
      </c>
      <c r="B492">
        <v>20251205</v>
      </c>
      <c r="C492">
        <v>4260</v>
      </c>
      <c r="D492">
        <v>5.7</v>
      </c>
      <c r="E492" s="123" t="s">
        <v>1563</v>
      </c>
      <c r="F492" s="123" t="s">
        <v>188</v>
      </c>
      <c r="G492" s="123"/>
      <c r="H492" s="95">
        <v>45996</v>
      </c>
      <c r="J492" s="123" t="s">
        <v>211</v>
      </c>
      <c r="K492" s="123" t="s">
        <v>993</v>
      </c>
      <c r="L492" s="123" t="e">
        <f>VLOOKUP(Fact_AUM_FyoCapital[[#This Row],[Dim_Empresas.CUIT]],'clientes SQL'!C:D,2,0)</f>
        <v>#N/A</v>
      </c>
    </row>
    <row r="493" spans="1:12" hidden="1" x14ac:dyDescent="0.3">
      <c r="A493">
        <v>1832617</v>
      </c>
      <c r="B493">
        <v>20251205</v>
      </c>
      <c r="C493">
        <v>12840</v>
      </c>
      <c r="D493">
        <v>56764.011220196357</v>
      </c>
      <c r="E493" s="123" t="s">
        <v>1566</v>
      </c>
      <c r="F493" s="123" t="s">
        <v>1582</v>
      </c>
      <c r="G493" s="123"/>
      <c r="H493" s="95">
        <v>45996</v>
      </c>
      <c r="I493">
        <v>36062</v>
      </c>
      <c r="J493" s="123" t="s">
        <v>236</v>
      </c>
      <c r="K493" s="123" t="s">
        <v>1031</v>
      </c>
      <c r="L493" s="123" t="e">
        <f>VLOOKUP(Fact_AUM_FyoCapital[[#This Row],[Dim_Empresas.CUIT]],'clientes SQL'!C:D,2,0)</f>
        <v>#N/A</v>
      </c>
    </row>
    <row r="494" spans="1:12" hidden="1" x14ac:dyDescent="0.3">
      <c r="A494">
        <v>1878277</v>
      </c>
      <c r="B494">
        <v>20251205</v>
      </c>
      <c r="C494">
        <v>1522</v>
      </c>
      <c r="D494">
        <v>24102.75</v>
      </c>
      <c r="E494" s="123" t="s">
        <v>1566</v>
      </c>
      <c r="F494" s="123" t="s">
        <v>1571</v>
      </c>
      <c r="G494" s="123"/>
      <c r="H494" s="95">
        <v>45996</v>
      </c>
      <c r="I494">
        <v>20094</v>
      </c>
      <c r="J494" s="123" t="s">
        <v>488</v>
      </c>
      <c r="K494" s="123" t="s">
        <v>1050</v>
      </c>
      <c r="L494" s="123" t="e">
        <f>VLOOKUP(Fact_AUM_FyoCapital[[#This Row],[Dim_Empresas.CUIT]],'clientes SQL'!C:D,2,0)</f>
        <v>#N/A</v>
      </c>
    </row>
    <row r="495" spans="1:12" hidden="1" x14ac:dyDescent="0.3">
      <c r="A495">
        <v>1851157</v>
      </c>
      <c r="B495">
        <v>20251205</v>
      </c>
      <c r="C495">
        <v>855</v>
      </c>
      <c r="D495">
        <v>100771.9144460028</v>
      </c>
      <c r="E495" s="123" t="s">
        <v>1566</v>
      </c>
      <c r="F495" s="123" t="s">
        <v>1573</v>
      </c>
      <c r="G495" s="123"/>
      <c r="H495" s="95">
        <v>45996</v>
      </c>
      <c r="I495">
        <v>17742</v>
      </c>
      <c r="J495" s="123" t="s">
        <v>266</v>
      </c>
      <c r="K495" s="123" t="s">
        <v>1030</v>
      </c>
      <c r="L495" s="123" t="e">
        <f>VLOOKUP(Fact_AUM_FyoCapital[[#This Row],[Dim_Empresas.CUIT]],'clientes SQL'!C:D,2,0)</f>
        <v>#N/A</v>
      </c>
    </row>
    <row r="496" spans="1:12" hidden="1" x14ac:dyDescent="0.3">
      <c r="A496">
        <v>1868857</v>
      </c>
      <c r="B496">
        <v>20251205</v>
      </c>
      <c r="C496">
        <v>12804</v>
      </c>
      <c r="D496">
        <v>0</v>
      </c>
      <c r="E496" s="123"/>
      <c r="F496" s="123"/>
      <c r="G496" s="123"/>
      <c r="H496" s="95">
        <v>45996</v>
      </c>
      <c r="I496">
        <v>36030</v>
      </c>
      <c r="J496" s="123" t="s">
        <v>504</v>
      </c>
      <c r="K496" s="123" t="s">
        <v>1196</v>
      </c>
      <c r="L496" s="123" t="e">
        <f>VLOOKUP(Fact_AUM_FyoCapital[[#This Row],[Dim_Empresas.CUIT]],'clientes SQL'!C:D,2,0)</f>
        <v>#N/A</v>
      </c>
    </row>
    <row r="497" spans="1:12" hidden="1" x14ac:dyDescent="0.3">
      <c r="A497">
        <v>1899097</v>
      </c>
      <c r="B497">
        <v>20251205</v>
      </c>
      <c r="C497">
        <v>12922</v>
      </c>
      <c r="D497">
        <v>4111.851332398317</v>
      </c>
      <c r="E497" s="123" t="s">
        <v>1566</v>
      </c>
      <c r="F497" s="123" t="s">
        <v>1580</v>
      </c>
      <c r="G497" s="123"/>
      <c r="H497" s="95">
        <v>45996</v>
      </c>
      <c r="I497">
        <v>36140</v>
      </c>
      <c r="J497" s="123" t="s">
        <v>128</v>
      </c>
      <c r="K497" s="123" t="s">
        <v>1042</v>
      </c>
      <c r="L497" s="123">
        <f>VLOOKUP(Fact_AUM_FyoCapital[[#This Row],[Dim_Empresas.CUIT]],'clientes SQL'!C:D,2,0)</f>
        <v>13006</v>
      </c>
    </row>
    <row r="498" spans="1:12" hidden="1" x14ac:dyDescent="0.3">
      <c r="A498">
        <v>1824877</v>
      </c>
      <c r="B498">
        <v>20251205</v>
      </c>
      <c r="C498">
        <v>885</v>
      </c>
      <c r="D498">
        <v>148678.46</v>
      </c>
      <c r="E498" s="123" t="s">
        <v>1568</v>
      </c>
      <c r="F498" s="123" t="s">
        <v>1575</v>
      </c>
      <c r="G498" s="123" t="s">
        <v>1583</v>
      </c>
      <c r="H498" s="95">
        <v>45996</v>
      </c>
      <c r="I498">
        <v>9831</v>
      </c>
      <c r="J498" s="123" t="s">
        <v>1074</v>
      </c>
      <c r="K498" s="123" t="s">
        <v>1075</v>
      </c>
      <c r="L498" s="123" t="e">
        <f>VLOOKUP(Fact_AUM_FyoCapital[[#This Row],[Dim_Empresas.CUIT]],'clientes SQL'!C:D,2,0)</f>
        <v>#N/A</v>
      </c>
    </row>
    <row r="499" spans="1:12" hidden="1" x14ac:dyDescent="0.3">
      <c r="A499">
        <v>1852057</v>
      </c>
      <c r="B499">
        <v>20251205</v>
      </c>
      <c r="C499">
        <v>757</v>
      </c>
      <c r="D499">
        <v>135875.8765778401</v>
      </c>
      <c r="E499" s="123" t="s">
        <v>1566</v>
      </c>
      <c r="F499" s="123" t="s">
        <v>1571</v>
      </c>
      <c r="G499" s="123"/>
      <c r="H499" s="95">
        <v>45996</v>
      </c>
      <c r="I499">
        <v>13408</v>
      </c>
      <c r="J499" s="123" t="s">
        <v>274</v>
      </c>
      <c r="K499" s="123" t="s">
        <v>1001</v>
      </c>
      <c r="L499" s="123" t="e">
        <f>VLOOKUP(Fact_AUM_FyoCapital[[#This Row],[Dim_Empresas.CUIT]],'clientes SQL'!C:D,2,0)</f>
        <v>#N/A</v>
      </c>
    </row>
    <row r="500" spans="1:12" hidden="1" x14ac:dyDescent="0.3">
      <c r="A500">
        <v>1856377</v>
      </c>
      <c r="B500">
        <v>20251205</v>
      </c>
      <c r="C500">
        <v>10207</v>
      </c>
      <c r="D500">
        <v>184727.72230014025</v>
      </c>
      <c r="E500" s="123" t="s">
        <v>1566</v>
      </c>
      <c r="F500" s="123" t="s">
        <v>1571</v>
      </c>
      <c r="G500" s="123"/>
      <c r="H500" s="95">
        <v>45996</v>
      </c>
      <c r="I500">
        <v>32413</v>
      </c>
      <c r="J500" s="123" t="s">
        <v>407</v>
      </c>
      <c r="K500" s="123" t="s">
        <v>1109</v>
      </c>
      <c r="L500" s="123" t="e">
        <f>VLOOKUP(Fact_AUM_FyoCapital[[#This Row],[Dim_Empresas.CUIT]],'clientes SQL'!C:D,2,0)</f>
        <v>#N/A</v>
      </c>
    </row>
    <row r="501" spans="1:12" hidden="1" x14ac:dyDescent="0.3">
      <c r="A501">
        <v>1883617</v>
      </c>
      <c r="B501">
        <v>20251205</v>
      </c>
      <c r="C501">
        <v>905</v>
      </c>
      <c r="D501">
        <v>206171.10799438989</v>
      </c>
      <c r="E501" s="123" t="s">
        <v>1566</v>
      </c>
      <c r="F501" s="123" t="s">
        <v>1582</v>
      </c>
      <c r="G501" s="123"/>
      <c r="H501" s="95">
        <v>45996</v>
      </c>
      <c r="I501">
        <v>18220</v>
      </c>
      <c r="J501" s="123" t="s">
        <v>531</v>
      </c>
      <c r="K501" s="123" t="s">
        <v>1121</v>
      </c>
      <c r="L501" s="123" t="e">
        <f>VLOOKUP(Fact_AUM_FyoCapital[[#This Row],[Dim_Empresas.CUIT]],'clientes SQL'!C:D,2,0)</f>
        <v>#N/A</v>
      </c>
    </row>
    <row r="502" spans="1:12" hidden="1" x14ac:dyDescent="0.3">
      <c r="A502">
        <v>1837057</v>
      </c>
      <c r="B502">
        <v>20251205</v>
      </c>
      <c r="C502">
        <v>626</v>
      </c>
      <c r="D502">
        <v>1482.2054698457223</v>
      </c>
      <c r="E502" s="123" t="s">
        <v>1566</v>
      </c>
      <c r="F502" s="123" t="s">
        <v>1573</v>
      </c>
      <c r="G502" s="123"/>
      <c r="H502" s="95">
        <v>45996</v>
      </c>
      <c r="I502">
        <v>580</v>
      </c>
      <c r="J502" s="123" t="s">
        <v>345</v>
      </c>
      <c r="K502" s="123" t="s">
        <v>979</v>
      </c>
      <c r="L502" s="123" t="e">
        <f>VLOOKUP(Fact_AUM_FyoCapital[[#This Row],[Dim_Empresas.CUIT]],'clientes SQL'!C:D,2,0)</f>
        <v>#N/A</v>
      </c>
    </row>
    <row r="503" spans="1:12" hidden="1" x14ac:dyDescent="0.3">
      <c r="A503">
        <v>1847017</v>
      </c>
      <c r="B503">
        <v>20251205</v>
      </c>
      <c r="C503">
        <v>9936</v>
      </c>
      <c r="D503">
        <v>6.7426647966339415</v>
      </c>
      <c r="E503" s="123" t="s">
        <v>1568</v>
      </c>
      <c r="F503" s="123" t="s">
        <v>1572</v>
      </c>
      <c r="G503" s="123" t="s">
        <v>1570</v>
      </c>
      <c r="H503" s="95">
        <v>45996</v>
      </c>
      <c r="I503">
        <v>35436</v>
      </c>
      <c r="J503" s="123" t="s">
        <v>300</v>
      </c>
      <c r="K503" s="123" t="s">
        <v>1037</v>
      </c>
      <c r="L503" s="123" t="e">
        <f>VLOOKUP(Fact_AUM_FyoCapital[[#This Row],[Dim_Empresas.CUIT]],'clientes SQL'!C:D,2,0)</f>
        <v>#N/A</v>
      </c>
    </row>
    <row r="504" spans="1:12" hidden="1" x14ac:dyDescent="0.3">
      <c r="A504">
        <v>1895017</v>
      </c>
      <c r="B504">
        <v>20251205</v>
      </c>
      <c r="C504">
        <v>10244</v>
      </c>
      <c r="D504">
        <v>122958.59</v>
      </c>
      <c r="E504" s="123" t="s">
        <v>1566</v>
      </c>
      <c r="F504" s="123" t="s">
        <v>1578</v>
      </c>
      <c r="G504" s="123"/>
      <c r="H504" s="95">
        <v>45996</v>
      </c>
      <c r="I504">
        <v>35636</v>
      </c>
      <c r="J504" s="123" t="s">
        <v>564</v>
      </c>
      <c r="K504" s="123" t="s">
        <v>1017</v>
      </c>
      <c r="L504" s="123" t="e">
        <f>VLOOKUP(Fact_AUM_FyoCapital[[#This Row],[Dim_Empresas.CUIT]],'clientes SQL'!C:D,2,0)</f>
        <v>#N/A</v>
      </c>
    </row>
    <row r="505" spans="1:12" hidden="1" x14ac:dyDescent="0.3">
      <c r="A505">
        <v>1877977</v>
      </c>
      <c r="B505">
        <v>20251205</v>
      </c>
      <c r="C505">
        <v>1523</v>
      </c>
      <c r="D505">
        <v>80520.952847124834</v>
      </c>
      <c r="E505" s="123" t="s">
        <v>1568</v>
      </c>
      <c r="F505" s="123" t="s">
        <v>1572</v>
      </c>
      <c r="G505" s="123" t="s">
        <v>1583</v>
      </c>
      <c r="H505" s="95">
        <v>45996</v>
      </c>
      <c r="I505">
        <v>20093</v>
      </c>
      <c r="J505" s="123" t="s">
        <v>987</v>
      </c>
      <c r="K505" s="123" t="s">
        <v>988</v>
      </c>
      <c r="L505" s="123" t="e">
        <f>VLOOKUP(Fact_AUM_FyoCapital[[#This Row],[Dim_Empresas.CUIT]],'clientes SQL'!C:D,2,0)</f>
        <v>#N/A</v>
      </c>
    </row>
    <row r="506" spans="1:12" hidden="1" x14ac:dyDescent="0.3">
      <c r="A506">
        <v>1851517</v>
      </c>
      <c r="B506">
        <v>20251205</v>
      </c>
      <c r="C506">
        <v>855</v>
      </c>
      <c r="D506">
        <v>67581.469144460032</v>
      </c>
      <c r="E506" s="123" t="s">
        <v>1566</v>
      </c>
      <c r="F506" s="123" t="s">
        <v>1573</v>
      </c>
      <c r="G506" s="123"/>
      <c r="H506" s="95">
        <v>45996</v>
      </c>
      <c r="I506">
        <v>17742</v>
      </c>
      <c r="J506" s="123" t="s">
        <v>266</v>
      </c>
      <c r="K506" s="123" t="s">
        <v>1030</v>
      </c>
      <c r="L506" s="123" t="e">
        <f>VLOOKUP(Fact_AUM_FyoCapital[[#This Row],[Dim_Empresas.CUIT]],'clientes SQL'!C:D,2,0)</f>
        <v>#N/A</v>
      </c>
    </row>
    <row r="507" spans="1:12" hidden="1" x14ac:dyDescent="0.3">
      <c r="A507">
        <v>1836697</v>
      </c>
      <c r="B507">
        <v>20251205</v>
      </c>
      <c r="C507">
        <v>626</v>
      </c>
      <c r="D507">
        <v>56133.987377279103</v>
      </c>
      <c r="E507" s="123" t="s">
        <v>1566</v>
      </c>
      <c r="F507" s="123" t="s">
        <v>1573</v>
      </c>
      <c r="G507" s="123"/>
      <c r="H507" s="95">
        <v>45996</v>
      </c>
      <c r="I507">
        <v>580</v>
      </c>
      <c r="J507" s="123" t="s">
        <v>345</v>
      </c>
      <c r="K507" s="123" t="s">
        <v>979</v>
      </c>
      <c r="L507" s="123" t="e">
        <f>VLOOKUP(Fact_AUM_FyoCapital[[#This Row],[Dim_Empresas.CUIT]],'clientes SQL'!C:D,2,0)</f>
        <v>#N/A</v>
      </c>
    </row>
    <row r="508" spans="1:12" hidden="1" x14ac:dyDescent="0.3">
      <c r="A508">
        <v>1878097</v>
      </c>
      <c r="B508">
        <v>20251205</v>
      </c>
      <c r="C508">
        <v>1522</v>
      </c>
      <c r="D508">
        <v>136478.18050490884</v>
      </c>
      <c r="E508" s="123" t="s">
        <v>1566</v>
      </c>
      <c r="F508" s="123" t="s">
        <v>1578</v>
      </c>
      <c r="G508" s="123"/>
      <c r="H508" s="95">
        <v>45996</v>
      </c>
      <c r="I508">
        <v>20094</v>
      </c>
      <c r="J508" s="123" t="s">
        <v>488</v>
      </c>
      <c r="K508" s="123" t="s">
        <v>1050</v>
      </c>
      <c r="L508" s="123" t="e">
        <f>VLOOKUP(Fact_AUM_FyoCapital[[#This Row],[Dim_Empresas.CUIT]],'clientes SQL'!C:D,2,0)</f>
        <v>#N/A</v>
      </c>
    </row>
    <row r="509" spans="1:12" hidden="1" x14ac:dyDescent="0.3">
      <c r="A509">
        <v>1858837</v>
      </c>
      <c r="B509">
        <v>20251205</v>
      </c>
      <c r="C509">
        <v>13751</v>
      </c>
      <c r="D509">
        <v>407.6719144460028</v>
      </c>
      <c r="E509" s="123" t="s">
        <v>1568</v>
      </c>
      <c r="F509" s="123" t="s">
        <v>1572</v>
      </c>
      <c r="G509" s="123" t="s">
        <v>1570</v>
      </c>
      <c r="H509" s="95">
        <v>45996</v>
      </c>
      <c r="I509">
        <v>36904</v>
      </c>
      <c r="J509" s="123" t="s">
        <v>685</v>
      </c>
      <c r="K509" s="123" t="s">
        <v>1054</v>
      </c>
      <c r="L509" s="123" t="e">
        <f>VLOOKUP(Fact_AUM_FyoCapital[[#This Row],[Dim_Empresas.CUIT]],'clientes SQL'!C:D,2,0)</f>
        <v>#N/A</v>
      </c>
    </row>
    <row r="510" spans="1:12" hidden="1" x14ac:dyDescent="0.3">
      <c r="A510">
        <v>2606489</v>
      </c>
      <c r="B510">
        <v>20251205</v>
      </c>
      <c r="C510">
        <v>13817</v>
      </c>
      <c r="D510">
        <v>45907.4</v>
      </c>
      <c r="E510" s="123" t="s">
        <v>1566</v>
      </c>
      <c r="F510" s="123" t="s">
        <v>1571</v>
      </c>
      <c r="G510" s="123"/>
      <c r="H510" s="95">
        <v>45996</v>
      </c>
      <c r="I510">
        <v>36965</v>
      </c>
      <c r="J510" s="123" t="s">
        <v>628</v>
      </c>
      <c r="K510" s="123" t="s">
        <v>1009</v>
      </c>
      <c r="L510" s="123" t="e">
        <f>VLOOKUP(Fact_AUM_FyoCapital[[#This Row],[Dim_Empresas.CUIT]],'clientes SQL'!C:D,2,0)</f>
        <v>#N/A</v>
      </c>
    </row>
    <row r="511" spans="1:12" hidden="1" x14ac:dyDescent="0.3">
      <c r="A511">
        <v>2614469</v>
      </c>
      <c r="B511">
        <v>20251205</v>
      </c>
      <c r="C511">
        <v>1559</v>
      </c>
      <c r="D511">
        <v>-6246.0840673211787</v>
      </c>
      <c r="E511" s="123" t="s">
        <v>1563</v>
      </c>
      <c r="F511" s="123" t="s">
        <v>185</v>
      </c>
      <c r="G511" s="123"/>
      <c r="H511" s="95">
        <v>45996</v>
      </c>
      <c r="I511">
        <v>20235</v>
      </c>
      <c r="J511" s="123" t="s">
        <v>1082</v>
      </c>
      <c r="K511" s="123" t="s">
        <v>1083</v>
      </c>
      <c r="L511" s="123" t="e">
        <f>VLOOKUP(Fact_AUM_FyoCapital[[#This Row],[Dim_Empresas.CUIT]],'clientes SQL'!C:D,2,0)</f>
        <v>#N/A</v>
      </c>
    </row>
    <row r="512" spans="1:12" hidden="1" x14ac:dyDescent="0.3">
      <c r="A512">
        <v>2605829</v>
      </c>
      <c r="B512">
        <v>20251205</v>
      </c>
      <c r="C512">
        <v>13024</v>
      </c>
      <c r="D512">
        <v>6340.97</v>
      </c>
      <c r="E512" s="123" t="s">
        <v>1566</v>
      </c>
      <c r="F512" s="123" t="s">
        <v>1579</v>
      </c>
      <c r="G512" s="123"/>
      <c r="H512" s="95">
        <v>45996</v>
      </c>
      <c r="I512">
        <v>36227</v>
      </c>
      <c r="J512" s="123" t="s">
        <v>606</v>
      </c>
      <c r="K512" s="123" t="s">
        <v>1105</v>
      </c>
      <c r="L512" s="123" t="e">
        <f>VLOOKUP(Fact_AUM_FyoCapital[[#This Row],[Dim_Empresas.CUIT]],'clientes SQL'!C:D,2,0)</f>
        <v>#N/A</v>
      </c>
    </row>
    <row r="513" spans="1:12" hidden="1" x14ac:dyDescent="0.3">
      <c r="A513">
        <v>1872697</v>
      </c>
      <c r="B513">
        <v>20251205</v>
      </c>
      <c r="C513">
        <v>949</v>
      </c>
      <c r="D513">
        <v>10886.078457223002</v>
      </c>
      <c r="E513" s="123" t="s">
        <v>1568</v>
      </c>
      <c r="F513" s="123" t="s">
        <v>1572</v>
      </c>
      <c r="G513" s="123" t="s">
        <v>1574</v>
      </c>
      <c r="H513" s="95">
        <v>45996</v>
      </c>
      <c r="I513">
        <v>17696</v>
      </c>
      <c r="J513" s="123" t="s">
        <v>725</v>
      </c>
      <c r="K513" s="123" t="s">
        <v>1021</v>
      </c>
      <c r="L513" s="123" t="e">
        <f>VLOOKUP(Fact_AUM_FyoCapital[[#This Row],[Dim_Empresas.CUIT]],'clientes SQL'!C:D,2,0)</f>
        <v>#N/A</v>
      </c>
    </row>
    <row r="514" spans="1:12" x14ac:dyDescent="0.3">
      <c r="A514">
        <v>2639129</v>
      </c>
      <c r="B514">
        <v>20251205</v>
      </c>
      <c r="C514">
        <v>12923</v>
      </c>
      <c r="D514">
        <v>5650</v>
      </c>
      <c r="E514" s="123" t="s">
        <v>1563</v>
      </c>
      <c r="F514" s="123" t="s">
        <v>801</v>
      </c>
      <c r="G514" s="123"/>
      <c r="H514" s="95">
        <v>45996</v>
      </c>
      <c r="I514">
        <v>36141</v>
      </c>
      <c r="J514" s="123" t="s">
        <v>694</v>
      </c>
      <c r="K514" s="123" t="s">
        <v>966</v>
      </c>
      <c r="L514" s="123">
        <f>VLOOKUP(Fact_AUM_FyoCapital[[#This Row],[Dim_Empresas.CUIT]],'clientes SQL'!C:D,2,0)</f>
        <v>13007</v>
      </c>
    </row>
    <row r="515" spans="1:12" hidden="1" x14ac:dyDescent="0.3">
      <c r="A515">
        <v>2605709</v>
      </c>
      <c r="B515">
        <v>20251205</v>
      </c>
      <c r="C515">
        <v>12937</v>
      </c>
      <c r="D515">
        <v>93.192356241234208</v>
      </c>
      <c r="E515" s="123" t="s">
        <v>1568</v>
      </c>
      <c r="F515" s="123" t="s">
        <v>1572</v>
      </c>
      <c r="G515" s="123" t="s">
        <v>1574</v>
      </c>
      <c r="H515" s="95">
        <v>45996</v>
      </c>
      <c r="I515">
        <v>36152</v>
      </c>
      <c r="J515" s="123" t="s">
        <v>624</v>
      </c>
      <c r="K515" s="123" t="s">
        <v>1006</v>
      </c>
      <c r="L515" s="123" t="e">
        <f>VLOOKUP(Fact_AUM_FyoCapital[[#This Row],[Dim_Empresas.CUIT]],'clientes SQL'!C:D,2,0)</f>
        <v>#N/A</v>
      </c>
    </row>
    <row r="516" spans="1:12" hidden="1" x14ac:dyDescent="0.3">
      <c r="A516">
        <v>2618129</v>
      </c>
      <c r="B516">
        <v>20251205</v>
      </c>
      <c r="C516">
        <v>9936</v>
      </c>
      <c r="D516">
        <v>173.56</v>
      </c>
      <c r="E516" s="123" t="s">
        <v>1563</v>
      </c>
      <c r="F516" s="123" t="s">
        <v>950</v>
      </c>
      <c r="G516" s="123"/>
      <c r="H516" s="95">
        <v>45996</v>
      </c>
      <c r="I516">
        <v>35436</v>
      </c>
      <c r="J516" s="123" t="s">
        <v>300</v>
      </c>
      <c r="K516" s="123" t="s">
        <v>1037</v>
      </c>
      <c r="L516" s="123" t="e">
        <f>VLOOKUP(Fact_AUM_FyoCapital[[#This Row],[Dim_Empresas.CUIT]],'clientes SQL'!C:D,2,0)</f>
        <v>#N/A</v>
      </c>
    </row>
    <row r="517" spans="1:12" hidden="1" x14ac:dyDescent="0.3">
      <c r="A517">
        <v>1843297</v>
      </c>
      <c r="B517">
        <v>20251205</v>
      </c>
      <c r="C517">
        <v>9936</v>
      </c>
      <c r="D517">
        <v>11933.506311360448</v>
      </c>
      <c r="E517" s="123" t="s">
        <v>1566</v>
      </c>
      <c r="F517" s="123" t="s">
        <v>1580</v>
      </c>
      <c r="G517" s="123"/>
      <c r="H517" s="95">
        <v>45996</v>
      </c>
      <c r="I517">
        <v>35436</v>
      </c>
      <c r="J517" s="123" t="s">
        <v>300</v>
      </c>
      <c r="K517" s="123" t="s">
        <v>1037</v>
      </c>
      <c r="L517" s="123" t="e">
        <f>VLOOKUP(Fact_AUM_FyoCapital[[#This Row],[Dim_Empresas.CUIT]],'clientes SQL'!C:D,2,0)</f>
        <v>#N/A</v>
      </c>
    </row>
    <row r="518" spans="1:12" hidden="1" x14ac:dyDescent="0.3">
      <c r="A518">
        <v>2617589</v>
      </c>
      <c r="B518">
        <v>20251205</v>
      </c>
      <c r="C518">
        <v>9936</v>
      </c>
      <c r="D518">
        <v>-7.0913534361851331</v>
      </c>
      <c r="E518" s="123" t="s">
        <v>1563</v>
      </c>
      <c r="F518" s="123" t="s">
        <v>185</v>
      </c>
      <c r="G518" s="123"/>
      <c r="H518" s="95">
        <v>45996</v>
      </c>
      <c r="I518">
        <v>35436</v>
      </c>
      <c r="J518" s="123" t="s">
        <v>300</v>
      </c>
      <c r="K518" s="123" t="s">
        <v>1037</v>
      </c>
      <c r="L518" s="123" t="e">
        <f>VLOOKUP(Fact_AUM_FyoCapital[[#This Row],[Dim_Empresas.CUIT]],'clientes SQL'!C:D,2,0)</f>
        <v>#N/A</v>
      </c>
    </row>
    <row r="519" spans="1:12" hidden="1" x14ac:dyDescent="0.3">
      <c r="A519">
        <v>2611649</v>
      </c>
      <c r="B519">
        <v>20251205</v>
      </c>
      <c r="C519">
        <v>14776</v>
      </c>
      <c r="D519">
        <v>9.1164095371669001E-5</v>
      </c>
      <c r="E519" s="123" t="s">
        <v>1563</v>
      </c>
      <c r="F519" s="123" t="s">
        <v>185</v>
      </c>
      <c r="G519" s="123"/>
      <c r="H519" s="95">
        <v>45996</v>
      </c>
      <c r="I519">
        <v>37012</v>
      </c>
      <c r="J519" s="123" t="s">
        <v>1136</v>
      </c>
      <c r="K519" s="123" t="s">
        <v>1137</v>
      </c>
      <c r="L519" s="123" t="e">
        <f>VLOOKUP(Fact_AUM_FyoCapital[[#This Row],[Dim_Empresas.CUIT]],'clientes SQL'!C:D,2,0)</f>
        <v>#N/A</v>
      </c>
    </row>
    <row r="520" spans="1:12" hidden="1" x14ac:dyDescent="0.3">
      <c r="A520">
        <v>1864297</v>
      </c>
      <c r="B520">
        <v>20251205</v>
      </c>
      <c r="C520">
        <v>4259</v>
      </c>
      <c r="D520">
        <v>636.14</v>
      </c>
      <c r="E520" s="123" t="s">
        <v>1566</v>
      </c>
      <c r="F520" s="123" t="s">
        <v>1579</v>
      </c>
      <c r="G520" s="123"/>
      <c r="H520" s="95">
        <v>45996</v>
      </c>
      <c r="I520">
        <v>19330</v>
      </c>
      <c r="J520" s="123" t="s">
        <v>293</v>
      </c>
      <c r="K520" s="123" t="s">
        <v>1166</v>
      </c>
      <c r="L520" s="123" t="e">
        <f>VLOOKUP(Fact_AUM_FyoCapital[[#This Row],[Dim_Empresas.CUIT]],'clientes SQL'!C:D,2,0)</f>
        <v>#N/A</v>
      </c>
    </row>
    <row r="521" spans="1:12" hidden="1" x14ac:dyDescent="0.3">
      <c r="A521">
        <v>1898617</v>
      </c>
      <c r="B521">
        <v>20251205</v>
      </c>
      <c r="C521">
        <v>12922</v>
      </c>
      <c r="D521">
        <v>154037.79</v>
      </c>
      <c r="E521" s="123" t="s">
        <v>1566</v>
      </c>
      <c r="F521" s="123" t="s">
        <v>1571</v>
      </c>
      <c r="G521" s="123"/>
      <c r="H521" s="95">
        <v>45996</v>
      </c>
      <c r="I521">
        <v>36140</v>
      </c>
      <c r="J521" s="123" t="s">
        <v>128</v>
      </c>
      <c r="K521" s="123" t="s">
        <v>1042</v>
      </c>
      <c r="L521" s="123">
        <f>VLOOKUP(Fact_AUM_FyoCapital[[#This Row],[Dim_Empresas.CUIT]],'clientes SQL'!C:D,2,0)</f>
        <v>13006</v>
      </c>
    </row>
    <row r="522" spans="1:12" hidden="1" x14ac:dyDescent="0.3">
      <c r="A522">
        <v>1829557</v>
      </c>
      <c r="B522">
        <v>20251205</v>
      </c>
      <c r="C522">
        <v>410</v>
      </c>
      <c r="D522">
        <v>35346.046325385694</v>
      </c>
      <c r="E522" s="123" t="s">
        <v>1568</v>
      </c>
      <c r="F522" s="123" t="s">
        <v>1572</v>
      </c>
      <c r="G522" s="123" t="s">
        <v>1570</v>
      </c>
      <c r="H522" s="95">
        <v>45996</v>
      </c>
      <c r="I522">
        <v>7825</v>
      </c>
      <c r="J522" s="123" t="s">
        <v>239</v>
      </c>
      <c r="K522" s="123" t="s">
        <v>1016</v>
      </c>
      <c r="L522" s="123" t="e">
        <f>VLOOKUP(Fact_AUM_FyoCapital[[#This Row],[Dim_Empresas.CUIT]],'clientes SQL'!C:D,2,0)</f>
        <v>#N/A</v>
      </c>
    </row>
    <row r="523" spans="1:12" hidden="1" x14ac:dyDescent="0.3">
      <c r="A523">
        <v>1858897</v>
      </c>
      <c r="B523">
        <v>20251205</v>
      </c>
      <c r="C523">
        <v>16286</v>
      </c>
      <c r="D523">
        <v>796.78401122019636</v>
      </c>
      <c r="E523" s="123" t="s">
        <v>1566</v>
      </c>
      <c r="F523" s="123" t="s">
        <v>1582</v>
      </c>
      <c r="G523" s="123"/>
      <c r="H523" s="95">
        <v>45996</v>
      </c>
      <c r="I523">
        <v>37771</v>
      </c>
      <c r="J523" s="123" t="s">
        <v>1094</v>
      </c>
      <c r="K523" s="123" t="s">
        <v>1095</v>
      </c>
      <c r="L523" s="123" t="e">
        <f>VLOOKUP(Fact_AUM_FyoCapital[[#This Row],[Dim_Empresas.CUIT]],'clientes SQL'!C:D,2,0)</f>
        <v>#N/A</v>
      </c>
    </row>
    <row r="524" spans="1:12" hidden="1" x14ac:dyDescent="0.3">
      <c r="A524">
        <v>2626409</v>
      </c>
      <c r="B524">
        <v>20251205</v>
      </c>
      <c r="C524">
        <v>5025</v>
      </c>
      <c r="D524">
        <v>2.7276016830294529</v>
      </c>
      <c r="E524" s="123" t="s">
        <v>1563</v>
      </c>
      <c r="F524" s="123" t="s">
        <v>185</v>
      </c>
      <c r="G524" s="123"/>
      <c r="H524" s="95">
        <v>45996</v>
      </c>
      <c r="I524">
        <v>33266</v>
      </c>
      <c r="J524" s="123" t="s">
        <v>475</v>
      </c>
      <c r="K524" s="123" t="s">
        <v>1051</v>
      </c>
      <c r="L524" s="123" t="e">
        <f>VLOOKUP(Fact_AUM_FyoCapital[[#This Row],[Dim_Empresas.CUIT]],'clientes SQL'!C:D,2,0)</f>
        <v>#N/A</v>
      </c>
    </row>
    <row r="525" spans="1:12" hidden="1" x14ac:dyDescent="0.3">
      <c r="A525">
        <v>1832197</v>
      </c>
      <c r="B525">
        <v>20251205</v>
      </c>
      <c r="C525">
        <v>12840</v>
      </c>
      <c r="D525">
        <v>11987.23</v>
      </c>
      <c r="E525" s="123" t="s">
        <v>1566</v>
      </c>
      <c r="F525" s="123" t="s">
        <v>1578</v>
      </c>
      <c r="G525" s="123"/>
      <c r="H525" s="95">
        <v>45996</v>
      </c>
      <c r="I525">
        <v>36062</v>
      </c>
      <c r="J525" s="123" t="s">
        <v>236</v>
      </c>
      <c r="K525" s="123" t="s">
        <v>1031</v>
      </c>
      <c r="L525" s="123" t="e">
        <f>VLOOKUP(Fact_AUM_FyoCapital[[#This Row],[Dim_Empresas.CUIT]],'clientes SQL'!C:D,2,0)</f>
        <v>#N/A</v>
      </c>
    </row>
    <row r="526" spans="1:12" hidden="1" x14ac:dyDescent="0.3">
      <c r="A526">
        <v>2636489</v>
      </c>
      <c r="B526">
        <v>20251205</v>
      </c>
      <c r="C526">
        <v>2304</v>
      </c>
      <c r="D526">
        <v>22.74</v>
      </c>
      <c r="E526" s="123" t="s">
        <v>1563</v>
      </c>
      <c r="F526" s="123" t="s">
        <v>950</v>
      </c>
      <c r="G526" s="123"/>
      <c r="H526" s="95">
        <v>45996</v>
      </c>
      <c r="I526">
        <v>30401</v>
      </c>
      <c r="J526" s="123" t="s">
        <v>366</v>
      </c>
      <c r="K526" s="123" t="s">
        <v>1064</v>
      </c>
      <c r="L526" s="123" t="e">
        <f>VLOOKUP(Fact_AUM_FyoCapital[[#This Row],[Dim_Empresas.CUIT]],'clientes SQL'!C:D,2,0)</f>
        <v>#N/A</v>
      </c>
    </row>
    <row r="527" spans="1:12" hidden="1" x14ac:dyDescent="0.3">
      <c r="A527">
        <v>1832377</v>
      </c>
      <c r="B527">
        <v>20251205</v>
      </c>
      <c r="C527">
        <v>12840</v>
      </c>
      <c r="D527">
        <v>0</v>
      </c>
      <c r="E527" s="123"/>
      <c r="F527" s="123"/>
      <c r="G527" s="123"/>
      <c r="H527" s="95">
        <v>45996</v>
      </c>
      <c r="I527">
        <v>36062</v>
      </c>
      <c r="J527" s="123" t="s">
        <v>236</v>
      </c>
      <c r="K527" s="123" t="s">
        <v>1031</v>
      </c>
      <c r="L527" s="123" t="e">
        <f>VLOOKUP(Fact_AUM_FyoCapital[[#This Row],[Dim_Empresas.CUIT]],'clientes SQL'!C:D,2,0)</f>
        <v>#N/A</v>
      </c>
    </row>
    <row r="528" spans="1:12" hidden="1" x14ac:dyDescent="0.3">
      <c r="A528">
        <v>1899817</v>
      </c>
      <c r="B528">
        <v>20251205</v>
      </c>
      <c r="C528">
        <v>656</v>
      </c>
      <c r="D528">
        <v>260955.03579242638</v>
      </c>
      <c r="E528" s="123" t="s">
        <v>1568</v>
      </c>
      <c r="F528" s="123" t="s">
        <v>1572</v>
      </c>
      <c r="G528" s="123" t="s">
        <v>1570</v>
      </c>
      <c r="H528" s="95">
        <v>45996</v>
      </c>
      <c r="I528">
        <v>5003</v>
      </c>
      <c r="J528" s="123" t="s">
        <v>1153</v>
      </c>
      <c r="K528" s="123" t="s">
        <v>1154</v>
      </c>
      <c r="L528" s="123" t="e">
        <f>VLOOKUP(Fact_AUM_FyoCapital[[#This Row],[Dim_Empresas.CUIT]],'clientes SQL'!C:D,2,0)</f>
        <v>#N/A</v>
      </c>
    </row>
    <row r="529" spans="1:12" hidden="1" x14ac:dyDescent="0.3">
      <c r="A529">
        <v>1885597</v>
      </c>
      <c r="B529">
        <v>20251205</v>
      </c>
      <c r="C529">
        <v>12867</v>
      </c>
      <c r="D529">
        <v>70005.14</v>
      </c>
      <c r="E529" s="123" t="s">
        <v>1566</v>
      </c>
      <c r="F529" s="123" t="s">
        <v>1579</v>
      </c>
      <c r="G529" s="123"/>
      <c r="H529" s="95">
        <v>45996</v>
      </c>
      <c r="I529">
        <v>36089</v>
      </c>
      <c r="J529" s="123" t="s">
        <v>557</v>
      </c>
      <c r="K529" s="123" t="s">
        <v>1086</v>
      </c>
      <c r="L529" s="123" t="e">
        <f>VLOOKUP(Fact_AUM_FyoCapital[[#This Row],[Dim_Empresas.CUIT]],'clientes SQL'!C:D,2,0)</f>
        <v>#N/A</v>
      </c>
    </row>
    <row r="530" spans="1:12" hidden="1" x14ac:dyDescent="0.3">
      <c r="A530">
        <v>1901197</v>
      </c>
      <c r="B530">
        <v>20251205</v>
      </c>
      <c r="C530">
        <v>13663</v>
      </c>
      <c r="D530">
        <v>286.18348527349229</v>
      </c>
      <c r="E530" s="123" t="s">
        <v>1568</v>
      </c>
      <c r="F530" s="123" t="s">
        <v>1572</v>
      </c>
      <c r="G530" s="123" t="s">
        <v>1574</v>
      </c>
      <c r="H530" s="95">
        <v>45996</v>
      </c>
      <c r="I530">
        <v>36828</v>
      </c>
      <c r="J530" s="123" t="s">
        <v>559</v>
      </c>
      <c r="K530" s="123" t="s">
        <v>1015</v>
      </c>
      <c r="L530" s="123" t="e">
        <f>VLOOKUP(Fact_AUM_FyoCapital[[#This Row],[Dim_Empresas.CUIT]],'clientes SQL'!C:D,2,0)</f>
        <v>#N/A</v>
      </c>
    </row>
    <row r="531" spans="1:12" hidden="1" x14ac:dyDescent="0.3">
      <c r="A531">
        <v>1877437</v>
      </c>
      <c r="B531">
        <v>20251205</v>
      </c>
      <c r="C531">
        <v>1523</v>
      </c>
      <c r="D531">
        <v>12341.739130434782</v>
      </c>
      <c r="E531" s="123" t="s">
        <v>1566</v>
      </c>
      <c r="F531" s="123" t="s">
        <v>1573</v>
      </c>
      <c r="G531" s="123"/>
      <c r="H531" s="95">
        <v>45996</v>
      </c>
      <c r="I531">
        <v>20093</v>
      </c>
      <c r="J531" s="123" t="s">
        <v>987</v>
      </c>
      <c r="K531" s="123" t="s">
        <v>988</v>
      </c>
      <c r="L531" s="123" t="e">
        <f>VLOOKUP(Fact_AUM_FyoCapital[[#This Row],[Dim_Empresas.CUIT]],'clientes SQL'!C:D,2,0)</f>
        <v>#N/A</v>
      </c>
    </row>
    <row r="532" spans="1:12" hidden="1" x14ac:dyDescent="0.3">
      <c r="A532">
        <v>1836817</v>
      </c>
      <c r="B532">
        <v>20251205</v>
      </c>
      <c r="C532">
        <v>626</v>
      </c>
      <c r="D532">
        <v>12247.5</v>
      </c>
      <c r="E532" s="123" t="s">
        <v>1566</v>
      </c>
      <c r="F532" s="123" t="s">
        <v>1573</v>
      </c>
      <c r="G532" s="123"/>
      <c r="H532" s="95">
        <v>45996</v>
      </c>
      <c r="I532">
        <v>580</v>
      </c>
      <c r="J532" s="123" t="s">
        <v>345</v>
      </c>
      <c r="K532" s="123" t="s">
        <v>979</v>
      </c>
      <c r="L532" s="123" t="e">
        <f>VLOOKUP(Fact_AUM_FyoCapital[[#This Row],[Dim_Empresas.CUIT]],'clientes SQL'!C:D,2,0)</f>
        <v>#N/A</v>
      </c>
    </row>
    <row r="533" spans="1:12" hidden="1" x14ac:dyDescent="0.3">
      <c r="A533">
        <v>1844377</v>
      </c>
      <c r="B533">
        <v>20251205</v>
      </c>
      <c r="C533">
        <v>7837</v>
      </c>
      <c r="D533">
        <v>3818.97</v>
      </c>
      <c r="E533" s="123" t="s">
        <v>1566</v>
      </c>
      <c r="F533" s="123" t="s">
        <v>1571</v>
      </c>
      <c r="G533" s="123"/>
      <c r="H533" s="95">
        <v>45996</v>
      </c>
      <c r="I533">
        <v>35127</v>
      </c>
      <c r="J533" s="123" t="s">
        <v>306</v>
      </c>
      <c r="K533" s="123" t="s">
        <v>1128</v>
      </c>
      <c r="L533" s="123" t="e">
        <f>VLOOKUP(Fact_AUM_FyoCapital[[#This Row],[Dim_Empresas.CUIT]],'clientes SQL'!C:D,2,0)</f>
        <v>#N/A</v>
      </c>
    </row>
    <row r="534" spans="1:12" hidden="1" x14ac:dyDescent="0.3">
      <c r="A534">
        <v>1901017</v>
      </c>
      <c r="B534">
        <v>20251205</v>
      </c>
      <c r="C534">
        <v>13663</v>
      </c>
      <c r="D534">
        <v>0</v>
      </c>
      <c r="E534" s="123"/>
      <c r="F534" s="123"/>
      <c r="G534" s="123"/>
      <c r="H534" s="95">
        <v>45996</v>
      </c>
      <c r="I534">
        <v>36828</v>
      </c>
      <c r="J534" s="123" t="s">
        <v>559</v>
      </c>
      <c r="K534" s="123" t="s">
        <v>1015</v>
      </c>
      <c r="L534" s="123" t="e">
        <f>VLOOKUP(Fact_AUM_FyoCapital[[#This Row],[Dim_Empresas.CUIT]],'clientes SQL'!C:D,2,0)</f>
        <v>#N/A</v>
      </c>
    </row>
    <row r="535" spans="1:12" hidden="1" x14ac:dyDescent="0.3">
      <c r="A535">
        <v>1842637</v>
      </c>
      <c r="B535">
        <v>20251205</v>
      </c>
      <c r="C535">
        <v>9936</v>
      </c>
      <c r="D535">
        <v>1565.8485273492286</v>
      </c>
      <c r="E535" s="123" t="s">
        <v>1566</v>
      </c>
      <c r="F535" s="123" t="s">
        <v>1580</v>
      </c>
      <c r="G535" s="123"/>
      <c r="H535" s="95">
        <v>45996</v>
      </c>
      <c r="I535">
        <v>35436</v>
      </c>
      <c r="J535" s="123" t="s">
        <v>300</v>
      </c>
      <c r="K535" s="123" t="s">
        <v>1037</v>
      </c>
      <c r="L535" s="123" t="e">
        <f>VLOOKUP(Fact_AUM_FyoCapital[[#This Row],[Dim_Empresas.CUIT]],'clientes SQL'!C:D,2,0)</f>
        <v>#N/A</v>
      </c>
    </row>
    <row r="536" spans="1:12" hidden="1" x14ac:dyDescent="0.3">
      <c r="A536">
        <v>1900777</v>
      </c>
      <c r="B536">
        <v>20251205</v>
      </c>
      <c r="C536">
        <v>13663</v>
      </c>
      <c r="D536">
        <v>2418.0523211781206</v>
      </c>
      <c r="E536" s="123" t="s">
        <v>1566</v>
      </c>
      <c r="F536" s="123" t="s">
        <v>1571</v>
      </c>
      <c r="G536" s="123"/>
      <c r="H536" s="95">
        <v>45996</v>
      </c>
      <c r="I536">
        <v>36828</v>
      </c>
      <c r="J536" s="123" t="s">
        <v>559</v>
      </c>
      <c r="K536" s="123" t="s">
        <v>1015</v>
      </c>
      <c r="L536" s="123" t="e">
        <f>VLOOKUP(Fact_AUM_FyoCapital[[#This Row],[Dim_Empresas.CUIT]],'clientes SQL'!C:D,2,0)</f>
        <v>#N/A</v>
      </c>
    </row>
    <row r="537" spans="1:12" hidden="1" x14ac:dyDescent="0.3">
      <c r="A537">
        <v>1867897</v>
      </c>
      <c r="B537">
        <v>20251205</v>
      </c>
      <c r="C537">
        <v>5348</v>
      </c>
      <c r="D537">
        <v>5272.5444249649363</v>
      </c>
      <c r="E537" s="123" t="s">
        <v>1568</v>
      </c>
      <c r="F537" s="123" t="s">
        <v>1572</v>
      </c>
      <c r="G537" s="123" t="s">
        <v>1570</v>
      </c>
      <c r="H537" s="95">
        <v>45996</v>
      </c>
      <c r="I537">
        <v>33543</v>
      </c>
      <c r="J537" s="123" t="s">
        <v>458</v>
      </c>
      <c r="K537" s="123" t="s">
        <v>1115</v>
      </c>
      <c r="L537" s="123" t="e">
        <f>VLOOKUP(Fact_AUM_FyoCapital[[#This Row],[Dim_Empresas.CUIT]],'clientes SQL'!C:D,2,0)</f>
        <v>#N/A</v>
      </c>
    </row>
    <row r="538" spans="1:12" hidden="1" x14ac:dyDescent="0.3">
      <c r="A538">
        <v>1885537</v>
      </c>
      <c r="B538">
        <v>20251205</v>
      </c>
      <c r="C538">
        <v>12867</v>
      </c>
      <c r="D538">
        <v>161507.14000000001</v>
      </c>
      <c r="E538" s="123" t="s">
        <v>1566</v>
      </c>
      <c r="F538" s="123" t="s">
        <v>1579</v>
      </c>
      <c r="G538" s="123"/>
      <c r="H538" s="95">
        <v>45996</v>
      </c>
      <c r="I538">
        <v>36089</v>
      </c>
      <c r="J538" s="123" t="s">
        <v>557</v>
      </c>
      <c r="K538" s="123" t="s">
        <v>1086</v>
      </c>
      <c r="L538" s="123" t="e">
        <f>VLOOKUP(Fact_AUM_FyoCapital[[#This Row],[Dim_Empresas.CUIT]],'clientes SQL'!C:D,2,0)</f>
        <v>#N/A</v>
      </c>
    </row>
    <row r="539" spans="1:12" hidden="1" x14ac:dyDescent="0.3">
      <c r="A539">
        <v>2621429</v>
      </c>
      <c r="B539">
        <v>20251205</v>
      </c>
      <c r="C539">
        <v>509</v>
      </c>
      <c r="D539">
        <v>-12370.37</v>
      </c>
      <c r="E539" s="123" t="s">
        <v>1563</v>
      </c>
      <c r="F539" s="123" t="s">
        <v>801</v>
      </c>
      <c r="G539" s="123"/>
      <c r="H539" s="95">
        <v>45996</v>
      </c>
      <c r="I539">
        <v>8545</v>
      </c>
      <c r="J539" s="123" t="s">
        <v>414</v>
      </c>
      <c r="K539" s="123" t="s">
        <v>1107</v>
      </c>
      <c r="L539" s="123" t="e">
        <f>VLOOKUP(Fact_AUM_FyoCapital[[#This Row],[Dim_Empresas.CUIT]],'clientes SQL'!C:D,2,0)</f>
        <v>#N/A</v>
      </c>
    </row>
    <row r="540" spans="1:12" hidden="1" x14ac:dyDescent="0.3">
      <c r="A540">
        <v>1830517</v>
      </c>
      <c r="B540">
        <v>20251205</v>
      </c>
      <c r="C540">
        <v>8985</v>
      </c>
      <c r="D540">
        <v>85931.499880785414</v>
      </c>
      <c r="E540" s="123" t="s">
        <v>1568</v>
      </c>
      <c r="F540" s="123" t="s">
        <v>1572</v>
      </c>
      <c r="G540" s="123" t="s">
        <v>1570</v>
      </c>
      <c r="H540" s="95">
        <v>45996</v>
      </c>
      <c r="I540">
        <v>35359</v>
      </c>
      <c r="J540" s="123" t="s">
        <v>208</v>
      </c>
      <c r="K540" s="123" t="s">
        <v>997</v>
      </c>
      <c r="L540" s="123" t="e">
        <f>VLOOKUP(Fact_AUM_FyoCapital[[#This Row],[Dim_Empresas.CUIT]],'clientes SQL'!C:D,2,0)</f>
        <v>#N/A</v>
      </c>
    </row>
    <row r="541" spans="1:12" hidden="1" x14ac:dyDescent="0.3">
      <c r="A541">
        <v>1881937</v>
      </c>
      <c r="B541">
        <v>20251205</v>
      </c>
      <c r="C541">
        <v>633</v>
      </c>
      <c r="D541">
        <v>49364.482468443195</v>
      </c>
      <c r="E541" s="123" t="s">
        <v>1566</v>
      </c>
      <c r="F541" s="123" t="s">
        <v>1582</v>
      </c>
      <c r="G541" s="123"/>
      <c r="H541" s="95">
        <v>45996</v>
      </c>
      <c r="I541">
        <v>4875</v>
      </c>
      <c r="J541" s="123" t="s">
        <v>546</v>
      </c>
      <c r="K541" s="123" t="s">
        <v>1023</v>
      </c>
      <c r="L541" s="123" t="e">
        <f>VLOOKUP(Fact_AUM_FyoCapital[[#This Row],[Dim_Empresas.CUIT]],'clientes SQL'!C:D,2,0)</f>
        <v>#N/A</v>
      </c>
    </row>
    <row r="542" spans="1:12" hidden="1" x14ac:dyDescent="0.3">
      <c r="A542">
        <v>1877797</v>
      </c>
      <c r="B542">
        <v>20251205</v>
      </c>
      <c r="C542">
        <v>1523</v>
      </c>
      <c r="D542">
        <v>135859.59</v>
      </c>
      <c r="E542" s="123" t="s">
        <v>1566</v>
      </c>
      <c r="F542" s="123" t="s">
        <v>1579</v>
      </c>
      <c r="G542" s="123"/>
      <c r="H542" s="95">
        <v>45996</v>
      </c>
      <c r="I542">
        <v>20093</v>
      </c>
      <c r="J542" s="123" t="s">
        <v>987</v>
      </c>
      <c r="K542" s="123" t="s">
        <v>988</v>
      </c>
      <c r="L542" s="123" t="e">
        <f>VLOOKUP(Fact_AUM_FyoCapital[[#This Row],[Dim_Empresas.CUIT]],'clientes SQL'!C:D,2,0)</f>
        <v>#N/A</v>
      </c>
    </row>
    <row r="543" spans="1:12" hidden="1" x14ac:dyDescent="0.3">
      <c r="A543">
        <v>1845577</v>
      </c>
      <c r="B543">
        <v>20251205</v>
      </c>
      <c r="C543">
        <v>9936</v>
      </c>
      <c r="D543">
        <v>62.507524544179518</v>
      </c>
      <c r="E543" s="123" t="s">
        <v>1568</v>
      </c>
      <c r="F543" s="123" t="s">
        <v>1572</v>
      </c>
      <c r="G543" s="123" t="s">
        <v>1570</v>
      </c>
      <c r="H543" s="95">
        <v>45996</v>
      </c>
      <c r="I543">
        <v>35436</v>
      </c>
      <c r="J543" s="123" t="s">
        <v>300</v>
      </c>
      <c r="K543" s="123" t="s">
        <v>1037</v>
      </c>
      <c r="L543" s="123" t="e">
        <f>VLOOKUP(Fact_AUM_FyoCapital[[#This Row],[Dim_Empresas.CUIT]],'clientes SQL'!C:D,2,0)</f>
        <v>#N/A</v>
      </c>
    </row>
    <row r="544" spans="1:12" hidden="1" x14ac:dyDescent="0.3">
      <c r="A544">
        <v>1900417</v>
      </c>
      <c r="B544">
        <v>20251205</v>
      </c>
      <c r="C544">
        <v>13663</v>
      </c>
      <c r="D544">
        <v>1073.7517531556803</v>
      </c>
      <c r="E544" s="123" t="s">
        <v>1566</v>
      </c>
      <c r="F544" s="123" t="s">
        <v>1582</v>
      </c>
      <c r="G544" s="123"/>
      <c r="H544" s="95">
        <v>45996</v>
      </c>
      <c r="I544">
        <v>36828</v>
      </c>
      <c r="J544" s="123" t="s">
        <v>559</v>
      </c>
      <c r="K544" s="123" t="s">
        <v>1015</v>
      </c>
      <c r="L544" s="123" t="e">
        <f>VLOOKUP(Fact_AUM_FyoCapital[[#This Row],[Dim_Empresas.CUIT]],'clientes SQL'!C:D,2,0)</f>
        <v>#N/A</v>
      </c>
    </row>
    <row r="545" spans="1:12" hidden="1" x14ac:dyDescent="0.3">
      <c r="A545">
        <v>1838197</v>
      </c>
      <c r="B545">
        <v>20251205</v>
      </c>
      <c r="C545">
        <v>5235</v>
      </c>
      <c r="D545">
        <v>155125.79999999999</v>
      </c>
      <c r="E545" s="123" t="s">
        <v>1566</v>
      </c>
      <c r="F545" s="123" t="s">
        <v>1573</v>
      </c>
      <c r="G545" s="123"/>
      <c r="H545" s="95">
        <v>45996</v>
      </c>
      <c r="I545">
        <v>33099</v>
      </c>
      <c r="J545" s="123" t="s">
        <v>346</v>
      </c>
      <c r="K545" s="123" t="s">
        <v>1118</v>
      </c>
      <c r="L545" s="123" t="e">
        <f>VLOOKUP(Fact_AUM_FyoCapital[[#This Row],[Dim_Empresas.CUIT]],'clientes SQL'!C:D,2,0)</f>
        <v>#N/A</v>
      </c>
    </row>
    <row r="546" spans="1:12" hidden="1" x14ac:dyDescent="0.3">
      <c r="A546">
        <v>1835977</v>
      </c>
      <c r="B546">
        <v>20251205</v>
      </c>
      <c r="C546">
        <v>626</v>
      </c>
      <c r="D546">
        <v>0</v>
      </c>
      <c r="E546" s="123"/>
      <c r="F546" s="123"/>
      <c r="G546" s="123"/>
      <c r="H546" s="95">
        <v>45996</v>
      </c>
      <c r="I546">
        <v>580</v>
      </c>
      <c r="J546" s="123" t="s">
        <v>345</v>
      </c>
      <c r="K546" s="123" t="s">
        <v>979</v>
      </c>
      <c r="L546" s="123" t="e">
        <f>VLOOKUP(Fact_AUM_FyoCapital[[#This Row],[Dim_Empresas.CUIT]],'clientes SQL'!C:D,2,0)</f>
        <v>#N/A</v>
      </c>
    </row>
    <row r="547" spans="1:12" hidden="1" x14ac:dyDescent="0.3">
      <c r="A547">
        <v>1836457</v>
      </c>
      <c r="B547">
        <v>20251205</v>
      </c>
      <c r="C547">
        <v>626</v>
      </c>
      <c r="D547">
        <v>206280.59</v>
      </c>
      <c r="E547" s="123" t="s">
        <v>1566</v>
      </c>
      <c r="F547" s="123" t="s">
        <v>1571</v>
      </c>
      <c r="G547" s="123"/>
      <c r="H547" s="95">
        <v>45996</v>
      </c>
      <c r="I547">
        <v>580</v>
      </c>
      <c r="J547" s="123" t="s">
        <v>345</v>
      </c>
      <c r="K547" s="123" t="s">
        <v>979</v>
      </c>
      <c r="L547" s="123" t="e">
        <f>VLOOKUP(Fact_AUM_FyoCapital[[#This Row],[Dim_Empresas.CUIT]],'clientes SQL'!C:D,2,0)</f>
        <v>#N/A</v>
      </c>
    </row>
    <row r="548" spans="1:12" hidden="1" x14ac:dyDescent="0.3">
      <c r="A548">
        <v>1843417</v>
      </c>
      <c r="B548">
        <v>20251205</v>
      </c>
      <c r="C548">
        <v>9936</v>
      </c>
      <c r="D548">
        <v>16.787159887798037</v>
      </c>
      <c r="E548" s="123" t="s">
        <v>1568</v>
      </c>
      <c r="F548" s="123" t="s">
        <v>1572</v>
      </c>
      <c r="G548" s="123" t="s">
        <v>1570</v>
      </c>
      <c r="H548" s="95">
        <v>45996</v>
      </c>
      <c r="I548">
        <v>35436</v>
      </c>
      <c r="J548" s="123" t="s">
        <v>300</v>
      </c>
      <c r="K548" s="123" t="s">
        <v>1037</v>
      </c>
      <c r="L548" s="123" t="e">
        <f>VLOOKUP(Fact_AUM_FyoCapital[[#This Row],[Dim_Empresas.CUIT]],'clientes SQL'!C:D,2,0)</f>
        <v>#N/A</v>
      </c>
    </row>
    <row r="549" spans="1:12" hidden="1" x14ac:dyDescent="0.3">
      <c r="A549">
        <v>1837657</v>
      </c>
      <c r="B549">
        <v>20251205</v>
      </c>
      <c r="C549">
        <v>626</v>
      </c>
      <c r="D549">
        <v>644664.76157082745</v>
      </c>
      <c r="E549" s="123" t="s">
        <v>1566</v>
      </c>
      <c r="F549" s="123" t="s">
        <v>1573</v>
      </c>
      <c r="G549" s="123"/>
      <c r="H549" s="95">
        <v>45996</v>
      </c>
      <c r="I549">
        <v>580</v>
      </c>
      <c r="J549" s="123" t="s">
        <v>345</v>
      </c>
      <c r="K549" s="123" t="s">
        <v>979</v>
      </c>
      <c r="L549" s="123" t="e">
        <f>VLOOKUP(Fact_AUM_FyoCapital[[#This Row],[Dim_Empresas.CUIT]],'clientes SQL'!C:D,2,0)</f>
        <v>#N/A</v>
      </c>
    </row>
    <row r="550" spans="1:12" hidden="1" x14ac:dyDescent="0.3">
      <c r="A550">
        <v>1877557</v>
      </c>
      <c r="B550">
        <v>20251205</v>
      </c>
      <c r="C550">
        <v>1523</v>
      </c>
      <c r="D550" s="6">
        <v>122550</v>
      </c>
      <c r="E550" s="123" t="s">
        <v>1566</v>
      </c>
      <c r="F550" s="123" t="s">
        <v>1579</v>
      </c>
      <c r="G550" s="123"/>
      <c r="H550" s="95">
        <v>45996</v>
      </c>
      <c r="I550">
        <v>20093</v>
      </c>
      <c r="J550" s="123" t="s">
        <v>987</v>
      </c>
      <c r="K550" s="123" t="s">
        <v>988</v>
      </c>
      <c r="L550" s="123" t="e">
        <f>VLOOKUP(Fact_AUM_FyoCapital[[#This Row],[Dim_Empresas.CUIT]],'clientes SQL'!C:D,2,0)</f>
        <v>#N/A</v>
      </c>
    </row>
    <row r="551" spans="1:12" hidden="1" x14ac:dyDescent="0.3">
      <c r="A551">
        <v>1900657</v>
      </c>
      <c r="B551">
        <v>20251205</v>
      </c>
      <c r="C551">
        <v>13663</v>
      </c>
      <c r="D551" s="6">
        <v>1335.0596072931276</v>
      </c>
      <c r="E551" s="123" t="s">
        <v>1566</v>
      </c>
      <c r="F551" s="123" t="s">
        <v>1573</v>
      </c>
      <c r="G551" s="123"/>
      <c r="H551" s="95">
        <v>45996</v>
      </c>
      <c r="I551">
        <v>36828</v>
      </c>
      <c r="J551" s="123" t="s">
        <v>559</v>
      </c>
      <c r="K551" s="123" t="s">
        <v>1015</v>
      </c>
      <c r="L551" s="123" t="e">
        <f>VLOOKUP(Fact_AUM_FyoCapital[[#This Row],[Dim_Empresas.CUIT]],'clientes SQL'!C:D,2,0)</f>
        <v>#N/A</v>
      </c>
    </row>
    <row r="552" spans="1:12" hidden="1" x14ac:dyDescent="0.3">
      <c r="A552">
        <v>2605349</v>
      </c>
      <c r="B552">
        <v>20251205</v>
      </c>
      <c r="C552">
        <v>10090</v>
      </c>
      <c r="D552">
        <v>15458.68</v>
      </c>
      <c r="E552" s="123" t="s">
        <v>1566</v>
      </c>
      <c r="F552" s="123" t="s">
        <v>1571</v>
      </c>
      <c r="G552" s="123"/>
      <c r="H552" s="95">
        <v>45996</v>
      </c>
      <c r="I552">
        <v>35555</v>
      </c>
      <c r="J552" s="123" t="s">
        <v>618</v>
      </c>
      <c r="K552" s="123" t="s">
        <v>1020</v>
      </c>
      <c r="L552" s="123" t="e">
        <f>VLOOKUP(Fact_AUM_FyoCapital[[#This Row],[Dim_Empresas.CUIT]],'clientes SQL'!C:D,2,0)</f>
        <v>#N/A</v>
      </c>
    </row>
    <row r="553" spans="1:12" hidden="1" x14ac:dyDescent="0.3">
      <c r="A553">
        <v>1900477</v>
      </c>
      <c r="B553">
        <v>20251205</v>
      </c>
      <c r="C553">
        <v>13663</v>
      </c>
      <c r="D553">
        <v>3332.9733520336604</v>
      </c>
      <c r="E553" s="123" t="s">
        <v>1566</v>
      </c>
      <c r="F553" s="123" t="s">
        <v>1582</v>
      </c>
      <c r="G553" s="123"/>
      <c r="H553" s="95">
        <v>45996</v>
      </c>
      <c r="I553">
        <v>36828</v>
      </c>
      <c r="J553" s="123" t="s">
        <v>559</v>
      </c>
      <c r="K553" s="123" t="s">
        <v>1015</v>
      </c>
      <c r="L553" s="123" t="e">
        <f>VLOOKUP(Fact_AUM_FyoCapital[[#This Row],[Dim_Empresas.CUIT]],'clientes SQL'!C:D,2,0)</f>
        <v>#N/A</v>
      </c>
    </row>
    <row r="554" spans="1:12" hidden="1" x14ac:dyDescent="0.3">
      <c r="A554">
        <v>2616149</v>
      </c>
      <c r="B554">
        <v>20251205</v>
      </c>
      <c r="C554">
        <v>9936</v>
      </c>
      <c r="D554">
        <v>0.1</v>
      </c>
      <c r="E554" s="123" t="s">
        <v>1563</v>
      </c>
      <c r="F554" s="123" t="s">
        <v>950</v>
      </c>
      <c r="G554" s="123"/>
      <c r="H554" s="95">
        <v>45996</v>
      </c>
      <c r="I554">
        <v>35436</v>
      </c>
      <c r="J554" s="123" t="s">
        <v>300</v>
      </c>
      <c r="K554" s="123" t="s">
        <v>1037</v>
      </c>
      <c r="L554" s="123" t="e">
        <f>VLOOKUP(Fact_AUM_FyoCapital[[#This Row],[Dim_Empresas.CUIT]],'clientes SQL'!C:D,2,0)</f>
        <v>#N/A</v>
      </c>
    </row>
    <row r="555" spans="1:12" hidden="1" x14ac:dyDescent="0.3">
      <c r="A555">
        <v>2616629</v>
      </c>
      <c r="B555">
        <v>20251205</v>
      </c>
      <c r="C555">
        <v>10103</v>
      </c>
      <c r="D555">
        <v>0.5</v>
      </c>
      <c r="E555" s="123" t="s">
        <v>1563</v>
      </c>
      <c r="F555" s="123" t="s">
        <v>188</v>
      </c>
      <c r="G555" s="123"/>
      <c r="H555" s="95">
        <v>45996</v>
      </c>
      <c r="I555">
        <v>35568</v>
      </c>
      <c r="J555" s="123" t="s">
        <v>299</v>
      </c>
      <c r="K555" s="123" t="s">
        <v>1202</v>
      </c>
      <c r="L555" s="123" t="e">
        <f>VLOOKUP(Fact_AUM_FyoCapital[[#This Row],[Dim_Empresas.CUIT]],'clientes SQL'!C:D,2,0)</f>
        <v>#N/A</v>
      </c>
    </row>
    <row r="556" spans="1:12" hidden="1" x14ac:dyDescent="0.3">
      <c r="A556">
        <v>1848217</v>
      </c>
      <c r="B556">
        <v>20251205</v>
      </c>
      <c r="C556">
        <v>13761</v>
      </c>
      <c r="D556">
        <v>5973.28</v>
      </c>
      <c r="E556" s="123" t="s">
        <v>1566</v>
      </c>
      <c r="F556" s="123" t="s">
        <v>1579</v>
      </c>
      <c r="G556" s="123"/>
      <c r="H556" s="95">
        <v>45996</v>
      </c>
      <c r="I556">
        <v>36914</v>
      </c>
      <c r="J556" s="123" t="s">
        <v>315</v>
      </c>
      <c r="K556" s="123" t="s">
        <v>1106</v>
      </c>
      <c r="L556" s="123" t="e">
        <f>VLOOKUP(Fact_AUM_FyoCapital[[#This Row],[Dim_Empresas.CUIT]],'clientes SQL'!C:D,2,0)</f>
        <v>#N/A</v>
      </c>
    </row>
    <row r="557" spans="1:12" hidden="1" x14ac:dyDescent="0.3">
      <c r="A557">
        <v>1878517</v>
      </c>
      <c r="B557">
        <v>20251205</v>
      </c>
      <c r="C557">
        <v>1522</v>
      </c>
      <c r="D557">
        <v>8.4930364656381485</v>
      </c>
      <c r="E557" s="123" t="s">
        <v>1568</v>
      </c>
      <c r="F557" s="123" t="s">
        <v>1572</v>
      </c>
      <c r="G557" s="123" t="s">
        <v>1583</v>
      </c>
      <c r="H557" s="95">
        <v>45996</v>
      </c>
      <c r="I557">
        <v>20094</v>
      </c>
      <c r="J557" s="123" t="s">
        <v>488</v>
      </c>
      <c r="K557" s="123" t="s">
        <v>1050</v>
      </c>
      <c r="L557" s="123" t="e">
        <f>VLOOKUP(Fact_AUM_FyoCapital[[#This Row],[Dim_Empresas.CUIT]],'clientes SQL'!C:D,2,0)</f>
        <v>#N/A</v>
      </c>
    </row>
    <row r="558" spans="1:12" hidden="1" x14ac:dyDescent="0.3">
      <c r="A558">
        <v>1892617</v>
      </c>
      <c r="B558">
        <v>20251205</v>
      </c>
      <c r="C558">
        <v>3479</v>
      </c>
      <c r="D558">
        <v>417374.97184431978</v>
      </c>
      <c r="E558" s="123" t="s">
        <v>1566</v>
      </c>
      <c r="F558" s="123" t="s">
        <v>1571</v>
      </c>
      <c r="G558" s="123"/>
      <c r="H558" s="95">
        <v>45996</v>
      </c>
      <c r="I558">
        <v>31936</v>
      </c>
      <c r="J558" s="123" t="s">
        <v>456</v>
      </c>
      <c r="K558" s="123" t="s">
        <v>1119</v>
      </c>
      <c r="L558" s="123" t="e">
        <f>VLOOKUP(Fact_AUM_FyoCapital[[#This Row],[Dim_Empresas.CUIT]],'clientes SQL'!C:D,2,0)</f>
        <v>#N/A</v>
      </c>
    </row>
    <row r="559" spans="1:12" hidden="1" x14ac:dyDescent="0.3">
      <c r="A559">
        <v>1898677</v>
      </c>
      <c r="B559">
        <v>20251205</v>
      </c>
      <c r="C559">
        <v>12922</v>
      </c>
      <c r="D559">
        <v>32518.39</v>
      </c>
      <c r="E559" s="123" t="s">
        <v>1566</v>
      </c>
      <c r="F559" s="123" t="s">
        <v>1571</v>
      </c>
      <c r="G559" s="123"/>
      <c r="H559" s="95">
        <v>45996</v>
      </c>
      <c r="I559">
        <v>36140</v>
      </c>
      <c r="J559" s="123" t="s">
        <v>128</v>
      </c>
      <c r="K559" s="123" t="s">
        <v>1042</v>
      </c>
      <c r="L559" s="123">
        <f>VLOOKUP(Fact_AUM_FyoCapital[[#This Row],[Dim_Empresas.CUIT]],'clientes SQL'!C:D,2,0)</f>
        <v>13006</v>
      </c>
    </row>
    <row r="560" spans="1:12" hidden="1" x14ac:dyDescent="0.3">
      <c r="A560">
        <v>1847617</v>
      </c>
      <c r="B560">
        <v>20251205</v>
      </c>
      <c r="C560">
        <v>13761</v>
      </c>
      <c r="D560">
        <v>430.43478260869563</v>
      </c>
      <c r="E560" s="123" t="s">
        <v>1566</v>
      </c>
      <c r="F560" s="123" t="s">
        <v>1579</v>
      </c>
      <c r="G560" s="123"/>
      <c r="H560" s="95">
        <v>45996</v>
      </c>
      <c r="I560">
        <v>36914</v>
      </c>
      <c r="J560" s="123" t="s">
        <v>315</v>
      </c>
      <c r="K560" s="123" t="s">
        <v>1106</v>
      </c>
      <c r="L560" s="123" t="e">
        <f>VLOOKUP(Fact_AUM_FyoCapital[[#This Row],[Dim_Empresas.CUIT]],'clientes SQL'!C:D,2,0)</f>
        <v>#N/A</v>
      </c>
    </row>
    <row r="561" spans="1:12" hidden="1" x14ac:dyDescent="0.3">
      <c r="A561">
        <v>2643509</v>
      </c>
      <c r="B561">
        <v>20251205</v>
      </c>
      <c r="C561">
        <v>7012</v>
      </c>
      <c r="D561">
        <v>-5.63</v>
      </c>
      <c r="E561" s="123" t="s">
        <v>1563</v>
      </c>
      <c r="F561" s="123" t="s">
        <v>950</v>
      </c>
      <c r="G561" s="123"/>
      <c r="H561" s="95">
        <v>45996</v>
      </c>
      <c r="I561">
        <v>34708</v>
      </c>
      <c r="J561" s="123" t="s">
        <v>626</v>
      </c>
      <c r="K561" s="123" t="s">
        <v>1203</v>
      </c>
      <c r="L561" s="123" t="e">
        <f>VLOOKUP(Fact_AUM_FyoCapital[[#This Row],[Dim_Empresas.CUIT]],'clientes SQL'!C:D,2,0)</f>
        <v>#N/A</v>
      </c>
    </row>
    <row r="562" spans="1:12" hidden="1" x14ac:dyDescent="0.3">
      <c r="A562">
        <v>1836277</v>
      </c>
      <c r="B562">
        <v>20251205</v>
      </c>
      <c r="C562">
        <v>626</v>
      </c>
      <c r="D562">
        <v>9081.42</v>
      </c>
      <c r="E562" s="123" t="s">
        <v>1566</v>
      </c>
      <c r="F562" s="123" t="s">
        <v>1578</v>
      </c>
      <c r="G562" s="123"/>
      <c r="H562" s="95">
        <v>45996</v>
      </c>
      <c r="I562">
        <v>580</v>
      </c>
      <c r="J562" s="123" t="s">
        <v>345</v>
      </c>
      <c r="K562" s="123" t="s">
        <v>979</v>
      </c>
      <c r="L562" s="123" t="e">
        <f>VLOOKUP(Fact_AUM_FyoCapital[[#This Row],[Dim_Empresas.CUIT]],'clientes SQL'!C:D,2,0)</f>
        <v>#N/A</v>
      </c>
    </row>
    <row r="563" spans="1:12" hidden="1" x14ac:dyDescent="0.3">
      <c r="A563">
        <v>1881877</v>
      </c>
      <c r="B563">
        <v>20251205</v>
      </c>
      <c r="C563">
        <v>1151</v>
      </c>
      <c r="D563">
        <v>2707.3178471248248</v>
      </c>
      <c r="E563" s="123" t="s">
        <v>1568</v>
      </c>
      <c r="F563" s="123" t="s">
        <v>1572</v>
      </c>
      <c r="G563" s="123" t="s">
        <v>1570</v>
      </c>
      <c r="H563" s="95">
        <v>45996</v>
      </c>
      <c r="I563">
        <v>13942</v>
      </c>
      <c r="J563" s="123" t="s">
        <v>507</v>
      </c>
      <c r="K563" s="123" t="s">
        <v>1117</v>
      </c>
      <c r="L563" s="123" t="e">
        <f>VLOOKUP(Fact_AUM_FyoCapital[[#This Row],[Dim_Empresas.CUIT]],'clientes SQL'!C:D,2,0)</f>
        <v>#N/A</v>
      </c>
    </row>
    <row r="564" spans="1:12" hidden="1" x14ac:dyDescent="0.3">
      <c r="A564">
        <v>2639729</v>
      </c>
      <c r="B564">
        <v>20251205</v>
      </c>
      <c r="C564">
        <v>13663</v>
      </c>
      <c r="D564">
        <v>5.1546283309957923</v>
      </c>
      <c r="E564" s="123" t="s">
        <v>1563</v>
      </c>
      <c r="F564" s="123" t="s">
        <v>185</v>
      </c>
      <c r="G564" s="123"/>
      <c r="H564" s="95">
        <v>45996</v>
      </c>
      <c r="I564">
        <v>36828</v>
      </c>
      <c r="J564" s="123" t="s">
        <v>559</v>
      </c>
      <c r="K564" s="123" t="s">
        <v>1015</v>
      </c>
      <c r="L564" s="123" t="e">
        <f>VLOOKUP(Fact_AUM_FyoCapital[[#This Row],[Dim_Empresas.CUIT]],'clientes SQL'!C:D,2,0)</f>
        <v>#N/A</v>
      </c>
    </row>
    <row r="565" spans="1:12" hidden="1" x14ac:dyDescent="0.3">
      <c r="A565">
        <v>2633069</v>
      </c>
      <c r="B565">
        <v>20251205</v>
      </c>
      <c r="C565">
        <v>633</v>
      </c>
      <c r="D565">
        <v>1600.63</v>
      </c>
      <c r="E565" s="123" t="s">
        <v>1563</v>
      </c>
      <c r="F565" s="123" t="s">
        <v>950</v>
      </c>
      <c r="G565" s="123"/>
      <c r="H565" s="95">
        <v>45996</v>
      </c>
      <c r="I565">
        <v>4875</v>
      </c>
      <c r="J565" s="123" t="s">
        <v>546</v>
      </c>
      <c r="K565" s="123" t="s">
        <v>1023</v>
      </c>
      <c r="L565" s="123" t="e">
        <f>VLOOKUP(Fact_AUM_FyoCapital[[#This Row],[Dim_Empresas.CUIT]],'clientes SQL'!C:D,2,0)</f>
        <v>#N/A</v>
      </c>
    </row>
    <row r="566" spans="1:12" hidden="1" x14ac:dyDescent="0.3">
      <c r="A566">
        <v>1843357</v>
      </c>
      <c r="B566">
        <v>20251205</v>
      </c>
      <c r="C566">
        <v>9936</v>
      </c>
      <c r="D566">
        <v>4587.6753155680226</v>
      </c>
      <c r="E566" s="123" t="s">
        <v>1566</v>
      </c>
      <c r="F566" s="123" t="s">
        <v>1573</v>
      </c>
      <c r="G566" s="123"/>
      <c r="H566" s="95">
        <v>45996</v>
      </c>
      <c r="I566">
        <v>35436</v>
      </c>
      <c r="J566" s="123" t="s">
        <v>300</v>
      </c>
      <c r="K566" s="123" t="s">
        <v>1037</v>
      </c>
      <c r="L566" s="123" t="e">
        <f>VLOOKUP(Fact_AUM_FyoCapital[[#This Row],[Dim_Empresas.CUIT]],'clientes SQL'!C:D,2,0)</f>
        <v>#N/A</v>
      </c>
    </row>
    <row r="567" spans="1:12" hidden="1" x14ac:dyDescent="0.3">
      <c r="A567">
        <v>1888897</v>
      </c>
      <c r="B567">
        <v>20251205</v>
      </c>
      <c r="C567">
        <v>16936</v>
      </c>
      <c r="D567">
        <v>28114.803997194951</v>
      </c>
      <c r="E567" s="123" t="s">
        <v>1568</v>
      </c>
      <c r="F567" s="123" t="s">
        <v>1572</v>
      </c>
      <c r="G567" s="123" t="s">
        <v>1574</v>
      </c>
      <c r="H567" s="95">
        <v>45996</v>
      </c>
      <c r="I567">
        <v>38107</v>
      </c>
      <c r="J567" s="123" t="s">
        <v>900</v>
      </c>
      <c r="K567" s="123" t="s">
        <v>1509</v>
      </c>
      <c r="L567" s="123" t="e">
        <f>VLOOKUP(Fact_AUM_FyoCapital[[#This Row],[Dim_Empresas.CUIT]],'clientes SQL'!C:D,2,0)</f>
        <v>#N/A</v>
      </c>
    </row>
    <row r="568" spans="1:12" hidden="1" x14ac:dyDescent="0.3">
      <c r="A568">
        <v>2629229</v>
      </c>
      <c r="B568">
        <v>20251205</v>
      </c>
      <c r="C568">
        <v>1532</v>
      </c>
      <c r="D568">
        <v>1.1921458625525948E-4</v>
      </c>
      <c r="E568" s="123" t="s">
        <v>1563</v>
      </c>
      <c r="F568" s="123" t="s">
        <v>185</v>
      </c>
      <c r="G568" s="123"/>
      <c r="H568" s="95">
        <v>45996</v>
      </c>
      <c r="I568">
        <v>20176</v>
      </c>
      <c r="J568" s="123" t="s">
        <v>448</v>
      </c>
      <c r="K568" s="123" t="s">
        <v>1077</v>
      </c>
      <c r="L568" s="123" t="e">
        <f>VLOOKUP(Fact_AUM_FyoCapital[[#This Row],[Dim_Empresas.CUIT]],'clientes SQL'!C:D,2,0)</f>
        <v>#N/A</v>
      </c>
    </row>
    <row r="569" spans="1:12" hidden="1" x14ac:dyDescent="0.3">
      <c r="A569">
        <v>1837897</v>
      </c>
      <c r="B569">
        <v>20251205</v>
      </c>
      <c r="C569">
        <v>675</v>
      </c>
      <c r="D569">
        <v>4242.0699719495096</v>
      </c>
      <c r="E569" s="123" t="s">
        <v>1568</v>
      </c>
      <c r="F569" s="123" t="s">
        <v>1572</v>
      </c>
      <c r="G569" s="123" t="s">
        <v>1574</v>
      </c>
      <c r="H569" s="95">
        <v>45996</v>
      </c>
      <c r="I569">
        <v>9743</v>
      </c>
      <c r="J569" s="123" t="s">
        <v>1065</v>
      </c>
      <c r="K569" s="123" t="s">
        <v>1066</v>
      </c>
      <c r="L569" s="123" t="e">
        <f>VLOOKUP(Fact_AUM_FyoCapital[[#This Row],[Dim_Empresas.CUIT]],'clientes SQL'!C:D,2,0)</f>
        <v>#N/A</v>
      </c>
    </row>
    <row r="570" spans="1:12" hidden="1" x14ac:dyDescent="0.3">
      <c r="A570">
        <v>2607809</v>
      </c>
      <c r="B570">
        <v>20251205</v>
      </c>
      <c r="C570">
        <v>584</v>
      </c>
      <c r="D570">
        <v>-8.0987938288920045</v>
      </c>
      <c r="E570" s="123" t="s">
        <v>1563</v>
      </c>
      <c r="F570" s="123" t="s">
        <v>185</v>
      </c>
      <c r="G570" s="123"/>
      <c r="H570" s="95">
        <v>45996</v>
      </c>
      <c r="I570">
        <v>8634</v>
      </c>
      <c r="J570" s="123" t="s">
        <v>200</v>
      </c>
      <c r="K570" s="123" t="s">
        <v>1026</v>
      </c>
      <c r="L570" s="123" t="e">
        <f>VLOOKUP(Fact_AUM_FyoCapital[[#This Row],[Dim_Empresas.CUIT]],'clientes SQL'!C:D,2,0)</f>
        <v>#N/A</v>
      </c>
    </row>
    <row r="571" spans="1:12" hidden="1" x14ac:dyDescent="0.3">
      <c r="A571">
        <v>1502824</v>
      </c>
      <c r="B571">
        <v>20251205</v>
      </c>
      <c r="C571">
        <v>3479</v>
      </c>
      <c r="D571">
        <v>8158878.2312903227</v>
      </c>
      <c r="E571" s="123" t="s">
        <v>1564</v>
      </c>
      <c r="F571" s="123" t="s">
        <v>1581</v>
      </c>
      <c r="G571" s="123"/>
      <c r="H571" s="95">
        <v>45996</v>
      </c>
      <c r="I571">
        <v>31936</v>
      </c>
      <c r="J571" s="123" t="s">
        <v>456</v>
      </c>
      <c r="K571" s="123" t="s">
        <v>1119</v>
      </c>
      <c r="L571" s="123" t="e">
        <f>VLOOKUP(Fact_AUM_FyoCapital[[#This Row],[Dim_Empresas.CUIT]],'clientes SQL'!C:D,2,0)</f>
        <v>#N/A</v>
      </c>
    </row>
    <row r="572" spans="1:12" hidden="1" x14ac:dyDescent="0.3">
      <c r="A572">
        <v>2638889</v>
      </c>
      <c r="B572">
        <v>20251205</v>
      </c>
      <c r="C572">
        <v>12922</v>
      </c>
      <c r="D572">
        <v>3954.5</v>
      </c>
      <c r="E572" s="123" t="s">
        <v>1563</v>
      </c>
      <c r="F572" s="123" t="s">
        <v>950</v>
      </c>
      <c r="G572" s="123"/>
      <c r="H572" s="95">
        <v>45996</v>
      </c>
      <c r="I572">
        <v>36140</v>
      </c>
      <c r="J572" s="123" t="s">
        <v>128</v>
      </c>
      <c r="K572" s="123" t="s">
        <v>1042</v>
      </c>
      <c r="L572" s="123">
        <f>VLOOKUP(Fact_AUM_FyoCapital[[#This Row],[Dim_Empresas.CUIT]],'clientes SQL'!C:D,2,0)</f>
        <v>13006</v>
      </c>
    </row>
    <row r="573" spans="1:12" hidden="1" x14ac:dyDescent="0.3">
      <c r="A573">
        <v>1900837</v>
      </c>
      <c r="B573">
        <v>20251205</v>
      </c>
      <c r="C573">
        <v>13663</v>
      </c>
      <c r="D573">
        <v>2401.097896213184</v>
      </c>
      <c r="E573" s="123" t="s">
        <v>1566</v>
      </c>
      <c r="F573" s="123" t="s">
        <v>1582</v>
      </c>
      <c r="G573" s="123"/>
      <c r="H573" s="95">
        <v>45996</v>
      </c>
      <c r="I573">
        <v>36828</v>
      </c>
      <c r="J573" s="123" t="s">
        <v>559</v>
      </c>
      <c r="K573" s="123" t="s">
        <v>1015</v>
      </c>
      <c r="L573" s="123" t="e">
        <f>VLOOKUP(Fact_AUM_FyoCapital[[#This Row],[Dim_Empresas.CUIT]],'clientes SQL'!C:D,2,0)</f>
        <v>#N/A</v>
      </c>
    </row>
    <row r="574" spans="1:12" hidden="1" x14ac:dyDescent="0.3">
      <c r="A574">
        <v>2638769</v>
      </c>
      <c r="B574">
        <v>20251205</v>
      </c>
      <c r="C574">
        <v>12855</v>
      </c>
      <c r="D574">
        <v>-2.6535273492286113</v>
      </c>
      <c r="E574" s="123" t="s">
        <v>1563</v>
      </c>
      <c r="F574" s="123" t="s">
        <v>185</v>
      </c>
      <c r="G574" s="123"/>
      <c r="H574" s="95">
        <v>45996</v>
      </c>
      <c r="I574">
        <v>36077</v>
      </c>
      <c r="J574" s="123" t="s">
        <v>563</v>
      </c>
      <c r="K574" s="123" t="s">
        <v>969</v>
      </c>
      <c r="L574" s="123" t="e">
        <f>VLOOKUP(Fact_AUM_FyoCapital[[#This Row],[Dim_Empresas.CUIT]],'clientes SQL'!C:D,2,0)</f>
        <v>#N/A</v>
      </c>
    </row>
    <row r="575" spans="1:12" hidden="1" x14ac:dyDescent="0.3">
      <c r="A575">
        <v>2638469</v>
      </c>
      <c r="B575">
        <v>20251205</v>
      </c>
      <c r="C575">
        <v>5628</v>
      </c>
      <c r="D575">
        <v>1.3110518934081345</v>
      </c>
      <c r="E575" s="123" t="s">
        <v>1563</v>
      </c>
      <c r="F575" s="123" t="s">
        <v>185</v>
      </c>
      <c r="G575" s="123"/>
      <c r="H575" s="95">
        <v>45996</v>
      </c>
      <c r="I575">
        <v>33867</v>
      </c>
      <c r="J575" s="123" t="s">
        <v>578</v>
      </c>
      <c r="K575" s="123" t="s">
        <v>1076</v>
      </c>
      <c r="L575" s="123" t="e">
        <f>VLOOKUP(Fact_AUM_FyoCapital[[#This Row],[Dim_Empresas.CUIT]],'clientes SQL'!C:D,2,0)</f>
        <v>#N/A</v>
      </c>
    </row>
    <row r="576" spans="1:12" hidden="1" x14ac:dyDescent="0.3">
      <c r="A576">
        <v>1875397</v>
      </c>
      <c r="B576">
        <v>20251205</v>
      </c>
      <c r="C576">
        <v>1125</v>
      </c>
      <c r="D576">
        <v>84509.726697054692</v>
      </c>
      <c r="E576" s="123" t="s">
        <v>1568</v>
      </c>
      <c r="F576" s="123" t="s">
        <v>1572</v>
      </c>
      <c r="G576" s="123" t="s">
        <v>1570</v>
      </c>
      <c r="H576" s="95">
        <v>45996</v>
      </c>
      <c r="I576">
        <v>18482</v>
      </c>
      <c r="J576" s="123" t="s">
        <v>418</v>
      </c>
      <c r="K576" s="123" t="s">
        <v>1080</v>
      </c>
      <c r="L576" s="123" t="e">
        <f>VLOOKUP(Fact_AUM_FyoCapital[[#This Row],[Dim_Empresas.CUIT]],'clientes SQL'!C:D,2,0)</f>
        <v>#N/A</v>
      </c>
    </row>
    <row r="577" spans="1:12" hidden="1" x14ac:dyDescent="0.3">
      <c r="A577">
        <v>1502584</v>
      </c>
      <c r="B577">
        <v>20251205</v>
      </c>
      <c r="C577">
        <v>4259</v>
      </c>
      <c r="D577">
        <v>7065.7205189340812</v>
      </c>
      <c r="E577" s="123" t="s">
        <v>1564</v>
      </c>
      <c r="F577" s="123" t="s">
        <v>1581</v>
      </c>
      <c r="G577" s="123"/>
      <c r="H577" s="95">
        <v>45996</v>
      </c>
      <c r="I577">
        <v>19330</v>
      </c>
      <c r="J577" s="123" t="s">
        <v>293</v>
      </c>
      <c r="K577" s="123" t="s">
        <v>1166</v>
      </c>
      <c r="L577" s="123" t="e">
        <f>VLOOKUP(Fact_AUM_FyoCapital[[#This Row],[Dim_Empresas.CUIT]],'clientes SQL'!C:D,2,0)</f>
        <v>#N/A</v>
      </c>
    </row>
    <row r="578" spans="1:12" hidden="1" x14ac:dyDescent="0.3">
      <c r="A578">
        <v>2643629</v>
      </c>
      <c r="B578">
        <v>20251205</v>
      </c>
      <c r="C578">
        <v>2153</v>
      </c>
      <c r="D578">
        <v>27.050322580645162</v>
      </c>
      <c r="E578" s="123" t="s">
        <v>1563</v>
      </c>
      <c r="F578" s="123" t="s">
        <v>185</v>
      </c>
      <c r="G578" s="123"/>
      <c r="H578" s="95">
        <v>45996</v>
      </c>
      <c r="I578">
        <v>30090</v>
      </c>
      <c r="J578" s="123" t="s">
        <v>619</v>
      </c>
      <c r="K578" s="123" t="s">
        <v>1068</v>
      </c>
      <c r="L578" s="123" t="e">
        <f>VLOOKUP(Fact_AUM_FyoCapital[[#This Row],[Dim_Empresas.CUIT]],'clientes SQL'!C:D,2,0)</f>
        <v>#N/A</v>
      </c>
    </row>
    <row r="579" spans="1:12" hidden="1" x14ac:dyDescent="0.3">
      <c r="A579">
        <v>1833577</v>
      </c>
      <c r="B579">
        <v>20251205</v>
      </c>
      <c r="C579">
        <v>14776</v>
      </c>
      <c r="D579">
        <v>14922.436584852736</v>
      </c>
      <c r="E579" s="123" t="s">
        <v>1568</v>
      </c>
      <c r="F579" s="123" t="s">
        <v>1572</v>
      </c>
      <c r="G579" s="123" t="s">
        <v>1570</v>
      </c>
      <c r="H579" s="95">
        <v>45996</v>
      </c>
      <c r="I579">
        <v>37012</v>
      </c>
      <c r="J579" s="123" t="s">
        <v>1136</v>
      </c>
      <c r="K579" s="123" t="s">
        <v>1137</v>
      </c>
      <c r="L579" s="123" t="e">
        <f>VLOOKUP(Fact_AUM_FyoCapital[[#This Row],[Dim_Empresas.CUIT]],'clientes SQL'!C:D,2,0)</f>
        <v>#N/A</v>
      </c>
    </row>
    <row r="580" spans="1:12" hidden="1" x14ac:dyDescent="0.3">
      <c r="A580">
        <v>1502404</v>
      </c>
      <c r="B580">
        <v>20251205</v>
      </c>
      <c r="C580">
        <v>1559</v>
      </c>
      <c r="D580">
        <v>47361.939565217392</v>
      </c>
      <c r="E580" s="123" t="s">
        <v>1564</v>
      </c>
      <c r="F580" s="123" t="s">
        <v>1581</v>
      </c>
      <c r="G580" s="123"/>
      <c r="H580" s="95">
        <v>45996</v>
      </c>
      <c r="I580">
        <v>20235</v>
      </c>
      <c r="J580" s="123" t="s">
        <v>1082</v>
      </c>
      <c r="K580" s="123" t="s">
        <v>1083</v>
      </c>
      <c r="L580" s="123" t="e">
        <f>VLOOKUP(Fact_AUM_FyoCapital[[#This Row],[Dim_Empresas.CUIT]],'clientes SQL'!C:D,2,0)</f>
        <v>#N/A</v>
      </c>
    </row>
    <row r="581" spans="1:12" hidden="1" x14ac:dyDescent="0.3">
      <c r="A581">
        <v>2634989</v>
      </c>
      <c r="B581">
        <v>20251205</v>
      </c>
      <c r="C581">
        <v>15195</v>
      </c>
      <c r="D581">
        <v>-2.35</v>
      </c>
      <c r="E581" s="123" t="s">
        <v>1563</v>
      </c>
      <c r="F581" s="123" t="s">
        <v>950</v>
      </c>
      <c r="G581" s="123"/>
      <c r="H581" s="95">
        <v>45996</v>
      </c>
      <c r="I581">
        <v>37326</v>
      </c>
      <c r="J581" s="123" t="s">
        <v>716</v>
      </c>
      <c r="K581" s="123" t="s">
        <v>1111</v>
      </c>
      <c r="L581" s="123" t="e">
        <f>VLOOKUP(Fact_AUM_FyoCapital[[#This Row],[Dim_Empresas.CUIT]],'clientes SQL'!C:D,2,0)</f>
        <v>#N/A</v>
      </c>
    </row>
    <row r="582" spans="1:12" hidden="1" x14ac:dyDescent="0.3">
      <c r="A582">
        <v>1841557</v>
      </c>
      <c r="B582">
        <v>20251205</v>
      </c>
      <c r="C582">
        <v>1986</v>
      </c>
      <c r="D582">
        <v>20.226227208976155</v>
      </c>
      <c r="E582" s="123" t="s">
        <v>1568</v>
      </c>
      <c r="F582" s="123" t="s">
        <v>1572</v>
      </c>
      <c r="G582" s="123" t="s">
        <v>1570</v>
      </c>
      <c r="H582" s="95">
        <v>45996</v>
      </c>
      <c r="I582">
        <v>20868</v>
      </c>
      <c r="J582" s="123" t="s">
        <v>312</v>
      </c>
      <c r="K582" s="123" t="s">
        <v>1073</v>
      </c>
      <c r="L582" s="123" t="e">
        <f>VLOOKUP(Fact_AUM_FyoCapital[[#This Row],[Dim_Empresas.CUIT]],'clientes SQL'!C:D,2,0)</f>
        <v>#N/A</v>
      </c>
    </row>
    <row r="583" spans="1:12" hidden="1" x14ac:dyDescent="0.3">
      <c r="A583">
        <v>1859077</v>
      </c>
      <c r="B583">
        <v>20251205</v>
      </c>
      <c r="C583">
        <v>16286</v>
      </c>
      <c r="D583">
        <v>1187.8339270687236</v>
      </c>
      <c r="E583" s="123" t="s">
        <v>1568</v>
      </c>
      <c r="F583" s="123" t="s">
        <v>1572</v>
      </c>
      <c r="G583" s="123" t="s">
        <v>1583</v>
      </c>
      <c r="H583" s="95">
        <v>45996</v>
      </c>
      <c r="I583">
        <v>37771</v>
      </c>
      <c r="J583" s="123" t="s">
        <v>1094</v>
      </c>
      <c r="K583" s="123" t="s">
        <v>1095</v>
      </c>
      <c r="L583" s="123" t="e">
        <f>VLOOKUP(Fact_AUM_FyoCapital[[#This Row],[Dim_Empresas.CUIT]],'clientes SQL'!C:D,2,0)</f>
        <v>#N/A</v>
      </c>
    </row>
    <row r="584" spans="1:12" hidden="1" x14ac:dyDescent="0.3">
      <c r="A584">
        <v>2614709</v>
      </c>
      <c r="B584">
        <v>20251205</v>
      </c>
      <c r="C584">
        <v>5</v>
      </c>
      <c r="D584">
        <v>-425</v>
      </c>
      <c r="E584" s="123" t="s">
        <v>1563</v>
      </c>
      <c r="F584" s="123" t="s">
        <v>801</v>
      </c>
      <c r="G584" s="123"/>
      <c r="H584" s="95">
        <v>45996</v>
      </c>
      <c r="I584">
        <v>275</v>
      </c>
      <c r="J584" s="123" t="s">
        <v>360</v>
      </c>
      <c r="K584" s="123" t="s">
        <v>1079</v>
      </c>
      <c r="L584" s="123" t="e">
        <f>VLOOKUP(Fact_AUM_FyoCapital[[#This Row],[Dim_Empresas.CUIT]],'clientes SQL'!C:D,2,0)</f>
        <v>#N/A</v>
      </c>
    </row>
    <row r="585" spans="1:12" hidden="1" x14ac:dyDescent="0.3">
      <c r="A585">
        <v>1899217</v>
      </c>
      <c r="B585">
        <v>20251205</v>
      </c>
      <c r="C585">
        <v>12922</v>
      </c>
      <c r="D585">
        <v>1470.2837096774194</v>
      </c>
      <c r="E585" s="123" t="s">
        <v>1568</v>
      </c>
      <c r="F585" s="123" t="s">
        <v>1572</v>
      </c>
      <c r="G585" s="123" t="s">
        <v>1570</v>
      </c>
      <c r="H585" s="95">
        <v>45996</v>
      </c>
      <c r="I585">
        <v>36140</v>
      </c>
      <c r="J585" s="123" t="s">
        <v>128</v>
      </c>
      <c r="K585" s="123" t="s">
        <v>1042</v>
      </c>
      <c r="L585" s="123">
        <f>VLOOKUP(Fact_AUM_FyoCapital[[#This Row],[Dim_Empresas.CUIT]],'clientes SQL'!C:D,2,0)</f>
        <v>13006</v>
      </c>
    </row>
    <row r="586" spans="1:12" hidden="1" x14ac:dyDescent="0.3">
      <c r="A586">
        <v>1851757</v>
      </c>
      <c r="B586">
        <v>20251205</v>
      </c>
      <c r="C586">
        <v>757</v>
      </c>
      <c r="D586">
        <v>39934.21</v>
      </c>
      <c r="E586" s="123" t="s">
        <v>1566</v>
      </c>
      <c r="F586" s="123" t="s">
        <v>1571</v>
      </c>
      <c r="G586" s="123"/>
      <c r="H586" s="95">
        <v>45996</v>
      </c>
      <c r="I586">
        <v>13408</v>
      </c>
      <c r="J586" s="123" t="s">
        <v>274</v>
      </c>
      <c r="K586" s="123" t="s">
        <v>1001</v>
      </c>
      <c r="L586" s="123" t="e">
        <f>VLOOKUP(Fact_AUM_FyoCapital[[#This Row],[Dim_Empresas.CUIT]],'clientes SQL'!C:D,2,0)</f>
        <v>#N/A</v>
      </c>
    </row>
    <row r="587" spans="1:12" hidden="1" x14ac:dyDescent="0.3">
      <c r="A587">
        <v>1837837</v>
      </c>
      <c r="B587">
        <v>20251205</v>
      </c>
      <c r="C587">
        <v>675</v>
      </c>
      <c r="D587">
        <v>75536</v>
      </c>
      <c r="E587" s="123" t="s">
        <v>1568</v>
      </c>
      <c r="F587" s="123" t="s">
        <v>1572</v>
      </c>
      <c r="G587" s="123" t="s">
        <v>1574</v>
      </c>
      <c r="H587" s="95">
        <v>45996</v>
      </c>
      <c r="I587">
        <v>9743</v>
      </c>
      <c r="J587" s="123" t="s">
        <v>1065</v>
      </c>
      <c r="K587" s="123" t="s">
        <v>1066</v>
      </c>
      <c r="L587" s="123" t="e">
        <f>VLOOKUP(Fact_AUM_FyoCapital[[#This Row],[Dim_Empresas.CUIT]],'clientes SQL'!C:D,2,0)</f>
        <v>#N/A</v>
      </c>
    </row>
    <row r="588" spans="1:12" hidden="1" x14ac:dyDescent="0.3">
      <c r="A588">
        <v>2634389</v>
      </c>
      <c r="B588">
        <v>20251205</v>
      </c>
      <c r="C588">
        <v>6418</v>
      </c>
      <c r="D588">
        <v>34.456647966339411</v>
      </c>
      <c r="E588" s="123" t="s">
        <v>1563</v>
      </c>
      <c r="F588" s="123" t="s">
        <v>185</v>
      </c>
      <c r="G588" s="123"/>
      <c r="H588" s="95">
        <v>45996</v>
      </c>
      <c r="I588">
        <v>4368</v>
      </c>
      <c r="J588" s="123" t="s">
        <v>1168</v>
      </c>
      <c r="K588" s="123" t="s">
        <v>1169</v>
      </c>
      <c r="L588" s="123" t="e">
        <f>VLOOKUP(Fact_AUM_FyoCapital[[#This Row],[Dim_Empresas.CUIT]],'clientes SQL'!C:D,2,0)</f>
        <v>#N/A</v>
      </c>
    </row>
    <row r="589" spans="1:12" hidden="1" x14ac:dyDescent="0.3">
      <c r="A589">
        <v>1885897</v>
      </c>
      <c r="B589">
        <v>20251205</v>
      </c>
      <c r="C589">
        <v>12867</v>
      </c>
      <c r="D589">
        <v>34519.050000000003</v>
      </c>
      <c r="E589" s="123" t="s">
        <v>1566</v>
      </c>
      <c r="F589" s="123" t="s">
        <v>1579</v>
      </c>
      <c r="G589" s="123"/>
      <c r="H589" s="95">
        <v>45996</v>
      </c>
      <c r="I589">
        <v>36089</v>
      </c>
      <c r="J589" s="123" t="s">
        <v>557</v>
      </c>
      <c r="K589" s="123" t="s">
        <v>1086</v>
      </c>
      <c r="L589" s="123" t="e">
        <f>VLOOKUP(Fact_AUM_FyoCapital[[#This Row],[Dim_Empresas.CUIT]],'clientes SQL'!C:D,2,0)</f>
        <v>#N/A</v>
      </c>
    </row>
    <row r="590" spans="1:12" hidden="1" x14ac:dyDescent="0.3">
      <c r="A590">
        <v>1900717</v>
      </c>
      <c r="B590">
        <v>20251205</v>
      </c>
      <c r="C590">
        <v>13663</v>
      </c>
      <c r="D590">
        <v>3387.1003155680223</v>
      </c>
      <c r="E590" s="123" t="s">
        <v>1566</v>
      </c>
      <c r="F590" s="123" t="s">
        <v>1571</v>
      </c>
      <c r="G590" s="123"/>
      <c r="H590" s="95">
        <v>45996</v>
      </c>
      <c r="I590">
        <v>36828</v>
      </c>
      <c r="J590" s="123" t="s">
        <v>559</v>
      </c>
      <c r="K590" s="123" t="s">
        <v>1015</v>
      </c>
      <c r="L590" s="123" t="e">
        <f>VLOOKUP(Fact_AUM_FyoCapital[[#This Row],[Dim_Empresas.CUIT]],'clientes SQL'!C:D,2,0)</f>
        <v>#N/A</v>
      </c>
    </row>
    <row r="591" spans="1:12" hidden="1" x14ac:dyDescent="0.3">
      <c r="A591">
        <v>1877077</v>
      </c>
      <c r="B591">
        <v>20251205</v>
      </c>
      <c r="C591">
        <v>1523</v>
      </c>
      <c r="D591" s="6">
        <v>16976.11</v>
      </c>
      <c r="E591" s="123" t="s">
        <v>1566</v>
      </c>
      <c r="F591" s="123" t="s">
        <v>1571</v>
      </c>
      <c r="G591" s="123"/>
      <c r="H591" s="95">
        <v>45996</v>
      </c>
      <c r="I591">
        <v>20093</v>
      </c>
      <c r="J591" s="123" t="s">
        <v>987</v>
      </c>
      <c r="K591" s="123" t="s">
        <v>988</v>
      </c>
      <c r="L591" s="123" t="e">
        <f>VLOOKUP(Fact_AUM_FyoCapital[[#This Row],[Dim_Empresas.CUIT]],'clientes SQL'!C:D,2,0)</f>
        <v>#N/A</v>
      </c>
    </row>
    <row r="592" spans="1:12" hidden="1" x14ac:dyDescent="0.3">
      <c r="A592">
        <v>2620049</v>
      </c>
      <c r="B592">
        <v>20251205</v>
      </c>
      <c r="C592">
        <v>855</v>
      </c>
      <c r="D592">
        <v>141.08000000000001</v>
      </c>
      <c r="E592" s="123" t="s">
        <v>1563</v>
      </c>
      <c r="F592" s="123" t="s">
        <v>188</v>
      </c>
      <c r="G592" s="123"/>
      <c r="H592" s="95">
        <v>45996</v>
      </c>
      <c r="I592">
        <v>17742</v>
      </c>
      <c r="J592" s="123" t="s">
        <v>266</v>
      </c>
      <c r="K592" s="123" t="s">
        <v>1030</v>
      </c>
      <c r="L592" s="123" t="e">
        <f>VLOOKUP(Fact_AUM_FyoCapital[[#This Row],[Dim_Empresas.CUIT]],'clientes SQL'!C:D,2,0)</f>
        <v>#N/A</v>
      </c>
    </row>
    <row r="593" spans="1:12" hidden="1" x14ac:dyDescent="0.3">
      <c r="A593">
        <v>1845637</v>
      </c>
      <c r="B593">
        <v>20251205</v>
      </c>
      <c r="C593">
        <v>9936</v>
      </c>
      <c r="D593">
        <v>2018.2402173913042</v>
      </c>
      <c r="E593" s="123" t="s">
        <v>1568</v>
      </c>
      <c r="F593" s="123" t="s">
        <v>1572</v>
      </c>
      <c r="G593" s="123" t="s">
        <v>1583</v>
      </c>
      <c r="H593" s="95">
        <v>45996</v>
      </c>
      <c r="I593">
        <v>35436</v>
      </c>
      <c r="J593" s="123" t="s">
        <v>300</v>
      </c>
      <c r="K593" s="123" t="s">
        <v>1037</v>
      </c>
      <c r="L593" s="123" t="e">
        <f>VLOOKUP(Fact_AUM_FyoCapital[[#This Row],[Dim_Empresas.CUIT]],'clientes SQL'!C:D,2,0)</f>
        <v>#N/A</v>
      </c>
    </row>
    <row r="594" spans="1:12" hidden="1" x14ac:dyDescent="0.3">
      <c r="A594">
        <v>1858717</v>
      </c>
      <c r="B594">
        <v>20251205</v>
      </c>
      <c r="C594">
        <v>13751</v>
      </c>
      <c r="D594">
        <v>107707.21</v>
      </c>
      <c r="E594" s="123" t="s">
        <v>1566</v>
      </c>
      <c r="F594" s="123" t="s">
        <v>1579</v>
      </c>
      <c r="G594" s="123"/>
      <c r="H594" s="95">
        <v>45996</v>
      </c>
      <c r="I594">
        <v>36904</v>
      </c>
      <c r="J594" s="123" t="s">
        <v>685</v>
      </c>
      <c r="K594" s="123" t="s">
        <v>1054</v>
      </c>
      <c r="L594" s="123" t="e">
        <f>VLOOKUP(Fact_AUM_FyoCapital[[#This Row],[Dim_Empresas.CUIT]],'clientes SQL'!C:D,2,0)</f>
        <v>#N/A</v>
      </c>
    </row>
    <row r="595" spans="1:12" hidden="1" x14ac:dyDescent="0.3">
      <c r="A595">
        <v>2603309</v>
      </c>
      <c r="B595">
        <v>20251205</v>
      </c>
      <c r="C595">
        <v>4195</v>
      </c>
      <c r="D595">
        <v>1498.48</v>
      </c>
      <c r="E595" s="123" t="s">
        <v>1568</v>
      </c>
      <c r="F595" s="123" t="s">
        <v>1575</v>
      </c>
      <c r="G595" s="123" t="s">
        <v>1576</v>
      </c>
      <c r="H595" s="95">
        <v>45996</v>
      </c>
      <c r="I595">
        <v>32828</v>
      </c>
      <c r="J595" s="123" t="s">
        <v>605</v>
      </c>
      <c r="K595" s="123" t="s">
        <v>1126</v>
      </c>
      <c r="L595" s="123" t="e">
        <f>VLOOKUP(Fact_AUM_FyoCapital[[#This Row],[Dim_Empresas.CUIT]],'clientes SQL'!C:D,2,0)</f>
        <v>#N/A</v>
      </c>
    </row>
    <row r="596" spans="1:12" hidden="1" x14ac:dyDescent="0.3">
      <c r="A596">
        <v>1885717</v>
      </c>
      <c r="B596">
        <v>20251205</v>
      </c>
      <c r="C596">
        <v>12867</v>
      </c>
      <c r="D596">
        <v>30851.735624123423</v>
      </c>
      <c r="E596" s="123" t="s">
        <v>1566</v>
      </c>
      <c r="F596" s="123" t="s">
        <v>1573</v>
      </c>
      <c r="G596" s="123"/>
      <c r="H596" s="95">
        <v>45996</v>
      </c>
      <c r="I596">
        <v>36089</v>
      </c>
      <c r="J596" s="123" t="s">
        <v>557</v>
      </c>
      <c r="K596" s="123" t="s">
        <v>1086</v>
      </c>
      <c r="L596" s="123" t="e">
        <f>VLOOKUP(Fact_AUM_FyoCapital[[#This Row],[Dim_Empresas.CUIT]],'clientes SQL'!C:D,2,0)</f>
        <v>#N/A</v>
      </c>
    </row>
    <row r="597" spans="1:12" hidden="1" x14ac:dyDescent="0.3">
      <c r="A597">
        <v>1835857</v>
      </c>
      <c r="B597">
        <v>20251205</v>
      </c>
      <c r="C597">
        <v>626</v>
      </c>
      <c r="D597">
        <v>9064.83</v>
      </c>
      <c r="E597" s="123" t="s">
        <v>1566</v>
      </c>
      <c r="F597" s="123" t="s">
        <v>1578</v>
      </c>
      <c r="G597" s="123"/>
      <c r="H597" s="95">
        <v>45996</v>
      </c>
      <c r="I597">
        <v>580</v>
      </c>
      <c r="J597" s="123" t="s">
        <v>345</v>
      </c>
      <c r="K597" s="123" t="s">
        <v>979</v>
      </c>
      <c r="L597" s="123" t="e">
        <f>VLOOKUP(Fact_AUM_FyoCapital[[#This Row],[Dim_Empresas.CUIT]],'clientes SQL'!C:D,2,0)</f>
        <v>#N/A</v>
      </c>
    </row>
    <row r="598" spans="1:12" hidden="1" x14ac:dyDescent="0.3">
      <c r="A598">
        <v>1886137</v>
      </c>
      <c r="B598">
        <v>20251205</v>
      </c>
      <c r="C598">
        <v>12867</v>
      </c>
      <c r="D598">
        <v>20192.252980364658</v>
      </c>
      <c r="E598" s="123" t="s">
        <v>1568</v>
      </c>
      <c r="F598" s="123" t="s">
        <v>1575</v>
      </c>
      <c r="G598" s="123" t="s">
        <v>1576</v>
      </c>
      <c r="H598" s="95">
        <v>45996</v>
      </c>
      <c r="I598">
        <v>36089</v>
      </c>
      <c r="J598" s="123" t="s">
        <v>557</v>
      </c>
      <c r="K598" s="123" t="s">
        <v>1086</v>
      </c>
      <c r="L598" s="123" t="e">
        <f>VLOOKUP(Fact_AUM_FyoCapital[[#This Row],[Dim_Empresas.CUIT]],'clientes SQL'!C:D,2,0)</f>
        <v>#N/A</v>
      </c>
    </row>
    <row r="599" spans="1:12" hidden="1" x14ac:dyDescent="0.3">
      <c r="A599">
        <v>2598989</v>
      </c>
      <c r="B599">
        <v>20251205</v>
      </c>
      <c r="C599">
        <v>7802</v>
      </c>
      <c r="D599">
        <v>181.41034361851331</v>
      </c>
      <c r="E599" s="123" t="s">
        <v>1568</v>
      </c>
      <c r="F599" s="123" t="s">
        <v>1572</v>
      </c>
      <c r="G599" s="123" t="s">
        <v>1574</v>
      </c>
      <c r="H599" s="95">
        <v>45996</v>
      </c>
      <c r="I599">
        <v>35095</v>
      </c>
      <c r="J599" s="123" t="s">
        <v>1048</v>
      </c>
      <c r="K599" s="123" t="s">
        <v>1049</v>
      </c>
      <c r="L599" s="123" t="e">
        <f>VLOOKUP(Fact_AUM_FyoCapital[[#This Row],[Dim_Empresas.CUIT]],'clientes SQL'!C:D,2,0)</f>
        <v>#N/A</v>
      </c>
    </row>
    <row r="600" spans="1:12" hidden="1" x14ac:dyDescent="0.3">
      <c r="A600">
        <v>1887277</v>
      </c>
      <c r="B600">
        <v>20251205</v>
      </c>
      <c r="C600">
        <v>13687</v>
      </c>
      <c r="D600">
        <v>1515.96</v>
      </c>
      <c r="E600" s="123" t="s">
        <v>1566</v>
      </c>
      <c r="F600" s="123" t="s">
        <v>1571</v>
      </c>
      <c r="G600" s="123"/>
      <c r="H600" s="95">
        <v>45996</v>
      </c>
      <c r="I600">
        <v>36849</v>
      </c>
      <c r="J600" s="123" t="s">
        <v>1032</v>
      </c>
      <c r="K600" s="123" t="s">
        <v>1033</v>
      </c>
      <c r="L600" s="123" t="e">
        <f>VLOOKUP(Fact_AUM_FyoCapital[[#This Row],[Dim_Empresas.CUIT]],'clientes SQL'!C:D,2,0)</f>
        <v>#N/A</v>
      </c>
    </row>
    <row r="601" spans="1:12" hidden="1" x14ac:dyDescent="0.3">
      <c r="A601">
        <v>1882117</v>
      </c>
      <c r="B601">
        <v>20251205</v>
      </c>
      <c r="C601">
        <v>633</v>
      </c>
      <c r="D601">
        <v>16432.283913043477</v>
      </c>
      <c r="E601" s="123" t="s">
        <v>1566</v>
      </c>
      <c r="F601" s="123" t="s">
        <v>1571</v>
      </c>
      <c r="G601" s="123"/>
      <c r="H601" s="95">
        <v>45996</v>
      </c>
      <c r="I601">
        <v>4875</v>
      </c>
      <c r="J601" s="123" t="s">
        <v>546</v>
      </c>
      <c r="K601" s="123" t="s">
        <v>1023</v>
      </c>
      <c r="L601" s="123" t="e">
        <f>VLOOKUP(Fact_AUM_FyoCapital[[#This Row],[Dim_Empresas.CUIT]],'clientes SQL'!C:D,2,0)</f>
        <v>#N/A</v>
      </c>
    </row>
    <row r="602" spans="1:12" hidden="1" x14ac:dyDescent="0.3">
      <c r="A602">
        <v>1895077</v>
      </c>
      <c r="B602">
        <v>20251205</v>
      </c>
      <c r="C602">
        <v>10244</v>
      </c>
      <c r="D602">
        <v>19318.580000000002</v>
      </c>
      <c r="E602" s="123" t="s">
        <v>1566</v>
      </c>
      <c r="F602" s="123" t="s">
        <v>1578</v>
      </c>
      <c r="G602" s="123"/>
      <c r="H602" s="95">
        <v>45996</v>
      </c>
      <c r="I602">
        <v>35636</v>
      </c>
      <c r="J602" s="123" t="s">
        <v>564</v>
      </c>
      <c r="K602" s="123" t="s">
        <v>1017</v>
      </c>
      <c r="L602" s="123" t="e">
        <f>VLOOKUP(Fact_AUM_FyoCapital[[#This Row],[Dim_Empresas.CUIT]],'clientes SQL'!C:D,2,0)</f>
        <v>#N/A</v>
      </c>
    </row>
    <row r="603" spans="1:12" hidden="1" x14ac:dyDescent="0.3">
      <c r="A603">
        <v>2634809</v>
      </c>
      <c r="B603">
        <v>20251205</v>
      </c>
      <c r="C603">
        <v>15004</v>
      </c>
      <c r="D603">
        <v>10.92953716690042</v>
      </c>
      <c r="E603" s="123" t="s">
        <v>1563</v>
      </c>
      <c r="F603" s="123" t="s">
        <v>185</v>
      </c>
      <c r="G603" s="123"/>
      <c r="H603" s="95">
        <v>45996</v>
      </c>
      <c r="I603">
        <v>37208</v>
      </c>
      <c r="J603" s="123" t="s">
        <v>1113</v>
      </c>
      <c r="K603" s="123" t="s">
        <v>1114</v>
      </c>
      <c r="L603" s="123" t="e">
        <f>VLOOKUP(Fact_AUM_FyoCapital[[#This Row],[Dim_Empresas.CUIT]],'clientes SQL'!C:D,2,0)</f>
        <v>#N/A</v>
      </c>
    </row>
    <row r="604" spans="1:12" hidden="1" x14ac:dyDescent="0.3">
      <c r="A604">
        <v>1864477</v>
      </c>
      <c r="B604">
        <v>20251205</v>
      </c>
      <c r="C604">
        <v>1105</v>
      </c>
      <c r="D604">
        <v>13817.840483870968</v>
      </c>
      <c r="E604" s="123" t="s">
        <v>1568</v>
      </c>
      <c r="F604" s="123" t="s">
        <v>1572</v>
      </c>
      <c r="G604" s="123" t="s">
        <v>1583</v>
      </c>
      <c r="H604" s="95">
        <v>45996</v>
      </c>
      <c r="I604">
        <v>18797</v>
      </c>
      <c r="J604" s="123" t="s">
        <v>298</v>
      </c>
      <c r="K604" s="123" t="s">
        <v>1062</v>
      </c>
      <c r="L604" s="123" t="e">
        <f>VLOOKUP(Fact_AUM_FyoCapital[[#This Row],[Dim_Empresas.CUIT]],'clientes SQL'!C:D,2,0)</f>
        <v>#N/A</v>
      </c>
    </row>
    <row r="605" spans="1:12" hidden="1" x14ac:dyDescent="0.3">
      <c r="A605">
        <v>2638049</v>
      </c>
      <c r="B605">
        <v>20251205</v>
      </c>
      <c r="C605">
        <v>5937</v>
      </c>
      <c r="D605">
        <v>1.9635343618513325E-4</v>
      </c>
      <c r="E605" s="123" t="s">
        <v>1563</v>
      </c>
      <c r="F605" s="123" t="s">
        <v>185</v>
      </c>
      <c r="G605" s="123"/>
      <c r="H605" s="95">
        <v>45996</v>
      </c>
      <c r="I605">
        <v>34160</v>
      </c>
      <c r="J605" s="123" t="s">
        <v>572</v>
      </c>
      <c r="K605" s="123" t="s">
        <v>1282</v>
      </c>
      <c r="L605" s="123" t="e">
        <f>VLOOKUP(Fact_AUM_FyoCapital[[#This Row],[Dim_Empresas.CUIT]],'clientes SQL'!C:D,2,0)</f>
        <v>#N/A</v>
      </c>
    </row>
    <row r="606" spans="1:12" hidden="1" x14ac:dyDescent="0.3">
      <c r="A606">
        <v>1887337</v>
      </c>
      <c r="B606">
        <v>20251205</v>
      </c>
      <c r="C606">
        <v>13687</v>
      </c>
      <c r="D606">
        <v>1621.0939691444601</v>
      </c>
      <c r="E606" s="123" t="s">
        <v>1566</v>
      </c>
      <c r="F606" s="123" t="s">
        <v>1573</v>
      </c>
      <c r="G606" s="123"/>
      <c r="H606" s="95">
        <v>45996</v>
      </c>
      <c r="I606">
        <v>36849</v>
      </c>
      <c r="J606" s="123" t="s">
        <v>1032</v>
      </c>
      <c r="K606" s="123" t="s">
        <v>1033</v>
      </c>
      <c r="L606" s="123" t="e">
        <f>VLOOKUP(Fact_AUM_FyoCapital[[#This Row],[Dim_Empresas.CUIT]],'clientes SQL'!C:D,2,0)</f>
        <v>#N/A</v>
      </c>
    </row>
    <row r="607" spans="1:12" hidden="1" x14ac:dyDescent="0.3">
      <c r="A607">
        <v>1832257</v>
      </c>
      <c r="B607">
        <v>20251205</v>
      </c>
      <c r="C607">
        <v>12840</v>
      </c>
      <c r="D607">
        <v>11968.14</v>
      </c>
      <c r="E607" s="123" t="s">
        <v>1566</v>
      </c>
      <c r="F607" s="123" t="s">
        <v>1578</v>
      </c>
      <c r="G607" s="123"/>
      <c r="H607" s="95">
        <v>45996</v>
      </c>
      <c r="I607">
        <v>36062</v>
      </c>
      <c r="J607" s="123" t="s">
        <v>236</v>
      </c>
      <c r="K607" s="123" t="s">
        <v>1031</v>
      </c>
      <c r="L607" s="123" t="e">
        <f>VLOOKUP(Fact_AUM_FyoCapital[[#This Row],[Dim_Empresas.CUIT]],'clientes SQL'!C:D,2,0)</f>
        <v>#N/A</v>
      </c>
    </row>
    <row r="608" spans="1:12" hidden="1" x14ac:dyDescent="0.3">
      <c r="A608">
        <v>1842517</v>
      </c>
      <c r="B608">
        <v>20251205</v>
      </c>
      <c r="C608">
        <v>9936</v>
      </c>
      <c r="D608">
        <v>1114.1654978962131</v>
      </c>
      <c r="E608" s="123" t="s">
        <v>1566</v>
      </c>
      <c r="F608" s="123" t="s">
        <v>1580</v>
      </c>
      <c r="G608" s="123"/>
      <c r="H608" s="95">
        <v>45996</v>
      </c>
      <c r="I608">
        <v>35436</v>
      </c>
      <c r="J608" s="123" t="s">
        <v>300</v>
      </c>
      <c r="K608" s="123" t="s">
        <v>1037</v>
      </c>
      <c r="L608" s="123" t="e">
        <f>VLOOKUP(Fact_AUM_FyoCapital[[#This Row],[Dim_Empresas.CUIT]],'clientes SQL'!C:D,2,0)</f>
        <v>#N/A</v>
      </c>
    </row>
    <row r="609" spans="1:12" hidden="1" x14ac:dyDescent="0.3">
      <c r="A609">
        <v>1845037</v>
      </c>
      <c r="B609">
        <v>20251205</v>
      </c>
      <c r="C609">
        <v>9936</v>
      </c>
      <c r="D609">
        <v>6851.4</v>
      </c>
      <c r="E609" s="123" t="s">
        <v>1566</v>
      </c>
      <c r="F609" s="123" t="s">
        <v>1585</v>
      </c>
      <c r="G609" s="123"/>
      <c r="H609" s="95">
        <v>45996</v>
      </c>
      <c r="I609">
        <v>35436</v>
      </c>
      <c r="J609" s="123" t="s">
        <v>300</v>
      </c>
      <c r="K609" s="123" t="s">
        <v>1037</v>
      </c>
      <c r="L609" s="123" t="e">
        <f>VLOOKUP(Fact_AUM_FyoCapital[[#This Row],[Dim_Empresas.CUIT]],'clientes SQL'!C:D,2,0)</f>
        <v>#N/A</v>
      </c>
    </row>
    <row r="610" spans="1:12" hidden="1" x14ac:dyDescent="0.3">
      <c r="A610">
        <v>1877257</v>
      </c>
      <c r="B610">
        <v>20251205</v>
      </c>
      <c r="C610">
        <v>1523</v>
      </c>
      <c r="D610">
        <v>29899.51</v>
      </c>
      <c r="E610" s="123" t="s">
        <v>1566</v>
      </c>
      <c r="F610" s="123" t="s">
        <v>1571</v>
      </c>
      <c r="G610" s="123"/>
      <c r="H610" s="95">
        <v>45996</v>
      </c>
      <c r="I610">
        <v>20093</v>
      </c>
      <c r="J610" s="123" t="s">
        <v>987</v>
      </c>
      <c r="K610" s="123" t="s">
        <v>988</v>
      </c>
      <c r="L610" s="123" t="e">
        <f>VLOOKUP(Fact_AUM_FyoCapital[[#This Row],[Dim_Empresas.CUIT]],'clientes SQL'!C:D,2,0)</f>
        <v>#N/A</v>
      </c>
    </row>
    <row r="611" spans="1:12" hidden="1" x14ac:dyDescent="0.3">
      <c r="A611">
        <v>1851457</v>
      </c>
      <c r="B611">
        <v>20251205</v>
      </c>
      <c r="C611">
        <v>855</v>
      </c>
      <c r="D611">
        <v>77449.004207573627</v>
      </c>
      <c r="E611" s="123" t="s">
        <v>1566</v>
      </c>
      <c r="F611" s="123" t="s">
        <v>1580</v>
      </c>
      <c r="G611" s="123"/>
      <c r="H611" s="95">
        <v>45996</v>
      </c>
      <c r="I611">
        <v>17742</v>
      </c>
      <c r="J611" s="123" t="s">
        <v>266</v>
      </c>
      <c r="K611" s="123" t="s">
        <v>1030</v>
      </c>
      <c r="L611" s="123" t="e">
        <f>VLOOKUP(Fact_AUM_FyoCapital[[#This Row],[Dim_Empresas.CUIT]],'clientes SQL'!C:D,2,0)</f>
        <v>#N/A</v>
      </c>
    </row>
    <row r="612" spans="1:12" hidden="1" x14ac:dyDescent="0.3">
      <c r="A612">
        <v>1895317</v>
      </c>
      <c r="B612">
        <v>20251205</v>
      </c>
      <c r="C612">
        <v>10244</v>
      </c>
      <c r="D612">
        <v>1147409.1164095371</v>
      </c>
      <c r="E612" s="123" t="s">
        <v>1566</v>
      </c>
      <c r="F612" s="123" t="s">
        <v>1582</v>
      </c>
      <c r="G612" s="123"/>
      <c r="H612" s="95">
        <v>45996</v>
      </c>
      <c r="I612">
        <v>35636</v>
      </c>
      <c r="J612" s="123" t="s">
        <v>564</v>
      </c>
      <c r="K612" s="123" t="s">
        <v>1017</v>
      </c>
      <c r="L612" s="123" t="e">
        <f>VLOOKUP(Fact_AUM_FyoCapital[[#This Row],[Dim_Empresas.CUIT]],'clientes SQL'!C:D,2,0)</f>
        <v>#N/A</v>
      </c>
    </row>
    <row r="613" spans="1:12" hidden="1" x14ac:dyDescent="0.3">
      <c r="A613">
        <v>2643329</v>
      </c>
      <c r="B613">
        <v>20251205</v>
      </c>
      <c r="C613">
        <v>2077</v>
      </c>
      <c r="D613">
        <v>0</v>
      </c>
      <c r="E613" s="123"/>
      <c r="F613" s="123"/>
      <c r="G613" s="123"/>
      <c r="H613" s="95">
        <v>45996</v>
      </c>
      <c r="I613">
        <v>30257</v>
      </c>
      <c r="J613" s="123" t="s">
        <v>611</v>
      </c>
      <c r="K613" s="123" t="s">
        <v>1063</v>
      </c>
      <c r="L613" s="123" t="e">
        <f>VLOOKUP(Fact_AUM_FyoCapital[[#This Row],[Dim_Empresas.CUIT]],'clientes SQL'!C:D,2,0)</f>
        <v>#N/A</v>
      </c>
    </row>
    <row r="614" spans="1:12" hidden="1" x14ac:dyDescent="0.3">
      <c r="A614">
        <v>2617709</v>
      </c>
      <c r="B614">
        <v>20251205</v>
      </c>
      <c r="C614">
        <v>9936</v>
      </c>
      <c r="D614">
        <v>33.950000000000003</v>
      </c>
      <c r="E614" s="123" t="s">
        <v>1563</v>
      </c>
      <c r="F614" s="123" t="s">
        <v>188</v>
      </c>
      <c r="G614" s="123"/>
      <c r="H614" s="95">
        <v>45996</v>
      </c>
      <c r="I614">
        <v>35436</v>
      </c>
      <c r="J614" s="123" t="s">
        <v>300</v>
      </c>
      <c r="K614" s="123" t="s">
        <v>1037</v>
      </c>
      <c r="L614" s="123" t="e">
        <f>VLOOKUP(Fact_AUM_FyoCapital[[#This Row],[Dim_Empresas.CUIT]],'clientes SQL'!C:D,2,0)</f>
        <v>#N/A</v>
      </c>
    </row>
    <row r="615" spans="1:12" hidden="1" x14ac:dyDescent="0.3">
      <c r="A615">
        <v>1883797</v>
      </c>
      <c r="B615">
        <v>20251205</v>
      </c>
      <c r="C615">
        <v>905</v>
      </c>
      <c r="D615">
        <v>0</v>
      </c>
      <c r="E615" s="123"/>
      <c r="F615" s="123"/>
      <c r="G615" s="123"/>
      <c r="H615" s="95">
        <v>45996</v>
      </c>
      <c r="I615">
        <v>18220</v>
      </c>
      <c r="J615" s="123" t="s">
        <v>531</v>
      </c>
      <c r="K615" s="123" t="s">
        <v>1121</v>
      </c>
      <c r="L615" s="123" t="e">
        <f>VLOOKUP(Fact_AUM_FyoCapital[[#This Row],[Dim_Empresas.CUIT]],'clientes SQL'!C:D,2,0)</f>
        <v>#N/A</v>
      </c>
    </row>
    <row r="616" spans="1:12" hidden="1" x14ac:dyDescent="0.3">
      <c r="A616">
        <v>1864597</v>
      </c>
      <c r="B616">
        <v>20251205</v>
      </c>
      <c r="C616">
        <v>1168</v>
      </c>
      <c r="D616">
        <v>82012.530932678827</v>
      </c>
      <c r="E616" s="123" t="s">
        <v>1568</v>
      </c>
      <c r="F616" s="123" t="s">
        <v>1572</v>
      </c>
      <c r="G616" s="123" t="s">
        <v>1583</v>
      </c>
      <c r="H616" s="95">
        <v>45996</v>
      </c>
      <c r="I616">
        <v>18976</v>
      </c>
      <c r="J616" s="123" t="s">
        <v>305</v>
      </c>
      <c r="K616" s="123" t="s">
        <v>1207</v>
      </c>
      <c r="L616" s="123" t="e">
        <f>VLOOKUP(Fact_AUM_FyoCapital[[#This Row],[Dim_Empresas.CUIT]],'clientes SQL'!C:D,2,0)</f>
        <v>#N/A</v>
      </c>
    </row>
    <row r="617" spans="1:12" hidden="1" x14ac:dyDescent="0.3">
      <c r="A617">
        <v>1844797</v>
      </c>
      <c r="B617">
        <v>20251205</v>
      </c>
      <c r="C617">
        <v>9936</v>
      </c>
      <c r="D617" s="6">
        <v>36075.51</v>
      </c>
      <c r="E617" s="123" t="s">
        <v>1566</v>
      </c>
      <c r="F617" s="123" t="s">
        <v>1571</v>
      </c>
      <c r="G617" s="123"/>
      <c r="H617" s="95">
        <v>45996</v>
      </c>
      <c r="I617">
        <v>35436</v>
      </c>
      <c r="J617" s="123" t="s">
        <v>300</v>
      </c>
      <c r="K617" s="123" t="s">
        <v>1037</v>
      </c>
      <c r="L617" s="123" t="e">
        <f>VLOOKUP(Fact_AUM_FyoCapital[[#This Row],[Dim_Empresas.CUIT]],'clientes SQL'!C:D,2,0)</f>
        <v>#N/A</v>
      </c>
    </row>
    <row r="618" spans="1:12" hidden="1" x14ac:dyDescent="0.3">
      <c r="A618">
        <v>2618369</v>
      </c>
      <c r="B618">
        <v>20251205</v>
      </c>
      <c r="C618">
        <v>13761</v>
      </c>
      <c r="D618">
        <v>35.380000000000003</v>
      </c>
      <c r="E618" s="123" t="s">
        <v>1563</v>
      </c>
      <c r="F618" s="123" t="s">
        <v>950</v>
      </c>
      <c r="G618" s="123"/>
      <c r="H618" s="95">
        <v>45996</v>
      </c>
      <c r="I618">
        <v>36914</v>
      </c>
      <c r="J618" s="123" t="s">
        <v>315</v>
      </c>
      <c r="K618" s="123" t="s">
        <v>1106</v>
      </c>
      <c r="L618" s="123" t="e">
        <f>VLOOKUP(Fact_AUM_FyoCapital[[#This Row],[Dim_Empresas.CUIT]],'clientes SQL'!C:D,2,0)</f>
        <v>#N/A</v>
      </c>
    </row>
    <row r="619" spans="1:12" hidden="1" x14ac:dyDescent="0.3">
      <c r="A619">
        <v>1845337</v>
      </c>
      <c r="B619">
        <v>20251205</v>
      </c>
      <c r="C619">
        <v>9936</v>
      </c>
      <c r="D619">
        <v>657.89621318373077</v>
      </c>
      <c r="E619" s="123" t="s">
        <v>1566</v>
      </c>
      <c r="F619" s="123" t="s">
        <v>1580</v>
      </c>
      <c r="G619" s="123"/>
      <c r="H619" s="95">
        <v>45996</v>
      </c>
      <c r="I619">
        <v>35436</v>
      </c>
      <c r="J619" s="123" t="s">
        <v>300</v>
      </c>
      <c r="K619" s="123" t="s">
        <v>1037</v>
      </c>
      <c r="L619" s="123" t="e">
        <f>VLOOKUP(Fact_AUM_FyoCapital[[#This Row],[Dim_Empresas.CUIT]],'clientes SQL'!C:D,2,0)</f>
        <v>#N/A</v>
      </c>
    </row>
    <row r="620" spans="1:12" hidden="1" x14ac:dyDescent="0.3">
      <c r="A620">
        <v>1845997</v>
      </c>
      <c r="B620">
        <v>20251205</v>
      </c>
      <c r="C620">
        <v>13275</v>
      </c>
      <c r="D620">
        <v>5268.4081346423563</v>
      </c>
      <c r="E620" s="123" t="s">
        <v>1566</v>
      </c>
      <c r="F620" s="123" t="s">
        <v>1571</v>
      </c>
      <c r="G620" s="123"/>
      <c r="H620" s="95">
        <v>45996</v>
      </c>
      <c r="I620">
        <v>36459</v>
      </c>
      <c r="J620" s="123" t="s">
        <v>296</v>
      </c>
      <c r="K620" s="123" t="s">
        <v>1138</v>
      </c>
      <c r="L620" s="123" t="e">
        <f>VLOOKUP(Fact_AUM_FyoCapital[[#This Row],[Dim_Empresas.CUIT]],'clientes SQL'!C:D,2,0)</f>
        <v>#N/A</v>
      </c>
    </row>
    <row r="621" spans="1:12" hidden="1" x14ac:dyDescent="0.3">
      <c r="A621">
        <v>2604149</v>
      </c>
      <c r="B621">
        <v>20251205</v>
      </c>
      <c r="C621">
        <v>7012</v>
      </c>
      <c r="D621">
        <v>278.07573632538572</v>
      </c>
      <c r="E621" s="123" t="s">
        <v>1566</v>
      </c>
      <c r="F621" s="123" t="s">
        <v>1573</v>
      </c>
      <c r="G621" s="123"/>
      <c r="H621" s="95">
        <v>45996</v>
      </c>
      <c r="I621">
        <v>34708</v>
      </c>
      <c r="J621" s="123" t="s">
        <v>626</v>
      </c>
      <c r="K621" s="123" t="s">
        <v>1203</v>
      </c>
      <c r="L621" s="123" t="e">
        <f>VLOOKUP(Fact_AUM_FyoCapital[[#This Row],[Dim_Empresas.CUIT]],'clientes SQL'!C:D,2,0)</f>
        <v>#N/A</v>
      </c>
    </row>
    <row r="622" spans="1:12" hidden="1" x14ac:dyDescent="0.3">
      <c r="A622">
        <v>2626949</v>
      </c>
      <c r="B622">
        <v>20251205</v>
      </c>
      <c r="C622">
        <v>1843</v>
      </c>
      <c r="D622">
        <v>9.5091164095371678E-3</v>
      </c>
      <c r="E622" s="123" t="s">
        <v>1563</v>
      </c>
      <c r="F622" s="123" t="s">
        <v>185</v>
      </c>
      <c r="G622" s="123"/>
      <c r="H622" s="95">
        <v>45996</v>
      </c>
      <c r="I622">
        <v>20674</v>
      </c>
      <c r="J622" s="123" t="s">
        <v>474</v>
      </c>
      <c r="K622" s="123" t="s">
        <v>1052</v>
      </c>
      <c r="L622" s="123" t="e">
        <f>VLOOKUP(Fact_AUM_FyoCapital[[#This Row],[Dim_Empresas.CUIT]],'clientes SQL'!C:D,2,0)</f>
        <v>#N/A</v>
      </c>
    </row>
    <row r="623" spans="1:12" hidden="1" x14ac:dyDescent="0.3">
      <c r="A623">
        <v>1866937</v>
      </c>
      <c r="B623">
        <v>20251205</v>
      </c>
      <c r="C623">
        <v>5197</v>
      </c>
      <c r="D623">
        <v>64485.273492286113</v>
      </c>
      <c r="E623" s="123" t="s">
        <v>1566</v>
      </c>
      <c r="F623" s="123" t="s">
        <v>1582</v>
      </c>
      <c r="G623" s="123"/>
      <c r="H623" s="95">
        <v>45996</v>
      </c>
      <c r="I623">
        <v>33322</v>
      </c>
      <c r="J623" s="123" t="s">
        <v>500</v>
      </c>
      <c r="K623" s="123" t="s">
        <v>1233</v>
      </c>
      <c r="L623" s="123" t="e">
        <f>VLOOKUP(Fact_AUM_FyoCapital[[#This Row],[Dim_Empresas.CUIT]],'clientes SQL'!C:D,2,0)</f>
        <v>#N/A</v>
      </c>
    </row>
    <row r="624" spans="1:12" hidden="1" x14ac:dyDescent="0.3">
      <c r="A624">
        <v>2620289</v>
      </c>
      <c r="B624">
        <v>20251205</v>
      </c>
      <c r="C624">
        <v>757</v>
      </c>
      <c r="D624">
        <v>5610.79</v>
      </c>
      <c r="E624" s="123" t="s">
        <v>1563</v>
      </c>
      <c r="F624" s="123" t="s">
        <v>950</v>
      </c>
      <c r="G624" s="123"/>
      <c r="H624" s="95">
        <v>45996</v>
      </c>
      <c r="I624">
        <v>13408</v>
      </c>
      <c r="J624" s="123" t="s">
        <v>274</v>
      </c>
      <c r="K624" s="123" t="s">
        <v>1001</v>
      </c>
      <c r="L624" s="123" t="e">
        <f>VLOOKUP(Fact_AUM_FyoCapital[[#This Row],[Dim_Empresas.CUIT]],'clientes SQL'!C:D,2,0)</f>
        <v>#N/A</v>
      </c>
    </row>
    <row r="625" spans="1:12" hidden="1" x14ac:dyDescent="0.3">
      <c r="A625">
        <v>2609249</v>
      </c>
      <c r="B625">
        <v>20251205</v>
      </c>
      <c r="C625">
        <v>5866</v>
      </c>
      <c r="D625">
        <v>0.66</v>
      </c>
      <c r="E625" s="123" t="s">
        <v>1563</v>
      </c>
      <c r="F625" s="123" t="s">
        <v>950</v>
      </c>
      <c r="G625" s="123"/>
      <c r="H625" s="95">
        <v>45996</v>
      </c>
      <c r="I625">
        <v>33662</v>
      </c>
      <c r="J625" s="123" t="s">
        <v>124</v>
      </c>
      <c r="K625" s="123" t="s">
        <v>1028</v>
      </c>
      <c r="L625" s="123">
        <f>VLOOKUP(Fact_AUM_FyoCapital[[#This Row],[Dim_Empresas.CUIT]],'clientes SQL'!C:D,2,0)</f>
        <v>13002</v>
      </c>
    </row>
    <row r="626" spans="1:12" hidden="1" x14ac:dyDescent="0.3">
      <c r="A626">
        <v>1867597</v>
      </c>
      <c r="B626">
        <v>20251205</v>
      </c>
      <c r="C626">
        <v>1470</v>
      </c>
      <c r="D626">
        <v>346.79522440392708</v>
      </c>
      <c r="E626" s="123" t="s">
        <v>1568</v>
      </c>
      <c r="F626" s="123" t="s">
        <v>1572</v>
      </c>
      <c r="G626" s="123" t="s">
        <v>1570</v>
      </c>
      <c r="H626" s="95">
        <v>45996</v>
      </c>
      <c r="I626">
        <v>19619</v>
      </c>
      <c r="J626" s="123" t="s">
        <v>476</v>
      </c>
      <c r="K626" s="123" t="s">
        <v>1284</v>
      </c>
      <c r="L626" s="123" t="e">
        <f>VLOOKUP(Fact_AUM_FyoCapital[[#This Row],[Dim_Empresas.CUIT]],'clientes SQL'!C:D,2,0)</f>
        <v>#N/A</v>
      </c>
    </row>
    <row r="627" spans="1:12" hidden="1" x14ac:dyDescent="0.3">
      <c r="A627">
        <v>2620409</v>
      </c>
      <c r="B627">
        <v>20251205</v>
      </c>
      <c r="C627">
        <v>757</v>
      </c>
      <c r="D627">
        <v>412.17</v>
      </c>
      <c r="E627" s="123" t="s">
        <v>1563</v>
      </c>
      <c r="F627" s="123" t="s">
        <v>188</v>
      </c>
      <c r="G627" s="123"/>
      <c r="H627" s="95">
        <v>45996</v>
      </c>
      <c r="I627">
        <v>13408</v>
      </c>
      <c r="J627" s="123" t="s">
        <v>274</v>
      </c>
      <c r="K627" s="123" t="s">
        <v>1001</v>
      </c>
      <c r="L627" s="123" t="e">
        <f>VLOOKUP(Fact_AUM_FyoCapital[[#This Row],[Dim_Empresas.CUIT]],'clientes SQL'!C:D,2,0)</f>
        <v>#N/A</v>
      </c>
    </row>
    <row r="628" spans="1:12" hidden="1" x14ac:dyDescent="0.3">
      <c r="A628">
        <v>2623949</v>
      </c>
      <c r="B628">
        <v>20251205</v>
      </c>
      <c r="C628">
        <v>16286</v>
      </c>
      <c r="D628">
        <v>46.538057503506316</v>
      </c>
      <c r="E628" s="123" t="s">
        <v>1563</v>
      </c>
      <c r="F628" s="123" t="s">
        <v>185</v>
      </c>
      <c r="G628" s="123"/>
      <c r="H628" s="95">
        <v>45996</v>
      </c>
      <c r="I628">
        <v>37771</v>
      </c>
      <c r="J628" s="123" t="s">
        <v>1094</v>
      </c>
      <c r="K628" s="123" t="s">
        <v>1095</v>
      </c>
      <c r="L628" s="123" t="e">
        <f>VLOOKUP(Fact_AUM_FyoCapital[[#This Row],[Dim_Empresas.CUIT]],'clientes SQL'!C:D,2,0)</f>
        <v>#N/A</v>
      </c>
    </row>
    <row r="629" spans="1:12" hidden="1" x14ac:dyDescent="0.3">
      <c r="A629">
        <v>2643209</v>
      </c>
      <c r="B629">
        <v>20251205</v>
      </c>
      <c r="C629">
        <v>2077</v>
      </c>
      <c r="D629">
        <v>1.9635343618513325E-4</v>
      </c>
      <c r="E629" s="123" t="s">
        <v>1563</v>
      </c>
      <c r="F629" s="123" t="s">
        <v>185</v>
      </c>
      <c r="G629" s="123"/>
      <c r="H629" s="95">
        <v>45996</v>
      </c>
      <c r="I629">
        <v>30257</v>
      </c>
      <c r="J629" s="123" t="s">
        <v>611</v>
      </c>
      <c r="K629" s="123" t="s">
        <v>1063</v>
      </c>
      <c r="L629" s="123" t="e">
        <f>VLOOKUP(Fact_AUM_FyoCapital[[#This Row],[Dim_Empresas.CUIT]],'clientes SQL'!C:D,2,0)</f>
        <v>#N/A</v>
      </c>
    </row>
    <row r="630" spans="1:12" hidden="1" x14ac:dyDescent="0.3">
      <c r="A630">
        <v>1877017</v>
      </c>
      <c r="B630">
        <v>20251205</v>
      </c>
      <c r="C630">
        <v>1523</v>
      </c>
      <c r="D630">
        <v>17036.77</v>
      </c>
      <c r="E630" s="123" t="s">
        <v>1566</v>
      </c>
      <c r="F630" s="123" t="s">
        <v>1571</v>
      </c>
      <c r="G630" s="123"/>
      <c r="H630" s="95">
        <v>45996</v>
      </c>
      <c r="I630">
        <v>20093</v>
      </c>
      <c r="J630" s="123" t="s">
        <v>987</v>
      </c>
      <c r="K630" s="123" t="s">
        <v>988</v>
      </c>
      <c r="L630" s="123" t="e">
        <f>VLOOKUP(Fact_AUM_FyoCapital[[#This Row],[Dim_Empresas.CUIT]],'clientes SQL'!C:D,2,0)</f>
        <v>#N/A</v>
      </c>
    </row>
    <row r="631" spans="1:12" hidden="1" x14ac:dyDescent="0.3">
      <c r="A631">
        <v>1892437</v>
      </c>
      <c r="B631">
        <v>20251205</v>
      </c>
      <c r="C631">
        <v>3479</v>
      </c>
      <c r="D631">
        <v>1202712.6174614306</v>
      </c>
      <c r="E631" s="123" t="s">
        <v>1566</v>
      </c>
      <c r="F631" s="123" t="s">
        <v>1573</v>
      </c>
      <c r="G631" s="123"/>
      <c r="H631" s="95">
        <v>45996</v>
      </c>
      <c r="I631">
        <v>31936</v>
      </c>
      <c r="J631" s="123" t="s">
        <v>456</v>
      </c>
      <c r="K631" s="123" t="s">
        <v>1119</v>
      </c>
      <c r="L631" s="123" t="e">
        <f>VLOOKUP(Fact_AUM_FyoCapital[[#This Row],[Dim_Empresas.CUIT]],'clientes SQL'!C:D,2,0)</f>
        <v>#N/A</v>
      </c>
    </row>
    <row r="632" spans="1:12" hidden="1" x14ac:dyDescent="0.3">
      <c r="A632">
        <v>2631989</v>
      </c>
      <c r="B632">
        <v>20251205</v>
      </c>
      <c r="C632">
        <v>1522</v>
      </c>
      <c r="D632">
        <v>-0.37</v>
      </c>
      <c r="E632" s="123" t="s">
        <v>1563</v>
      </c>
      <c r="F632" s="123" t="s">
        <v>950</v>
      </c>
      <c r="G632" s="123"/>
      <c r="H632" s="95">
        <v>45996</v>
      </c>
      <c r="I632">
        <v>20094</v>
      </c>
      <c r="J632" s="123" t="s">
        <v>488</v>
      </c>
      <c r="K632" s="123" t="s">
        <v>1050</v>
      </c>
      <c r="L632" s="123" t="e">
        <f>VLOOKUP(Fact_AUM_FyoCapital[[#This Row],[Dim_Empresas.CUIT]],'clientes SQL'!C:D,2,0)</f>
        <v>#N/A</v>
      </c>
    </row>
    <row r="633" spans="1:12" hidden="1" x14ac:dyDescent="0.3">
      <c r="A633">
        <v>2620229</v>
      </c>
      <c r="B633">
        <v>20251205</v>
      </c>
      <c r="C633">
        <v>757</v>
      </c>
      <c r="D633">
        <v>0.16198457223001403</v>
      </c>
      <c r="E633" s="123" t="s">
        <v>1563</v>
      </c>
      <c r="F633" s="123" t="s">
        <v>185</v>
      </c>
      <c r="G633" s="123"/>
      <c r="H633" s="95">
        <v>45996</v>
      </c>
      <c r="I633">
        <v>13408</v>
      </c>
      <c r="J633" s="123" t="s">
        <v>274</v>
      </c>
      <c r="K633" s="123" t="s">
        <v>1001</v>
      </c>
      <c r="L633" s="123" t="e">
        <f>VLOOKUP(Fact_AUM_FyoCapital[[#This Row],[Dim_Empresas.CUIT]],'clientes SQL'!C:D,2,0)</f>
        <v>#N/A</v>
      </c>
    </row>
    <row r="634" spans="1:12" hidden="1" x14ac:dyDescent="0.3">
      <c r="A634">
        <v>1887457</v>
      </c>
      <c r="B634">
        <v>20251205</v>
      </c>
      <c r="C634">
        <v>13687</v>
      </c>
      <c r="D634">
        <v>86103.4</v>
      </c>
      <c r="E634" s="123" t="s">
        <v>1568</v>
      </c>
      <c r="F634" s="123" t="s">
        <v>1575</v>
      </c>
      <c r="G634" s="123" t="s">
        <v>1576</v>
      </c>
      <c r="H634" s="95">
        <v>45996</v>
      </c>
      <c r="I634">
        <v>36849</v>
      </c>
      <c r="J634" s="123" t="s">
        <v>1032</v>
      </c>
      <c r="K634" s="123" t="s">
        <v>1033</v>
      </c>
      <c r="L634" s="123" t="e">
        <f>VLOOKUP(Fact_AUM_FyoCapital[[#This Row],[Dim_Empresas.CUIT]],'clientes SQL'!C:D,2,0)</f>
        <v>#N/A</v>
      </c>
    </row>
    <row r="635" spans="1:12" hidden="1" x14ac:dyDescent="0.3">
      <c r="A635">
        <v>1836217</v>
      </c>
      <c r="B635">
        <v>20251205</v>
      </c>
      <c r="C635">
        <v>626</v>
      </c>
      <c r="D635">
        <v>0</v>
      </c>
      <c r="E635" s="123"/>
      <c r="F635" s="123"/>
      <c r="G635" s="123"/>
      <c r="H635" s="95">
        <v>45996</v>
      </c>
      <c r="I635">
        <v>580</v>
      </c>
      <c r="J635" s="123" t="s">
        <v>345</v>
      </c>
      <c r="K635" s="123" t="s">
        <v>979</v>
      </c>
      <c r="L635" s="123" t="e">
        <f>VLOOKUP(Fact_AUM_FyoCapital[[#This Row],[Dim_Empresas.CUIT]],'clientes SQL'!C:D,2,0)</f>
        <v>#N/A</v>
      </c>
    </row>
    <row r="636" spans="1:12" hidden="1" x14ac:dyDescent="0.3">
      <c r="A636">
        <v>1859197</v>
      </c>
      <c r="B636">
        <v>20251205</v>
      </c>
      <c r="C636">
        <v>16286</v>
      </c>
      <c r="D636">
        <v>4115.2721458625529</v>
      </c>
      <c r="E636" s="123" t="s">
        <v>1568</v>
      </c>
      <c r="F636" s="123" t="s">
        <v>1575</v>
      </c>
      <c r="G636" s="123" t="s">
        <v>1574</v>
      </c>
      <c r="H636" s="95">
        <v>45996</v>
      </c>
      <c r="I636">
        <v>37771</v>
      </c>
      <c r="J636" s="123" t="s">
        <v>1094</v>
      </c>
      <c r="K636" s="123" t="s">
        <v>1095</v>
      </c>
      <c r="L636" s="123" t="e">
        <f>VLOOKUP(Fact_AUM_FyoCapital[[#This Row],[Dim_Empresas.CUIT]],'clientes SQL'!C:D,2,0)</f>
        <v>#N/A</v>
      </c>
    </row>
    <row r="637" spans="1:12" hidden="1" x14ac:dyDescent="0.3">
      <c r="A637">
        <v>2628629</v>
      </c>
      <c r="B637">
        <v>20251205</v>
      </c>
      <c r="C637">
        <v>2042</v>
      </c>
      <c r="D637">
        <v>-0.09</v>
      </c>
      <c r="E637" s="123" t="s">
        <v>1563</v>
      </c>
      <c r="F637" s="123" t="s">
        <v>950</v>
      </c>
      <c r="G637" s="123"/>
      <c r="H637" s="95">
        <v>45996</v>
      </c>
      <c r="I637">
        <v>30036</v>
      </c>
      <c r="J637" s="123" t="s">
        <v>445</v>
      </c>
      <c r="K637" s="123" t="s">
        <v>1189</v>
      </c>
      <c r="L637" s="123" t="e">
        <f>VLOOKUP(Fact_AUM_FyoCapital[[#This Row],[Dim_Empresas.CUIT]],'clientes SQL'!C:D,2,0)</f>
        <v>#N/A</v>
      </c>
    </row>
    <row r="638" spans="1:12" hidden="1" x14ac:dyDescent="0.3">
      <c r="A638">
        <v>1892497</v>
      </c>
      <c r="B638">
        <v>20251205</v>
      </c>
      <c r="C638">
        <v>3479</v>
      </c>
      <c r="D638">
        <v>193154.30750350631</v>
      </c>
      <c r="E638" s="123" t="s">
        <v>1566</v>
      </c>
      <c r="F638" s="123" t="s">
        <v>1573</v>
      </c>
      <c r="G638" s="123"/>
      <c r="H638" s="95">
        <v>45996</v>
      </c>
      <c r="I638">
        <v>31936</v>
      </c>
      <c r="J638" s="123" t="s">
        <v>456</v>
      </c>
      <c r="K638" s="123" t="s">
        <v>1119</v>
      </c>
      <c r="L638" s="123" t="e">
        <f>VLOOKUP(Fact_AUM_FyoCapital[[#This Row],[Dim_Empresas.CUIT]],'clientes SQL'!C:D,2,0)</f>
        <v>#N/A</v>
      </c>
    </row>
    <row r="639" spans="1:12" hidden="1" x14ac:dyDescent="0.3">
      <c r="A639">
        <v>2603189</v>
      </c>
      <c r="B639">
        <v>20251205</v>
      </c>
      <c r="C639">
        <v>366</v>
      </c>
      <c r="D639">
        <v>60.336795231416552</v>
      </c>
      <c r="E639" s="123" t="s">
        <v>1568</v>
      </c>
      <c r="F639" s="123" t="s">
        <v>1572</v>
      </c>
      <c r="G639" s="123" t="s">
        <v>1570</v>
      </c>
      <c r="H639" s="95">
        <v>45996</v>
      </c>
      <c r="I639">
        <v>7548</v>
      </c>
      <c r="J639" s="123" t="s">
        <v>620</v>
      </c>
      <c r="K639" s="123" t="s">
        <v>1108</v>
      </c>
      <c r="L639" s="123" t="e">
        <f>VLOOKUP(Fact_AUM_FyoCapital[[#This Row],[Dim_Empresas.CUIT]],'clientes SQL'!C:D,2,0)</f>
        <v>#N/A</v>
      </c>
    </row>
    <row r="640" spans="1:12" hidden="1" x14ac:dyDescent="0.3">
      <c r="A640">
        <v>2619389</v>
      </c>
      <c r="B640">
        <v>20251205</v>
      </c>
      <c r="C640">
        <v>1025</v>
      </c>
      <c r="D640">
        <v>0.01</v>
      </c>
      <c r="E640" s="123" t="s">
        <v>1563</v>
      </c>
      <c r="F640" s="123" t="s">
        <v>188</v>
      </c>
      <c r="G640" s="123"/>
      <c r="H640" s="95">
        <v>45996</v>
      </c>
      <c r="I640">
        <v>7356</v>
      </c>
      <c r="J640" s="123" t="s">
        <v>245</v>
      </c>
      <c r="K640" s="123" t="s">
        <v>1078</v>
      </c>
      <c r="L640" s="123" t="e">
        <f>VLOOKUP(Fact_AUM_FyoCapital[[#This Row],[Dim_Empresas.CUIT]],'clientes SQL'!C:D,2,0)</f>
        <v>#N/A</v>
      </c>
    </row>
    <row r="641" spans="1:12" hidden="1" x14ac:dyDescent="0.3">
      <c r="A641">
        <v>2628149</v>
      </c>
      <c r="B641">
        <v>20251205</v>
      </c>
      <c r="C641">
        <v>12417</v>
      </c>
      <c r="D641">
        <v>2.02</v>
      </c>
      <c r="E641" s="123" t="s">
        <v>1563</v>
      </c>
      <c r="F641" s="123" t="s">
        <v>950</v>
      </c>
      <c r="G641" s="123"/>
      <c r="H641" s="95">
        <v>45996</v>
      </c>
      <c r="I641">
        <v>35703</v>
      </c>
      <c r="J641" s="123" t="s">
        <v>459</v>
      </c>
      <c r="K641" s="123" t="s">
        <v>1222</v>
      </c>
      <c r="L641" s="123" t="e">
        <f>VLOOKUP(Fact_AUM_FyoCapital[[#This Row],[Dim_Empresas.CUIT]],'clientes SQL'!C:D,2,0)</f>
        <v>#N/A</v>
      </c>
    </row>
    <row r="642" spans="1:12" hidden="1" x14ac:dyDescent="0.3">
      <c r="A642">
        <v>2619629</v>
      </c>
      <c r="B642">
        <v>20251205</v>
      </c>
      <c r="C642">
        <v>632</v>
      </c>
      <c r="D642">
        <v>-203.8740532959327</v>
      </c>
      <c r="E642" s="123" t="s">
        <v>1563</v>
      </c>
      <c r="F642" s="123" t="s">
        <v>185</v>
      </c>
      <c r="G642" s="123"/>
      <c r="H642" s="95">
        <v>45996</v>
      </c>
      <c r="I642">
        <v>9449</v>
      </c>
      <c r="J642" s="123" t="s">
        <v>258</v>
      </c>
      <c r="K642" s="123" t="s">
        <v>1081</v>
      </c>
      <c r="L642" s="123" t="e">
        <f>VLOOKUP(Fact_AUM_FyoCapital[[#This Row],[Dim_Empresas.CUIT]],'clientes SQL'!C:D,2,0)</f>
        <v>#N/A</v>
      </c>
    </row>
    <row r="643" spans="1:12" hidden="1" x14ac:dyDescent="0.3">
      <c r="A643">
        <v>2624969</v>
      </c>
      <c r="B643">
        <v>20251205</v>
      </c>
      <c r="C643">
        <v>4259</v>
      </c>
      <c r="D643">
        <v>2.6</v>
      </c>
      <c r="E643" s="123" t="s">
        <v>1563</v>
      </c>
      <c r="F643" s="123" t="s">
        <v>188</v>
      </c>
      <c r="G643" s="123"/>
      <c r="H643" s="95">
        <v>45996</v>
      </c>
      <c r="I643">
        <v>19330</v>
      </c>
      <c r="J643" s="123" t="s">
        <v>293</v>
      </c>
      <c r="K643" s="123" t="s">
        <v>1166</v>
      </c>
      <c r="L643" s="123" t="e">
        <f>VLOOKUP(Fact_AUM_FyoCapital[[#This Row],[Dim_Empresas.CUIT]],'clientes SQL'!C:D,2,0)</f>
        <v>#N/A</v>
      </c>
    </row>
    <row r="644" spans="1:12" hidden="1" x14ac:dyDescent="0.3">
      <c r="A644">
        <v>1858777</v>
      </c>
      <c r="B644">
        <v>20251205</v>
      </c>
      <c r="C644">
        <v>13751</v>
      </c>
      <c r="D644">
        <v>51235.02</v>
      </c>
      <c r="E644" s="123" t="s">
        <v>1566</v>
      </c>
      <c r="F644" s="123" t="s">
        <v>1579</v>
      </c>
      <c r="G644" s="123"/>
      <c r="H644" s="95">
        <v>45996</v>
      </c>
      <c r="I644">
        <v>36904</v>
      </c>
      <c r="J644" s="123" t="s">
        <v>685</v>
      </c>
      <c r="K644" s="123" t="s">
        <v>1054</v>
      </c>
      <c r="L644" s="123" t="e">
        <f>VLOOKUP(Fact_AUM_FyoCapital[[#This Row],[Dim_Empresas.CUIT]],'clientes SQL'!C:D,2,0)</f>
        <v>#N/A</v>
      </c>
    </row>
    <row r="645" spans="1:12" hidden="1" x14ac:dyDescent="0.3">
      <c r="A645">
        <v>1842457</v>
      </c>
      <c r="B645">
        <v>20251205</v>
      </c>
      <c r="C645">
        <v>9936</v>
      </c>
      <c r="D645">
        <v>1040.8499298737727</v>
      </c>
      <c r="E645" s="123" t="s">
        <v>1566</v>
      </c>
      <c r="F645" s="123" t="s">
        <v>1573</v>
      </c>
      <c r="G645" s="123"/>
      <c r="H645" s="95">
        <v>45996</v>
      </c>
      <c r="I645">
        <v>35436</v>
      </c>
      <c r="J645" s="123" t="s">
        <v>300</v>
      </c>
      <c r="K645" s="123" t="s">
        <v>1037</v>
      </c>
      <c r="L645" s="123" t="e">
        <f>VLOOKUP(Fact_AUM_FyoCapital[[#This Row],[Dim_Empresas.CUIT]],'clientes SQL'!C:D,2,0)</f>
        <v>#N/A</v>
      </c>
    </row>
    <row r="646" spans="1:12" hidden="1" x14ac:dyDescent="0.3">
      <c r="A646">
        <v>1851877</v>
      </c>
      <c r="B646">
        <v>20251205</v>
      </c>
      <c r="C646">
        <v>757</v>
      </c>
      <c r="D646">
        <v>358239.84197054699</v>
      </c>
      <c r="E646" s="123" t="s">
        <v>1566</v>
      </c>
      <c r="F646" s="123" t="s">
        <v>1571</v>
      </c>
      <c r="G646" s="123"/>
      <c r="H646" s="95">
        <v>45996</v>
      </c>
      <c r="I646">
        <v>13408</v>
      </c>
      <c r="J646" s="123" t="s">
        <v>274</v>
      </c>
      <c r="K646" s="123" t="s">
        <v>1001</v>
      </c>
      <c r="L646" s="123" t="e">
        <f>VLOOKUP(Fact_AUM_FyoCapital[[#This Row],[Dim_Empresas.CUIT]],'clientes SQL'!C:D,2,0)</f>
        <v>#N/A</v>
      </c>
    </row>
    <row r="647" spans="1:12" hidden="1" x14ac:dyDescent="0.3">
      <c r="A647">
        <v>1898797</v>
      </c>
      <c r="B647">
        <v>20251205</v>
      </c>
      <c r="C647">
        <v>12922</v>
      </c>
      <c r="D647">
        <v>3744.6563814866759</v>
      </c>
      <c r="E647" s="123" t="s">
        <v>1566</v>
      </c>
      <c r="F647" s="123" t="s">
        <v>1580</v>
      </c>
      <c r="G647" s="123"/>
      <c r="H647" s="95">
        <v>45996</v>
      </c>
      <c r="I647">
        <v>36140</v>
      </c>
      <c r="J647" s="123" t="s">
        <v>128</v>
      </c>
      <c r="K647" s="123" t="s">
        <v>1042</v>
      </c>
      <c r="L647" s="123">
        <f>VLOOKUP(Fact_AUM_FyoCapital[[#This Row],[Dim_Empresas.CUIT]],'clientes SQL'!C:D,2,0)</f>
        <v>13006</v>
      </c>
    </row>
    <row r="648" spans="1:12" hidden="1" x14ac:dyDescent="0.3">
      <c r="A648">
        <v>2639309</v>
      </c>
      <c r="B648">
        <v>20251205</v>
      </c>
      <c r="C648">
        <v>1327</v>
      </c>
      <c r="D648">
        <v>0.69</v>
      </c>
      <c r="E648" s="123" t="s">
        <v>1563</v>
      </c>
      <c r="F648" s="123" t="s">
        <v>950</v>
      </c>
      <c r="G648" s="123"/>
      <c r="H648" s="95">
        <v>45996</v>
      </c>
      <c r="I648">
        <v>19092</v>
      </c>
      <c r="J648" s="123" t="s">
        <v>1261</v>
      </c>
      <c r="K648" s="123" t="s">
        <v>1262</v>
      </c>
      <c r="L648" s="123" t="e">
        <f>VLOOKUP(Fact_AUM_FyoCapital[[#This Row],[Dim_Empresas.CUIT]],'clientes SQL'!C:D,2,0)</f>
        <v>#N/A</v>
      </c>
    </row>
    <row r="649" spans="1:12" hidden="1" x14ac:dyDescent="0.3">
      <c r="A649">
        <v>1898737</v>
      </c>
      <c r="B649">
        <v>20251205</v>
      </c>
      <c r="C649">
        <v>12922</v>
      </c>
      <c r="D649">
        <v>4775.648667601683</v>
      </c>
      <c r="E649" s="123" t="s">
        <v>1566</v>
      </c>
      <c r="F649" s="123" t="s">
        <v>1580</v>
      </c>
      <c r="G649" s="123"/>
      <c r="H649" s="95">
        <v>45996</v>
      </c>
      <c r="I649">
        <v>36140</v>
      </c>
      <c r="J649" s="123" t="s">
        <v>128</v>
      </c>
      <c r="K649" s="123" t="s">
        <v>1042</v>
      </c>
      <c r="L649" s="123">
        <f>VLOOKUP(Fact_AUM_FyoCapital[[#This Row],[Dim_Empresas.CUIT]],'clientes SQL'!C:D,2,0)</f>
        <v>13006</v>
      </c>
    </row>
    <row r="650" spans="1:12" hidden="1" x14ac:dyDescent="0.3">
      <c r="A650">
        <v>2632049</v>
      </c>
      <c r="B650">
        <v>20251205</v>
      </c>
      <c r="C650">
        <v>1522</v>
      </c>
      <c r="D650">
        <v>-2290.87</v>
      </c>
      <c r="E650" s="123" t="s">
        <v>1563</v>
      </c>
      <c r="F650" s="123" t="s">
        <v>801</v>
      </c>
      <c r="G650" s="123"/>
      <c r="H650" s="95">
        <v>45996</v>
      </c>
      <c r="I650">
        <v>20094</v>
      </c>
      <c r="J650" s="123" t="s">
        <v>488</v>
      </c>
      <c r="K650" s="123" t="s">
        <v>1050</v>
      </c>
      <c r="L650" s="123" t="e">
        <f>VLOOKUP(Fact_AUM_FyoCapital[[#This Row],[Dim_Empresas.CUIT]],'clientes SQL'!C:D,2,0)</f>
        <v>#N/A</v>
      </c>
    </row>
    <row r="651" spans="1:12" hidden="1" x14ac:dyDescent="0.3">
      <c r="A651">
        <v>1827157</v>
      </c>
      <c r="B651">
        <v>20251205</v>
      </c>
      <c r="C651">
        <v>1577</v>
      </c>
      <c r="D651">
        <v>80450.006290322577</v>
      </c>
      <c r="E651" s="123" t="s">
        <v>1568</v>
      </c>
      <c r="F651" s="123" t="s">
        <v>1572</v>
      </c>
      <c r="G651" s="123" t="s">
        <v>1583</v>
      </c>
      <c r="H651" s="95">
        <v>45996</v>
      </c>
      <c r="I651">
        <v>20263</v>
      </c>
      <c r="J651" s="123" t="s">
        <v>1096</v>
      </c>
      <c r="K651" s="123" t="s">
        <v>1097</v>
      </c>
      <c r="L651" s="123" t="e">
        <f>VLOOKUP(Fact_AUM_FyoCapital[[#This Row],[Dim_Empresas.CUIT]],'clientes SQL'!C:D,2,0)</f>
        <v>#N/A</v>
      </c>
    </row>
    <row r="652" spans="1:12" hidden="1" x14ac:dyDescent="0.3">
      <c r="A652">
        <v>1824817</v>
      </c>
      <c r="B652">
        <v>20251205</v>
      </c>
      <c r="C652">
        <v>885</v>
      </c>
      <c r="D652">
        <v>440055.98235624126</v>
      </c>
      <c r="E652" s="123" t="s">
        <v>1568</v>
      </c>
      <c r="F652" s="123" t="s">
        <v>1572</v>
      </c>
      <c r="G652" s="123" t="s">
        <v>1570</v>
      </c>
      <c r="H652" s="95">
        <v>45996</v>
      </c>
      <c r="I652">
        <v>9831</v>
      </c>
      <c r="J652" s="123" t="s">
        <v>1074</v>
      </c>
      <c r="K652" s="123" t="s">
        <v>1075</v>
      </c>
      <c r="L652" s="123" t="e">
        <f>VLOOKUP(Fact_AUM_FyoCapital[[#This Row],[Dim_Empresas.CUIT]],'clientes SQL'!C:D,2,0)</f>
        <v>#N/A</v>
      </c>
    </row>
    <row r="653" spans="1:12" hidden="1" x14ac:dyDescent="0.3">
      <c r="A653">
        <v>2618849</v>
      </c>
      <c r="B653">
        <v>20251205</v>
      </c>
      <c r="C653">
        <v>347</v>
      </c>
      <c r="D653">
        <v>-5.0343618513323987E-2</v>
      </c>
      <c r="E653" s="123" t="s">
        <v>1563</v>
      </c>
      <c r="F653" s="123" t="s">
        <v>185</v>
      </c>
      <c r="G653" s="123"/>
      <c r="H653" s="95">
        <v>45996</v>
      </c>
      <c r="I653">
        <v>7020</v>
      </c>
      <c r="J653" s="123" t="s">
        <v>223</v>
      </c>
      <c r="K653" s="123" t="s">
        <v>1165</v>
      </c>
      <c r="L653" s="123" t="e">
        <f>VLOOKUP(Fact_AUM_FyoCapital[[#This Row],[Dim_Empresas.CUIT]],'clientes SQL'!C:D,2,0)</f>
        <v>#N/A</v>
      </c>
    </row>
    <row r="654" spans="1:12" hidden="1" x14ac:dyDescent="0.3">
      <c r="A654">
        <v>1851337</v>
      </c>
      <c r="B654">
        <v>20251205</v>
      </c>
      <c r="C654">
        <v>855</v>
      </c>
      <c r="D654">
        <v>106122.45</v>
      </c>
      <c r="E654" s="123" t="s">
        <v>1566</v>
      </c>
      <c r="F654" s="123" t="s">
        <v>1579</v>
      </c>
      <c r="G654" s="123"/>
      <c r="H654" s="95">
        <v>45996</v>
      </c>
      <c r="I654">
        <v>17742</v>
      </c>
      <c r="J654" s="123" t="s">
        <v>266</v>
      </c>
      <c r="K654" s="123" t="s">
        <v>1030</v>
      </c>
      <c r="L654" s="123" t="e">
        <f>VLOOKUP(Fact_AUM_FyoCapital[[#This Row],[Dim_Empresas.CUIT]],'clientes SQL'!C:D,2,0)</f>
        <v>#N/A</v>
      </c>
    </row>
    <row r="655" spans="1:12" hidden="1" x14ac:dyDescent="0.3">
      <c r="A655">
        <v>2616929</v>
      </c>
      <c r="B655">
        <v>20251205</v>
      </c>
      <c r="C655">
        <v>12567</v>
      </c>
      <c r="D655">
        <v>0.16004908835904627</v>
      </c>
      <c r="E655" s="123" t="s">
        <v>1563</v>
      </c>
      <c r="F655" s="123" t="s">
        <v>185</v>
      </c>
      <c r="G655" s="123"/>
      <c r="H655" s="95">
        <v>45996</v>
      </c>
      <c r="I655">
        <v>35830</v>
      </c>
      <c r="J655" s="123" t="s">
        <v>333</v>
      </c>
      <c r="K655" s="123" t="s">
        <v>1170</v>
      </c>
      <c r="L655" s="123" t="e">
        <f>VLOOKUP(Fact_AUM_FyoCapital[[#This Row],[Dim_Empresas.CUIT]],'clientes SQL'!C:D,2,0)</f>
        <v>#N/A</v>
      </c>
    </row>
    <row r="656" spans="1:12" hidden="1" x14ac:dyDescent="0.3">
      <c r="A656">
        <v>1824757</v>
      </c>
      <c r="B656">
        <v>20251205</v>
      </c>
      <c r="C656">
        <v>885</v>
      </c>
      <c r="D656">
        <v>148088.4</v>
      </c>
      <c r="E656" s="123" t="s">
        <v>1568</v>
      </c>
      <c r="F656" s="123" t="s">
        <v>1575</v>
      </c>
      <c r="G656" s="123" t="s">
        <v>1576</v>
      </c>
      <c r="H656" s="95">
        <v>45996</v>
      </c>
      <c r="I656">
        <v>9831</v>
      </c>
      <c r="J656" s="123" t="s">
        <v>1074</v>
      </c>
      <c r="K656" s="123" t="s">
        <v>1075</v>
      </c>
      <c r="L656" s="123" t="e">
        <f>VLOOKUP(Fact_AUM_FyoCapital[[#This Row],[Dim_Empresas.CUIT]],'clientes SQL'!C:D,2,0)</f>
        <v>#N/A</v>
      </c>
    </row>
    <row r="657" spans="1:12" hidden="1" x14ac:dyDescent="0.3">
      <c r="A657">
        <v>1837537</v>
      </c>
      <c r="B657">
        <v>20251205</v>
      </c>
      <c r="C657">
        <v>626</v>
      </c>
      <c r="D657">
        <v>232219.60711781206</v>
      </c>
      <c r="E657" s="123" t="s">
        <v>1566</v>
      </c>
      <c r="F657" s="123" t="s">
        <v>1571</v>
      </c>
      <c r="G657" s="123"/>
      <c r="H657" s="95">
        <v>45996</v>
      </c>
      <c r="I657">
        <v>580</v>
      </c>
      <c r="J657" s="123" t="s">
        <v>345</v>
      </c>
      <c r="K657" s="123" t="s">
        <v>979</v>
      </c>
      <c r="L657" s="123" t="e">
        <f>VLOOKUP(Fact_AUM_FyoCapital[[#This Row],[Dim_Empresas.CUIT]],'clientes SQL'!C:D,2,0)</f>
        <v>#N/A</v>
      </c>
    </row>
    <row r="658" spans="1:12" hidden="1" x14ac:dyDescent="0.3">
      <c r="A658">
        <v>1503484</v>
      </c>
      <c r="B658">
        <v>20251205</v>
      </c>
      <c r="C658">
        <v>9936</v>
      </c>
      <c r="D658">
        <v>15266.17</v>
      </c>
      <c r="E658" s="123" t="s">
        <v>1564</v>
      </c>
      <c r="F658" s="123" t="s">
        <v>1581</v>
      </c>
      <c r="G658" s="123"/>
      <c r="H658" s="95">
        <v>45996</v>
      </c>
      <c r="I658">
        <v>35436</v>
      </c>
      <c r="J658" s="123" t="s">
        <v>300</v>
      </c>
      <c r="K658" s="123" t="s">
        <v>1037</v>
      </c>
      <c r="L658" s="123" t="e">
        <f>VLOOKUP(Fact_AUM_FyoCapital[[#This Row],[Dim_Empresas.CUIT]],'clientes SQL'!C:D,2,0)</f>
        <v>#N/A</v>
      </c>
    </row>
    <row r="659" spans="1:12" hidden="1" x14ac:dyDescent="0.3">
      <c r="A659">
        <v>2636969</v>
      </c>
      <c r="B659">
        <v>20251205</v>
      </c>
      <c r="C659">
        <v>3479</v>
      </c>
      <c r="D659">
        <v>4.7685834502103792E-4</v>
      </c>
      <c r="E659" s="123" t="s">
        <v>1563</v>
      </c>
      <c r="F659" s="123" t="s">
        <v>185</v>
      </c>
      <c r="G659" s="123"/>
      <c r="H659" s="95">
        <v>45996</v>
      </c>
      <c r="I659">
        <v>31936</v>
      </c>
      <c r="J659" s="123" t="s">
        <v>456</v>
      </c>
      <c r="K659" s="123" t="s">
        <v>1119</v>
      </c>
      <c r="L659" s="123" t="e">
        <f>VLOOKUP(Fact_AUM_FyoCapital[[#This Row],[Dim_Empresas.CUIT]],'clientes SQL'!C:D,2,0)</f>
        <v>#N/A</v>
      </c>
    </row>
    <row r="660" spans="1:12" hidden="1" x14ac:dyDescent="0.3">
      <c r="A660">
        <v>1893217</v>
      </c>
      <c r="B660">
        <v>20251205</v>
      </c>
      <c r="C660">
        <v>4955</v>
      </c>
      <c r="D660" s="6">
        <v>-50000</v>
      </c>
      <c r="E660" s="123" t="s">
        <v>1566</v>
      </c>
      <c r="F660" s="123" t="s">
        <v>1578</v>
      </c>
      <c r="G660" s="123"/>
      <c r="H660" s="95">
        <v>45996</v>
      </c>
      <c r="I660">
        <v>32964</v>
      </c>
      <c r="J660" s="123" t="s">
        <v>527</v>
      </c>
      <c r="K660" s="123" t="s">
        <v>981</v>
      </c>
      <c r="L660" s="123" t="e">
        <f>VLOOKUP(Fact_AUM_FyoCapital[[#This Row],[Dim_Empresas.CUIT]],'clientes SQL'!C:D,2,0)</f>
        <v>#N/A</v>
      </c>
    </row>
    <row r="661" spans="1:12" hidden="1" x14ac:dyDescent="0.3">
      <c r="A661">
        <v>1871077</v>
      </c>
      <c r="B661">
        <v>20251205</v>
      </c>
      <c r="C661">
        <v>1504</v>
      </c>
      <c r="D661">
        <v>76831.898709677422</v>
      </c>
      <c r="E661" s="123" t="s">
        <v>1568</v>
      </c>
      <c r="F661" s="123" t="s">
        <v>1572</v>
      </c>
      <c r="G661" s="123" t="s">
        <v>1574</v>
      </c>
      <c r="H661" s="95">
        <v>45996</v>
      </c>
      <c r="I661">
        <v>19963</v>
      </c>
      <c r="J661" s="123" t="s">
        <v>461</v>
      </c>
      <c r="K661" s="123" t="s">
        <v>1191</v>
      </c>
      <c r="L661" s="123" t="e">
        <f>VLOOKUP(Fact_AUM_FyoCapital[[#This Row],[Dim_Empresas.CUIT]],'clientes SQL'!C:D,2,0)</f>
        <v>#N/A</v>
      </c>
    </row>
    <row r="662" spans="1:12" hidden="1" x14ac:dyDescent="0.3">
      <c r="A662">
        <v>2614649</v>
      </c>
      <c r="B662">
        <v>20251205</v>
      </c>
      <c r="C662">
        <v>5</v>
      </c>
      <c r="D662">
        <v>-90.747194950911634</v>
      </c>
      <c r="E662" s="123" t="s">
        <v>1563</v>
      </c>
      <c r="F662" s="123" t="s">
        <v>185</v>
      </c>
      <c r="G662" s="123"/>
      <c r="H662" s="95">
        <v>45996</v>
      </c>
      <c r="I662">
        <v>275</v>
      </c>
      <c r="J662" s="123" t="s">
        <v>360</v>
      </c>
      <c r="K662" s="123" t="s">
        <v>1079</v>
      </c>
      <c r="L662" s="123" t="e">
        <f>VLOOKUP(Fact_AUM_FyoCapital[[#This Row],[Dim_Empresas.CUIT]],'clientes SQL'!C:D,2,0)</f>
        <v>#N/A</v>
      </c>
    </row>
    <row r="663" spans="1:12" hidden="1" x14ac:dyDescent="0.3">
      <c r="A663">
        <v>2635829</v>
      </c>
      <c r="B663">
        <v>20251205</v>
      </c>
      <c r="C663">
        <v>1273</v>
      </c>
      <c r="D663">
        <v>5580</v>
      </c>
      <c r="E663" s="123" t="s">
        <v>1563</v>
      </c>
      <c r="F663" s="123" t="s">
        <v>801</v>
      </c>
      <c r="G663" s="123"/>
      <c r="H663" s="95">
        <v>45996</v>
      </c>
      <c r="I663">
        <v>19363</v>
      </c>
      <c r="J663" s="123" t="s">
        <v>1183</v>
      </c>
      <c r="K663" s="123" t="s">
        <v>1184</v>
      </c>
      <c r="L663" s="123" t="e">
        <f>VLOOKUP(Fact_AUM_FyoCapital[[#This Row],[Dim_Empresas.CUIT]],'clientes SQL'!C:D,2,0)</f>
        <v>#N/A</v>
      </c>
    </row>
    <row r="664" spans="1:12" hidden="1" x14ac:dyDescent="0.3">
      <c r="A664">
        <v>2619929</v>
      </c>
      <c r="B664">
        <v>20251205</v>
      </c>
      <c r="C664">
        <v>855</v>
      </c>
      <c r="D664">
        <v>-2.1161009817671808</v>
      </c>
      <c r="E664" s="123" t="s">
        <v>1563</v>
      </c>
      <c r="F664" s="123" t="s">
        <v>185</v>
      </c>
      <c r="G664" s="123"/>
      <c r="H664" s="95">
        <v>45996</v>
      </c>
      <c r="I664">
        <v>17742</v>
      </c>
      <c r="J664" s="123" t="s">
        <v>266</v>
      </c>
      <c r="K664" s="123" t="s">
        <v>1030</v>
      </c>
      <c r="L664" s="123" t="e">
        <f>VLOOKUP(Fact_AUM_FyoCapital[[#This Row],[Dim_Empresas.CUIT]],'clientes SQL'!C:D,2,0)</f>
        <v>#N/A</v>
      </c>
    </row>
    <row r="665" spans="1:12" hidden="1" x14ac:dyDescent="0.3">
      <c r="A665">
        <v>2622749</v>
      </c>
      <c r="B665">
        <v>20251205</v>
      </c>
      <c r="C665">
        <v>5858</v>
      </c>
      <c r="D665">
        <v>103.44</v>
      </c>
      <c r="E665" s="123" t="s">
        <v>1563</v>
      </c>
      <c r="F665" s="123" t="s">
        <v>950</v>
      </c>
      <c r="G665" s="123"/>
      <c r="H665" s="95">
        <v>45996</v>
      </c>
      <c r="I665">
        <v>34098</v>
      </c>
      <c r="J665" s="123" t="s">
        <v>393</v>
      </c>
      <c r="K665" s="123" t="s">
        <v>1144</v>
      </c>
      <c r="L665" s="123" t="e">
        <f>VLOOKUP(Fact_AUM_FyoCapital[[#This Row],[Dim_Empresas.CUIT]],'clientes SQL'!C:D,2,0)</f>
        <v>#N/A</v>
      </c>
    </row>
    <row r="666" spans="1:12" hidden="1" x14ac:dyDescent="0.3">
      <c r="A666">
        <v>1864177</v>
      </c>
      <c r="B666">
        <v>20251205</v>
      </c>
      <c r="C666">
        <v>4259</v>
      </c>
      <c r="D666">
        <v>4757.82</v>
      </c>
      <c r="E666" s="123" t="s">
        <v>1566</v>
      </c>
      <c r="F666" s="123" t="s">
        <v>1579</v>
      </c>
      <c r="G666" s="123"/>
      <c r="H666" s="95">
        <v>45996</v>
      </c>
      <c r="I666">
        <v>19330</v>
      </c>
      <c r="J666" s="123" t="s">
        <v>293</v>
      </c>
      <c r="K666" s="123" t="s">
        <v>1166</v>
      </c>
      <c r="L666" s="123" t="e">
        <f>VLOOKUP(Fact_AUM_FyoCapital[[#This Row],[Dim_Empresas.CUIT]],'clientes SQL'!C:D,2,0)</f>
        <v>#N/A</v>
      </c>
    </row>
    <row r="667" spans="1:12" hidden="1" x14ac:dyDescent="0.3">
      <c r="A667">
        <v>2635649</v>
      </c>
      <c r="B667">
        <v>20251205</v>
      </c>
      <c r="C667">
        <v>16936</v>
      </c>
      <c r="D667">
        <v>8800</v>
      </c>
      <c r="E667" s="123" t="s">
        <v>1563</v>
      </c>
      <c r="F667" s="123" t="s">
        <v>950</v>
      </c>
      <c r="G667" s="123"/>
      <c r="H667" s="95">
        <v>45996</v>
      </c>
      <c r="I667">
        <v>38107</v>
      </c>
      <c r="J667" s="123" t="s">
        <v>900</v>
      </c>
      <c r="K667" s="123" t="s">
        <v>1509</v>
      </c>
      <c r="L667" s="123" t="e">
        <f>VLOOKUP(Fact_AUM_FyoCapital[[#This Row],[Dim_Empresas.CUIT]],'clientes SQL'!C:D,2,0)</f>
        <v>#N/A</v>
      </c>
    </row>
    <row r="668" spans="1:12" hidden="1" x14ac:dyDescent="0.3">
      <c r="A668">
        <v>1844557</v>
      </c>
      <c r="B668">
        <v>20251205</v>
      </c>
      <c r="C668">
        <v>12942</v>
      </c>
      <c r="D668">
        <v>19.030785413744741</v>
      </c>
      <c r="E668" s="123" t="s">
        <v>1568</v>
      </c>
      <c r="F668" s="123" t="s">
        <v>1572</v>
      </c>
      <c r="G668" s="123" t="s">
        <v>1570</v>
      </c>
      <c r="H668" s="95">
        <v>45996</v>
      </c>
      <c r="I668">
        <v>36157</v>
      </c>
      <c r="J668" s="123" t="s">
        <v>313</v>
      </c>
      <c r="K668" s="123" t="s">
        <v>1205</v>
      </c>
      <c r="L668" s="123" t="e">
        <f>VLOOKUP(Fact_AUM_FyoCapital[[#This Row],[Dim_Empresas.CUIT]],'clientes SQL'!C:D,2,0)</f>
        <v>#N/A</v>
      </c>
    </row>
    <row r="669" spans="1:12" hidden="1" x14ac:dyDescent="0.3">
      <c r="A669">
        <v>2614529</v>
      </c>
      <c r="B669">
        <v>20251205</v>
      </c>
      <c r="C669">
        <v>1559</v>
      </c>
      <c r="D669">
        <v>208588.11</v>
      </c>
      <c r="E669" s="123" t="s">
        <v>1563</v>
      </c>
      <c r="F669" s="123" t="s">
        <v>801</v>
      </c>
      <c r="G669" s="123"/>
      <c r="H669" s="95">
        <v>45996</v>
      </c>
      <c r="I669">
        <v>20235</v>
      </c>
      <c r="J669" s="123" t="s">
        <v>1082</v>
      </c>
      <c r="K669" s="123" t="s">
        <v>1083</v>
      </c>
      <c r="L669" s="123" t="e">
        <f>VLOOKUP(Fact_AUM_FyoCapital[[#This Row],[Dim_Empresas.CUIT]],'clientes SQL'!C:D,2,0)</f>
        <v>#N/A</v>
      </c>
    </row>
    <row r="670" spans="1:12" hidden="1" x14ac:dyDescent="0.3">
      <c r="A670">
        <v>1831597</v>
      </c>
      <c r="B670">
        <v>20251205</v>
      </c>
      <c r="C670">
        <v>864</v>
      </c>
      <c r="D670">
        <v>11.294516129032258</v>
      </c>
      <c r="E670" s="123" t="s">
        <v>1568</v>
      </c>
      <c r="F670" s="123" t="s">
        <v>1572</v>
      </c>
      <c r="G670" s="123" t="s">
        <v>1570</v>
      </c>
      <c r="H670" s="95">
        <v>45996</v>
      </c>
      <c r="I670">
        <v>17746</v>
      </c>
      <c r="J670" s="123" t="s">
        <v>229</v>
      </c>
      <c r="K670" s="123" t="s">
        <v>1159</v>
      </c>
      <c r="L670" s="123" t="e">
        <f>VLOOKUP(Fact_AUM_FyoCapital[[#This Row],[Dim_Empresas.CUIT]],'clientes SQL'!C:D,2,0)</f>
        <v>#N/A</v>
      </c>
    </row>
    <row r="671" spans="1:12" hidden="1" x14ac:dyDescent="0.3">
      <c r="A671">
        <v>1842817</v>
      </c>
      <c r="B671">
        <v>20251205</v>
      </c>
      <c r="C671">
        <v>9936</v>
      </c>
      <c r="D671">
        <v>27.240532959326789</v>
      </c>
      <c r="E671" s="123" t="s">
        <v>1566</v>
      </c>
      <c r="F671" s="123" t="s">
        <v>1573</v>
      </c>
      <c r="G671" s="123"/>
      <c r="H671" s="95">
        <v>45996</v>
      </c>
      <c r="I671">
        <v>35436</v>
      </c>
      <c r="J671" s="123" t="s">
        <v>300</v>
      </c>
      <c r="K671" s="123" t="s">
        <v>1037</v>
      </c>
      <c r="L671" s="123" t="e">
        <f>VLOOKUP(Fact_AUM_FyoCapital[[#This Row],[Dim_Empresas.CUIT]],'clientes SQL'!C:D,2,0)</f>
        <v>#N/A</v>
      </c>
    </row>
    <row r="672" spans="1:12" hidden="1" x14ac:dyDescent="0.3">
      <c r="A672">
        <v>1832137</v>
      </c>
      <c r="B672">
        <v>20251205</v>
      </c>
      <c r="C672">
        <v>12840</v>
      </c>
      <c r="D672">
        <v>12006.4</v>
      </c>
      <c r="E672" s="123" t="s">
        <v>1566</v>
      </c>
      <c r="F672" s="123" t="s">
        <v>1578</v>
      </c>
      <c r="G672" s="123"/>
      <c r="H672" s="95">
        <v>45996</v>
      </c>
      <c r="I672">
        <v>36062</v>
      </c>
      <c r="J672" s="123" t="s">
        <v>236</v>
      </c>
      <c r="K672" s="123" t="s">
        <v>1031</v>
      </c>
      <c r="L672" s="123" t="e">
        <f>VLOOKUP(Fact_AUM_FyoCapital[[#This Row],[Dim_Empresas.CUIT]],'clientes SQL'!C:D,2,0)</f>
        <v>#N/A</v>
      </c>
    </row>
    <row r="673" spans="1:12" hidden="1" x14ac:dyDescent="0.3">
      <c r="A673">
        <v>1898977</v>
      </c>
      <c r="B673">
        <v>20251205</v>
      </c>
      <c r="C673">
        <v>12922</v>
      </c>
      <c r="D673">
        <v>3546.0448807854136</v>
      </c>
      <c r="E673" s="123" t="s">
        <v>1566</v>
      </c>
      <c r="F673" s="123" t="s">
        <v>1573</v>
      </c>
      <c r="G673" s="123"/>
      <c r="H673" s="95">
        <v>45996</v>
      </c>
      <c r="I673">
        <v>36140</v>
      </c>
      <c r="J673" s="123" t="s">
        <v>128</v>
      </c>
      <c r="K673" s="123" t="s">
        <v>1042</v>
      </c>
      <c r="L673" s="123">
        <f>VLOOKUP(Fact_AUM_FyoCapital[[#This Row],[Dim_Empresas.CUIT]],'clientes SQL'!C:D,2,0)</f>
        <v>13006</v>
      </c>
    </row>
    <row r="674" spans="1:12" hidden="1" x14ac:dyDescent="0.3">
      <c r="A674">
        <v>1842277</v>
      </c>
      <c r="B674">
        <v>20251205</v>
      </c>
      <c r="C674">
        <v>9936</v>
      </c>
      <c r="D674">
        <v>9331.14</v>
      </c>
      <c r="E674" s="123" t="s">
        <v>1566</v>
      </c>
      <c r="F674" s="123" t="s">
        <v>1571</v>
      </c>
      <c r="G674" s="123"/>
      <c r="H674" s="95">
        <v>45996</v>
      </c>
      <c r="I674">
        <v>35436</v>
      </c>
      <c r="J674" s="123" t="s">
        <v>300</v>
      </c>
      <c r="K674" s="123" t="s">
        <v>1037</v>
      </c>
      <c r="L674" s="123" t="e">
        <f>VLOOKUP(Fact_AUM_FyoCapital[[#This Row],[Dim_Empresas.CUIT]],'clientes SQL'!C:D,2,0)</f>
        <v>#N/A</v>
      </c>
    </row>
    <row r="675" spans="1:12" hidden="1" x14ac:dyDescent="0.3">
      <c r="A675">
        <v>1889317</v>
      </c>
      <c r="B675">
        <v>20251205</v>
      </c>
      <c r="C675">
        <v>1273</v>
      </c>
      <c r="D675">
        <v>2.1318373071528753E-3</v>
      </c>
      <c r="E675" s="123" t="s">
        <v>1568</v>
      </c>
      <c r="F675" s="123" t="s">
        <v>1572</v>
      </c>
      <c r="G675" s="123" t="s">
        <v>1583</v>
      </c>
      <c r="H675" s="95">
        <v>45996</v>
      </c>
      <c r="I675">
        <v>19363</v>
      </c>
      <c r="J675" s="123" t="s">
        <v>1183</v>
      </c>
      <c r="K675" s="123" t="s">
        <v>1184</v>
      </c>
      <c r="L675" s="123" t="e">
        <f>VLOOKUP(Fact_AUM_FyoCapital[[#This Row],[Dim_Empresas.CUIT]],'clientes SQL'!C:D,2,0)</f>
        <v>#N/A</v>
      </c>
    </row>
    <row r="676" spans="1:12" hidden="1" x14ac:dyDescent="0.3">
      <c r="A676">
        <v>2600009</v>
      </c>
      <c r="B676">
        <v>20251205</v>
      </c>
      <c r="C676">
        <v>3244</v>
      </c>
      <c r="D676">
        <v>57.86072931276297</v>
      </c>
      <c r="E676" s="123" t="s">
        <v>1568</v>
      </c>
      <c r="F676" s="123" t="s">
        <v>1572</v>
      </c>
      <c r="G676" s="123" t="s">
        <v>1570</v>
      </c>
      <c r="H676" s="95">
        <v>45996</v>
      </c>
      <c r="I676">
        <v>31666</v>
      </c>
      <c r="J676" s="123" t="s">
        <v>1151</v>
      </c>
      <c r="K676" s="123" t="s">
        <v>1152</v>
      </c>
      <c r="L676" s="123" t="e">
        <f>VLOOKUP(Fact_AUM_FyoCapital[[#This Row],[Dim_Empresas.CUIT]],'clientes SQL'!C:D,2,0)</f>
        <v>#N/A</v>
      </c>
    </row>
    <row r="677" spans="1:12" hidden="1" x14ac:dyDescent="0.3">
      <c r="A677">
        <v>1842997</v>
      </c>
      <c r="B677">
        <v>20251205</v>
      </c>
      <c r="C677">
        <v>9936</v>
      </c>
      <c r="D677">
        <v>5539.1584852734923</v>
      </c>
      <c r="E677" s="123" t="s">
        <v>1566</v>
      </c>
      <c r="F677" s="123" t="s">
        <v>1573</v>
      </c>
      <c r="G677" s="123"/>
      <c r="H677" s="95">
        <v>45996</v>
      </c>
      <c r="I677">
        <v>35436</v>
      </c>
      <c r="J677" s="123" t="s">
        <v>300</v>
      </c>
      <c r="K677" s="123" t="s">
        <v>1037</v>
      </c>
      <c r="L677" s="123" t="e">
        <f>VLOOKUP(Fact_AUM_FyoCapital[[#This Row],[Dim_Empresas.CUIT]],'clientes SQL'!C:D,2,0)</f>
        <v>#N/A</v>
      </c>
    </row>
    <row r="678" spans="1:12" hidden="1" x14ac:dyDescent="0.3">
      <c r="A678">
        <v>1847977</v>
      </c>
      <c r="B678">
        <v>20251205</v>
      </c>
      <c r="C678">
        <v>13761</v>
      </c>
      <c r="D678">
        <v>1536.6833450210379</v>
      </c>
      <c r="E678" s="123" t="s">
        <v>1566</v>
      </c>
      <c r="F678" s="123" t="s">
        <v>1571</v>
      </c>
      <c r="G678" s="123"/>
      <c r="H678" s="95">
        <v>45996</v>
      </c>
      <c r="I678">
        <v>36914</v>
      </c>
      <c r="J678" s="123" t="s">
        <v>315</v>
      </c>
      <c r="K678" s="123" t="s">
        <v>1106</v>
      </c>
      <c r="L678" s="123" t="e">
        <f>VLOOKUP(Fact_AUM_FyoCapital[[#This Row],[Dim_Empresas.CUIT]],'clientes SQL'!C:D,2,0)</f>
        <v>#N/A</v>
      </c>
    </row>
    <row r="679" spans="1:12" hidden="1" x14ac:dyDescent="0.3">
      <c r="A679">
        <v>1842397</v>
      </c>
      <c r="B679">
        <v>20251205</v>
      </c>
      <c r="C679">
        <v>9936</v>
      </c>
      <c r="D679">
        <v>1679.5319074333802</v>
      </c>
      <c r="E679" s="123" t="s">
        <v>1566</v>
      </c>
      <c r="F679" s="123" t="s">
        <v>1573</v>
      </c>
      <c r="G679" s="123"/>
      <c r="H679" s="95">
        <v>45996</v>
      </c>
      <c r="I679">
        <v>35436</v>
      </c>
      <c r="J679" s="123" t="s">
        <v>300</v>
      </c>
      <c r="K679" s="123" t="s">
        <v>1037</v>
      </c>
      <c r="L679" s="123" t="e">
        <f>VLOOKUP(Fact_AUM_FyoCapital[[#This Row],[Dim_Empresas.CUIT]],'clientes SQL'!C:D,2,0)</f>
        <v>#N/A</v>
      </c>
    </row>
    <row r="680" spans="1:12" hidden="1" x14ac:dyDescent="0.3">
      <c r="A680">
        <v>2639369</v>
      </c>
      <c r="B680">
        <v>20251205</v>
      </c>
      <c r="C680">
        <v>656</v>
      </c>
      <c r="D680">
        <v>0</v>
      </c>
      <c r="E680" s="123"/>
      <c r="F680" s="123"/>
      <c r="G680" s="123"/>
      <c r="H680" s="95">
        <v>45996</v>
      </c>
      <c r="I680">
        <v>5003</v>
      </c>
      <c r="J680" s="123" t="s">
        <v>1153</v>
      </c>
      <c r="K680" s="123" t="s">
        <v>1154</v>
      </c>
      <c r="L680" s="123" t="e">
        <f>VLOOKUP(Fact_AUM_FyoCapital[[#This Row],[Dim_Empresas.CUIT]],'clientes SQL'!C:D,2,0)</f>
        <v>#N/A</v>
      </c>
    </row>
    <row r="681" spans="1:12" hidden="1" x14ac:dyDescent="0.3">
      <c r="A681">
        <v>1854397</v>
      </c>
      <c r="B681">
        <v>20251205</v>
      </c>
      <c r="C681">
        <v>5858</v>
      </c>
      <c r="D681">
        <v>3504.9088359046282</v>
      </c>
      <c r="E681" s="123" t="s">
        <v>1566</v>
      </c>
      <c r="F681" s="123" t="s">
        <v>1571</v>
      </c>
      <c r="G681" s="123"/>
      <c r="H681" s="95">
        <v>45996</v>
      </c>
      <c r="I681">
        <v>34098</v>
      </c>
      <c r="J681" s="123" t="s">
        <v>393</v>
      </c>
      <c r="K681" s="123" t="s">
        <v>1144</v>
      </c>
      <c r="L681" s="123" t="e">
        <f>VLOOKUP(Fact_AUM_FyoCapital[[#This Row],[Dim_Empresas.CUIT]],'clientes SQL'!C:D,2,0)</f>
        <v>#N/A</v>
      </c>
    </row>
    <row r="682" spans="1:12" hidden="1" x14ac:dyDescent="0.3">
      <c r="A682">
        <v>2644349</v>
      </c>
      <c r="B682">
        <v>20251205</v>
      </c>
      <c r="C682">
        <v>13024</v>
      </c>
      <c r="D682">
        <v>1.0624123422159888E-2</v>
      </c>
      <c r="E682" s="123" t="s">
        <v>1563</v>
      </c>
      <c r="F682" s="123" t="s">
        <v>185</v>
      </c>
      <c r="G682" s="123"/>
      <c r="H682" s="95">
        <v>45996</v>
      </c>
      <c r="I682">
        <v>36227</v>
      </c>
      <c r="J682" s="123" t="s">
        <v>606</v>
      </c>
      <c r="K682" s="123" t="s">
        <v>1105</v>
      </c>
      <c r="L682" s="123" t="e">
        <f>VLOOKUP(Fact_AUM_FyoCapital[[#This Row],[Dim_Empresas.CUIT]],'clientes SQL'!C:D,2,0)</f>
        <v>#N/A</v>
      </c>
    </row>
    <row r="683" spans="1:12" hidden="1" x14ac:dyDescent="0.3">
      <c r="A683">
        <v>1871197</v>
      </c>
      <c r="B683">
        <v>20251205</v>
      </c>
      <c r="C683">
        <v>13596</v>
      </c>
      <c r="D683">
        <v>107315.48229312763</v>
      </c>
      <c r="E683" s="123" t="s">
        <v>1568</v>
      </c>
      <c r="F683" s="123" t="s">
        <v>1572</v>
      </c>
      <c r="G683" s="123" t="s">
        <v>1570</v>
      </c>
      <c r="H683" s="95">
        <v>45996</v>
      </c>
      <c r="I683">
        <v>36765</v>
      </c>
      <c r="J683" s="123" t="s">
        <v>450</v>
      </c>
      <c r="K683" s="123" t="s">
        <v>1193</v>
      </c>
      <c r="L683" s="123" t="e">
        <f>VLOOKUP(Fact_AUM_FyoCapital[[#This Row],[Dim_Empresas.CUIT]],'clientes SQL'!C:D,2,0)</f>
        <v>#N/A</v>
      </c>
    </row>
    <row r="684" spans="1:12" hidden="1" x14ac:dyDescent="0.3">
      <c r="A684">
        <v>2633609</v>
      </c>
      <c r="B684">
        <v>20251205</v>
      </c>
      <c r="C684">
        <v>1758</v>
      </c>
      <c r="D684">
        <v>0.05</v>
      </c>
      <c r="E684" s="123" t="s">
        <v>1563</v>
      </c>
      <c r="F684" s="123" t="s">
        <v>950</v>
      </c>
      <c r="G684" s="123"/>
      <c r="H684" s="95">
        <v>45996</v>
      </c>
      <c r="I684">
        <v>20565</v>
      </c>
      <c r="J684" s="123" t="s">
        <v>1171</v>
      </c>
      <c r="K684" s="123" t="s">
        <v>1172</v>
      </c>
      <c r="L684" s="123" t="e">
        <f>VLOOKUP(Fact_AUM_FyoCapital[[#This Row],[Dim_Empresas.CUIT]],'clientes SQL'!C:D,2,0)</f>
        <v>#N/A</v>
      </c>
    </row>
    <row r="685" spans="1:12" hidden="1" x14ac:dyDescent="0.3">
      <c r="A685">
        <v>2639789</v>
      </c>
      <c r="B685">
        <v>20251205</v>
      </c>
      <c r="C685">
        <v>13663</v>
      </c>
      <c r="D685">
        <v>7.5</v>
      </c>
      <c r="E685" s="123" t="s">
        <v>1563</v>
      </c>
      <c r="F685" s="123" t="s">
        <v>950</v>
      </c>
      <c r="G685" s="123"/>
      <c r="H685" s="95">
        <v>45996</v>
      </c>
      <c r="I685">
        <v>36828</v>
      </c>
      <c r="J685" s="123" t="s">
        <v>559</v>
      </c>
      <c r="K685" s="123" t="s">
        <v>1015</v>
      </c>
      <c r="L685" s="123" t="e">
        <f>VLOOKUP(Fact_AUM_FyoCapital[[#This Row],[Dim_Empresas.CUIT]],'clientes SQL'!C:D,2,0)</f>
        <v>#N/A</v>
      </c>
    </row>
    <row r="686" spans="1:12" hidden="1" x14ac:dyDescent="0.3">
      <c r="A686">
        <v>1835497</v>
      </c>
      <c r="B686">
        <v>20251205</v>
      </c>
      <c r="C686">
        <v>1559</v>
      </c>
      <c r="D686">
        <v>70748.3</v>
      </c>
      <c r="E686" s="123" t="s">
        <v>1566</v>
      </c>
      <c r="F686" s="123" t="s">
        <v>1579</v>
      </c>
      <c r="G686" s="123"/>
      <c r="H686" s="95">
        <v>45996</v>
      </c>
      <c r="I686">
        <v>20235</v>
      </c>
      <c r="J686" s="123" t="s">
        <v>1082</v>
      </c>
      <c r="K686" s="123" t="s">
        <v>1083</v>
      </c>
      <c r="L686" s="123" t="e">
        <f>VLOOKUP(Fact_AUM_FyoCapital[[#This Row],[Dim_Empresas.CUIT]],'clientes SQL'!C:D,2,0)</f>
        <v>#N/A</v>
      </c>
    </row>
    <row r="687" spans="1:12" hidden="1" x14ac:dyDescent="0.3">
      <c r="A687">
        <v>1851817</v>
      </c>
      <c r="B687">
        <v>20251205</v>
      </c>
      <c r="C687">
        <v>757</v>
      </c>
      <c r="D687">
        <v>111747.82666900422</v>
      </c>
      <c r="E687" s="123" t="s">
        <v>1566</v>
      </c>
      <c r="F687" s="123" t="s">
        <v>1582</v>
      </c>
      <c r="G687" s="123"/>
      <c r="H687" s="95">
        <v>45996</v>
      </c>
      <c r="I687">
        <v>13408</v>
      </c>
      <c r="J687" s="123" t="s">
        <v>274</v>
      </c>
      <c r="K687" s="123" t="s">
        <v>1001</v>
      </c>
      <c r="L687" s="123" t="e">
        <f>VLOOKUP(Fact_AUM_FyoCapital[[#This Row],[Dim_Empresas.CUIT]],'clientes SQL'!C:D,2,0)</f>
        <v>#N/A</v>
      </c>
    </row>
    <row r="688" spans="1:12" hidden="1" x14ac:dyDescent="0.3">
      <c r="A688">
        <v>1850797</v>
      </c>
      <c r="B688">
        <v>20251205</v>
      </c>
      <c r="C688">
        <v>1025</v>
      </c>
      <c r="D688">
        <v>25686.92</v>
      </c>
      <c r="E688" s="123" t="s">
        <v>1566</v>
      </c>
      <c r="F688" s="123" t="s">
        <v>1579</v>
      </c>
      <c r="G688" s="123"/>
      <c r="H688" s="95">
        <v>45996</v>
      </c>
      <c r="I688">
        <v>7356</v>
      </c>
      <c r="J688" s="123" t="s">
        <v>245</v>
      </c>
      <c r="K688" s="123" t="s">
        <v>1078</v>
      </c>
      <c r="L688" s="123" t="e">
        <f>VLOOKUP(Fact_AUM_FyoCapital[[#This Row],[Dim_Empresas.CUIT]],'clientes SQL'!C:D,2,0)</f>
        <v>#N/A</v>
      </c>
    </row>
    <row r="689" spans="1:12" hidden="1" x14ac:dyDescent="0.3">
      <c r="A689">
        <v>2598929</v>
      </c>
      <c r="B689">
        <v>20251205</v>
      </c>
      <c r="C689">
        <v>7802</v>
      </c>
      <c r="D689">
        <v>138371.74518232819</v>
      </c>
      <c r="E689" s="123" t="s">
        <v>1568</v>
      </c>
      <c r="F689" s="123" t="s">
        <v>1572</v>
      </c>
      <c r="G689" s="123" t="s">
        <v>1583</v>
      </c>
      <c r="H689" s="95">
        <v>45996</v>
      </c>
      <c r="I689">
        <v>35095</v>
      </c>
      <c r="J689" s="123" t="s">
        <v>1048</v>
      </c>
      <c r="K689" s="123" t="s">
        <v>1049</v>
      </c>
      <c r="L689" s="123" t="e">
        <f>VLOOKUP(Fact_AUM_FyoCapital[[#This Row],[Dim_Empresas.CUIT]],'clientes SQL'!C:D,2,0)</f>
        <v>#N/A</v>
      </c>
    </row>
    <row r="690" spans="1:12" hidden="1" x14ac:dyDescent="0.3">
      <c r="A690">
        <v>2605649</v>
      </c>
      <c r="B690">
        <v>20251205</v>
      </c>
      <c r="C690">
        <v>12937</v>
      </c>
      <c r="D690">
        <v>430.85</v>
      </c>
      <c r="E690" s="123" t="s">
        <v>1566</v>
      </c>
      <c r="F690" s="123" t="s">
        <v>1571</v>
      </c>
      <c r="G690" s="123"/>
      <c r="H690" s="95">
        <v>45996</v>
      </c>
      <c r="I690">
        <v>36152</v>
      </c>
      <c r="J690" s="123" t="s">
        <v>624</v>
      </c>
      <c r="K690" s="123" t="s">
        <v>1006</v>
      </c>
      <c r="L690" s="123" t="e">
        <f>VLOOKUP(Fact_AUM_FyoCapital[[#This Row],[Dim_Empresas.CUIT]],'clientes SQL'!C:D,2,0)</f>
        <v>#N/A</v>
      </c>
    </row>
    <row r="691" spans="1:12" hidden="1" x14ac:dyDescent="0.3">
      <c r="A691">
        <v>1892197</v>
      </c>
      <c r="B691">
        <v>20251205</v>
      </c>
      <c r="C691">
        <v>3479</v>
      </c>
      <c r="D691">
        <v>179759.00420757363</v>
      </c>
      <c r="E691" s="123" t="s">
        <v>1566</v>
      </c>
      <c r="F691" s="123" t="s">
        <v>1573</v>
      </c>
      <c r="G691" s="123"/>
      <c r="H691" s="95">
        <v>45996</v>
      </c>
      <c r="I691">
        <v>31936</v>
      </c>
      <c r="J691" s="123" t="s">
        <v>456</v>
      </c>
      <c r="K691" s="123" t="s">
        <v>1119</v>
      </c>
      <c r="L691" s="123" t="e">
        <f>VLOOKUP(Fact_AUM_FyoCapital[[#This Row],[Dim_Empresas.CUIT]],'clientes SQL'!C:D,2,0)</f>
        <v>#N/A</v>
      </c>
    </row>
    <row r="692" spans="1:12" hidden="1" x14ac:dyDescent="0.3">
      <c r="A692">
        <v>1844257</v>
      </c>
      <c r="B692">
        <v>20251205</v>
      </c>
      <c r="C692">
        <v>7837</v>
      </c>
      <c r="D692">
        <v>4228.71</v>
      </c>
      <c r="E692" s="123" t="s">
        <v>1566</v>
      </c>
      <c r="F692" s="123" t="s">
        <v>1571</v>
      </c>
      <c r="G692" s="123"/>
      <c r="H692" s="95">
        <v>45996</v>
      </c>
      <c r="I692">
        <v>35127</v>
      </c>
      <c r="J692" s="123" t="s">
        <v>306</v>
      </c>
      <c r="K692" s="123" t="s">
        <v>1128</v>
      </c>
      <c r="L692" s="123" t="e">
        <f>VLOOKUP(Fact_AUM_FyoCapital[[#This Row],[Dim_Empresas.CUIT]],'clientes SQL'!C:D,2,0)</f>
        <v>#N/A</v>
      </c>
    </row>
    <row r="693" spans="1:12" hidden="1" x14ac:dyDescent="0.3">
      <c r="A693">
        <v>2613629</v>
      </c>
      <c r="B693">
        <v>20251205</v>
      </c>
      <c r="C693">
        <v>675</v>
      </c>
      <c r="D693">
        <v>0</v>
      </c>
      <c r="E693" s="123"/>
      <c r="F693" s="123"/>
      <c r="G693" s="123"/>
      <c r="H693" s="95">
        <v>45996</v>
      </c>
      <c r="I693">
        <v>9743</v>
      </c>
      <c r="J693" s="123" t="s">
        <v>1065</v>
      </c>
      <c r="K693" s="123" t="s">
        <v>1066</v>
      </c>
      <c r="L693" s="123" t="e">
        <f>VLOOKUP(Fact_AUM_FyoCapital[[#This Row],[Dim_Empresas.CUIT]],'clientes SQL'!C:D,2,0)</f>
        <v>#N/A</v>
      </c>
    </row>
    <row r="694" spans="1:12" hidden="1" x14ac:dyDescent="0.3">
      <c r="A694">
        <v>1832797</v>
      </c>
      <c r="B694">
        <v>20251205</v>
      </c>
      <c r="C694">
        <v>12840</v>
      </c>
      <c r="D694">
        <v>9172.5994460028051</v>
      </c>
      <c r="E694" s="123" t="s">
        <v>1568</v>
      </c>
      <c r="F694" s="123" t="s">
        <v>1572</v>
      </c>
      <c r="G694" s="123" t="s">
        <v>1570</v>
      </c>
      <c r="H694" s="95">
        <v>45996</v>
      </c>
      <c r="I694">
        <v>36062</v>
      </c>
      <c r="J694" s="123" t="s">
        <v>236</v>
      </c>
      <c r="K694" s="123" t="s">
        <v>1031</v>
      </c>
      <c r="L694" s="123" t="e">
        <f>VLOOKUP(Fact_AUM_FyoCapital[[#This Row],[Dim_Empresas.CUIT]],'clientes SQL'!C:D,2,0)</f>
        <v>#N/A</v>
      </c>
    </row>
    <row r="695" spans="1:12" hidden="1" x14ac:dyDescent="0.3">
      <c r="A695">
        <v>2097100</v>
      </c>
      <c r="B695">
        <v>20251205</v>
      </c>
      <c r="C695">
        <v>13663</v>
      </c>
      <c r="D695">
        <v>562.23328190743337</v>
      </c>
      <c r="E695" s="123" t="s">
        <v>1564</v>
      </c>
      <c r="F695" s="123" t="s">
        <v>1565</v>
      </c>
      <c r="G695" s="123"/>
      <c r="H695" s="95">
        <v>45996</v>
      </c>
      <c r="I695">
        <v>36828</v>
      </c>
      <c r="J695" s="123" t="s">
        <v>559</v>
      </c>
      <c r="K695" s="123" t="s">
        <v>1015</v>
      </c>
      <c r="L695" s="123" t="e">
        <f>VLOOKUP(Fact_AUM_FyoCapital[[#This Row],[Dim_Empresas.CUIT]],'clientes SQL'!C:D,2,0)</f>
        <v>#N/A</v>
      </c>
    </row>
    <row r="696" spans="1:12" hidden="1" x14ac:dyDescent="0.3">
      <c r="A696">
        <v>2598809</v>
      </c>
      <c r="B696">
        <v>20251205</v>
      </c>
      <c r="C696">
        <v>7802</v>
      </c>
      <c r="D696">
        <v>63939.54</v>
      </c>
      <c r="E696" s="123" t="s">
        <v>1566</v>
      </c>
      <c r="F696" s="123" t="s">
        <v>1579</v>
      </c>
      <c r="G696" s="123"/>
      <c r="H696" s="95">
        <v>45996</v>
      </c>
      <c r="I696">
        <v>35095</v>
      </c>
      <c r="J696" s="123" t="s">
        <v>1048</v>
      </c>
      <c r="K696" s="123" t="s">
        <v>1049</v>
      </c>
      <c r="L696" s="123" t="e">
        <f>VLOOKUP(Fact_AUM_FyoCapital[[#This Row],[Dim_Empresas.CUIT]],'clientes SQL'!C:D,2,0)</f>
        <v>#N/A</v>
      </c>
    </row>
    <row r="697" spans="1:12" hidden="1" x14ac:dyDescent="0.3">
      <c r="A697">
        <v>1891117</v>
      </c>
      <c r="B697">
        <v>20251205</v>
      </c>
      <c r="C697">
        <v>3479</v>
      </c>
      <c r="D697">
        <v>170597.72563113604</v>
      </c>
      <c r="E697" s="123" t="s">
        <v>1566</v>
      </c>
      <c r="F697" s="123" t="s">
        <v>1578</v>
      </c>
      <c r="G697" s="123"/>
      <c r="H697" s="95">
        <v>45996</v>
      </c>
      <c r="I697">
        <v>31936</v>
      </c>
      <c r="J697" s="123" t="s">
        <v>456</v>
      </c>
      <c r="K697" s="123" t="s">
        <v>1119</v>
      </c>
      <c r="L697" s="123" t="e">
        <f>VLOOKUP(Fact_AUM_FyoCapital[[#This Row],[Dim_Empresas.CUIT]],'clientes SQL'!C:D,2,0)</f>
        <v>#N/A</v>
      </c>
    </row>
    <row r="698" spans="1:12" hidden="1" x14ac:dyDescent="0.3">
      <c r="A698">
        <v>1891837</v>
      </c>
      <c r="B698">
        <v>20251205</v>
      </c>
      <c r="C698">
        <v>3479</v>
      </c>
      <c r="D698">
        <v>1907774.474053296</v>
      </c>
      <c r="E698" s="123" t="s">
        <v>1566</v>
      </c>
      <c r="F698" s="123" t="s">
        <v>1573</v>
      </c>
      <c r="G698" s="123"/>
      <c r="H698" s="95">
        <v>45996</v>
      </c>
      <c r="I698">
        <v>31936</v>
      </c>
      <c r="J698" s="123" t="s">
        <v>456</v>
      </c>
      <c r="K698" s="123" t="s">
        <v>1119</v>
      </c>
      <c r="L698" s="123" t="e">
        <f>VLOOKUP(Fact_AUM_FyoCapital[[#This Row],[Dim_Empresas.CUIT]],'clientes SQL'!C:D,2,0)</f>
        <v>#N/A</v>
      </c>
    </row>
    <row r="699" spans="1:12" hidden="1" x14ac:dyDescent="0.3">
      <c r="A699">
        <v>1868437</v>
      </c>
      <c r="B699">
        <v>20251205</v>
      </c>
      <c r="C699">
        <v>12804</v>
      </c>
      <c r="D699">
        <v>-1380.071654978962</v>
      </c>
      <c r="E699" s="123" t="s">
        <v>1566</v>
      </c>
      <c r="F699" s="123" t="s">
        <v>1586</v>
      </c>
      <c r="G699" s="123"/>
      <c r="H699" s="95">
        <v>45996</v>
      </c>
      <c r="I699">
        <v>36030</v>
      </c>
      <c r="J699" s="123" t="s">
        <v>504</v>
      </c>
      <c r="K699" s="123" t="s">
        <v>1196</v>
      </c>
      <c r="L699" s="123" t="e">
        <f>VLOOKUP(Fact_AUM_FyoCapital[[#This Row],[Dim_Empresas.CUIT]],'clientes SQL'!C:D,2,0)</f>
        <v>#N/A</v>
      </c>
    </row>
    <row r="700" spans="1:12" hidden="1" x14ac:dyDescent="0.3">
      <c r="A700">
        <v>2626649</v>
      </c>
      <c r="B700">
        <v>20251205</v>
      </c>
      <c r="C700">
        <v>454</v>
      </c>
      <c r="D700">
        <v>7.0492987377279102</v>
      </c>
      <c r="E700" s="123" t="s">
        <v>1563</v>
      </c>
      <c r="F700" s="123" t="s">
        <v>185</v>
      </c>
      <c r="G700" s="123"/>
      <c r="H700" s="95">
        <v>45996</v>
      </c>
      <c r="I700">
        <v>8172</v>
      </c>
      <c r="J700" s="123" t="s">
        <v>492</v>
      </c>
      <c r="K700" s="123" t="s">
        <v>1098</v>
      </c>
      <c r="L700" s="123" t="e">
        <f>VLOOKUP(Fact_AUM_FyoCapital[[#This Row],[Dim_Empresas.CUIT]],'clientes SQL'!C:D,2,0)</f>
        <v>#N/A</v>
      </c>
    </row>
    <row r="701" spans="1:12" hidden="1" x14ac:dyDescent="0.3">
      <c r="A701">
        <v>2603249</v>
      </c>
      <c r="B701">
        <v>20251205</v>
      </c>
      <c r="C701">
        <v>366</v>
      </c>
      <c r="D701">
        <v>8.5472791023842909</v>
      </c>
      <c r="E701" s="123" t="s">
        <v>1568</v>
      </c>
      <c r="F701" s="123" t="s">
        <v>1572</v>
      </c>
      <c r="G701" s="123" t="s">
        <v>1574</v>
      </c>
      <c r="H701" s="95">
        <v>45996</v>
      </c>
      <c r="I701">
        <v>7548</v>
      </c>
      <c r="J701" s="123" t="s">
        <v>620</v>
      </c>
      <c r="K701" s="123" t="s">
        <v>1108</v>
      </c>
      <c r="L701" s="123" t="e">
        <f>VLOOKUP(Fact_AUM_FyoCapital[[#This Row],[Dim_Empresas.CUIT]],'clientes SQL'!C:D,2,0)</f>
        <v>#N/A</v>
      </c>
    </row>
    <row r="702" spans="1:12" hidden="1" x14ac:dyDescent="0.3">
      <c r="A702">
        <v>2605889</v>
      </c>
      <c r="B702">
        <v>20251205</v>
      </c>
      <c r="C702">
        <v>13024</v>
      </c>
      <c r="D702">
        <v>1.367461430575035E-3</v>
      </c>
      <c r="E702" s="123" t="s">
        <v>1568</v>
      </c>
      <c r="F702" s="123" t="s">
        <v>1572</v>
      </c>
      <c r="G702" s="123" t="s">
        <v>1574</v>
      </c>
      <c r="H702" s="95">
        <v>45996</v>
      </c>
      <c r="I702">
        <v>36227</v>
      </c>
      <c r="J702" s="123" t="s">
        <v>606</v>
      </c>
      <c r="K702" s="123" t="s">
        <v>1105</v>
      </c>
      <c r="L702" s="123" t="e">
        <f>VLOOKUP(Fact_AUM_FyoCapital[[#This Row],[Dim_Empresas.CUIT]],'clientes SQL'!C:D,2,0)</f>
        <v>#N/A</v>
      </c>
    </row>
    <row r="703" spans="1:12" hidden="1" x14ac:dyDescent="0.3">
      <c r="A703">
        <v>1866817</v>
      </c>
      <c r="B703">
        <v>20251205</v>
      </c>
      <c r="C703">
        <v>454</v>
      </c>
      <c r="D703">
        <v>523.76273492286123</v>
      </c>
      <c r="E703" s="123" t="s">
        <v>1568</v>
      </c>
      <c r="F703" s="123" t="s">
        <v>1572</v>
      </c>
      <c r="G703" s="123" t="s">
        <v>1570</v>
      </c>
      <c r="H703" s="95">
        <v>45996</v>
      </c>
      <c r="I703">
        <v>8172</v>
      </c>
      <c r="J703" s="123" t="s">
        <v>492</v>
      </c>
      <c r="K703" s="123" t="s">
        <v>1098</v>
      </c>
      <c r="L703" s="123" t="e">
        <f>VLOOKUP(Fact_AUM_FyoCapital[[#This Row],[Dim_Empresas.CUIT]],'clientes SQL'!C:D,2,0)</f>
        <v>#N/A</v>
      </c>
    </row>
    <row r="704" spans="1:12" hidden="1" x14ac:dyDescent="0.3">
      <c r="A704">
        <v>1885957</v>
      </c>
      <c r="B704">
        <v>20251205</v>
      </c>
      <c r="C704">
        <v>12867</v>
      </c>
      <c r="D704">
        <v>70503.81</v>
      </c>
      <c r="E704" s="123" t="s">
        <v>1566</v>
      </c>
      <c r="F704" s="123" t="s">
        <v>1579</v>
      </c>
      <c r="G704" s="123"/>
      <c r="H704" s="95">
        <v>45996</v>
      </c>
      <c r="I704">
        <v>36089</v>
      </c>
      <c r="J704" s="123" t="s">
        <v>557</v>
      </c>
      <c r="K704" s="123" t="s">
        <v>1086</v>
      </c>
      <c r="L704" s="123" t="e">
        <f>VLOOKUP(Fact_AUM_FyoCapital[[#This Row],[Dim_Empresas.CUIT]],'clientes SQL'!C:D,2,0)</f>
        <v>#N/A</v>
      </c>
    </row>
    <row r="705" spans="1:12" hidden="1" x14ac:dyDescent="0.3">
      <c r="A705">
        <v>1842577</v>
      </c>
      <c r="B705">
        <v>20251205</v>
      </c>
      <c r="C705">
        <v>9936</v>
      </c>
      <c r="D705">
        <v>122.5</v>
      </c>
      <c r="E705" s="123" t="s">
        <v>1566</v>
      </c>
      <c r="F705" s="123" t="s">
        <v>1573</v>
      </c>
      <c r="G705" s="123"/>
      <c r="H705" s="95">
        <v>45996</v>
      </c>
      <c r="I705">
        <v>35436</v>
      </c>
      <c r="J705" s="123" t="s">
        <v>300</v>
      </c>
      <c r="K705" s="123" t="s">
        <v>1037</v>
      </c>
      <c r="L705" s="123" t="e">
        <f>VLOOKUP(Fact_AUM_FyoCapital[[#This Row],[Dim_Empresas.CUIT]],'clientes SQL'!C:D,2,0)</f>
        <v>#N/A</v>
      </c>
    </row>
    <row r="706" spans="1:12" hidden="1" x14ac:dyDescent="0.3">
      <c r="A706">
        <v>1894537</v>
      </c>
      <c r="B706">
        <v>20251205</v>
      </c>
      <c r="C706">
        <v>3176</v>
      </c>
      <c r="D706">
        <v>1599.0112201963534</v>
      </c>
      <c r="E706" s="123" t="s">
        <v>1566</v>
      </c>
      <c r="F706" s="123" t="s">
        <v>1573</v>
      </c>
      <c r="G706" s="123"/>
      <c r="H706" s="95">
        <v>45996</v>
      </c>
      <c r="I706">
        <v>31590</v>
      </c>
      <c r="J706" s="123" t="s">
        <v>1044</v>
      </c>
      <c r="K706" s="123" t="s">
        <v>1045</v>
      </c>
      <c r="L706" s="123" t="e">
        <f>VLOOKUP(Fact_AUM_FyoCapital[[#This Row],[Dim_Empresas.CUIT]],'clientes SQL'!C:D,2,0)</f>
        <v>#N/A</v>
      </c>
    </row>
    <row r="707" spans="1:12" hidden="1" x14ac:dyDescent="0.3">
      <c r="A707">
        <v>1844857</v>
      </c>
      <c r="B707">
        <v>20251205</v>
      </c>
      <c r="C707">
        <v>9936</v>
      </c>
      <c r="D707">
        <v>2889.07</v>
      </c>
      <c r="E707" s="123" t="s">
        <v>1566</v>
      </c>
      <c r="F707" s="123" t="s">
        <v>1571</v>
      </c>
      <c r="G707" s="123"/>
      <c r="H707" s="95">
        <v>45996</v>
      </c>
      <c r="I707">
        <v>35436</v>
      </c>
      <c r="J707" s="123" t="s">
        <v>300</v>
      </c>
      <c r="K707" s="123" t="s">
        <v>1037</v>
      </c>
      <c r="L707" s="123" t="e">
        <f>VLOOKUP(Fact_AUM_FyoCapital[[#This Row],[Dim_Empresas.CUIT]],'clientes SQL'!C:D,2,0)</f>
        <v>#N/A</v>
      </c>
    </row>
    <row r="708" spans="1:12" hidden="1" x14ac:dyDescent="0.3">
      <c r="A708">
        <v>2619569</v>
      </c>
      <c r="B708">
        <v>20251205</v>
      </c>
      <c r="C708">
        <v>1343</v>
      </c>
      <c r="D708">
        <v>-0.01</v>
      </c>
      <c r="E708" s="123" t="s">
        <v>1563</v>
      </c>
      <c r="F708" s="123" t="s">
        <v>801</v>
      </c>
      <c r="G708" s="123"/>
      <c r="H708" s="95">
        <v>45996</v>
      </c>
      <c r="I708">
        <v>17661</v>
      </c>
      <c r="J708" s="123" t="s">
        <v>255</v>
      </c>
      <c r="K708" s="123" t="s">
        <v>1132</v>
      </c>
      <c r="L708" s="123" t="e">
        <f>VLOOKUP(Fact_AUM_FyoCapital[[#This Row],[Dim_Empresas.CUIT]],'clientes SQL'!C:D,2,0)</f>
        <v>#N/A</v>
      </c>
    </row>
    <row r="709" spans="1:12" hidden="1" x14ac:dyDescent="0.3">
      <c r="A709">
        <v>1898857</v>
      </c>
      <c r="B709">
        <v>20251205</v>
      </c>
      <c r="C709">
        <v>12922</v>
      </c>
      <c r="D709">
        <v>4093.1626928471246</v>
      </c>
      <c r="E709" s="123" t="s">
        <v>1566</v>
      </c>
      <c r="F709" s="123" t="s">
        <v>1573</v>
      </c>
      <c r="G709" s="123"/>
      <c r="H709" s="95">
        <v>45996</v>
      </c>
      <c r="I709">
        <v>36140</v>
      </c>
      <c r="J709" s="123" t="s">
        <v>128</v>
      </c>
      <c r="K709" s="123" t="s">
        <v>1042</v>
      </c>
      <c r="L709" s="123">
        <f>VLOOKUP(Fact_AUM_FyoCapital[[#This Row],[Dim_Empresas.CUIT]],'clientes SQL'!C:D,2,0)</f>
        <v>13006</v>
      </c>
    </row>
    <row r="710" spans="1:12" hidden="1" x14ac:dyDescent="0.3">
      <c r="A710">
        <v>1864237</v>
      </c>
      <c r="B710">
        <v>20251205</v>
      </c>
      <c r="C710">
        <v>4259</v>
      </c>
      <c r="D710">
        <v>0</v>
      </c>
      <c r="E710" s="123"/>
      <c r="F710" s="123"/>
      <c r="G710" s="123"/>
      <c r="H710" s="95">
        <v>45996</v>
      </c>
      <c r="I710">
        <v>19330</v>
      </c>
      <c r="J710" s="123" t="s">
        <v>293</v>
      </c>
      <c r="K710" s="123" t="s">
        <v>1166</v>
      </c>
      <c r="L710" s="123" t="e">
        <f>VLOOKUP(Fact_AUM_FyoCapital[[#This Row],[Dim_Empresas.CUIT]],'clientes SQL'!C:D,2,0)</f>
        <v>#N/A</v>
      </c>
    </row>
    <row r="711" spans="1:12" hidden="1" x14ac:dyDescent="0.3">
      <c r="A711">
        <v>2609189</v>
      </c>
      <c r="B711">
        <v>20251205</v>
      </c>
      <c r="C711">
        <v>5866</v>
      </c>
      <c r="D711">
        <v>3.3660589060308555E-4</v>
      </c>
      <c r="E711" s="123" t="s">
        <v>1563</v>
      </c>
      <c r="F711" s="123" t="s">
        <v>185</v>
      </c>
      <c r="G711" s="123"/>
      <c r="H711" s="95">
        <v>45996</v>
      </c>
      <c r="I711">
        <v>33662</v>
      </c>
      <c r="J711" s="123" t="s">
        <v>124</v>
      </c>
      <c r="K711" s="123" t="s">
        <v>1028</v>
      </c>
      <c r="L711" s="123">
        <f>VLOOKUP(Fact_AUM_FyoCapital[[#This Row],[Dim_Empresas.CUIT]],'clientes SQL'!C:D,2,0)</f>
        <v>13002</v>
      </c>
    </row>
    <row r="712" spans="1:12" hidden="1" x14ac:dyDescent="0.3">
      <c r="A712">
        <v>2612849</v>
      </c>
      <c r="B712">
        <v>20251205</v>
      </c>
      <c r="C712">
        <v>1559</v>
      </c>
      <c r="D712">
        <v>296643.28999999998</v>
      </c>
      <c r="E712" s="123" t="s">
        <v>1563</v>
      </c>
      <c r="F712" s="123" t="s">
        <v>801</v>
      </c>
      <c r="G712" s="123"/>
      <c r="H712" s="95">
        <v>45996</v>
      </c>
      <c r="I712">
        <v>20235</v>
      </c>
      <c r="J712" s="123" t="s">
        <v>1082</v>
      </c>
      <c r="K712" s="123" t="s">
        <v>1083</v>
      </c>
      <c r="L712" s="123" t="e">
        <f>VLOOKUP(Fact_AUM_FyoCapital[[#This Row],[Dim_Empresas.CUIT]],'clientes SQL'!C:D,2,0)</f>
        <v>#N/A</v>
      </c>
    </row>
    <row r="713" spans="1:12" hidden="1" x14ac:dyDescent="0.3">
      <c r="A713">
        <v>1868617</v>
      </c>
      <c r="B713">
        <v>20251205</v>
      </c>
      <c r="C713">
        <v>12804</v>
      </c>
      <c r="D713">
        <v>-4600.2132468443197</v>
      </c>
      <c r="E713" s="123" t="s">
        <v>1566</v>
      </c>
      <c r="F713" s="123" t="s">
        <v>1586</v>
      </c>
      <c r="G713" s="123"/>
      <c r="H713" s="95">
        <v>45996</v>
      </c>
      <c r="I713">
        <v>36030</v>
      </c>
      <c r="J713" s="123" t="s">
        <v>504</v>
      </c>
      <c r="K713" s="123" t="s">
        <v>1196</v>
      </c>
      <c r="L713" s="123" t="e">
        <f>VLOOKUP(Fact_AUM_FyoCapital[[#This Row],[Dim_Empresas.CUIT]],'clientes SQL'!C:D,2,0)</f>
        <v>#N/A</v>
      </c>
    </row>
    <row r="714" spans="1:12" hidden="1" x14ac:dyDescent="0.3">
      <c r="A714">
        <v>2640809</v>
      </c>
      <c r="B714">
        <v>20251205</v>
      </c>
      <c r="C714">
        <v>15231</v>
      </c>
      <c r="D714">
        <v>38222.57</v>
      </c>
      <c r="E714" s="123" t="s">
        <v>1563</v>
      </c>
      <c r="F714" s="123" t="s">
        <v>188</v>
      </c>
      <c r="G714" s="123"/>
      <c r="H714" s="95">
        <v>45996</v>
      </c>
      <c r="I714">
        <v>37357</v>
      </c>
      <c r="J714" s="123" t="s">
        <v>1060</v>
      </c>
      <c r="K714" s="123" t="s">
        <v>1061</v>
      </c>
      <c r="L714" s="123">
        <f>VLOOKUP(Fact_AUM_FyoCapital[[#This Row],[Dim_Empresas.CUIT]],'clientes SQL'!C:D,2,0)</f>
        <v>13009</v>
      </c>
    </row>
    <row r="715" spans="1:12" hidden="1" x14ac:dyDescent="0.3">
      <c r="A715">
        <v>2640509</v>
      </c>
      <c r="B715">
        <v>20251205</v>
      </c>
      <c r="C715">
        <v>7802</v>
      </c>
      <c r="D715">
        <v>8.4151472650771387E-5</v>
      </c>
      <c r="E715" s="123" t="s">
        <v>1563</v>
      </c>
      <c r="F715" s="123" t="s">
        <v>185</v>
      </c>
      <c r="G715" s="123"/>
      <c r="H715" s="95">
        <v>45996</v>
      </c>
      <c r="I715">
        <v>35095</v>
      </c>
      <c r="J715" s="123" t="s">
        <v>1048</v>
      </c>
      <c r="K715" s="123" t="s">
        <v>1049</v>
      </c>
      <c r="L715" s="123" t="e">
        <f>VLOOKUP(Fact_AUM_FyoCapital[[#This Row],[Dim_Empresas.CUIT]],'clientes SQL'!C:D,2,0)</f>
        <v>#N/A</v>
      </c>
    </row>
    <row r="716" spans="1:12" hidden="1" x14ac:dyDescent="0.3">
      <c r="A716">
        <v>2643029</v>
      </c>
      <c r="B716">
        <v>20251205</v>
      </c>
      <c r="C716">
        <v>366</v>
      </c>
      <c r="D716">
        <v>1110.5</v>
      </c>
      <c r="E716" s="123" t="s">
        <v>1563</v>
      </c>
      <c r="F716" s="123" t="s">
        <v>950</v>
      </c>
      <c r="G716" s="123"/>
      <c r="H716" s="95">
        <v>45996</v>
      </c>
      <c r="I716">
        <v>7548</v>
      </c>
      <c r="J716" s="123" t="s">
        <v>620</v>
      </c>
      <c r="K716" s="123" t="s">
        <v>1108</v>
      </c>
      <c r="L716" s="123" t="e">
        <f>VLOOKUP(Fact_AUM_FyoCapital[[#This Row],[Dim_Empresas.CUIT]],'clientes SQL'!C:D,2,0)</f>
        <v>#N/A</v>
      </c>
    </row>
    <row r="717" spans="1:12" hidden="1" x14ac:dyDescent="0.3">
      <c r="A717">
        <v>1900597</v>
      </c>
      <c r="B717">
        <v>20251205</v>
      </c>
      <c r="C717">
        <v>13663</v>
      </c>
      <c r="D717">
        <v>316.10448807854135</v>
      </c>
      <c r="E717" s="123" t="s">
        <v>1566</v>
      </c>
      <c r="F717" s="123" t="s">
        <v>1573</v>
      </c>
      <c r="G717" s="123"/>
      <c r="H717" s="95">
        <v>45996</v>
      </c>
      <c r="I717">
        <v>36828</v>
      </c>
      <c r="J717" s="123" t="s">
        <v>559</v>
      </c>
      <c r="K717" s="123" t="s">
        <v>1015</v>
      </c>
      <c r="L717" s="123" t="e">
        <f>VLOOKUP(Fact_AUM_FyoCapital[[#This Row],[Dim_Empresas.CUIT]],'clientes SQL'!C:D,2,0)</f>
        <v>#N/A</v>
      </c>
    </row>
    <row r="718" spans="1:12" hidden="1" x14ac:dyDescent="0.3">
      <c r="A718">
        <v>2621369</v>
      </c>
      <c r="B718">
        <v>20251205</v>
      </c>
      <c r="C718">
        <v>509</v>
      </c>
      <c r="D718">
        <v>-35.381928471248244</v>
      </c>
      <c r="E718" s="123" t="s">
        <v>1563</v>
      </c>
      <c r="F718" s="123" t="s">
        <v>185</v>
      </c>
      <c r="G718" s="123"/>
      <c r="H718" s="95">
        <v>45996</v>
      </c>
      <c r="I718">
        <v>8545</v>
      </c>
      <c r="J718" s="123" t="s">
        <v>414</v>
      </c>
      <c r="K718" s="123" t="s">
        <v>1107</v>
      </c>
      <c r="L718" s="123" t="e">
        <f>VLOOKUP(Fact_AUM_FyoCapital[[#This Row],[Dim_Empresas.CUIT]],'clientes SQL'!C:D,2,0)</f>
        <v>#N/A</v>
      </c>
    </row>
    <row r="719" spans="1:12" hidden="1" x14ac:dyDescent="0.3">
      <c r="A719">
        <v>1835617</v>
      </c>
      <c r="B719">
        <v>20251205</v>
      </c>
      <c r="C719">
        <v>1494</v>
      </c>
      <c r="D719">
        <v>61180.474249649371</v>
      </c>
      <c r="E719" s="123" t="s">
        <v>1568</v>
      </c>
      <c r="F719" s="123" t="s">
        <v>1572</v>
      </c>
      <c r="G719" s="123" t="s">
        <v>1583</v>
      </c>
      <c r="H719" s="95">
        <v>45996</v>
      </c>
      <c r="I719">
        <v>17933</v>
      </c>
      <c r="J719" s="123" t="s">
        <v>336</v>
      </c>
      <c r="K719" s="123" t="s">
        <v>1103</v>
      </c>
      <c r="L719" s="123" t="e">
        <f>VLOOKUP(Fact_AUM_FyoCapital[[#This Row],[Dim_Empresas.CUIT]],'clientes SQL'!C:D,2,0)</f>
        <v>#N/A</v>
      </c>
    </row>
    <row r="720" spans="1:12" hidden="1" x14ac:dyDescent="0.3">
      <c r="A720">
        <v>1832677</v>
      </c>
      <c r="B720">
        <v>20251205</v>
      </c>
      <c r="C720">
        <v>12840</v>
      </c>
      <c r="D720">
        <v>73334.912559607299</v>
      </c>
      <c r="E720" s="123" t="s">
        <v>1566</v>
      </c>
      <c r="F720" s="123" t="s">
        <v>1571</v>
      </c>
      <c r="G720" s="123"/>
      <c r="H720" s="95">
        <v>45996</v>
      </c>
      <c r="I720">
        <v>36062</v>
      </c>
      <c r="J720" s="123" t="s">
        <v>236</v>
      </c>
      <c r="K720" s="123" t="s">
        <v>1031</v>
      </c>
      <c r="L720" s="123" t="e">
        <f>VLOOKUP(Fact_AUM_FyoCapital[[#This Row],[Dim_Empresas.CUIT]],'clientes SQL'!C:D,2,0)</f>
        <v>#N/A</v>
      </c>
    </row>
    <row r="721" spans="1:12" hidden="1" x14ac:dyDescent="0.3">
      <c r="A721">
        <v>2620349</v>
      </c>
      <c r="B721">
        <v>20251205</v>
      </c>
      <c r="C721">
        <v>757</v>
      </c>
      <c r="D721">
        <v>0</v>
      </c>
      <c r="E721" s="123"/>
      <c r="F721" s="123"/>
      <c r="G721" s="123"/>
      <c r="H721" s="95">
        <v>45996</v>
      </c>
      <c r="I721">
        <v>13408</v>
      </c>
      <c r="J721" s="123" t="s">
        <v>274</v>
      </c>
      <c r="K721" s="123" t="s">
        <v>1001</v>
      </c>
      <c r="L721" s="123" t="e">
        <f>VLOOKUP(Fact_AUM_FyoCapital[[#This Row],[Dim_Empresas.CUIT]],'clientes SQL'!C:D,2,0)</f>
        <v>#N/A</v>
      </c>
    </row>
    <row r="722" spans="1:12" hidden="1" x14ac:dyDescent="0.3">
      <c r="A722">
        <v>1832317</v>
      </c>
      <c r="B722">
        <v>20251205</v>
      </c>
      <c r="C722">
        <v>12840</v>
      </c>
      <c r="D722">
        <v>11949.1</v>
      </c>
      <c r="E722" s="123" t="s">
        <v>1566</v>
      </c>
      <c r="F722" s="123" t="s">
        <v>1578</v>
      </c>
      <c r="G722" s="123"/>
      <c r="H722" s="95">
        <v>45996</v>
      </c>
      <c r="I722">
        <v>36062</v>
      </c>
      <c r="J722" s="123" t="s">
        <v>236</v>
      </c>
      <c r="K722" s="123" t="s">
        <v>1031</v>
      </c>
      <c r="L722" s="123" t="e">
        <f>VLOOKUP(Fact_AUM_FyoCapital[[#This Row],[Dim_Empresas.CUIT]],'clientes SQL'!C:D,2,0)</f>
        <v>#N/A</v>
      </c>
    </row>
    <row r="723" spans="1:12" hidden="1" x14ac:dyDescent="0.3">
      <c r="A723">
        <v>2617769</v>
      </c>
      <c r="B723">
        <v>20251205</v>
      </c>
      <c r="C723">
        <v>13275</v>
      </c>
      <c r="D723">
        <v>2.1283309957924264</v>
      </c>
      <c r="E723" s="123" t="s">
        <v>1563</v>
      </c>
      <c r="F723" s="123" t="s">
        <v>185</v>
      </c>
      <c r="G723" s="123"/>
      <c r="H723" s="95">
        <v>45996</v>
      </c>
      <c r="I723">
        <v>36459</v>
      </c>
      <c r="J723" s="123" t="s">
        <v>296</v>
      </c>
      <c r="K723" s="123" t="s">
        <v>1138</v>
      </c>
      <c r="L723" s="123" t="e">
        <f>VLOOKUP(Fact_AUM_FyoCapital[[#This Row],[Dim_Empresas.CUIT]],'clientes SQL'!C:D,2,0)</f>
        <v>#N/A</v>
      </c>
    </row>
    <row r="724" spans="1:12" hidden="1" x14ac:dyDescent="0.3">
      <c r="A724">
        <v>1844437</v>
      </c>
      <c r="B724">
        <v>20251205</v>
      </c>
      <c r="C724">
        <v>7837</v>
      </c>
      <c r="D724">
        <v>1577.37</v>
      </c>
      <c r="E724" s="123" t="s">
        <v>1568</v>
      </c>
      <c r="F724" s="123" t="s">
        <v>1575</v>
      </c>
      <c r="G724" s="123" t="s">
        <v>1576</v>
      </c>
      <c r="H724" s="95">
        <v>45996</v>
      </c>
      <c r="I724">
        <v>35127</v>
      </c>
      <c r="J724" s="123" t="s">
        <v>306</v>
      </c>
      <c r="K724" s="123" t="s">
        <v>1128</v>
      </c>
      <c r="L724" s="123" t="e">
        <f>VLOOKUP(Fact_AUM_FyoCapital[[#This Row],[Dim_Empresas.CUIT]],'clientes SQL'!C:D,2,0)</f>
        <v>#N/A</v>
      </c>
    </row>
    <row r="725" spans="1:12" hidden="1" x14ac:dyDescent="0.3">
      <c r="A725">
        <v>1825897</v>
      </c>
      <c r="B725">
        <v>20251205</v>
      </c>
      <c r="C725">
        <v>1277</v>
      </c>
      <c r="D725">
        <v>0</v>
      </c>
      <c r="E725" s="123"/>
      <c r="F725" s="123"/>
      <c r="G725" s="123"/>
      <c r="H725" s="95">
        <v>45996</v>
      </c>
      <c r="I725">
        <v>19100</v>
      </c>
      <c r="J725" s="123" t="s">
        <v>254</v>
      </c>
      <c r="K725" s="123" t="s">
        <v>1240</v>
      </c>
      <c r="L725" s="123" t="e">
        <f>VLOOKUP(Fact_AUM_FyoCapital[[#This Row],[Dim_Empresas.CUIT]],'clientes SQL'!C:D,2,0)</f>
        <v>#N/A</v>
      </c>
    </row>
    <row r="726" spans="1:12" hidden="1" x14ac:dyDescent="0.3">
      <c r="A726">
        <v>2612789</v>
      </c>
      <c r="B726">
        <v>20251205</v>
      </c>
      <c r="C726">
        <v>1559</v>
      </c>
      <c r="D726">
        <v>10272.69744740533</v>
      </c>
      <c r="E726" s="123" t="s">
        <v>1563</v>
      </c>
      <c r="F726" s="123" t="s">
        <v>185</v>
      </c>
      <c r="G726" s="123"/>
      <c r="H726" s="95">
        <v>45996</v>
      </c>
      <c r="I726">
        <v>20235</v>
      </c>
      <c r="J726" s="123" t="s">
        <v>1082</v>
      </c>
      <c r="K726" s="123" t="s">
        <v>1083</v>
      </c>
      <c r="L726" s="123" t="e">
        <f>VLOOKUP(Fact_AUM_FyoCapital[[#This Row],[Dim_Empresas.CUIT]],'clientes SQL'!C:D,2,0)</f>
        <v>#N/A</v>
      </c>
    </row>
    <row r="727" spans="1:12" hidden="1" x14ac:dyDescent="0.3">
      <c r="A727">
        <v>1900537</v>
      </c>
      <c r="B727">
        <v>20251205</v>
      </c>
      <c r="C727">
        <v>13663</v>
      </c>
      <c r="D727">
        <v>416.71809256661993</v>
      </c>
      <c r="E727" s="123" t="s">
        <v>1566</v>
      </c>
      <c r="F727" s="123" t="s">
        <v>1580</v>
      </c>
      <c r="G727" s="123"/>
      <c r="H727" s="95">
        <v>45996</v>
      </c>
      <c r="I727">
        <v>36828</v>
      </c>
      <c r="J727" s="123" t="s">
        <v>559</v>
      </c>
      <c r="K727" s="123" t="s">
        <v>1015</v>
      </c>
      <c r="L727" s="123" t="e">
        <f>VLOOKUP(Fact_AUM_FyoCapital[[#This Row],[Dim_Empresas.CUIT]],'clientes SQL'!C:D,2,0)</f>
        <v>#N/A</v>
      </c>
    </row>
    <row r="728" spans="1:12" hidden="1" x14ac:dyDescent="0.3">
      <c r="A728">
        <v>2636669</v>
      </c>
      <c r="B728">
        <v>20251205</v>
      </c>
      <c r="C728">
        <v>722</v>
      </c>
      <c r="D728">
        <v>1.4725946704067321</v>
      </c>
      <c r="E728" s="123" t="s">
        <v>1563</v>
      </c>
      <c r="F728" s="123" t="s">
        <v>185</v>
      </c>
      <c r="G728" s="123"/>
      <c r="H728" s="95">
        <v>45996</v>
      </c>
      <c r="I728">
        <v>10057</v>
      </c>
      <c r="J728" s="123" t="s">
        <v>372</v>
      </c>
      <c r="K728" s="123" t="s">
        <v>1127</v>
      </c>
      <c r="L728" s="123" t="e">
        <f>VLOOKUP(Fact_AUM_FyoCapital[[#This Row],[Dim_Empresas.CUIT]],'clientes SQL'!C:D,2,0)</f>
        <v>#N/A</v>
      </c>
    </row>
    <row r="729" spans="1:12" hidden="1" x14ac:dyDescent="0.3">
      <c r="A729">
        <v>2619329</v>
      </c>
      <c r="B729">
        <v>20251205</v>
      </c>
      <c r="C729">
        <v>1025</v>
      </c>
      <c r="D729">
        <v>-8.2222300140252447</v>
      </c>
      <c r="E729" s="123" t="s">
        <v>1563</v>
      </c>
      <c r="F729" s="123" t="s">
        <v>185</v>
      </c>
      <c r="G729" s="123"/>
      <c r="H729" s="95">
        <v>45996</v>
      </c>
      <c r="I729">
        <v>7356</v>
      </c>
      <c r="J729" s="123" t="s">
        <v>245</v>
      </c>
      <c r="K729" s="123" t="s">
        <v>1078</v>
      </c>
      <c r="L729" s="123" t="e">
        <f>VLOOKUP(Fact_AUM_FyoCapital[[#This Row],[Dim_Empresas.CUIT]],'clientes SQL'!C:D,2,0)</f>
        <v>#N/A</v>
      </c>
    </row>
    <row r="730" spans="1:12" hidden="1" x14ac:dyDescent="0.3">
      <c r="A730">
        <v>1836757</v>
      </c>
      <c r="B730">
        <v>20251205</v>
      </c>
      <c r="C730">
        <v>626</v>
      </c>
      <c r="D730">
        <v>143963.94</v>
      </c>
      <c r="E730" s="123" t="s">
        <v>1566</v>
      </c>
      <c r="F730" s="123" t="s">
        <v>1579</v>
      </c>
      <c r="G730" s="123"/>
      <c r="H730" s="95">
        <v>45996</v>
      </c>
      <c r="I730">
        <v>580</v>
      </c>
      <c r="J730" s="123" t="s">
        <v>345</v>
      </c>
      <c r="K730" s="123" t="s">
        <v>979</v>
      </c>
      <c r="L730" s="123" t="e">
        <f>VLOOKUP(Fact_AUM_FyoCapital[[#This Row],[Dim_Empresas.CUIT]],'clientes SQL'!C:D,2,0)</f>
        <v>#N/A</v>
      </c>
    </row>
    <row r="731" spans="1:12" hidden="1" x14ac:dyDescent="0.3">
      <c r="A731">
        <v>1842337</v>
      </c>
      <c r="B731">
        <v>20251205</v>
      </c>
      <c r="C731">
        <v>9936</v>
      </c>
      <c r="D731">
        <v>8677.7999999999993</v>
      </c>
      <c r="E731" s="123" t="s">
        <v>1566</v>
      </c>
      <c r="F731" s="123" t="s">
        <v>1571</v>
      </c>
      <c r="G731" s="123"/>
      <c r="H731" s="95">
        <v>45996</v>
      </c>
      <c r="I731">
        <v>35436</v>
      </c>
      <c r="J731" s="123" t="s">
        <v>300</v>
      </c>
      <c r="K731" s="123" t="s">
        <v>1037</v>
      </c>
      <c r="L731" s="123" t="e">
        <f>VLOOKUP(Fact_AUM_FyoCapital[[#This Row],[Dim_Empresas.CUIT]],'clientes SQL'!C:D,2,0)</f>
        <v>#N/A</v>
      </c>
    </row>
    <row r="732" spans="1:12" hidden="1" x14ac:dyDescent="0.3">
      <c r="A732">
        <v>2627429</v>
      </c>
      <c r="B732">
        <v>20251205</v>
      </c>
      <c r="C732">
        <v>1105</v>
      </c>
      <c r="D732">
        <v>3.9901823281907438E-3</v>
      </c>
      <c r="E732" s="123" t="s">
        <v>1563</v>
      </c>
      <c r="F732" s="123" t="s">
        <v>185</v>
      </c>
      <c r="G732" s="123"/>
      <c r="H732" s="95">
        <v>45996</v>
      </c>
      <c r="I732">
        <v>18797</v>
      </c>
      <c r="J732" s="123" t="s">
        <v>298</v>
      </c>
      <c r="K732" s="123" t="s">
        <v>1062</v>
      </c>
      <c r="L732" s="123" t="e">
        <f>VLOOKUP(Fact_AUM_FyoCapital[[#This Row],[Dim_Empresas.CUIT]],'clientes SQL'!C:D,2,0)</f>
        <v>#N/A</v>
      </c>
    </row>
    <row r="733" spans="1:12" hidden="1" x14ac:dyDescent="0.3">
      <c r="A733">
        <v>1888057</v>
      </c>
      <c r="B733">
        <v>20251205</v>
      </c>
      <c r="C733">
        <v>15195</v>
      </c>
      <c r="D733">
        <v>766.08</v>
      </c>
      <c r="E733" s="123" t="s">
        <v>1566</v>
      </c>
      <c r="F733" s="123" t="s">
        <v>1579</v>
      </c>
      <c r="G733" s="123"/>
      <c r="H733" s="95">
        <v>45996</v>
      </c>
      <c r="I733">
        <v>37326</v>
      </c>
      <c r="J733" s="123" t="s">
        <v>716</v>
      </c>
      <c r="K733" s="123" t="s">
        <v>1111</v>
      </c>
      <c r="L733" s="123" t="e">
        <f>VLOOKUP(Fact_AUM_FyoCapital[[#This Row],[Dim_Empresas.CUIT]],'clientes SQL'!C:D,2,0)</f>
        <v>#N/A</v>
      </c>
    </row>
    <row r="734" spans="1:12" hidden="1" x14ac:dyDescent="0.3">
      <c r="A734">
        <v>1867777</v>
      </c>
      <c r="B734">
        <v>20251205</v>
      </c>
      <c r="C734">
        <v>1062</v>
      </c>
      <c r="D734">
        <v>6.5140252454417957E-2</v>
      </c>
      <c r="E734" s="123" t="s">
        <v>1568</v>
      </c>
      <c r="F734" s="123" t="s">
        <v>1572</v>
      </c>
      <c r="G734" s="123" t="s">
        <v>1570</v>
      </c>
      <c r="H734" s="95">
        <v>45996</v>
      </c>
      <c r="I734">
        <v>18752</v>
      </c>
      <c r="J734" s="123" t="s">
        <v>494</v>
      </c>
      <c r="K734" s="123" t="s">
        <v>1116</v>
      </c>
      <c r="L734" s="123" t="e">
        <f>VLOOKUP(Fact_AUM_FyoCapital[[#This Row],[Dim_Empresas.CUIT]],'clientes SQL'!C:D,2,0)</f>
        <v>#N/A</v>
      </c>
    </row>
    <row r="735" spans="1:12" hidden="1" x14ac:dyDescent="0.3">
      <c r="A735">
        <v>1828897</v>
      </c>
      <c r="B735">
        <v>20251205</v>
      </c>
      <c r="C735">
        <v>5383</v>
      </c>
      <c r="D735">
        <v>87254.61430575035</v>
      </c>
      <c r="E735" s="123" t="s">
        <v>1566</v>
      </c>
      <c r="F735" s="123" t="s">
        <v>1573</v>
      </c>
      <c r="G735" s="123"/>
      <c r="H735" s="95">
        <v>45996</v>
      </c>
      <c r="I735">
        <v>33182</v>
      </c>
      <c r="J735" s="123" t="s">
        <v>238</v>
      </c>
      <c r="K735" s="123" t="s">
        <v>1167</v>
      </c>
      <c r="L735" s="123" t="e">
        <f>VLOOKUP(Fact_AUM_FyoCapital[[#This Row],[Dim_Empresas.CUIT]],'clientes SQL'!C:D,2,0)</f>
        <v>#N/A</v>
      </c>
    </row>
    <row r="736" spans="1:12" hidden="1" x14ac:dyDescent="0.3">
      <c r="A736">
        <v>1901677</v>
      </c>
      <c r="B736">
        <v>20251205</v>
      </c>
      <c r="C736">
        <v>2173</v>
      </c>
      <c r="D736">
        <v>18295.021037868162</v>
      </c>
      <c r="E736" s="123" t="s">
        <v>1566</v>
      </c>
      <c r="F736" s="123" t="s">
        <v>1582</v>
      </c>
      <c r="G736" s="123"/>
      <c r="H736" s="95">
        <v>45996</v>
      </c>
      <c r="I736">
        <v>30123</v>
      </c>
      <c r="J736" s="123" t="s">
        <v>599</v>
      </c>
      <c r="K736" s="123" t="s">
        <v>1125</v>
      </c>
      <c r="L736" s="123" t="e">
        <f>VLOOKUP(Fact_AUM_FyoCapital[[#This Row],[Dim_Empresas.CUIT]],'clientes SQL'!C:D,2,0)</f>
        <v>#N/A</v>
      </c>
    </row>
    <row r="737" spans="1:12" hidden="1" x14ac:dyDescent="0.3">
      <c r="A737">
        <v>2637929</v>
      </c>
      <c r="B737">
        <v>20251205</v>
      </c>
      <c r="C737">
        <v>3176</v>
      </c>
      <c r="D737">
        <v>-11.128022440392707</v>
      </c>
      <c r="E737" s="123" t="s">
        <v>1563</v>
      </c>
      <c r="F737" s="123" t="s">
        <v>185</v>
      </c>
      <c r="G737" s="123"/>
      <c r="H737" s="95">
        <v>45996</v>
      </c>
      <c r="I737">
        <v>31590</v>
      </c>
      <c r="J737" s="123" t="s">
        <v>1044</v>
      </c>
      <c r="K737" s="123" t="s">
        <v>1045</v>
      </c>
      <c r="L737" s="123" t="e">
        <f>VLOOKUP(Fact_AUM_FyoCapital[[#This Row],[Dim_Empresas.CUIT]],'clientes SQL'!C:D,2,0)</f>
        <v>#N/A</v>
      </c>
    </row>
    <row r="738" spans="1:12" hidden="1" x14ac:dyDescent="0.3">
      <c r="A738">
        <v>1846417</v>
      </c>
      <c r="B738">
        <v>20251205</v>
      </c>
      <c r="C738">
        <v>13275</v>
      </c>
      <c r="D738">
        <v>16612.215378681627</v>
      </c>
      <c r="E738" s="123" t="s">
        <v>1568</v>
      </c>
      <c r="F738" s="123" t="s">
        <v>1572</v>
      </c>
      <c r="G738" s="123" t="s">
        <v>1574</v>
      </c>
      <c r="H738" s="95">
        <v>45996</v>
      </c>
      <c r="I738">
        <v>36459</v>
      </c>
      <c r="J738" s="123" t="s">
        <v>296</v>
      </c>
      <c r="K738" s="123" t="s">
        <v>1138</v>
      </c>
      <c r="L738" s="123" t="e">
        <f>VLOOKUP(Fact_AUM_FyoCapital[[#This Row],[Dim_Empresas.CUIT]],'clientes SQL'!C:D,2,0)</f>
        <v>#N/A</v>
      </c>
    </row>
    <row r="739" spans="1:12" hidden="1" x14ac:dyDescent="0.3">
      <c r="A739">
        <v>2635409</v>
      </c>
      <c r="B739">
        <v>20251205</v>
      </c>
      <c r="C739">
        <v>1345</v>
      </c>
      <c r="D739">
        <v>-32.226795231416553</v>
      </c>
      <c r="E739" s="123" t="s">
        <v>1563</v>
      </c>
      <c r="F739" s="123" t="s">
        <v>185</v>
      </c>
      <c r="G739" s="123"/>
      <c r="H739" s="95">
        <v>45996</v>
      </c>
      <c r="I739">
        <v>19474</v>
      </c>
      <c r="J739" s="123" t="s">
        <v>704</v>
      </c>
      <c r="K739" s="123" t="s">
        <v>1224</v>
      </c>
      <c r="L739" s="123" t="e">
        <f>VLOOKUP(Fact_AUM_FyoCapital[[#This Row],[Dim_Empresas.CUIT]],'clientes SQL'!C:D,2,0)</f>
        <v>#N/A</v>
      </c>
    </row>
    <row r="740" spans="1:12" hidden="1" x14ac:dyDescent="0.3">
      <c r="A740">
        <v>1838557</v>
      </c>
      <c r="B740">
        <v>20251205</v>
      </c>
      <c r="C740">
        <v>5235</v>
      </c>
      <c r="D740">
        <v>44396.520434782607</v>
      </c>
      <c r="E740" s="123" t="s">
        <v>1566</v>
      </c>
      <c r="F740" s="123" t="s">
        <v>1582</v>
      </c>
      <c r="G740" s="123"/>
      <c r="H740" s="95">
        <v>45996</v>
      </c>
      <c r="I740">
        <v>33099</v>
      </c>
      <c r="J740" s="123" t="s">
        <v>346</v>
      </c>
      <c r="K740" s="123" t="s">
        <v>1118</v>
      </c>
      <c r="L740" s="123" t="e">
        <f>VLOOKUP(Fact_AUM_FyoCapital[[#This Row],[Dim_Empresas.CUIT]],'clientes SQL'!C:D,2,0)</f>
        <v>#N/A</v>
      </c>
    </row>
    <row r="741" spans="1:12" hidden="1" x14ac:dyDescent="0.3">
      <c r="A741">
        <v>1827397</v>
      </c>
      <c r="B741">
        <v>20251205</v>
      </c>
      <c r="C741">
        <v>3845</v>
      </c>
      <c r="D741">
        <v>47.662896213183728</v>
      </c>
      <c r="E741" s="123" t="s">
        <v>1568</v>
      </c>
      <c r="F741" s="123" t="s">
        <v>1572</v>
      </c>
      <c r="G741" s="123" t="s">
        <v>1577</v>
      </c>
      <c r="H741" s="95">
        <v>45996</v>
      </c>
      <c r="I741">
        <v>32394</v>
      </c>
      <c r="J741" s="123" t="s">
        <v>720</v>
      </c>
      <c r="K741" s="123" t="s">
        <v>1176</v>
      </c>
      <c r="L741" s="123" t="e">
        <f>VLOOKUP(Fact_AUM_FyoCapital[[#This Row],[Dim_Empresas.CUIT]],'clientes SQL'!C:D,2,0)</f>
        <v>#N/A</v>
      </c>
    </row>
    <row r="742" spans="1:12" hidden="1" x14ac:dyDescent="0.3">
      <c r="A742">
        <v>1832977</v>
      </c>
      <c r="B742">
        <v>20251205</v>
      </c>
      <c r="C742">
        <v>13712</v>
      </c>
      <c r="D742">
        <v>14584.202769985974</v>
      </c>
      <c r="E742" s="123" t="s">
        <v>1568</v>
      </c>
      <c r="F742" s="123" t="s">
        <v>1572</v>
      </c>
      <c r="G742" s="123" t="s">
        <v>1570</v>
      </c>
      <c r="H742" s="95">
        <v>45996</v>
      </c>
      <c r="I742">
        <v>36873</v>
      </c>
      <c r="J742" s="123" t="s">
        <v>1122</v>
      </c>
      <c r="K742" s="123" t="s">
        <v>1123</v>
      </c>
      <c r="L742" s="123" t="e">
        <f>VLOOKUP(Fact_AUM_FyoCapital[[#This Row],[Dim_Empresas.CUIT]],'clientes SQL'!C:D,2,0)</f>
        <v>#N/A</v>
      </c>
    </row>
    <row r="743" spans="1:12" hidden="1" x14ac:dyDescent="0.3">
      <c r="A743">
        <v>1883557</v>
      </c>
      <c r="B743">
        <v>20251205</v>
      </c>
      <c r="C743">
        <v>905</v>
      </c>
      <c r="D743">
        <v>752629.73352033657</v>
      </c>
      <c r="E743" s="123" t="s">
        <v>1566</v>
      </c>
      <c r="F743" s="123" t="s">
        <v>1582</v>
      </c>
      <c r="G743" s="123"/>
      <c r="H743" s="95">
        <v>45996</v>
      </c>
      <c r="I743">
        <v>18220</v>
      </c>
      <c r="J743" s="123" t="s">
        <v>531</v>
      </c>
      <c r="K743" s="123" t="s">
        <v>1121</v>
      </c>
      <c r="L743" s="123" t="e">
        <f>VLOOKUP(Fact_AUM_FyoCapital[[#This Row],[Dim_Empresas.CUIT]],'clientes SQL'!C:D,2,0)</f>
        <v>#N/A</v>
      </c>
    </row>
    <row r="744" spans="1:12" hidden="1" x14ac:dyDescent="0.3">
      <c r="A744">
        <v>2616989</v>
      </c>
      <c r="B744">
        <v>20251205</v>
      </c>
      <c r="C744">
        <v>7837</v>
      </c>
      <c r="D744">
        <v>2.1037868162692845E-4</v>
      </c>
      <c r="E744" s="123" t="s">
        <v>1563</v>
      </c>
      <c r="F744" s="123" t="s">
        <v>185</v>
      </c>
      <c r="G744" s="123"/>
      <c r="H744" s="95">
        <v>45996</v>
      </c>
      <c r="I744">
        <v>35127</v>
      </c>
      <c r="J744" s="123" t="s">
        <v>306</v>
      </c>
      <c r="K744" s="123" t="s">
        <v>1128</v>
      </c>
      <c r="L744" s="123" t="e">
        <f>VLOOKUP(Fact_AUM_FyoCapital[[#This Row],[Dim_Empresas.CUIT]],'clientes SQL'!C:D,2,0)</f>
        <v>#N/A</v>
      </c>
    </row>
    <row r="745" spans="1:12" hidden="1" x14ac:dyDescent="0.3">
      <c r="A745">
        <v>2605769</v>
      </c>
      <c r="B745">
        <v>20251205</v>
      </c>
      <c r="C745">
        <v>13024</v>
      </c>
      <c r="D745">
        <v>10035.063113604489</v>
      </c>
      <c r="E745" s="123" t="s">
        <v>1566</v>
      </c>
      <c r="F745" s="123" t="s">
        <v>1582</v>
      </c>
      <c r="G745" s="123"/>
      <c r="H745" s="95">
        <v>45996</v>
      </c>
      <c r="I745">
        <v>36227</v>
      </c>
      <c r="J745" s="123" t="s">
        <v>606</v>
      </c>
      <c r="K745" s="123" t="s">
        <v>1105</v>
      </c>
      <c r="L745" s="123" t="e">
        <f>VLOOKUP(Fact_AUM_FyoCapital[[#This Row],[Dim_Empresas.CUIT]],'clientes SQL'!C:D,2,0)</f>
        <v>#N/A</v>
      </c>
    </row>
    <row r="746" spans="1:12" hidden="1" x14ac:dyDescent="0.3">
      <c r="A746">
        <v>1834537</v>
      </c>
      <c r="B746">
        <v>20251205</v>
      </c>
      <c r="C746">
        <v>1395</v>
      </c>
      <c r="D746">
        <v>33979.19</v>
      </c>
      <c r="E746" s="123" t="s">
        <v>1566</v>
      </c>
      <c r="F746" s="123" t="s">
        <v>1571</v>
      </c>
      <c r="G746" s="123"/>
      <c r="H746" s="95">
        <v>45996</v>
      </c>
      <c r="I746">
        <v>19639</v>
      </c>
      <c r="J746" s="123" t="s">
        <v>1156</v>
      </c>
      <c r="K746" s="123" t="s">
        <v>1157</v>
      </c>
      <c r="L746" s="123" t="e">
        <f>VLOOKUP(Fact_AUM_FyoCapital[[#This Row],[Dim_Empresas.CUIT]],'clientes SQL'!C:D,2,0)</f>
        <v>#N/A</v>
      </c>
    </row>
    <row r="747" spans="1:12" hidden="1" x14ac:dyDescent="0.3">
      <c r="A747">
        <v>1886077</v>
      </c>
      <c r="B747">
        <v>20251205</v>
      </c>
      <c r="C747">
        <v>12867</v>
      </c>
      <c r="D747">
        <v>217389.64</v>
      </c>
      <c r="E747" s="123" t="s">
        <v>1568</v>
      </c>
      <c r="F747" s="123" t="s">
        <v>1575</v>
      </c>
      <c r="G747" s="123" t="s">
        <v>1576</v>
      </c>
      <c r="H747" s="95">
        <v>45996</v>
      </c>
      <c r="I747">
        <v>36089</v>
      </c>
      <c r="J747" s="123" t="s">
        <v>557</v>
      </c>
      <c r="K747" s="123" t="s">
        <v>1086</v>
      </c>
      <c r="L747" s="123" t="e">
        <f>VLOOKUP(Fact_AUM_FyoCapital[[#This Row],[Dim_Empresas.CUIT]],'clientes SQL'!C:D,2,0)</f>
        <v>#N/A</v>
      </c>
    </row>
    <row r="748" spans="1:12" hidden="1" x14ac:dyDescent="0.3">
      <c r="A748">
        <v>2626889</v>
      </c>
      <c r="B748">
        <v>20251205</v>
      </c>
      <c r="C748">
        <v>5197</v>
      </c>
      <c r="D748">
        <v>0</v>
      </c>
      <c r="E748" s="123"/>
      <c r="F748" s="123"/>
      <c r="G748" s="123"/>
      <c r="H748" s="95">
        <v>45996</v>
      </c>
      <c r="I748">
        <v>33322</v>
      </c>
      <c r="J748" s="123" t="s">
        <v>500</v>
      </c>
      <c r="K748" s="123" t="s">
        <v>1233</v>
      </c>
      <c r="L748" s="123" t="e">
        <f>VLOOKUP(Fact_AUM_FyoCapital[[#This Row],[Dim_Empresas.CUIT]],'clientes SQL'!C:D,2,0)</f>
        <v>#N/A</v>
      </c>
    </row>
    <row r="749" spans="1:12" hidden="1" x14ac:dyDescent="0.3">
      <c r="A749">
        <v>2624909</v>
      </c>
      <c r="B749">
        <v>20251205</v>
      </c>
      <c r="C749">
        <v>4259</v>
      </c>
      <c r="D749">
        <v>-1.279102384291725E-2</v>
      </c>
      <c r="E749" s="123" t="s">
        <v>1563</v>
      </c>
      <c r="F749" s="123" t="s">
        <v>185</v>
      </c>
      <c r="G749" s="123"/>
      <c r="H749" s="95">
        <v>45996</v>
      </c>
      <c r="I749">
        <v>19330</v>
      </c>
      <c r="J749" s="123" t="s">
        <v>293</v>
      </c>
      <c r="K749" s="123" t="s">
        <v>1166</v>
      </c>
      <c r="L749" s="123" t="e">
        <f>VLOOKUP(Fact_AUM_FyoCapital[[#This Row],[Dim_Empresas.CUIT]],'clientes SQL'!C:D,2,0)</f>
        <v>#N/A</v>
      </c>
    </row>
    <row r="750" spans="1:12" hidden="1" x14ac:dyDescent="0.3">
      <c r="A750">
        <v>1836997</v>
      </c>
      <c r="B750">
        <v>20251205</v>
      </c>
      <c r="C750">
        <v>626</v>
      </c>
      <c r="D750">
        <v>107188.09</v>
      </c>
      <c r="E750" s="123" t="s">
        <v>1566</v>
      </c>
      <c r="F750" s="123" t="s">
        <v>1571</v>
      </c>
      <c r="G750" s="123"/>
      <c r="H750" s="95">
        <v>45996</v>
      </c>
      <c r="I750">
        <v>580</v>
      </c>
      <c r="J750" s="123" t="s">
        <v>345</v>
      </c>
      <c r="K750" s="123" t="s">
        <v>979</v>
      </c>
      <c r="L750" s="123" t="e">
        <f>VLOOKUP(Fact_AUM_FyoCapital[[#This Row],[Dim_Empresas.CUIT]],'clientes SQL'!C:D,2,0)</f>
        <v>#N/A</v>
      </c>
    </row>
    <row r="751" spans="1:12" hidden="1" x14ac:dyDescent="0.3">
      <c r="A751">
        <v>1852297</v>
      </c>
      <c r="B751">
        <v>20251205</v>
      </c>
      <c r="C751">
        <v>1251</v>
      </c>
      <c r="D751">
        <v>62708.3973772791</v>
      </c>
      <c r="E751" s="123" t="s">
        <v>1568</v>
      </c>
      <c r="F751" s="123" t="s">
        <v>1572</v>
      </c>
      <c r="G751" s="123" t="s">
        <v>1570</v>
      </c>
      <c r="H751" s="95">
        <v>45996</v>
      </c>
      <c r="I751">
        <v>15140</v>
      </c>
      <c r="J751" s="123" t="s">
        <v>409</v>
      </c>
      <c r="K751" s="123" t="s">
        <v>1221</v>
      </c>
      <c r="L751" s="123" t="e">
        <f>VLOOKUP(Fact_AUM_FyoCapital[[#This Row],[Dim_Empresas.CUIT]],'clientes SQL'!C:D,2,0)</f>
        <v>#N/A</v>
      </c>
    </row>
    <row r="752" spans="1:12" hidden="1" x14ac:dyDescent="0.3">
      <c r="A752">
        <v>2621969</v>
      </c>
      <c r="B752">
        <v>20251205</v>
      </c>
      <c r="C752">
        <v>317</v>
      </c>
      <c r="D752">
        <v>1.5799438990182327E-2</v>
      </c>
      <c r="E752" s="123" t="s">
        <v>1563</v>
      </c>
      <c r="F752" s="123" t="s">
        <v>185</v>
      </c>
      <c r="G752" s="123"/>
      <c r="H752" s="95">
        <v>45996</v>
      </c>
      <c r="I752">
        <v>2217</v>
      </c>
      <c r="J752" s="123" t="s">
        <v>433</v>
      </c>
      <c r="K752" s="123" t="s">
        <v>1150</v>
      </c>
      <c r="L752" s="123" t="e">
        <f>VLOOKUP(Fact_AUM_FyoCapital[[#This Row],[Dim_Empresas.CUIT]],'clientes SQL'!C:D,2,0)</f>
        <v>#N/A</v>
      </c>
    </row>
    <row r="753" spans="1:12" hidden="1" x14ac:dyDescent="0.3">
      <c r="A753">
        <v>1851217</v>
      </c>
      <c r="B753">
        <v>20251205</v>
      </c>
      <c r="C753">
        <v>855</v>
      </c>
      <c r="D753">
        <v>24960.872230014022</v>
      </c>
      <c r="E753" s="123" t="s">
        <v>1566</v>
      </c>
      <c r="F753" s="123" t="s">
        <v>1573</v>
      </c>
      <c r="G753" s="123"/>
      <c r="H753" s="95">
        <v>45996</v>
      </c>
      <c r="I753">
        <v>17742</v>
      </c>
      <c r="J753" s="123" t="s">
        <v>266</v>
      </c>
      <c r="K753" s="123" t="s">
        <v>1030</v>
      </c>
      <c r="L753" s="123" t="e">
        <f>VLOOKUP(Fact_AUM_FyoCapital[[#This Row],[Dim_Empresas.CUIT]],'clientes SQL'!C:D,2,0)</f>
        <v>#N/A</v>
      </c>
    </row>
    <row r="754" spans="1:12" hidden="1" x14ac:dyDescent="0.3">
      <c r="A754">
        <v>1888837</v>
      </c>
      <c r="B754">
        <v>20251205</v>
      </c>
      <c r="C754">
        <v>16936</v>
      </c>
      <c r="D754">
        <v>730667.70692145871</v>
      </c>
      <c r="E754" s="123" t="s">
        <v>1568</v>
      </c>
      <c r="F754" s="123" t="s">
        <v>1572</v>
      </c>
      <c r="G754" s="123" t="s">
        <v>1583</v>
      </c>
      <c r="H754" s="95">
        <v>45996</v>
      </c>
      <c r="I754">
        <v>38107</v>
      </c>
      <c r="J754" s="123" t="s">
        <v>900</v>
      </c>
      <c r="K754" s="123" t="s">
        <v>1509</v>
      </c>
      <c r="L754" s="123" t="e">
        <f>VLOOKUP(Fact_AUM_FyoCapital[[#This Row],[Dim_Empresas.CUIT]],'clientes SQL'!C:D,2,0)</f>
        <v>#N/A</v>
      </c>
    </row>
    <row r="755" spans="1:12" hidden="1" x14ac:dyDescent="0.3">
      <c r="A755">
        <v>1894477</v>
      </c>
      <c r="B755">
        <v>20251205</v>
      </c>
      <c r="C755">
        <v>1315</v>
      </c>
      <c r="D755">
        <v>223514.54678120615</v>
      </c>
      <c r="E755" s="123" t="s">
        <v>1568</v>
      </c>
      <c r="F755" s="123" t="s">
        <v>1572</v>
      </c>
      <c r="G755" s="123" t="s">
        <v>1570</v>
      </c>
      <c r="H755" s="95">
        <v>45996</v>
      </c>
      <c r="I755">
        <v>7247</v>
      </c>
      <c r="J755" s="123" t="s">
        <v>574</v>
      </c>
      <c r="K755" s="123" t="s">
        <v>1027</v>
      </c>
      <c r="L755" s="123" t="e">
        <f>VLOOKUP(Fact_AUM_FyoCapital[[#This Row],[Dim_Empresas.CUIT]],'clientes SQL'!C:D,2,0)</f>
        <v>#N/A</v>
      </c>
    </row>
    <row r="756" spans="1:12" hidden="1" x14ac:dyDescent="0.3">
      <c r="A756">
        <v>1835197</v>
      </c>
      <c r="B756">
        <v>20251205</v>
      </c>
      <c r="C756">
        <v>1559</v>
      </c>
      <c r="D756">
        <v>19227.7</v>
      </c>
      <c r="E756" s="123" t="s">
        <v>1566</v>
      </c>
      <c r="F756" s="123" t="s">
        <v>1578</v>
      </c>
      <c r="G756" s="123"/>
      <c r="H756" s="95">
        <v>45996</v>
      </c>
      <c r="I756">
        <v>20235</v>
      </c>
      <c r="J756" s="123" t="s">
        <v>1082</v>
      </c>
      <c r="K756" s="123" t="s">
        <v>1083</v>
      </c>
      <c r="L756" s="123" t="e">
        <f>VLOOKUP(Fact_AUM_FyoCapital[[#This Row],[Dim_Empresas.CUIT]],'clientes SQL'!C:D,2,0)</f>
        <v>#N/A</v>
      </c>
    </row>
    <row r="757" spans="1:12" hidden="1" x14ac:dyDescent="0.3">
      <c r="A757">
        <v>1847857</v>
      </c>
      <c r="B757">
        <v>20251205</v>
      </c>
      <c r="C757">
        <v>13761</v>
      </c>
      <c r="D757">
        <v>184.41</v>
      </c>
      <c r="E757" s="123" t="s">
        <v>1566</v>
      </c>
      <c r="F757" s="123" t="s">
        <v>1579</v>
      </c>
      <c r="G757" s="123"/>
      <c r="H757" s="95">
        <v>45996</v>
      </c>
      <c r="I757">
        <v>36914</v>
      </c>
      <c r="J757" s="123" t="s">
        <v>315</v>
      </c>
      <c r="K757" s="123" t="s">
        <v>1106</v>
      </c>
      <c r="L757" s="123" t="e">
        <f>VLOOKUP(Fact_AUM_FyoCapital[[#This Row],[Dim_Empresas.CUIT]],'clientes SQL'!C:D,2,0)</f>
        <v>#N/A</v>
      </c>
    </row>
    <row r="758" spans="1:12" hidden="1" x14ac:dyDescent="0.3">
      <c r="A758">
        <v>2634329</v>
      </c>
      <c r="B758">
        <v>20251205</v>
      </c>
      <c r="C758">
        <v>13568</v>
      </c>
      <c r="D758">
        <v>-0.91612903225806464</v>
      </c>
      <c r="E758" s="123" t="s">
        <v>1563</v>
      </c>
      <c r="F758" s="123" t="s">
        <v>185</v>
      </c>
      <c r="G758" s="123"/>
      <c r="H758" s="95">
        <v>45996</v>
      </c>
      <c r="I758">
        <v>36739</v>
      </c>
      <c r="J758" s="123" t="s">
        <v>538</v>
      </c>
      <c r="K758" s="123" t="s">
        <v>1266</v>
      </c>
      <c r="L758" s="123" t="e">
        <f>VLOOKUP(Fact_AUM_FyoCapital[[#This Row],[Dim_Empresas.CUIT]],'clientes SQL'!C:D,2,0)</f>
        <v>#N/A</v>
      </c>
    </row>
    <row r="759" spans="1:12" hidden="1" x14ac:dyDescent="0.3">
      <c r="A759">
        <v>1891177</v>
      </c>
      <c r="B759">
        <v>20251205</v>
      </c>
      <c r="C759">
        <v>3479</v>
      </c>
      <c r="D759">
        <v>154277.69985974755</v>
      </c>
      <c r="E759" s="123" t="s">
        <v>1566</v>
      </c>
      <c r="F759" s="123" t="s">
        <v>1578</v>
      </c>
      <c r="G759" s="123"/>
      <c r="H759" s="95">
        <v>45996</v>
      </c>
      <c r="I759">
        <v>31936</v>
      </c>
      <c r="J759" s="123" t="s">
        <v>456</v>
      </c>
      <c r="K759" s="123" t="s">
        <v>1119</v>
      </c>
      <c r="L759" s="123" t="e">
        <f>VLOOKUP(Fact_AUM_FyoCapital[[#This Row],[Dim_Empresas.CUIT]],'clientes SQL'!C:D,2,0)</f>
        <v>#N/A</v>
      </c>
    </row>
    <row r="760" spans="1:12" hidden="1" x14ac:dyDescent="0.3">
      <c r="A760">
        <v>1892557</v>
      </c>
      <c r="B760">
        <v>20251205</v>
      </c>
      <c r="C760">
        <v>3479</v>
      </c>
      <c r="D760">
        <v>404986.7782468443</v>
      </c>
      <c r="E760" s="123" t="s">
        <v>1566</v>
      </c>
      <c r="F760" s="123" t="s">
        <v>1571</v>
      </c>
      <c r="G760" s="123"/>
      <c r="H760" s="95">
        <v>45996</v>
      </c>
      <c r="I760">
        <v>31936</v>
      </c>
      <c r="J760" s="123" t="s">
        <v>456</v>
      </c>
      <c r="K760" s="123" t="s">
        <v>1119</v>
      </c>
      <c r="L760" s="123" t="e">
        <f>VLOOKUP(Fact_AUM_FyoCapital[[#This Row],[Dim_Empresas.CUIT]],'clientes SQL'!C:D,2,0)</f>
        <v>#N/A</v>
      </c>
    </row>
    <row r="761" spans="1:12" hidden="1" x14ac:dyDescent="0.3">
      <c r="A761">
        <v>1891477</v>
      </c>
      <c r="B761">
        <v>20251205</v>
      </c>
      <c r="C761">
        <v>3479</v>
      </c>
      <c r="D761">
        <v>178738.75666199159</v>
      </c>
      <c r="E761" s="123" t="s">
        <v>1566</v>
      </c>
      <c r="F761" s="123" t="s">
        <v>1573</v>
      </c>
      <c r="G761" s="123"/>
      <c r="H761" s="95">
        <v>45996</v>
      </c>
      <c r="I761">
        <v>31936</v>
      </c>
      <c r="J761" s="123" t="s">
        <v>456</v>
      </c>
      <c r="K761" s="123" t="s">
        <v>1119</v>
      </c>
      <c r="L761" s="123" t="e">
        <f>VLOOKUP(Fact_AUM_FyoCapital[[#This Row],[Dim_Empresas.CUIT]],'clientes SQL'!C:D,2,0)</f>
        <v>#N/A</v>
      </c>
    </row>
    <row r="762" spans="1:12" hidden="1" x14ac:dyDescent="0.3">
      <c r="A762">
        <v>1892137</v>
      </c>
      <c r="B762">
        <v>20251205</v>
      </c>
      <c r="C762">
        <v>3479</v>
      </c>
      <c r="D762">
        <v>286020.42075736326</v>
      </c>
      <c r="E762" s="123" t="s">
        <v>1566</v>
      </c>
      <c r="F762" s="123" t="s">
        <v>1580</v>
      </c>
      <c r="G762" s="123"/>
      <c r="H762" s="95">
        <v>45996</v>
      </c>
      <c r="I762">
        <v>31936</v>
      </c>
      <c r="J762" s="123" t="s">
        <v>456</v>
      </c>
      <c r="K762" s="123" t="s">
        <v>1119</v>
      </c>
      <c r="L762" s="123" t="e">
        <f>VLOOKUP(Fact_AUM_FyoCapital[[#This Row],[Dim_Empresas.CUIT]],'clientes SQL'!C:D,2,0)</f>
        <v>#N/A</v>
      </c>
    </row>
    <row r="763" spans="1:12" hidden="1" x14ac:dyDescent="0.3">
      <c r="A763">
        <v>2606849</v>
      </c>
      <c r="B763">
        <v>20251205</v>
      </c>
      <c r="C763">
        <v>5422</v>
      </c>
      <c r="D763">
        <v>29135.050217391305</v>
      </c>
      <c r="E763" s="123" t="s">
        <v>1568</v>
      </c>
      <c r="F763" s="123" t="s">
        <v>1572</v>
      </c>
      <c r="G763" s="123" t="s">
        <v>1583</v>
      </c>
      <c r="H763" s="95">
        <v>45996</v>
      </c>
      <c r="I763">
        <v>33196</v>
      </c>
      <c r="J763" s="123" t="s">
        <v>719</v>
      </c>
      <c r="K763" s="123" t="s">
        <v>1253</v>
      </c>
      <c r="L763" s="123" t="e">
        <f>VLOOKUP(Fact_AUM_FyoCapital[[#This Row],[Dim_Empresas.CUIT]],'clientes SQL'!C:D,2,0)</f>
        <v>#N/A</v>
      </c>
    </row>
    <row r="764" spans="1:12" hidden="1" x14ac:dyDescent="0.3">
      <c r="A764">
        <v>1887697</v>
      </c>
      <c r="B764">
        <v>20251205</v>
      </c>
      <c r="C764">
        <v>15004</v>
      </c>
      <c r="D764">
        <v>3232.45</v>
      </c>
      <c r="E764" s="123" t="s">
        <v>1566</v>
      </c>
      <c r="F764" s="123" t="s">
        <v>1579</v>
      </c>
      <c r="G764" s="123"/>
      <c r="H764" s="95">
        <v>45996</v>
      </c>
      <c r="I764">
        <v>37208</v>
      </c>
      <c r="J764" s="123" t="s">
        <v>1113</v>
      </c>
      <c r="K764" s="123" t="s">
        <v>1114</v>
      </c>
      <c r="L764" s="123" t="e">
        <f>VLOOKUP(Fact_AUM_FyoCapital[[#This Row],[Dim_Empresas.CUIT]],'clientes SQL'!C:D,2,0)</f>
        <v>#N/A</v>
      </c>
    </row>
    <row r="765" spans="1:12" hidden="1" x14ac:dyDescent="0.3">
      <c r="A765">
        <v>2643089</v>
      </c>
      <c r="B765">
        <v>20251205</v>
      </c>
      <c r="C765">
        <v>4195</v>
      </c>
      <c r="D765">
        <v>6.4936886395511916E-3</v>
      </c>
      <c r="E765" s="123" t="s">
        <v>1563</v>
      </c>
      <c r="F765" s="123" t="s">
        <v>185</v>
      </c>
      <c r="G765" s="123"/>
      <c r="H765" s="95">
        <v>45996</v>
      </c>
      <c r="I765">
        <v>32828</v>
      </c>
      <c r="J765" s="123" t="s">
        <v>605</v>
      </c>
      <c r="K765" s="123" t="s">
        <v>1126</v>
      </c>
      <c r="L765" s="123" t="e">
        <f>VLOOKUP(Fact_AUM_FyoCapital[[#This Row],[Dim_Empresas.CUIT]],'clientes SQL'!C:D,2,0)</f>
        <v>#N/A</v>
      </c>
    </row>
    <row r="766" spans="1:12" hidden="1" x14ac:dyDescent="0.3">
      <c r="A766">
        <v>1894897</v>
      </c>
      <c r="B766">
        <v>20251205</v>
      </c>
      <c r="C766">
        <v>3176</v>
      </c>
      <c r="D766">
        <v>24914.1</v>
      </c>
      <c r="E766" s="123" t="s">
        <v>1568</v>
      </c>
      <c r="F766" s="123" t="s">
        <v>1575</v>
      </c>
      <c r="G766" s="123" t="s">
        <v>1576</v>
      </c>
      <c r="H766" s="95">
        <v>45996</v>
      </c>
      <c r="I766">
        <v>31590</v>
      </c>
      <c r="J766" s="123" t="s">
        <v>1044</v>
      </c>
      <c r="K766" s="123" t="s">
        <v>1045</v>
      </c>
      <c r="L766" s="123" t="e">
        <f>VLOOKUP(Fact_AUM_FyoCapital[[#This Row],[Dim_Empresas.CUIT]],'clientes SQL'!C:D,2,0)</f>
        <v>#N/A</v>
      </c>
    </row>
    <row r="767" spans="1:12" hidden="1" x14ac:dyDescent="0.3">
      <c r="A767">
        <v>2635229</v>
      </c>
      <c r="B767">
        <v>20251205</v>
      </c>
      <c r="C767">
        <v>1819</v>
      </c>
      <c r="D767">
        <v>4.1935483870967748E-3</v>
      </c>
      <c r="E767" s="123" t="s">
        <v>1563</v>
      </c>
      <c r="F767" s="123" t="s">
        <v>185</v>
      </c>
      <c r="G767" s="123"/>
      <c r="H767" s="95">
        <v>45996</v>
      </c>
      <c r="I767">
        <v>3798</v>
      </c>
      <c r="J767" s="123" t="s">
        <v>1058</v>
      </c>
      <c r="K767" s="123" t="s">
        <v>1059</v>
      </c>
      <c r="L767" s="123" t="e">
        <f>VLOOKUP(Fact_AUM_FyoCapital[[#This Row],[Dim_Empresas.CUIT]],'clientes SQL'!C:D,2,0)</f>
        <v>#N/A</v>
      </c>
    </row>
    <row r="768" spans="1:12" hidden="1" x14ac:dyDescent="0.3">
      <c r="A768">
        <v>2601389</v>
      </c>
      <c r="B768">
        <v>20251205</v>
      </c>
      <c r="C768">
        <v>1048</v>
      </c>
      <c r="D768">
        <v>1392.54</v>
      </c>
      <c r="E768" s="123" t="s">
        <v>1566</v>
      </c>
      <c r="F768" s="123" t="s">
        <v>1571</v>
      </c>
      <c r="G768" s="123"/>
      <c r="H768" s="95">
        <v>45996</v>
      </c>
      <c r="I768">
        <v>2240</v>
      </c>
      <c r="J768" s="123" t="s">
        <v>1177</v>
      </c>
      <c r="K768" s="123" t="s">
        <v>1178</v>
      </c>
      <c r="L768" s="123" t="e">
        <f>VLOOKUP(Fact_AUM_FyoCapital[[#This Row],[Dim_Empresas.CUIT]],'clientes SQL'!C:D,2,0)</f>
        <v>#N/A</v>
      </c>
    </row>
    <row r="769" spans="1:12" hidden="1" x14ac:dyDescent="0.3">
      <c r="A769">
        <v>1844917</v>
      </c>
      <c r="B769">
        <v>20251205</v>
      </c>
      <c r="C769">
        <v>9936</v>
      </c>
      <c r="D769">
        <v>4223.0155680224407</v>
      </c>
      <c r="E769" s="123" t="s">
        <v>1566</v>
      </c>
      <c r="F769" s="123" t="s">
        <v>1579</v>
      </c>
      <c r="G769" s="123"/>
      <c r="H769" s="95">
        <v>45996</v>
      </c>
      <c r="I769">
        <v>35436</v>
      </c>
      <c r="J769" s="123" t="s">
        <v>300</v>
      </c>
      <c r="K769" s="123" t="s">
        <v>1037</v>
      </c>
      <c r="L769" s="123" t="e">
        <f>VLOOKUP(Fact_AUM_FyoCapital[[#This Row],[Dim_Empresas.CUIT]],'clientes SQL'!C:D,2,0)</f>
        <v>#N/A</v>
      </c>
    </row>
    <row r="770" spans="1:12" hidden="1" x14ac:dyDescent="0.3">
      <c r="A770">
        <v>2631629</v>
      </c>
      <c r="B770">
        <v>20251205</v>
      </c>
      <c r="C770">
        <v>3456</v>
      </c>
      <c r="D770">
        <v>-7.7678821879382881E-2</v>
      </c>
      <c r="E770" s="123" t="s">
        <v>1563</v>
      </c>
      <c r="F770" s="123" t="s">
        <v>185</v>
      </c>
      <c r="G770" s="123"/>
      <c r="H770" s="95">
        <v>45996</v>
      </c>
      <c r="I770">
        <v>31910</v>
      </c>
      <c r="J770" s="123" t="s">
        <v>473</v>
      </c>
      <c r="K770" s="123" t="s">
        <v>1257</v>
      </c>
      <c r="L770" s="123" t="e">
        <f>VLOOKUP(Fact_AUM_FyoCapital[[#This Row],[Dim_Empresas.CUIT]],'clientes SQL'!C:D,2,0)</f>
        <v>#N/A</v>
      </c>
    </row>
    <row r="771" spans="1:12" hidden="1" x14ac:dyDescent="0.3">
      <c r="A771">
        <v>1837957</v>
      </c>
      <c r="B771">
        <v>20251205</v>
      </c>
      <c r="C771">
        <v>675</v>
      </c>
      <c r="D771">
        <v>1.6914446002805051E-2</v>
      </c>
      <c r="E771" s="123" t="s">
        <v>1568</v>
      </c>
      <c r="F771" s="123" t="s">
        <v>1572</v>
      </c>
      <c r="G771" s="123" t="s">
        <v>1587</v>
      </c>
      <c r="H771" s="95">
        <v>45996</v>
      </c>
      <c r="I771">
        <v>9743</v>
      </c>
      <c r="J771" s="123" t="s">
        <v>1065</v>
      </c>
      <c r="K771" s="123" t="s">
        <v>1066</v>
      </c>
      <c r="L771" s="123" t="e">
        <f>VLOOKUP(Fact_AUM_FyoCapital[[#This Row],[Dim_Empresas.CUIT]],'clientes SQL'!C:D,2,0)</f>
        <v>#N/A</v>
      </c>
    </row>
    <row r="772" spans="1:12" hidden="1" x14ac:dyDescent="0.3">
      <c r="A772">
        <v>1831657</v>
      </c>
      <c r="B772">
        <v>20251205</v>
      </c>
      <c r="C772">
        <v>1352</v>
      </c>
      <c r="D772">
        <v>9461.2072720897613</v>
      </c>
      <c r="E772" s="123" t="s">
        <v>1568</v>
      </c>
      <c r="F772" s="123" t="s">
        <v>1572</v>
      </c>
      <c r="G772" s="123" t="s">
        <v>1570</v>
      </c>
      <c r="H772" s="95">
        <v>45996</v>
      </c>
      <c r="I772">
        <v>19501</v>
      </c>
      <c r="J772" s="123" t="s">
        <v>192</v>
      </c>
      <c r="K772" s="123" t="s">
        <v>1129</v>
      </c>
      <c r="L772" s="123" t="e">
        <f>VLOOKUP(Fact_AUM_FyoCapital[[#This Row],[Dim_Empresas.CUIT]],'clientes SQL'!C:D,2,0)</f>
        <v>#N/A</v>
      </c>
    </row>
    <row r="773" spans="1:12" hidden="1" x14ac:dyDescent="0.3">
      <c r="A773">
        <v>1892857</v>
      </c>
      <c r="B773">
        <v>20251205</v>
      </c>
      <c r="C773">
        <v>3479</v>
      </c>
      <c r="D773">
        <v>3428304.2251051893</v>
      </c>
      <c r="E773" s="123" t="s">
        <v>1566</v>
      </c>
      <c r="F773" s="123" t="s">
        <v>1573</v>
      </c>
      <c r="G773" s="123"/>
      <c r="H773" s="95">
        <v>45996</v>
      </c>
      <c r="I773">
        <v>31936</v>
      </c>
      <c r="J773" s="123" t="s">
        <v>456</v>
      </c>
      <c r="K773" s="123" t="s">
        <v>1119</v>
      </c>
      <c r="L773" s="123" t="e">
        <f>VLOOKUP(Fact_AUM_FyoCapital[[#This Row],[Dim_Empresas.CUIT]],'clientes SQL'!C:D,2,0)</f>
        <v>#N/A</v>
      </c>
    </row>
    <row r="774" spans="1:12" hidden="1" x14ac:dyDescent="0.3">
      <c r="A774">
        <v>1846837</v>
      </c>
      <c r="B774">
        <v>20251205</v>
      </c>
      <c r="C774">
        <v>9936</v>
      </c>
      <c r="D774">
        <v>5490.824060308556</v>
      </c>
      <c r="E774" s="123" t="s">
        <v>1566</v>
      </c>
      <c r="F774" s="123" t="s">
        <v>1571</v>
      </c>
      <c r="G774" s="123"/>
      <c r="H774" s="95">
        <v>45996</v>
      </c>
      <c r="I774">
        <v>35436</v>
      </c>
      <c r="J774" s="123" t="s">
        <v>300</v>
      </c>
      <c r="K774" s="123" t="s">
        <v>1037</v>
      </c>
      <c r="L774" s="123" t="e">
        <f>VLOOKUP(Fact_AUM_FyoCapital[[#This Row],[Dim_Empresas.CUIT]],'clientes SQL'!C:D,2,0)</f>
        <v>#N/A</v>
      </c>
    </row>
    <row r="775" spans="1:12" hidden="1" x14ac:dyDescent="0.3">
      <c r="A775">
        <v>2609669</v>
      </c>
      <c r="B775">
        <v>20251205</v>
      </c>
      <c r="C775">
        <v>4867</v>
      </c>
      <c r="D775">
        <v>1.2489200561009819</v>
      </c>
      <c r="E775" s="123" t="s">
        <v>1563</v>
      </c>
      <c r="F775" s="123" t="s">
        <v>185</v>
      </c>
      <c r="G775" s="123"/>
      <c r="H775" s="95">
        <v>45996</v>
      </c>
      <c r="I775">
        <v>33007</v>
      </c>
      <c r="J775" s="123" t="s">
        <v>256</v>
      </c>
      <c r="K775" s="123" t="s">
        <v>1099</v>
      </c>
      <c r="L775" s="123" t="e">
        <f>VLOOKUP(Fact_AUM_FyoCapital[[#This Row],[Dim_Empresas.CUIT]],'clientes SQL'!C:D,2,0)</f>
        <v>#N/A</v>
      </c>
    </row>
    <row r="776" spans="1:12" hidden="1" x14ac:dyDescent="0.3">
      <c r="A776">
        <v>2644169</v>
      </c>
      <c r="B776">
        <v>20251205</v>
      </c>
      <c r="C776">
        <v>1563</v>
      </c>
      <c r="D776">
        <v>-3.5327208976157083</v>
      </c>
      <c r="E776" s="123" t="s">
        <v>1563</v>
      </c>
      <c r="F776" s="123" t="s">
        <v>185</v>
      </c>
      <c r="G776" s="123"/>
      <c r="H776" s="95">
        <v>45996</v>
      </c>
      <c r="I776">
        <v>20242</v>
      </c>
      <c r="J776" s="123" t="s">
        <v>631</v>
      </c>
      <c r="K776" s="123" t="s">
        <v>1190</v>
      </c>
      <c r="L776" s="123" t="e">
        <f>VLOOKUP(Fact_AUM_FyoCapital[[#This Row],[Dim_Empresas.CUIT]],'clientes SQL'!C:D,2,0)</f>
        <v>#N/A</v>
      </c>
    </row>
    <row r="777" spans="1:12" hidden="1" x14ac:dyDescent="0.3">
      <c r="A777">
        <v>2629289</v>
      </c>
      <c r="B777">
        <v>20251205</v>
      </c>
      <c r="C777">
        <v>1504</v>
      </c>
      <c r="D777">
        <v>1.6129032258064516E-4</v>
      </c>
      <c r="E777" s="123" t="s">
        <v>1563</v>
      </c>
      <c r="F777" s="123" t="s">
        <v>185</v>
      </c>
      <c r="G777" s="123"/>
      <c r="H777" s="95">
        <v>45996</v>
      </c>
      <c r="I777">
        <v>19963</v>
      </c>
      <c r="J777" s="123" t="s">
        <v>461</v>
      </c>
      <c r="K777" s="123" t="s">
        <v>1191</v>
      </c>
      <c r="L777" s="123" t="e">
        <f>VLOOKUP(Fact_AUM_FyoCapital[[#This Row],[Dim_Empresas.CUIT]],'clientes SQL'!C:D,2,0)</f>
        <v>#N/A</v>
      </c>
    </row>
    <row r="778" spans="1:12" hidden="1" x14ac:dyDescent="0.3">
      <c r="A778">
        <v>2634689</v>
      </c>
      <c r="B778">
        <v>20251205</v>
      </c>
      <c r="C778">
        <v>13748</v>
      </c>
      <c r="D778">
        <v>45.009095371669005</v>
      </c>
      <c r="E778" s="123" t="s">
        <v>1563</v>
      </c>
      <c r="F778" s="123" t="s">
        <v>185</v>
      </c>
      <c r="G778" s="123"/>
      <c r="H778" s="95">
        <v>45996</v>
      </c>
      <c r="I778">
        <v>36902</v>
      </c>
      <c r="J778" s="123" t="s">
        <v>1130</v>
      </c>
      <c r="K778" s="123" t="s">
        <v>1131</v>
      </c>
      <c r="L778" s="123" t="e">
        <f>VLOOKUP(Fact_AUM_FyoCapital[[#This Row],[Dim_Empresas.CUIT]],'clientes SQL'!C:D,2,0)</f>
        <v>#N/A</v>
      </c>
    </row>
    <row r="779" spans="1:12" hidden="1" x14ac:dyDescent="0.3">
      <c r="A779">
        <v>2630069</v>
      </c>
      <c r="B779">
        <v>20251205</v>
      </c>
      <c r="C779">
        <v>2133</v>
      </c>
      <c r="D779">
        <v>3000</v>
      </c>
      <c r="E779" s="123" t="s">
        <v>1563</v>
      </c>
      <c r="F779" s="123" t="s">
        <v>801</v>
      </c>
      <c r="G779" s="123"/>
      <c r="H779" s="95">
        <v>45996</v>
      </c>
      <c r="I779">
        <v>30043</v>
      </c>
      <c r="J779" s="123" t="s">
        <v>196</v>
      </c>
      <c r="K779" s="123" t="s">
        <v>1185</v>
      </c>
      <c r="L779" s="123" t="e">
        <f>VLOOKUP(Fact_AUM_FyoCapital[[#This Row],[Dim_Empresas.CUIT]],'clientes SQL'!C:D,2,0)</f>
        <v>#N/A</v>
      </c>
    </row>
    <row r="780" spans="1:12" hidden="1" x14ac:dyDescent="0.3">
      <c r="A780">
        <v>2635949</v>
      </c>
      <c r="B780">
        <v>20251205</v>
      </c>
      <c r="C780">
        <v>990</v>
      </c>
      <c r="D780">
        <v>0.10167601683029454</v>
      </c>
      <c r="E780" s="123" t="s">
        <v>1563</v>
      </c>
      <c r="F780" s="123" t="s">
        <v>185</v>
      </c>
      <c r="G780" s="123"/>
      <c r="H780" s="95">
        <v>45996</v>
      </c>
      <c r="I780">
        <v>18212</v>
      </c>
      <c r="J780" s="123" t="s">
        <v>1091</v>
      </c>
      <c r="K780" s="123" t="s">
        <v>1092</v>
      </c>
      <c r="L780" s="123" t="e">
        <f>VLOOKUP(Fact_AUM_FyoCapital[[#This Row],[Dim_Empresas.CUIT]],'clientes SQL'!C:D,2,0)</f>
        <v>#N/A</v>
      </c>
    </row>
    <row r="781" spans="1:12" hidden="1" x14ac:dyDescent="0.3">
      <c r="A781">
        <v>2637749</v>
      </c>
      <c r="B781">
        <v>20251205</v>
      </c>
      <c r="C781">
        <v>1315</v>
      </c>
      <c r="D781">
        <v>0</v>
      </c>
      <c r="E781" s="123"/>
      <c r="F781" s="123"/>
      <c r="G781" s="123"/>
      <c r="H781" s="95">
        <v>45996</v>
      </c>
      <c r="I781">
        <v>7247</v>
      </c>
      <c r="J781" s="123" t="s">
        <v>574</v>
      </c>
      <c r="K781" s="123" t="s">
        <v>1027</v>
      </c>
      <c r="L781" s="123" t="e">
        <f>VLOOKUP(Fact_AUM_FyoCapital[[#This Row],[Dim_Empresas.CUIT]],'clientes SQL'!C:D,2,0)</f>
        <v>#N/A</v>
      </c>
    </row>
    <row r="782" spans="1:12" hidden="1" x14ac:dyDescent="0.3">
      <c r="A782">
        <v>2600069</v>
      </c>
      <c r="B782">
        <v>20251205</v>
      </c>
      <c r="C782">
        <v>16106</v>
      </c>
      <c r="D782">
        <v>100.77868162692847</v>
      </c>
      <c r="E782" s="123" t="s">
        <v>1568</v>
      </c>
      <c r="F782" s="123" t="s">
        <v>1572</v>
      </c>
      <c r="G782" s="123" t="s">
        <v>1570</v>
      </c>
      <c r="H782" s="95">
        <v>45996</v>
      </c>
      <c r="I782">
        <v>37627</v>
      </c>
      <c r="J782" s="123" t="s">
        <v>696</v>
      </c>
      <c r="K782" s="123" t="s">
        <v>1067</v>
      </c>
      <c r="L782" s="123" t="e">
        <f>VLOOKUP(Fact_AUM_FyoCapital[[#This Row],[Dim_Empresas.CUIT]],'clientes SQL'!C:D,2,0)</f>
        <v>#N/A</v>
      </c>
    </row>
    <row r="783" spans="1:12" hidden="1" x14ac:dyDescent="0.3">
      <c r="A783">
        <v>1852477</v>
      </c>
      <c r="B783">
        <v>20251205</v>
      </c>
      <c r="C783">
        <v>3119</v>
      </c>
      <c r="D783">
        <v>45107.608695652176</v>
      </c>
      <c r="E783" s="123" t="s">
        <v>1566</v>
      </c>
      <c r="F783" s="123" t="s">
        <v>1582</v>
      </c>
      <c r="G783" s="123"/>
      <c r="H783" s="95">
        <v>45996</v>
      </c>
      <c r="I783">
        <v>31525</v>
      </c>
      <c r="J783" s="123" t="s">
        <v>432</v>
      </c>
      <c r="K783" s="123" t="s">
        <v>1145</v>
      </c>
      <c r="L783" s="123" t="e">
        <f>VLOOKUP(Fact_AUM_FyoCapital[[#This Row],[Dim_Empresas.CUIT]],'clientes SQL'!C:D,2,0)</f>
        <v>#N/A</v>
      </c>
    </row>
    <row r="784" spans="1:12" hidden="1" x14ac:dyDescent="0.3">
      <c r="A784">
        <v>1892977</v>
      </c>
      <c r="B784">
        <v>20251205</v>
      </c>
      <c r="C784">
        <v>3479</v>
      </c>
      <c r="D784">
        <v>898936.65274193545</v>
      </c>
      <c r="E784" s="123" t="s">
        <v>1568</v>
      </c>
      <c r="F784" s="123" t="s">
        <v>1575</v>
      </c>
      <c r="G784" s="123" t="s">
        <v>1574</v>
      </c>
      <c r="H784" s="95">
        <v>45996</v>
      </c>
      <c r="I784">
        <v>31936</v>
      </c>
      <c r="J784" s="123" t="s">
        <v>456</v>
      </c>
      <c r="K784" s="123" t="s">
        <v>1119</v>
      </c>
      <c r="L784" s="123" t="e">
        <f>VLOOKUP(Fact_AUM_FyoCapital[[#This Row],[Dim_Empresas.CUIT]],'clientes SQL'!C:D,2,0)</f>
        <v>#N/A</v>
      </c>
    </row>
    <row r="785" spans="1:12" hidden="1" x14ac:dyDescent="0.3">
      <c r="A785">
        <v>1826077</v>
      </c>
      <c r="B785">
        <v>20251205</v>
      </c>
      <c r="C785">
        <v>1277</v>
      </c>
      <c r="D785">
        <v>0</v>
      </c>
      <c r="E785" s="123"/>
      <c r="F785" s="123"/>
      <c r="G785" s="123"/>
      <c r="H785" s="95">
        <v>45996</v>
      </c>
      <c r="I785">
        <v>19100</v>
      </c>
      <c r="J785" s="123" t="s">
        <v>254</v>
      </c>
      <c r="K785" s="123" t="s">
        <v>1240</v>
      </c>
      <c r="L785" s="123" t="e">
        <f>VLOOKUP(Fact_AUM_FyoCapital[[#This Row],[Dim_Empresas.CUIT]],'clientes SQL'!C:D,2,0)</f>
        <v>#N/A</v>
      </c>
    </row>
    <row r="786" spans="1:12" hidden="1" x14ac:dyDescent="0.3">
      <c r="A786">
        <v>2628569</v>
      </c>
      <c r="B786">
        <v>20251205</v>
      </c>
      <c r="C786">
        <v>2042</v>
      </c>
      <c r="D786">
        <v>9.8850070126227205</v>
      </c>
      <c r="E786" s="123" t="s">
        <v>1563</v>
      </c>
      <c r="F786" s="123" t="s">
        <v>185</v>
      </c>
      <c r="G786" s="123"/>
      <c r="H786" s="95">
        <v>45996</v>
      </c>
      <c r="I786">
        <v>30036</v>
      </c>
      <c r="J786" s="123" t="s">
        <v>445</v>
      </c>
      <c r="K786" s="123" t="s">
        <v>1189</v>
      </c>
      <c r="L786" s="123" t="e">
        <f>VLOOKUP(Fact_AUM_FyoCapital[[#This Row],[Dim_Empresas.CUIT]],'clientes SQL'!C:D,2,0)</f>
        <v>#N/A</v>
      </c>
    </row>
    <row r="787" spans="1:12" hidden="1" x14ac:dyDescent="0.3">
      <c r="A787">
        <v>1898917</v>
      </c>
      <c r="B787">
        <v>20251205</v>
      </c>
      <c r="C787">
        <v>12922</v>
      </c>
      <c r="D787">
        <v>30089.679074333799</v>
      </c>
      <c r="E787" s="123" t="s">
        <v>1566</v>
      </c>
      <c r="F787" s="123" t="s">
        <v>1571</v>
      </c>
      <c r="G787" s="123"/>
      <c r="H787" s="95">
        <v>45996</v>
      </c>
      <c r="I787">
        <v>36140</v>
      </c>
      <c r="J787" s="123" t="s">
        <v>128</v>
      </c>
      <c r="K787" s="123" t="s">
        <v>1042</v>
      </c>
      <c r="L787" s="123">
        <f>VLOOKUP(Fact_AUM_FyoCapital[[#This Row],[Dim_Empresas.CUIT]],'clientes SQL'!C:D,2,0)</f>
        <v>13006</v>
      </c>
    </row>
    <row r="788" spans="1:12" hidden="1" x14ac:dyDescent="0.3">
      <c r="A788">
        <v>1835437</v>
      </c>
      <c r="B788">
        <v>20251205</v>
      </c>
      <c r="C788">
        <v>1559</v>
      </c>
      <c r="D788">
        <v>46193.919999999998</v>
      </c>
      <c r="E788" s="123" t="s">
        <v>1566</v>
      </c>
      <c r="F788" s="123" t="s">
        <v>1578</v>
      </c>
      <c r="G788" s="123"/>
      <c r="H788" s="95">
        <v>45996</v>
      </c>
      <c r="I788">
        <v>20235</v>
      </c>
      <c r="J788" s="123" t="s">
        <v>1082</v>
      </c>
      <c r="K788" s="123" t="s">
        <v>1083</v>
      </c>
      <c r="L788" s="123" t="e">
        <f>VLOOKUP(Fact_AUM_FyoCapital[[#This Row],[Dim_Empresas.CUIT]],'clientes SQL'!C:D,2,0)</f>
        <v>#N/A</v>
      </c>
    </row>
    <row r="789" spans="1:12" hidden="1" x14ac:dyDescent="0.3">
      <c r="A789">
        <v>2616269</v>
      </c>
      <c r="B789">
        <v>20251205</v>
      </c>
      <c r="C789">
        <v>9937</v>
      </c>
      <c r="D789">
        <v>25.730757363253854</v>
      </c>
      <c r="E789" s="123" t="s">
        <v>1563</v>
      </c>
      <c r="F789" s="123" t="s">
        <v>185</v>
      </c>
      <c r="G789" s="123"/>
      <c r="H789" s="95">
        <v>45996</v>
      </c>
      <c r="I789">
        <v>35437</v>
      </c>
      <c r="J789" s="123" t="s">
        <v>332</v>
      </c>
      <c r="K789" s="123" t="s">
        <v>1173</v>
      </c>
      <c r="L789" s="123" t="e">
        <f>VLOOKUP(Fact_AUM_FyoCapital[[#This Row],[Dim_Empresas.CUIT]],'clientes SQL'!C:D,2,0)</f>
        <v>#N/A</v>
      </c>
    </row>
    <row r="790" spans="1:12" hidden="1" x14ac:dyDescent="0.3">
      <c r="A790">
        <v>1872577</v>
      </c>
      <c r="B790">
        <v>20251205</v>
      </c>
      <c r="C790">
        <v>949</v>
      </c>
      <c r="D790">
        <v>14904.78009817672</v>
      </c>
      <c r="E790" s="123" t="s">
        <v>1568</v>
      </c>
      <c r="F790" s="123" t="s">
        <v>1572</v>
      </c>
      <c r="G790" s="123" t="s">
        <v>1570</v>
      </c>
      <c r="H790" s="95">
        <v>45996</v>
      </c>
      <c r="I790">
        <v>17696</v>
      </c>
      <c r="J790" s="123" t="s">
        <v>725</v>
      </c>
      <c r="K790" s="123" t="s">
        <v>1021</v>
      </c>
      <c r="L790" s="123" t="e">
        <f>VLOOKUP(Fact_AUM_FyoCapital[[#This Row],[Dim_Empresas.CUIT]],'clientes SQL'!C:D,2,0)</f>
        <v>#N/A</v>
      </c>
    </row>
    <row r="791" spans="1:12" hidden="1" x14ac:dyDescent="0.3">
      <c r="A791">
        <v>2612969</v>
      </c>
      <c r="B791">
        <v>20251205</v>
      </c>
      <c r="C791">
        <v>1494</v>
      </c>
      <c r="D791">
        <v>10036.02</v>
      </c>
      <c r="E791" s="123" t="s">
        <v>1563</v>
      </c>
      <c r="F791" s="123" t="s">
        <v>950</v>
      </c>
      <c r="G791" s="123"/>
      <c r="H791" s="95">
        <v>45996</v>
      </c>
      <c r="I791">
        <v>17933</v>
      </c>
      <c r="J791" s="123" t="s">
        <v>336</v>
      </c>
      <c r="K791" s="123" t="s">
        <v>1103</v>
      </c>
      <c r="L791" s="123" t="e">
        <f>VLOOKUP(Fact_AUM_FyoCapital[[#This Row],[Dim_Empresas.CUIT]],'clientes SQL'!C:D,2,0)</f>
        <v>#N/A</v>
      </c>
    </row>
    <row r="792" spans="1:12" hidden="1" x14ac:dyDescent="0.3">
      <c r="A792">
        <v>2613569</v>
      </c>
      <c r="B792">
        <v>20251205</v>
      </c>
      <c r="C792">
        <v>675</v>
      </c>
      <c r="D792">
        <v>91.94</v>
      </c>
      <c r="E792" s="123" t="s">
        <v>1563</v>
      </c>
      <c r="F792" s="123" t="s">
        <v>950</v>
      </c>
      <c r="G792" s="123"/>
      <c r="H792" s="95">
        <v>45996</v>
      </c>
      <c r="I792">
        <v>9743</v>
      </c>
      <c r="J792" s="123" t="s">
        <v>1065</v>
      </c>
      <c r="K792" s="123" t="s">
        <v>1066</v>
      </c>
      <c r="L792" s="123" t="e">
        <f>VLOOKUP(Fact_AUM_FyoCapital[[#This Row],[Dim_Empresas.CUIT]],'clientes SQL'!C:D,2,0)</f>
        <v>#N/A</v>
      </c>
    </row>
    <row r="793" spans="1:12" hidden="1" x14ac:dyDescent="0.3">
      <c r="A793">
        <v>2631929</v>
      </c>
      <c r="B793">
        <v>20251205</v>
      </c>
      <c r="C793">
        <v>1522</v>
      </c>
      <c r="D793">
        <v>5.79242636746143E-3</v>
      </c>
      <c r="E793" s="123" t="s">
        <v>1563</v>
      </c>
      <c r="F793" s="123" t="s">
        <v>185</v>
      </c>
      <c r="G793" s="123"/>
      <c r="H793" s="95">
        <v>45996</v>
      </c>
      <c r="I793">
        <v>20094</v>
      </c>
      <c r="J793" s="123" t="s">
        <v>488</v>
      </c>
      <c r="K793" s="123" t="s">
        <v>1050</v>
      </c>
      <c r="L793" s="123" t="e">
        <f>VLOOKUP(Fact_AUM_FyoCapital[[#This Row],[Dim_Empresas.CUIT]],'clientes SQL'!C:D,2,0)</f>
        <v>#N/A</v>
      </c>
    </row>
    <row r="794" spans="1:12" hidden="1" x14ac:dyDescent="0.3">
      <c r="A794">
        <v>2634209</v>
      </c>
      <c r="B794">
        <v>20251205</v>
      </c>
      <c r="C794">
        <v>1547</v>
      </c>
      <c r="D794">
        <v>-0.5317251051893408</v>
      </c>
      <c r="E794" s="123" t="s">
        <v>1563</v>
      </c>
      <c r="F794" s="123" t="s">
        <v>185</v>
      </c>
      <c r="G794" s="123"/>
      <c r="H794" s="95">
        <v>45996</v>
      </c>
      <c r="I794">
        <v>20218</v>
      </c>
      <c r="J794" s="123" t="s">
        <v>533</v>
      </c>
      <c r="K794" s="123" t="s">
        <v>1134</v>
      </c>
      <c r="L794" s="123" t="e">
        <f>VLOOKUP(Fact_AUM_FyoCapital[[#This Row],[Dim_Empresas.CUIT]],'clientes SQL'!C:D,2,0)</f>
        <v>#N/A</v>
      </c>
    </row>
    <row r="795" spans="1:12" hidden="1" x14ac:dyDescent="0.3">
      <c r="A795">
        <v>1866517</v>
      </c>
      <c r="B795">
        <v>20251205</v>
      </c>
      <c r="C795">
        <v>1021</v>
      </c>
      <c r="D795">
        <v>33858.25</v>
      </c>
      <c r="E795" s="123" t="s">
        <v>1568</v>
      </c>
      <c r="F795" s="123" t="s">
        <v>1572</v>
      </c>
      <c r="G795" s="123" t="s">
        <v>1570</v>
      </c>
      <c r="H795" s="95">
        <v>45996</v>
      </c>
      <c r="I795">
        <v>13900</v>
      </c>
      <c r="J795" s="123" t="s">
        <v>462</v>
      </c>
      <c r="K795" s="123" t="s">
        <v>1211</v>
      </c>
      <c r="L795" s="123" t="e">
        <f>VLOOKUP(Fact_AUM_FyoCapital[[#This Row],[Dim_Empresas.CUIT]],'clientes SQL'!C:D,2,0)</f>
        <v>#N/A</v>
      </c>
    </row>
    <row r="796" spans="1:12" hidden="1" x14ac:dyDescent="0.3">
      <c r="A796">
        <v>1838617</v>
      </c>
      <c r="B796">
        <v>20251205</v>
      </c>
      <c r="C796">
        <v>5235</v>
      </c>
      <c r="D796">
        <v>264003.36605890602</v>
      </c>
      <c r="E796" s="123" t="s">
        <v>1566</v>
      </c>
      <c r="F796" s="123" t="s">
        <v>1573</v>
      </c>
      <c r="G796" s="123"/>
      <c r="H796" s="95">
        <v>45996</v>
      </c>
      <c r="I796">
        <v>33099</v>
      </c>
      <c r="J796" s="123" t="s">
        <v>346</v>
      </c>
      <c r="K796" s="123" t="s">
        <v>1118</v>
      </c>
      <c r="L796" s="123" t="e">
        <f>VLOOKUP(Fact_AUM_FyoCapital[[#This Row],[Dim_Empresas.CUIT]],'clientes SQL'!C:D,2,0)</f>
        <v>#N/A</v>
      </c>
    </row>
    <row r="797" spans="1:12" hidden="1" x14ac:dyDescent="0.3">
      <c r="A797">
        <v>2642729</v>
      </c>
      <c r="B797">
        <v>20251205</v>
      </c>
      <c r="C797">
        <v>4264</v>
      </c>
      <c r="D797">
        <v>0</v>
      </c>
      <c r="E797" s="123"/>
      <c r="F797" s="123"/>
      <c r="G797" s="123"/>
      <c r="H797" s="95">
        <v>45996</v>
      </c>
      <c r="I797">
        <v>32301</v>
      </c>
      <c r="J797" s="123" t="s">
        <v>493</v>
      </c>
      <c r="K797" s="123" t="s">
        <v>1104</v>
      </c>
      <c r="L797" s="123" t="e">
        <f>VLOOKUP(Fact_AUM_FyoCapital[[#This Row],[Dim_Empresas.CUIT]],'clientes SQL'!C:D,2,0)</f>
        <v>#N/A</v>
      </c>
    </row>
    <row r="798" spans="1:12" hidden="1" x14ac:dyDescent="0.3">
      <c r="A798">
        <v>1834717</v>
      </c>
      <c r="B798">
        <v>20251205</v>
      </c>
      <c r="C798">
        <v>16773</v>
      </c>
      <c r="D798">
        <v>2140.88</v>
      </c>
      <c r="E798" s="123" t="s">
        <v>1566</v>
      </c>
      <c r="F798" s="123" t="s">
        <v>1571</v>
      </c>
      <c r="G798" s="123"/>
      <c r="H798" s="95">
        <v>45996</v>
      </c>
      <c r="I798">
        <v>38070</v>
      </c>
      <c r="J798" s="123" t="s">
        <v>1505</v>
      </c>
      <c r="K798" s="123" t="s">
        <v>1506</v>
      </c>
      <c r="L798" s="123" t="e">
        <f>VLOOKUP(Fact_AUM_FyoCapital[[#This Row],[Dim_Empresas.CUIT]],'clientes SQL'!C:D,2,0)</f>
        <v>#N/A</v>
      </c>
    </row>
    <row r="799" spans="1:12" hidden="1" x14ac:dyDescent="0.3">
      <c r="A799">
        <v>1846597</v>
      </c>
      <c r="B799">
        <v>20251205</v>
      </c>
      <c r="C799">
        <v>2196</v>
      </c>
      <c r="D799">
        <v>2867.87</v>
      </c>
      <c r="E799" s="123" t="s">
        <v>1566</v>
      </c>
      <c r="F799" s="123" t="s">
        <v>1579</v>
      </c>
      <c r="G799" s="123"/>
      <c r="H799" s="95">
        <v>45996</v>
      </c>
      <c r="I799">
        <v>30190</v>
      </c>
      <c r="J799" s="123" t="s">
        <v>691</v>
      </c>
      <c r="K799" s="123" t="s">
        <v>1283</v>
      </c>
      <c r="L799" s="123" t="e">
        <f>VLOOKUP(Fact_AUM_FyoCapital[[#This Row],[Dim_Empresas.CUIT]],'clientes SQL'!C:D,2,0)</f>
        <v>#N/A</v>
      </c>
    </row>
    <row r="800" spans="1:12" hidden="1" x14ac:dyDescent="0.3">
      <c r="A800">
        <v>1900057</v>
      </c>
      <c r="B800">
        <v>20251205</v>
      </c>
      <c r="C800">
        <v>13268</v>
      </c>
      <c r="D800">
        <v>21.826444600280503</v>
      </c>
      <c r="E800" s="123" t="s">
        <v>1568</v>
      </c>
      <c r="F800" s="123" t="s">
        <v>1572</v>
      </c>
      <c r="G800" s="123" t="s">
        <v>1570</v>
      </c>
      <c r="H800" s="95">
        <v>45996</v>
      </c>
      <c r="I800">
        <v>36454</v>
      </c>
      <c r="J800" s="123" t="s">
        <v>683</v>
      </c>
      <c r="K800" s="123" t="s">
        <v>1281</v>
      </c>
      <c r="L800" s="123" t="e">
        <f>VLOOKUP(Fact_AUM_FyoCapital[[#This Row],[Dim_Empresas.CUIT]],'clientes SQL'!C:D,2,0)</f>
        <v>#N/A</v>
      </c>
    </row>
    <row r="801" spans="1:12" hidden="1" x14ac:dyDescent="0.3">
      <c r="A801">
        <v>1826017</v>
      </c>
      <c r="B801">
        <v>20251205</v>
      </c>
      <c r="C801">
        <v>1277</v>
      </c>
      <c r="D801">
        <v>-983273.3</v>
      </c>
      <c r="E801" s="123" t="s">
        <v>1566</v>
      </c>
      <c r="F801" s="123" t="s">
        <v>1578</v>
      </c>
      <c r="G801" s="123"/>
      <c r="H801" s="95">
        <v>45996</v>
      </c>
      <c r="I801">
        <v>19100</v>
      </c>
      <c r="J801" s="123" t="s">
        <v>254</v>
      </c>
      <c r="K801" s="123" t="s">
        <v>1240</v>
      </c>
      <c r="L801" s="123" t="e">
        <f>VLOOKUP(Fact_AUM_FyoCapital[[#This Row],[Dim_Empresas.CUIT]],'clientes SQL'!C:D,2,0)</f>
        <v>#N/A</v>
      </c>
    </row>
    <row r="802" spans="1:12" hidden="1" x14ac:dyDescent="0.3">
      <c r="A802">
        <v>1892917</v>
      </c>
      <c r="B802">
        <v>20251205</v>
      </c>
      <c r="C802">
        <v>3479</v>
      </c>
      <c r="D802">
        <v>14418.828190743337</v>
      </c>
      <c r="E802" s="123" t="s">
        <v>1568</v>
      </c>
      <c r="F802" s="123" t="s">
        <v>1572</v>
      </c>
      <c r="G802" s="123" t="s">
        <v>1570</v>
      </c>
      <c r="H802" s="95">
        <v>45996</v>
      </c>
      <c r="I802">
        <v>31936</v>
      </c>
      <c r="J802" s="123" t="s">
        <v>456</v>
      </c>
      <c r="K802" s="123" t="s">
        <v>1119</v>
      </c>
      <c r="L802" s="123" t="e">
        <f>VLOOKUP(Fact_AUM_FyoCapital[[#This Row],[Dim_Empresas.CUIT]],'clientes SQL'!C:D,2,0)</f>
        <v>#N/A</v>
      </c>
    </row>
    <row r="803" spans="1:12" hidden="1" x14ac:dyDescent="0.3">
      <c r="A803">
        <v>1845697</v>
      </c>
      <c r="B803">
        <v>20251205</v>
      </c>
      <c r="C803">
        <v>13275</v>
      </c>
      <c r="D803">
        <v>5738.63</v>
      </c>
      <c r="E803" s="123" t="s">
        <v>1566</v>
      </c>
      <c r="F803" s="123" t="s">
        <v>1571</v>
      </c>
      <c r="G803" s="123"/>
      <c r="H803" s="95">
        <v>45996</v>
      </c>
      <c r="I803">
        <v>36459</v>
      </c>
      <c r="J803" s="123" t="s">
        <v>296</v>
      </c>
      <c r="K803" s="123" t="s">
        <v>1138</v>
      </c>
      <c r="L803" s="123" t="e">
        <f>VLOOKUP(Fact_AUM_FyoCapital[[#This Row],[Dim_Empresas.CUIT]],'clientes SQL'!C:D,2,0)</f>
        <v>#N/A</v>
      </c>
    </row>
    <row r="804" spans="1:12" hidden="1" x14ac:dyDescent="0.3">
      <c r="A804">
        <v>2643689</v>
      </c>
      <c r="B804">
        <v>20251205</v>
      </c>
      <c r="C804">
        <v>2153</v>
      </c>
      <c r="D804">
        <v>301400</v>
      </c>
      <c r="E804" s="123" t="s">
        <v>1563</v>
      </c>
      <c r="F804" s="123" t="s">
        <v>950</v>
      </c>
      <c r="G804" s="123"/>
      <c r="H804" s="95">
        <v>45996</v>
      </c>
      <c r="I804">
        <v>30090</v>
      </c>
      <c r="J804" s="123" t="s">
        <v>619</v>
      </c>
      <c r="K804" s="123" t="s">
        <v>1068</v>
      </c>
      <c r="L804" s="123" t="e">
        <f>VLOOKUP(Fact_AUM_FyoCapital[[#This Row],[Dim_Empresas.CUIT]],'clientes SQL'!C:D,2,0)</f>
        <v>#N/A</v>
      </c>
    </row>
    <row r="805" spans="1:12" hidden="1" x14ac:dyDescent="0.3">
      <c r="A805">
        <v>1878157</v>
      </c>
      <c r="B805">
        <v>20251205</v>
      </c>
      <c r="C805">
        <v>1522</v>
      </c>
      <c r="D805">
        <v>-90000</v>
      </c>
      <c r="E805" s="123" t="s">
        <v>1566</v>
      </c>
      <c r="F805" s="123" t="s">
        <v>1578</v>
      </c>
      <c r="G805" s="123"/>
      <c r="H805" s="95">
        <v>45996</v>
      </c>
      <c r="I805">
        <v>20094</v>
      </c>
      <c r="J805" s="123" t="s">
        <v>488</v>
      </c>
      <c r="K805" s="123" t="s">
        <v>1050</v>
      </c>
      <c r="L805" s="123" t="e">
        <f>VLOOKUP(Fact_AUM_FyoCapital[[#This Row],[Dim_Empresas.CUIT]],'clientes SQL'!C:D,2,0)</f>
        <v>#N/A</v>
      </c>
    </row>
    <row r="806" spans="1:12" hidden="1" x14ac:dyDescent="0.3">
      <c r="A806">
        <v>1887937</v>
      </c>
      <c r="B806">
        <v>20251205</v>
      </c>
      <c r="C806">
        <v>15004</v>
      </c>
      <c r="D806">
        <v>2027.09</v>
      </c>
      <c r="E806" s="123" t="s">
        <v>1568</v>
      </c>
      <c r="F806" s="123" t="s">
        <v>1575</v>
      </c>
      <c r="G806" s="123" t="s">
        <v>1583</v>
      </c>
      <c r="H806" s="95">
        <v>45996</v>
      </c>
      <c r="I806">
        <v>37208</v>
      </c>
      <c r="J806" s="123" t="s">
        <v>1113</v>
      </c>
      <c r="K806" s="123" t="s">
        <v>1114</v>
      </c>
      <c r="L806" s="123" t="e">
        <f>VLOOKUP(Fact_AUM_FyoCapital[[#This Row],[Dim_Empresas.CUIT]],'clientes SQL'!C:D,2,0)</f>
        <v>#N/A</v>
      </c>
    </row>
    <row r="807" spans="1:12" hidden="1" x14ac:dyDescent="0.3">
      <c r="A807">
        <v>2603549</v>
      </c>
      <c r="B807">
        <v>20251205</v>
      </c>
      <c r="C807">
        <v>2077</v>
      </c>
      <c r="D807">
        <v>23049.369481065918</v>
      </c>
      <c r="E807" s="123" t="s">
        <v>1568</v>
      </c>
      <c r="F807" s="123" t="s">
        <v>1572</v>
      </c>
      <c r="G807" s="123" t="s">
        <v>1574</v>
      </c>
      <c r="H807" s="95">
        <v>45996</v>
      </c>
      <c r="I807">
        <v>30257</v>
      </c>
      <c r="J807" s="123" t="s">
        <v>611</v>
      </c>
      <c r="K807" s="123" t="s">
        <v>1063</v>
      </c>
      <c r="L807" s="123" t="e">
        <f>VLOOKUP(Fact_AUM_FyoCapital[[#This Row],[Dim_Empresas.CUIT]],'clientes SQL'!C:D,2,0)</f>
        <v>#N/A</v>
      </c>
    </row>
    <row r="808" spans="1:12" hidden="1" x14ac:dyDescent="0.3">
      <c r="A808">
        <v>1867057</v>
      </c>
      <c r="B808">
        <v>20251205</v>
      </c>
      <c r="C808">
        <v>5197</v>
      </c>
      <c r="D808">
        <v>0</v>
      </c>
      <c r="E808" s="123"/>
      <c r="F808" s="123"/>
      <c r="G808" s="123"/>
      <c r="H808" s="95">
        <v>45996</v>
      </c>
      <c r="I808">
        <v>33322</v>
      </c>
      <c r="J808" s="123" t="s">
        <v>500</v>
      </c>
      <c r="K808" s="123" t="s">
        <v>1233</v>
      </c>
      <c r="L808" s="123" t="e">
        <f>VLOOKUP(Fact_AUM_FyoCapital[[#This Row],[Dim_Empresas.CUIT]],'clientes SQL'!C:D,2,0)</f>
        <v>#N/A</v>
      </c>
    </row>
    <row r="809" spans="1:12" hidden="1" x14ac:dyDescent="0.3">
      <c r="A809">
        <v>2614229</v>
      </c>
      <c r="B809">
        <v>20251205</v>
      </c>
      <c r="C809">
        <v>1559</v>
      </c>
      <c r="D809">
        <v>-463.45600981767183</v>
      </c>
      <c r="E809" s="123" t="s">
        <v>1563</v>
      </c>
      <c r="F809" s="123" t="s">
        <v>185</v>
      </c>
      <c r="G809" s="123"/>
      <c r="H809" s="95">
        <v>45996</v>
      </c>
      <c r="I809">
        <v>20235</v>
      </c>
      <c r="J809" s="123" t="s">
        <v>1082</v>
      </c>
      <c r="K809" s="123" t="s">
        <v>1083</v>
      </c>
      <c r="L809" s="123" t="e">
        <f>VLOOKUP(Fact_AUM_FyoCapital[[#This Row],[Dim_Empresas.CUIT]],'clientes SQL'!C:D,2,0)</f>
        <v>#N/A</v>
      </c>
    </row>
    <row r="810" spans="1:12" hidden="1" x14ac:dyDescent="0.3">
      <c r="A810">
        <v>1892737</v>
      </c>
      <c r="B810">
        <v>20251205</v>
      </c>
      <c r="C810">
        <v>3479</v>
      </c>
      <c r="D810">
        <v>411104.40612903226</v>
      </c>
      <c r="E810" s="123" t="s">
        <v>1566</v>
      </c>
      <c r="F810" s="123" t="s">
        <v>1571</v>
      </c>
      <c r="G810" s="123"/>
      <c r="H810" s="95">
        <v>45996</v>
      </c>
      <c r="I810">
        <v>31936</v>
      </c>
      <c r="J810" s="123" t="s">
        <v>456</v>
      </c>
      <c r="K810" s="123" t="s">
        <v>1119</v>
      </c>
      <c r="L810" s="123" t="e">
        <f>VLOOKUP(Fact_AUM_FyoCapital[[#This Row],[Dim_Empresas.CUIT]],'clientes SQL'!C:D,2,0)</f>
        <v>#N/A</v>
      </c>
    </row>
    <row r="811" spans="1:12" hidden="1" x14ac:dyDescent="0.3">
      <c r="A811">
        <v>1886497</v>
      </c>
      <c r="B811">
        <v>20251205</v>
      </c>
      <c r="C811">
        <v>13568</v>
      </c>
      <c r="D811">
        <v>75373.726115007012</v>
      </c>
      <c r="E811" s="123" t="s">
        <v>1568</v>
      </c>
      <c r="F811" s="123" t="s">
        <v>1572</v>
      </c>
      <c r="G811" s="123" t="s">
        <v>1577</v>
      </c>
      <c r="H811" s="95">
        <v>45996</v>
      </c>
      <c r="I811">
        <v>36739</v>
      </c>
      <c r="J811" s="123" t="s">
        <v>538</v>
      </c>
      <c r="K811" s="123" t="s">
        <v>1266</v>
      </c>
      <c r="L811" s="123" t="e">
        <f>VLOOKUP(Fact_AUM_FyoCapital[[#This Row],[Dim_Empresas.CUIT]],'clientes SQL'!C:D,2,0)</f>
        <v>#N/A</v>
      </c>
    </row>
    <row r="812" spans="1:12" hidden="1" x14ac:dyDescent="0.3">
      <c r="A812">
        <v>1894717</v>
      </c>
      <c r="B812">
        <v>20251205</v>
      </c>
      <c r="C812">
        <v>3176</v>
      </c>
      <c r="D812">
        <v>2451.88</v>
      </c>
      <c r="E812" s="123" t="s">
        <v>1566</v>
      </c>
      <c r="F812" s="123" t="s">
        <v>1579</v>
      </c>
      <c r="G812" s="123"/>
      <c r="H812" s="95">
        <v>45996</v>
      </c>
      <c r="I812">
        <v>31590</v>
      </c>
      <c r="J812" s="123" t="s">
        <v>1044</v>
      </c>
      <c r="K812" s="123" t="s">
        <v>1045</v>
      </c>
      <c r="L812" s="123" t="e">
        <f>VLOOKUP(Fact_AUM_FyoCapital[[#This Row],[Dim_Empresas.CUIT]],'clientes SQL'!C:D,2,0)</f>
        <v>#N/A</v>
      </c>
    </row>
    <row r="813" spans="1:12" hidden="1" x14ac:dyDescent="0.3">
      <c r="A813">
        <v>1845517</v>
      </c>
      <c r="B813">
        <v>20251205</v>
      </c>
      <c r="C813">
        <v>9936</v>
      </c>
      <c r="D813">
        <v>790.55707573632526</v>
      </c>
      <c r="E813" s="123" t="s">
        <v>1568</v>
      </c>
      <c r="F813" s="123" t="s">
        <v>1572</v>
      </c>
      <c r="G813" s="123" t="s">
        <v>1570</v>
      </c>
      <c r="H813" s="95">
        <v>45996</v>
      </c>
      <c r="I813">
        <v>35436</v>
      </c>
      <c r="J813" s="123" t="s">
        <v>300</v>
      </c>
      <c r="K813" s="123" t="s">
        <v>1037</v>
      </c>
      <c r="L813" s="123" t="e">
        <f>VLOOKUP(Fact_AUM_FyoCapital[[#This Row],[Dim_Empresas.CUIT]],'clientes SQL'!C:D,2,0)</f>
        <v>#N/A</v>
      </c>
    </row>
    <row r="814" spans="1:12" hidden="1" x14ac:dyDescent="0.3">
      <c r="A814">
        <v>1832917</v>
      </c>
      <c r="B814">
        <v>20251205</v>
      </c>
      <c r="C814">
        <v>13712</v>
      </c>
      <c r="D814">
        <v>6748.3</v>
      </c>
      <c r="E814" s="123" t="s">
        <v>1566</v>
      </c>
      <c r="F814" s="123" t="s">
        <v>1579</v>
      </c>
      <c r="G814" s="123"/>
      <c r="H814" s="95">
        <v>45996</v>
      </c>
      <c r="I814">
        <v>36873</v>
      </c>
      <c r="J814" s="123" t="s">
        <v>1122</v>
      </c>
      <c r="K814" s="123" t="s">
        <v>1123</v>
      </c>
      <c r="L814" s="123" t="e">
        <f>VLOOKUP(Fact_AUM_FyoCapital[[#This Row],[Dim_Empresas.CUIT]],'clientes SQL'!C:D,2,0)</f>
        <v>#N/A</v>
      </c>
    </row>
    <row r="815" spans="1:12" hidden="1" x14ac:dyDescent="0.3">
      <c r="A815">
        <v>1885657</v>
      </c>
      <c r="B815">
        <v>20251205</v>
      </c>
      <c r="C815">
        <v>12867</v>
      </c>
      <c r="D815">
        <v>106122.45</v>
      </c>
      <c r="E815" s="123" t="s">
        <v>1566</v>
      </c>
      <c r="F815" s="123" t="s">
        <v>1579</v>
      </c>
      <c r="G815" s="123"/>
      <c r="H815" s="95">
        <v>45996</v>
      </c>
      <c r="I815">
        <v>36089</v>
      </c>
      <c r="J815" s="123" t="s">
        <v>557</v>
      </c>
      <c r="K815" s="123" t="s">
        <v>1086</v>
      </c>
      <c r="L815" s="123" t="e">
        <f>VLOOKUP(Fact_AUM_FyoCapital[[#This Row],[Dim_Empresas.CUIT]],'clientes SQL'!C:D,2,0)</f>
        <v>#N/A</v>
      </c>
    </row>
    <row r="816" spans="1:12" hidden="1" x14ac:dyDescent="0.3">
      <c r="A816">
        <v>2639909</v>
      </c>
      <c r="B816">
        <v>20251205</v>
      </c>
      <c r="C816">
        <v>2173</v>
      </c>
      <c r="D816">
        <v>1567.17</v>
      </c>
      <c r="E816" s="123" t="s">
        <v>1563</v>
      </c>
      <c r="F816" s="123" t="s">
        <v>950</v>
      </c>
      <c r="G816" s="123"/>
      <c r="H816" s="95">
        <v>45996</v>
      </c>
      <c r="I816">
        <v>30123</v>
      </c>
      <c r="J816" s="123" t="s">
        <v>599</v>
      </c>
      <c r="K816" s="123" t="s">
        <v>1125</v>
      </c>
      <c r="L816" s="123" t="e">
        <f>VLOOKUP(Fact_AUM_FyoCapital[[#This Row],[Dim_Empresas.CUIT]],'clientes SQL'!C:D,2,0)</f>
        <v>#N/A</v>
      </c>
    </row>
    <row r="817" spans="1:12" hidden="1" x14ac:dyDescent="0.3">
      <c r="A817">
        <v>2611229</v>
      </c>
      <c r="B817">
        <v>20251205</v>
      </c>
      <c r="C817">
        <v>12427</v>
      </c>
      <c r="D817">
        <v>-63.6776507713885</v>
      </c>
      <c r="E817" s="123" t="s">
        <v>1563</v>
      </c>
      <c r="F817" s="123" t="s">
        <v>185</v>
      </c>
      <c r="G817" s="123"/>
      <c r="H817" s="95">
        <v>45996</v>
      </c>
      <c r="J817" s="123" t="s">
        <v>1258</v>
      </c>
      <c r="K817" s="123" t="s">
        <v>1259</v>
      </c>
      <c r="L817" s="123" t="e">
        <f>VLOOKUP(Fact_AUM_FyoCapital[[#This Row],[Dim_Empresas.CUIT]],'clientes SQL'!C:D,2,0)</f>
        <v>#N/A</v>
      </c>
    </row>
    <row r="818" spans="1:12" hidden="1" x14ac:dyDescent="0.3">
      <c r="A818">
        <v>1873597</v>
      </c>
      <c r="B818">
        <v>20251205</v>
      </c>
      <c r="C818">
        <v>2133</v>
      </c>
      <c r="D818">
        <v>2329.4607854137448</v>
      </c>
      <c r="E818" s="123" t="s">
        <v>1568</v>
      </c>
      <c r="F818" s="123" t="s">
        <v>1572</v>
      </c>
      <c r="G818" s="123" t="s">
        <v>1570</v>
      </c>
      <c r="H818" s="95">
        <v>45996</v>
      </c>
      <c r="I818">
        <v>30043</v>
      </c>
      <c r="J818" s="123" t="s">
        <v>196</v>
      </c>
      <c r="K818" s="123" t="s">
        <v>1185</v>
      </c>
      <c r="L818" s="123" t="e">
        <f>VLOOKUP(Fact_AUM_FyoCapital[[#This Row],[Dim_Empresas.CUIT]],'clientes SQL'!C:D,2,0)</f>
        <v>#N/A</v>
      </c>
    </row>
    <row r="819" spans="1:12" hidden="1" x14ac:dyDescent="0.3">
      <c r="A819">
        <v>2618429</v>
      </c>
      <c r="B819">
        <v>20251205</v>
      </c>
      <c r="C819">
        <v>13761</v>
      </c>
      <c r="D819">
        <v>3.5</v>
      </c>
      <c r="E819" s="123" t="s">
        <v>1563</v>
      </c>
      <c r="F819" s="123" t="s">
        <v>188</v>
      </c>
      <c r="G819" s="123"/>
      <c r="H819" s="95">
        <v>45996</v>
      </c>
      <c r="I819">
        <v>36914</v>
      </c>
      <c r="J819" s="123" t="s">
        <v>315</v>
      </c>
      <c r="K819" s="123" t="s">
        <v>1106</v>
      </c>
      <c r="L819" s="123" t="e">
        <f>VLOOKUP(Fact_AUM_FyoCapital[[#This Row],[Dim_Empresas.CUIT]],'clientes SQL'!C:D,2,0)</f>
        <v>#N/A</v>
      </c>
    </row>
    <row r="820" spans="1:12" hidden="1" x14ac:dyDescent="0.3">
      <c r="A820">
        <v>2632889</v>
      </c>
      <c r="B820">
        <v>20251205</v>
      </c>
      <c r="C820">
        <v>2852</v>
      </c>
      <c r="D820">
        <v>-0.16</v>
      </c>
      <c r="E820" s="123" t="s">
        <v>1563</v>
      </c>
      <c r="F820" s="123" t="s">
        <v>950</v>
      </c>
      <c r="G820" s="123"/>
      <c r="H820" s="95">
        <v>45996</v>
      </c>
      <c r="I820">
        <v>31192</v>
      </c>
      <c r="J820" s="123" t="s">
        <v>509</v>
      </c>
      <c r="K820" s="123" t="s">
        <v>1110</v>
      </c>
      <c r="L820" s="123" t="e">
        <f>VLOOKUP(Fact_AUM_FyoCapital[[#This Row],[Dim_Empresas.CUIT]],'clientes SQL'!C:D,2,0)</f>
        <v>#N/A</v>
      </c>
    </row>
    <row r="821" spans="1:12" hidden="1" x14ac:dyDescent="0.3">
      <c r="A821">
        <v>1503064</v>
      </c>
      <c r="B821">
        <v>20251205</v>
      </c>
      <c r="C821">
        <v>5197</v>
      </c>
      <c r="D821">
        <v>90100.293148667595</v>
      </c>
      <c r="E821" s="123" t="s">
        <v>1564</v>
      </c>
      <c r="F821" s="123" t="s">
        <v>1581</v>
      </c>
      <c r="G821" s="123"/>
      <c r="H821" s="95">
        <v>45996</v>
      </c>
      <c r="I821">
        <v>33322</v>
      </c>
      <c r="J821" s="123" t="s">
        <v>500</v>
      </c>
      <c r="K821" s="123" t="s">
        <v>1233</v>
      </c>
      <c r="L821" s="123" t="e">
        <f>VLOOKUP(Fact_AUM_FyoCapital[[#This Row],[Dim_Empresas.CUIT]],'clientes SQL'!C:D,2,0)</f>
        <v>#N/A</v>
      </c>
    </row>
    <row r="822" spans="1:12" hidden="1" x14ac:dyDescent="0.3">
      <c r="A822">
        <v>1892257</v>
      </c>
      <c r="B822">
        <v>20251205</v>
      </c>
      <c r="C822">
        <v>3479</v>
      </c>
      <c r="D822">
        <v>702866.33941093972</v>
      </c>
      <c r="E822" s="123" t="s">
        <v>1566</v>
      </c>
      <c r="F822" s="123" t="s">
        <v>1580</v>
      </c>
      <c r="G822" s="123"/>
      <c r="H822" s="95">
        <v>45996</v>
      </c>
      <c r="I822">
        <v>31936</v>
      </c>
      <c r="J822" s="123" t="s">
        <v>456</v>
      </c>
      <c r="K822" s="123" t="s">
        <v>1119</v>
      </c>
      <c r="L822" s="123" t="e">
        <f>VLOOKUP(Fact_AUM_FyoCapital[[#This Row],[Dim_Empresas.CUIT]],'clientes SQL'!C:D,2,0)</f>
        <v>#N/A</v>
      </c>
    </row>
    <row r="823" spans="1:12" hidden="1" x14ac:dyDescent="0.3">
      <c r="A823">
        <v>2599109</v>
      </c>
      <c r="B823">
        <v>20251205</v>
      </c>
      <c r="C823">
        <v>15174</v>
      </c>
      <c r="D823">
        <v>20330.980645161289</v>
      </c>
      <c r="E823" s="123" t="s">
        <v>1566</v>
      </c>
      <c r="F823" s="123" t="s">
        <v>1573</v>
      </c>
      <c r="G823" s="123"/>
      <c r="H823" s="95">
        <v>45996</v>
      </c>
      <c r="I823">
        <v>37310</v>
      </c>
      <c r="J823" s="123" t="s">
        <v>1084</v>
      </c>
      <c r="K823" s="123" t="s">
        <v>1085</v>
      </c>
      <c r="L823" s="123" t="e">
        <f>VLOOKUP(Fact_AUM_FyoCapital[[#This Row],[Dim_Empresas.CUIT]],'clientes SQL'!C:D,2,0)</f>
        <v>#N/A</v>
      </c>
    </row>
    <row r="824" spans="1:12" hidden="1" x14ac:dyDescent="0.3">
      <c r="A824">
        <v>1887757</v>
      </c>
      <c r="B824">
        <v>20251205</v>
      </c>
      <c r="C824">
        <v>15004</v>
      </c>
      <c r="D824">
        <v>2238.1</v>
      </c>
      <c r="E824" s="123" t="s">
        <v>1566</v>
      </c>
      <c r="F824" s="123" t="s">
        <v>1579</v>
      </c>
      <c r="G824" s="123"/>
      <c r="H824" s="95">
        <v>45996</v>
      </c>
      <c r="I824">
        <v>37208</v>
      </c>
      <c r="J824" s="123" t="s">
        <v>1113</v>
      </c>
      <c r="K824" s="123" t="s">
        <v>1114</v>
      </c>
      <c r="L824" s="123" t="e">
        <f>VLOOKUP(Fact_AUM_FyoCapital[[#This Row],[Dim_Empresas.CUIT]],'clientes SQL'!C:D,2,0)</f>
        <v>#N/A</v>
      </c>
    </row>
    <row r="825" spans="1:12" hidden="1" x14ac:dyDescent="0.3">
      <c r="A825">
        <v>2614289</v>
      </c>
      <c r="B825">
        <v>20251205</v>
      </c>
      <c r="C825">
        <v>1559</v>
      </c>
      <c r="D825">
        <v>-102213.84</v>
      </c>
      <c r="E825" s="123" t="s">
        <v>1563</v>
      </c>
      <c r="F825" s="123" t="s">
        <v>801</v>
      </c>
      <c r="G825" s="123"/>
      <c r="H825" s="95">
        <v>45996</v>
      </c>
      <c r="I825">
        <v>20235</v>
      </c>
      <c r="J825" s="123" t="s">
        <v>1082</v>
      </c>
      <c r="K825" s="123" t="s">
        <v>1083</v>
      </c>
      <c r="L825" s="123" t="e">
        <f>VLOOKUP(Fact_AUM_FyoCapital[[#This Row],[Dim_Empresas.CUIT]],'clientes SQL'!C:D,2,0)</f>
        <v>#N/A</v>
      </c>
    </row>
    <row r="826" spans="1:12" hidden="1" x14ac:dyDescent="0.3">
      <c r="A826">
        <v>1864357</v>
      </c>
      <c r="B826">
        <v>20251205</v>
      </c>
      <c r="C826">
        <v>4259</v>
      </c>
      <c r="D826">
        <v>9010.34</v>
      </c>
      <c r="E826" s="123" t="s">
        <v>1568</v>
      </c>
      <c r="F826" s="123" t="s">
        <v>1572</v>
      </c>
      <c r="G826" s="123" t="s">
        <v>1570</v>
      </c>
      <c r="H826" s="95">
        <v>45996</v>
      </c>
      <c r="I826">
        <v>19330</v>
      </c>
      <c r="J826" s="123" t="s">
        <v>293</v>
      </c>
      <c r="K826" s="123" t="s">
        <v>1166</v>
      </c>
      <c r="L826" s="123" t="e">
        <f>VLOOKUP(Fact_AUM_FyoCapital[[#This Row],[Dim_Empresas.CUIT]],'clientes SQL'!C:D,2,0)</f>
        <v>#N/A</v>
      </c>
    </row>
    <row r="827" spans="1:12" hidden="1" x14ac:dyDescent="0.3">
      <c r="A827">
        <v>2635289</v>
      </c>
      <c r="B827">
        <v>20251205</v>
      </c>
      <c r="C827">
        <v>1819</v>
      </c>
      <c r="D827">
        <v>-25138.63</v>
      </c>
      <c r="E827" s="123" t="s">
        <v>1563</v>
      </c>
      <c r="F827" s="123" t="s">
        <v>801</v>
      </c>
      <c r="G827" s="123"/>
      <c r="H827" s="95">
        <v>45996</v>
      </c>
      <c r="I827">
        <v>3798</v>
      </c>
      <c r="J827" s="123" t="s">
        <v>1058</v>
      </c>
      <c r="K827" s="123" t="s">
        <v>1059</v>
      </c>
      <c r="L827" s="123" t="e">
        <f>VLOOKUP(Fact_AUM_FyoCapital[[#This Row],[Dim_Empresas.CUIT]],'clientes SQL'!C:D,2,0)</f>
        <v>#N/A</v>
      </c>
    </row>
    <row r="828" spans="1:12" hidden="1" x14ac:dyDescent="0.3">
      <c r="A828">
        <v>2604209</v>
      </c>
      <c r="B828">
        <v>20251205</v>
      </c>
      <c r="C828">
        <v>7012</v>
      </c>
      <c r="D828">
        <v>237.57363253856943</v>
      </c>
      <c r="E828" s="123" t="s">
        <v>1566</v>
      </c>
      <c r="F828" s="123" t="s">
        <v>1580</v>
      </c>
      <c r="G828" s="123"/>
      <c r="H828" s="95">
        <v>45996</v>
      </c>
      <c r="I828">
        <v>34708</v>
      </c>
      <c r="J828" s="123" t="s">
        <v>626</v>
      </c>
      <c r="K828" s="123" t="s">
        <v>1203</v>
      </c>
      <c r="L828" s="123" t="e">
        <f>VLOOKUP(Fact_AUM_FyoCapital[[#This Row],[Dim_Empresas.CUIT]],'clientes SQL'!C:D,2,0)</f>
        <v>#N/A</v>
      </c>
    </row>
    <row r="829" spans="1:12" hidden="1" x14ac:dyDescent="0.3">
      <c r="A829">
        <v>2636729</v>
      </c>
      <c r="B829">
        <v>20251205</v>
      </c>
      <c r="C829">
        <v>1285</v>
      </c>
      <c r="D829">
        <v>1.2083239831697055</v>
      </c>
      <c r="E829" s="123" t="s">
        <v>1563</v>
      </c>
      <c r="F829" s="123" t="s">
        <v>185</v>
      </c>
      <c r="G829" s="123"/>
      <c r="H829" s="95">
        <v>45996</v>
      </c>
      <c r="I829">
        <v>19318</v>
      </c>
      <c r="J829" s="123" t="s">
        <v>1218</v>
      </c>
      <c r="K829" s="123" t="s">
        <v>1219</v>
      </c>
      <c r="L829" s="123" t="e">
        <f>VLOOKUP(Fact_AUM_FyoCapital[[#This Row],[Dim_Empresas.CUIT]],'clientes SQL'!C:D,2,0)</f>
        <v>#N/A</v>
      </c>
    </row>
    <row r="830" spans="1:12" hidden="1" x14ac:dyDescent="0.3">
      <c r="A830">
        <v>1866877</v>
      </c>
      <c r="B830">
        <v>20251205</v>
      </c>
      <c r="C830">
        <v>454</v>
      </c>
      <c r="D830">
        <v>59.943253856942498</v>
      </c>
      <c r="E830" s="123" t="s">
        <v>1568</v>
      </c>
      <c r="F830" s="123" t="s">
        <v>1572</v>
      </c>
      <c r="G830" s="123" t="s">
        <v>1584</v>
      </c>
      <c r="H830" s="95">
        <v>45996</v>
      </c>
      <c r="I830">
        <v>8172</v>
      </c>
      <c r="J830" s="123" t="s">
        <v>492</v>
      </c>
      <c r="K830" s="123" t="s">
        <v>1098</v>
      </c>
      <c r="L830" s="123" t="e">
        <f>VLOOKUP(Fact_AUM_FyoCapital[[#This Row],[Dim_Empresas.CUIT]],'clientes SQL'!C:D,2,0)</f>
        <v>#N/A</v>
      </c>
    </row>
    <row r="831" spans="1:12" hidden="1" x14ac:dyDescent="0.3">
      <c r="A831">
        <v>1878217</v>
      </c>
      <c r="B831">
        <v>20251205</v>
      </c>
      <c r="C831">
        <v>1522</v>
      </c>
      <c r="D831">
        <v>16481.919999999998</v>
      </c>
      <c r="E831" s="123" t="s">
        <v>1566</v>
      </c>
      <c r="F831" s="123" t="s">
        <v>1571</v>
      </c>
      <c r="G831" s="123"/>
      <c r="H831" s="95">
        <v>45996</v>
      </c>
      <c r="I831">
        <v>20094</v>
      </c>
      <c r="J831" s="123" t="s">
        <v>488</v>
      </c>
      <c r="K831" s="123" t="s">
        <v>1050</v>
      </c>
      <c r="L831" s="123" t="e">
        <f>VLOOKUP(Fact_AUM_FyoCapital[[#This Row],[Dim_Empresas.CUIT]],'clientes SQL'!C:D,2,0)</f>
        <v>#N/A</v>
      </c>
    </row>
    <row r="832" spans="1:12" hidden="1" x14ac:dyDescent="0.3">
      <c r="A832">
        <v>2599829</v>
      </c>
      <c r="B832">
        <v>20251205</v>
      </c>
      <c r="C832">
        <v>16085</v>
      </c>
      <c r="D832">
        <v>207.59461430575033</v>
      </c>
      <c r="E832" s="123" t="s">
        <v>1568</v>
      </c>
      <c r="F832" s="123" t="s">
        <v>1572</v>
      </c>
      <c r="G832" s="123" t="s">
        <v>1574</v>
      </c>
      <c r="H832" s="95">
        <v>45996</v>
      </c>
      <c r="I832">
        <v>37609</v>
      </c>
      <c r="J832" s="123" t="s">
        <v>1214</v>
      </c>
      <c r="K832" s="123" t="s">
        <v>1215</v>
      </c>
      <c r="L832" s="123" t="e">
        <f>VLOOKUP(Fact_AUM_FyoCapital[[#This Row],[Dim_Empresas.CUIT]],'clientes SQL'!C:D,2,0)</f>
        <v>#N/A</v>
      </c>
    </row>
    <row r="833" spans="1:12" hidden="1" x14ac:dyDescent="0.3">
      <c r="A833">
        <v>2612909</v>
      </c>
      <c r="B833">
        <v>20251205</v>
      </c>
      <c r="C833">
        <v>1494</v>
      </c>
      <c r="D833">
        <v>3.3660589060308555E-4</v>
      </c>
      <c r="E833" s="123" t="s">
        <v>1563</v>
      </c>
      <c r="F833" s="123" t="s">
        <v>185</v>
      </c>
      <c r="G833" s="123"/>
      <c r="H833" s="95">
        <v>45996</v>
      </c>
      <c r="I833">
        <v>17933</v>
      </c>
      <c r="J833" s="123" t="s">
        <v>336</v>
      </c>
      <c r="K833" s="123" t="s">
        <v>1103</v>
      </c>
      <c r="L833" s="123" t="e">
        <f>VLOOKUP(Fact_AUM_FyoCapital[[#This Row],[Dim_Empresas.CUIT]],'clientes SQL'!C:D,2,0)</f>
        <v>#N/A</v>
      </c>
    </row>
    <row r="834" spans="1:12" hidden="1" x14ac:dyDescent="0.3">
      <c r="A834">
        <v>1843117</v>
      </c>
      <c r="B834">
        <v>20251205</v>
      </c>
      <c r="C834">
        <v>9936</v>
      </c>
      <c r="D834">
        <v>1311.5427769985974</v>
      </c>
      <c r="E834" s="123" t="s">
        <v>1566</v>
      </c>
      <c r="F834" s="123" t="s">
        <v>1580</v>
      </c>
      <c r="G834" s="123"/>
      <c r="H834" s="95">
        <v>45996</v>
      </c>
      <c r="I834">
        <v>35436</v>
      </c>
      <c r="J834" s="123" t="s">
        <v>300</v>
      </c>
      <c r="K834" s="123" t="s">
        <v>1037</v>
      </c>
      <c r="L834" s="123" t="e">
        <f>VLOOKUP(Fact_AUM_FyoCapital[[#This Row],[Dim_Empresas.CUIT]],'clientes SQL'!C:D,2,0)</f>
        <v>#N/A</v>
      </c>
    </row>
    <row r="835" spans="1:12" hidden="1" x14ac:dyDescent="0.3">
      <c r="A835">
        <v>2614349</v>
      </c>
      <c r="B835">
        <v>20251205</v>
      </c>
      <c r="C835">
        <v>1559</v>
      </c>
      <c r="D835">
        <v>-3563.1473913043478</v>
      </c>
      <c r="E835" s="123" t="s">
        <v>1563</v>
      </c>
      <c r="F835" s="123" t="s">
        <v>185</v>
      </c>
      <c r="G835" s="123"/>
      <c r="H835" s="95">
        <v>45996</v>
      </c>
      <c r="I835">
        <v>20235</v>
      </c>
      <c r="J835" s="123" t="s">
        <v>1082</v>
      </c>
      <c r="K835" s="123" t="s">
        <v>1083</v>
      </c>
      <c r="L835" s="123" t="e">
        <f>VLOOKUP(Fact_AUM_FyoCapital[[#This Row],[Dim_Empresas.CUIT]],'clientes SQL'!C:D,2,0)</f>
        <v>#N/A</v>
      </c>
    </row>
    <row r="836" spans="1:12" hidden="1" x14ac:dyDescent="0.3">
      <c r="A836">
        <v>1847377</v>
      </c>
      <c r="B836">
        <v>20251205</v>
      </c>
      <c r="C836">
        <v>13761</v>
      </c>
      <c r="D836">
        <v>4325</v>
      </c>
      <c r="E836" s="123" t="s">
        <v>1566</v>
      </c>
      <c r="F836" s="123" t="s">
        <v>1579</v>
      </c>
      <c r="G836" s="123"/>
      <c r="H836" s="95">
        <v>45996</v>
      </c>
      <c r="I836">
        <v>36914</v>
      </c>
      <c r="J836" s="123" t="s">
        <v>315</v>
      </c>
      <c r="K836" s="123" t="s">
        <v>1106</v>
      </c>
      <c r="L836" s="123" t="e">
        <f>VLOOKUP(Fact_AUM_FyoCapital[[#This Row],[Dim_Empresas.CUIT]],'clientes SQL'!C:D,2,0)</f>
        <v>#N/A</v>
      </c>
    </row>
    <row r="837" spans="1:12" hidden="1" x14ac:dyDescent="0.3">
      <c r="A837">
        <v>1894237</v>
      </c>
      <c r="B837">
        <v>20251205</v>
      </c>
      <c r="C837">
        <v>1315</v>
      </c>
      <c r="D837">
        <v>0</v>
      </c>
      <c r="E837" s="123"/>
      <c r="F837" s="123"/>
      <c r="G837" s="123"/>
      <c r="H837" s="95">
        <v>45996</v>
      </c>
      <c r="I837">
        <v>7247</v>
      </c>
      <c r="J837" s="123" t="s">
        <v>574</v>
      </c>
      <c r="K837" s="123" t="s">
        <v>1027</v>
      </c>
      <c r="L837" s="123" t="e">
        <f>VLOOKUP(Fact_AUM_FyoCapital[[#This Row],[Dim_Empresas.CUIT]],'clientes SQL'!C:D,2,0)</f>
        <v>#N/A</v>
      </c>
    </row>
    <row r="838" spans="1:12" hidden="1" x14ac:dyDescent="0.3">
      <c r="A838">
        <v>1887637</v>
      </c>
      <c r="B838">
        <v>20251205</v>
      </c>
      <c r="C838">
        <v>15004</v>
      </c>
      <c r="D838">
        <v>1131.97</v>
      </c>
      <c r="E838" s="123" t="s">
        <v>1566</v>
      </c>
      <c r="F838" s="123" t="s">
        <v>1579</v>
      </c>
      <c r="G838" s="123"/>
      <c r="H838" s="95">
        <v>45996</v>
      </c>
      <c r="I838">
        <v>37208</v>
      </c>
      <c r="J838" s="123" t="s">
        <v>1113</v>
      </c>
      <c r="K838" s="123" t="s">
        <v>1114</v>
      </c>
      <c r="L838" s="123" t="e">
        <f>VLOOKUP(Fact_AUM_FyoCapital[[#This Row],[Dim_Empresas.CUIT]],'clientes SQL'!C:D,2,0)</f>
        <v>#N/A</v>
      </c>
    </row>
    <row r="839" spans="1:12" hidden="1" x14ac:dyDescent="0.3">
      <c r="A839">
        <v>1847497</v>
      </c>
      <c r="B839">
        <v>20251205</v>
      </c>
      <c r="C839">
        <v>13761</v>
      </c>
      <c r="D839">
        <v>4933.6000000000004</v>
      </c>
      <c r="E839" s="123" t="s">
        <v>1566</v>
      </c>
      <c r="F839" s="123" t="s">
        <v>1579</v>
      </c>
      <c r="G839" s="123"/>
      <c r="H839" s="95">
        <v>45996</v>
      </c>
      <c r="I839">
        <v>36914</v>
      </c>
      <c r="J839" s="123" t="s">
        <v>315</v>
      </c>
      <c r="K839" s="123" t="s">
        <v>1106</v>
      </c>
      <c r="L839" s="123" t="e">
        <f>VLOOKUP(Fact_AUM_FyoCapital[[#This Row],[Dim_Empresas.CUIT]],'clientes SQL'!C:D,2,0)</f>
        <v>#N/A</v>
      </c>
    </row>
    <row r="840" spans="1:12" hidden="1" x14ac:dyDescent="0.3">
      <c r="A840">
        <v>2619689</v>
      </c>
      <c r="B840">
        <v>20251205</v>
      </c>
      <c r="C840">
        <v>632</v>
      </c>
      <c r="D840">
        <v>-503.4</v>
      </c>
      <c r="E840" s="123" t="s">
        <v>1563</v>
      </c>
      <c r="F840" s="123" t="s">
        <v>801</v>
      </c>
      <c r="G840" s="123"/>
      <c r="H840" s="95">
        <v>45996</v>
      </c>
      <c r="I840">
        <v>9449</v>
      </c>
      <c r="J840" s="123" t="s">
        <v>258</v>
      </c>
      <c r="K840" s="123" t="s">
        <v>1081</v>
      </c>
      <c r="L840" s="123" t="e">
        <f>VLOOKUP(Fact_AUM_FyoCapital[[#This Row],[Dim_Empresas.CUIT]],'clientes SQL'!C:D,2,0)</f>
        <v>#N/A</v>
      </c>
    </row>
    <row r="841" spans="1:12" hidden="1" x14ac:dyDescent="0.3">
      <c r="A841">
        <v>2603489</v>
      </c>
      <c r="B841">
        <v>20251205</v>
      </c>
      <c r="C841">
        <v>2077</v>
      </c>
      <c r="D841">
        <v>49533.66058906031</v>
      </c>
      <c r="E841" s="123" t="s">
        <v>1566</v>
      </c>
      <c r="F841" s="123" t="s">
        <v>1571</v>
      </c>
      <c r="G841" s="123"/>
      <c r="H841" s="95">
        <v>45996</v>
      </c>
      <c r="I841">
        <v>30257</v>
      </c>
      <c r="J841" s="123" t="s">
        <v>611</v>
      </c>
      <c r="K841" s="123" t="s">
        <v>1063</v>
      </c>
      <c r="L841" s="123" t="e">
        <f>VLOOKUP(Fact_AUM_FyoCapital[[#This Row],[Dim_Empresas.CUIT]],'clientes SQL'!C:D,2,0)</f>
        <v>#N/A</v>
      </c>
    </row>
    <row r="842" spans="1:12" hidden="1" x14ac:dyDescent="0.3">
      <c r="A842">
        <v>1835257</v>
      </c>
      <c r="B842">
        <v>20251205</v>
      </c>
      <c r="C842">
        <v>1559</v>
      </c>
      <c r="D842">
        <v>23080.32</v>
      </c>
      <c r="E842" s="123" t="s">
        <v>1566</v>
      </c>
      <c r="F842" s="123" t="s">
        <v>1578</v>
      </c>
      <c r="G842" s="123"/>
      <c r="H842" s="95">
        <v>45996</v>
      </c>
      <c r="I842">
        <v>20235</v>
      </c>
      <c r="J842" s="123" t="s">
        <v>1082</v>
      </c>
      <c r="K842" s="123" t="s">
        <v>1083</v>
      </c>
      <c r="L842" s="123" t="e">
        <f>VLOOKUP(Fact_AUM_FyoCapital[[#This Row],[Dim_Empresas.CUIT]],'clientes SQL'!C:D,2,0)</f>
        <v>#N/A</v>
      </c>
    </row>
    <row r="843" spans="1:12" hidden="1" x14ac:dyDescent="0.3">
      <c r="A843">
        <v>1852597</v>
      </c>
      <c r="B843">
        <v>20251205</v>
      </c>
      <c r="C843">
        <v>3119</v>
      </c>
      <c r="D843">
        <v>5211.8272861150072</v>
      </c>
      <c r="E843" s="123" t="s">
        <v>1566</v>
      </c>
      <c r="F843" s="123" t="s">
        <v>1571</v>
      </c>
      <c r="G843" s="123"/>
      <c r="H843" s="95">
        <v>45996</v>
      </c>
      <c r="I843">
        <v>31525</v>
      </c>
      <c r="J843" s="123" t="s">
        <v>432</v>
      </c>
      <c r="K843" s="123" t="s">
        <v>1145</v>
      </c>
      <c r="L843" s="123" t="e">
        <f>VLOOKUP(Fact_AUM_FyoCapital[[#This Row],[Dim_Empresas.CUIT]],'clientes SQL'!C:D,2,0)</f>
        <v>#N/A</v>
      </c>
    </row>
    <row r="844" spans="1:12" hidden="1" x14ac:dyDescent="0.3">
      <c r="A844">
        <v>1847137</v>
      </c>
      <c r="B844">
        <v>20251205</v>
      </c>
      <c r="C844">
        <v>13761</v>
      </c>
      <c r="D844">
        <v>6114.37</v>
      </c>
      <c r="E844" s="123" t="s">
        <v>1566</v>
      </c>
      <c r="F844" s="123" t="s">
        <v>1571</v>
      </c>
      <c r="G844" s="123"/>
      <c r="H844" s="95">
        <v>45996</v>
      </c>
      <c r="I844">
        <v>36914</v>
      </c>
      <c r="J844" s="123" t="s">
        <v>315</v>
      </c>
      <c r="K844" s="123" t="s">
        <v>1106</v>
      </c>
      <c r="L844" s="123" t="e">
        <f>VLOOKUP(Fact_AUM_FyoCapital[[#This Row],[Dim_Empresas.CUIT]],'clientes SQL'!C:D,2,0)</f>
        <v>#N/A</v>
      </c>
    </row>
    <row r="845" spans="1:12" hidden="1" x14ac:dyDescent="0.3">
      <c r="A845">
        <v>1884277</v>
      </c>
      <c r="B845">
        <v>20251205</v>
      </c>
      <c r="C845">
        <v>847</v>
      </c>
      <c r="D845">
        <v>33406.287405329596</v>
      </c>
      <c r="E845" s="123" t="s">
        <v>1568</v>
      </c>
      <c r="F845" s="123" t="s">
        <v>1572</v>
      </c>
      <c r="G845" s="123" t="s">
        <v>1576</v>
      </c>
      <c r="H845" s="95">
        <v>45996</v>
      </c>
      <c r="I845">
        <v>17681</v>
      </c>
      <c r="J845" s="123" t="s">
        <v>1209</v>
      </c>
      <c r="K845" s="123" t="s">
        <v>1210</v>
      </c>
      <c r="L845" s="123" t="e">
        <f>VLOOKUP(Fact_AUM_FyoCapital[[#This Row],[Dim_Empresas.CUIT]],'clientes SQL'!C:D,2,0)</f>
        <v>#N/A</v>
      </c>
    </row>
    <row r="846" spans="1:12" hidden="1" x14ac:dyDescent="0.3">
      <c r="A846">
        <v>2634869</v>
      </c>
      <c r="B846">
        <v>20251205</v>
      </c>
      <c r="C846">
        <v>15004</v>
      </c>
      <c r="D846">
        <v>13913.86</v>
      </c>
      <c r="E846" s="123" t="s">
        <v>1563</v>
      </c>
      <c r="F846" s="123" t="s">
        <v>950</v>
      </c>
      <c r="G846" s="123"/>
      <c r="H846" s="95">
        <v>45996</v>
      </c>
      <c r="I846">
        <v>37208</v>
      </c>
      <c r="J846" s="123" t="s">
        <v>1113</v>
      </c>
      <c r="K846" s="123" t="s">
        <v>1114</v>
      </c>
      <c r="L846" s="123" t="e">
        <f>VLOOKUP(Fact_AUM_FyoCapital[[#This Row],[Dim_Empresas.CUIT]],'clientes SQL'!C:D,2,0)</f>
        <v>#N/A</v>
      </c>
    </row>
    <row r="847" spans="1:12" hidden="1" x14ac:dyDescent="0.3">
      <c r="A847">
        <v>1503004</v>
      </c>
      <c r="B847">
        <v>20251205</v>
      </c>
      <c r="C847">
        <v>1522</v>
      </c>
      <c r="D847">
        <v>85841.085771388505</v>
      </c>
      <c r="E847" s="123" t="s">
        <v>1564</v>
      </c>
      <c r="F847" s="123" t="s">
        <v>1581</v>
      </c>
      <c r="G847" s="123"/>
      <c r="H847" s="95">
        <v>45996</v>
      </c>
      <c r="I847">
        <v>20094</v>
      </c>
      <c r="J847" s="123" t="s">
        <v>488</v>
      </c>
      <c r="K847" s="123" t="s">
        <v>1050</v>
      </c>
      <c r="L847" s="123" t="e">
        <f>VLOOKUP(Fact_AUM_FyoCapital[[#This Row],[Dim_Empresas.CUIT]],'clientes SQL'!C:D,2,0)</f>
        <v>#N/A</v>
      </c>
    </row>
    <row r="848" spans="1:12" hidden="1" x14ac:dyDescent="0.3">
      <c r="A848">
        <v>1887877</v>
      </c>
      <c r="B848">
        <v>20251205</v>
      </c>
      <c r="C848">
        <v>15004</v>
      </c>
      <c r="D848">
        <v>10569.26</v>
      </c>
      <c r="E848" s="123" t="s">
        <v>1568</v>
      </c>
      <c r="F848" s="123" t="s">
        <v>1575</v>
      </c>
      <c r="G848" s="123" t="s">
        <v>1576</v>
      </c>
      <c r="H848" s="95">
        <v>45996</v>
      </c>
      <c r="I848">
        <v>37208</v>
      </c>
      <c r="J848" s="123" t="s">
        <v>1113</v>
      </c>
      <c r="K848" s="123" t="s">
        <v>1114</v>
      </c>
      <c r="L848" s="123" t="e">
        <f>VLOOKUP(Fact_AUM_FyoCapital[[#This Row],[Dim_Empresas.CUIT]],'clientes SQL'!C:D,2,0)</f>
        <v>#N/A</v>
      </c>
    </row>
    <row r="849" spans="1:12" hidden="1" x14ac:dyDescent="0.3">
      <c r="A849">
        <v>2633309</v>
      </c>
      <c r="B849">
        <v>20251205</v>
      </c>
      <c r="C849">
        <v>7801</v>
      </c>
      <c r="D849">
        <v>-1.4025245441795232E-4</v>
      </c>
      <c r="E849" s="123" t="s">
        <v>1563</v>
      </c>
      <c r="F849" s="123" t="s">
        <v>185</v>
      </c>
      <c r="G849" s="123"/>
      <c r="H849" s="95">
        <v>45996</v>
      </c>
      <c r="I849">
        <v>35094</v>
      </c>
      <c r="J849" s="123" t="s">
        <v>558</v>
      </c>
      <c r="K849" s="123" t="s">
        <v>1618</v>
      </c>
      <c r="L849" s="123" t="e">
        <f>VLOOKUP(Fact_AUM_FyoCapital[[#This Row],[Dim_Empresas.CUIT]],'clientes SQL'!C:D,2,0)</f>
        <v>#N/A</v>
      </c>
    </row>
    <row r="850" spans="1:12" hidden="1" x14ac:dyDescent="0.3">
      <c r="A850">
        <v>1893637</v>
      </c>
      <c r="B850">
        <v>20251205</v>
      </c>
      <c r="C850">
        <v>4955</v>
      </c>
      <c r="D850">
        <v>0</v>
      </c>
      <c r="E850" s="123"/>
      <c r="F850" s="123"/>
      <c r="G850" s="123"/>
      <c r="H850" s="95">
        <v>45996</v>
      </c>
      <c r="I850">
        <v>32964</v>
      </c>
      <c r="J850" s="123" t="s">
        <v>527</v>
      </c>
      <c r="K850" s="123" t="s">
        <v>981</v>
      </c>
      <c r="L850" s="123" t="e">
        <f>VLOOKUP(Fact_AUM_FyoCapital[[#This Row],[Dim_Empresas.CUIT]],'clientes SQL'!C:D,2,0)</f>
        <v>#N/A</v>
      </c>
    </row>
    <row r="851" spans="1:12" hidden="1" x14ac:dyDescent="0.3">
      <c r="A851">
        <v>1848397</v>
      </c>
      <c r="B851">
        <v>20251205</v>
      </c>
      <c r="C851">
        <v>13761</v>
      </c>
      <c r="D851">
        <v>4530.6099999999997</v>
      </c>
      <c r="E851" s="123" t="s">
        <v>1566</v>
      </c>
      <c r="F851" s="123" t="s">
        <v>1579</v>
      </c>
      <c r="G851" s="123"/>
      <c r="H851" s="95">
        <v>45996</v>
      </c>
      <c r="I851">
        <v>36914</v>
      </c>
      <c r="J851" s="123" t="s">
        <v>315</v>
      </c>
      <c r="K851" s="123" t="s">
        <v>1106</v>
      </c>
      <c r="L851" s="123" t="e">
        <f>VLOOKUP(Fact_AUM_FyoCapital[[#This Row],[Dim_Empresas.CUIT]],'clientes SQL'!C:D,2,0)</f>
        <v>#N/A</v>
      </c>
    </row>
    <row r="852" spans="1:12" hidden="1" x14ac:dyDescent="0.3">
      <c r="A852">
        <v>1878337</v>
      </c>
      <c r="B852">
        <v>20251205</v>
      </c>
      <c r="C852">
        <v>1522</v>
      </c>
      <c r="D852">
        <v>18130.91</v>
      </c>
      <c r="E852" s="123" t="s">
        <v>1566</v>
      </c>
      <c r="F852" s="123" t="s">
        <v>1571</v>
      </c>
      <c r="G852" s="123"/>
      <c r="H852" s="95">
        <v>45996</v>
      </c>
      <c r="I852">
        <v>20094</v>
      </c>
      <c r="J852" s="123" t="s">
        <v>488</v>
      </c>
      <c r="K852" s="123" t="s">
        <v>1050</v>
      </c>
      <c r="L852" s="123" t="e">
        <f>VLOOKUP(Fact_AUM_FyoCapital[[#This Row],[Dim_Empresas.CUIT]],'clientes SQL'!C:D,2,0)</f>
        <v>#N/A</v>
      </c>
    </row>
    <row r="853" spans="1:12" hidden="1" x14ac:dyDescent="0.3">
      <c r="A853">
        <v>1845397</v>
      </c>
      <c r="B853">
        <v>20251205</v>
      </c>
      <c r="C853">
        <v>9936</v>
      </c>
      <c r="D853">
        <v>16653.79</v>
      </c>
      <c r="E853" s="123" t="s">
        <v>1566</v>
      </c>
      <c r="F853" s="123" t="s">
        <v>1579</v>
      </c>
      <c r="G853" s="123"/>
      <c r="H853" s="95">
        <v>45996</v>
      </c>
      <c r="I853">
        <v>35436</v>
      </c>
      <c r="J853" s="123" t="s">
        <v>300</v>
      </c>
      <c r="K853" s="123" t="s">
        <v>1037</v>
      </c>
      <c r="L853" s="123" t="e">
        <f>VLOOKUP(Fact_AUM_FyoCapital[[#This Row],[Dim_Empresas.CUIT]],'clientes SQL'!C:D,2,0)</f>
        <v>#N/A</v>
      </c>
    </row>
    <row r="854" spans="1:12" hidden="1" x14ac:dyDescent="0.3">
      <c r="A854">
        <v>2614409</v>
      </c>
      <c r="B854">
        <v>20251205</v>
      </c>
      <c r="C854">
        <v>1559</v>
      </c>
      <c r="D854">
        <v>-403017.57</v>
      </c>
      <c r="E854" s="123" t="s">
        <v>1563</v>
      </c>
      <c r="F854" s="123" t="s">
        <v>801</v>
      </c>
      <c r="G854" s="123"/>
      <c r="H854" s="95">
        <v>45996</v>
      </c>
      <c r="I854">
        <v>20235</v>
      </c>
      <c r="J854" s="123" t="s">
        <v>1082</v>
      </c>
      <c r="K854" s="123" t="s">
        <v>1083</v>
      </c>
      <c r="L854" s="123" t="e">
        <f>VLOOKUP(Fact_AUM_FyoCapital[[#This Row],[Dim_Empresas.CUIT]],'clientes SQL'!C:D,2,0)</f>
        <v>#N/A</v>
      </c>
    </row>
    <row r="855" spans="1:12" hidden="1" x14ac:dyDescent="0.3">
      <c r="A855">
        <v>1875817</v>
      </c>
      <c r="B855">
        <v>20251205</v>
      </c>
      <c r="C855">
        <v>331</v>
      </c>
      <c r="D855">
        <v>10771.388499298737</v>
      </c>
      <c r="E855" s="123" t="s">
        <v>1566</v>
      </c>
      <c r="F855" s="123" t="s">
        <v>1573</v>
      </c>
      <c r="G855" s="123"/>
      <c r="H855" s="95">
        <v>45996</v>
      </c>
      <c r="I855">
        <v>652</v>
      </c>
      <c r="J855" s="123" t="s">
        <v>447</v>
      </c>
      <c r="K855" s="123" t="s">
        <v>1143</v>
      </c>
      <c r="L855" s="123" t="e">
        <f>VLOOKUP(Fact_AUM_FyoCapital[[#This Row],[Dim_Empresas.CUIT]],'clientes SQL'!C:D,2,0)</f>
        <v>#N/A</v>
      </c>
    </row>
    <row r="856" spans="1:12" hidden="1" x14ac:dyDescent="0.3">
      <c r="A856">
        <v>1830997</v>
      </c>
      <c r="B856">
        <v>20251205</v>
      </c>
      <c r="C856">
        <v>6154</v>
      </c>
      <c r="D856">
        <v>36098.5</v>
      </c>
      <c r="E856" s="123" t="s">
        <v>1566</v>
      </c>
      <c r="F856" s="123" t="s">
        <v>1571</v>
      </c>
      <c r="G856" s="123"/>
      <c r="H856" s="95">
        <v>45996</v>
      </c>
      <c r="I856">
        <v>34268</v>
      </c>
      <c r="J856" s="123" t="s">
        <v>1141</v>
      </c>
      <c r="K856" s="123" t="s">
        <v>1142</v>
      </c>
      <c r="L856" s="123" t="e">
        <f>VLOOKUP(Fact_AUM_FyoCapital[[#This Row],[Dim_Empresas.CUIT]],'clientes SQL'!C:D,2,0)</f>
        <v>#N/A</v>
      </c>
    </row>
    <row r="857" spans="1:12" hidden="1" x14ac:dyDescent="0.3">
      <c r="A857">
        <v>2603729</v>
      </c>
      <c r="B857">
        <v>20251205</v>
      </c>
      <c r="C857">
        <v>7012</v>
      </c>
      <c r="D857">
        <v>315.87727910238431</v>
      </c>
      <c r="E857" s="123" t="s">
        <v>1566</v>
      </c>
      <c r="F857" s="123" t="s">
        <v>1573</v>
      </c>
      <c r="G857" s="123"/>
      <c r="H857" s="95">
        <v>45996</v>
      </c>
      <c r="I857">
        <v>34708</v>
      </c>
      <c r="J857" s="123" t="s">
        <v>626</v>
      </c>
      <c r="K857" s="123" t="s">
        <v>1203</v>
      </c>
      <c r="L857" s="123" t="e">
        <f>VLOOKUP(Fact_AUM_FyoCapital[[#This Row],[Dim_Empresas.CUIT]],'clientes SQL'!C:D,2,0)</f>
        <v>#N/A</v>
      </c>
    </row>
    <row r="858" spans="1:12" hidden="1" x14ac:dyDescent="0.3">
      <c r="A858">
        <v>2600309</v>
      </c>
      <c r="B858">
        <v>20251205</v>
      </c>
      <c r="C858">
        <v>16348</v>
      </c>
      <c r="D858" s="6">
        <v>291.87</v>
      </c>
      <c r="E858" s="123" t="s">
        <v>1566</v>
      </c>
      <c r="F858" s="123" t="s">
        <v>1571</v>
      </c>
      <c r="G858" s="123"/>
      <c r="H858" s="95">
        <v>45996</v>
      </c>
      <c r="I858">
        <v>37816</v>
      </c>
      <c r="J858" s="123" t="s">
        <v>1198</v>
      </c>
      <c r="K858" s="123" t="s">
        <v>1199</v>
      </c>
      <c r="L858" s="123" t="e">
        <f>VLOOKUP(Fact_AUM_FyoCapital[[#This Row],[Dim_Empresas.CUIT]],'clientes SQL'!C:D,2,0)</f>
        <v>#N/A</v>
      </c>
    </row>
    <row r="859" spans="1:12" hidden="1" x14ac:dyDescent="0.3">
      <c r="A859">
        <v>2618669</v>
      </c>
      <c r="B859">
        <v>20251205</v>
      </c>
      <c r="C859">
        <v>15208</v>
      </c>
      <c r="D859">
        <v>-20807.63</v>
      </c>
      <c r="E859" s="123" t="s">
        <v>1563</v>
      </c>
      <c r="F859" s="123" t="s">
        <v>801</v>
      </c>
      <c r="G859" s="123"/>
      <c r="H859" s="95">
        <v>45996</v>
      </c>
      <c r="I859">
        <v>37337</v>
      </c>
      <c r="J859" s="123" t="s">
        <v>682</v>
      </c>
      <c r="K859" s="123" t="s">
        <v>1155</v>
      </c>
      <c r="L859" s="123" t="e">
        <f>VLOOKUP(Fact_AUM_FyoCapital[[#This Row],[Dim_Empresas.CUIT]],'clientes SQL'!C:D,2,0)</f>
        <v>#N/A</v>
      </c>
    </row>
    <row r="860" spans="1:12" hidden="1" x14ac:dyDescent="0.3">
      <c r="A860">
        <v>1884157</v>
      </c>
      <c r="B860">
        <v>20251205</v>
      </c>
      <c r="C860">
        <v>847</v>
      </c>
      <c r="D860">
        <v>28768.03</v>
      </c>
      <c r="E860" s="123" t="s">
        <v>1566</v>
      </c>
      <c r="F860" s="123" t="s">
        <v>1571</v>
      </c>
      <c r="G860" s="123"/>
      <c r="H860" s="95">
        <v>45996</v>
      </c>
      <c r="I860">
        <v>17681</v>
      </c>
      <c r="J860" s="123" t="s">
        <v>1209</v>
      </c>
      <c r="K860" s="123" t="s">
        <v>1210</v>
      </c>
      <c r="L860" s="123" t="e">
        <f>VLOOKUP(Fact_AUM_FyoCapital[[#This Row],[Dim_Empresas.CUIT]],'clientes SQL'!C:D,2,0)</f>
        <v>#N/A</v>
      </c>
    </row>
    <row r="861" spans="1:12" hidden="1" x14ac:dyDescent="0.3">
      <c r="A861">
        <v>1875517</v>
      </c>
      <c r="B861">
        <v>20251205</v>
      </c>
      <c r="C861">
        <v>331</v>
      </c>
      <c r="D861">
        <v>800.39</v>
      </c>
      <c r="E861" s="123" t="s">
        <v>1566</v>
      </c>
      <c r="F861" s="123" t="s">
        <v>1571</v>
      </c>
      <c r="G861" s="123"/>
      <c r="H861" s="95">
        <v>45996</v>
      </c>
      <c r="I861">
        <v>652</v>
      </c>
      <c r="J861" s="123" t="s">
        <v>447</v>
      </c>
      <c r="K861" s="123" t="s">
        <v>1143</v>
      </c>
      <c r="L861" s="123" t="e">
        <f>VLOOKUP(Fact_AUM_FyoCapital[[#This Row],[Dim_Empresas.CUIT]],'clientes SQL'!C:D,2,0)</f>
        <v>#N/A</v>
      </c>
    </row>
    <row r="862" spans="1:12" hidden="1" x14ac:dyDescent="0.3">
      <c r="A862">
        <v>1867117</v>
      </c>
      <c r="B862">
        <v>20251205</v>
      </c>
      <c r="C862">
        <v>5197</v>
      </c>
      <c r="D862">
        <v>137322.37590462834</v>
      </c>
      <c r="E862" s="123" t="s">
        <v>1568</v>
      </c>
      <c r="F862" s="123" t="s">
        <v>1572</v>
      </c>
      <c r="G862" s="123" t="s">
        <v>1574</v>
      </c>
      <c r="H862" s="95">
        <v>45996</v>
      </c>
      <c r="I862">
        <v>33322</v>
      </c>
      <c r="J862" s="123" t="s">
        <v>500</v>
      </c>
      <c r="K862" s="123" t="s">
        <v>1233</v>
      </c>
      <c r="L862" s="123" t="e">
        <f>VLOOKUP(Fact_AUM_FyoCapital[[#This Row],[Dim_Empresas.CUIT]],'clientes SQL'!C:D,2,0)</f>
        <v>#N/A</v>
      </c>
    </row>
    <row r="863" spans="1:12" hidden="1" x14ac:dyDescent="0.3">
      <c r="A863">
        <v>1893997</v>
      </c>
      <c r="B863">
        <v>20251205</v>
      </c>
      <c r="C863">
        <v>1012</v>
      </c>
      <c r="D863">
        <v>29.713071528751751</v>
      </c>
      <c r="E863" s="123" t="s">
        <v>1568</v>
      </c>
      <c r="F863" s="123" t="s">
        <v>1572</v>
      </c>
      <c r="G863" s="123" t="s">
        <v>1570</v>
      </c>
      <c r="H863" s="95">
        <v>45996</v>
      </c>
      <c r="I863">
        <v>18614</v>
      </c>
      <c r="J863" s="123" t="s">
        <v>1243</v>
      </c>
      <c r="K863" s="123" t="s">
        <v>1244</v>
      </c>
      <c r="L863" s="123" t="e">
        <f>VLOOKUP(Fact_AUM_FyoCapital[[#This Row],[Dim_Empresas.CUIT]],'clientes SQL'!C:D,2,0)</f>
        <v>#N/A</v>
      </c>
    </row>
    <row r="864" spans="1:12" hidden="1" x14ac:dyDescent="0.3">
      <c r="A864">
        <v>2599349</v>
      </c>
      <c r="B864">
        <v>20251205</v>
      </c>
      <c r="C864">
        <v>15174</v>
      </c>
      <c r="D864">
        <v>19234.677419354837</v>
      </c>
      <c r="E864" s="123" t="s">
        <v>1566</v>
      </c>
      <c r="F864" s="123" t="s">
        <v>1580</v>
      </c>
      <c r="G864" s="123"/>
      <c r="H864" s="95">
        <v>45996</v>
      </c>
      <c r="I864">
        <v>37310</v>
      </c>
      <c r="J864" s="123" t="s">
        <v>1084</v>
      </c>
      <c r="K864" s="123" t="s">
        <v>1085</v>
      </c>
      <c r="L864" s="123" t="e">
        <f>VLOOKUP(Fact_AUM_FyoCapital[[#This Row],[Dim_Empresas.CUIT]],'clientes SQL'!C:D,2,0)</f>
        <v>#N/A</v>
      </c>
    </row>
    <row r="865" spans="1:12" hidden="1" x14ac:dyDescent="0.3">
      <c r="A865">
        <v>1845157</v>
      </c>
      <c r="B865">
        <v>20251205</v>
      </c>
      <c r="C865">
        <v>9936</v>
      </c>
      <c r="D865">
        <v>1093.969144460028</v>
      </c>
      <c r="E865" s="123" t="s">
        <v>1566</v>
      </c>
      <c r="F865" s="123" t="s">
        <v>1580</v>
      </c>
      <c r="G865" s="123"/>
      <c r="H865" s="95">
        <v>45996</v>
      </c>
      <c r="I865">
        <v>35436</v>
      </c>
      <c r="J865" s="123" t="s">
        <v>300</v>
      </c>
      <c r="K865" s="123" t="s">
        <v>1037</v>
      </c>
      <c r="L865" s="123" t="e">
        <f>VLOOKUP(Fact_AUM_FyoCapital[[#This Row],[Dim_Empresas.CUIT]],'clientes SQL'!C:D,2,0)</f>
        <v>#N/A</v>
      </c>
    </row>
    <row r="866" spans="1:12" hidden="1" x14ac:dyDescent="0.3">
      <c r="A866">
        <v>2637029</v>
      </c>
      <c r="B866">
        <v>20251205</v>
      </c>
      <c r="C866">
        <v>3479</v>
      </c>
      <c r="D866">
        <v>-0.42</v>
      </c>
      <c r="E866" s="123" t="s">
        <v>1563</v>
      </c>
      <c r="F866" s="123" t="s">
        <v>950</v>
      </c>
      <c r="G866" s="123"/>
      <c r="H866" s="95">
        <v>45996</v>
      </c>
      <c r="I866">
        <v>31936</v>
      </c>
      <c r="J866" s="123" t="s">
        <v>456</v>
      </c>
      <c r="K866" s="123" t="s">
        <v>1119</v>
      </c>
      <c r="L866" s="123" t="e">
        <f>VLOOKUP(Fact_AUM_FyoCapital[[#This Row],[Dim_Empresas.CUIT]],'clientes SQL'!C:D,2,0)</f>
        <v>#N/A</v>
      </c>
    </row>
    <row r="867" spans="1:12" hidden="1" x14ac:dyDescent="0.3">
      <c r="A867">
        <v>1850677</v>
      </c>
      <c r="B867">
        <v>20251205</v>
      </c>
      <c r="C867">
        <v>1025</v>
      </c>
      <c r="D867">
        <v>81278.91</v>
      </c>
      <c r="E867" s="123" t="s">
        <v>1566</v>
      </c>
      <c r="F867" s="123" t="s">
        <v>1579</v>
      </c>
      <c r="G867" s="123"/>
      <c r="H867" s="95">
        <v>45996</v>
      </c>
      <c r="I867">
        <v>7356</v>
      </c>
      <c r="J867" s="123" t="s">
        <v>245</v>
      </c>
      <c r="K867" s="123" t="s">
        <v>1078</v>
      </c>
      <c r="L867" s="123" t="e">
        <f>VLOOKUP(Fact_AUM_FyoCapital[[#This Row],[Dim_Empresas.CUIT]],'clientes SQL'!C:D,2,0)</f>
        <v>#N/A</v>
      </c>
    </row>
    <row r="868" spans="1:12" hidden="1" x14ac:dyDescent="0.3">
      <c r="A868">
        <v>1887097</v>
      </c>
      <c r="B868">
        <v>20251205</v>
      </c>
      <c r="C868">
        <v>13665</v>
      </c>
      <c r="D868">
        <v>3522.1240603085557</v>
      </c>
      <c r="E868" s="123" t="s">
        <v>1566</v>
      </c>
      <c r="F868" s="123" t="s">
        <v>1571</v>
      </c>
      <c r="G868" s="123"/>
      <c r="H868" s="95">
        <v>45996</v>
      </c>
      <c r="I868">
        <v>36829</v>
      </c>
      <c r="J868" s="123" t="s">
        <v>516</v>
      </c>
      <c r="K868" s="123" t="s">
        <v>1175</v>
      </c>
      <c r="L868" s="123" t="e">
        <f>VLOOKUP(Fact_AUM_FyoCapital[[#This Row],[Dim_Empresas.CUIT]],'clientes SQL'!C:D,2,0)</f>
        <v>#N/A</v>
      </c>
    </row>
    <row r="869" spans="1:12" hidden="1" x14ac:dyDescent="0.3">
      <c r="A869">
        <v>1891717</v>
      </c>
      <c r="B869">
        <v>20251205</v>
      </c>
      <c r="C869">
        <v>3479</v>
      </c>
      <c r="D869">
        <v>77200</v>
      </c>
      <c r="E869" s="123" t="s">
        <v>1566</v>
      </c>
      <c r="F869" s="123" t="s">
        <v>1573</v>
      </c>
      <c r="G869" s="123"/>
      <c r="H869" s="95">
        <v>45996</v>
      </c>
      <c r="I869">
        <v>31936</v>
      </c>
      <c r="J869" s="123" t="s">
        <v>456</v>
      </c>
      <c r="K869" s="123" t="s">
        <v>1119</v>
      </c>
      <c r="L869" s="123" t="e">
        <f>VLOOKUP(Fact_AUM_FyoCapital[[#This Row],[Dim_Empresas.CUIT]],'clientes SQL'!C:D,2,0)</f>
        <v>#N/A</v>
      </c>
    </row>
    <row r="870" spans="1:12" hidden="1" x14ac:dyDescent="0.3">
      <c r="A870">
        <v>1848457</v>
      </c>
      <c r="B870">
        <v>20251205</v>
      </c>
      <c r="C870">
        <v>13761</v>
      </c>
      <c r="D870">
        <v>14948.064403927068</v>
      </c>
      <c r="E870" s="123" t="s">
        <v>1568</v>
      </c>
      <c r="F870" s="123" t="s">
        <v>1572</v>
      </c>
      <c r="G870" s="123" t="s">
        <v>1583</v>
      </c>
      <c r="H870" s="95">
        <v>45996</v>
      </c>
      <c r="I870">
        <v>36914</v>
      </c>
      <c r="J870" s="123" t="s">
        <v>315</v>
      </c>
      <c r="K870" s="123" t="s">
        <v>1106</v>
      </c>
      <c r="L870" s="123" t="e">
        <f>VLOOKUP(Fact_AUM_FyoCapital[[#This Row],[Dim_Empresas.CUIT]],'clientes SQL'!C:D,2,0)</f>
        <v>#N/A</v>
      </c>
    </row>
    <row r="871" spans="1:12" hidden="1" x14ac:dyDescent="0.3">
      <c r="A871">
        <v>2622809</v>
      </c>
      <c r="B871">
        <v>20251205</v>
      </c>
      <c r="C871">
        <v>5858</v>
      </c>
      <c r="D871">
        <v>1100</v>
      </c>
      <c r="E871" s="123" t="s">
        <v>1563</v>
      </c>
      <c r="F871" s="123" t="s">
        <v>801</v>
      </c>
      <c r="G871" s="123"/>
      <c r="H871" s="95">
        <v>45996</v>
      </c>
      <c r="I871">
        <v>34098</v>
      </c>
      <c r="J871" s="123" t="s">
        <v>393</v>
      </c>
      <c r="K871" s="123" t="s">
        <v>1144</v>
      </c>
      <c r="L871" s="123" t="e">
        <f>VLOOKUP(Fact_AUM_FyoCapital[[#This Row],[Dim_Empresas.CUIT]],'clientes SQL'!C:D,2,0)</f>
        <v>#N/A</v>
      </c>
    </row>
    <row r="872" spans="1:12" hidden="1" x14ac:dyDescent="0.3">
      <c r="A872">
        <v>1894837</v>
      </c>
      <c r="B872">
        <v>20251205</v>
      </c>
      <c r="C872">
        <v>3176</v>
      </c>
      <c r="D872">
        <v>3354.0147265077139</v>
      </c>
      <c r="E872" s="123" t="s">
        <v>1566</v>
      </c>
      <c r="F872" s="123" t="s">
        <v>1573</v>
      </c>
      <c r="G872" s="123"/>
      <c r="H872" s="95">
        <v>45996</v>
      </c>
      <c r="I872">
        <v>31590</v>
      </c>
      <c r="J872" s="123" t="s">
        <v>1044</v>
      </c>
      <c r="K872" s="123" t="s">
        <v>1045</v>
      </c>
      <c r="L872" s="123" t="e">
        <f>VLOOKUP(Fact_AUM_FyoCapital[[#This Row],[Dim_Empresas.CUIT]],'clientes SQL'!C:D,2,0)</f>
        <v>#N/A</v>
      </c>
    </row>
    <row r="873" spans="1:12" hidden="1" x14ac:dyDescent="0.3">
      <c r="A873">
        <v>1891597</v>
      </c>
      <c r="B873">
        <v>20251205</v>
      </c>
      <c r="C873">
        <v>3479</v>
      </c>
      <c r="D873">
        <v>567862.17194950918</v>
      </c>
      <c r="E873" s="123" t="s">
        <v>1566</v>
      </c>
      <c r="F873" s="123" t="s">
        <v>1573</v>
      </c>
      <c r="G873" s="123"/>
      <c r="H873" s="95">
        <v>45996</v>
      </c>
      <c r="I873">
        <v>31936</v>
      </c>
      <c r="J873" s="123" t="s">
        <v>456</v>
      </c>
      <c r="K873" s="123" t="s">
        <v>1119</v>
      </c>
      <c r="L873" s="123" t="e">
        <f>VLOOKUP(Fact_AUM_FyoCapital[[#This Row],[Dim_Empresas.CUIT]],'clientes SQL'!C:D,2,0)</f>
        <v>#N/A</v>
      </c>
    </row>
    <row r="874" spans="1:12" hidden="1" x14ac:dyDescent="0.3">
      <c r="A874">
        <v>1858957</v>
      </c>
      <c r="B874">
        <v>20251205</v>
      </c>
      <c r="C874">
        <v>16286</v>
      </c>
      <c r="D874">
        <v>796.11500701262275</v>
      </c>
      <c r="E874" s="123" t="s">
        <v>1566</v>
      </c>
      <c r="F874" s="123" t="s">
        <v>1571</v>
      </c>
      <c r="G874" s="123"/>
      <c r="H874" s="95">
        <v>45996</v>
      </c>
      <c r="I874">
        <v>37771</v>
      </c>
      <c r="J874" s="123" t="s">
        <v>1094</v>
      </c>
      <c r="K874" s="123" t="s">
        <v>1095</v>
      </c>
      <c r="L874" s="123" t="e">
        <f>VLOOKUP(Fact_AUM_FyoCapital[[#This Row],[Dim_Empresas.CUIT]],'clientes SQL'!C:D,2,0)</f>
        <v>#N/A</v>
      </c>
    </row>
    <row r="875" spans="1:12" hidden="1" x14ac:dyDescent="0.3">
      <c r="A875">
        <v>2616089</v>
      </c>
      <c r="B875">
        <v>20251205</v>
      </c>
      <c r="C875">
        <v>9936</v>
      </c>
      <c r="D875">
        <v>-0.474929873772791</v>
      </c>
      <c r="E875" s="123" t="s">
        <v>1563</v>
      </c>
      <c r="F875" s="123" t="s">
        <v>185</v>
      </c>
      <c r="G875" s="123"/>
      <c r="H875" s="95">
        <v>45996</v>
      </c>
      <c r="I875">
        <v>35436</v>
      </c>
      <c r="J875" s="123" t="s">
        <v>300</v>
      </c>
      <c r="K875" s="123" t="s">
        <v>1037</v>
      </c>
      <c r="L875" s="123" t="e">
        <f>VLOOKUP(Fact_AUM_FyoCapital[[#This Row],[Dim_Empresas.CUIT]],'clientes SQL'!C:D,2,0)</f>
        <v>#N/A</v>
      </c>
    </row>
    <row r="876" spans="1:12" hidden="1" x14ac:dyDescent="0.3">
      <c r="A876">
        <v>1834897</v>
      </c>
      <c r="B876">
        <v>20251205</v>
      </c>
      <c r="C876">
        <v>16773</v>
      </c>
      <c r="D876">
        <v>121.01157082748948</v>
      </c>
      <c r="E876" s="123" t="s">
        <v>1566</v>
      </c>
      <c r="F876" s="123" t="s">
        <v>1571</v>
      </c>
      <c r="G876" s="123"/>
      <c r="H876" s="95">
        <v>45996</v>
      </c>
      <c r="I876">
        <v>38070</v>
      </c>
      <c r="J876" s="123" t="s">
        <v>1505</v>
      </c>
      <c r="K876" s="123" t="s">
        <v>1506</v>
      </c>
      <c r="L876" s="123" t="e">
        <f>VLOOKUP(Fact_AUM_FyoCapital[[#This Row],[Dim_Empresas.CUIT]],'clientes SQL'!C:D,2,0)</f>
        <v>#N/A</v>
      </c>
    </row>
    <row r="877" spans="1:12" hidden="1" x14ac:dyDescent="0.3">
      <c r="A877">
        <v>1899637</v>
      </c>
      <c r="B877">
        <v>20251205</v>
      </c>
      <c r="C877">
        <v>656</v>
      </c>
      <c r="D877">
        <v>0</v>
      </c>
      <c r="E877" s="123"/>
      <c r="F877" s="123"/>
      <c r="G877" s="123"/>
      <c r="H877" s="95">
        <v>45996</v>
      </c>
      <c r="I877">
        <v>5003</v>
      </c>
      <c r="J877" s="123" t="s">
        <v>1153</v>
      </c>
      <c r="K877" s="123" t="s">
        <v>1154</v>
      </c>
      <c r="L877" s="123" t="e">
        <f>VLOOKUP(Fact_AUM_FyoCapital[[#This Row],[Dim_Empresas.CUIT]],'clientes SQL'!C:D,2,0)</f>
        <v>#N/A</v>
      </c>
    </row>
    <row r="878" spans="1:12" hidden="1" x14ac:dyDescent="0.3">
      <c r="A878">
        <v>1864657</v>
      </c>
      <c r="B878">
        <v>20251205</v>
      </c>
      <c r="C878">
        <v>1168</v>
      </c>
      <c r="D878">
        <v>27053.78646563815</v>
      </c>
      <c r="E878" s="123" t="s">
        <v>1568</v>
      </c>
      <c r="F878" s="123" t="s">
        <v>1572</v>
      </c>
      <c r="G878" s="123" t="s">
        <v>1584</v>
      </c>
      <c r="H878" s="95">
        <v>45996</v>
      </c>
      <c r="I878">
        <v>18976</v>
      </c>
      <c r="J878" s="123" t="s">
        <v>305</v>
      </c>
      <c r="K878" s="123" t="s">
        <v>1207</v>
      </c>
      <c r="L878" s="123" t="e">
        <f>VLOOKUP(Fact_AUM_FyoCapital[[#This Row],[Dim_Empresas.CUIT]],'clientes SQL'!C:D,2,0)</f>
        <v>#N/A</v>
      </c>
    </row>
    <row r="879" spans="1:12" hidden="1" x14ac:dyDescent="0.3">
      <c r="A879">
        <v>1889137</v>
      </c>
      <c r="B879">
        <v>20251205</v>
      </c>
      <c r="C879">
        <v>1273</v>
      </c>
      <c r="D879">
        <v>97174.15</v>
      </c>
      <c r="E879" s="123" t="s">
        <v>1566</v>
      </c>
      <c r="F879" s="123" t="s">
        <v>1579</v>
      </c>
      <c r="G879" s="123"/>
      <c r="H879" s="95">
        <v>45996</v>
      </c>
      <c r="I879">
        <v>19363</v>
      </c>
      <c r="J879" s="123" t="s">
        <v>1183</v>
      </c>
      <c r="K879" s="123" t="s">
        <v>1184</v>
      </c>
      <c r="L879" s="123" t="e">
        <f>VLOOKUP(Fact_AUM_FyoCapital[[#This Row],[Dim_Empresas.CUIT]],'clientes SQL'!C:D,2,0)</f>
        <v>#N/A</v>
      </c>
    </row>
    <row r="880" spans="1:12" hidden="1" x14ac:dyDescent="0.3">
      <c r="A880">
        <v>1838257</v>
      </c>
      <c r="B880">
        <v>20251205</v>
      </c>
      <c r="C880">
        <v>5235</v>
      </c>
      <c r="D880">
        <v>36383.49</v>
      </c>
      <c r="E880" s="123" t="s">
        <v>1566</v>
      </c>
      <c r="F880" s="123" t="s">
        <v>1573</v>
      </c>
      <c r="G880" s="123"/>
      <c r="H880" s="95">
        <v>45996</v>
      </c>
      <c r="I880">
        <v>33099</v>
      </c>
      <c r="J880" s="123" t="s">
        <v>346</v>
      </c>
      <c r="K880" s="123" t="s">
        <v>1118</v>
      </c>
      <c r="L880" s="123" t="e">
        <f>VLOOKUP(Fact_AUM_FyoCapital[[#This Row],[Dim_Empresas.CUIT]],'clientes SQL'!C:D,2,0)</f>
        <v>#N/A</v>
      </c>
    </row>
    <row r="881" spans="1:12" hidden="1" x14ac:dyDescent="0.3">
      <c r="A881">
        <v>2633429</v>
      </c>
      <c r="B881">
        <v>20251205</v>
      </c>
      <c r="C881">
        <v>905</v>
      </c>
      <c r="D881">
        <v>-10.85</v>
      </c>
      <c r="E881" s="123" t="s">
        <v>1563</v>
      </c>
      <c r="F881" s="123" t="s">
        <v>950</v>
      </c>
      <c r="G881" s="123"/>
      <c r="H881" s="95">
        <v>45996</v>
      </c>
      <c r="I881">
        <v>18220</v>
      </c>
      <c r="J881" s="123" t="s">
        <v>531</v>
      </c>
      <c r="K881" s="123" t="s">
        <v>1121</v>
      </c>
      <c r="L881" s="123" t="e">
        <f>VLOOKUP(Fact_AUM_FyoCapital[[#This Row],[Dim_Empresas.CUIT]],'clientes SQL'!C:D,2,0)</f>
        <v>#N/A</v>
      </c>
    </row>
    <row r="882" spans="1:12" hidden="1" x14ac:dyDescent="0.3">
      <c r="A882">
        <v>1889197</v>
      </c>
      <c r="B882">
        <v>20251205</v>
      </c>
      <c r="C882">
        <v>1273</v>
      </c>
      <c r="D882">
        <v>47572.484768583454</v>
      </c>
      <c r="E882" s="123" t="s">
        <v>1566</v>
      </c>
      <c r="F882" s="123" t="s">
        <v>1571</v>
      </c>
      <c r="G882" s="123"/>
      <c r="H882" s="95">
        <v>45996</v>
      </c>
      <c r="I882">
        <v>19363</v>
      </c>
      <c r="J882" s="123" t="s">
        <v>1183</v>
      </c>
      <c r="K882" s="123" t="s">
        <v>1184</v>
      </c>
      <c r="L882" s="123" t="e">
        <f>VLOOKUP(Fact_AUM_FyoCapital[[#This Row],[Dim_Empresas.CUIT]],'clientes SQL'!C:D,2,0)</f>
        <v>#N/A</v>
      </c>
    </row>
    <row r="883" spans="1:12" hidden="1" x14ac:dyDescent="0.3">
      <c r="A883">
        <v>1843717</v>
      </c>
      <c r="B883">
        <v>20251205</v>
      </c>
      <c r="C883">
        <v>10103</v>
      </c>
      <c r="D883">
        <v>7669.41</v>
      </c>
      <c r="E883" s="123" t="s">
        <v>1566</v>
      </c>
      <c r="F883" s="123" t="s">
        <v>1571</v>
      </c>
      <c r="G883" s="123"/>
      <c r="H883" s="95">
        <v>45996</v>
      </c>
      <c r="I883">
        <v>35568</v>
      </c>
      <c r="J883" s="123" t="s">
        <v>299</v>
      </c>
      <c r="K883" s="123" t="s">
        <v>1202</v>
      </c>
      <c r="L883" s="123" t="e">
        <f>VLOOKUP(Fact_AUM_FyoCapital[[#This Row],[Dim_Empresas.CUIT]],'clientes SQL'!C:D,2,0)</f>
        <v>#N/A</v>
      </c>
    </row>
    <row r="884" spans="1:12" hidden="1" x14ac:dyDescent="0.3">
      <c r="A884">
        <v>2609129</v>
      </c>
      <c r="B884">
        <v>20251205</v>
      </c>
      <c r="C884">
        <v>1075</v>
      </c>
      <c r="D884">
        <v>166.28</v>
      </c>
      <c r="E884" s="123" t="s">
        <v>1563</v>
      </c>
      <c r="F884" s="123" t="s">
        <v>188</v>
      </c>
      <c r="G884" s="123"/>
      <c r="H884" s="95">
        <v>45996</v>
      </c>
      <c r="I884">
        <v>18781</v>
      </c>
      <c r="J884" s="123" t="s">
        <v>242</v>
      </c>
      <c r="K884" s="123" t="s">
        <v>1187</v>
      </c>
      <c r="L884" s="123" t="e">
        <f>VLOOKUP(Fact_AUM_FyoCapital[[#This Row],[Dim_Empresas.CUIT]],'clientes SQL'!C:D,2,0)</f>
        <v>#N/A</v>
      </c>
    </row>
    <row r="885" spans="1:12" hidden="1" x14ac:dyDescent="0.3">
      <c r="A885">
        <v>1868497</v>
      </c>
      <c r="B885">
        <v>20251205</v>
      </c>
      <c r="C885">
        <v>12804</v>
      </c>
      <c r="D885">
        <v>-1380.071654978962</v>
      </c>
      <c r="E885" s="123" t="s">
        <v>1566</v>
      </c>
      <c r="F885" s="123" t="s">
        <v>1586</v>
      </c>
      <c r="G885" s="123"/>
      <c r="H885" s="95">
        <v>45996</v>
      </c>
      <c r="I885">
        <v>36030</v>
      </c>
      <c r="J885" s="123" t="s">
        <v>504</v>
      </c>
      <c r="K885" s="123" t="s">
        <v>1196</v>
      </c>
      <c r="L885" s="123" t="e">
        <f>VLOOKUP(Fact_AUM_FyoCapital[[#This Row],[Dim_Empresas.CUIT]],'clientes SQL'!C:D,2,0)</f>
        <v>#N/A</v>
      </c>
    </row>
    <row r="886" spans="1:12" hidden="1" x14ac:dyDescent="0.3">
      <c r="A886">
        <v>1856437</v>
      </c>
      <c r="B886">
        <v>20251205</v>
      </c>
      <c r="C886">
        <v>10207</v>
      </c>
      <c r="D886">
        <v>29694.812615708273</v>
      </c>
      <c r="E886" s="123" t="s">
        <v>1566</v>
      </c>
      <c r="F886" s="123" t="s">
        <v>1571</v>
      </c>
      <c r="G886" s="123"/>
      <c r="H886" s="95">
        <v>45996</v>
      </c>
      <c r="I886">
        <v>32413</v>
      </c>
      <c r="J886" s="123" t="s">
        <v>407</v>
      </c>
      <c r="K886" s="123" t="s">
        <v>1109</v>
      </c>
      <c r="L886" s="123" t="e">
        <f>VLOOKUP(Fact_AUM_FyoCapital[[#This Row],[Dim_Empresas.CUIT]],'clientes SQL'!C:D,2,0)</f>
        <v>#N/A</v>
      </c>
    </row>
    <row r="887" spans="1:12" hidden="1" x14ac:dyDescent="0.3">
      <c r="A887">
        <v>2643149</v>
      </c>
      <c r="B887">
        <v>20251205</v>
      </c>
      <c r="C887">
        <v>4195</v>
      </c>
      <c r="D887">
        <v>-1.1200000000000001</v>
      </c>
      <c r="E887" s="123" t="s">
        <v>1563</v>
      </c>
      <c r="F887" s="123" t="s">
        <v>801</v>
      </c>
      <c r="G887" s="123"/>
      <c r="H887" s="95">
        <v>45996</v>
      </c>
      <c r="I887">
        <v>32828</v>
      </c>
      <c r="J887" s="123" t="s">
        <v>605</v>
      </c>
      <c r="K887" s="123" t="s">
        <v>1126</v>
      </c>
      <c r="L887" s="123" t="e">
        <f>VLOOKUP(Fact_AUM_FyoCapital[[#This Row],[Dim_Empresas.CUIT]],'clientes SQL'!C:D,2,0)</f>
        <v>#N/A</v>
      </c>
    </row>
    <row r="888" spans="1:12" hidden="1" x14ac:dyDescent="0.3">
      <c r="A888">
        <v>2641529</v>
      </c>
      <c r="B888">
        <v>20251205</v>
      </c>
      <c r="C888">
        <v>1235</v>
      </c>
      <c r="D888">
        <v>-67.809915848527353</v>
      </c>
      <c r="E888" s="123" t="s">
        <v>1563</v>
      </c>
      <c r="F888" s="123" t="s">
        <v>185</v>
      </c>
      <c r="G888" s="123"/>
      <c r="H888" s="95">
        <v>45996</v>
      </c>
      <c r="I888">
        <v>19316</v>
      </c>
      <c r="J888" s="123" t="s">
        <v>377</v>
      </c>
      <c r="K888" s="123" t="s">
        <v>1239</v>
      </c>
      <c r="L888" s="123" t="e">
        <f>VLOOKUP(Fact_AUM_FyoCapital[[#This Row],[Dim_Empresas.CUIT]],'clientes SQL'!C:D,2,0)</f>
        <v>#N/A</v>
      </c>
    </row>
    <row r="889" spans="1:12" hidden="1" x14ac:dyDescent="0.3">
      <c r="A889">
        <v>2598749</v>
      </c>
      <c r="B889">
        <v>20251205</v>
      </c>
      <c r="C889">
        <v>7802</v>
      </c>
      <c r="D889">
        <v>58306.26</v>
      </c>
      <c r="E889" s="123" t="s">
        <v>1566</v>
      </c>
      <c r="F889" s="123" t="s">
        <v>1578</v>
      </c>
      <c r="G889" s="123"/>
      <c r="H889" s="95">
        <v>45996</v>
      </c>
      <c r="I889">
        <v>35095</v>
      </c>
      <c r="J889" s="123" t="s">
        <v>1048</v>
      </c>
      <c r="K889" s="123" t="s">
        <v>1049</v>
      </c>
      <c r="L889" s="123" t="e">
        <f>VLOOKUP(Fact_AUM_FyoCapital[[#This Row],[Dim_Empresas.CUIT]],'clientes SQL'!C:D,2,0)</f>
        <v>#N/A</v>
      </c>
    </row>
    <row r="890" spans="1:12" hidden="1" x14ac:dyDescent="0.3">
      <c r="A890">
        <v>2612189</v>
      </c>
      <c r="B890">
        <v>20251205</v>
      </c>
      <c r="C890">
        <v>1395</v>
      </c>
      <c r="D890">
        <v>-93.245504908835898</v>
      </c>
      <c r="E890" s="123" t="s">
        <v>1563</v>
      </c>
      <c r="F890" s="123" t="s">
        <v>185</v>
      </c>
      <c r="G890" s="123"/>
      <c r="H890" s="95">
        <v>45996</v>
      </c>
      <c r="I890">
        <v>19639</v>
      </c>
      <c r="J890" s="123" t="s">
        <v>1156</v>
      </c>
      <c r="K890" s="123" t="s">
        <v>1157</v>
      </c>
      <c r="L890" s="123" t="e">
        <f>VLOOKUP(Fact_AUM_FyoCapital[[#This Row],[Dim_Empresas.CUIT]],'clientes SQL'!C:D,2,0)</f>
        <v>#N/A</v>
      </c>
    </row>
    <row r="891" spans="1:12" hidden="1" x14ac:dyDescent="0.3">
      <c r="A891">
        <v>2616209</v>
      </c>
      <c r="B891">
        <v>20251205</v>
      </c>
      <c r="C891">
        <v>9936</v>
      </c>
      <c r="D891">
        <v>107.79</v>
      </c>
      <c r="E891" s="123" t="s">
        <v>1563</v>
      </c>
      <c r="F891" s="123" t="s">
        <v>188</v>
      </c>
      <c r="G891" s="123"/>
      <c r="H891" s="95">
        <v>45996</v>
      </c>
      <c r="I891">
        <v>35436</v>
      </c>
      <c r="J891" s="123" t="s">
        <v>300</v>
      </c>
      <c r="K891" s="123" t="s">
        <v>1037</v>
      </c>
      <c r="L891" s="123" t="e">
        <f>VLOOKUP(Fact_AUM_FyoCapital[[#This Row],[Dim_Empresas.CUIT]],'clientes SQL'!C:D,2,0)</f>
        <v>#N/A</v>
      </c>
    </row>
    <row r="892" spans="1:12" hidden="1" x14ac:dyDescent="0.3">
      <c r="A892">
        <v>2641649</v>
      </c>
      <c r="B892">
        <v>20251205</v>
      </c>
      <c r="C892">
        <v>1235</v>
      </c>
      <c r="D892">
        <v>-1735.51</v>
      </c>
      <c r="E892" s="123" t="s">
        <v>1563</v>
      </c>
      <c r="F892" s="123" t="s">
        <v>801</v>
      </c>
      <c r="G892" s="123"/>
      <c r="H892" s="95">
        <v>45996</v>
      </c>
      <c r="I892">
        <v>19316</v>
      </c>
      <c r="J892" s="123" t="s">
        <v>377</v>
      </c>
      <c r="K892" s="123" t="s">
        <v>1239</v>
      </c>
      <c r="L892" s="123" t="e">
        <f>VLOOKUP(Fact_AUM_FyoCapital[[#This Row],[Dim_Empresas.CUIT]],'clientes SQL'!C:D,2,0)</f>
        <v>#N/A</v>
      </c>
    </row>
    <row r="893" spans="1:12" hidden="1" x14ac:dyDescent="0.3">
      <c r="A893">
        <v>1847257</v>
      </c>
      <c r="B893">
        <v>20251205</v>
      </c>
      <c r="C893">
        <v>13761</v>
      </c>
      <c r="D893">
        <v>5721.41</v>
      </c>
      <c r="E893" s="123" t="s">
        <v>1566</v>
      </c>
      <c r="F893" s="123" t="s">
        <v>1571</v>
      </c>
      <c r="G893" s="123"/>
      <c r="H893" s="95">
        <v>45996</v>
      </c>
      <c r="I893">
        <v>36914</v>
      </c>
      <c r="J893" s="123" t="s">
        <v>315</v>
      </c>
      <c r="K893" s="123" t="s">
        <v>1106</v>
      </c>
      <c r="L893" s="123" t="e">
        <f>VLOOKUP(Fact_AUM_FyoCapital[[#This Row],[Dim_Empresas.CUIT]],'clientes SQL'!C:D,2,0)</f>
        <v>#N/A</v>
      </c>
    </row>
    <row r="894" spans="1:12" hidden="1" x14ac:dyDescent="0.3">
      <c r="A894">
        <v>1842877</v>
      </c>
      <c r="B894">
        <v>20251205</v>
      </c>
      <c r="C894">
        <v>9936</v>
      </c>
      <c r="D894">
        <v>4307.2931276297331</v>
      </c>
      <c r="E894" s="123" t="s">
        <v>1566</v>
      </c>
      <c r="F894" s="123" t="s">
        <v>1580</v>
      </c>
      <c r="G894" s="123"/>
      <c r="H894" s="95">
        <v>45996</v>
      </c>
      <c r="I894">
        <v>35436</v>
      </c>
      <c r="J894" s="123" t="s">
        <v>300</v>
      </c>
      <c r="K894" s="123" t="s">
        <v>1037</v>
      </c>
      <c r="L894" s="123" t="e">
        <f>VLOOKUP(Fact_AUM_FyoCapital[[#This Row],[Dim_Empresas.CUIT]],'clientes SQL'!C:D,2,0)</f>
        <v>#N/A</v>
      </c>
    </row>
    <row r="895" spans="1:12" hidden="1" x14ac:dyDescent="0.3">
      <c r="A895">
        <v>1835317</v>
      </c>
      <c r="B895">
        <v>20251205</v>
      </c>
      <c r="C895">
        <v>1559</v>
      </c>
      <c r="D895">
        <v>21535.439999999999</v>
      </c>
      <c r="E895" s="123" t="s">
        <v>1566</v>
      </c>
      <c r="F895" s="123" t="s">
        <v>1578</v>
      </c>
      <c r="G895" s="123"/>
      <c r="H895" s="95">
        <v>45996</v>
      </c>
      <c r="I895">
        <v>20235</v>
      </c>
      <c r="J895" s="123" t="s">
        <v>1082</v>
      </c>
      <c r="K895" s="123" t="s">
        <v>1083</v>
      </c>
      <c r="L895" s="123" t="e">
        <f>VLOOKUP(Fact_AUM_FyoCapital[[#This Row],[Dim_Empresas.CUIT]],'clientes SQL'!C:D,2,0)</f>
        <v>#N/A</v>
      </c>
    </row>
    <row r="896" spans="1:12" hidden="1" x14ac:dyDescent="0.3">
      <c r="A896">
        <v>2599229</v>
      </c>
      <c r="B896">
        <v>20251205</v>
      </c>
      <c r="C896">
        <v>15174</v>
      </c>
      <c r="D896">
        <v>15301.542776998598</v>
      </c>
      <c r="E896" s="123" t="s">
        <v>1566</v>
      </c>
      <c r="F896" s="123" t="s">
        <v>1573</v>
      </c>
      <c r="G896" s="123"/>
      <c r="H896" s="95">
        <v>45996</v>
      </c>
      <c r="I896">
        <v>37310</v>
      </c>
      <c r="J896" s="123" t="s">
        <v>1084</v>
      </c>
      <c r="K896" s="123" t="s">
        <v>1085</v>
      </c>
      <c r="L896" s="123" t="e">
        <f>VLOOKUP(Fact_AUM_FyoCapital[[#This Row],[Dim_Empresas.CUIT]],'clientes SQL'!C:D,2,0)</f>
        <v>#N/A</v>
      </c>
    </row>
    <row r="897" spans="1:12" hidden="1" x14ac:dyDescent="0.3">
      <c r="A897">
        <v>2633549</v>
      </c>
      <c r="B897">
        <v>20251205</v>
      </c>
      <c r="C897">
        <v>1758</v>
      </c>
      <c r="D897">
        <v>-6.3128401122019637</v>
      </c>
      <c r="E897" s="123" t="s">
        <v>1563</v>
      </c>
      <c r="F897" s="123" t="s">
        <v>185</v>
      </c>
      <c r="G897" s="123"/>
      <c r="H897" s="95">
        <v>45996</v>
      </c>
      <c r="I897">
        <v>20565</v>
      </c>
      <c r="J897" s="123" t="s">
        <v>1171</v>
      </c>
      <c r="K897" s="123" t="s">
        <v>1172</v>
      </c>
      <c r="L897" s="123" t="e">
        <f>VLOOKUP(Fact_AUM_FyoCapital[[#This Row],[Dim_Empresas.CUIT]],'clientes SQL'!C:D,2,0)</f>
        <v>#N/A</v>
      </c>
    </row>
    <row r="898" spans="1:12" hidden="1" x14ac:dyDescent="0.3">
      <c r="A898">
        <v>1847557</v>
      </c>
      <c r="B898">
        <v>20251205</v>
      </c>
      <c r="C898">
        <v>13761</v>
      </c>
      <c r="D898">
        <v>6797.65</v>
      </c>
      <c r="E898" s="123" t="s">
        <v>1566</v>
      </c>
      <c r="F898" s="123" t="s">
        <v>1571</v>
      </c>
      <c r="G898" s="123"/>
      <c r="H898" s="95">
        <v>45996</v>
      </c>
      <c r="I898">
        <v>36914</v>
      </c>
      <c r="J898" s="123" t="s">
        <v>315</v>
      </c>
      <c r="K898" s="123" t="s">
        <v>1106</v>
      </c>
      <c r="L898" s="123" t="e">
        <f>VLOOKUP(Fact_AUM_FyoCapital[[#This Row],[Dim_Empresas.CUIT]],'clientes SQL'!C:D,2,0)</f>
        <v>#N/A</v>
      </c>
    </row>
    <row r="899" spans="1:12" hidden="1" x14ac:dyDescent="0.3">
      <c r="A899">
        <v>1883437</v>
      </c>
      <c r="B899">
        <v>20251205</v>
      </c>
      <c r="C899">
        <v>7801</v>
      </c>
      <c r="D899">
        <v>0</v>
      </c>
      <c r="E899" s="123"/>
      <c r="F899" s="123"/>
      <c r="G899" s="123"/>
      <c r="H899" s="95">
        <v>45996</v>
      </c>
      <c r="I899">
        <v>35094</v>
      </c>
      <c r="J899" s="123" t="s">
        <v>558</v>
      </c>
      <c r="K899" s="123" t="s">
        <v>1618</v>
      </c>
      <c r="L899" s="123" t="e">
        <f>VLOOKUP(Fact_AUM_FyoCapital[[#This Row],[Dim_Empresas.CUIT]],'clientes SQL'!C:D,2,0)</f>
        <v>#N/A</v>
      </c>
    </row>
    <row r="900" spans="1:12" hidden="1" x14ac:dyDescent="0.3">
      <c r="A900">
        <v>2631089</v>
      </c>
      <c r="B900">
        <v>20251205</v>
      </c>
      <c r="C900">
        <v>1125</v>
      </c>
      <c r="D900">
        <v>0</v>
      </c>
      <c r="E900" s="123"/>
      <c r="F900" s="123"/>
      <c r="G900" s="123"/>
      <c r="H900" s="95">
        <v>45996</v>
      </c>
      <c r="I900">
        <v>18482</v>
      </c>
      <c r="J900" s="123" t="s">
        <v>418</v>
      </c>
      <c r="K900" s="123" t="s">
        <v>1080</v>
      </c>
      <c r="L900" s="123" t="e">
        <f>VLOOKUP(Fact_AUM_FyoCapital[[#This Row],[Dim_Empresas.CUIT]],'clientes SQL'!C:D,2,0)</f>
        <v>#N/A</v>
      </c>
    </row>
    <row r="901" spans="1:12" hidden="1" x14ac:dyDescent="0.3">
      <c r="A901">
        <v>2638949</v>
      </c>
      <c r="B901">
        <v>20251205</v>
      </c>
      <c r="C901">
        <v>12922</v>
      </c>
      <c r="D901">
        <v>729.6</v>
      </c>
      <c r="E901" s="123" t="s">
        <v>1563</v>
      </c>
      <c r="F901" s="123" t="s">
        <v>801</v>
      </c>
      <c r="G901" s="123"/>
      <c r="H901" s="95">
        <v>45996</v>
      </c>
      <c r="I901">
        <v>36140</v>
      </c>
      <c r="J901" s="123" t="s">
        <v>128</v>
      </c>
      <c r="K901" s="123" t="s">
        <v>1042</v>
      </c>
      <c r="L901" s="123">
        <f>VLOOKUP(Fact_AUM_FyoCapital[[#This Row],[Dim_Empresas.CUIT]],'clientes SQL'!C:D,2,0)</f>
        <v>13006</v>
      </c>
    </row>
    <row r="902" spans="1:12" hidden="1" x14ac:dyDescent="0.3">
      <c r="A902">
        <v>1887817</v>
      </c>
      <c r="B902">
        <v>20251205</v>
      </c>
      <c r="C902">
        <v>15004</v>
      </c>
      <c r="D902">
        <v>2319.2600000000002</v>
      </c>
      <c r="E902" s="123" t="s">
        <v>1566</v>
      </c>
      <c r="F902" s="123" t="s">
        <v>1579</v>
      </c>
      <c r="G902" s="123"/>
      <c r="H902" s="95">
        <v>45996</v>
      </c>
      <c r="I902">
        <v>37208</v>
      </c>
      <c r="J902" s="123" t="s">
        <v>1113</v>
      </c>
      <c r="K902" s="123" t="s">
        <v>1114</v>
      </c>
      <c r="L902" s="123" t="e">
        <f>VLOOKUP(Fact_AUM_FyoCapital[[#This Row],[Dim_Empresas.CUIT]],'clientes SQL'!C:D,2,0)</f>
        <v>#N/A</v>
      </c>
    </row>
    <row r="903" spans="1:12" hidden="1" x14ac:dyDescent="0.3">
      <c r="A903">
        <v>2602649</v>
      </c>
      <c r="B903">
        <v>20251205</v>
      </c>
      <c r="C903">
        <v>640</v>
      </c>
      <c r="D903">
        <v>2828028.05</v>
      </c>
      <c r="E903" s="123" t="s">
        <v>1566</v>
      </c>
      <c r="F903" s="123" t="s">
        <v>1567</v>
      </c>
      <c r="G903" s="123"/>
      <c r="H903" s="95">
        <v>45996</v>
      </c>
      <c r="I903">
        <v>8261</v>
      </c>
      <c r="J903" s="123" t="s">
        <v>431</v>
      </c>
      <c r="K903" s="123" t="s">
        <v>1192</v>
      </c>
      <c r="L903" s="123" t="e">
        <f>VLOOKUP(Fact_AUM_FyoCapital[[#This Row],[Dim_Empresas.CUIT]],'clientes SQL'!C:D,2,0)</f>
        <v>#N/A</v>
      </c>
    </row>
    <row r="904" spans="1:12" hidden="1" x14ac:dyDescent="0.3">
      <c r="A904">
        <v>2616509</v>
      </c>
      <c r="B904">
        <v>20251205</v>
      </c>
      <c r="C904">
        <v>10103</v>
      </c>
      <c r="D904">
        <v>5.6662833099579242</v>
      </c>
      <c r="E904" s="123" t="s">
        <v>1563</v>
      </c>
      <c r="F904" s="123" t="s">
        <v>185</v>
      </c>
      <c r="G904" s="123"/>
      <c r="H904" s="95">
        <v>45996</v>
      </c>
      <c r="I904">
        <v>35568</v>
      </c>
      <c r="J904" s="123" t="s">
        <v>299</v>
      </c>
      <c r="K904" s="123" t="s">
        <v>1202</v>
      </c>
      <c r="L904" s="123" t="e">
        <f>VLOOKUP(Fact_AUM_FyoCapital[[#This Row],[Dim_Empresas.CUIT]],'clientes SQL'!C:D,2,0)</f>
        <v>#N/A</v>
      </c>
    </row>
    <row r="905" spans="1:12" hidden="1" x14ac:dyDescent="0.3">
      <c r="A905">
        <v>1866097</v>
      </c>
      <c r="B905">
        <v>20251205</v>
      </c>
      <c r="C905">
        <v>1021</v>
      </c>
      <c r="D905">
        <v>16256</v>
      </c>
      <c r="E905" s="123" t="s">
        <v>1566</v>
      </c>
      <c r="F905" s="123" t="s">
        <v>1579</v>
      </c>
      <c r="G905" s="123"/>
      <c r="H905" s="95">
        <v>45996</v>
      </c>
      <c r="I905">
        <v>13900</v>
      </c>
      <c r="J905" s="123" t="s">
        <v>462</v>
      </c>
      <c r="K905" s="123" t="s">
        <v>1211</v>
      </c>
      <c r="L905" s="123" t="e">
        <f>VLOOKUP(Fact_AUM_FyoCapital[[#This Row],[Dim_Empresas.CUIT]],'clientes SQL'!C:D,2,0)</f>
        <v>#N/A</v>
      </c>
    </row>
    <row r="906" spans="1:12" hidden="1" x14ac:dyDescent="0.3">
      <c r="A906">
        <v>2641589</v>
      </c>
      <c r="B906">
        <v>20251205</v>
      </c>
      <c r="C906">
        <v>1235</v>
      </c>
      <c r="D906">
        <v>286.27999999999997</v>
      </c>
      <c r="E906" s="123" t="s">
        <v>1563</v>
      </c>
      <c r="F906" s="123" t="s">
        <v>950</v>
      </c>
      <c r="G906" s="123"/>
      <c r="H906" s="95">
        <v>45996</v>
      </c>
      <c r="I906">
        <v>19316</v>
      </c>
      <c r="J906" s="123" t="s">
        <v>377</v>
      </c>
      <c r="K906" s="123" t="s">
        <v>1239</v>
      </c>
      <c r="L906" s="123" t="e">
        <f>VLOOKUP(Fact_AUM_FyoCapital[[#This Row],[Dim_Empresas.CUIT]],'clientes SQL'!C:D,2,0)</f>
        <v>#N/A</v>
      </c>
    </row>
    <row r="907" spans="1:12" hidden="1" x14ac:dyDescent="0.3">
      <c r="A907">
        <v>1845217</v>
      </c>
      <c r="B907">
        <v>20251205</v>
      </c>
      <c r="C907">
        <v>9936</v>
      </c>
      <c r="D907">
        <v>700.0455820476858</v>
      </c>
      <c r="E907" s="123" t="s">
        <v>1566</v>
      </c>
      <c r="F907" s="123" t="s">
        <v>1573</v>
      </c>
      <c r="G907" s="123"/>
      <c r="H907" s="95">
        <v>45996</v>
      </c>
      <c r="I907">
        <v>35436</v>
      </c>
      <c r="J907" s="123" t="s">
        <v>300</v>
      </c>
      <c r="K907" s="123" t="s">
        <v>1037</v>
      </c>
      <c r="L907" s="123" t="e">
        <f>VLOOKUP(Fact_AUM_FyoCapital[[#This Row],[Dim_Empresas.CUIT]],'clientes SQL'!C:D,2,0)</f>
        <v>#N/A</v>
      </c>
    </row>
    <row r="908" spans="1:12" hidden="1" x14ac:dyDescent="0.3">
      <c r="A908">
        <v>2634509</v>
      </c>
      <c r="B908">
        <v>20251205</v>
      </c>
      <c r="C908">
        <v>13665</v>
      </c>
      <c r="D908">
        <v>2.0285553997194952</v>
      </c>
      <c r="E908" s="123" t="s">
        <v>1563</v>
      </c>
      <c r="F908" s="123" t="s">
        <v>185</v>
      </c>
      <c r="G908" s="123"/>
      <c r="H908" s="95">
        <v>45996</v>
      </c>
      <c r="I908">
        <v>36829</v>
      </c>
      <c r="J908" s="123" t="s">
        <v>516</v>
      </c>
      <c r="K908" s="123" t="s">
        <v>1175</v>
      </c>
      <c r="L908" s="123" t="e">
        <f>VLOOKUP(Fact_AUM_FyoCapital[[#This Row],[Dim_Empresas.CUIT]],'clientes SQL'!C:D,2,0)</f>
        <v>#N/A</v>
      </c>
    </row>
    <row r="909" spans="1:12" hidden="1" x14ac:dyDescent="0.3">
      <c r="A909">
        <v>1883497</v>
      </c>
      <c r="B909">
        <v>20251205</v>
      </c>
      <c r="C909">
        <v>7801</v>
      </c>
      <c r="D909">
        <v>282476.55164095369</v>
      </c>
      <c r="E909" s="123" t="s">
        <v>1568</v>
      </c>
      <c r="F909" s="123" t="s">
        <v>1572</v>
      </c>
      <c r="G909" s="123" t="s">
        <v>1583</v>
      </c>
      <c r="H909" s="95">
        <v>45996</v>
      </c>
      <c r="I909">
        <v>35094</v>
      </c>
      <c r="J909" s="123" t="s">
        <v>558</v>
      </c>
      <c r="K909" s="123" t="s">
        <v>1618</v>
      </c>
      <c r="L909" s="123" t="e">
        <f>VLOOKUP(Fact_AUM_FyoCapital[[#This Row],[Dim_Empresas.CUIT]],'clientes SQL'!C:D,2,0)</f>
        <v>#N/A</v>
      </c>
    </row>
    <row r="910" spans="1:12" hidden="1" x14ac:dyDescent="0.3">
      <c r="A910">
        <v>2617049</v>
      </c>
      <c r="B910">
        <v>20251205</v>
      </c>
      <c r="C910">
        <v>7837</v>
      </c>
      <c r="D910">
        <v>2250.37</v>
      </c>
      <c r="E910" s="123" t="s">
        <v>1563</v>
      </c>
      <c r="F910" s="123" t="s">
        <v>950</v>
      </c>
      <c r="G910" s="123"/>
      <c r="H910" s="95">
        <v>45996</v>
      </c>
      <c r="I910">
        <v>35127</v>
      </c>
      <c r="J910" s="123" t="s">
        <v>306</v>
      </c>
      <c r="K910" s="123" t="s">
        <v>1128</v>
      </c>
      <c r="L910" s="123" t="e">
        <f>VLOOKUP(Fact_AUM_FyoCapital[[#This Row],[Dim_Empresas.CUIT]],'clientes SQL'!C:D,2,0)</f>
        <v>#N/A</v>
      </c>
    </row>
    <row r="911" spans="1:12" hidden="1" x14ac:dyDescent="0.3">
      <c r="A911">
        <v>1848037</v>
      </c>
      <c r="B911">
        <v>20251205</v>
      </c>
      <c r="C911">
        <v>13761</v>
      </c>
      <c r="D911">
        <v>787.19</v>
      </c>
      <c r="E911" s="123" t="s">
        <v>1566</v>
      </c>
      <c r="F911" s="123" t="s">
        <v>1579</v>
      </c>
      <c r="G911" s="123"/>
      <c r="H911" s="95">
        <v>45996</v>
      </c>
      <c r="I911">
        <v>36914</v>
      </c>
      <c r="J911" s="123" t="s">
        <v>315</v>
      </c>
      <c r="K911" s="123" t="s">
        <v>1106</v>
      </c>
      <c r="L911" s="123" t="e">
        <f>VLOOKUP(Fact_AUM_FyoCapital[[#This Row],[Dim_Empresas.CUIT]],'clientes SQL'!C:D,2,0)</f>
        <v>#N/A</v>
      </c>
    </row>
    <row r="912" spans="1:12" hidden="1" x14ac:dyDescent="0.3">
      <c r="A912">
        <v>1846897</v>
      </c>
      <c r="B912">
        <v>20251205</v>
      </c>
      <c r="C912">
        <v>9936</v>
      </c>
      <c r="D912">
        <v>1407.1669004207574</v>
      </c>
      <c r="E912" s="123" t="s">
        <v>1566</v>
      </c>
      <c r="F912" s="123" t="s">
        <v>1580</v>
      </c>
      <c r="G912" s="123"/>
      <c r="H912" s="95">
        <v>45996</v>
      </c>
      <c r="I912">
        <v>35436</v>
      </c>
      <c r="J912" s="123" t="s">
        <v>300</v>
      </c>
      <c r="K912" s="123" t="s">
        <v>1037</v>
      </c>
      <c r="L912" s="123" t="e">
        <f>VLOOKUP(Fact_AUM_FyoCapital[[#This Row],[Dim_Empresas.CUIT]],'clientes SQL'!C:D,2,0)</f>
        <v>#N/A</v>
      </c>
    </row>
    <row r="913" spans="1:12" hidden="1" x14ac:dyDescent="0.3">
      <c r="A913">
        <v>1868737</v>
      </c>
      <c r="B913">
        <v>20251205</v>
      </c>
      <c r="C913">
        <v>12804</v>
      </c>
      <c r="D913">
        <v>-1429.7157994389902</v>
      </c>
      <c r="E913" s="123" t="s">
        <v>1566</v>
      </c>
      <c r="F913" s="123" t="s">
        <v>1586</v>
      </c>
      <c r="G913" s="123"/>
      <c r="H913" s="95">
        <v>45996</v>
      </c>
      <c r="I913">
        <v>36030</v>
      </c>
      <c r="J913" s="123" t="s">
        <v>504</v>
      </c>
      <c r="K913" s="123" t="s">
        <v>1196</v>
      </c>
      <c r="L913" s="123" t="e">
        <f>VLOOKUP(Fact_AUM_FyoCapital[[#This Row],[Dim_Empresas.CUIT]],'clientes SQL'!C:D,2,0)</f>
        <v>#N/A</v>
      </c>
    </row>
    <row r="914" spans="1:12" hidden="1" x14ac:dyDescent="0.3">
      <c r="A914">
        <v>2599469</v>
      </c>
      <c r="B914">
        <v>20251205</v>
      </c>
      <c r="C914">
        <v>15174</v>
      </c>
      <c r="D914">
        <v>14617.436886395511</v>
      </c>
      <c r="E914" s="123" t="s">
        <v>1566</v>
      </c>
      <c r="F914" s="123" t="s">
        <v>1573</v>
      </c>
      <c r="G914" s="123"/>
      <c r="H914" s="95">
        <v>45996</v>
      </c>
      <c r="I914">
        <v>37310</v>
      </c>
      <c r="J914" s="123" t="s">
        <v>1084</v>
      </c>
      <c r="K914" s="123" t="s">
        <v>1085</v>
      </c>
      <c r="L914" s="123" t="e">
        <f>VLOOKUP(Fact_AUM_FyoCapital[[#This Row],[Dim_Empresas.CUIT]],'clientes SQL'!C:D,2,0)</f>
        <v>#N/A</v>
      </c>
    </row>
    <row r="915" spans="1:12" hidden="1" x14ac:dyDescent="0.3">
      <c r="A915">
        <v>1502524</v>
      </c>
      <c r="B915">
        <v>20251205</v>
      </c>
      <c r="C915">
        <v>1724</v>
      </c>
      <c r="D915">
        <v>76843.05</v>
      </c>
      <c r="E915" s="123" t="s">
        <v>1564</v>
      </c>
      <c r="F915" s="123" t="s">
        <v>1581</v>
      </c>
      <c r="G915" s="123"/>
      <c r="H915" s="95">
        <v>45996</v>
      </c>
      <c r="I915">
        <v>20518</v>
      </c>
      <c r="J915" s="123" t="s">
        <v>270</v>
      </c>
      <c r="K915" s="123" t="s">
        <v>1225</v>
      </c>
      <c r="L915" s="123" t="e">
        <f>VLOOKUP(Fact_AUM_FyoCapital[[#This Row],[Dim_Empresas.CUIT]],'clientes SQL'!C:D,2,0)</f>
        <v>#N/A</v>
      </c>
    </row>
    <row r="916" spans="1:12" hidden="1" x14ac:dyDescent="0.3">
      <c r="A916">
        <v>1854337</v>
      </c>
      <c r="B916">
        <v>20251205</v>
      </c>
      <c r="C916">
        <v>5858</v>
      </c>
      <c r="D916">
        <v>36920.594438990185</v>
      </c>
      <c r="E916" s="123" t="s">
        <v>1566</v>
      </c>
      <c r="F916" s="123" t="s">
        <v>1571</v>
      </c>
      <c r="G916" s="123"/>
      <c r="H916" s="95">
        <v>45996</v>
      </c>
      <c r="I916">
        <v>34098</v>
      </c>
      <c r="J916" s="123" t="s">
        <v>393</v>
      </c>
      <c r="K916" s="123" t="s">
        <v>1144</v>
      </c>
      <c r="L916" s="123" t="e">
        <f>VLOOKUP(Fact_AUM_FyoCapital[[#This Row],[Dim_Empresas.CUIT]],'clientes SQL'!C:D,2,0)</f>
        <v>#N/A</v>
      </c>
    </row>
    <row r="917" spans="1:12" hidden="1" x14ac:dyDescent="0.3">
      <c r="A917">
        <v>2603969</v>
      </c>
      <c r="B917">
        <v>20251205</v>
      </c>
      <c r="C917">
        <v>7012</v>
      </c>
      <c r="D917">
        <v>155.29453015427771</v>
      </c>
      <c r="E917" s="123" t="s">
        <v>1566</v>
      </c>
      <c r="F917" s="123" t="s">
        <v>1580</v>
      </c>
      <c r="G917" s="123"/>
      <c r="H917" s="95">
        <v>45996</v>
      </c>
      <c r="I917">
        <v>34708</v>
      </c>
      <c r="J917" s="123" t="s">
        <v>626</v>
      </c>
      <c r="K917" s="123" t="s">
        <v>1203</v>
      </c>
      <c r="L917" s="123" t="e">
        <f>VLOOKUP(Fact_AUM_FyoCapital[[#This Row],[Dim_Empresas.CUIT]],'clientes SQL'!C:D,2,0)</f>
        <v>#N/A</v>
      </c>
    </row>
    <row r="918" spans="1:12" hidden="1" x14ac:dyDescent="0.3">
      <c r="A918">
        <v>2602529</v>
      </c>
      <c r="B918">
        <v>20251205</v>
      </c>
      <c r="C918">
        <v>640</v>
      </c>
      <c r="D918">
        <v>48099</v>
      </c>
      <c r="E918" s="123" t="s">
        <v>1566</v>
      </c>
      <c r="F918" s="123" t="s">
        <v>1578</v>
      </c>
      <c r="G918" s="123"/>
      <c r="H918" s="95">
        <v>45996</v>
      </c>
      <c r="I918">
        <v>8261</v>
      </c>
      <c r="J918" s="123" t="s">
        <v>431</v>
      </c>
      <c r="K918" s="123" t="s">
        <v>1192</v>
      </c>
      <c r="L918" s="123" t="e">
        <f>VLOOKUP(Fact_AUM_FyoCapital[[#This Row],[Dim_Empresas.CUIT]],'clientes SQL'!C:D,2,0)</f>
        <v>#N/A</v>
      </c>
    </row>
    <row r="919" spans="1:12" hidden="1" x14ac:dyDescent="0.3">
      <c r="A919">
        <v>1888477</v>
      </c>
      <c r="B919">
        <v>20251205</v>
      </c>
      <c r="C919">
        <v>16491</v>
      </c>
      <c r="D919">
        <v>6422.4403927068724</v>
      </c>
      <c r="E919" s="123" t="s">
        <v>1566</v>
      </c>
      <c r="F919" s="123" t="s">
        <v>1582</v>
      </c>
      <c r="G919" s="123"/>
      <c r="H919" s="95">
        <v>45996</v>
      </c>
      <c r="I919">
        <v>37938</v>
      </c>
      <c r="J919" s="123" t="s">
        <v>845</v>
      </c>
      <c r="K919" s="123" t="s">
        <v>1294</v>
      </c>
      <c r="L919" s="123" t="e">
        <f>VLOOKUP(Fact_AUM_FyoCapital[[#This Row],[Dim_Empresas.CUIT]],'clientes SQL'!C:D,2,0)</f>
        <v>#N/A</v>
      </c>
    </row>
    <row r="920" spans="1:12" hidden="1" x14ac:dyDescent="0.3">
      <c r="A920">
        <v>1828177</v>
      </c>
      <c r="B920">
        <v>20251205</v>
      </c>
      <c r="C920">
        <v>5383</v>
      </c>
      <c r="D920">
        <v>129.1</v>
      </c>
      <c r="E920" s="123" t="s">
        <v>1566</v>
      </c>
      <c r="F920" s="123" t="s">
        <v>1571</v>
      </c>
      <c r="G920" s="123"/>
      <c r="H920" s="95">
        <v>45996</v>
      </c>
      <c r="I920">
        <v>33182</v>
      </c>
      <c r="J920" s="123" t="s">
        <v>238</v>
      </c>
      <c r="K920" s="123" t="s">
        <v>1167</v>
      </c>
      <c r="L920" s="123" t="e">
        <f>VLOOKUP(Fact_AUM_FyoCapital[[#This Row],[Dim_Empresas.CUIT]],'clientes SQL'!C:D,2,0)</f>
        <v>#N/A</v>
      </c>
    </row>
    <row r="921" spans="1:12" hidden="1" x14ac:dyDescent="0.3">
      <c r="A921">
        <v>1863517</v>
      </c>
      <c r="B921">
        <v>20251205</v>
      </c>
      <c r="C921">
        <v>2299</v>
      </c>
      <c r="D921">
        <v>15927.43</v>
      </c>
      <c r="E921" s="123" t="s">
        <v>1566</v>
      </c>
      <c r="F921" s="123" t="s">
        <v>1571</v>
      </c>
      <c r="G921" s="123"/>
      <c r="H921" s="95">
        <v>45996</v>
      </c>
      <c r="I921">
        <v>30388</v>
      </c>
      <c r="J921" s="123" t="s">
        <v>290</v>
      </c>
      <c r="K921" s="123" t="s">
        <v>1160</v>
      </c>
      <c r="L921" s="123" t="e">
        <f>VLOOKUP(Fact_AUM_FyoCapital[[#This Row],[Dim_Empresas.CUIT]],'clientes SQL'!C:D,2,0)</f>
        <v>#N/A</v>
      </c>
    </row>
    <row r="922" spans="1:12" hidden="1" x14ac:dyDescent="0.3">
      <c r="A922">
        <v>2629409</v>
      </c>
      <c r="B922">
        <v>20251205</v>
      </c>
      <c r="C922">
        <v>13596</v>
      </c>
      <c r="D922">
        <v>0.39</v>
      </c>
      <c r="E922" s="123" t="s">
        <v>1563</v>
      </c>
      <c r="F922" s="123" t="s">
        <v>950</v>
      </c>
      <c r="G922" s="123"/>
      <c r="H922" s="95">
        <v>45996</v>
      </c>
      <c r="I922">
        <v>36765</v>
      </c>
      <c r="J922" s="123" t="s">
        <v>450</v>
      </c>
      <c r="K922" s="123" t="s">
        <v>1193</v>
      </c>
      <c r="L922" s="123" t="e">
        <f>VLOOKUP(Fact_AUM_FyoCapital[[#This Row],[Dim_Empresas.CUIT]],'clientes SQL'!C:D,2,0)</f>
        <v>#N/A</v>
      </c>
    </row>
    <row r="923" spans="1:12" hidden="1" x14ac:dyDescent="0.3">
      <c r="A923">
        <v>1828837</v>
      </c>
      <c r="B923">
        <v>20251205</v>
      </c>
      <c r="C923">
        <v>5383</v>
      </c>
      <c r="D923">
        <v>5862.4649368863957</v>
      </c>
      <c r="E923" s="123" t="s">
        <v>1566</v>
      </c>
      <c r="F923" s="123" t="s">
        <v>1580</v>
      </c>
      <c r="G923" s="123"/>
      <c r="H923" s="95">
        <v>45996</v>
      </c>
      <c r="I923">
        <v>33182</v>
      </c>
      <c r="J923" s="123" t="s">
        <v>238</v>
      </c>
      <c r="K923" s="123" t="s">
        <v>1167</v>
      </c>
      <c r="L923" s="123" t="e">
        <f>VLOOKUP(Fact_AUM_FyoCapital[[#This Row],[Dim_Empresas.CUIT]],'clientes SQL'!C:D,2,0)</f>
        <v>#N/A</v>
      </c>
    </row>
    <row r="924" spans="1:12" hidden="1" x14ac:dyDescent="0.3">
      <c r="A924">
        <v>1827037</v>
      </c>
      <c r="B924">
        <v>20251205</v>
      </c>
      <c r="C924">
        <v>1538</v>
      </c>
      <c r="D924">
        <v>41042.222896213185</v>
      </c>
      <c r="E924" s="123" t="s">
        <v>1568</v>
      </c>
      <c r="F924" s="123" t="s">
        <v>1572</v>
      </c>
      <c r="G924" s="123" t="s">
        <v>1570</v>
      </c>
      <c r="H924" s="95">
        <v>45996</v>
      </c>
      <c r="I924">
        <v>19820</v>
      </c>
      <c r="J924" s="123" t="s">
        <v>216</v>
      </c>
      <c r="K924" s="123" t="s">
        <v>1146</v>
      </c>
      <c r="L924" s="123" t="e">
        <f>VLOOKUP(Fact_AUM_FyoCapital[[#This Row],[Dim_Empresas.CUIT]],'clientes SQL'!C:D,2,0)</f>
        <v>#N/A</v>
      </c>
    </row>
    <row r="925" spans="1:12" hidden="1" x14ac:dyDescent="0.3">
      <c r="A925">
        <v>2603369</v>
      </c>
      <c r="B925">
        <v>20251205</v>
      </c>
      <c r="C925">
        <v>4195</v>
      </c>
      <c r="D925">
        <v>40.753772791023842</v>
      </c>
      <c r="E925" s="123" t="s">
        <v>1568</v>
      </c>
      <c r="F925" s="123" t="s">
        <v>1572</v>
      </c>
      <c r="G925" s="123" t="s">
        <v>1570</v>
      </c>
      <c r="H925" s="95">
        <v>45996</v>
      </c>
      <c r="I925">
        <v>32828</v>
      </c>
      <c r="J925" s="123" t="s">
        <v>605</v>
      </c>
      <c r="K925" s="123" t="s">
        <v>1126</v>
      </c>
      <c r="L925" s="123" t="e">
        <f>VLOOKUP(Fact_AUM_FyoCapital[[#This Row],[Dim_Empresas.CUIT]],'clientes SQL'!C:D,2,0)</f>
        <v>#N/A</v>
      </c>
    </row>
    <row r="926" spans="1:12" hidden="1" x14ac:dyDescent="0.3">
      <c r="A926">
        <v>1892017</v>
      </c>
      <c r="B926">
        <v>20251205</v>
      </c>
      <c r="C926">
        <v>3479</v>
      </c>
      <c r="D926">
        <v>311376.52173913043</v>
      </c>
      <c r="E926" s="123" t="s">
        <v>1566</v>
      </c>
      <c r="F926" s="123" t="s">
        <v>1573</v>
      </c>
      <c r="G926" s="123"/>
      <c r="H926" s="95">
        <v>45996</v>
      </c>
      <c r="I926">
        <v>31936</v>
      </c>
      <c r="J926" s="123" t="s">
        <v>456</v>
      </c>
      <c r="K926" s="123" t="s">
        <v>1119</v>
      </c>
      <c r="L926" s="123" t="e">
        <f>VLOOKUP(Fact_AUM_FyoCapital[[#This Row],[Dim_Empresas.CUIT]],'clientes SQL'!C:D,2,0)</f>
        <v>#N/A</v>
      </c>
    </row>
    <row r="927" spans="1:12" hidden="1" x14ac:dyDescent="0.3">
      <c r="A927">
        <v>1868557</v>
      </c>
      <c r="B927">
        <v>20251205</v>
      </c>
      <c r="C927">
        <v>12804</v>
      </c>
      <c r="D927">
        <v>-3409.5489901823285</v>
      </c>
      <c r="E927" s="123" t="s">
        <v>1566</v>
      </c>
      <c r="F927" s="123" t="s">
        <v>1586</v>
      </c>
      <c r="G927" s="123"/>
      <c r="H927" s="95">
        <v>45996</v>
      </c>
      <c r="I927">
        <v>36030</v>
      </c>
      <c r="J927" s="123" t="s">
        <v>504</v>
      </c>
      <c r="K927" s="123" t="s">
        <v>1196</v>
      </c>
      <c r="L927" s="123" t="e">
        <f>VLOOKUP(Fact_AUM_FyoCapital[[#This Row],[Dim_Empresas.CUIT]],'clientes SQL'!C:D,2,0)</f>
        <v>#N/A</v>
      </c>
    </row>
    <row r="928" spans="1:12" hidden="1" x14ac:dyDescent="0.3">
      <c r="A928">
        <v>1850437</v>
      </c>
      <c r="B928">
        <v>20251205</v>
      </c>
      <c r="C928">
        <v>858</v>
      </c>
      <c r="D928">
        <v>125896.65361851333</v>
      </c>
      <c r="E928" s="123" t="s">
        <v>1568</v>
      </c>
      <c r="F928" s="123" t="s">
        <v>1572</v>
      </c>
      <c r="G928" s="123" t="s">
        <v>1570</v>
      </c>
      <c r="H928" s="95">
        <v>45996</v>
      </c>
      <c r="I928">
        <v>17832</v>
      </c>
      <c r="J928" s="123" t="s">
        <v>1139</v>
      </c>
      <c r="K928" s="123" t="s">
        <v>1140</v>
      </c>
      <c r="L928" s="123" t="e">
        <f>VLOOKUP(Fact_AUM_FyoCapital[[#This Row],[Dim_Empresas.CUIT]],'clientes SQL'!C:D,2,0)</f>
        <v>#N/A</v>
      </c>
    </row>
    <row r="929" spans="1:12" hidden="1" x14ac:dyDescent="0.3">
      <c r="A929">
        <v>1848277</v>
      </c>
      <c r="B929">
        <v>20251205</v>
      </c>
      <c r="C929">
        <v>13761</v>
      </c>
      <c r="D929">
        <v>14098</v>
      </c>
      <c r="E929" s="123" t="s">
        <v>1566</v>
      </c>
      <c r="F929" s="123" t="s">
        <v>1579</v>
      </c>
      <c r="G929" s="123"/>
      <c r="H929" s="95">
        <v>45996</v>
      </c>
      <c r="I929">
        <v>36914</v>
      </c>
      <c r="J929" s="123" t="s">
        <v>315</v>
      </c>
      <c r="K929" s="123" t="s">
        <v>1106</v>
      </c>
      <c r="L929" s="123" t="e">
        <f>VLOOKUP(Fact_AUM_FyoCapital[[#This Row],[Dim_Empresas.CUIT]],'clientes SQL'!C:D,2,0)</f>
        <v>#N/A</v>
      </c>
    </row>
    <row r="930" spans="1:12" hidden="1" x14ac:dyDescent="0.3">
      <c r="A930">
        <v>2635709</v>
      </c>
      <c r="B930">
        <v>20251205</v>
      </c>
      <c r="C930">
        <v>1273</v>
      </c>
      <c r="D930" s="6">
        <v>0.27627629733520337</v>
      </c>
      <c r="E930" s="123" t="s">
        <v>1563</v>
      </c>
      <c r="F930" s="123" t="s">
        <v>185</v>
      </c>
      <c r="G930" s="123"/>
      <c r="H930" s="95">
        <v>45996</v>
      </c>
      <c r="I930">
        <v>19363</v>
      </c>
      <c r="J930" s="123" t="s">
        <v>1183</v>
      </c>
      <c r="K930" s="123" t="s">
        <v>1184</v>
      </c>
      <c r="L930" s="123" t="e">
        <f>VLOOKUP(Fact_AUM_FyoCapital[[#This Row],[Dim_Empresas.CUIT]],'clientes SQL'!C:D,2,0)</f>
        <v>#N/A</v>
      </c>
    </row>
    <row r="931" spans="1:12" hidden="1" x14ac:dyDescent="0.3">
      <c r="A931">
        <v>1829077</v>
      </c>
      <c r="B931">
        <v>20251205</v>
      </c>
      <c r="C931">
        <v>5383</v>
      </c>
      <c r="D931">
        <v>247204.50210378683</v>
      </c>
      <c r="E931" s="123" t="s">
        <v>1566</v>
      </c>
      <c r="F931" s="123" t="s">
        <v>1580</v>
      </c>
      <c r="G931" s="123"/>
      <c r="H931" s="95">
        <v>45996</v>
      </c>
      <c r="I931">
        <v>33182</v>
      </c>
      <c r="J931" s="123" t="s">
        <v>238</v>
      </c>
      <c r="K931" s="123" t="s">
        <v>1167</v>
      </c>
      <c r="L931" s="123" t="e">
        <f>VLOOKUP(Fact_AUM_FyoCapital[[#This Row],[Dim_Empresas.CUIT]],'clientes SQL'!C:D,2,0)</f>
        <v>#N/A</v>
      </c>
    </row>
    <row r="932" spans="1:12" hidden="1" x14ac:dyDescent="0.3">
      <c r="A932">
        <v>1859017</v>
      </c>
      <c r="B932">
        <v>20251205</v>
      </c>
      <c r="C932">
        <v>16286</v>
      </c>
      <c r="D932">
        <v>1576.0072440392707</v>
      </c>
      <c r="E932" s="123" t="s">
        <v>1568</v>
      </c>
      <c r="F932" s="123" t="s">
        <v>1575</v>
      </c>
      <c r="G932" s="123" t="s">
        <v>1577</v>
      </c>
      <c r="H932" s="95">
        <v>45996</v>
      </c>
      <c r="I932">
        <v>37771</v>
      </c>
      <c r="J932" s="123" t="s">
        <v>1094</v>
      </c>
      <c r="K932" s="123" t="s">
        <v>1095</v>
      </c>
      <c r="L932" s="123" t="e">
        <f>VLOOKUP(Fact_AUM_FyoCapital[[#This Row],[Dim_Empresas.CUIT]],'clientes SQL'!C:D,2,0)</f>
        <v>#N/A</v>
      </c>
    </row>
    <row r="933" spans="1:12" hidden="1" x14ac:dyDescent="0.3">
      <c r="A933">
        <v>2630009</v>
      </c>
      <c r="B933">
        <v>20251205</v>
      </c>
      <c r="C933">
        <v>2133</v>
      </c>
      <c r="D933">
        <v>76.2</v>
      </c>
      <c r="E933" s="123" t="s">
        <v>1563</v>
      </c>
      <c r="F933" s="123" t="s">
        <v>950</v>
      </c>
      <c r="G933" s="123"/>
      <c r="H933" s="95">
        <v>45996</v>
      </c>
      <c r="I933">
        <v>30043</v>
      </c>
      <c r="J933" s="123" t="s">
        <v>196</v>
      </c>
      <c r="K933" s="123" t="s">
        <v>1185</v>
      </c>
      <c r="L933" s="123" t="e">
        <f>VLOOKUP(Fact_AUM_FyoCapital[[#This Row],[Dim_Empresas.CUIT]],'clientes SQL'!C:D,2,0)</f>
        <v>#N/A</v>
      </c>
    </row>
    <row r="934" spans="1:12" hidden="1" x14ac:dyDescent="0.3">
      <c r="A934">
        <v>2611709</v>
      </c>
      <c r="B934">
        <v>20251205</v>
      </c>
      <c r="C934">
        <v>14776</v>
      </c>
      <c r="D934">
        <v>47.17</v>
      </c>
      <c r="E934" s="123" t="s">
        <v>1563</v>
      </c>
      <c r="F934" s="123" t="s">
        <v>950</v>
      </c>
      <c r="G934" s="123"/>
      <c r="H934" s="95">
        <v>45996</v>
      </c>
      <c r="I934">
        <v>37012</v>
      </c>
      <c r="J934" s="123" t="s">
        <v>1136</v>
      </c>
      <c r="K934" s="123" t="s">
        <v>1137</v>
      </c>
      <c r="L934" s="123" t="e">
        <f>VLOOKUP(Fact_AUM_FyoCapital[[#This Row],[Dim_Empresas.CUIT]],'clientes SQL'!C:D,2,0)</f>
        <v>#N/A</v>
      </c>
    </row>
    <row r="935" spans="1:12" hidden="1" x14ac:dyDescent="0.3">
      <c r="A935">
        <v>1846717</v>
      </c>
      <c r="B935">
        <v>20251205</v>
      </c>
      <c r="C935">
        <v>9936</v>
      </c>
      <c r="D935">
        <v>1552.1739130434783</v>
      </c>
      <c r="E935" s="123" t="s">
        <v>1566</v>
      </c>
      <c r="F935" s="123" t="s">
        <v>1573</v>
      </c>
      <c r="G935" s="123"/>
      <c r="H935" s="95">
        <v>45996</v>
      </c>
      <c r="I935">
        <v>35436</v>
      </c>
      <c r="J935" s="123" t="s">
        <v>300</v>
      </c>
      <c r="K935" s="123" t="s">
        <v>1037</v>
      </c>
      <c r="L935" s="123" t="e">
        <f>VLOOKUP(Fact_AUM_FyoCapital[[#This Row],[Dim_Empresas.CUIT]],'clientes SQL'!C:D,2,0)</f>
        <v>#N/A</v>
      </c>
    </row>
    <row r="936" spans="1:12" hidden="1" x14ac:dyDescent="0.3">
      <c r="A936">
        <v>1838377</v>
      </c>
      <c r="B936">
        <v>20251205</v>
      </c>
      <c r="C936">
        <v>5235</v>
      </c>
      <c r="D936">
        <v>265292.74</v>
      </c>
      <c r="E936" s="123" t="s">
        <v>1566</v>
      </c>
      <c r="F936" s="123" t="s">
        <v>1571</v>
      </c>
      <c r="G936" s="123"/>
      <c r="H936" s="95">
        <v>45996</v>
      </c>
      <c r="I936">
        <v>33099</v>
      </c>
      <c r="J936" s="123" t="s">
        <v>346</v>
      </c>
      <c r="K936" s="123" t="s">
        <v>1118</v>
      </c>
      <c r="L936" s="123" t="e">
        <f>VLOOKUP(Fact_AUM_FyoCapital[[#This Row],[Dim_Empresas.CUIT]],'clientes SQL'!C:D,2,0)</f>
        <v>#N/A</v>
      </c>
    </row>
    <row r="937" spans="1:12" hidden="1" x14ac:dyDescent="0.3">
      <c r="A937">
        <v>1854277</v>
      </c>
      <c r="B937">
        <v>20251205</v>
      </c>
      <c r="C937">
        <v>5858</v>
      </c>
      <c r="D937">
        <v>20319.73</v>
      </c>
      <c r="E937" s="123" t="s">
        <v>1566</v>
      </c>
      <c r="F937" s="123" t="s">
        <v>1579</v>
      </c>
      <c r="G937" s="123"/>
      <c r="H937" s="95">
        <v>45996</v>
      </c>
      <c r="I937">
        <v>34098</v>
      </c>
      <c r="J937" s="123" t="s">
        <v>393</v>
      </c>
      <c r="K937" s="123" t="s">
        <v>1144</v>
      </c>
      <c r="L937" s="123" t="e">
        <f>VLOOKUP(Fact_AUM_FyoCapital[[#This Row],[Dim_Empresas.CUIT]],'clientes SQL'!C:D,2,0)</f>
        <v>#N/A</v>
      </c>
    </row>
    <row r="938" spans="1:12" hidden="1" x14ac:dyDescent="0.3">
      <c r="A938">
        <v>2599949</v>
      </c>
      <c r="B938">
        <v>20251205</v>
      </c>
      <c r="C938">
        <v>3244</v>
      </c>
      <c r="D938">
        <v>12411.442370266479</v>
      </c>
      <c r="E938" s="123" t="s">
        <v>1566</v>
      </c>
      <c r="F938" s="123" t="s">
        <v>1571</v>
      </c>
      <c r="G938" s="123"/>
      <c r="H938" s="95">
        <v>45996</v>
      </c>
      <c r="I938">
        <v>31666</v>
      </c>
      <c r="J938" s="123" t="s">
        <v>1151</v>
      </c>
      <c r="K938" s="123" t="s">
        <v>1152</v>
      </c>
      <c r="L938" s="123" t="e">
        <f>VLOOKUP(Fact_AUM_FyoCapital[[#This Row],[Dim_Empresas.CUIT]],'clientes SQL'!C:D,2,0)</f>
        <v>#N/A</v>
      </c>
    </row>
    <row r="939" spans="1:12" hidden="1" x14ac:dyDescent="0.3">
      <c r="A939">
        <v>1846357</v>
      </c>
      <c r="B939">
        <v>20251205</v>
      </c>
      <c r="C939">
        <v>13275</v>
      </c>
      <c r="D939">
        <v>17292.664158485273</v>
      </c>
      <c r="E939" s="123" t="s">
        <v>1568</v>
      </c>
      <c r="F939" s="123" t="s">
        <v>1575</v>
      </c>
      <c r="G939" s="123" t="s">
        <v>1570</v>
      </c>
      <c r="H939" s="95">
        <v>45996</v>
      </c>
      <c r="I939">
        <v>36459</v>
      </c>
      <c r="J939" s="123" t="s">
        <v>296</v>
      </c>
      <c r="K939" s="123" t="s">
        <v>1138</v>
      </c>
      <c r="L939" s="123" t="e">
        <f>VLOOKUP(Fact_AUM_FyoCapital[[#This Row],[Dim_Empresas.CUIT]],'clientes SQL'!C:D,2,0)</f>
        <v>#N/A</v>
      </c>
    </row>
    <row r="940" spans="1:12" hidden="1" x14ac:dyDescent="0.3">
      <c r="A940">
        <v>1503544</v>
      </c>
      <c r="B940">
        <v>20251205</v>
      </c>
      <c r="C940">
        <v>6154</v>
      </c>
      <c r="D940" s="6">
        <v>13074.683625525946</v>
      </c>
      <c r="E940" s="123" t="s">
        <v>1564</v>
      </c>
      <c r="F940" s="123" t="s">
        <v>1581</v>
      </c>
      <c r="G940" s="123"/>
      <c r="H940" s="95">
        <v>45996</v>
      </c>
      <c r="I940">
        <v>34268</v>
      </c>
      <c r="J940" s="123" t="s">
        <v>1141</v>
      </c>
      <c r="K940" s="123" t="s">
        <v>1142</v>
      </c>
      <c r="L940" s="123" t="e">
        <f>VLOOKUP(Fact_AUM_FyoCapital[[#This Row],[Dim_Empresas.CUIT]],'clientes SQL'!C:D,2,0)</f>
        <v>#N/A</v>
      </c>
    </row>
    <row r="941" spans="1:12" hidden="1" x14ac:dyDescent="0.3">
      <c r="A941">
        <v>1901737</v>
      </c>
      <c r="B941">
        <v>20251205</v>
      </c>
      <c r="C941">
        <v>2173</v>
      </c>
      <c r="D941">
        <v>1174.68</v>
      </c>
      <c r="E941" s="123" t="s">
        <v>1568</v>
      </c>
      <c r="F941" s="123" t="s">
        <v>1575</v>
      </c>
      <c r="G941" s="123" t="s">
        <v>1576</v>
      </c>
      <c r="H941" s="95">
        <v>45996</v>
      </c>
      <c r="I941">
        <v>30123</v>
      </c>
      <c r="J941" s="123" t="s">
        <v>599</v>
      </c>
      <c r="K941" s="123" t="s">
        <v>1125</v>
      </c>
      <c r="L941" s="123" t="e">
        <f>VLOOKUP(Fact_AUM_FyoCapital[[#This Row],[Dim_Empresas.CUIT]],'clientes SQL'!C:D,2,0)</f>
        <v>#N/A</v>
      </c>
    </row>
    <row r="942" spans="1:12" hidden="1" x14ac:dyDescent="0.3">
      <c r="A942">
        <v>1846657</v>
      </c>
      <c r="B942">
        <v>20251205</v>
      </c>
      <c r="C942">
        <v>2196</v>
      </c>
      <c r="D942">
        <v>48.30572230014026</v>
      </c>
      <c r="E942" s="123" t="s">
        <v>1568</v>
      </c>
      <c r="F942" s="123" t="s">
        <v>1572</v>
      </c>
      <c r="G942" s="123" t="s">
        <v>1570</v>
      </c>
      <c r="H942" s="95">
        <v>45996</v>
      </c>
      <c r="I942">
        <v>30190</v>
      </c>
      <c r="J942" s="123" t="s">
        <v>691</v>
      </c>
      <c r="K942" s="123" t="s">
        <v>1283</v>
      </c>
      <c r="L942" s="123" t="e">
        <f>VLOOKUP(Fact_AUM_FyoCapital[[#This Row],[Dim_Empresas.CUIT]],'clientes SQL'!C:D,2,0)</f>
        <v>#N/A</v>
      </c>
    </row>
    <row r="943" spans="1:12" hidden="1" x14ac:dyDescent="0.3">
      <c r="A943">
        <v>1883917</v>
      </c>
      <c r="B943">
        <v>20251205</v>
      </c>
      <c r="C943">
        <v>905</v>
      </c>
      <c r="D943">
        <v>325177.41492286115</v>
      </c>
      <c r="E943" s="123" t="s">
        <v>1568</v>
      </c>
      <c r="F943" s="123" t="s">
        <v>1572</v>
      </c>
      <c r="G943" s="123" t="s">
        <v>1574</v>
      </c>
      <c r="H943" s="95">
        <v>45996</v>
      </c>
      <c r="I943">
        <v>18220</v>
      </c>
      <c r="J943" s="123" t="s">
        <v>531</v>
      </c>
      <c r="K943" s="123" t="s">
        <v>1121</v>
      </c>
      <c r="L943" s="123" t="e">
        <f>VLOOKUP(Fact_AUM_FyoCapital[[#This Row],[Dim_Empresas.CUIT]],'clientes SQL'!C:D,2,0)</f>
        <v>#N/A</v>
      </c>
    </row>
    <row r="944" spans="1:12" hidden="1" x14ac:dyDescent="0.3">
      <c r="A944">
        <v>1847737</v>
      </c>
      <c r="B944">
        <v>20251205</v>
      </c>
      <c r="C944">
        <v>13761</v>
      </c>
      <c r="D944">
        <v>1695.6521739130435</v>
      </c>
      <c r="E944" s="123" t="s">
        <v>1566</v>
      </c>
      <c r="F944" s="123" t="s">
        <v>1580</v>
      </c>
      <c r="G944" s="123"/>
      <c r="H944" s="95">
        <v>45996</v>
      </c>
      <c r="I944">
        <v>36914</v>
      </c>
      <c r="J944" s="123" t="s">
        <v>315</v>
      </c>
      <c r="K944" s="123" t="s">
        <v>1106</v>
      </c>
      <c r="L944" s="123" t="e">
        <f>VLOOKUP(Fact_AUM_FyoCapital[[#This Row],[Dim_Empresas.CUIT]],'clientes SQL'!C:D,2,0)</f>
        <v>#N/A</v>
      </c>
    </row>
    <row r="945" spans="1:12" hidden="1" x14ac:dyDescent="0.3">
      <c r="A945">
        <v>1848157</v>
      </c>
      <c r="B945">
        <v>20251205</v>
      </c>
      <c r="C945">
        <v>13761</v>
      </c>
      <c r="D945">
        <v>749.27068723702666</v>
      </c>
      <c r="E945" s="123" t="s">
        <v>1566</v>
      </c>
      <c r="F945" s="123" t="s">
        <v>1580</v>
      </c>
      <c r="G945" s="123"/>
      <c r="H945" s="95">
        <v>45996</v>
      </c>
      <c r="I945">
        <v>36914</v>
      </c>
      <c r="J945" s="123" t="s">
        <v>315</v>
      </c>
      <c r="K945" s="123" t="s">
        <v>1106</v>
      </c>
      <c r="L945" s="123" t="e">
        <f>VLOOKUP(Fact_AUM_FyoCapital[[#This Row],[Dim_Empresas.CUIT]],'clientes SQL'!C:D,2,0)</f>
        <v>#N/A</v>
      </c>
    </row>
    <row r="946" spans="1:12" hidden="1" x14ac:dyDescent="0.3">
      <c r="A946">
        <v>2599589</v>
      </c>
      <c r="B946">
        <v>20251205</v>
      </c>
      <c r="C946">
        <v>15174</v>
      </c>
      <c r="D946">
        <v>14583.655799438991</v>
      </c>
      <c r="E946" s="123" t="s">
        <v>1568</v>
      </c>
      <c r="F946" s="123" t="s">
        <v>1572</v>
      </c>
      <c r="G946" s="123" t="s">
        <v>1570</v>
      </c>
      <c r="H946" s="95">
        <v>45996</v>
      </c>
      <c r="I946">
        <v>37310</v>
      </c>
      <c r="J946" s="123" t="s">
        <v>1084</v>
      </c>
      <c r="K946" s="123" t="s">
        <v>1085</v>
      </c>
      <c r="L946" s="123" t="e">
        <f>VLOOKUP(Fact_AUM_FyoCapital[[#This Row],[Dim_Empresas.CUIT]],'clientes SQL'!C:D,2,0)</f>
        <v>#N/A</v>
      </c>
    </row>
    <row r="947" spans="1:12" hidden="1" x14ac:dyDescent="0.3">
      <c r="A947">
        <v>2640929</v>
      </c>
      <c r="B947">
        <v>20251205</v>
      </c>
      <c r="C947">
        <v>16106</v>
      </c>
      <c r="D947">
        <v>5.4698457223001406E-4</v>
      </c>
      <c r="E947" s="123" t="s">
        <v>1563</v>
      </c>
      <c r="F947" s="123" t="s">
        <v>185</v>
      </c>
      <c r="G947" s="123"/>
      <c r="H947" s="95">
        <v>45996</v>
      </c>
      <c r="I947">
        <v>37627</v>
      </c>
      <c r="J947" s="123" t="s">
        <v>696</v>
      </c>
      <c r="K947" s="123" t="s">
        <v>1067</v>
      </c>
      <c r="L947" s="123" t="e">
        <f>VLOOKUP(Fact_AUM_FyoCapital[[#This Row],[Dim_Empresas.CUIT]],'clientes SQL'!C:D,2,0)</f>
        <v>#N/A</v>
      </c>
    </row>
    <row r="948" spans="1:12" hidden="1" x14ac:dyDescent="0.3">
      <c r="A948">
        <v>2620469</v>
      </c>
      <c r="B948">
        <v>20251205</v>
      </c>
      <c r="C948">
        <v>1141</v>
      </c>
      <c r="D948">
        <v>0</v>
      </c>
      <c r="E948" s="123"/>
      <c r="F948" s="123"/>
      <c r="G948" s="123"/>
      <c r="H948" s="95">
        <v>45996</v>
      </c>
      <c r="I948">
        <v>18969</v>
      </c>
      <c r="J948" s="123" t="s">
        <v>395</v>
      </c>
      <c r="K948" s="123" t="s">
        <v>1280</v>
      </c>
      <c r="L948" s="123" t="e">
        <f>VLOOKUP(Fact_AUM_FyoCapital[[#This Row],[Dim_Empresas.CUIT]],'clientes SQL'!C:D,2,0)</f>
        <v>#N/A</v>
      </c>
    </row>
    <row r="949" spans="1:12" hidden="1" x14ac:dyDescent="0.3">
      <c r="A949">
        <v>1833517</v>
      </c>
      <c r="B949">
        <v>20251205</v>
      </c>
      <c r="C949">
        <v>14776</v>
      </c>
      <c r="D949">
        <v>45988.830694249649</v>
      </c>
      <c r="E949" s="123" t="s">
        <v>1566</v>
      </c>
      <c r="F949" s="123" t="s">
        <v>1571</v>
      </c>
      <c r="G949" s="123"/>
      <c r="H949" s="95">
        <v>45996</v>
      </c>
      <c r="I949">
        <v>37012</v>
      </c>
      <c r="J949" s="123" t="s">
        <v>1136</v>
      </c>
      <c r="K949" s="123" t="s">
        <v>1137</v>
      </c>
      <c r="L949" s="123" t="e">
        <f>VLOOKUP(Fact_AUM_FyoCapital[[#This Row],[Dim_Empresas.CUIT]],'clientes SQL'!C:D,2,0)</f>
        <v>#N/A</v>
      </c>
    </row>
    <row r="950" spans="1:12" hidden="1" x14ac:dyDescent="0.3">
      <c r="A950">
        <v>2618309</v>
      </c>
      <c r="B950">
        <v>20251205</v>
      </c>
      <c r="C950">
        <v>13761</v>
      </c>
      <c r="D950">
        <v>15.023562412342216</v>
      </c>
      <c r="E950" s="123" t="s">
        <v>1563</v>
      </c>
      <c r="F950" s="123" t="s">
        <v>185</v>
      </c>
      <c r="G950" s="123"/>
      <c r="H950" s="95">
        <v>45996</v>
      </c>
      <c r="I950">
        <v>36914</v>
      </c>
      <c r="J950" s="123" t="s">
        <v>315</v>
      </c>
      <c r="K950" s="123" t="s">
        <v>1106</v>
      </c>
      <c r="L950" s="123" t="e">
        <f>VLOOKUP(Fact_AUM_FyoCapital[[#This Row],[Dim_Empresas.CUIT]],'clientes SQL'!C:D,2,0)</f>
        <v>#N/A</v>
      </c>
    </row>
    <row r="951" spans="1:12" hidden="1" x14ac:dyDescent="0.3">
      <c r="A951">
        <v>1842217</v>
      </c>
      <c r="B951">
        <v>20251205</v>
      </c>
      <c r="C951">
        <v>9936</v>
      </c>
      <c r="D951">
        <v>714.1654978962132</v>
      </c>
      <c r="E951" s="123" t="s">
        <v>1566</v>
      </c>
      <c r="F951" s="123" t="s">
        <v>1580</v>
      </c>
      <c r="G951" s="123"/>
      <c r="H951" s="95">
        <v>45996</v>
      </c>
      <c r="I951">
        <v>35436</v>
      </c>
      <c r="J951" s="123" t="s">
        <v>300</v>
      </c>
      <c r="K951" s="123" t="s">
        <v>1037</v>
      </c>
      <c r="L951" s="123" t="e">
        <f>VLOOKUP(Fact_AUM_FyoCapital[[#This Row],[Dim_Empresas.CUIT]],'clientes SQL'!C:D,2,0)</f>
        <v>#N/A</v>
      </c>
    </row>
    <row r="952" spans="1:12" hidden="1" x14ac:dyDescent="0.3">
      <c r="A952">
        <v>1826557</v>
      </c>
      <c r="B952">
        <v>20251205</v>
      </c>
      <c r="C952">
        <v>1277</v>
      </c>
      <c r="D952">
        <v>-96709.1</v>
      </c>
      <c r="E952" s="123" t="s">
        <v>1566</v>
      </c>
      <c r="F952" s="123" t="s">
        <v>1578</v>
      </c>
      <c r="G952" s="123"/>
      <c r="H952" s="95">
        <v>45996</v>
      </c>
      <c r="I952">
        <v>19100</v>
      </c>
      <c r="J952" s="123" t="s">
        <v>254</v>
      </c>
      <c r="K952" s="123" t="s">
        <v>1240</v>
      </c>
      <c r="L952" s="123" t="e">
        <f>VLOOKUP(Fact_AUM_FyoCapital[[#This Row],[Dim_Empresas.CUIT]],'clientes SQL'!C:D,2,0)</f>
        <v>#N/A</v>
      </c>
    </row>
    <row r="953" spans="1:12" hidden="1" x14ac:dyDescent="0.3">
      <c r="A953">
        <v>1848097</v>
      </c>
      <c r="B953">
        <v>20251205</v>
      </c>
      <c r="C953">
        <v>13761</v>
      </c>
      <c r="D953">
        <v>1048.4828190743337</v>
      </c>
      <c r="E953" s="123" t="s">
        <v>1566</v>
      </c>
      <c r="F953" s="123" t="s">
        <v>1573</v>
      </c>
      <c r="G953" s="123"/>
      <c r="H953" s="95">
        <v>45996</v>
      </c>
      <c r="I953">
        <v>36914</v>
      </c>
      <c r="J953" s="123" t="s">
        <v>315</v>
      </c>
      <c r="K953" s="123" t="s">
        <v>1106</v>
      </c>
      <c r="L953" s="123" t="e">
        <f>VLOOKUP(Fact_AUM_FyoCapital[[#This Row],[Dim_Empresas.CUIT]],'clientes SQL'!C:D,2,0)</f>
        <v>#N/A</v>
      </c>
    </row>
    <row r="954" spans="1:12" hidden="1" x14ac:dyDescent="0.3">
      <c r="A954">
        <v>1892377</v>
      </c>
      <c r="B954">
        <v>20251205</v>
      </c>
      <c r="C954">
        <v>3479</v>
      </c>
      <c r="D954">
        <v>1523865.3436185133</v>
      </c>
      <c r="E954" s="123" t="s">
        <v>1566</v>
      </c>
      <c r="F954" s="123" t="s">
        <v>1573</v>
      </c>
      <c r="G954" s="123"/>
      <c r="H954" s="95">
        <v>45996</v>
      </c>
      <c r="I954">
        <v>31936</v>
      </c>
      <c r="J954" s="123" t="s">
        <v>456</v>
      </c>
      <c r="K954" s="123" t="s">
        <v>1119</v>
      </c>
      <c r="L954" s="123" t="e">
        <f>VLOOKUP(Fact_AUM_FyoCapital[[#This Row],[Dim_Empresas.CUIT]],'clientes SQL'!C:D,2,0)</f>
        <v>#N/A</v>
      </c>
    </row>
    <row r="955" spans="1:12" hidden="1" x14ac:dyDescent="0.3">
      <c r="A955">
        <v>1892677</v>
      </c>
      <c r="B955">
        <v>20251205</v>
      </c>
      <c r="C955">
        <v>3479</v>
      </c>
      <c r="D955">
        <v>423645.53756661993</v>
      </c>
      <c r="E955" s="123" t="s">
        <v>1566</v>
      </c>
      <c r="F955" s="123" t="s">
        <v>1571</v>
      </c>
      <c r="G955" s="123"/>
      <c r="H955" s="95">
        <v>45996</v>
      </c>
      <c r="I955">
        <v>31936</v>
      </c>
      <c r="J955" s="123" t="s">
        <v>456</v>
      </c>
      <c r="K955" s="123" t="s">
        <v>1119</v>
      </c>
      <c r="L955" s="123" t="e">
        <f>VLOOKUP(Fact_AUM_FyoCapital[[#This Row],[Dim_Empresas.CUIT]],'clientes SQL'!C:D,2,0)</f>
        <v>#N/A</v>
      </c>
    </row>
    <row r="956" spans="1:12" hidden="1" x14ac:dyDescent="0.3">
      <c r="A956">
        <v>2601149</v>
      </c>
      <c r="B956">
        <v>20251205</v>
      </c>
      <c r="C956">
        <v>1429</v>
      </c>
      <c r="D956">
        <v>3071.1403786816268</v>
      </c>
      <c r="E956" s="123" t="s">
        <v>1566</v>
      </c>
      <c r="F956" s="123" t="s">
        <v>1571</v>
      </c>
      <c r="G956" s="123"/>
      <c r="H956" s="95">
        <v>45996</v>
      </c>
      <c r="I956">
        <v>19755</v>
      </c>
      <c r="J956" s="123" t="s">
        <v>374</v>
      </c>
      <c r="K956" s="123" t="s">
        <v>1200</v>
      </c>
      <c r="L956" s="123" t="e">
        <f>VLOOKUP(Fact_AUM_FyoCapital[[#This Row],[Dim_Empresas.CUIT]],'clientes SQL'!C:D,2,0)</f>
        <v>#N/A</v>
      </c>
    </row>
    <row r="957" spans="1:12" hidden="1" x14ac:dyDescent="0.3">
      <c r="A957">
        <v>1899337</v>
      </c>
      <c r="B957">
        <v>20251205</v>
      </c>
      <c r="C957">
        <v>12922</v>
      </c>
      <c r="D957">
        <v>7054.1530224403932</v>
      </c>
      <c r="E957" s="123" t="s">
        <v>1568</v>
      </c>
      <c r="F957" s="123" t="s">
        <v>1572</v>
      </c>
      <c r="G957" s="123" t="s">
        <v>1574</v>
      </c>
      <c r="H957" s="95">
        <v>45996</v>
      </c>
      <c r="I957">
        <v>36140</v>
      </c>
      <c r="J957" s="123" t="s">
        <v>128</v>
      </c>
      <c r="K957" s="123" t="s">
        <v>1042</v>
      </c>
      <c r="L957" s="123">
        <f>VLOOKUP(Fact_AUM_FyoCapital[[#This Row],[Dim_Empresas.CUIT]],'clientes SQL'!C:D,2,0)</f>
        <v>13006</v>
      </c>
    </row>
    <row r="958" spans="1:12" hidden="1" x14ac:dyDescent="0.3">
      <c r="A958">
        <v>2626829</v>
      </c>
      <c r="B958">
        <v>20251205</v>
      </c>
      <c r="C958">
        <v>5197</v>
      </c>
      <c r="D958">
        <v>960.15</v>
      </c>
      <c r="E958" s="123" t="s">
        <v>1563</v>
      </c>
      <c r="F958" s="123" t="s">
        <v>950</v>
      </c>
      <c r="G958" s="123"/>
      <c r="H958" s="95">
        <v>45996</v>
      </c>
      <c r="I958">
        <v>33322</v>
      </c>
      <c r="J958" s="123" t="s">
        <v>500</v>
      </c>
      <c r="K958" s="123" t="s">
        <v>1233</v>
      </c>
      <c r="L958" s="123" t="e">
        <f>VLOOKUP(Fact_AUM_FyoCapital[[#This Row],[Dim_Empresas.CUIT]],'clientes SQL'!C:D,2,0)</f>
        <v>#N/A</v>
      </c>
    </row>
    <row r="959" spans="1:12" hidden="1" x14ac:dyDescent="0.3">
      <c r="A959">
        <v>2639849</v>
      </c>
      <c r="B959">
        <v>20251205</v>
      </c>
      <c r="C959">
        <v>2173</v>
      </c>
      <c r="D959">
        <v>-3.0213043478260868</v>
      </c>
      <c r="E959" s="123" t="s">
        <v>1563</v>
      </c>
      <c r="F959" s="123" t="s">
        <v>185</v>
      </c>
      <c r="G959" s="123"/>
      <c r="H959" s="95">
        <v>45996</v>
      </c>
      <c r="I959">
        <v>30123</v>
      </c>
      <c r="J959" s="123" t="s">
        <v>599</v>
      </c>
      <c r="K959" s="123" t="s">
        <v>1125</v>
      </c>
      <c r="L959" s="123" t="e">
        <f>VLOOKUP(Fact_AUM_FyoCapital[[#This Row],[Dim_Empresas.CUIT]],'clientes SQL'!C:D,2,0)</f>
        <v>#N/A</v>
      </c>
    </row>
    <row r="960" spans="1:12" hidden="1" x14ac:dyDescent="0.3">
      <c r="A960">
        <v>2610029</v>
      </c>
      <c r="B960">
        <v>20251205</v>
      </c>
      <c r="C960">
        <v>1353</v>
      </c>
      <c r="D960">
        <v>2.7552384291725103</v>
      </c>
      <c r="E960" s="123" t="s">
        <v>1563</v>
      </c>
      <c r="F960" s="123" t="s">
        <v>185</v>
      </c>
      <c r="G960" s="123"/>
      <c r="H960" s="95">
        <v>45996</v>
      </c>
      <c r="I960">
        <v>19490</v>
      </c>
      <c r="J960" s="123" t="s">
        <v>1306</v>
      </c>
      <c r="K960" s="123" t="s">
        <v>1307</v>
      </c>
      <c r="L960" s="123" t="e">
        <f>VLOOKUP(Fact_AUM_FyoCapital[[#This Row],[Dim_Empresas.CUIT]],'clientes SQL'!C:D,2,0)</f>
        <v>#N/A</v>
      </c>
    </row>
    <row r="961" spans="1:12" hidden="1" x14ac:dyDescent="0.3">
      <c r="A961">
        <v>1846777</v>
      </c>
      <c r="B961">
        <v>20251205</v>
      </c>
      <c r="C961">
        <v>9936</v>
      </c>
      <c r="D961">
        <v>1465.1227208976156</v>
      </c>
      <c r="E961" s="123" t="s">
        <v>1566</v>
      </c>
      <c r="F961" s="123" t="s">
        <v>1573</v>
      </c>
      <c r="G961" s="123"/>
      <c r="H961" s="95">
        <v>45996</v>
      </c>
      <c r="I961">
        <v>35436</v>
      </c>
      <c r="J961" s="123" t="s">
        <v>300</v>
      </c>
      <c r="K961" s="123" t="s">
        <v>1037</v>
      </c>
      <c r="L961" s="123" t="e">
        <f>VLOOKUP(Fact_AUM_FyoCapital[[#This Row],[Dim_Empresas.CUIT]],'clientes SQL'!C:D,2,0)</f>
        <v>#N/A</v>
      </c>
    </row>
    <row r="962" spans="1:12" hidden="1" x14ac:dyDescent="0.3">
      <c r="A962">
        <v>2625209</v>
      </c>
      <c r="B962">
        <v>20251205</v>
      </c>
      <c r="C962">
        <v>1168</v>
      </c>
      <c r="D962">
        <v>-1.2622720897615707E-4</v>
      </c>
      <c r="E962" s="123" t="s">
        <v>1563</v>
      </c>
      <c r="F962" s="123" t="s">
        <v>185</v>
      </c>
      <c r="G962" s="123"/>
      <c r="H962" s="95">
        <v>45996</v>
      </c>
      <c r="I962">
        <v>18976</v>
      </c>
      <c r="J962" s="123" t="s">
        <v>305</v>
      </c>
      <c r="K962" s="123" t="s">
        <v>1207</v>
      </c>
      <c r="L962" s="123" t="e">
        <f>VLOOKUP(Fact_AUM_FyoCapital[[#This Row],[Dim_Empresas.CUIT]],'clientes SQL'!C:D,2,0)</f>
        <v>#N/A</v>
      </c>
    </row>
    <row r="963" spans="1:12" hidden="1" x14ac:dyDescent="0.3">
      <c r="A963">
        <v>1825777</v>
      </c>
      <c r="B963">
        <v>20251205</v>
      </c>
      <c r="C963">
        <v>1277</v>
      </c>
      <c r="D963">
        <v>0</v>
      </c>
      <c r="E963" s="123"/>
      <c r="F963" s="123"/>
      <c r="G963" s="123"/>
      <c r="H963" s="95">
        <v>45996</v>
      </c>
      <c r="I963">
        <v>19100</v>
      </c>
      <c r="J963" s="123" t="s">
        <v>254</v>
      </c>
      <c r="K963" s="123" t="s">
        <v>1240</v>
      </c>
      <c r="L963" s="123" t="e">
        <f>VLOOKUP(Fact_AUM_FyoCapital[[#This Row],[Dim_Empresas.CUIT]],'clientes SQL'!C:D,2,0)</f>
        <v>#N/A</v>
      </c>
    </row>
    <row r="964" spans="1:12" hidden="1" x14ac:dyDescent="0.3">
      <c r="A964">
        <v>1889257</v>
      </c>
      <c r="B964">
        <v>20251205</v>
      </c>
      <c r="C964">
        <v>1273</v>
      </c>
      <c r="D964">
        <v>6117.8380434782612</v>
      </c>
      <c r="E964" s="123" t="s">
        <v>1568</v>
      </c>
      <c r="F964" s="123" t="s">
        <v>1572</v>
      </c>
      <c r="G964" s="123" t="s">
        <v>1570</v>
      </c>
      <c r="H964" s="95">
        <v>45996</v>
      </c>
      <c r="I964">
        <v>19363</v>
      </c>
      <c r="J964" s="123" t="s">
        <v>1183</v>
      </c>
      <c r="K964" s="123" t="s">
        <v>1184</v>
      </c>
      <c r="L964" s="123" t="e">
        <f>VLOOKUP(Fact_AUM_FyoCapital[[#This Row],[Dim_Empresas.CUIT]],'clientes SQL'!C:D,2,0)</f>
        <v>#N/A</v>
      </c>
    </row>
    <row r="965" spans="1:12" hidden="1" x14ac:dyDescent="0.3">
      <c r="A965">
        <v>1875997</v>
      </c>
      <c r="B965">
        <v>20251205</v>
      </c>
      <c r="C965">
        <v>331</v>
      </c>
      <c r="D965">
        <v>219608.71633239833</v>
      </c>
      <c r="E965" s="123" t="s">
        <v>1566</v>
      </c>
      <c r="F965" s="123" t="s">
        <v>1571</v>
      </c>
      <c r="G965" s="123"/>
      <c r="H965" s="95">
        <v>45996</v>
      </c>
      <c r="I965">
        <v>652</v>
      </c>
      <c r="J965" s="123" t="s">
        <v>447</v>
      </c>
      <c r="K965" s="123" t="s">
        <v>1143</v>
      </c>
      <c r="L965" s="123" t="e">
        <f>VLOOKUP(Fact_AUM_FyoCapital[[#This Row],[Dim_Empresas.CUIT]],'clientes SQL'!C:D,2,0)</f>
        <v>#N/A</v>
      </c>
    </row>
    <row r="966" spans="1:12" hidden="1" x14ac:dyDescent="0.3">
      <c r="A966">
        <v>1856617</v>
      </c>
      <c r="B966">
        <v>20251205</v>
      </c>
      <c r="C966">
        <v>2162</v>
      </c>
      <c r="D966">
        <v>5941.96</v>
      </c>
      <c r="E966" s="123" t="s">
        <v>1566</v>
      </c>
      <c r="F966" s="123" t="s">
        <v>1571</v>
      </c>
      <c r="G966" s="123"/>
      <c r="H966" s="95">
        <v>45996</v>
      </c>
      <c r="I966">
        <v>30101</v>
      </c>
      <c r="J966" s="123" t="s">
        <v>391</v>
      </c>
      <c r="K966" s="123" t="s">
        <v>1216</v>
      </c>
      <c r="L966" s="123" t="e">
        <f>VLOOKUP(Fact_AUM_FyoCapital[[#This Row],[Dim_Empresas.CUIT]],'clientes SQL'!C:D,2,0)</f>
        <v>#N/A</v>
      </c>
    </row>
    <row r="967" spans="1:12" hidden="1" x14ac:dyDescent="0.3">
      <c r="A967">
        <v>2634749</v>
      </c>
      <c r="B967">
        <v>20251205</v>
      </c>
      <c r="C967">
        <v>13748</v>
      </c>
      <c r="D967">
        <v>1.85</v>
      </c>
      <c r="E967" s="123" t="s">
        <v>1563</v>
      </c>
      <c r="F967" s="123" t="s">
        <v>950</v>
      </c>
      <c r="G967" s="123"/>
      <c r="H967" s="95">
        <v>45996</v>
      </c>
      <c r="I967">
        <v>36902</v>
      </c>
      <c r="J967" s="123" t="s">
        <v>1130</v>
      </c>
      <c r="K967" s="123" t="s">
        <v>1131</v>
      </c>
      <c r="L967" s="123" t="e">
        <f>VLOOKUP(Fact_AUM_FyoCapital[[#This Row],[Dim_Empresas.CUIT]],'clientes SQL'!C:D,2,0)</f>
        <v>#N/A</v>
      </c>
    </row>
    <row r="968" spans="1:12" hidden="1" x14ac:dyDescent="0.3">
      <c r="A968">
        <v>1887217</v>
      </c>
      <c r="B968">
        <v>20251205</v>
      </c>
      <c r="C968">
        <v>13665</v>
      </c>
      <c r="D968">
        <v>9244.0790392706876</v>
      </c>
      <c r="E968" s="123" t="s">
        <v>1568</v>
      </c>
      <c r="F968" s="123" t="s">
        <v>1572</v>
      </c>
      <c r="G968" s="123" t="s">
        <v>1574</v>
      </c>
      <c r="H968" s="95">
        <v>45996</v>
      </c>
      <c r="I968">
        <v>36829</v>
      </c>
      <c r="J968" s="123" t="s">
        <v>516</v>
      </c>
      <c r="K968" s="123" t="s">
        <v>1175</v>
      </c>
      <c r="L968" s="123" t="e">
        <f>VLOOKUP(Fact_AUM_FyoCapital[[#This Row],[Dim_Empresas.CUIT]],'clientes SQL'!C:D,2,0)</f>
        <v>#N/A</v>
      </c>
    </row>
    <row r="969" spans="1:12" hidden="1" x14ac:dyDescent="0.3">
      <c r="A969">
        <v>1883857</v>
      </c>
      <c r="B969">
        <v>20251205</v>
      </c>
      <c r="C969">
        <v>905</v>
      </c>
      <c r="D969">
        <v>10.86</v>
      </c>
      <c r="E969" s="123" t="s">
        <v>1568</v>
      </c>
      <c r="F969" s="123" t="s">
        <v>1572</v>
      </c>
      <c r="G969" s="123" t="s">
        <v>1570</v>
      </c>
      <c r="H969" s="95">
        <v>45996</v>
      </c>
      <c r="I969">
        <v>18220</v>
      </c>
      <c r="J969" s="123" t="s">
        <v>531</v>
      </c>
      <c r="K969" s="123" t="s">
        <v>1121</v>
      </c>
      <c r="L969" s="123" t="e">
        <f>VLOOKUP(Fact_AUM_FyoCapital[[#This Row],[Dim_Empresas.CUIT]],'clientes SQL'!C:D,2,0)</f>
        <v>#N/A</v>
      </c>
    </row>
    <row r="970" spans="1:12" hidden="1" x14ac:dyDescent="0.3">
      <c r="A970">
        <v>1844497</v>
      </c>
      <c r="B970">
        <v>20251205</v>
      </c>
      <c r="C970">
        <v>7837</v>
      </c>
      <c r="D970">
        <v>29788.615729312765</v>
      </c>
      <c r="E970" s="123" t="s">
        <v>1568</v>
      </c>
      <c r="F970" s="123" t="s">
        <v>1572</v>
      </c>
      <c r="G970" s="123" t="s">
        <v>1570</v>
      </c>
      <c r="H970" s="95">
        <v>45996</v>
      </c>
      <c r="I970">
        <v>35127</v>
      </c>
      <c r="J970" s="123" t="s">
        <v>306</v>
      </c>
      <c r="K970" s="123" t="s">
        <v>1128</v>
      </c>
      <c r="L970" s="123" t="e">
        <f>VLOOKUP(Fact_AUM_FyoCapital[[#This Row],[Dim_Empresas.CUIT]],'clientes SQL'!C:D,2,0)</f>
        <v>#N/A</v>
      </c>
    </row>
    <row r="971" spans="1:12" hidden="1" x14ac:dyDescent="0.3">
      <c r="A971">
        <v>2625269</v>
      </c>
      <c r="B971">
        <v>20251205</v>
      </c>
      <c r="C971">
        <v>1168</v>
      </c>
      <c r="D971">
        <v>0.6</v>
      </c>
      <c r="E971" s="123" t="s">
        <v>1563</v>
      </c>
      <c r="F971" s="123" t="s">
        <v>950</v>
      </c>
      <c r="G971" s="123"/>
      <c r="H971" s="95">
        <v>45996</v>
      </c>
      <c r="I971">
        <v>18976</v>
      </c>
      <c r="J971" s="123" t="s">
        <v>305</v>
      </c>
      <c r="K971" s="123" t="s">
        <v>1207</v>
      </c>
      <c r="L971" s="123" t="e">
        <f>VLOOKUP(Fact_AUM_FyoCapital[[#This Row],[Dim_Empresas.CUIT]],'clientes SQL'!C:D,2,0)</f>
        <v>#N/A</v>
      </c>
    </row>
    <row r="972" spans="1:12" hidden="1" x14ac:dyDescent="0.3">
      <c r="A972">
        <v>1864417</v>
      </c>
      <c r="B972">
        <v>20251205</v>
      </c>
      <c r="C972">
        <v>4259</v>
      </c>
      <c r="D972" s="6">
        <v>8.0474754558204769</v>
      </c>
      <c r="E972" s="123" t="s">
        <v>1568</v>
      </c>
      <c r="F972" s="123" t="s">
        <v>1572</v>
      </c>
      <c r="G972" s="123" t="s">
        <v>1583</v>
      </c>
      <c r="H972" s="95">
        <v>45996</v>
      </c>
      <c r="I972">
        <v>19330</v>
      </c>
      <c r="J972" s="123" t="s">
        <v>293</v>
      </c>
      <c r="K972" s="123" t="s">
        <v>1166</v>
      </c>
      <c r="L972" s="123" t="e">
        <f>VLOOKUP(Fact_AUM_FyoCapital[[#This Row],[Dim_Empresas.CUIT]],'clientes SQL'!C:D,2,0)</f>
        <v>#N/A</v>
      </c>
    </row>
    <row r="973" spans="1:12" hidden="1" x14ac:dyDescent="0.3">
      <c r="A973">
        <v>1891357</v>
      </c>
      <c r="B973">
        <v>20251205</v>
      </c>
      <c r="C973">
        <v>3479</v>
      </c>
      <c r="D973">
        <v>0</v>
      </c>
      <c r="E973" s="123"/>
      <c r="F973" s="123"/>
      <c r="G973" s="123"/>
      <c r="H973" s="95">
        <v>45996</v>
      </c>
      <c r="I973">
        <v>31936</v>
      </c>
      <c r="J973" s="123" t="s">
        <v>456</v>
      </c>
      <c r="K973" s="123" t="s">
        <v>1119</v>
      </c>
      <c r="L973" s="123" t="e">
        <f>VLOOKUP(Fact_AUM_FyoCapital[[#This Row],[Dim_Empresas.CUIT]],'clientes SQL'!C:D,2,0)</f>
        <v>#N/A</v>
      </c>
    </row>
    <row r="974" spans="1:12" hidden="1" x14ac:dyDescent="0.3">
      <c r="A974">
        <v>1843597</v>
      </c>
      <c r="B974">
        <v>20251205</v>
      </c>
      <c r="C974">
        <v>10103</v>
      </c>
      <c r="D974">
        <v>1217.46</v>
      </c>
      <c r="E974" s="123" t="s">
        <v>1566</v>
      </c>
      <c r="F974" s="123" t="s">
        <v>1571</v>
      </c>
      <c r="G974" s="123"/>
      <c r="H974" s="95">
        <v>45996</v>
      </c>
      <c r="I974">
        <v>35568</v>
      </c>
      <c r="J974" s="123" t="s">
        <v>299</v>
      </c>
      <c r="K974" s="123" t="s">
        <v>1202</v>
      </c>
      <c r="L974" s="123" t="e">
        <f>VLOOKUP(Fact_AUM_FyoCapital[[#This Row],[Dim_Empresas.CUIT]],'clientes SQL'!C:D,2,0)</f>
        <v>#N/A</v>
      </c>
    </row>
    <row r="975" spans="1:12" hidden="1" x14ac:dyDescent="0.3">
      <c r="A975">
        <v>2630849</v>
      </c>
      <c r="B975">
        <v>20251205</v>
      </c>
      <c r="C975">
        <v>1566</v>
      </c>
      <c r="D975">
        <v>0.36982468443197758</v>
      </c>
      <c r="E975" s="123" t="s">
        <v>1563</v>
      </c>
      <c r="F975" s="123" t="s">
        <v>185</v>
      </c>
      <c r="G975" s="123"/>
      <c r="H975" s="95">
        <v>45996</v>
      </c>
      <c r="I975">
        <v>20248</v>
      </c>
      <c r="J975" s="123" t="s">
        <v>1249</v>
      </c>
      <c r="K975" s="123" t="s">
        <v>1250</v>
      </c>
      <c r="L975" s="123" t="e">
        <f>VLOOKUP(Fact_AUM_FyoCapital[[#This Row],[Dim_Empresas.CUIT]],'clientes SQL'!C:D,2,0)</f>
        <v>#N/A</v>
      </c>
    </row>
    <row r="976" spans="1:12" hidden="1" x14ac:dyDescent="0.3">
      <c r="A976">
        <v>1842037</v>
      </c>
      <c r="B976">
        <v>20251205</v>
      </c>
      <c r="C976">
        <v>1733</v>
      </c>
      <c r="D976">
        <v>34.346816269284709</v>
      </c>
      <c r="E976" s="123" t="s">
        <v>1568</v>
      </c>
      <c r="F976" s="123" t="s">
        <v>1572</v>
      </c>
      <c r="G976" s="123" t="s">
        <v>1574</v>
      </c>
      <c r="H976" s="95">
        <v>45996</v>
      </c>
      <c r="I976">
        <v>20483</v>
      </c>
      <c r="J976" s="123" t="s">
        <v>320</v>
      </c>
      <c r="K976" s="123" t="s">
        <v>1406</v>
      </c>
      <c r="L976" s="123" t="e">
        <f>VLOOKUP(Fact_AUM_FyoCapital[[#This Row],[Dim_Empresas.CUIT]],'clientes SQL'!C:D,2,0)</f>
        <v>#N/A</v>
      </c>
    </row>
    <row r="977" spans="1:12" hidden="1" x14ac:dyDescent="0.3">
      <c r="A977">
        <v>2632649</v>
      </c>
      <c r="B977">
        <v>20251205</v>
      </c>
      <c r="C977">
        <v>5878</v>
      </c>
      <c r="D977">
        <v>1.7274193548387098</v>
      </c>
      <c r="E977" s="123" t="s">
        <v>1563</v>
      </c>
      <c r="F977" s="123" t="s">
        <v>185</v>
      </c>
      <c r="G977" s="123"/>
      <c r="H977" s="95">
        <v>45996</v>
      </c>
      <c r="I977">
        <v>33471</v>
      </c>
      <c r="J977" s="123" t="s">
        <v>549</v>
      </c>
      <c r="K977" s="123" t="s">
        <v>1274</v>
      </c>
      <c r="L977" s="123" t="e">
        <f>VLOOKUP(Fact_AUM_FyoCapital[[#This Row],[Dim_Empresas.CUIT]],'clientes SQL'!C:D,2,0)</f>
        <v>#N/A</v>
      </c>
    </row>
    <row r="978" spans="1:12" hidden="1" x14ac:dyDescent="0.3">
      <c r="A978">
        <v>1828417</v>
      </c>
      <c r="B978">
        <v>20251205</v>
      </c>
      <c r="C978">
        <v>5383</v>
      </c>
      <c r="D978">
        <v>44580</v>
      </c>
      <c r="E978" s="123" t="s">
        <v>1566</v>
      </c>
      <c r="F978" s="123" t="s">
        <v>1573</v>
      </c>
      <c r="G978" s="123"/>
      <c r="H978" s="95">
        <v>45996</v>
      </c>
      <c r="I978">
        <v>33182</v>
      </c>
      <c r="J978" s="123" t="s">
        <v>238</v>
      </c>
      <c r="K978" s="123" t="s">
        <v>1167</v>
      </c>
      <c r="L978" s="123" t="e">
        <f>VLOOKUP(Fact_AUM_FyoCapital[[#This Row],[Dim_Empresas.CUIT]],'clientes SQL'!C:D,2,0)</f>
        <v>#N/A</v>
      </c>
    </row>
    <row r="979" spans="1:12" hidden="1" x14ac:dyDescent="0.3">
      <c r="A979">
        <v>2637689</v>
      </c>
      <c r="B979">
        <v>20251205</v>
      </c>
      <c r="C979">
        <v>7139</v>
      </c>
      <c r="D979">
        <v>-2.33</v>
      </c>
      <c r="E979" s="123" t="s">
        <v>1563</v>
      </c>
      <c r="F979" s="123" t="s">
        <v>950</v>
      </c>
      <c r="G979" s="123"/>
      <c r="H979" s="95">
        <v>45996</v>
      </c>
      <c r="I979">
        <v>34790</v>
      </c>
      <c r="J979" s="123" t="s">
        <v>598</v>
      </c>
      <c r="K979" s="123" t="s">
        <v>1201</v>
      </c>
      <c r="L979" s="123" t="e">
        <f>VLOOKUP(Fact_AUM_FyoCapital[[#This Row],[Dim_Empresas.CUIT]],'clientes SQL'!C:D,2,0)</f>
        <v>#N/A</v>
      </c>
    </row>
    <row r="980" spans="1:12" hidden="1" x14ac:dyDescent="0.3">
      <c r="A980">
        <v>1827697</v>
      </c>
      <c r="B980">
        <v>20251205</v>
      </c>
      <c r="C980">
        <v>5383</v>
      </c>
      <c r="D980">
        <v>2951.5329593267884</v>
      </c>
      <c r="E980" s="123" t="s">
        <v>1566</v>
      </c>
      <c r="F980" s="123" t="s">
        <v>1573</v>
      </c>
      <c r="G980" s="123"/>
      <c r="H980" s="95">
        <v>45996</v>
      </c>
      <c r="I980">
        <v>33182</v>
      </c>
      <c r="J980" s="123" t="s">
        <v>238</v>
      </c>
      <c r="K980" s="123" t="s">
        <v>1167</v>
      </c>
      <c r="L980" s="123" t="e">
        <f>VLOOKUP(Fact_AUM_FyoCapital[[#This Row],[Dim_Empresas.CUIT]],'clientes SQL'!C:D,2,0)</f>
        <v>#N/A</v>
      </c>
    </row>
    <row r="981" spans="1:12" hidden="1" x14ac:dyDescent="0.3">
      <c r="A981">
        <v>1863697</v>
      </c>
      <c r="B981">
        <v>20251205</v>
      </c>
      <c r="C981">
        <v>2299</v>
      </c>
      <c r="D981">
        <v>8918.7096774193542</v>
      </c>
      <c r="E981" s="123" t="s">
        <v>1566</v>
      </c>
      <c r="F981" s="123" t="s">
        <v>1573</v>
      </c>
      <c r="G981" s="123"/>
      <c r="H981" s="95">
        <v>45996</v>
      </c>
      <c r="I981">
        <v>30388</v>
      </c>
      <c r="J981" s="123" t="s">
        <v>290</v>
      </c>
      <c r="K981" s="123" t="s">
        <v>1160</v>
      </c>
      <c r="L981" s="123" t="e">
        <f>VLOOKUP(Fact_AUM_FyoCapital[[#This Row],[Dim_Empresas.CUIT]],'clientes SQL'!C:D,2,0)</f>
        <v>#N/A</v>
      </c>
    </row>
    <row r="982" spans="1:12" hidden="1" x14ac:dyDescent="0.3">
      <c r="A982">
        <v>2612369</v>
      </c>
      <c r="B982">
        <v>20251205</v>
      </c>
      <c r="C982">
        <v>16773</v>
      </c>
      <c r="D982">
        <v>81.650000000000006</v>
      </c>
      <c r="E982" s="123" t="s">
        <v>1563</v>
      </c>
      <c r="F982" s="123" t="s">
        <v>950</v>
      </c>
      <c r="G982" s="123"/>
      <c r="H982" s="95">
        <v>45996</v>
      </c>
      <c r="I982">
        <v>38070</v>
      </c>
      <c r="J982" s="123" t="s">
        <v>1505</v>
      </c>
      <c r="K982" s="123" t="s">
        <v>1506</v>
      </c>
      <c r="L982" s="123" t="e">
        <f>VLOOKUP(Fact_AUM_FyoCapital[[#This Row],[Dim_Empresas.CUIT]],'clientes SQL'!C:D,2,0)</f>
        <v>#N/A</v>
      </c>
    </row>
    <row r="983" spans="1:12" hidden="1" x14ac:dyDescent="0.3">
      <c r="A983">
        <v>1828297</v>
      </c>
      <c r="B983">
        <v>20251205</v>
      </c>
      <c r="C983">
        <v>5383</v>
      </c>
      <c r="D983">
        <v>16549.368863955118</v>
      </c>
      <c r="E983" s="123" t="s">
        <v>1566</v>
      </c>
      <c r="F983" s="123" t="s">
        <v>1580</v>
      </c>
      <c r="G983" s="123"/>
      <c r="H983" s="95">
        <v>45996</v>
      </c>
      <c r="I983">
        <v>33182</v>
      </c>
      <c r="J983" s="123" t="s">
        <v>238</v>
      </c>
      <c r="K983" s="123" t="s">
        <v>1167</v>
      </c>
      <c r="L983" s="123" t="e">
        <f>VLOOKUP(Fact_AUM_FyoCapital[[#This Row],[Dim_Empresas.CUIT]],'clientes SQL'!C:D,2,0)</f>
        <v>#N/A</v>
      </c>
    </row>
    <row r="984" spans="1:12" hidden="1" x14ac:dyDescent="0.3">
      <c r="A984">
        <v>2642789</v>
      </c>
      <c r="B984">
        <v>20251205</v>
      </c>
      <c r="C984">
        <v>1628</v>
      </c>
      <c r="D984">
        <v>0</v>
      </c>
      <c r="E984" s="123"/>
      <c r="F984" s="123"/>
      <c r="G984" s="123"/>
      <c r="H984" s="95">
        <v>45996</v>
      </c>
      <c r="I984">
        <v>20351</v>
      </c>
      <c r="J984" s="123" t="s">
        <v>1163</v>
      </c>
      <c r="K984" s="123" t="s">
        <v>1164</v>
      </c>
      <c r="L984" s="123" t="e">
        <f>VLOOKUP(Fact_AUM_FyoCapital[[#This Row],[Dim_Empresas.CUIT]],'clientes SQL'!C:D,2,0)</f>
        <v>#N/A</v>
      </c>
    </row>
    <row r="985" spans="1:12" hidden="1" x14ac:dyDescent="0.3">
      <c r="A985">
        <v>1859137</v>
      </c>
      <c r="B985">
        <v>20251205</v>
      </c>
      <c r="C985">
        <v>16286</v>
      </c>
      <c r="D985">
        <v>1.4025245441795232E-5</v>
      </c>
      <c r="E985" s="123" t="s">
        <v>1568</v>
      </c>
      <c r="F985" s="123" t="s">
        <v>1572</v>
      </c>
      <c r="G985" s="123" t="s">
        <v>1574</v>
      </c>
      <c r="H985" s="95">
        <v>45996</v>
      </c>
      <c r="I985">
        <v>37771</v>
      </c>
      <c r="J985" s="123" t="s">
        <v>1094</v>
      </c>
      <c r="K985" s="123" t="s">
        <v>1095</v>
      </c>
      <c r="L985" s="123" t="e">
        <f>VLOOKUP(Fact_AUM_FyoCapital[[#This Row],[Dim_Empresas.CUIT]],'clientes SQL'!C:D,2,0)</f>
        <v>#N/A</v>
      </c>
    </row>
    <row r="986" spans="1:12" hidden="1" x14ac:dyDescent="0.3">
      <c r="A986">
        <v>2599889</v>
      </c>
      <c r="B986">
        <v>20251205</v>
      </c>
      <c r="C986">
        <v>3244</v>
      </c>
      <c r="D986">
        <v>8104.22</v>
      </c>
      <c r="E986" s="123" t="s">
        <v>1566</v>
      </c>
      <c r="F986" s="123" t="s">
        <v>1579</v>
      </c>
      <c r="G986" s="123"/>
      <c r="H986" s="95">
        <v>45996</v>
      </c>
      <c r="I986">
        <v>31666</v>
      </c>
      <c r="J986" s="123" t="s">
        <v>1151</v>
      </c>
      <c r="K986" s="123" t="s">
        <v>1152</v>
      </c>
      <c r="L986" s="123" t="e">
        <f>VLOOKUP(Fact_AUM_FyoCapital[[#This Row],[Dim_Empresas.CUIT]],'clientes SQL'!C:D,2,0)</f>
        <v>#N/A</v>
      </c>
    </row>
    <row r="987" spans="1:12" hidden="1" x14ac:dyDescent="0.3">
      <c r="A987">
        <v>1891957</v>
      </c>
      <c r="B987">
        <v>20251205</v>
      </c>
      <c r="C987">
        <v>3479</v>
      </c>
      <c r="D987">
        <v>106332.38078541374</v>
      </c>
      <c r="E987" s="123" t="s">
        <v>1566</v>
      </c>
      <c r="F987" s="123" t="s">
        <v>1580</v>
      </c>
      <c r="G987" s="123"/>
      <c r="H987" s="95">
        <v>45996</v>
      </c>
      <c r="I987">
        <v>31936</v>
      </c>
      <c r="J987" s="123" t="s">
        <v>456</v>
      </c>
      <c r="K987" s="123" t="s">
        <v>1119</v>
      </c>
      <c r="L987" s="123" t="e">
        <f>VLOOKUP(Fact_AUM_FyoCapital[[#This Row],[Dim_Empresas.CUIT]],'clientes SQL'!C:D,2,0)</f>
        <v>#N/A</v>
      </c>
    </row>
    <row r="988" spans="1:12" hidden="1" x14ac:dyDescent="0.3">
      <c r="A988">
        <v>1835077</v>
      </c>
      <c r="B988">
        <v>20251205</v>
      </c>
      <c r="C988">
        <v>15123</v>
      </c>
      <c r="D988">
        <v>4163.6044880785412</v>
      </c>
      <c r="E988" s="123" t="s">
        <v>1566</v>
      </c>
      <c r="F988" s="123" t="s">
        <v>1573</v>
      </c>
      <c r="G988" s="123"/>
      <c r="H988" s="95">
        <v>45996</v>
      </c>
      <c r="I988">
        <v>37264</v>
      </c>
      <c r="J988" s="123" t="s">
        <v>1212</v>
      </c>
      <c r="K988" s="123" t="s">
        <v>1213</v>
      </c>
      <c r="L988" s="123" t="e">
        <f>VLOOKUP(Fact_AUM_FyoCapital[[#This Row],[Dim_Empresas.CUIT]],'clientes SQL'!C:D,2,0)</f>
        <v>#N/A</v>
      </c>
    </row>
    <row r="989" spans="1:12" hidden="1" x14ac:dyDescent="0.3">
      <c r="A989">
        <v>1883377</v>
      </c>
      <c r="B989">
        <v>20251205</v>
      </c>
      <c r="C989">
        <v>7801</v>
      </c>
      <c r="D989">
        <v>0</v>
      </c>
      <c r="E989" s="123"/>
      <c r="F989" s="123"/>
      <c r="G989" s="123"/>
      <c r="H989" s="95">
        <v>45996</v>
      </c>
      <c r="I989">
        <v>35094</v>
      </c>
      <c r="J989" s="123" t="s">
        <v>558</v>
      </c>
      <c r="K989" s="123" t="s">
        <v>1618</v>
      </c>
      <c r="L989" s="123" t="e">
        <f>VLOOKUP(Fact_AUM_FyoCapital[[#This Row],[Dim_Empresas.CUIT]],'clientes SQL'!C:D,2,0)</f>
        <v>#N/A</v>
      </c>
    </row>
    <row r="990" spans="1:12" hidden="1" x14ac:dyDescent="0.3">
      <c r="A990">
        <v>2628989</v>
      </c>
      <c r="B990">
        <v>20251205</v>
      </c>
      <c r="C990">
        <v>13287</v>
      </c>
      <c r="D990">
        <v>0.39</v>
      </c>
      <c r="E990" s="123" t="s">
        <v>1563</v>
      </c>
      <c r="F990" s="123" t="s">
        <v>188</v>
      </c>
      <c r="G990" s="123"/>
      <c r="H990" s="95">
        <v>45996</v>
      </c>
      <c r="I990">
        <v>36472</v>
      </c>
      <c r="J990" s="123" t="s">
        <v>467</v>
      </c>
      <c r="K990" s="123" t="s">
        <v>1174</v>
      </c>
      <c r="L990" s="123" t="e">
        <f>VLOOKUP(Fact_AUM_FyoCapital[[#This Row],[Dim_Empresas.CUIT]],'clientes SQL'!C:D,2,0)</f>
        <v>#N/A</v>
      </c>
    </row>
    <row r="991" spans="1:12" hidden="1" x14ac:dyDescent="0.3">
      <c r="A991">
        <v>1863397</v>
      </c>
      <c r="B991">
        <v>20251205</v>
      </c>
      <c r="C991">
        <v>2299</v>
      </c>
      <c r="D991">
        <v>162669.73000000001</v>
      </c>
      <c r="E991" s="123" t="s">
        <v>1566</v>
      </c>
      <c r="F991" s="123" t="s">
        <v>1571</v>
      </c>
      <c r="G991" s="123"/>
      <c r="H991" s="95">
        <v>45996</v>
      </c>
      <c r="I991">
        <v>30388</v>
      </c>
      <c r="J991" s="123" t="s">
        <v>290</v>
      </c>
      <c r="K991" s="123" t="s">
        <v>1160</v>
      </c>
      <c r="L991" s="123" t="e">
        <f>VLOOKUP(Fact_AUM_FyoCapital[[#This Row],[Dim_Empresas.CUIT]],'clientes SQL'!C:D,2,0)</f>
        <v>#N/A</v>
      </c>
    </row>
    <row r="992" spans="1:12" hidden="1" x14ac:dyDescent="0.3">
      <c r="A992">
        <v>1868797</v>
      </c>
      <c r="B992">
        <v>20251205</v>
      </c>
      <c r="C992">
        <v>12804</v>
      </c>
      <c r="D992">
        <v>0</v>
      </c>
      <c r="E992" s="123"/>
      <c r="F992" s="123"/>
      <c r="G992" s="123"/>
      <c r="H992" s="95">
        <v>45996</v>
      </c>
      <c r="I992">
        <v>36030</v>
      </c>
      <c r="J992" s="123" t="s">
        <v>504</v>
      </c>
      <c r="K992" s="123" t="s">
        <v>1196</v>
      </c>
      <c r="L992" s="123" t="e">
        <f>VLOOKUP(Fact_AUM_FyoCapital[[#This Row],[Dim_Empresas.CUIT]],'clientes SQL'!C:D,2,0)</f>
        <v>#N/A</v>
      </c>
    </row>
    <row r="993" spans="1:12" hidden="1" x14ac:dyDescent="0.3">
      <c r="A993">
        <v>1878877</v>
      </c>
      <c r="B993">
        <v>20251205</v>
      </c>
      <c r="C993">
        <v>334</v>
      </c>
      <c r="D993">
        <v>-170597.72563113604</v>
      </c>
      <c r="E993" s="123" t="s">
        <v>1566</v>
      </c>
      <c r="F993" s="123" t="s">
        <v>1578</v>
      </c>
      <c r="G993" s="123"/>
      <c r="H993" s="95">
        <v>45996</v>
      </c>
      <c r="I993">
        <v>6886</v>
      </c>
      <c r="J993" s="123" t="s">
        <v>519</v>
      </c>
      <c r="K993" s="123" t="s">
        <v>1517</v>
      </c>
      <c r="L993" s="123" t="e">
        <f>VLOOKUP(Fact_AUM_FyoCapital[[#This Row],[Dim_Empresas.CUIT]],'clientes SQL'!C:D,2,0)</f>
        <v>#N/A</v>
      </c>
    </row>
    <row r="994" spans="1:12" hidden="1" x14ac:dyDescent="0.3">
      <c r="A994">
        <v>2599409</v>
      </c>
      <c r="B994">
        <v>20251205</v>
      </c>
      <c r="C994">
        <v>15174</v>
      </c>
      <c r="D994">
        <v>45589.875525946707</v>
      </c>
      <c r="E994" s="123" t="s">
        <v>1566</v>
      </c>
      <c r="F994" s="123" t="s">
        <v>1573</v>
      </c>
      <c r="G994" s="123"/>
      <c r="H994" s="95">
        <v>45996</v>
      </c>
      <c r="I994">
        <v>37310</v>
      </c>
      <c r="J994" s="123" t="s">
        <v>1084</v>
      </c>
      <c r="K994" s="123" t="s">
        <v>1085</v>
      </c>
      <c r="L994" s="123" t="e">
        <f>VLOOKUP(Fact_AUM_FyoCapital[[#This Row],[Dim_Empresas.CUIT]],'clientes SQL'!C:D,2,0)</f>
        <v>#N/A</v>
      </c>
    </row>
    <row r="995" spans="1:12" hidden="1" x14ac:dyDescent="0.3">
      <c r="A995">
        <v>1845097</v>
      </c>
      <c r="B995">
        <v>20251205</v>
      </c>
      <c r="C995">
        <v>9936</v>
      </c>
      <c r="D995">
        <v>860.86956521739125</v>
      </c>
      <c r="E995" s="123" t="s">
        <v>1566</v>
      </c>
      <c r="F995" s="123" t="s">
        <v>1573</v>
      </c>
      <c r="G995" s="123"/>
      <c r="H995" s="95">
        <v>45996</v>
      </c>
      <c r="I995">
        <v>35436</v>
      </c>
      <c r="J995" s="123" t="s">
        <v>300</v>
      </c>
      <c r="K995" s="123" t="s">
        <v>1037</v>
      </c>
      <c r="L995" s="123" t="e">
        <f>VLOOKUP(Fact_AUM_FyoCapital[[#This Row],[Dim_Empresas.CUIT]],'clientes SQL'!C:D,2,0)</f>
        <v>#N/A</v>
      </c>
    </row>
    <row r="996" spans="1:12" hidden="1" x14ac:dyDescent="0.3">
      <c r="A996">
        <v>2604449</v>
      </c>
      <c r="B996">
        <v>20251205</v>
      </c>
      <c r="C996">
        <v>7012</v>
      </c>
      <c r="D996">
        <v>7382.3235063113607</v>
      </c>
      <c r="E996" s="123" t="s">
        <v>1568</v>
      </c>
      <c r="F996" s="123" t="s">
        <v>1572</v>
      </c>
      <c r="G996" s="123" t="s">
        <v>1583</v>
      </c>
      <c r="H996" s="95">
        <v>45996</v>
      </c>
      <c r="I996">
        <v>34708</v>
      </c>
      <c r="J996" s="123" t="s">
        <v>626</v>
      </c>
      <c r="K996" s="123" t="s">
        <v>1203</v>
      </c>
      <c r="L996" s="123" t="e">
        <f>VLOOKUP(Fact_AUM_FyoCapital[[#This Row],[Dim_Empresas.CUIT]],'clientes SQL'!C:D,2,0)</f>
        <v>#N/A</v>
      </c>
    </row>
    <row r="997" spans="1:12" hidden="1" x14ac:dyDescent="0.3">
      <c r="A997">
        <v>1827997</v>
      </c>
      <c r="B997">
        <v>20251205</v>
      </c>
      <c r="C997">
        <v>5383</v>
      </c>
      <c r="D997">
        <v>100312.42636746143</v>
      </c>
      <c r="E997" s="123" t="s">
        <v>1566</v>
      </c>
      <c r="F997" s="123" t="s">
        <v>1573</v>
      </c>
      <c r="G997" s="123"/>
      <c r="H997" s="95">
        <v>45996</v>
      </c>
      <c r="I997">
        <v>33182</v>
      </c>
      <c r="J997" s="123" t="s">
        <v>238</v>
      </c>
      <c r="K997" s="123" t="s">
        <v>1167</v>
      </c>
      <c r="L997" s="123" t="e">
        <f>VLOOKUP(Fact_AUM_FyoCapital[[#This Row],[Dim_Empresas.CUIT]],'clientes SQL'!C:D,2,0)</f>
        <v>#N/A</v>
      </c>
    </row>
    <row r="998" spans="1:12" hidden="1" x14ac:dyDescent="0.3">
      <c r="A998">
        <v>1845937</v>
      </c>
      <c r="B998">
        <v>20251205</v>
      </c>
      <c r="C998">
        <v>13275</v>
      </c>
      <c r="D998">
        <v>18698.369095371669</v>
      </c>
      <c r="E998" s="123" t="s">
        <v>1566</v>
      </c>
      <c r="F998" s="123" t="s">
        <v>1571</v>
      </c>
      <c r="G998" s="123"/>
      <c r="H998" s="95">
        <v>45996</v>
      </c>
      <c r="I998">
        <v>36459</v>
      </c>
      <c r="J998" s="123" t="s">
        <v>296</v>
      </c>
      <c r="K998" s="123" t="s">
        <v>1138</v>
      </c>
      <c r="L998" s="123" t="e">
        <f>VLOOKUP(Fact_AUM_FyoCapital[[#This Row],[Dim_Empresas.CUIT]],'clientes SQL'!C:D,2,0)</f>
        <v>#N/A</v>
      </c>
    </row>
    <row r="999" spans="1:12" hidden="1" x14ac:dyDescent="0.3">
      <c r="A999">
        <v>2622629</v>
      </c>
      <c r="B999">
        <v>20251205</v>
      </c>
      <c r="C999">
        <v>1535</v>
      </c>
      <c r="D999">
        <v>0.8</v>
      </c>
      <c r="E999" s="123" t="s">
        <v>1563</v>
      </c>
      <c r="F999" s="123" t="s">
        <v>950</v>
      </c>
      <c r="G999" s="123"/>
      <c r="H999" s="95">
        <v>45996</v>
      </c>
      <c r="I999">
        <v>19377</v>
      </c>
      <c r="J999" s="123" t="s">
        <v>390</v>
      </c>
      <c r="K999" s="123" t="s">
        <v>1297</v>
      </c>
      <c r="L999" s="123" t="e">
        <f>VLOOKUP(Fact_AUM_FyoCapital[[#This Row],[Dim_Empresas.CUIT]],'clientes SQL'!C:D,2,0)</f>
        <v>#N/A</v>
      </c>
    </row>
    <row r="1000" spans="1:12" hidden="1" x14ac:dyDescent="0.3">
      <c r="A1000">
        <v>2641769</v>
      </c>
      <c r="B1000">
        <v>20251205</v>
      </c>
      <c r="C1000">
        <v>1048</v>
      </c>
      <c r="D1000">
        <v>-126922.25516830295</v>
      </c>
      <c r="E1000" s="123" t="s">
        <v>1563</v>
      </c>
      <c r="F1000" s="123" t="s">
        <v>185</v>
      </c>
      <c r="G1000" s="123"/>
      <c r="H1000" s="95">
        <v>45996</v>
      </c>
      <c r="I1000">
        <v>2240</v>
      </c>
      <c r="J1000" s="123" t="s">
        <v>1177</v>
      </c>
      <c r="K1000" s="123" t="s">
        <v>1178</v>
      </c>
      <c r="L1000" s="123" t="e">
        <f>VLOOKUP(Fact_AUM_FyoCapital[[#This Row],[Dim_Empresas.CUIT]],'clientes SQL'!C:D,2,0)</f>
        <v>#N/A</v>
      </c>
    </row>
    <row r="1001" spans="1:12" hidden="1" x14ac:dyDescent="0.3">
      <c r="A1001">
        <v>1868917</v>
      </c>
      <c r="B1001">
        <v>20251205</v>
      </c>
      <c r="C1001">
        <v>13287</v>
      </c>
      <c r="D1001">
        <v>5.185904628330996</v>
      </c>
      <c r="E1001" s="123" t="s">
        <v>1568</v>
      </c>
      <c r="F1001" s="123" t="s">
        <v>1572</v>
      </c>
      <c r="G1001" s="123" t="s">
        <v>1570</v>
      </c>
      <c r="H1001" s="95">
        <v>45996</v>
      </c>
      <c r="I1001">
        <v>36472</v>
      </c>
      <c r="J1001" s="123" t="s">
        <v>467</v>
      </c>
      <c r="K1001" s="123" t="s">
        <v>1174</v>
      </c>
      <c r="L1001" s="123" t="e">
        <f>VLOOKUP(Fact_AUM_FyoCapital[[#This Row],[Dim_Empresas.CUIT]],'clientes SQL'!C:D,2,0)</f>
        <v>#N/A</v>
      </c>
    </row>
    <row r="1002" spans="1:12" hidden="1" x14ac:dyDescent="0.3">
      <c r="A1002">
        <v>2617469</v>
      </c>
      <c r="B1002">
        <v>20251205</v>
      </c>
      <c r="C1002">
        <v>889</v>
      </c>
      <c r="D1002">
        <v>9.8527349228611505E-3</v>
      </c>
      <c r="E1002" s="123" t="s">
        <v>1563</v>
      </c>
      <c r="F1002" s="123" t="s">
        <v>185</v>
      </c>
      <c r="G1002" s="123"/>
      <c r="H1002" s="95">
        <v>45996</v>
      </c>
      <c r="I1002">
        <v>17632</v>
      </c>
      <c r="J1002" s="123" t="s">
        <v>693</v>
      </c>
      <c r="K1002" s="123" t="s">
        <v>1494</v>
      </c>
      <c r="L1002" s="123" t="e">
        <f>VLOOKUP(Fact_AUM_FyoCapital[[#This Row],[Dim_Empresas.CUIT]],'clientes SQL'!C:D,2,0)</f>
        <v>#N/A</v>
      </c>
    </row>
    <row r="1003" spans="1:12" hidden="1" x14ac:dyDescent="0.3">
      <c r="A1003">
        <v>1845877</v>
      </c>
      <c r="B1003">
        <v>20251205</v>
      </c>
      <c r="C1003">
        <v>13275</v>
      </c>
      <c r="D1003">
        <v>11073.04</v>
      </c>
      <c r="E1003" s="123" t="s">
        <v>1566</v>
      </c>
      <c r="F1003" s="123" t="s">
        <v>1579</v>
      </c>
      <c r="G1003" s="123"/>
      <c r="H1003" s="95">
        <v>45996</v>
      </c>
      <c r="I1003">
        <v>36459</v>
      </c>
      <c r="J1003" s="123" t="s">
        <v>296</v>
      </c>
      <c r="K1003" s="123" t="s">
        <v>1138</v>
      </c>
      <c r="L1003" s="123" t="e">
        <f>VLOOKUP(Fact_AUM_FyoCapital[[#This Row],[Dim_Empresas.CUIT]],'clientes SQL'!C:D,2,0)</f>
        <v>#N/A</v>
      </c>
    </row>
    <row r="1004" spans="1:12" hidden="1" x14ac:dyDescent="0.3">
      <c r="A1004">
        <v>2599529</v>
      </c>
      <c r="B1004">
        <v>20251205</v>
      </c>
      <c r="C1004">
        <v>15174</v>
      </c>
      <c r="D1004">
        <v>35837.068723702665</v>
      </c>
      <c r="E1004" s="123" t="s">
        <v>1566</v>
      </c>
      <c r="F1004" s="123" t="s">
        <v>1580</v>
      </c>
      <c r="G1004" s="123"/>
      <c r="H1004" s="95">
        <v>45996</v>
      </c>
      <c r="I1004">
        <v>37310</v>
      </c>
      <c r="J1004" s="123" t="s">
        <v>1084</v>
      </c>
      <c r="K1004" s="123" t="s">
        <v>1085</v>
      </c>
      <c r="L1004" s="123" t="e">
        <f>VLOOKUP(Fact_AUM_FyoCapital[[#This Row],[Dim_Empresas.CUIT]],'clientes SQL'!C:D,2,0)</f>
        <v>#N/A</v>
      </c>
    </row>
    <row r="1005" spans="1:12" hidden="1" x14ac:dyDescent="0.3">
      <c r="A1005">
        <v>1883737</v>
      </c>
      <c r="B1005">
        <v>20251205</v>
      </c>
      <c r="C1005">
        <v>905</v>
      </c>
      <c r="D1005">
        <v>0</v>
      </c>
      <c r="E1005" s="123"/>
      <c r="F1005" s="123"/>
      <c r="G1005" s="123"/>
      <c r="H1005" s="95">
        <v>45996</v>
      </c>
      <c r="I1005">
        <v>18220</v>
      </c>
      <c r="J1005" s="123" t="s">
        <v>531</v>
      </c>
      <c r="K1005" s="123" t="s">
        <v>1121</v>
      </c>
      <c r="L1005" s="123" t="e">
        <f>VLOOKUP(Fact_AUM_FyoCapital[[#This Row],[Dim_Empresas.CUIT]],'clientes SQL'!C:D,2,0)</f>
        <v>#N/A</v>
      </c>
    </row>
    <row r="1006" spans="1:12" hidden="1" x14ac:dyDescent="0.3">
      <c r="A1006">
        <v>2601209</v>
      </c>
      <c r="B1006">
        <v>20251205</v>
      </c>
      <c r="C1006">
        <v>1429</v>
      </c>
      <c r="D1006">
        <v>3091.3928751753156</v>
      </c>
      <c r="E1006" s="123" t="s">
        <v>1566</v>
      </c>
      <c r="F1006" s="123" t="s">
        <v>1571</v>
      </c>
      <c r="G1006" s="123"/>
      <c r="H1006" s="95">
        <v>45996</v>
      </c>
      <c r="I1006">
        <v>19755</v>
      </c>
      <c r="J1006" s="123" t="s">
        <v>374</v>
      </c>
      <c r="K1006" s="123" t="s">
        <v>1200</v>
      </c>
      <c r="L1006" s="123" t="e">
        <f>VLOOKUP(Fact_AUM_FyoCapital[[#This Row],[Dim_Empresas.CUIT]],'clientes SQL'!C:D,2,0)</f>
        <v>#N/A</v>
      </c>
    </row>
    <row r="1007" spans="1:12" hidden="1" x14ac:dyDescent="0.3">
      <c r="A1007">
        <v>1891777</v>
      </c>
      <c r="B1007">
        <v>20251205</v>
      </c>
      <c r="C1007">
        <v>3479</v>
      </c>
      <c r="D1007">
        <v>412682.06171107996</v>
      </c>
      <c r="E1007" s="123" t="s">
        <v>1566</v>
      </c>
      <c r="F1007" s="123" t="s">
        <v>1573</v>
      </c>
      <c r="G1007" s="123"/>
      <c r="H1007" s="95">
        <v>45996</v>
      </c>
      <c r="I1007">
        <v>31936</v>
      </c>
      <c r="J1007" s="123" t="s">
        <v>456</v>
      </c>
      <c r="K1007" s="123" t="s">
        <v>1119</v>
      </c>
      <c r="L1007" s="123" t="e">
        <f>VLOOKUP(Fact_AUM_FyoCapital[[#This Row],[Dim_Empresas.CUIT]],'clientes SQL'!C:D,2,0)</f>
        <v>#N/A</v>
      </c>
    </row>
    <row r="1008" spans="1:12" hidden="1" x14ac:dyDescent="0.3">
      <c r="A1008">
        <v>1828357</v>
      </c>
      <c r="B1008">
        <v>20251205</v>
      </c>
      <c r="C1008">
        <v>5383</v>
      </c>
      <c r="D1008">
        <v>6605.0280504908833</v>
      </c>
      <c r="E1008" s="123" t="s">
        <v>1566</v>
      </c>
      <c r="F1008" s="123" t="s">
        <v>1573</v>
      </c>
      <c r="G1008" s="123"/>
      <c r="H1008" s="95">
        <v>45996</v>
      </c>
      <c r="I1008">
        <v>33182</v>
      </c>
      <c r="J1008" s="123" t="s">
        <v>238</v>
      </c>
      <c r="K1008" s="123" t="s">
        <v>1167</v>
      </c>
      <c r="L1008" s="123" t="e">
        <f>VLOOKUP(Fact_AUM_FyoCapital[[#This Row],[Dim_Empresas.CUIT]],'clientes SQL'!C:D,2,0)</f>
        <v>#N/A</v>
      </c>
    </row>
    <row r="1009" spans="1:12" hidden="1" x14ac:dyDescent="0.3">
      <c r="A1009">
        <v>1879297</v>
      </c>
      <c r="B1009">
        <v>20251205</v>
      </c>
      <c r="C1009">
        <v>2852</v>
      </c>
      <c r="D1009">
        <v>162963.07209677421</v>
      </c>
      <c r="E1009" s="123" t="s">
        <v>1568</v>
      </c>
      <c r="F1009" s="123" t="s">
        <v>1572</v>
      </c>
      <c r="G1009" s="123" t="s">
        <v>1574</v>
      </c>
      <c r="H1009" s="95">
        <v>45996</v>
      </c>
      <c r="I1009">
        <v>31192</v>
      </c>
      <c r="J1009" s="123" t="s">
        <v>509</v>
      </c>
      <c r="K1009" s="123" t="s">
        <v>1110</v>
      </c>
      <c r="L1009" s="123" t="e">
        <f>VLOOKUP(Fact_AUM_FyoCapital[[#This Row],[Dim_Empresas.CUIT]],'clientes SQL'!C:D,2,0)</f>
        <v>#N/A</v>
      </c>
    </row>
    <row r="1010" spans="1:12" hidden="1" x14ac:dyDescent="0.3">
      <c r="A1010">
        <v>2599049</v>
      </c>
      <c r="B1010">
        <v>20251205</v>
      </c>
      <c r="C1010">
        <v>15174</v>
      </c>
      <c r="D1010">
        <v>44161.136044880783</v>
      </c>
      <c r="E1010" s="123" t="s">
        <v>1566</v>
      </c>
      <c r="F1010" s="123" t="s">
        <v>1580</v>
      </c>
      <c r="G1010" s="123"/>
      <c r="H1010" s="95">
        <v>45996</v>
      </c>
      <c r="I1010">
        <v>37310</v>
      </c>
      <c r="J1010" s="123" t="s">
        <v>1084</v>
      </c>
      <c r="K1010" s="123" t="s">
        <v>1085</v>
      </c>
      <c r="L1010" s="123" t="e">
        <f>VLOOKUP(Fact_AUM_FyoCapital[[#This Row],[Dim_Empresas.CUIT]],'clientes SQL'!C:D,2,0)</f>
        <v>#N/A</v>
      </c>
    </row>
    <row r="1011" spans="1:12" hidden="1" x14ac:dyDescent="0.3">
      <c r="A1011">
        <v>1884037</v>
      </c>
      <c r="B1011">
        <v>20251205</v>
      </c>
      <c r="C1011">
        <v>905</v>
      </c>
      <c r="D1011">
        <v>448223.87333800842</v>
      </c>
      <c r="E1011" s="123" t="s">
        <v>1568</v>
      </c>
      <c r="F1011" s="123" t="s">
        <v>1572</v>
      </c>
      <c r="G1011" s="123" t="s">
        <v>1584</v>
      </c>
      <c r="H1011" s="95">
        <v>45996</v>
      </c>
      <c r="I1011">
        <v>18220</v>
      </c>
      <c r="J1011" s="123" t="s">
        <v>531</v>
      </c>
      <c r="K1011" s="123" t="s">
        <v>1121</v>
      </c>
      <c r="L1011" s="123" t="e">
        <f>VLOOKUP(Fact_AUM_FyoCapital[[#This Row],[Dim_Empresas.CUIT]],'clientes SQL'!C:D,2,0)</f>
        <v>#N/A</v>
      </c>
    </row>
    <row r="1012" spans="1:12" hidden="1" x14ac:dyDescent="0.3">
      <c r="A1012">
        <v>1827457</v>
      </c>
      <c r="B1012">
        <v>20251205</v>
      </c>
      <c r="C1012">
        <v>5383</v>
      </c>
      <c r="D1012">
        <v>18430.154277699861</v>
      </c>
      <c r="E1012" s="123" t="s">
        <v>1566</v>
      </c>
      <c r="F1012" s="123" t="s">
        <v>1573</v>
      </c>
      <c r="G1012" s="123"/>
      <c r="H1012" s="95">
        <v>45996</v>
      </c>
      <c r="I1012">
        <v>33182</v>
      </c>
      <c r="J1012" s="123" t="s">
        <v>238</v>
      </c>
      <c r="K1012" s="123" t="s">
        <v>1167</v>
      </c>
      <c r="L1012" s="123" t="e">
        <f>VLOOKUP(Fact_AUM_FyoCapital[[#This Row],[Dim_Empresas.CUIT]],'clientes SQL'!C:D,2,0)</f>
        <v>#N/A</v>
      </c>
    </row>
    <row r="1013" spans="1:12" hidden="1" x14ac:dyDescent="0.3">
      <c r="A1013">
        <v>2618609</v>
      </c>
      <c r="B1013">
        <v>20251205</v>
      </c>
      <c r="C1013">
        <v>15208</v>
      </c>
      <c r="D1013">
        <v>-15336.622622720897</v>
      </c>
      <c r="E1013" s="123" t="s">
        <v>1563</v>
      </c>
      <c r="F1013" s="123" t="s">
        <v>185</v>
      </c>
      <c r="G1013" s="123"/>
      <c r="H1013" s="95">
        <v>45996</v>
      </c>
      <c r="I1013">
        <v>37337</v>
      </c>
      <c r="J1013" s="123" t="s">
        <v>682</v>
      </c>
      <c r="K1013" s="123" t="s">
        <v>1155</v>
      </c>
      <c r="L1013" s="123" t="e">
        <f>VLOOKUP(Fact_AUM_FyoCapital[[#This Row],[Dim_Empresas.CUIT]],'clientes SQL'!C:D,2,0)</f>
        <v>#N/A</v>
      </c>
    </row>
    <row r="1014" spans="1:12" hidden="1" x14ac:dyDescent="0.3">
      <c r="A1014">
        <v>1891897</v>
      </c>
      <c r="B1014">
        <v>20251205</v>
      </c>
      <c r="C1014">
        <v>3479</v>
      </c>
      <c r="D1014">
        <v>116780.58204768584</v>
      </c>
      <c r="E1014" s="123" t="s">
        <v>1566</v>
      </c>
      <c r="F1014" s="123" t="s">
        <v>1580</v>
      </c>
      <c r="G1014" s="123"/>
      <c r="H1014" s="95">
        <v>45996</v>
      </c>
      <c r="I1014">
        <v>31936</v>
      </c>
      <c r="J1014" s="123" t="s">
        <v>456</v>
      </c>
      <c r="K1014" s="123" t="s">
        <v>1119</v>
      </c>
      <c r="L1014" s="123" t="e">
        <f>VLOOKUP(Fact_AUM_FyoCapital[[#This Row],[Dim_Empresas.CUIT]],'clientes SQL'!C:D,2,0)</f>
        <v>#N/A</v>
      </c>
    </row>
    <row r="1015" spans="1:12" hidden="1" x14ac:dyDescent="0.3">
      <c r="A1015">
        <v>1892797</v>
      </c>
      <c r="B1015">
        <v>20251205</v>
      </c>
      <c r="C1015">
        <v>3479</v>
      </c>
      <c r="D1015">
        <v>62792.538569424963</v>
      </c>
      <c r="E1015" s="123" t="s">
        <v>1566</v>
      </c>
      <c r="F1015" s="123" t="s">
        <v>1580</v>
      </c>
      <c r="G1015" s="123"/>
      <c r="H1015" s="95">
        <v>45996</v>
      </c>
      <c r="I1015">
        <v>31936</v>
      </c>
      <c r="J1015" s="123" t="s">
        <v>456</v>
      </c>
      <c r="K1015" s="123" t="s">
        <v>1119</v>
      </c>
      <c r="L1015" s="123" t="e">
        <f>VLOOKUP(Fact_AUM_FyoCapital[[#This Row],[Dim_Empresas.CUIT]],'clientes SQL'!C:D,2,0)</f>
        <v>#N/A</v>
      </c>
    </row>
    <row r="1016" spans="1:12" hidden="1" x14ac:dyDescent="0.3">
      <c r="A1016">
        <v>1831237</v>
      </c>
      <c r="B1016">
        <v>20251205</v>
      </c>
      <c r="C1016">
        <v>6154</v>
      </c>
      <c r="D1016">
        <v>145000000</v>
      </c>
      <c r="E1016" s="123" t="s">
        <v>1566</v>
      </c>
      <c r="F1016" s="123" t="s">
        <v>1579</v>
      </c>
      <c r="G1016" s="123"/>
      <c r="H1016" s="95">
        <v>45996</v>
      </c>
      <c r="I1016">
        <v>34268</v>
      </c>
      <c r="J1016" s="123" t="s">
        <v>1141</v>
      </c>
      <c r="K1016" s="123" t="s">
        <v>1142</v>
      </c>
      <c r="L1016" s="123" t="e">
        <f>VLOOKUP(Fact_AUM_FyoCapital[[#This Row],[Dim_Empresas.CUIT]],'clientes SQL'!C:D,2,0)</f>
        <v>#N/A</v>
      </c>
    </row>
    <row r="1017" spans="1:12" hidden="1" x14ac:dyDescent="0.3">
      <c r="A1017">
        <v>1894657</v>
      </c>
      <c r="B1017">
        <v>20251205</v>
      </c>
      <c r="C1017">
        <v>3176</v>
      </c>
      <c r="D1017">
        <v>1990.3404698457221</v>
      </c>
      <c r="E1017" s="123" t="s">
        <v>1566</v>
      </c>
      <c r="F1017" s="123" t="s">
        <v>1571</v>
      </c>
      <c r="G1017" s="123"/>
      <c r="H1017" s="95">
        <v>45996</v>
      </c>
      <c r="I1017">
        <v>31590</v>
      </c>
      <c r="J1017" s="123" t="s">
        <v>1044</v>
      </c>
      <c r="K1017" s="123" t="s">
        <v>1045</v>
      </c>
      <c r="L1017" s="123" t="e">
        <f>VLOOKUP(Fact_AUM_FyoCapital[[#This Row],[Dim_Empresas.CUIT]],'clientes SQL'!C:D,2,0)</f>
        <v>#N/A</v>
      </c>
    </row>
    <row r="1018" spans="1:12" hidden="1" x14ac:dyDescent="0.3">
      <c r="A1018">
        <v>2599289</v>
      </c>
      <c r="B1018">
        <v>20251205</v>
      </c>
      <c r="C1018">
        <v>15174</v>
      </c>
      <c r="D1018">
        <v>19454.15147265077</v>
      </c>
      <c r="E1018" s="123" t="s">
        <v>1566</v>
      </c>
      <c r="F1018" s="123" t="s">
        <v>1580</v>
      </c>
      <c r="G1018" s="123"/>
      <c r="H1018" s="95">
        <v>45996</v>
      </c>
      <c r="I1018">
        <v>37310</v>
      </c>
      <c r="J1018" s="123" t="s">
        <v>1084</v>
      </c>
      <c r="K1018" s="123" t="s">
        <v>1085</v>
      </c>
      <c r="L1018" s="123" t="e">
        <f>VLOOKUP(Fact_AUM_FyoCapital[[#This Row],[Dim_Empresas.CUIT]],'clientes SQL'!C:D,2,0)</f>
        <v>#N/A</v>
      </c>
    </row>
    <row r="1019" spans="1:12" hidden="1" x14ac:dyDescent="0.3">
      <c r="A1019">
        <v>1886557</v>
      </c>
      <c r="B1019">
        <v>20251205</v>
      </c>
      <c r="C1019">
        <v>6418</v>
      </c>
      <c r="D1019">
        <v>-174957.92426367462</v>
      </c>
      <c r="E1019" s="123" t="s">
        <v>1566</v>
      </c>
      <c r="F1019" s="123" t="s">
        <v>1578</v>
      </c>
      <c r="G1019" s="123"/>
      <c r="H1019" s="95">
        <v>45996</v>
      </c>
      <c r="I1019">
        <v>4368</v>
      </c>
      <c r="J1019" s="123" t="s">
        <v>1168</v>
      </c>
      <c r="K1019" s="123" t="s">
        <v>1169</v>
      </c>
      <c r="L1019" s="123" t="e">
        <f>VLOOKUP(Fact_AUM_FyoCapital[[#This Row],[Dim_Empresas.CUIT]],'clientes SQL'!C:D,2,0)</f>
        <v>#N/A</v>
      </c>
    </row>
    <row r="1020" spans="1:12" hidden="1" x14ac:dyDescent="0.3">
      <c r="A1020">
        <v>2601029</v>
      </c>
      <c r="B1020">
        <v>20251205</v>
      </c>
      <c r="C1020">
        <v>1429</v>
      </c>
      <c r="D1020">
        <v>34046.949999999997</v>
      </c>
      <c r="E1020" s="123" t="s">
        <v>1566</v>
      </c>
      <c r="F1020" s="123" t="s">
        <v>1571</v>
      </c>
      <c r="G1020" s="123"/>
      <c r="H1020" s="95">
        <v>45996</v>
      </c>
      <c r="I1020">
        <v>19755</v>
      </c>
      <c r="J1020" s="123" t="s">
        <v>374</v>
      </c>
      <c r="K1020" s="123" t="s">
        <v>1200</v>
      </c>
      <c r="L1020" s="123" t="e">
        <f>VLOOKUP(Fact_AUM_FyoCapital[[#This Row],[Dim_Empresas.CUIT]],'clientes SQL'!C:D,2,0)</f>
        <v>#N/A</v>
      </c>
    </row>
    <row r="1021" spans="1:12" hidden="1" x14ac:dyDescent="0.3">
      <c r="A1021">
        <v>1843477</v>
      </c>
      <c r="B1021">
        <v>20251205</v>
      </c>
      <c r="C1021">
        <v>9936</v>
      </c>
      <c r="D1021">
        <v>8.4268232819074331</v>
      </c>
      <c r="E1021" s="123" t="s">
        <v>1568</v>
      </c>
      <c r="F1021" s="123" t="s">
        <v>1572</v>
      </c>
      <c r="G1021" s="123" t="s">
        <v>1583</v>
      </c>
      <c r="H1021" s="95">
        <v>45996</v>
      </c>
      <c r="I1021">
        <v>35436</v>
      </c>
      <c r="J1021" s="123" t="s">
        <v>300</v>
      </c>
      <c r="K1021" s="123" t="s">
        <v>1037</v>
      </c>
      <c r="L1021" s="123" t="e">
        <f>VLOOKUP(Fact_AUM_FyoCapital[[#This Row],[Dim_Empresas.CUIT]],'clientes SQL'!C:D,2,0)</f>
        <v>#N/A</v>
      </c>
    </row>
    <row r="1022" spans="1:12" hidden="1" x14ac:dyDescent="0.3">
      <c r="A1022">
        <v>1846057</v>
      </c>
      <c r="B1022">
        <v>20251205</v>
      </c>
      <c r="C1022">
        <v>13275</v>
      </c>
      <c r="D1022">
        <v>3695.6521739130435</v>
      </c>
      <c r="E1022" s="123" t="s">
        <v>1566</v>
      </c>
      <c r="F1022" s="123" t="s">
        <v>1571</v>
      </c>
      <c r="G1022" s="123"/>
      <c r="H1022" s="95">
        <v>45996</v>
      </c>
      <c r="I1022">
        <v>36459</v>
      </c>
      <c r="J1022" s="123" t="s">
        <v>296</v>
      </c>
      <c r="K1022" s="123" t="s">
        <v>1138</v>
      </c>
      <c r="L1022" s="123" t="e">
        <f>VLOOKUP(Fact_AUM_FyoCapital[[#This Row],[Dim_Empresas.CUIT]],'clientes SQL'!C:D,2,0)</f>
        <v>#N/A</v>
      </c>
    </row>
    <row r="1023" spans="1:12" hidden="1" x14ac:dyDescent="0.3">
      <c r="A1023">
        <v>1828957</v>
      </c>
      <c r="B1023">
        <v>20251205</v>
      </c>
      <c r="C1023">
        <v>5383</v>
      </c>
      <c r="D1023">
        <v>5253.5396213183731</v>
      </c>
      <c r="E1023" s="123" t="s">
        <v>1566</v>
      </c>
      <c r="F1023" s="123" t="s">
        <v>1573</v>
      </c>
      <c r="G1023" s="123"/>
      <c r="H1023" s="95">
        <v>45996</v>
      </c>
      <c r="I1023">
        <v>33182</v>
      </c>
      <c r="J1023" s="123" t="s">
        <v>238</v>
      </c>
      <c r="K1023" s="123" t="s">
        <v>1167</v>
      </c>
      <c r="L1023" s="123" t="e">
        <f>VLOOKUP(Fact_AUM_FyoCapital[[#This Row],[Dim_Empresas.CUIT]],'clientes SQL'!C:D,2,0)</f>
        <v>#N/A</v>
      </c>
    </row>
    <row r="1024" spans="1:12" hidden="1" x14ac:dyDescent="0.3">
      <c r="A1024">
        <v>2610389</v>
      </c>
      <c r="B1024">
        <v>20251205</v>
      </c>
      <c r="C1024">
        <v>6154</v>
      </c>
      <c r="D1024">
        <v>2.4544179523141652E-4</v>
      </c>
      <c r="E1024" s="123" t="s">
        <v>1563</v>
      </c>
      <c r="F1024" s="123" t="s">
        <v>185</v>
      </c>
      <c r="G1024" s="123"/>
      <c r="H1024" s="95">
        <v>45996</v>
      </c>
      <c r="I1024">
        <v>34268</v>
      </c>
      <c r="J1024" s="123" t="s">
        <v>1141</v>
      </c>
      <c r="K1024" s="123" t="s">
        <v>1142</v>
      </c>
      <c r="L1024" s="123" t="e">
        <f>VLOOKUP(Fact_AUM_FyoCapital[[#This Row],[Dim_Empresas.CUIT]],'clientes SQL'!C:D,2,0)</f>
        <v>#N/A</v>
      </c>
    </row>
    <row r="1025" spans="1:12" hidden="1" x14ac:dyDescent="0.3">
      <c r="A1025">
        <v>1866577</v>
      </c>
      <c r="B1025">
        <v>20251205</v>
      </c>
      <c r="C1025">
        <v>4843</v>
      </c>
      <c r="D1025">
        <v>36.19530855539972</v>
      </c>
      <c r="E1025" s="123" t="s">
        <v>1568</v>
      </c>
      <c r="F1025" s="123" t="s">
        <v>1572</v>
      </c>
      <c r="G1025" s="123" t="s">
        <v>1570</v>
      </c>
      <c r="H1025" s="95">
        <v>45996</v>
      </c>
      <c r="I1025">
        <v>32972</v>
      </c>
      <c r="J1025" s="123" t="s">
        <v>1345</v>
      </c>
      <c r="K1025" s="123" t="s">
        <v>1346</v>
      </c>
      <c r="L1025" s="123" t="e">
        <f>VLOOKUP(Fact_AUM_FyoCapital[[#This Row],[Dim_Empresas.CUIT]],'clientes SQL'!C:D,2,0)</f>
        <v>#N/A</v>
      </c>
    </row>
    <row r="1026" spans="1:12" hidden="1" x14ac:dyDescent="0.3">
      <c r="A1026">
        <v>1856737</v>
      </c>
      <c r="B1026">
        <v>20251205</v>
      </c>
      <c r="C1026">
        <v>2162</v>
      </c>
      <c r="D1026">
        <v>6663.23</v>
      </c>
      <c r="E1026" s="123" t="s">
        <v>1566</v>
      </c>
      <c r="F1026" s="123" t="s">
        <v>1579</v>
      </c>
      <c r="G1026" s="123"/>
      <c r="H1026" s="95">
        <v>45996</v>
      </c>
      <c r="I1026">
        <v>30101</v>
      </c>
      <c r="J1026" s="123" t="s">
        <v>391</v>
      </c>
      <c r="K1026" s="123" t="s">
        <v>1216</v>
      </c>
      <c r="L1026" s="123" t="e">
        <f>VLOOKUP(Fact_AUM_FyoCapital[[#This Row],[Dim_Empresas.CUIT]],'clientes SQL'!C:D,2,0)</f>
        <v>#N/A</v>
      </c>
    </row>
    <row r="1027" spans="1:12" hidden="1" x14ac:dyDescent="0.3">
      <c r="A1027">
        <v>2644889</v>
      </c>
      <c r="B1027">
        <v>20251205</v>
      </c>
      <c r="C1027">
        <v>2402</v>
      </c>
      <c r="D1027">
        <v>-19.687875175315568</v>
      </c>
      <c r="E1027" s="123" t="s">
        <v>1563</v>
      </c>
      <c r="F1027" s="123" t="s">
        <v>185</v>
      </c>
      <c r="G1027" s="123"/>
      <c r="H1027" s="95">
        <v>45996</v>
      </c>
      <c r="I1027">
        <v>30584</v>
      </c>
      <c r="J1027" s="123" t="s">
        <v>1194</v>
      </c>
      <c r="K1027" s="123" t="s">
        <v>1195</v>
      </c>
      <c r="L1027" s="123" t="e">
        <f>VLOOKUP(Fact_AUM_FyoCapital[[#This Row],[Dim_Empresas.CUIT]],'clientes SQL'!C:D,2,0)</f>
        <v>#N/A</v>
      </c>
    </row>
    <row r="1028" spans="1:12" hidden="1" x14ac:dyDescent="0.3">
      <c r="A1028">
        <v>2610629</v>
      </c>
      <c r="B1028">
        <v>20251205</v>
      </c>
      <c r="C1028">
        <v>1352</v>
      </c>
      <c r="D1028">
        <v>0.25</v>
      </c>
      <c r="E1028" s="123" t="s">
        <v>1563</v>
      </c>
      <c r="F1028" s="123" t="s">
        <v>950</v>
      </c>
      <c r="G1028" s="123"/>
      <c r="H1028" s="95">
        <v>45996</v>
      </c>
      <c r="I1028">
        <v>19501</v>
      </c>
      <c r="J1028" s="123" t="s">
        <v>192</v>
      </c>
      <c r="K1028" s="123" t="s">
        <v>1129</v>
      </c>
      <c r="L1028" s="123" t="e">
        <f>VLOOKUP(Fact_AUM_FyoCapital[[#This Row],[Dim_Empresas.CUIT]],'clientes SQL'!C:D,2,0)</f>
        <v>#N/A</v>
      </c>
    </row>
    <row r="1029" spans="1:12" hidden="1" x14ac:dyDescent="0.3">
      <c r="A1029">
        <v>1883977</v>
      </c>
      <c r="B1029">
        <v>20251205</v>
      </c>
      <c r="C1029">
        <v>905</v>
      </c>
      <c r="D1029">
        <v>0.15516830294530154</v>
      </c>
      <c r="E1029" s="123" t="s">
        <v>1568</v>
      </c>
      <c r="F1029" s="123" t="s">
        <v>1572</v>
      </c>
      <c r="G1029" s="123" t="s">
        <v>1574</v>
      </c>
      <c r="H1029" s="95">
        <v>45996</v>
      </c>
      <c r="I1029">
        <v>18220</v>
      </c>
      <c r="J1029" s="123" t="s">
        <v>531</v>
      </c>
      <c r="K1029" s="123" t="s">
        <v>1121</v>
      </c>
      <c r="L1029" s="123" t="e">
        <f>VLOOKUP(Fact_AUM_FyoCapital[[#This Row],[Dim_Empresas.CUIT]],'clientes SQL'!C:D,2,0)</f>
        <v>#N/A</v>
      </c>
    </row>
    <row r="1030" spans="1:12" hidden="1" x14ac:dyDescent="0.3">
      <c r="A1030">
        <v>1894777</v>
      </c>
      <c r="B1030">
        <v>20251205</v>
      </c>
      <c r="C1030">
        <v>3176</v>
      </c>
      <c r="D1030">
        <v>2593.86</v>
      </c>
      <c r="E1030" s="123" t="s">
        <v>1566</v>
      </c>
      <c r="F1030" s="123" t="s">
        <v>1579</v>
      </c>
      <c r="G1030" s="123"/>
      <c r="H1030" s="95">
        <v>45996</v>
      </c>
      <c r="I1030">
        <v>31590</v>
      </c>
      <c r="J1030" s="123" t="s">
        <v>1044</v>
      </c>
      <c r="K1030" s="123" t="s">
        <v>1045</v>
      </c>
      <c r="L1030" s="123" t="e">
        <f>VLOOKUP(Fact_AUM_FyoCapital[[#This Row],[Dim_Empresas.CUIT]],'clientes SQL'!C:D,2,0)</f>
        <v>#N/A</v>
      </c>
    </row>
    <row r="1031" spans="1:12" hidden="1" x14ac:dyDescent="0.3">
      <c r="A1031">
        <v>2633489</v>
      </c>
      <c r="B1031">
        <v>20251205</v>
      </c>
      <c r="C1031">
        <v>905</v>
      </c>
      <c r="D1031">
        <v>9250</v>
      </c>
      <c r="E1031" s="123" t="s">
        <v>1563</v>
      </c>
      <c r="F1031" s="123" t="s">
        <v>801</v>
      </c>
      <c r="G1031" s="123"/>
      <c r="H1031" s="95">
        <v>45996</v>
      </c>
      <c r="I1031">
        <v>18220</v>
      </c>
      <c r="J1031" s="123" t="s">
        <v>531</v>
      </c>
      <c r="K1031" s="123" t="s">
        <v>1121</v>
      </c>
      <c r="L1031" s="123" t="e">
        <f>VLOOKUP(Fact_AUM_FyoCapital[[#This Row],[Dim_Empresas.CUIT]],'clientes SQL'!C:D,2,0)</f>
        <v>#N/A</v>
      </c>
    </row>
    <row r="1032" spans="1:12" hidden="1" x14ac:dyDescent="0.3">
      <c r="A1032">
        <v>1892077</v>
      </c>
      <c r="B1032">
        <v>20251205</v>
      </c>
      <c r="C1032">
        <v>3479</v>
      </c>
      <c r="D1032">
        <v>214053.29593267883</v>
      </c>
      <c r="E1032" s="123" t="s">
        <v>1566</v>
      </c>
      <c r="F1032" s="123" t="s">
        <v>1580</v>
      </c>
      <c r="G1032" s="123"/>
      <c r="H1032" s="95">
        <v>45996</v>
      </c>
      <c r="I1032">
        <v>31936</v>
      </c>
      <c r="J1032" s="123" t="s">
        <v>456</v>
      </c>
      <c r="K1032" s="123" t="s">
        <v>1119</v>
      </c>
      <c r="L1032" s="123" t="e">
        <f>VLOOKUP(Fact_AUM_FyoCapital[[#This Row],[Dim_Empresas.CUIT]],'clientes SQL'!C:D,2,0)</f>
        <v>#N/A</v>
      </c>
    </row>
    <row r="1033" spans="1:12" hidden="1" x14ac:dyDescent="0.3">
      <c r="A1033">
        <v>1831957</v>
      </c>
      <c r="B1033">
        <v>20251205</v>
      </c>
      <c r="C1033">
        <v>13267</v>
      </c>
      <c r="D1033">
        <v>22.174915848527348</v>
      </c>
      <c r="E1033" s="123" t="s">
        <v>1568</v>
      </c>
      <c r="F1033" s="123" t="s">
        <v>1572</v>
      </c>
      <c r="G1033" s="123" t="s">
        <v>1570</v>
      </c>
      <c r="H1033" s="95">
        <v>45996</v>
      </c>
      <c r="I1033">
        <v>36453</v>
      </c>
      <c r="J1033" s="123" t="s">
        <v>234</v>
      </c>
      <c r="K1033" s="123" t="s">
        <v>1251</v>
      </c>
      <c r="L1033" s="123" t="e">
        <f>VLOOKUP(Fact_AUM_FyoCapital[[#This Row],[Dim_Empresas.CUIT]],'clientes SQL'!C:D,2,0)</f>
        <v>#N/A</v>
      </c>
    </row>
    <row r="1034" spans="1:12" hidden="1" x14ac:dyDescent="0.3">
      <c r="A1034">
        <v>1901557</v>
      </c>
      <c r="B1034">
        <v>20251205</v>
      </c>
      <c r="C1034">
        <v>2173</v>
      </c>
      <c r="D1034">
        <v>2840.47</v>
      </c>
      <c r="E1034" s="123" t="s">
        <v>1566</v>
      </c>
      <c r="F1034" s="123" t="s">
        <v>1579</v>
      </c>
      <c r="G1034" s="123"/>
      <c r="H1034" s="95">
        <v>45996</v>
      </c>
      <c r="I1034">
        <v>30123</v>
      </c>
      <c r="J1034" s="123" t="s">
        <v>599</v>
      </c>
      <c r="K1034" s="123" t="s">
        <v>1125</v>
      </c>
      <c r="L1034" s="123" t="e">
        <f>VLOOKUP(Fact_AUM_FyoCapital[[#This Row],[Dim_Empresas.CUIT]],'clientes SQL'!C:D,2,0)</f>
        <v>#N/A</v>
      </c>
    </row>
    <row r="1035" spans="1:12" hidden="1" x14ac:dyDescent="0.3">
      <c r="A1035">
        <v>1862077</v>
      </c>
      <c r="B1035">
        <v>20251205</v>
      </c>
      <c r="C1035">
        <v>682</v>
      </c>
      <c r="D1035">
        <v>0</v>
      </c>
      <c r="E1035" s="123"/>
      <c r="F1035" s="123"/>
      <c r="G1035" s="123"/>
      <c r="H1035" s="95">
        <v>45996</v>
      </c>
      <c r="I1035">
        <v>9775</v>
      </c>
      <c r="J1035" s="123" t="s">
        <v>287</v>
      </c>
      <c r="K1035" s="123" t="s">
        <v>1320</v>
      </c>
      <c r="L1035" s="123" t="e">
        <f>VLOOKUP(Fact_AUM_FyoCapital[[#This Row],[Dim_Empresas.CUIT]],'clientes SQL'!C:D,2,0)</f>
        <v>#N/A</v>
      </c>
    </row>
    <row r="1036" spans="1:12" hidden="1" x14ac:dyDescent="0.3">
      <c r="A1036">
        <v>2599709</v>
      </c>
      <c r="B1036">
        <v>20251205</v>
      </c>
      <c r="C1036">
        <v>10086</v>
      </c>
      <c r="D1036">
        <v>5439.0537377279097</v>
      </c>
      <c r="E1036" s="123" t="s">
        <v>1568</v>
      </c>
      <c r="F1036" s="123" t="s">
        <v>1572</v>
      </c>
      <c r="G1036" s="123" t="s">
        <v>1570</v>
      </c>
      <c r="H1036" s="95">
        <v>45996</v>
      </c>
      <c r="I1036">
        <v>35551</v>
      </c>
      <c r="J1036" s="123" t="s">
        <v>1087</v>
      </c>
      <c r="K1036" s="123" t="s">
        <v>1088</v>
      </c>
      <c r="L1036" s="123" t="e">
        <f>VLOOKUP(Fact_AUM_FyoCapital[[#This Row],[Dim_Empresas.CUIT]],'clientes SQL'!C:D,2,0)</f>
        <v>#N/A</v>
      </c>
    </row>
    <row r="1037" spans="1:12" hidden="1" x14ac:dyDescent="0.3">
      <c r="A1037">
        <v>2640689</v>
      </c>
      <c r="B1037">
        <v>20251205</v>
      </c>
      <c r="C1037">
        <v>14997</v>
      </c>
      <c r="D1037">
        <v>1.86</v>
      </c>
      <c r="E1037" s="123" t="s">
        <v>1563</v>
      </c>
      <c r="F1037" s="123" t="s">
        <v>950</v>
      </c>
      <c r="G1037" s="123"/>
      <c r="H1037" s="95">
        <v>45996</v>
      </c>
      <c r="I1037">
        <v>37202</v>
      </c>
      <c r="J1037" s="123" t="s">
        <v>1179</v>
      </c>
      <c r="K1037" s="123" t="s">
        <v>1180</v>
      </c>
      <c r="L1037" s="123" t="e">
        <f>VLOOKUP(Fact_AUM_FyoCapital[[#This Row],[Dim_Empresas.CUIT]],'clientes SQL'!C:D,2,0)</f>
        <v>#N/A</v>
      </c>
    </row>
    <row r="1038" spans="1:12" hidden="1" x14ac:dyDescent="0.3">
      <c r="A1038">
        <v>1866457</v>
      </c>
      <c r="B1038">
        <v>20251205</v>
      </c>
      <c r="C1038">
        <v>1021</v>
      </c>
      <c r="D1038">
        <v>268212.93012622721</v>
      </c>
      <c r="E1038" s="123" t="s">
        <v>1568</v>
      </c>
      <c r="F1038" s="123" t="s">
        <v>1572</v>
      </c>
      <c r="G1038" s="123" t="s">
        <v>1570</v>
      </c>
      <c r="H1038" s="95">
        <v>45996</v>
      </c>
      <c r="I1038">
        <v>13900</v>
      </c>
      <c r="J1038" s="123" t="s">
        <v>462</v>
      </c>
      <c r="K1038" s="123" t="s">
        <v>1211</v>
      </c>
      <c r="L1038" s="123" t="e">
        <f>VLOOKUP(Fact_AUM_FyoCapital[[#This Row],[Dim_Empresas.CUIT]],'clientes SQL'!C:D,2,0)</f>
        <v>#N/A</v>
      </c>
    </row>
    <row r="1039" spans="1:12" hidden="1" x14ac:dyDescent="0.3">
      <c r="A1039">
        <v>1863877</v>
      </c>
      <c r="B1039">
        <v>20251205</v>
      </c>
      <c r="C1039">
        <v>2299</v>
      </c>
      <c r="D1039">
        <v>10486.115007012622</v>
      </c>
      <c r="E1039" s="123" t="s">
        <v>1566</v>
      </c>
      <c r="F1039" s="123" t="s">
        <v>1573</v>
      </c>
      <c r="G1039" s="123"/>
      <c r="H1039" s="95">
        <v>45996</v>
      </c>
      <c r="I1039">
        <v>30388</v>
      </c>
      <c r="J1039" s="123" t="s">
        <v>290</v>
      </c>
      <c r="K1039" s="123" t="s">
        <v>1160</v>
      </c>
      <c r="L1039" s="123" t="e">
        <f>VLOOKUP(Fact_AUM_FyoCapital[[#This Row],[Dim_Empresas.CUIT]],'clientes SQL'!C:D,2,0)</f>
        <v>#N/A</v>
      </c>
    </row>
    <row r="1040" spans="1:12" hidden="1" x14ac:dyDescent="0.3">
      <c r="A1040">
        <v>1856677</v>
      </c>
      <c r="B1040">
        <v>20251205</v>
      </c>
      <c r="C1040">
        <v>2162</v>
      </c>
      <c r="D1040">
        <v>7597.95</v>
      </c>
      <c r="E1040" s="123" t="s">
        <v>1566</v>
      </c>
      <c r="F1040" s="123" t="s">
        <v>1571</v>
      </c>
      <c r="G1040" s="123"/>
      <c r="H1040" s="95">
        <v>45996</v>
      </c>
      <c r="I1040">
        <v>30101</v>
      </c>
      <c r="J1040" s="123" t="s">
        <v>391</v>
      </c>
      <c r="K1040" s="123" t="s">
        <v>1216</v>
      </c>
      <c r="L1040" s="123" t="e">
        <f>VLOOKUP(Fact_AUM_FyoCapital[[#This Row],[Dim_Empresas.CUIT]],'clientes SQL'!C:D,2,0)</f>
        <v>#N/A</v>
      </c>
    </row>
    <row r="1041" spans="1:12" hidden="1" x14ac:dyDescent="0.3">
      <c r="A1041">
        <v>2623049</v>
      </c>
      <c r="B1041">
        <v>20251205</v>
      </c>
      <c r="C1041">
        <v>6005</v>
      </c>
      <c r="D1041">
        <v>49.28</v>
      </c>
      <c r="E1041" s="123" t="s">
        <v>1563</v>
      </c>
      <c r="F1041" s="123" t="s">
        <v>950</v>
      </c>
      <c r="G1041" s="123"/>
      <c r="H1041" s="95">
        <v>45996</v>
      </c>
      <c r="I1041">
        <v>33372</v>
      </c>
      <c r="J1041" s="123" t="s">
        <v>416</v>
      </c>
      <c r="K1041" s="123" t="s">
        <v>1186</v>
      </c>
      <c r="L1041" s="123" t="e">
        <f>VLOOKUP(Fact_AUM_FyoCapital[[#This Row],[Dim_Empresas.CUIT]],'clientes SQL'!C:D,2,0)</f>
        <v>#N/A</v>
      </c>
    </row>
    <row r="1042" spans="1:12" hidden="1" x14ac:dyDescent="0.3">
      <c r="A1042">
        <v>2631209</v>
      </c>
      <c r="B1042">
        <v>20251205</v>
      </c>
      <c r="C1042">
        <v>331</v>
      </c>
      <c r="D1042">
        <v>2.2400000000000002</v>
      </c>
      <c r="E1042" s="123" t="s">
        <v>1563</v>
      </c>
      <c r="F1042" s="123" t="s">
        <v>950</v>
      </c>
      <c r="G1042" s="123"/>
      <c r="H1042" s="95">
        <v>45996</v>
      </c>
      <c r="I1042">
        <v>652</v>
      </c>
      <c r="J1042" s="123" t="s">
        <v>447</v>
      </c>
      <c r="K1042" s="123" t="s">
        <v>1143</v>
      </c>
      <c r="L1042" s="123" t="e">
        <f>VLOOKUP(Fact_AUM_FyoCapital[[#This Row],[Dim_Empresas.CUIT]],'clientes SQL'!C:D,2,0)</f>
        <v>#N/A</v>
      </c>
    </row>
    <row r="1043" spans="1:12" hidden="1" x14ac:dyDescent="0.3">
      <c r="A1043">
        <v>2612669</v>
      </c>
      <c r="B1043">
        <v>20251205</v>
      </c>
      <c r="C1043">
        <v>7</v>
      </c>
      <c r="D1043">
        <v>-1428217.97</v>
      </c>
      <c r="E1043" s="123" t="s">
        <v>1563</v>
      </c>
      <c r="F1043" s="123" t="s">
        <v>801</v>
      </c>
      <c r="G1043" s="123"/>
      <c r="H1043" s="95">
        <v>45996</v>
      </c>
      <c r="I1043">
        <v>5181</v>
      </c>
      <c r="J1043" s="123" t="s">
        <v>212</v>
      </c>
      <c r="K1043" s="123" t="s">
        <v>1238</v>
      </c>
      <c r="L1043" s="123" t="e">
        <f>VLOOKUP(Fact_AUM_FyoCapital[[#This Row],[Dim_Empresas.CUIT]],'clientes SQL'!C:D,2,0)</f>
        <v>#N/A</v>
      </c>
    </row>
    <row r="1044" spans="1:12" hidden="1" x14ac:dyDescent="0.3">
      <c r="A1044">
        <v>1844737</v>
      </c>
      <c r="B1044">
        <v>20251205</v>
      </c>
      <c r="C1044">
        <v>12979</v>
      </c>
      <c r="D1044">
        <v>3010.5785413744738</v>
      </c>
      <c r="E1044" s="123" t="s">
        <v>1566</v>
      </c>
      <c r="F1044" s="123" t="s">
        <v>1573</v>
      </c>
      <c r="G1044" s="123"/>
      <c r="H1044" s="95">
        <v>45996</v>
      </c>
      <c r="I1044">
        <v>36187</v>
      </c>
      <c r="J1044" s="123" t="s">
        <v>311</v>
      </c>
      <c r="K1044" s="123" t="s">
        <v>1319</v>
      </c>
      <c r="L1044" s="123" t="e">
        <f>VLOOKUP(Fact_AUM_FyoCapital[[#This Row],[Dim_Empresas.CUIT]],'clientes SQL'!C:D,2,0)</f>
        <v>#N/A</v>
      </c>
    </row>
    <row r="1045" spans="1:12" hidden="1" x14ac:dyDescent="0.3">
      <c r="A1045">
        <v>1850737</v>
      </c>
      <c r="B1045">
        <v>20251205</v>
      </c>
      <c r="C1045">
        <v>1025</v>
      </c>
      <c r="D1045">
        <v>72870.75</v>
      </c>
      <c r="E1045" s="123" t="s">
        <v>1566</v>
      </c>
      <c r="F1045" s="123" t="s">
        <v>1579</v>
      </c>
      <c r="G1045" s="123"/>
      <c r="H1045" s="95">
        <v>45996</v>
      </c>
      <c r="I1045">
        <v>7356</v>
      </c>
      <c r="J1045" s="123" t="s">
        <v>245</v>
      </c>
      <c r="K1045" s="123" t="s">
        <v>1078</v>
      </c>
      <c r="L1045" s="123" t="e">
        <f>VLOOKUP(Fact_AUM_FyoCapital[[#This Row],[Dim_Empresas.CUIT]],'clientes SQL'!C:D,2,0)</f>
        <v>#N/A</v>
      </c>
    </row>
    <row r="1046" spans="1:12" hidden="1" x14ac:dyDescent="0.3">
      <c r="A1046">
        <v>2634569</v>
      </c>
      <c r="B1046">
        <v>20251205</v>
      </c>
      <c r="C1046">
        <v>13665</v>
      </c>
      <c r="D1046">
        <v>7.41</v>
      </c>
      <c r="E1046" s="123" t="s">
        <v>1563</v>
      </c>
      <c r="F1046" s="123" t="s">
        <v>950</v>
      </c>
      <c r="G1046" s="123"/>
      <c r="H1046" s="95">
        <v>45996</v>
      </c>
      <c r="I1046">
        <v>36829</v>
      </c>
      <c r="J1046" s="123" t="s">
        <v>516</v>
      </c>
      <c r="K1046" s="123" t="s">
        <v>1175</v>
      </c>
      <c r="L1046" s="123" t="e">
        <f>VLOOKUP(Fact_AUM_FyoCapital[[#This Row],[Dim_Empresas.CUIT]],'clientes SQL'!C:D,2,0)</f>
        <v>#N/A</v>
      </c>
    </row>
    <row r="1047" spans="1:12" hidden="1" x14ac:dyDescent="0.3">
      <c r="A1047">
        <v>1891657</v>
      </c>
      <c r="B1047">
        <v>20251205</v>
      </c>
      <c r="C1047">
        <v>3479</v>
      </c>
      <c r="D1047">
        <v>35922.303646563814</v>
      </c>
      <c r="E1047" s="123" t="s">
        <v>1566</v>
      </c>
      <c r="F1047" s="123" t="s">
        <v>1573</v>
      </c>
      <c r="G1047" s="123"/>
      <c r="H1047" s="95">
        <v>45996</v>
      </c>
      <c r="I1047">
        <v>31936</v>
      </c>
      <c r="J1047" s="123" t="s">
        <v>456</v>
      </c>
      <c r="K1047" s="123" t="s">
        <v>1119</v>
      </c>
      <c r="L1047" s="123" t="e">
        <f>VLOOKUP(Fact_AUM_FyoCapital[[#This Row],[Dim_Empresas.CUIT]],'clientes SQL'!C:D,2,0)</f>
        <v>#N/A</v>
      </c>
    </row>
    <row r="1048" spans="1:12" hidden="1" x14ac:dyDescent="0.3">
      <c r="A1048">
        <v>2608469</v>
      </c>
      <c r="B1048">
        <v>20251205</v>
      </c>
      <c r="C1048">
        <v>1277</v>
      </c>
      <c r="D1048">
        <v>1.82328190743338E-4</v>
      </c>
      <c r="E1048" s="123" t="s">
        <v>1563</v>
      </c>
      <c r="F1048" s="123" t="s">
        <v>185</v>
      </c>
      <c r="G1048" s="123"/>
      <c r="H1048" s="95">
        <v>45996</v>
      </c>
      <c r="I1048">
        <v>19100</v>
      </c>
      <c r="J1048" s="123" t="s">
        <v>254</v>
      </c>
      <c r="K1048" s="123" t="s">
        <v>1240</v>
      </c>
      <c r="L1048" s="123" t="e">
        <f>VLOOKUP(Fact_AUM_FyoCapital[[#This Row],[Dim_Empresas.CUIT]],'clientes SQL'!C:D,2,0)</f>
        <v>#N/A</v>
      </c>
    </row>
    <row r="1049" spans="1:12" hidden="1" x14ac:dyDescent="0.3">
      <c r="A1049">
        <v>1850497</v>
      </c>
      <c r="B1049">
        <v>20251205</v>
      </c>
      <c r="C1049">
        <v>858</v>
      </c>
      <c r="D1049">
        <v>75.17</v>
      </c>
      <c r="E1049" s="123" t="s">
        <v>1568</v>
      </c>
      <c r="F1049" s="123" t="s">
        <v>1572</v>
      </c>
      <c r="G1049" s="123" t="s">
        <v>1570</v>
      </c>
      <c r="H1049" s="95">
        <v>45996</v>
      </c>
      <c r="I1049">
        <v>17832</v>
      </c>
      <c r="J1049" s="123" t="s">
        <v>1139</v>
      </c>
      <c r="K1049" s="123" t="s">
        <v>1140</v>
      </c>
      <c r="L1049" s="123" t="e">
        <f>VLOOKUP(Fact_AUM_FyoCapital[[#This Row],[Dim_Empresas.CUIT]],'clientes SQL'!C:D,2,0)</f>
        <v>#N/A</v>
      </c>
    </row>
    <row r="1050" spans="1:12" hidden="1" x14ac:dyDescent="0.3">
      <c r="A1050">
        <v>2606909</v>
      </c>
      <c r="B1050">
        <v>20251205</v>
      </c>
      <c r="C1050">
        <v>4807</v>
      </c>
      <c r="D1050">
        <v>17906.609186535763</v>
      </c>
      <c r="E1050" s="123" t="s">
        <v>1568</v>
      </c>
      <c r="F1050" s="123" t="s">
        <v>1569</v>
      </c>
      <c r="G1050" s="123" t="s">
        <v>1570</v>
      </c>
      <c r="H1050" s="95">
        <v>45996</v>
      </c>
      <c r="I1050">
        <v>32682</v>
      </c>
      <c r="J1050" s="123" t="s">
        <v>1588</v>
      </c>
      <c r="K1050" s="123" t="s">
        <v>1589</v>
      </c>
      <c r="L1050" s="123" t="e">
        <f>VLOOKUP(Fact_AUM_FyoCapital[[#This Row],[Dim_Empresas.CUIT]],'clientes SQL'!C:D,2,0)</f>
        <v>#N/A</v>
      </c>
    </row>
    <row r="1051" spans="1:12" hidden="1" x14ac:dyDescent="0.3">
      <c r="A1051">
        <v>1897057</v>
      </c>
      <c r="B1051">
        <v>20251205</v>
      </c>
      <c r="C1051">
        <v>10253</v>
      </c>
      <c r="D1051">
        <v>13.330995792426368</v>
      </c>
      <c r="E1051" s="123" t="s">
        <v>1566</v>
      </c>
      <c r="F1051" s="123" t="s">
        <v>1573</v>
      </c>
      <c r="G1051" s="123"/>
      <c r="H1051" s="95">
        <v>45996</v>
      </c>
      <c r="I1051">
        <v>35643</v>
      </c>
      <c r="J1051" s="123" t="s">
        <v>603</v>
      </c>
      <c r="K1051" s="123" t="s">
        <v>1220</v>
      </c>
      <c r="L1051" s="123" t="e">
        <f>VLOOKUP(Fact_AUM_FyoCapital[[#This Row],[Dim_Empresas.CUIT]],'clientes SQL'!C:D,2,0)</f>
        <v>#N/A</v>
      </c>
    </row>
    <row r="1052" spans="1:12" hidden="1" x14ac:dyDescent="0.3">
      <c r="A1052">
        <v>1856497</v>
      </c>
      <c r="B1052">
        <v>20251205</v>
      </c>
      <c r="C1052">
        <v>10207</v>
      </c>
      <c r="D1052">
        <v>292607.02281206171</v>
      </c>
      <c r="E1052" s="123" t="s">
        <v>1568</v>
      </c>
      <c r="F1052" s="123" t="s">
        <v>1572</v>
      </c>
      <c r="G1052" s="123" t="s">
        <v>1574</v>
      </c>
      <c r="H1052" s="95">
        <v>45996</v>
      </c>
      <c r="I1052">
        <v>32413</v>
      </c>
      <c r="J1052" s="123" t="s">
        <v>407</v>
      </c>
      <c r="K1052" s="123" t="s">
        <v>1109</v>
      </c>
      <c r="L1052" s="123" t="e">
        <f>VLOOKUP(Fact_AUM_FyoCapital[[#This Row],[Dim_Empresas.CUIT]],'clientes SQL'!C:D,2,0)</f>
        <v>#N/A</v>
      </c>
    </row>
    <row r="1053" spans="1:12" hidden="1" x14ac:dyDescent="0.3">
      <c r="A1053">
        <v>2601089</v>
      </c>
      <c r="B1053">
        <v>20251205</v>
      </c>
      <c r="C1053">
        <v>1429</v>
      </c>
      <c r="D1053">
        <v>1951.4</v>
      </c>
      <c r="E1053" s="123" t="s">
        <v>1566</v>
      </c>
      <c r="F1053" s="123" t="s">
        <v>1571</v>
      </c>
      <c r="G1053" s="123"/>
      <c r="H1053" s="95">
        <v>45996</v>
      </c>
      <c r="I1053">
        <v>19755</v>
      </c>
      <c r="J1053" s="123" t="s">
        <v>374</v>
      </c>
      <c r="K1053" s="123" t="s">
        <v>1200</v>
      </c>
      <c r="L1053" s="123" t="e">
        <f>VLOOKUP(Fact_AUM_FyoCapital[[#This Row],[Dim_Empresas.CUIT]],'clientes SQL'!C:D,2,0)</f>
        <v>#N/A</v>
      </c>
    </row>
    <row r="1054" spans="1:12" hidden="1" x14ac:dyDescent="0.3">
      <c r="A1054">
        <v>2617829</v>
      </c>
      <c r="B1054">
        <v>20251205</v>
      </c>
      <c r="C1054">
        <v>13275</v>
      </c>
      <c r="D1054">
        <v>123.48</v>
      </c>
      <c r="E1054" s="123" t="s">
        <v>1563</v>
      </c>
      <c r="F1054" s="123" t="s">
        <v>950</v>
      </c>
      <c r="G1054" s="123"/>
      <c r="H1054" s="95">
        <v>45996</v>
      </c>
      <c r="I1054">
        <v>36459</v>
      </c>
      <c r="J1054" s="123" t="s">
        <v>296</v>
      </c>
      <c r="K1054" s="123" t="s">
        <v>1138</v>
      </c>
      <c r="L1054" s="123" t="e">
        <f>VLOOKUP(Fact_AUM_FyoCapital[[#This Row],[Dim_Empresas.CUIT]],'clientes SQL'!C:D,2,0)</f>
        <v>#N/A</v>
      </c>
    </row>
    <row r="1055" spans="1:12" hidden="1" x14ac:dyDescent="0.3">
      <c r="A1055">
        <v>1844977</v>
      </c>
      <c r="B1055">
        <v>20251205</v>
      </c>
      <c r="C1055">
        <v>9936</v>
      </c>
      <c r="D1055">
        <v>5136.05</v>
      </c>
      <c r="E1055" s="123" t="s">
        <v>1566</v>
      </c>
      <c r="F1055" s="123" t="s">
        <v>1579</v>
      </c>
      <c r="G1055" s="123"/>
      <c r="H1055" s="95">
        <v>45996</v>
      </c>
      <c r="I1055">
        <v>35436</v>
      </c>
      <c r="J1055" s="123" t="s">
        <v>300</v>
      </c>
      <c r="K1055" s="123" t="s">
        <v>1037</v>
      </c>
      <c r="L1055" s="123" t="e">
        <f>VLOOKUP(Fact_AUM_FyoCapital[[#This Row],[Dim_Empresas.CUIT]],'clientes SQL'!C:D,2,0)</f>
        <v>#N/A</v>
      </c>
    </row>
    <row r="1056" spans="1:12" hidden="1" x14ac:dyDescent="0.3">
      <c r="A1056">
        <v>2606969</v>
      </c>
      <c r="B1056">
        <v>20251205</v>
      </c>
      <c r="C1056">
        <v>4807</v>
      </c>
      <c r="D1056">
        <v>23400.723920056102</v>
      </c>
      <c r="E1056" s="123" t="s">
        <v>1568</v>
      </c>
      <c r="F1056" s="123" t="s">
        <v>1572</v>
      </c>
      <c r="G1056" s="123" t="s">
        <v>1583</v>
      </c>
      <c r="H1056" s="95">
        <v>45996</v>
      </c>
      <c r="I1056">
        <v>32682</v>
      </c>
      <c r="J1056" s="123" t="s">
        <v>1588</v>
      </c>
      <c r="K1056" s="123" t="s">
        <v>1589</v>
      </c>
      <c r="L1056" s="123" t="e">
        <f>VLOOKUP(Fact_AUM_FyoCapital[[#This Row],[Dim_Empresas.CUIT]],'clientes SQL'!C:D,2,0)</f>
        <v>#N/A</v>
      </c>
    </row>
    <row r="1057" spans="1:12" hidden="1" x14ac:dyDescent="0.3">
      <c r="A1057">
        <v>1827757</v>
      </c>
      <c r="B1057">
        <v>20251205</v>
      </c>
      <c r="C1057">
        <v>5383</v>
      </c>
      <c r="D1057">
        <v>2178.537868162693</v>
      </c>
      <c r="E1057" s="123" t="s">
        <v>1566</v>
      </c>
      <c r="F1057" s="123" t="s">
        <v>1573</v>
      </c>
      <c r="G1057" s="123"/>
      <c r="H1057" s="95">
        <v>45996</v>
      </c>
      <c r="I1057">
        <v>33182</v>
      </c>
      <c r="J1057" s="123" t="s">
        <v>238</v>
      </c>
      <c r="K1057" s="123" t="s">
        <v>1167</v>
      </c>
      <c r="L1057" s="123" t="e">
        <f>VLOOKUP(Fact_AUM_FyoCapital[[#This Row],[Dim_Empresas.CUIT]],'clientes SQL'!C:D,2,0)</f>
        <v>#N/A</v>
      </c>
    </row>
    <row r="1058" spans="1:12" hidden="1" x14ac:dyDescent="0.3">
      <c r="A1058">
        <v>2635349</v>
      </c>
      <c r="B1058">
        <v>20251205</v>
      </c>
      <c r="C1058">
        <v>2783</v>
      </c>
      <c r="D1058">
        <v>-1.2426016830294531</v>
      </c>
      <c r="E1058" s="123" t="s">
        <v>1563</v>
      </c>
      <c r="F1058" s="123" t="s">
        <v>185</v>
      </c>
      <c r="G1058" s="123"/>
      <c r="H1058" s="95">
        <v>45996</v>
      </c>
      <c r="I1058">
        <v>31085</v>
      </c>
      <c r="J1058" s="123" t="s">
        <v>1234</v>
      </c>
      <c r="K1058" s="123" t="s">
        <v>1235</v>
      </c>
      <c r="L1058" s="123" t="e">
        <f>VLOOKUP(Fact_AUM_FyoCapital[[#This Row],[Dim_Empresas.CUIT]],'clientes SQL'!C:D,2,0)</f>
        <v>#N/A</v>
      </c>
    </row>
    <row r="1059" spans="1:12" hidden="1" x14ac:dyDescent="0.3">
      <c r="A1059">
        <v>2612309</v>
      </c>
      <c r="B1059">
        <v>20251205</v>
      </c>
      <c r="C1059">
        <v>16773</v>
      </c>
      <c r="D1059">
        <v>9.2657924263674616</v>
      </c>
      <c r="E1059" s="123" t="s">
        <v>1563</v>
      </c>
      <c r="F1059" s="123" t="s">
        <v>185</v>
      </c>
      <c r="G1059" s="123"/>
      <c r="H1059" s="95">
        <v>45996</v>
      </c>
      <c r="I1059">
        <v>38070</v>
      </c>
      <c r="J1059" s="123" t="s">
        <v>1505</v>
      </c>
      <c r="K1059" s="123" t="s">
        <v>1506</v>
      </c>
      <c r="L1059" s="123" t="e">
        <f>VLOOKUP(Fact_AUM_FyoCapital[[#This Row],[Dim_Empresas.CUIT]],'clientes SQL'!C:D,2,0)</f>
        <v>#N/A</v>
      </c>
    </row>
    <row r="1060" spans="1:12" hidden="1" x14ac:dyDescent="0.3">
      <c r="A1060">
        <v>1854517</v>
      </c>
      <c r="B1060">
        <v>20251205</v>
      </c>
      <c r="C1060">
        <v>5858</v>
      </c>
      <c r="D1060">
        <v>24944.38</v>
      </c>
      <c r="E1060" s="123" t="s">
        <v>1568</v>
      </c>
      <c r="F1060" s="123" t="s">
        <v>1572</v>
      </c>
      <c r="G1060" s="123" t="s">
        <v>1584</v>
      </c>
      <c r="H1060" s="95">
        <v>45996</v>
      </c>
      <c r="I1060">
        <v>34098</v>
      </c>
      <c r="J1060" s="123" t="s">
        <v>393</v>
      </c>
      <c r="K1060" s="123" t="s">
        <v>1144</v>
      </c>
      <c r="L1060" s="123" t="e">
        <f>VLOOKUP(Fact_AUM_FyoCapital[[#This Row],[Dim_Empresas.CUIT]],'clientes SQL'!C:D,2,0)</f>
        <v>#N/A</v>
      </c>
    </row>
    <row r="1061" spans="1:12" hidden="1" x14ac:dyDescent="0.3">
      <c r="A1061">
        <v>2642429</v>
      </c>
      <c r="B1061">
        <v>20251205</v>
      </c>
      <c r="C1061">
        <v>640</v>
      </c>
      <c r="D1061">
        <v>-521.20076437587659</v>
      </c>
      <c r="E1061" s="123" t="s">
        <v>1563</v>
      </c>
      <c r="F1061" s="123" t="s">
        <v>185</v>
      </c>
      <c r="G1061" s="123"/>
      <c r="H1061" s="95">
        <v>45996</v>
      </c>
      <c r="I1061">
        <v>8261</v>
      </c>
      <c r="J1061" s="123" t="s">
        <v>431</v>
      </c>
      <c r="K1061" s="123" t="s">
        <v>1192</v>
      </c>
      <c r="L1061" s="123" t="e">
        <f>VLOOKUP(Fact_AUM_FyoCapital[[#This Row],[Dim_Empresas.CUIT]],'clientes SQL'!C:D,2,0)</f>
        <v>#N/A</v>
      </c>
    </row>
    <row r="1062" spans="1:12" hidden="1" x14ac:dyDescent="0.3">
      <c r="A1062">
        <v>1831417</v>
      </c>
      <c r="B1062">
        <v>20251205</v>
      </c>
      <c r="C1062">
        <v>6154</v>
      </c>
      <c r="D1062">
        <v>0</v>
      </c>
      <c r="E1062" s="123"/>
      <c r="F1062" s="123"/>
      <c r="G1062" s="123"/>
      <c r="H1062" s="95">
        <v>45996</v>
      </c>
      <c r="I1062">
        <v>34268</v>
      </c>
      <c r="J1062" s="123" t="s">
        <v>1141</v>
      </c>
      <c r="K1062" s="123" t="s">
        <v>1142</v>
      </c>
      <c r="L1062" s="123" t="e">
        <f>VLOOKUP(Fact_AUM_FyoCapital[[#This Row],[Dim_Empresas.CUIT]],'clientes SQL'!C:D,2,0)</f>
        <v>#N/A</v>
      </c>
    </row>
    <row r="1063" spans="1:12" hidden="1" x14ac:dyDescent="0.3">
      <c r="A1063">
        <v>2601269</v>
      </c>
      <c r="B1063">
        <v>20251205</v>
      </c>
      <c r="C1063">
        <v>1429</v>
      </c>
      <c r="D1063">
        <v>41127.439453015424</v>
      </c>
      <c r="E1063" s="123" t="s">
        <v>1568</v>
      </c>
      <c r="F1063" s="123" t="s">
        <v>1572</v>
      </c>
      <c r="G1063" s="123" t="s">
        <v>1570</v>
      </c>
      <c r="H1063" s="95">
        <v>45996</v>
      </c>
      <c r="I1063">
        <v>19755</v>
      </c>
      <c r="J1063" s="123" t="s">
        <v>374</v>
      </c>
      <c r="K1063" s="123" t="s">
        <v>1200</v>
      </c>
      <c r="L1063" s="123" t="e">
        <f>VLOOKUP(Fact_AUM_FyoCapital[[#This Row],[Dim_Empresas.CUIT]],'clientes SQL'!C:D,2,0)</f>
        <v>#N/A</v>
      </c>
    </row>
    <row r="1064" spans="1:12" hidden="1" x14ac:dyDescent="0.3">
      <c r="A1064">
        <v>2614589</v>
      </c>
      <c r="B1064">
        <v>20251205</v>
      </c>
      <c r="C1064">
        <v>4025</v>
      </c>
      <c r="D1064">
        <v>1.1615708274894812</v>
      </c>
      <c r="E1064" s="123" t="s">
        <v>1563</v>
      </c>
      <c r="F1064" s="123" t="s">
        <v>185</v>
      </c>
      <c r="G1064" s="123"/>
      <c r="H1064" s="95">
        <v>45996</v>
      </c>
      <c r="I1064">
        <v>32623</v>
      </c>
      <c r="J1064" s="123" t="s">
        <v>335</v>
      </c>
      <c r="K1064" s="123" t="s">
        <v>1124</v>
      </c>
      <c r="L1064" s="123" t="e">
        <f>VLOOKUP(Fact_AUM_FyoCapital[[#This Row],[Dim_Empresas.CUIT]],'clientes SQL'!C:D,2,0)</f>
        <v>#N/A</v>
      </c>
    </row>
    <row r="1065" spans="1:12" hidden="1" x14ac:dyDescent="0.3">
      <c r="A1065">
        <v>1834837</v>
      </c>
      <c r="B1065">
        <v>20251205</v>
      </c>
      <c r="C1065">
        <v>16773</v>
      </c>
      <c r="D1065">
        <v>3277.62</v>
      </c>
      <c r="E1065" s="123" t="s">
        <v>1566</v>
      </c>
      <c r="F1065" s="123" t="s">
        <v>1571</v>
      </c>
      <c r="G1065" s="123"/>
      <c r="H1065" s="95">
        <v>45996</v>
      </c>
      <c r="I1065">
        <v>38070</v>
      </c>
      <c r="J1065" s="123" t="s">
        <v>1505</v>
      </c>
      <c r="K1065" s="123" t="s">
        <v>1506</v>
      </c>
      <c r="L1065" s="123" t="e">
        <f>VLOOKUP(Fact_AUM_FyoCapital[[#This Row],[Dim_Empresas.CUIT]],'clientes SQL'!C:D,2,0)</f>
        <v>#N/A</v>
      </c>
    </row>
    <row r="1066" spans="1:12" hidden="1" x14ac:dyDescent="0.3">
      <c r="A1066">
        <v>1901437</v>
      </c>
      <c r="B1066">
        <v>20251205</v>
      </c>
      <c r="C1066">
        <v>2173</v>
      </c>
      <c r="D1066">
        <v>896.21318373071529</v>
      </c>
      <c r="E1066" s="123" t="s">
        <v>1566</v>
      </c>
      <c r="F1066" s="123" t="s">
        <v>1573</v>
      </c>
      <c r="G1066" s="123"/>
      <c r="H1066" s="95">
        <v>45996</v>
      </c>
      <c r="I1066">
        <v>30123</v>
      </c>
      <c r="J1066" s="123" t="s">
        <v>599</v>
      </c>
      <c r="K1066" s="123" t="s">
        <v>1125</v>
      </c>
      <c r="L1066" s="123" t="e">
        <f>VLOOKUP(Fact_AUM_FyoCapital[[#This Row],[Dim_Empresas.CUIT]],'clientes SQL'!C:D,2,0)</f>
        <v>#N/A</v>
      </c>
    </row>
    <row r="1067" spans="1:12" hidden="1" x14ac:dyDescent="0.3">
      <c r="A1067">
        <v>1878757</v>
      </c>
      <c r="B1067">
        <v>20251205</v>
      </c>
      <c r="C1067">
        <v>334</v>
      </c>
      <c r="D1067">
        <v>-136478.18050490884</v>
      </c>
      <c r="E1067" s="123" t="s">
        <v>1566</v>
      </c>
      <c r="F1067" s="123" t="s">
        <v>1578</v>
      </c>
      <c r="G1067" s="123"/>
      <c r="H1067" s="95">
        <v>45996</v>
      </c>
      <c r="I1067">
        <v>6886</v>
      </c>
      <c r="J1067" s="123" t="s">
        <v>519</v>
      </c>
      <c r="K1067" s="123" t="s">
        <v>1517</v>
      </c>
      <c r="L1067" s="123" t="e">
        <f>VLOOKUP(Fact_AUM_FyoCapital[[#This Row],[Dim_Empresas.CUIT]],'clientes SQL'!C:D,2,0)</f>
        <v>#N/A</v>
      </c>
    </row>
    <row r="1068" spans="1:12" hidden="1" x14ac:dyDescent="0.3">
      <c r="A1068">
        <v>1866637</v>
      </c>
      <c r="B1068">
        <v>20251205</v>
      </c>
      <c r="C1068">
        <v>2393</v>
      </c>
      <c r="D1068">
        <v>47073.356690042077</v>
      </c>
      <c r="E1068" s="123" t="s">
        <v>1566</v>
      </c>
      <c r="F1068" s="123" t="s">
        <v>1571</v>
      </c>
      <c r="G1068" s="123"/>
      <c r="H1068" s="95">
        <v>45996</v>
      </c>
      <c r="I1068">
        <v>30570</v>
      </c>
      <c r="J1068" s="123" t="s">
        <v>480</v>
      </c>
      <c r="K1068" s="123" t="s">
        <v>1379</v>
      </c>
      <c r="L1068" s="123" t="e">
        <f>VLOOKUP(Fact_AUM_FyoCapital[[#This Row],[Dim_Empresas.CUIT]],'clientes SQL'!C:D,2,0)</f>
        <v>#N/A</v>
      </c>
    </row>
    <row r="1069" spans="1:12" hidden="1" x14ac:dyDescent="0.3">
      <c r="A1069">
        <v>1847797</v>
      </c>
      <c r="B1069">
        <v>20251205</v>
      </c>
      <c r="C1069">
        <v>13761</v>
      </c>
      <c r="D1069">
        <v>2169.5231416549791</v>
      </c>
      <c r="E1069" s="123" t="s">
        <v>1566</v>
      </c>
      <c r="F1069" s="123" t="s">
        <v>1580</v>
      </c>
      <c r="G1069" s="123"/>
      <c r="H1069" s="95">
        <v>45996</v>
      </c>
      <c r="I1069">
        <v>36914</v>
      </c>
      <c r="J1069" s="123" t="s">
        <v>315</v>
      </c>
      <c r="K1069" s="123" t="s">
        <v>1106</v>
      </c>
      <c r="L1069" s="123" t="e">
        <f>VLOOKUP(Fact_AUM_FyoCapital[[#This Row],[Dim_Empresas.CUIT]],'clientes SQL'!C:D,2,0)</f>
        <v>#N/A</v>
      </c>
    </row>
    <row r="1070" spans="1:12" hidden="1" x14ac:dyDescent="0.3">
      <c r="A1070">
        <v>1846237</v>
      </c>
      <c r="B1070">
        <v>20251205</v>
      </c>
      <c r="C1070">
        <v>13275</v>
      </c>
      <c r="D1070">
        <v>6061.87899719495</v>
      </c>
      <c r="E1070" s="123" t="s">
        <v>1566</v>
      </c>
      <c r="F1070" s="123" t="s">
        <v>1571</v>
      </c>
      <c r="G1070" s="123"/>
      <c r="H1070" s="95">
        <v>45996</v>
      </c>
      <c r="I1070">
        <v>36459</v>
      </c>
      <c r="J1070" s="123" t="s">
        <v>296</v>
      </c>
      <c r="K1070" s="123" t="s">
        <v>1138</v>
      </c>
      <c r="L1070" s="123" t="e">
        <f>VLOOKUP(Fact_AUM_FyoCapital[[#This Row],[Dim_Empresas.CUIT]],'clientes SQL'!C:D,2,0)</f>
        <v>#N/A</v>
      </c>
    </row>
    <row r="1071" spans="1:12" hidden="1" x14ac:dyDescent="0.3">
      <c r="A1071">
        <v>1871137</v>
      </c>
      <c r="B1071">
        <v>20251205</v>
      </c>
      <c r="C1071">
        <v>2177</v>
      </c>
      <c r="D1071">
        <v>9.0416339410939699</v>
      </c>
      <c r="E1071" s="123" t="s">
        <v>1568</v>
      </c>
      <c r="F1071" s="123" t="s">
        <v>1572</v>
      </c>
      <c r="G1071" s="123" t="s">
        <v>1570</v>
      </c>
      <c r="H1071" s="95">
        <v>45996</v>
      </c>
      <c r="I1071">
        <v>30133</v>
      </c>
      <c r="J1071" s="123" t="s">
        <v>1323</v>
      </c>
      <c r="K1071" s="123" t="s">
        <v>1324</v>
      </c>
      <c r="L1071" s="123" t="e">
        <f>VLOOKUP(Fact_AUM_FyoCapital[[#This Row],[Dim_Empresas.CUIT]],'clientes SQL'!C:D,2,0)</f>
        <v>#N/A</v>
      </c>
    </row>
    <row r="1072" spans="1:12" hidden="1" x14ac:dyDescent="0.3">
      <c r="A1072">
        <v>1893817</v>
      </c>
      <c r="B1072">
        <v>20251205</v>
      </c>
      <c r="C1072">
        <v>2225</v>
      </c>
      <c r="D1072">
        <v>25861.220196353435</v>
      </c>
      <c r="E1072" s="123" t="s">
        <v>1566</v>
      </c>
      <c r="F1072" s="123" t="s">
        <v>1571</v>
      </c>
      <c r="G1072" s="123"/>
      <c r="H1072" s="95">
        <v>45996</v>
      </c>
      <c r="I1072">
        <v>30253</v>
      </c>
      <c r="J1072" s="123" t="s">
        <v>577</v>
      </c>
      <c r="K1072" s="123" t="s">
        <v>1217</v>
      </c>
      <c r="L1072" s="123" t="e">
        <f>VLOOKUP(Fact_AUM_FyoCapital[[#This Row],[Dim_Empresas.CUIT]],'clientes SQL'!C:D,2,0)</f>
        <v>#N/A</v>
      </c>
    </row>
    <row r="1073" spans="1:12" hidden="1" x14ac:dyDescent="0.3">
      <c r="A1073">
        <v>1825597</v>
      </c>
      <c r="B1073">
        <v>20251205</v>
      </c>
      <c r="C1073">
        <v>1277</v>
      </c>
      <c r="D1073">
        <v>0</v>
      </c>
      <c r="E1073" s="123"/>
      <c r="F1073" s="123"/>
      <c r="G1073" s="123"/>
      <c r="H1073" s="95">
        <v>45996</v>
      </c>
      <c r="I1073">
        <v>19100</v>
      </c>
      <c r="J1073" s="123" t="s">
        <v>254</v>
      </c>
      <c r="K1073" s="123" t="s">
        <v>1240</v>
      </c>
      <c r="L1073" s="123" t="e">
        <f>VLOOKUP(Fact_AUM_FyoCapital[[#This Row],[Dim_Empresas.CUIT]],'clientes SQL'!C:D,2,0)</f>
        <v>#N/A</v>
      </c>
    </row>
    <row r="1074" spans="1:12" hidden="1" x14ac:dyDescent="0.3">
      <c r="A1074">
        <v>2609069</v>
      </c>
      <c r="B1074">
        <v>20251205</v>
      </c>
      <c r="C1074">
        <v>1075</v>
      </c>
      <c r="D1074">
        <v>-13.448029453015428</v>
      </c>
      <c r="E1074" s="123" t="s">
        <v>1563</v>
      </c>
      <c r="F1074" s="123" t="s">
        <v>185</v>
      </c>
      <c r="G1074" s="123"/>
      <c r="H1074" s="95">
        <v>45996</v>
      </c>
      <c r="I1074">
        <v>18781</v>
      </c>
      <c r="J1074" s="123" t="s">
        <v>242</v>
      </c>
      <c r="K1074" s="123" t="s">
        <v>1187</v>
      </c>
      <c r="L1074" s="123" t="e">
        <f>VLOOKUP(Fact_AUM_FyoCapital[[#This Row],[Dim_Empresas.CUIT]],'clientes SQL'!C:D,2,0)</f>
        <v>#N/A</v>
      </c>
    </row>
    <row r="1075" spans="1:12" hidden="1" x14ac:dyDescent="0.3">
      <c r="A1075">
        <v>1846117</v>
      </c>
      <c r="B1075">
        <v>20251205</v>
      </c>
      <c r="C1075">
        <v>13275</v>
      </c>
      <c r="D1075">
        <v>20028.05049088359</v>
      </c>
      <c r="E1075" s="123" t="s">
        <v>1566</v>
      </c>
      <c r="F1075" s="123" t="s">
        <v>1571</v>
      </c>
      <c r="G1075" s="123"/>
      <c r="H1075" s="95">
        <v>45996</v>
      </c>
      <c r="I1075">
        <v>36459</v>
      </c>
      <c r="J1075" s="123" t="s">
        <v>296</v>
      </c>
      <c r="K1075" s="123" t="s">
        <v>1138</v>
      </c>
      <c r="L1075" s="123" t="e">
        <f>VLOOKUP(Fact_AUM_FyoCapital[[#This Row],[Dim_Empresas.CUIT]],'clientes SQL'!C:D,2,0)</f>
        <v>#N/A</v>
      </c>
    </row>
    <row r="1076" spans="1:12" hidden="1" x14ac:dyDescent="0.3">
      <c r="A1076">
        <v>1830757</v>
      </c>
      <c r="B1076">
        <v>20251205</v>
      </c>
      <c r="C1076">
        <v>6154</v>
      </c>
      <c r="D1076">
        <v>45740.3</v>
      </c>
      <c r="E1076" s="123" t="s">
        <v>1566</v>
      </c>
      <c r="F1076" s="123" t="s">
        <v>1578</v>
      </c>
      <c r="G1076" s="123"/>
      <c r="H1076" s="95">
        <v>45996</v>
      </c>
      <c r="I1076">
        <v>34268</v>
      </c>
      <c r="J1076" s="123" t="s">
        <v>1141</v>
      </c>
      <c r="K1076" s="123" t="s">
        <v>1142</v>
      </c>
      <c r="L1076" s="123" t="e">
        <f>VLOOKUP(Fact_AUM_FyoCapital[[#This Row],[Dim_Empresas.CUIT]],'clientes SQL'!C:D,2,0)</f>
        <v>#N/A</v>
      </c>
    </row>
    <row r="1077" spans="1:12" hidden="1" x14ac:dyDescent="0.3">
      <c r="A1077">
        <v>2598869</v>
      </c>
      <c r="B1077">
        <v>20251205</v>
      </c>
      <c r="C1077">
        <v>7802</v>
      </c>
      <c r="D1077">
        <v>97741.558394109408</v>
      </c>
      <c r="E1077" s="123" t="s">
        <v>1568</v>
      </c>
      <c r="F1077" s="123" t="s">
        <v>1572</v>
      </c>
      <c r="G1077" s="123" t="s">
        <v>1570</v>
      </c>
      <c r="H1077" s="95">
        <v>45996</v>
      </c>
      <c r="I1077">
        <v>35095</v>
      </c>
      <c r="J1077" s="123" t="s">
        <v>1048</v>
      </c>
      <c r="K1077" s="123" t="s">
        <v>1049</v>
      </c>
      <c r="L1077" s="123" t="e">
        <f>VLOOKUP(Fact_AUM_FyoCapital[[#This Row],[Dim_Empresas.CUIT]],'clientes SQL'!C:D,2,0)</f>
        <v>#N/A</v>
      </c>
    </row>
    <row r="1078" spans="1:12" hidden="1" x14ac:dyDescent="0.3">
      <c r="A1078">
        <v>2616569</v>
      </c>
      <c r="B1078">
        <v>20251205</v>
      </c>
      <c r="C1078">
        <v>10103</v>
      </c>
      <c r="D1078">
        <v>344.57</v>
      </c>
      <c r="E1078" s="123" t="s">
        <v>1563</v>
      </c>
      <c r="F1078" s="123" t="s">
        <v>950</v>
      </c>
      <c r="G1078" s="123"/>
      <c r="H1078" s="95">
        <v>45996</v>
      </c>
      <c r="I1078">
        <v>35568</v>
      </c>
      <c r="J1078" s="123" t="s">
        <v>299</v>
      </c>
      <c r="K1078" s="123" t="s">
        <v>1202</v>
      </c>
      <c r="L1078" s="123" t="e">
        <f>VLOOKUP(Fact_AUM_FyoCapital[[#This Row],[Dim_Empresas.CUIT]],'clientes SQL'!C:D,2,0)</f>
        <v>#N/A</v>
      </c>
    </row>
    <row r="1079" spans="1:12" hidden="1" x14ac:dyDescent="0.3">
      <c r="A1079">
        <v>1831117</v>
      </c>
      <c r="B1079">
        <v>20251205</v>
      </c>
      <c r="C1079">
        <v>6154</v>
      </c>
      <c r="D1079">
        <v>102350.61921458626</v>
      </c>
      <c r="E1079" s="123" t="s">
        <v>1566</v>
      </c>
      <c r="F1079" s="123" t="s">
        <v>1582</v>
      </c>
      <c r="G1079" s="123"/>
      <c r="H1079" s="95">
        <v>45996</v>
      </c>
      <c r="I1079">
        <v>34268</v>
      </c>
      <c r="J1079" s="123" t="s">
        <v>1141</v>
      </c>
      <c r="K1079" s="123" t="s">
        <v>1142</v>
      </c>
      <c r="L1079" s="123" t="e">
        <f>VLOOKUP(Fact_AUM_FyoCapital[[#This Row],[Dim_Empresas.CUIT]],'clientes SQL'!C:D,2,0)</f>
        <v>#N/A</v>
      </c>
    </row>
    <row r="1080" spans="1:12" hidden="1" x14ac:dyDescent="0.3">
      <c r="A1080">
        <v>1901797</v>
      </c>
      <c r="B1080">
        <v>20251205</v>
      </c>
      <c r="C1080">
        <v>2173</v>
      </c>
      <c r="D1080">
        <v>359.90852734922862</v>
      </c>
      <c r="E1080" s="123" t="s">
        <v>1568</v>
      </c>
      <c r="F1080" s="123" t="s">
        <v>1572</v>
      </c>
      <c r="G1080" s="123" t="s">
        <v>1570</v>
      </c>
      <c r="H1080" s="95">
        <v>45996</v>
      </c>
      <c r="I1080">
        <v>30123</v>
      </c>
      <c r="J1080" s="123" t="s">
        <v>599</v>
      </c>
      <c r="K1080" s="123" t="s">
        <v>1125</v>
      </c>
      <c r="L1080" s="123" t="e">
        <f>VLOOKUP(Fact_AUM_FyoCapital[[#This Row],[Dim_Empresas.CUIT]],'clientes SQL'!C:D,2,0)</f>
        <v>#N/A</v>
      </c>
    </row>
    <row r="1081" spans="1:12" hidden="1" x14ac:dyDescent="0.3">
      <c r="A1081">
        <v>2633669</v>
      </c>
      <c r="B1081">
        <v>20251205</v>
      </c>
      <c r="C1081">
        <v>10127</v>
      </c>
      <c r="D1081">
        <v>0.86909537166900419</v>
      </c>
      <c r="E1081" s="123" t="s">
        <v>1563</v>
      </c>
      <c r="F1081" s="123" t="s">
        <v>185</v>
      </c>
      <c r="G1081" s="123"/>
      <c r="H1081" s="95">
        <v>45996</v>
      </c>
      <c r="I1081">
        <v>35592</v>
      </c>
      <c r="J1081" s="123" t="s">
        <v>526</v>
      </c>
      <c r="K1081" s="123" t="s">
        <v>1208</v>
      </c>
      <c r="L1081" s="123" t="e">
        <f>VLOOKUP(Fact_AUM_FyoCapital[[#This Row],[Dim_Empresas.CUIT]],'clientes SQL'!C:D,2,0)</f>
        <v>#N/A</v>
      </c>
    </row>
    <row r="1082" spans="1:12" hidden="1" x14ac:dyDescent="0.3">
      <c r="A1082">
        <v>1846177</v>
      </c>
      <c r="B1082">
        <v>20251205</v>
      </c>
      <c r="C1082">
        <v>13275</v>
      </c>
      <c r="D1082">
        <v>6599.2396774193539</v>
      </c>
      <c r="E1082" s="123" t="s">
        <v>1566</v>
      </c>
      <c r="F1082" s="123" t="s">
        <v>1571</v>
      </c>
      <c r="G1082" s="123"/>
      <c r="H1082" s="95">
        <v>45996</v>
      </c>
      <c r="I1082">
        <v>36459</v>
      </c>
      <c r="J1082" s="123" t="s">
        <v>296</v>
      </c>
      <c r="K1082" s="123" t="s">
        <v>1138</v>
      </c>
      <c r="L1082" s="123" t="e">
        <f>VLOOKUP(Fact_AUM_FyoCapital[[#This Row],[Dim_Empresas.CUIT]],'clientes SQL'!C:D,2,0)</f>
        <v>#N/A</v>
      </c>
    </row>
    <row r="1083" spans="1:12" hidden="1" x14ac:dyDescent="0.3">
      <c r="A1083">
        <v>1876297</v>
      </c>
      <c r="B1083">
        <v>20251205</v>
      </c>
      <c r="C1083">
        <v>331</v>
      </c>
      <c r="D1083">
        <v>2299.06</v>
      </c>
      <c r="E1083" s="123" t="s">
        <v>1568</v>
      </c>
      <c r="F1083" s="123" t="s">
        <v>1572</v>
      </c>
      <c r="G1083" s="123" t="s">
        <v>1574</v>
      </c>
      <c r="H1083" s="95">
        <v>45996</v>
      </c>
      <c r="I1083">
        <v>652</v>
      </c>
      <c r="J1083" s="123" t="s">
        <v>447</v>
      </c>
      <c r="K1083" s="123" t="s">
        <v>1143</v>
      </c>
      <c r="L1083" s="123" t="e">
        <f>VLOOKUP(Fact_AUM_FyoCapital[[#This Row],[Dim_Empresas.CUIT]],'clientes SQL'!C:D,2,0)</f>
        <v>#N/A</v>
      </c>
    </row>
    <row r="1084" spans="1:12" hidden="1" x14ac:dyDescent="0.3">
      <c r="A1084">
        <v>1831357</v>
      </c>
      <c r="B1084">
        <v>20251205</v>
      </c>
      <c r="C1084">
        <v>6154</v>
      </c>
      <c r="D1084">
        <v>34031.013786816264</v>
      </c>
      <c r="E1084" s="123" t="s">
        <v>1568</v>
      </c>
      <c r="F1084" s="123" t="s">
        <v>1572</v>
      </c>
      <c r="G1084" s="123" t="s">
        <v>1583</v>
      </c>
      <c r="H1084" s="95">
        <v>45996</v>
      </c>
      <c r="I1084">
        <v>34268</v>
      </c>
      <c r="J1084" s="123" t="s">
        <v>1141</v>
      </c>
      <c r="K1084" s="123" t="s">
        <v>1142</v>
      </c>
      <c r="L1084" s="123" t="e">
        <f>VLOOKUP(Fact_AUM_FyoCapital[[#This Row],[Dim_Empresas.CUIT]],'clientes SQL'!C:D,2,0)</f>
        <v>#N/A</v>
      </c>
    </row>
    <row r="1085" spans="1:12" hidden="1" x14ac:dyDescent="0.3">
      <c r="A1085">
        <v>2613749</v>
      </c>
      <c r="B1085">
        <v>20251205</v>
      </c>
      <c r="C1085">
        <v>7</v>
      </c>
      <c r="D1085">
        <v>-2378.1055399719494</v>
      </c>
      <c r="E1085" s="123" t="s">
        <v>1563</v>
      </c>
      <c r="F1085" s="123" t="s">
        <v>185</v>
      </c>
      <c r="G1085" s="123"/>
      <c r="H1085" s="95">
        <v>45996</v>
      </c>
      <c r="I1085">
        <v>5181</v>
      </c>
      <c r="J1085" s="123" t="s">
        <v>212</v>
      </c>
      <c r="K1085" s="123" t="s">
        <v>1238</v>
      </c>
      <c r="L1085" s="123" t="e">
        <f>VLOOKUP(Fact_AUM_FyoCapital[[#This Row],[Dim_Empresas.CUIT]],'clientes SQL'!C:D,2,0)</f>
        <v>#N/A</v>
      </c>
    </row>
    <row r="1086" spans="1:12" hidden="1" x14ac:dyDescent="0.3">
      <c r="A1086">
        <v>1873477</v>
      </c>
      <c r="B1086">
        <v>20251205</v>
      </c>
      <c r="C1086">
        <v>2810</v>
      </c>
      <c r="D1086" s="6">
        <v>196.16152173913045</v>
      </c>
      <c r="E1086" s="123" t="s">
        <v>1568</v>
      </c>
      <c r="F1086" s="123" t="s">
        <v>1572</v>
      </c>
      <c r="G1086" s="123" t="s">
        <v>1570</v>
      </c>
      <c r="H1086" s="95">
        <v>45996</v>
      </c>
      <c r="I1086">
        <v>31130</v>
      </c>
      <c r="J1086" s="123" t="s">
        <v>1605</v>
      </c>
      <c r="K1086" s="123" t="s">
        <v>1606</v>
      </c>
      <c r="L1086" s="123" t="e">
        <f>VLOOKUP(Fact_AUM_FyoCapital[[#This Row],[Dim_Empresas.CUIT]],'clientes SQL'!C:D,2,0)</f>
        <v>#N/A</v>
      </c>
    </row>
    <row r="1087" spans="1:12" hidden="1" x14ac:dyDescent="0.3">
      <c r="A1087">
        <v>1868677</v>
      </c>
      <c r="B1087">
        <v>20251205</v>
      </c>
      <c r="C1087">
        <v>12804</v>
      </c>
      <c r="D1087">
        <v>-1429.7157994389902</v>
      </c>
      <c r="E1087" s="123" t="s">
        <v>1566</v>
      </c>
      <c r="F1087" s="123" t="s">
        <v>1586</v>
      </c>
      <c r="G1087" s="123"/>
      <c r="H1087" s="95">
        <v>45996</v>
      </c>
      <c r="I1087">
        <v>36030</v>
      </c>
      <c r="J1087" s="123" t="s">
        <v>504</v>
      </c>
      <c r="K1087" s="123" t="s">
        <v>1196</v>
      </c>
      <c r="L1087" s="123" t="e">
        <f>VLOOKUP(Fact_AUM_FyoCapital[[#This Row],[Dim_Empresas.CUIT]],'clientes SQL'!C:D,2,0)</f>
        <v>#N/A</v>
      </c>
    </row>
    <row r="1088" spans="1:12" hidden="1" x14ac:dyDescent="0.3">
      <c r="A1088">
        <v>2607629</v>
      </c>
      <c r="B1088">
        <v>20251205</v>
      </c>
      <c r="C1088">
        <v>664</v>
      </c>
      <c r="D1088">
        <v>5788.8553366058904</v>
      </c>
      <c r="E1088" s="123" t="s">
        <v>1568</v>
      </c>
      <c r="F1088" s="123" t="s">
        <v>1572</v>
      </c>
      <c r="G1088" s="123" t="s">
        <v>1583</v>
      </c>
      <c r="H1088" s="95">
        <v>45996</v>
      </c>
      <c r="I1088">
        <v>8097</v>
      </c>
      <c r="J1088" s="123" t="s">
        <v>822</v>
      </c>
      <c r="K1088" s="123" t="s">
        <v>1348</v>
      </c>
      <c r="L1088" s="123" t="e">
        <f>VLOOKUP(Fact_AUM_FyoCapital[[#This Row],[Dim_Empresas.CUIT]],'clientes SQL'!C:D,2,0)</f>
        <v>#N/A</v>
      </c>
    </row>
    <row r="1089" spans="1:12" hidden="1" x14ac:dyDescent="0.3">
      <c r="A1089">
        <v>1830877</v>
      </c>
      <c r="B1089">
        <v>20251205</v>
      </c>
      <c r="C1089">
        <v>6154</v>
      </c>
      <c r="D1089">
        <v>57848.91</v>
      </c>
      <c r="E1089" s="123" t="s">
        <v>1566</v>
      </c>
      <c r="F1089" s="123" t="s">
        <v>1578</v>
      </c>
      <c r="G1089" s="123"/>
      <c r="H1089" s="95">
        <v>45996</v>
      </c>
      <c r="I1089">
        <v>34268</v>
      </c>
      <c r="J1089" s="123" t="s">
        <v>1141</v>
      </c>
      <c r="K1089" s="123" t="s">
        <v>1142</v>
      </c>
      <c r="L1089" s="123" t="e">
        <f>VLOOKUP(Fact_AUM_FyoCapital[[#This Row],[Dim_Empresas.CUIT]],'clientes SQL'!C:D,2,0)</f>
        <v>#N/A</v>
      </c>
    </row>
    <row r="1090" spans="1:12" hidden="1" x14ac:dyDescent="0.3">
      <c r="A1090">
        <v>2640569</v>
      </c>
      <c r="B1090">
        <v>20251205</v>
      </c>
      <c r="C1090">
        <v>7802</v>
      </c>
      <c r="D1090">
        <v>917.49</v>
      </c>
      <c r="E1090" s="123" t="s">
        <v>1563</v>
      </c>
      <c r="F1090" s="123" t="s">
        <v>950</v>
      </c>
      <c r="G1090" s="123"/>
      <c r="H1090" s="95">
        <v>45996</v>
      </c>
      <c r="I1090">
        <v>35095</v>
      </c>
      <c r="J1090" s="123" t="s">
        <v>1048</v>
      </c>
      <c r="K1090" s="123" t="s">
        <v>1049</v>
      </c>
      <c r="L1090" s="123" t="e">
        <f>VLOOKUP(Fact_AUM_FyoCapital[[#This Row],[Dim_Empresas.CUIT]],'clientes SQL'!C:D,2,0)</f>
        <v>#N/A</v>
      </c>
    </row>
    <row r="1091" spans="1:12" hidden="1" x14ac:dyDescent="0.3">
      <c r="A1091">
        <v>2641349</v>
      </c>
      <c r="B1091">
        <v>20251205</v>
      </c>
      <c r="C1091">
        <v>1429</v>
      </c>
      <c r="D1091">
        <v>-1.3485273492286115E-2</v>
      </c>
      <c r="E1091" s="123" t="s">
        <v>1563</v>
      </c>
      <c r="F1091" s="123" t="s">
        <v>185</v>
      </c>
      <c r="G1091" s="123"/>
      <c r="H1091" s="95">
        <v>45996</v>
      </c>
      <c r="I1091">
        <v>19755</v>
      </c>
      <c r="J1091" s="123" t="s">
        <v>374</v>
      </c>
      <c r="K1091" s="123" t="s">
        <v>1200</v>
      </c>
      <c r="L1091" s="123" t="e">
        <f>VLOOKUP(Fact_AUM_FyoCapital[[#This Row],[Dim_Empresas.CUIT]],'clientes SQL'!C:D,2,0)</f>
        <v>#N/A</v>
      </c>
    </row>
    <row r="1092" spans="1:12" hidden="1" x14ac:dyDescent="0.3">
      <c r="A1092">
        <v>2626769</v>
      </c>
      <c r="B1092">
        <v>20251205</v>
      </c>
      <c r="C1092">
        <v>5197</v>
      </c>
      <c r="D1092">
        <v>-1.5427769985974755E-4</v>
      </c>
      <c r="E1092" s="123" t="s">
        <v>1563</v>
      </c>
      <c r="F1092" s="123" t="s">
        <v>185</v>
      </c>
      <c r="G1092" s="123"/>
      <c r="H1092" s="95">
        <v>45996</v>
      </c>
      <c r="I1092">
        <v>33322</v>
      </c>
      <c r="J1092" s="123" t="s">
        <v>500</v>
      </c>
      <c r="K1092" s="123" t="s">
        <v>1233</v>
      </c>
      <c r="L1092" s="123" t="e">
        <f>VLOOKUP(Fact_AUM_FyoCapital[[#This Row],[Dim_Empresas.CUIT]],'clientes SQL'!C:D,2,0)</f>
        <v>#N/A</v>
      </c>
    </row>
    <row r="1093" spans="1:12" hidden="1" x14ac:dyDescent="0.3">
      <c r="A1093">
        <v>2613389</v>
      </c>
      <c r="B1093">
        <v>20251205</v>
      </c>
      <c r="C1093">
        <v>1430</v>
      </c>
      <c r="D1093">
        <v>2.917251051893408E-3</v>
      </c>
      <c r="E1093" s="123" t="s">
        <v>1563</v>
      </c>
      <c r="F1093" s="123" t="s">
        <v>185</v>
      </c>
      <c r="G1093" s="123"/>
      <c r="H1093" s="95">
        <v>45996</v>
      </c>
      <c r="I1093">
        <v>19710</v>
      </c>
      <c r="J1093" s="123" t="s">
        <v>351</v>
      </c>
      <c r="K1093" s="123" t="s">
        <v>1278</v>
      </c>
      <c r="L1093" s="123" t="e">
        <f>VLOOKUP(Fact_AUM_FyoCapital[[#This Row],[Dim_Empresas.CUIT]],'clientes SQL'!C:D,2,0)</f>
        <v>#N/A</v>
      </c>
    </row>
    <row r="1094" spans="1:12" hidden="1" x14ac:dyDescent="0.3">
      <c r="A1094">
        <v>1886617</v>
      </c>
      <c r="B1094">
        <v>20251205</v>
      </c>
      <c r="C1094">
        <v>6418</v>
      </c>
      <c r="D1094">
        <v>0</v>
      </c>
      <c r="E1094" s="123"/>
      <c r="F1094" s="123"/>
      <c r="G1094" s="123"/>
      <c r="H1094" s="95">
        <v>45996</v>
      </c>
      <c r="I1094">
        <v>4368</v>
      </c>
      <c r="J1094" s="123" t="s">
        <v>1168</v>
      </c>
      <c r="K1094" s="123" t="s">
        <v>1169</v>
      </c>
      <c r="L1094" s="123" t="e">
        <f>VLOOKUP(Fact_AUM_FyoCapital[[#This Row],[Dim_Empresas.CUIT]],'clientes SQL'!C:D,2,0)</f>
        <v>#N/A</v>
      </c>
    </row>
    <row r="1095" spans="1:12" hidden="1" x14ac:dyDescent="0.3">
      <c r="A1095">
        <v>1895857</v>
      </c>
      <c r="B1095">
        <v>20251205</v>
      </c>
      <c r="C1095">
        <v>10253</v>
      </c>
      <c r="D1095">
        <v>17789.509116409536</v>
      </c>
      <c r="E1095" s="123" t="s">
        <v>1566</v>
      </c>
      <c r="F1095" s="123" t="s">
        <v>1573</v>
      </c>
      <c r="G1095" s="123"/>
      <c r="H1095" s="95">
        <v>45996</v>
      </c>
      <c r="I1095">
        <v>35643</v>
      </c>
      <c r="J1095" s="123" t="s">
        <v>603</v>
      </c>
      <c r="K1095" s="123" t="s">
        <v>1220</v>
      </c>
      <c r="L1095" s="123" t="e">
        <f>VLOOKUP(Fact_AUM_FyoCapital[[#This Row],[Dim_Empresas.CUIT]],'clientes SQL'!C:D,2,0)</f>
        <v>#N/A</v>
      </c>
    </row>
    <row r="1096" spans="1:12" hidden="1" x14ac:dyDescent="0.3">
      <c r="A1096">
        <v>1856977</v>
      </c>
      <c r="B1096">
        <v>20251205</v>
      </c>
      <c r="C1096">
        <v>2162</v>
      </c>
      <c r="D1096">
        <v>9801.6362061711079</v>
      </c>
      <c r="E1096" s="123" t="s">
        <v>1568</v>
      </c>
      <c r="F1096" s="123" t="s">
        <v>1572</v>
      </c>
      <c r="G1096" s="123" t="s">
        <v>1583</v>
      </c>
      <c r="H1096" s="95">
        <v>45996</v>
      </c>
      <c r="I1096">
        <v>30101</v>
      </c>
      <c r="J1096" s="123" t="s">
        <v>391</v>
      </c>
      <c r="K1096" s="123" t="s">
        <v>1216</v>
      </c>
      <c r="L1096" s="123" t="e">
        <f>VLOOKUP(Fact_AUM_FyoCapital[[#This Row],[Dim_Empresas.CUIT]],'clientes SQL'!C:D,2,0)</f>
        <v>#N/A</v>
      </c>
    </row>
    <row r="1097" spans="1:12" hidden="1" x14ac:dyDescent="0.3">
      <c r="A1097">
        <v>2637209</v>
      </c>
      <c r="B1097">
        <v>20251205</v>
      </c>
      <c r="C1097">
        <v>849</v>
      </c>
      <c r="D1097">
        <v>-2.1037868162692847E-5</v>
      </c>
      <c r="E1097" s="123" t="s">
        <v>1563</v>
      </c>
      <c r="F1097" s="123" t="s">
        <v>185</v>
      </c>
      <c r="G1097" s="123"/>
      <c r="H1097" s="95">
        <v>45996</v>
      </c>
      <c r="I1097">
        <v>17504</v>
      </c>
      <c r="J1097" s="123" t="s">
        <v>1181</v>
      </c>
      <c r="K1097" s="123" t="s">
        <v>1182</v>
      </c>
      <c r="L1097" s="123" t="e">
        <f>VLOOKUP(Fact_AUM_FyoCapital[[#This Row],[Dim_Empresas.CUIT]],'clientes SQL'!C:D,2,0)</f>
        <v>#N/A</v>
      </c>
    </row>
    <row r="1098" spans="1:12" hidden="1" x14ac:dyDescent="0.3">
      <c r="A1098">
        <v>2620109</v>
      </c>
      <c r="B1098">
        <v>20251205</v>
      </c>
      <c r="C1098">
        <v>1724</v>
      </c>
      <c r="D1098">
        <v>2.4544179523141652E-4</v>
      </c>
      <c r="E1098" s="123" t="s">
        <v>1563</v>
      </c>
      <c r="F1098" s="123" t="s">
        <v>185</v>
      </c>
      <c r="G1098" s="123"/>
      <c r="H1098" s="95">
        <v>45996</v>
      </c>
      <c r="I1098">
        <v>20518</v>
      </c>
      <c r="J1098" s="123" t="s">
        <v>270</v>
      </c>
      <c r="K1098" s="123" t="s">
        <v>1225</v>
      </c>
      <c r="L1098" s="123" t="e">
        <f>VLOOKUP(Fact_AUM_FyoCapital[[#This Row],[Dim_Empresas.CUIT]],'clientes SQL'!C:D,2,0)</f>
        <v>#N/A</v>
      </c>
    </row>
    <row r="1099" spans="1:12" hidden="1" x14ac:dyDescent="0.3">
      <c r="A1099">
        <v>1862857</v>
      </c>
      <c r="B1099">
        <v>20251205</v>
      </c>
      <c r="C1099">
        <v>682</v>
      </c>
      <c r="D1099">
        <v>0</v>
      </c>
      <c r="E1099" s="123"/>
      <c r="F1099" s="123"/>
      <c r="G1099" s="123"/>
      <c r="H1099" s="95">
        <v>45996</v>
      </c>
      <c r="I1099">
        <v>9775</v>
      </c>
      <c r="J1099" s="123" t="s">
        <v>287</v>
      </c>
      <c r="K1099" s="123" t="s">
        <v>1320</v>
      </c>
      <c r="L1099" s="123" t="e">
        <f>VLOOKUP(Fact_AUM_FyoCapital[[#This Row],[Dim_Empresas.CUIT]],'clientes SQL'!C:D,2,0)</f>
        <v>#N/A</v>
      </c>
    </row>
    <row r="1100" spans="1:12" hidden="1" x14ac:dyDescent="0.3">
      <c r="A1100">
        <v>1857037</v>
      </c>
      <c r="B1100">
        <v>20251205</v>
      </c>
      <c r="C1100">
        <v>2162</v>
      </c>
      <c r="D1100">
        <v>297.30247545582051</v>
      </c>
      <c r="E1100" s="123" t="s">
        <v>1568</v>
      </c>
      <c r="F1100" s="123" t="s">
        <v>1572</v>
      </c>
      <c r="G1100" s="123" t="s">
        <v>1574</v>
      </c>
      <c r="H1100" s="95">
        <v>45996</v>
      </c>
      <c r="I1100">
        <v>30101</v>
      </c>
      <c r="J1100" s="123" t="s">
        <v>391</v>
      </c>
      <c r="K1100" s="123" t="s">
        <v>1216</v>
      </c>
      <c r="L1100" s="123" t="e">
        <f>VLOOKUP(Fact_AUM_FyoCapital[[#This Row],[Dim_Empresas.CUIT]],'clientes SQL'!C:D,2,0)</f>
        <v>#N/A</v>
      </c>
    </row>
    <row r="1101" spans="1:12" hidden="1" x14ac:dyDescent="0.3">
      <c r="A1101">
        <v>1865677</v>
      </c>
      <c r="B1101">
        <v>20251205</v>
      </c>
      <c r="C1101">
        <v>4531</v>
      </c>
      <c r="D1101">
        <v>25505.188443197756</v>
      </c>
      <c r="E1101" s="123" t="s">
        <v>1568</v>
      </c>
      <c r="F1101" s="123" t="s">
        <v>1572</v>
      </c>
      <c r="G1101" s="123" t="s">
        <v>1584</v>
      </c>
      <c r="H1101" s="95">
        <v>45996</v>
      </c>
      <c r="I1101">
        <v>3422</v>
      </c>
      <c r="J1101" s="123" t="s">
        <v>498</v>
      </c>
      <c r="K1101" s="123" t="s">
        <v>1231</v>
      </c>
      <c r="L1101" s="123" t="e">
        <f>VLOOKUP(Fact_AUM_FyoCapital[[#This Row],[Dim_Empresas.CUIT]],'clientes SQL'!C:D,2,0)</f>
        <v>#N/A</v>
      </c>
    </row>
    <row r="1102" spans="1:12" hidden="1" x14ac:dyDescent="0.3">
      <c r="A1102">
        <v>2631329</v>
      </c>
      <c r="B1102">
        <v>20251205</v>
      </c>
      <c r="C1102">
        <v>331</v>
      </c>
      <c r="D1102">
        <v>44.69</v>
      </c>
      <c r="E1102" s="123" t="s">
        <v>1563</v>
      </c>
      <c r="F1102" s="123" t="s">
        <v>188</v>
      </c>
      <c r="G1102" s="123"/>
      <c r="H1102" s="95">
        <v>45996</v>
      </c>
      <c r="I1102">
        <v>652</v>
      </c>
      <c r="J1102" s="123" t="s">
        <v>447</v>
      </c>
      <c r="K1102" s="123" t="s">
        <v>1143</v>
      </c>
      <c r="L1102" s="123" t="e">
        <f>VLOOKUP(Fact_AUM_FyoCapital[[#This Row],[Dim_Empresas.CUIT]],'clientes SQL'!C:D,2,0)</f>
        <v>#N/A</v>
      </c>
    </row>
    <row r="1103" spans="1:12" hidden="1" x14ac:dyDescent="0.3">
      <c r="A1103">
        <v>2613989</v>
      </c>
      <c r="B1103">
        <v>20251205</v>
      </c>
      <c r="C1103">
        <v>7</v>
      </c>
      <c r="D1103">
        <v>2099.9777559607292</v>
      </c>
      <c r="E1103" s="123" t="s">
        <v>1563</v>
      </c>
      <c r="F1103" s="123" t="s">
        <v>185</v>
      </c>
      <c r="G1103" s="123"/>
      <c r="H1103" s="95">
        <v>45996</v>
      </c>
      <c r="I1103">
        <v>5181</v>
      </c>
      <c r="J1103" s="123" t="s">
        <v>212</v>
      </c>
      <c r="K1103" s="123" t="s">
        <v>1238</v>
      </c>
      <c r="L1103" s="123" t="e">
        <f>VLOOKUP(Fact_AUM_FyoCapital[[#This Row],[Dim_Empresas.CUIT]],'clientes SQL'!C:D,2,0)</f>
        <v>#N/A</v>
      </c>
    </row>
    <row r="1104" spans="1:12" hidden="1" x14ac:dyDescent="0.3">
      <c r="A1104">
        <v>1875457</v>
      </c>
      <c r="B1104">
        <v>20251205</v>
      </c>
      <c r="C1104">
        <v>628</v>
      </c>
      <c r="D1104">
        <v>4540.5394740532956</v>
      </c>
      <c r="E1104" s="123" t="s">
        <v>1568</v>
      </c>
      <c r="F1104" s="123" t="s">
        <v>1572</v>
      </c>
      <c r="G1104" s="123" t="s">
        <v>1570</v>
      </c>
      <c r="H1104" s="95">
        <v>45996</v>
      </c>
      <c r="I1104">
        <v>9352</v>
      </c>
      <c r="J1104" s="123" t="s">
        <v>425</v>
      </c>
      <c r="K1104" s="123" t="s">
        <v>1336</v>
      </c>
      <c r="L1104" s="123" t="e">
        <f>VLOOKUP(Fact_AUM_FyoCapital[[#This Row],[Dim_Empresas.CUIT]],'clientes SQL'!C:D,2,0)</f>
        <v>#N/A</v>
      </c>
    </row>
    <row r="1105" spans="1:12" hidden="1" x14ac:dyDescent="0.3">
      <c r="A1105">
        <v>1835557</v>
      </c>
      <c r="B1105">
        <v>20251205</v>
      </c>
      <c r="C1105">
        <v>1494</v>
      </c>
      <c r="D1105">
        <v>90635.7</v>
      </c>
      <c r="E1105" s="123" t="s">
        <v>1566</v>
      </c>
      <c r="F1105" s="123" t="s">
        <v>1571</v>
      </c>
      <c r="G1105" s="123"/>
      <c r="H1105" s="95">
        <v>45996</v>
      </c>
      <c r="I1105">
        <v>17933</v>
      </c>
      <c r="J1105" s="123" t="s">
        <v>336</v>
      </c>
      <c r="K1105" s="123" t="s">
        <v>1103</v>
      </c>
      <c r="L1105" s="123" t="e">
        <f>VLOOKUP(Fact_AUM_FyoCapital[[#This Row],[Dim_Empresas.CUIT]],'clientes SQL'!C:D,2,0)</f>
        <v>#N/A</v>
      </c>
    </row>
    <row r="1106" spans="1:12" hidden="1" x14ac:dyDescent="0.3">
      <c r="A1106">
        <v>1887157</v>
      </c>
      <c r="B1106">
        <v>20251205</v>
      </c>
      <c r="C1106">
        <v>13665</v>
      </c>
      <c r="D1106">
        <v>746.23479663394119</v>
      </c>
      <c r="E1106" s="123" t="s">
        <v>1568</v>
      </c>
      <c r="F1106" s="123" t="s">
        <v>1572</v>
      </c>
      <c r="G1106" s="123" t="s">
        <v>1577</v>
      </c>
      <c r="H1106" s="95">
        <v>45996</v>
      </c>
      <c r="I1106">
        <v>36829</v>
      </c>
      <c r="J1106" s="123" t="s">
        <v>516</v>
      </c>
      <c r="K1106" s="123" t="s">
        <v>1175</v>
      </c>
      <c r="L1106" s="123" t="e">
        <f>VLOOKUP(Fact_AUM_FyoCapital[[#This Row],[Dim_Empresas.CUIT]],'clientes SQL'!C:D,2,0)</f>
        <v>#N/A</v>
      </c>
    </row>
    <row r="1107" spans="1:12" hidden="1" x14ac:dyDescent="0.3">
      <c r="A1107">
        <v>1891297</v>
      </c>
      <c r="B1107">
        <v>20251205</v>
      </c>
      <c r="C1107">
        <v>3479</v>
      </c>
      <c r="D1107">
        <v>-19227.7</v>
      </c>
      <c r="E1107" s="123" t="s">
        <v>1566</v>
      </c>
      <c r="F1107" s="123" t="s">
        <v>1578</v>
      </c>
      <c r="G1107" s="123"/>
      <c r="H1107" s="95">
        <v>45996</v>
      </c>
      <c r="I1107">
        <v>31936</v>
      </c>
      <c r="J1107" s="123" t="s">
        <v>456</v>
      </c>
      <c r="K1107" s="123" t="s">
        <v>1119</v>
      </c>
      <c r="L1107" s="123" t="e">
        <f>VLOOKUP(Fact_AUM_FyoCapital[[#This Row],[Dim_Empresas.CUIT]],'clientes SQL'!C:D,2,0)</f>
        <v>#N/A</v>
      </c>
    </row>
    <row r="1108" spans="1:12" hidden="1" x14ac:dyDescent="0.3">
      <c r="A1108">
        <v>1864777</v>
      </c>
      <c r="B1108">
        <v>20251205</v>
      </c>
      <c r="C1108">
        <v>1314</v>
      </c>
      <c r="D1108">
        <v>-125000</v>
      </c>
      <c r="E1108" s="123" t="s">
        <v>1566</v>
      </c>
      <c r="F1108" s="123" t="s">
        <v>1578</v>
      </c>
      <c r="G1108" s="123"/>
      <c r="H1108" s="95">
        <v>45996</v>
      </c>
      <c r="I1108">
        <v>19442</v>
      </c>
      <c r="J1108" s="123" t="s">
        <v>309</v>
      </c>
      <c r="K1108" s="123" t="s">
        <v>1112</v>
      </c>
      <c r="L1108" s="123" t="e">
        <f>VLOOKUP(Fact_AUM_FyoCapital[[#This Row],[Dim_Empresas.CUIT]],'clientes SQL'!C:D,2,0)</f>
        <v>#N/A</v>
      </c>
    </row>
    <row r="1109" spans="1:12" hidden="1" x14ac:dyDescent="0.3">
      <c r="A1109">
        <v>2603609</v>
      </c>
      <c r="B1109">
        <v>20251205</v>
      </c>
      <c r="C1109">
        <v>7012</v>
      </c>
      <c r="D1109">
        <v>14091.09</v>
      </c>
      <c r="E1109" s="123" t="s">
        <v>1566</v>
      </c>
      <c r="F1109" s="123" t="s">
        <v>1571</v>
      </c>
      <c r="G1109" s="123"/>
      <c r="H1109" s="95">
        <v>45996</v>
      </c>
      <c r="I1109">
        <v>34708</v>
      </c>
      <c r="J1109" s="123" t="s">
        <v>626</v>
      </c>
      <c r="K1109" s="123" t="s">
        <v>1203</v>
      </c>
      <c r="L1109" s="123" t="e">
        <f>VLOOKUP(Fact_AUM_FyoCapital[[#This Row],[Dim_Empresas.CUIT]],'clientes SQL'!C:D,2,0)</f>
        <v>#N/A</v>
      </c>
    </row>
    <row r="1110" spans="1:12" hidden="1" x14ac:dyDescent="0.3">
      <c r="A1110">
        <v>2599769</v>
      </c>
      <c r="B1110">
        <v>20251205</v>
      </c>
      <c r="C1110">
        <v>10086</v>
      </c>
      <c r="D1110">
        <v>41044.834565217396</v>
      </c>
      <c r="E1110" s="123" t="s">
        <v>1568</v>
      </c>
      <c r="F1110" s="123" t="s">
        <v>1572</v>
      </c>
      <c r="G1110" s="123" t="s">
        <v>1584</v>
      </c>
      <c r="H1110" s="95">
        <v>45996</v>
      </c>
      <c r="I1110">
        <v>35551</v>
      </c>
      <c r="J1110" s="123" t="s">
        <v>1087</v>
      </c>
      <c r="K1110" s="123" t="s">
        <v>1088</v>
      </c>
      <c r="L1110" s="123" t="e">
        <f>VLOOKUP(Fact_AUM_FyoCapital[[#This Row],[Dim_Empresas.CUIT]],'clientes SQL'!C:D,2,0)</f>
        <v>#N/A</v>
      </c>
    </row>
    <row r="1111" spans="1:12" hidden="1" x14ac:dyDescent="0.3">
      <c r="A1111">
        <v>1503304</v>
      </c>
      <c r="B1111">
        <v>20251205</v>
      </c>
      <c r="C1111">
        <v>4213</v>
      </c>
      <c r="D1111">
        <v>270628.64133239834</v>
      </c>
      <c r="E1111" s="123" t="s">
        <v>1564</v>
      </c>
      <c r="F1111" s="123" t="s">
        <v>1581</v>
      </c>
      <c r="G1111" s="123"/>
      <c r="H1111" s="95">
        <v>45996</v>
      </c>
      <c r="I1111">
        <v>32849</v>
      </c>
      <c r="J1111" s="123" t="s">
        <v>190</v>
      </c>
      <c r="K1111" s="123" t="s">
        <v>1302</v>
      </c>
      <c r="L1111" s="123" t="e">
        <f>VLOOKUP(Fact_AUM_FyoCapital[[#This Row],[Dim_Empresas.CUIT]],'clientes SQL'!C:D,2,0)</f>
        <v>#N/A</v>
      </c>
    </row>
    <row r="1112" spans="1:12" hidden="1" x14ac:dyDescent="0.3">
      <c r="A1112">
        <v>1899697</v>
      </c>
      <c r="B1112">
        <v>20251205</v>
      </c>
      <c r="C1112">
        <v>656</v>
      </c>
      <c r="D1112">
        <v>187335.47893408136</v>
      </c>
      <c r="E1112" s="123" t="s">
        <v>1566</v>
      </c>
      <c r="F1112" s="123" t="s">
        <v>1582</v>
      </c>
      <c r="G1112" s="123"/>
      <c r="H1112" s="95">
        <v>45996</v>
      </c>
      <c r="I1112">
        <v>5003</v>
      </c>
      <c r="J1112" s="123" t="s">
        <v>1153</v>
      </c>
      <c r="K1112" s="123" t="s">
        <v>1154</v>
      </c>
      <c r="L1112" s="123" t="e">
        <f>VLOOKUP(Fact_AUM_FyoCapital[[#This Row],[Dim_Empresas.CUIT]],'clientes SQL'!C:D,2,0)</f>
        <v>#N/A</v>
      </c>
    </row>
    <row r="1113" spans="1:12" hidden="1" x14ac:dyDescent="0.3">
      <c r="A1113">
        <v>1838437</v>
      </c>
      <c r="B1113">
        <v>20251205</v>
      </c>
      <c r="C1113">
        <v>5235</v>
      </c>
      <c r="D1113">
        <v>1081.8</v>
      </c>
      <c r="E1113" s="123" t="s">
        <v>1566</v>
      </c>
      <c r="F1113" s="123" t="s">
        <v>1585</v>
      </c>
      <c r="G1113" s="123"/>
      <c r="H1113" s="95">
        <v>45996</v>
      </c>
      <c r="I1113">
        <v>33099</v>
      </c>
      <c r="J1113" s="123" t="s">
        <v>346</v>
      </c>
      <c r="K1113" s="123" t="s">
        <v>1118</v>
      </c>
      <c r="L1113" s="123" t="e">
        <f>VLOOKUP(Fact_AUM_FyoCapital[[#This Row],[Dim_Empresas.CUIT]],'clientes SQL'!C:D,2,0)</f>
        <v>#N/A</v>
      </c>
    </row>
    <row r="1114" spans="1:12" hidden="1" x14ac:dyDescent="0.3">
      <c r="A1114">
        <v>1901857</v>
      </c>
      <c r="B1114">
        <v>20251205</v>
      </c>
      <c r="C1114">
        <v>2173</v>
      </c>
      <c r="D1114">
        <v>385.44441795231415</v>
      </c>
      <c r="E1114" s="123" t="s">
        <v>1568</v>
      </c>
      <c r="F1114" s="123" t="s">
        <v>1572</v>
      </c>
      <c r="G1114" s="123" t="s">
        <v>1574</v>
      </c>
      <c r="H1114" s="95">
        <v>45996</v>
      </c>
      <c r="I1114">
        <v>30123</v>
      </c>
      <c r="J1114" s="123" t="s">
        <v>599</v>
      </c>
      <c r="K1114" s="123" t="s">
        <v>1125</v>
      </c>
      <c r="L1114" s="123" t="e">
        <f>VLOOKUP(Fact_AUM_FyoCapital[[#This Row],[Dim_Empresas.CUIT]],'clientes SQL'!C:D,2,0)</f>
        <v>#N/A</v>
      </c>
    </row>
    <row r="1115" spans="1:12" hidden="1" x14ac:dyDescent="0.3">
      <c r="A1115">
        <v>1842157</v>
      </c>
      <c r="B1115">
        <v>20251205</v>
      </c>
      <c r="C1115">
        <v>9936</v>
      </c>
      <c r="D1115">
        <v>590.46283309957926</v>
      </c>
      <c r="E1115" s="123" t="s">
        <v>1566</v>
      </c>
      <c r="F1115" s="123" t="s">
        <v>1580</v>
      </c>
      <c r="G1115" s="123"/>
      <c r="H1115" s="95">
        <v>45996</v>
      </c>
      <c r="I1115">
        <v>35436</v>
      </c>
      <c r="J1115" s="123" t="s">
        <v>300</v>
      </c>
      <c r="K1115" s="123" t="s">
        <v>1037</v>
      </c>
      <c r="L1115" s="123" t="e">
        <f>VLOOKUP(Fact_AUM_FyoCapital[[#This Row],[Dim_Empresas.CUIT]],'clientes SQL'!C:D,2,0)</f>
        <v>#N/A</v>
      </c>
    </row>
    <row r="1116" spans="1:12" hidden="1" x14ac:dyDescent="0.3">
      <c r="A1116">
        <v>1826857</v>
      </c>
      <c r="B1116">
        <v>20251205</v>
      </c>
      <c r="C1116">
        <v>1277</v>
      </c>
      <c r="D1116">
        <v>-335539.05</v>
      </c>
      <c r="E1116" s="123" t="s">
        <v>1566</v>
      </c>
      <c r="F1116" s="123" t="s">
        <v>1578</v>
      </c>
      <c r="G1116" s="123"/>
      <c r="H1116" s="95">
        <v>45996</v>
      </c>
      <c r="I1116">
        <v>19100</v>
      </c>
      <c r="J1116" s="123" t="s">
        <v>254</v>
      </c>
      <c r="K1116" s="123" t="s">
        <v>1240</v>
      </c>
      <c r="L1116" s="123" t="e">
        <f>VLOOKUP(Fact_AUM_FyoCapital[[#This Row],[Dim_Empresas.CUIT]],'clientes SQL'!C:D,2,0)</f>
        <v>#N/A</v>
      </c>
    </row>
    <row r="1117" spans="1:12" hidden="1" x14ac:dyDescent="0.3">
      <c r="A1117">
        <v>1865857</v>
      </c>
      <c r="B1117">
        <v>20251205</v>
      </c>
      <c r="C1117">
        <v>1021</v>
      </c>
      <c r="D1117">
        <v>157784.01122019635</v>
      </c>
      <c r="E1117" s="123" t="s">
        <v>1566</v>
      </c>
      <c r="F1117" s="123" t="s">
        <v>1578</v>
      </c>
      <c r="G1117" s="123"/>
      <c r="H1117" s="95">
        <v>45996</v>
      </c>
      <c r="I1117">
        <v>13900</v>
      </c>
      <c r="J1117" s="123" t="s">
        <v>462</v>
      </c>
      <c r="K1117" s="123" t="s">
        <v>1211</v>
      </c>
      <c r="L1117" s="123" t="e">
        <f>VLOOKUP(Fact_AUM_FyoCapital[[#This Row],[Dim_Empresas.CUIT]],'clientes SQL'!C:D,2,0)</f>
        <v>#N/A</v>
      </c>
    </row>
    <row r="1118" spans="1:12" hidden="1" x14ac:dyDescent="0.3">
      <c r="A1118">
        <v>2602589</v>
      </c>
      <c r="B1118">
        <v>20251205</v>
      </c>
      <c r="C1118">
        <v>640</v>
      </c>
      <c r="D1118">
        <v>48234.75</v>
      </c>
      <c r="E1118" s="123" t="s">
        <v>1566</v>
      </c>
      <c r="F1118" s="123" t="s">
        <v>1578</v>
      </c>
      <c r="G1118" s="123"/>
      <c r="H1118" s="95">
        <v>45996</v>
      </c>
      <c r="I1118">
        <v>8261</v>
      </c>
      <c r="J1118" s="123" t="s">
        <v>431</v>
      </c>
      <c r="K1118" s="123" t="s">
        <v>1192</v>
      </c>
      <c r="L1118" s="123" t="e">
        <f>VLOOKUP(Fact_AUM_FyoCapital[[#This Row],[Dim_Empresas.CUIT]],'clientes SQL'!C:D,2,0)</f>
        <v>#N/A</v>
      </c>
    </row>
    <row r="1119" spans="1:12" hidden="1" x14ac:dyDescent="0.3">
      <c r="A1119">
        <v>2608289</v>
      </c>
      <c r="B1119">
        <v>20251205</v>
      </c>
      <c r="C1119">
        <v>112</v>
      </c>
      <c r="D1119">
        <v>-18812.66</v>
      </c>
      <c r="E1119" s="123" t="s">
        <v>1563</v>
      </c>
      <c r="F1119" s="123" t="s">
        <v>801</v>
      </c>
      <c r="G1119" s="123"/>
      <c r="H1119" s="95">
        <v>45996</v>
      </c>
      <c r="I1119">
        <v>4429</v>
      </c>
      <c r="J1119" s="123" t="s">
        <v>210</v>
      </c>
      <c r="K1119" s="123" t="s">
        <v>1135</v>
      </c>
      <c r="L1119" s="123" t="e">
        <f>VLOOKUP(Fact_AUM_FyoCapital[[#This Row],[Dim_Empresas.CUIT]],'clientes SQL'!C:D,2,0)</f>
        <v>#N/A</v>
      </c>
    </row>
    <row r="1120" spans="1:12" hidden="1" x14ac:dyDescent="0.3">
      <c r="A1120">
        <v>2633129</v>
      </c>
      <c r="B1120">
        <v>20251205</v>
      </c>
      <c r="C1120">
        <v>7873</v>
      </c>
      <c r="D1120">
        <v>2.0570967741935484</v>
      </c>
      <c r="E1120" s="123" t="s">
        <v>1563</v>
      </c>
      <c r="F1120" s="123" t="s">
        <v>185</v>
      </c>
      <c r="G1120" s="123"/>
      <c r="H1120" s="95">
        <v>45996</v>
      </c>
      <c r="I1120">
        <v>35160</v>
      </c>
      <c r="J1120" s="123" t="s">
        <v>552</v>
      </c>
      <c r="K1120" s="123" t="s">
        <v>1295</v>
      </c>
      <c r="L1120" s="123" t="e">
        <f>VLOOKUP(Fact_AUM_FyoCapital[[#This Row],[Dim_Empresas.CUIT]],'clientes SQL'!C:D,2,0)</f>
        <v>#N/A</v>
      </c>
    </row>
    <row r="1121" spans="1:12" hidden="1" x14ac:dyDescent="0.3">
      <c r="A1121">
        <v>1503244</v>
      </c>
      <c r="B1121">
        <v>20251205</v>
      </c>
      <c r="C1121">
        <v>5383</v>
      </c>
      <c r="D1121">
        <v>452495.08177419356</v>
      </c>
      <c r="E1121" s="123" t="s">
        <v>1564</v>
      </c>
      <c r="F1121" s="123" t="s">
        <v>1581</v>
      </c>
      <c r="G1121" s="123"/>
      <c r="H1121" s="95">
        <v>45996</v>
      </c>
      <c r="I1121">
        <v>33182</v>
      </c>
      <c r="J1121" s="123" t="s">
        <v>238</v>
      </c>
      <c r="K1121" s="123" t="s">
        <v>1167</v>
      </c>
      <c r="L1121" s="123" t="e">
        <f>VLOOKUP(Fact_AUM_FyoCapital[[#This Row],[Dim_Empresas.CUIT]],'clientes SQL'!C:D,2,0)</f>
        <v>#N/A</v>
      </c>
    </row>
    <row r="1122" spans="1:12" hidden="1" x14ac:dyDescent="0.3">
      <c r="A1122">
        <v>2643449</v>
      </c>
      <c r="B1122">
        <v>20251205</v>
      </c>
      <c r="C1122">
        <v>7012</v>
      </c>
      <c r="D1122">
        <v>41.77676016830295</v>
      </c>
      <c r="E1122" s="123" t="s">
        <v>1563</v>
      </c>
      <c r="F1122" s="123" t="s">
        <v>185</v>
      </c>
      <c r="G1122" s="123"/>
      <c r="H1122" s="95">
        <v>45996</v>
      </c>
      <c r="I1122">
        <v>34708</v>
      </c>
      <c r="J1122" s="123" t="s">
        <v>626</v>
      </c>
      <c r="K1122" s="123" t="s">
        <v>1203</v>
      </c>
      <c r="L1122" s="123" t="e">
        <f>VLOOKUP(Fact_AUM_FyoCapital[[#This Row],[Dim_Empresas.CUIT]],'clientes SQL'!C:D,2,0)</f>
        <v>#N/A</v>
      </c>
    </row>
    <row r="1123" spans="1:12" hidden="1" x14ac:dyDescent="0.3">
      <c r="A1123">
        <v>2612549</v>
      </c>
      <c r="B1123">
        <v>20251205</v>
      </c>
      <c r="C1123">
        <v>15123</v>
      </c>
      <c r="D1123">
        <v>6.7</v>
      </c>
      <c r="E1123" s="123" t="s">
        <v>1563</v>
      </c>
      <c r="F1123" s="123" t="s">
        <v>950</v>
      </c>
      <c r="G1123" s="123"/>
      <c r="H1123" s="95">
        <v>45996</v>
      </c>
      <c r="I1123">
        <v>37264</v>
      </c>
      <c r="J1123" s="123" t="s">
        <v>1212</v>
      </c>
      <c r="K1123" s="123" t="s">
        <v>1213</v>
      </c>
      <c r="L1123" s="123" t="e">
        <f>VLOOKUP(Fact_AUM_FyoCapital[[#This Row],[Dim_Empresas.CUIT]],'clientes SQL'!C:D,2,0)</f>
        <v>#N/A</v>
      </c>
    </row>
    <row r="1124" spans="1:12" hidden="1" x14ac:dyDescent="0.3">
      <c r="A1124">
        <v>2641889</v>
      </c>
      <c r="B1124">
        <v>20251205</v>
      </c>
      <c r="C1124">
        <v>1048</v>
      </c>
      <c r="D1124">
        <v>-205439.32</v>
      </c>
      <c r="E1124" s="123" t="s">
        <v>1563</v>
      </c>
      <c r="F1124" s="123" t="s">
        <v>801</v>
      </c>
      <c r="G1124" s="123"/>
      <c r="H1124" s="95">
        <v>45996</v>
      </c>
      <c r="I1124">
        <v>2240</v>
      </c>
      <c r="J1124" s="123" t="s">
        <v>1177</v>
      </c>
      <c r="K1124" s="123" t="s">
        <v>1178</v>
      </c>
      <c r="L1124" s="123" t="e">
        <f>VLOOKUP(Fact_AUM_FyoCapital[[#This Row],[Dim_Empresas.CUIT]],'clientes SQL'!C:D,2,0)</f>
        <v>#N/A</v>
      </c>
    </row>
    <row r="1125" spans="1:12" hidden="1" x14ac:dyDescent="0.3">
      <c r="A1125">
        <v>2601509</v>
      </c>
      <c r="B1125">
        <v>20251205</v>
      </c>
      <c r="C1125">
        <v>1048</v>
      </c>
      <c r="D1125">
        <v>1.3323983169705471E-4</v>
      </c>
      <c r="E1125" s="123" t="s">
        <v>1568</v>
      </c>
      <c r="F1125" s="123" t="s">
        <v>1572</v>
      </c>
      <c r="G1125" s="123" t="s">
        <v>1574</v>
      </c>
      <c r="H1125" s="95">
        <v>45996</v>
      </c>
      <c r="I1125">
        <v>2240</v>
      </c>
      <c r="J1125" s="123" t="s">
        <v>1177</v>
      </c>
      <c r="K1125" s="123" t="s">
        <v>1178</v>
      </c>
      <c r="L1125" s="123" t="e">
        <f>VLOOKUP(Fact_AUM_FyoCapital[[#This Row],[Dim_Empresas.CUIT]],'clientes SQL'!C:D,2,0)</f>
        <v>#N/A</v>
      </c>
    </row>
    <row r="1126" spans="1:12" hidden="1" x14ac:dyDescent="0.3">
      <c r="A1126">
        <v>1852357</v>
      </c>
      <c r="B1126">
        <v>20251205</v>
      </c>
      <c r="C1126">
        <v>3119</v>
      </c>
      <c r="D1126">
        <v>24235</v>
      </c>
      <c r="E1126" s="123" t="s">
        <v>1566</v>
      </c>
      <c r="F1126" s="123" t="s">
        <v>1571</v>
      </c>
      <c r="G1126" s="123"/>
      <c r="H1126" s="95">
        <v>45996</v>
      </c>
      <c r="I1126">
        <v>31525</v>
      </c>
      <c r="J1126" s="123" t="s">
        <v>432</v>
      </c>
      <c r="K1126" s="123" t="s">
        <v>1145</v>
      </c>
      <c r="L1126" s="123" t="e">
        <f>VLOOKUP(Fact_AUM_FyoCapital[[#This Row],[Dim_Empresas.CUIT]],'clientes SQL'!C:D,2,0)</f>
        <v>#N/A</v>
      </c>
    </row>
    <row r="1127" spans="1:12" hidden="1" x14ac:dyDescent="0.3">
      <c r="A1127">
        <v>2643569</v>
      </c>
      <c r="B1127">
        <v>20251205</v>
      </c>
      <c r="C1127">
        <v>7012</v>
      </c>
      <c r="D1127">
        <v>2.25</v>
      </c>
      <c r="E1127" s="123" t="s">
        <v>1563</v>
      </c>
      <c r="F1127" s="123" t="s">
        <v>188</v>
      </c>
      <c r="G1127" s="123"/>
      <c r="H1127" s="95">
        <v>45996</v>
      </c>
      <c r="I1127">
        <v>34708</v>
      </c>
      <c r="J1127" s="123" t="s">
        <v>626</v>
      </c>
      <c r="K1127" s="123" t="s">
        <v>1203</v>
      </c>
      <c r="L1127" s="123" t="e">
        <f>VLOOKUP(Fact_AUM_FyoCapital[[#This Row],[Dim_Empresas.CUIT]],'clientes SQL'!C:D,2,0)</f>
        <v>#N/A</v>
      </c>
    </row>
    <row r="1128" spans="1:12" hidden="1" x14ac:dyDescent="0.3">
      <c r="A1128">
        <v>1871737</v>
      </c>
      <c r="B1128">
        <v>20251205</v>
      </c>
      <c r="C1128">
        <v>13719</v>
      </c>
      <c r="D1128">
        <v>-96541.3</v>
      </c>
      <c r="E1128" s="123" t="s">
        <v>1566</v>
      </c>
      <c r="F1128" s="123" t="s">
        <v>1578</v>
      </c>
      <c r="G1128" s="123"/>
      <c r="H1128" s="95">
        <v>45996</v>
      </c>
      <c r="I1128">
        <v>36879</v>
      </c>
      <c r="J1128" s="123" t="s">
        <v>1340</v>
      </c>
      <c r="K1128" s="123" t="s">
        <v>1341</v>
      </c>
      <c r="L1128" s="123" t="e">
        <f>VLOOKUP(Fact_AUM_FyoCapital[[#This Row],[Dim_Empresas.CUIT]],'clientes SQL'!C:D,2,0)</f>
        <v>#N/A</v>
      </c>
    </row>
    <row r="1129" spans="1:12" hidden="1" x14ac:dyDescent="0.3">
      <c r="A1129">
        <v>2608949</v>
      </c>
      <c r="B1129">
        <v>20251205</v>
      </c>
      <c r="C1129">
        <v>1538</v>
      </c>
      <c r="D1129">
        <v>0</v>
      </c>
      <c r="E1129" s="123"/>
      <c r="F1129" s="123"/>
      <c r="G1129" s="123"/>
      <c r="H1129" s="95">
        <v>45996</v>
      </c>
      <c r="I1129">
        <v>19820</v>
      </c>
      <c r="J1129" s="123" t="s">
        <v>216</v>
      </c>
      <c r="K1129" s="123" t="s">
        <v>1146</v>
      </c>
      <c r="L1129" s="123" t="e">
        <f>VLOOKUP(Fact_AUM_FyoCapital[[#This Row],[Dim_Empresas.CUIT]],'clientes SQL'!C:D,2,0)</f>
        <v>#N/A</v>
      </c>
    </row>
    <row r="1130" spans="1:12" hidden="1" x14ac:dyDescent="0.3">
      <c r="A1130">
        <v>1901617</v>
      </c>
      <c r="B1130">
        <v>20251205</v>
      </c>
      <c r="C1130">
        <v>2173</v>
      </c>
      <c r="D1130">
        <v>12853.94</v>
      </c>
      <c r="E1130" s="123" t="s">
        <v>1566</v>
      </c>
      <c r="F1130" s="123" t="s">
        <v>1571</v>
      </c>
      <c r="G1130" s="123"/>
      <c r="H1130" s="95">
        <v>45996</v>
      </c>
      <c r="I1130">
        <v>30123</v>
      </c>
      <c r="J1130" s="123" t="s">
        <v>599</v>
      </c>
      <c r="K1130" s="123" t="s">
        <v>1125</v>
      </c>
      <c r="L1130" s="123" t="e">
        <f>VLOOKUP(Fact_AUM_FyoCapital[[#This Row],[Dim_Empresas.CUIT]],'clientes SQL'!C:D,2,0)</f>
        <v>#N/A</v>
      </c>
    </row>
    <row r="1131" spans="1:12" hidden="1" x14ac:dyDescent="0.3">
      <c r="A1131">
        <v>1886737</v>
      </c>
      <c r="B1131">
        <v>20251205</v>
      </c>
      <c r="C1131">
        <v>6418</v>
      </c>
      <c r="D1131">
        <v>0</v>
      </c>
      <c r="E1131" s="123"/>
      <c r="F1131" s="123"/>
      <c r="G1131" s="123"/>
      <c r="H1131" s="95">
        <v>45996</v>
      </c>
      <c r="I1131">
        <v>4368</v>
      </c>
      <c r="J1131" s="123" t="s">
        <v>1168</v>
      </c>
      <c r="K1131" s="123" t="s">
        <v>1169</v>
      </c>
      <c r="L1131" s="123" t="e">
        <f>VLOOKUP(Fact_AUM_FyoCapital[[#This Row],[Dim_Empresas.CUIT]],'clientes SQL'!C:D,2,0)</f>
        <v>#N/A</v>
      </c>
    </row>
    <row r="1132" spans="1:12" hidden="1" x14ac:dyDescent="0.3">
      <c r="A1132">
        <v>1864117</v>
      </c>
      <c r="B1132">
        <v>20251205</v>
      </c>
      <c r="C1132">
        <v>2299</v>
      </c>
      <c r="D1132">
        <v>0</v>
      </c>
      <c r="E1132" s="123"/>
      <c r="F1132" s="123"/>
      <c r="G1132" s="123"/>
      <c r="H1132" s="95">
        <v>45996</v>
      </c>
      <c r="I1132">
        <v>30388</v>
      </c>
      <c r="J1132" s="123" t="s">
        <v>290</v>
      </c>
      <c r="K1132" s="123" t="s">
        <v>1160</v>
      </c>
      <c r="L1132" s="123" t="e">
        <f>VLOOKUP(Fact_AUM_FyoCapital[[#This Row],[Dim_Empresas.CUIT]],'clientes SQL'!C:D,2,0)</f>
        <v>#N/A</v>
      </c>
    </row>
    <row r="1133" spans="1:12" hidden="1" x14ac:dyDescent="0.3">
      <c r="A1133">
        <v>1827517</v>
      </c>
      <c r="B1133">
        <v>20251205</v>
      </c>
      <c r="C1133">
        <v>5383</v>
      </c>
      <c r="D1133">
        <v>104.7</v>
      </c>
      <c r="E1133" s="123" t="s">
        <v>1566</v>
      </c>
      <c r="F1133" s="123" t="s">
        <v>1571</v>
      </c>
      <c r="G1133" s="123"/>
      <c r="H1133" s="95">
        <v>45996</v>
      </c>
      <c r="I1133">
        <v>33182</v>
      </c>
      <c r="J1133" s="123" t="s">
        <v>238</v>
      </c>
      <c r="K1133" s="123" t="s">
        <v>1167</v>
      </c>
      <c r="L1133" s="123" t="e">
        <f>VLOOKUP(Fact_AUM_FyoCapital[[#This Row],[Dim_Empresas.CUIT]],'clientes SQL'!C:D,2,0)</f>
        <v>#N/A</v>
      </c>
    </row>
    <row r="1134" spans="1:12" hidden="1" x14ac:dyDescent="0.3">
      <c r="A1134">
        <v>1847317</v>
      </c>
      <c r="B1134">
        <v>20251205</v>
      </c>
      <c r="C1134">
        <v>13761</v>
      </c>
      <c r="D1134">
        <v>2520.44</v>
      </c>
      <c r="E1134" s="123" t="s">
        <v>1566</v>
      </c>
      <c r="F1134" s="123" t="s">
        <v>1571</v>
      </c>
      <c r="G1134" s="123"/>
      <c r="H1134" s="95">
        <v>45996</v>
      </c>
      <c r="I1134">
        <v>36914</v>
      </c>
      <c r="J1134" s="123" t="s">
        <v>315</v>
      </c>
      <c r="K1134" s="123" t="s">
        <v>1106</v>
      </c>
      <c r="L1134" s="123" t="e">
        <f>VLOOKUP(Fact_AUM_FyoCapital[[#This Row],[Dim_Empresas.CUIT]],'clientes SQL'!C:D,2,0)</f>
        <v>#N/A</v>
      </c>
    </row>
    <row r="1135" spans="1:12" hidden="1" x14ac:dyDescent="0.3">
      <c r="A1135">
        <v>1901497</v>
      </c>
      <c r="B1135">
        <v>20251205</v>
      </c>
      <c r="C1135">
        <v>2173</v>
      </c>
      <c r="D1135">
        <v>15209.79</v>
      </c>
      <c r="E1135" s="123" t="s">
        <v>1566</v>
      </c>
      <c r="F1135" s="123" t="s">
        <v>1571</v>
      </c>
      <c r="G1135" s="123"/>
      <c r="H1135" s="95">
        <v>45996</v>
      </c>
      <c r="I1135">
        <v>30123</v>
      </c>
      <c r="J1135" s="123" t="s">
        <v>599</v>
      </c>
      <c r="K1135" s="123" t="s">
        <v>1125</v>
      </c>
      <c r="L1135" s="123" t="e">
        <f>VLOOKUP(Fact_AUM_FyoCapital[[#This Row],[Dim_Empresas.CUIT]],'clientes SQL'!C:D,2,0)</f>
        <v>#N/A</v>
      </c>
    </row>
    <row r="1136" spans="1:12" hidden="1" x14ac:dyDescent="0.3">
      <c r="A1136">
        <v>2604029</v>
      </c>
      <c r="B1136">
        <v>20251205</v>
      </c>
      <c r="C1136">
        <v>7012</v>
      </c>
      <c r="D1136">
        <v>276.59186535764377</v>
      </c>
      <c r="E1136" s="123" t="s">
        <v>1566</v>
      </c>
      <c r="F1136" s="123" t="s">
        <v>1573</v>
      </c>
      <c r="G1136" s="123"/>
      <c r="H1136" s="95">
        <v>45996</v>
      </c>
      <c r="I1136">
        <v>34708</v>
      </c>
      <c r="J1136" s="123" t="s">
        <v>626</v>
      </c>
      <c r="K1136" s="123" t="s">
        <v>1203</v>
      </c>
      <c r="L1136" s="123" t="e">
        <f>VLOOKUP(Fact_AUM_FyoCapital[[#This Row],[Dim_Empresas.CUIT]],'clientes SQL'!C:D,2,0)</f>
        <v>#N/A</v>
      </c>
    </row>
    <row r="1137" spans="1:12" hidden="1" x14ac:dyDescent="0.3">
      <c r="A1137">
        <v>1835377</v>
      </c>
      <c r="B1137">
        <v>20251205</v>
      </c>
      <c r="C1137">
        <v>1559</v>
      </c>
      <c r="D1137">
        <v>33521.5</v>
      </c>
      <c r="E1137" s="123" t="s">
        <v>1566</v>
      </c>
      <c r="F1137" s="123" t="s">
        <v>1578</v>
      </c>
      <c r="G1137" s="123"/>
      <c r="H1137" s="95">
        <v>45996</v>
      </c>
      <c r="I1137">
        <v>20235</v>
      </c>
      <c r="J1137" s="123" t="s">
        <v>1082</v>
      </c>
      <c r="K1137" s="123" t="s">
        <v>1083</v>
      </c>
      <c r="L1137" s="123" t="e">
        <f>VLOOKUP(Fact_AUM_FyoCapital[[#This Row],[Dim_Empresas.CUIT]],'clientes SQL'!C:D,2,0)</f>
        <v>#N/A</v>
      </c>
    </row>
    <row r="1138" spans="1:12" hidden="1" x14ac:dyDescent="0.3">
      <c r="A1138">
        <v>1827097</v>
      </c>
      <c r="B1138">
        <v>20251205</v>
      </c>
      <c r="C1138">
        <v>1538</v>
      </c>
      <c r="D1138">
        <v>20807.638576437588</v>
      </c>
      <c r="E1138" s="123" t="s">
        <v>1568</v>
      </c>
      <c r="F1138" s="123" t="s">
        <v>1572</v>
      </c>
      <c r="G1138" s="123" t="s">
        <v>1583</v>
      </c>
      <c r="H1138" s="95">
        <v>45996</v>
      </c>
      <c r="I1138">
        <v>19820</v>
      </c>
      <c r="J1138" s="123" t="s">
        <v>216</v>
      </c>
      <c r="K1138" s="123" t="s">
        <v>1146</v>
      </c>
      <c r="L1138" s="123" t="e">
        <f>VLOOKUP(Fact_AUM_FyoCapital[[#This Row],[Dim_Empresas.CUIT]],'clientes SQL'!C:D,2,0)</f>
        <v>#N/A</v>
      </c>
    </row>
    <row r="1139" spans="1:12" hidden="1" x14ac:dyDescent="0.3">
      <c r="A1139">
        <v>2603669</v>
      </c>
      <c r="B1139">
        <v>20251205</v>
      </c>
      <c r="C1139">
        <v>7012</v>
      </c>
      <c r="D1139">
        <v>7502.53</v>
      </c>
      <c r="E1139" s="123" t="s">
        <v>1566</v>
      </c>
      <c r="F1139" s="123" t="s">
        <v>1571</v>
      </c>
      <c r="G1139" s="123"/>
      <c r="H1139" s="95">
        <v>45996</v>
      </c>
      <c r="I1139">
        <v>34708</v>
      </c>
      <c r="J1139" s="123" t="s">
        <v>626</v>
      </c>
      <c r="K1139" s="123" t="s">
        <v>1203</v>
      </c>
      <c r="L1139" s="123" t="e">
        <f>VLOOKUP(Fact_AUM_FyoCapital[[#This Row],[Dim_Empresas.CUIT]],'clientes SQL'!C:D,2,0)</f>
        <v>#N/A</v>
      </c>
    </row>
    <row r="1140" spans="1:12" hidden="1" x14ac:dyDescent="0.3">
      <c r="A1140">
        <v>1838497</v>
      </c>
      <c r="B1140">
        <v>20251205</v>
      </c>
      <c r="C1140">
        <v>5235</v>
      </c>
      <c r="D1140">
        <v>24830.578541374474</v>
      </c>
      <c r="E1140" s="123" t="s">
        <v>1566</v>
      </c>
      <c r="F1140" s="123" t="s">
        <v>1573</v>
      </c>
      <c r="G1140" s="123"/>
      <c r="H1140" s="95">
        <v>45996</v>
      </c>
      <c r="I1140">
        <v>33099</v>
      </c>
      <c r="J1140" s="123" t="s">
        <v>346</v>
      </c>
      <c r="K1140" s="123" t="s">
        <v>1118</v>
      </c>
      <c r="L1140" s="123" t="e">
        <f>VLOOKUP(Fact_AUM_FyoCapital[[#This Row],[Dim_Empresas.CUIT]],'clientes SQL'!C:D,2,0)</f>
        <v>#N/A</v>
      </c>
    </row>
    <row r="1141" spans="1:12" hidden="1" x14ac:dyDescent="0.3">
      <c r="A1141">
        <v>1891237</v>
      </c>
      <c r="B1141">
        <v>20251205</v>
      </c>
      <c r="C1141">
        <v>3479</v>
      </c>
      <c r="D1141">
        <v>0</v>
      </c>
      <c r="E1141" s="123"/>
      <c r="F1141" s="123"/>
      <c r="G1141" s="123"/>
      <c r="H1141" s="95">
        <v>45996</v>
      </c>
      <c r="I1141">
        <v>31936</v>
      </c>
      <c r="J1141" s="123" t="s">
        <v>456</v>
      </c>
      <c r="K1141" s="123" t="s">
        <v>1119</v>
      </c>
      <c r="L1141" s="123" t="e">
        <f>VLOOKUP(Fact_AUM_FyoCapital[[#This Row],[Dim_Empresas.CUIT]],'clientes SQL'!C:D,2,0)</f>
        <v>#N/A</v>
      </c>
    </row>
    <row r="1142" spans="1:12" hidden="1" x14ac:dyDescent="0.3">
      <c r="A1142">
        <v>2639669</v>
      </c>
      <c r="B1142">
        <v>20251205</v>
      </c>
      <c r="C1142">
        <v>13558</v>
      </c>
      <c r="D1142">
        <v>-1.4025245441795232E-5</v>
      </c>
      <c r="E1142" s="123" t="s">
        <v>1563</v>
      </c>
      <c r="F1142" s="123" t="s">
        <v>185</v>
      </c>
      <c r="G1142" s="123"/>
      <c r="H1142" s="95">
        <v>45996</v>
      </c>
      <c r="I1142">
        <v>36729</v>
      </c>
      <c r="J1142" s="123" t="s">
        <v>600</v>
      </c>
      <c r="K1142" s="123" t="s">
        <v>1328</v>
      </c>
      <c r="L1142" s="123" t="e">
        <f>VLOOKUP(Fact_AUM_FyoCapital[[#This Row],[Dim_Empresas.CUIT]],'clientes SQL'!C:D,2,0)</f>
        <v>#N/A</v>
      </c>
    </row>
    <row r="1143" spans="1:12" hidden="1" x14ac:dyDescent="0.3">
      <c r="A1143">
        <v>1875937</v>
      </c>
      <c r="B1143">
        <v>20251205</v>
      </c>
      <c r="C1143">
        <v>331</v>
      </c>
      <c r="D1143">
        <v>13580.4698457223</v>
      </c>
      <c r="E1143" s="123" t="s">
        <v>1566</v>
      </c>
      <c r="F1143" s="123" t="s">
        <v>1573</v>
      </c>
      <c r="G1143" s="123"/>
      <c r="H1143" s="95">
        <v>45996</v>
      </c>
      <c r="I1143">
        <v>652</v>
      </c>
      <c r="J1143" s="123" t="s">
        <v>447</v>
      </c>
      <c r="K1143" s="123" t="s">
        <v>1143</v>
      </c>
      <c r="L1143" s="123" t="e">
        <f>VLOOKUP(Fact_AUM_FyoCapital[[#This Row],[Dim_Empresas.CUIT]],'clientes SQL'!C:D,2,0)</f>
        <v>#N/A</v>
      </c>
    </row>
    <row r="1144" spans="1:12" hidden="1" x14ac:dyDescent="0.3">
      <c r="A1144">
        <v>2604329</v>
      </c>
      <c r="B1144">
        <v>20251205</v>
      </c>
      <c r="C1144">
        <v>7012</v>
      </c>
      <c r="D1144">
        <v>17372.705701262272</v>
      </c>
      <c r="E1144" s="123" t="s">
        <v>1568</v>
      </c>
      <c r="F1144" s="123" t="s">
        <v>1575</v>
      </c>
      <c r="G1144" s="123" t="s">
        <v>1570</v>
      </c>
      <c r="H1144" s="95">
        <v>45996</v>
      </c>
      <c r="I1144">
        <v>34708</v>
      </c>
      <c r="J1144" s="123" t="s">
        <v>626</v>
      </c>
      <c r="K1144" s="123" t="s">
        <v>1203</v>
      </c>
      <c r="L1144" s="123" t="e">
        <f>VLOOKUP(Fact_AUM_FyoCapital[[#This Row],[Dim_Empresas.CUIT]],'clientes SQL'!C:D,2,0)</f>
        <v>#N/A</v>
      </c>
    </row>
    <row r="1145" spans="1:12" hidden="1" x14ac:dyDescent="0.3">
      <c r="A1145">
        <v>2613809</v>
      </c>
      <c r="B1145">
        <v>20251205</v>
      </c>
      <c r="C1145">
        <v>7</v>
      </c>
      <c r="D1145">
        <v>-1623455.5</v>
      </c>
      <c r="E1145" s="123" t="s">
        <v>1563</v>
      </c>
      <c r="F1145" s="123" t="s">
        <v>801</v>
      </c>
      <c r="G1145" s="123"/>
      <c r="H1145" s="95">
        <v>45996</v>
      </c>
      <c r="I1145">
        <v>5181</v>
      </c>
      <c r="J1145" s="123" t="s">
        <v>212</v>
      </c>
      <c r="K1145" s="123" t="s">
        <v>1238</v>
      </c>
      <c r="L1145" s="123" t="e">
        <f>VLOOKUP(Fact_AUM_FyoCapital[[#This Row],[Dim_Empresas.CUIT]],'clientes SQL'!C:D,2,0)</f>
        <v>#N/A</v>
      </c>
    </row>
    <row r="1146" spans="1:12" hidden="1" x14ac:dyDescent="0.3">
      <c r="A1146">
        <v>1863337</v>
      </c>
      <c r="B1146">
        <v>20251205</v>
      </c>
      <c r="C1146">
        <v>2299</v>
      </c>
      <c r="D1146">
        <v>983273.3</v>
      </c>
      <c r="E1146" s="123" t="s">
        <v>1566</v>
      </c>
      <c r="F1146" s="123" t="s">
        <v>1578</v>
      </c>
      <c r="G1146" s="123"/>
      <c r="H1146" s="95">
        <v>45996</v>
      </c>
      <c r="I1146">
        <v>30388</v>
      </c>
      <c r="J1146" s="123" t="s">
        <v>290</v>
      </c>
      <c r="K1146" s="123" t="s">
        <v>1160</v>
      </c>
      <c r="L1146" s="123" t="e">
        <f>VLOOKUP(Fact_AUM_FyoCapital[[#This Row],[Dim_Empresas.CUIT]],'clientes SQL'!C:D,2,0)</f>
        <v>#N/A</v>
      </c>
    </row>
    <row r="1147" spans="1:12" hidden="1" x14ac:dyDescent="0.3">
      <c r="A1147">
        <v>1891417</v>
      </c>
      <c r="B1147">
        <v>20251205</v>
      </c>
      <c r="C1147">
        <v>3479</v>
      </c>
      <c r="D1147">
        <v>2128176.8022440393</v>
      </c>
      <c r="E1147" s="123" t="s">
        <v>1566</v>
      </c>
      <c r="F1147" s="123" t="s">
        <v>1573</v>
      </c>
      <c r="G1147" s="123"/>
      <c r="H1147" s="95">
        <v>45996</v>
      </c>
      <c r="I1147">
        <v>31936</v>
      </c>
      <c r="J1147" s="123" t="s">
        <v>456</v>
      </c>
      <c r="K1147" s="123" t="s">
        <v>1119</v>
      </c>
      <c r="L1147" s="123" t="e">
        <f>VLOOKUP(Fact_AUM_FyoCapital[[#This Row],[Dim_Empresas.CUIT]],'clientes SQL'!C:D,2,0)</f>
        <v>#N/A</v>
      </c>
    </row>
    <row r="1148" spans="1:12" hidden="1" x14ac:dyDescent="0.3">
      <c r="A1148">
        <v>2627909</v>
      </c>
      <c r="B1148">
        <v>20251205</v>
      </c>
      <c r="C1148">
        <v>9981</v>
      </c>
      <c r="D1148">
        <v>4.7422791023842912</v>
      </c>
      <c r="E1148" s="123" t="s">
        <v>1563</v>
      </c>
      <c r="F1148" s="123" t="s">
        <v>185</v>
      </c>
      <c r="G1148" s="123"/>
      <c r="H1148" s="95">
        <v>45996</v>
      </c>
      <c r="I1148">
        <v>35477</v>
      </c>
      <c r="J1148" s="123" t="s">
        <v>484</v>
      </c>
      <c r="K1148" s="123" t="s">
        <v>1227</v>
      </c>
      <c r="L1148" s="123" t="e">
        <f>VLOOKUP(Fact_AUM_FyoCapital[[#This Row],[Dim_Empresas.CUIT]],'clientes SQL'!C:D,2,0)</f>
        <v>#N/A</v>
      </c>
    </row>
    <row r="1149" spans="1:12" hidden="1" x14ac:dyDescent="0.3">
      <c r="A1149">
        <v>1852657</v>
      </c>
      <c r="B1149">
        <v>20251205</v>
      </c>
      <c r="C1149">
        <v>3119</v>
      </c>
      <c r="D1149">
        <v>21209.862798036465</v>
      </c>
      <c r="E1149" s="123" t="s">
        <v>1566</v>
      </c>
      <c r="F1149" s="123" t="s">
        <v>1571</v>
      </c>
      <c r="G1149" s="123"/>
      <c r="H1149" s="95">
        <v>45996</v>
      </c>
      <c r="I1149">
        <v>31525</v>
      </c>
      <c r="J1149" s="123" t="s">
        <v>432</v>
      </c>
      <c r="K1149" s="123" t="s">
        <v>1145</v>
      </c>
      <c r="L1149" s="123" t="e">
        <f>VLOOKUP(Fact_AUM_FyoCapital[[#This Row],[Dim_Empresas.CUIT]],'clientes SQL'!C:D,2,0)</f>
        <v>#N/A</v>
      </c>
    </row>
    <row r="1150" spans="1:12" hidden="1" x14ac:dyDescent="0.3">
      <c r="A1150">
        <v>1892317</v>
      </c>
      <c r="B1150">
        <v>20251205</v>
      </c>
      <c r="C1150">
        <v>3479</v>
      </c>
      <c r="D1150">
        <v>74740.336605890596</v>
      </c>
      <c r="E1150" s="123" t="s">
        <v>1566</v>
      </c>
      <c r="F1150" s="123" t="s">
        <v>1580</v>
      </c>
      <c r="G1150" s="123"/>
      <c r="H1150" s="95">
        <v>45996</v>
      </c>
      <c r="I1150">
        <v>31936</v>
      </c>
      <c r="J1150" s="123" t="s">
        <v>456</v>
      </c>
      <c r="K1150" s="123" t="s">
        <v>1119</v>
      </c>
      <c r="L1150" s="123" t="e">
        <f>VLOOKUP(Fact_AUM_FyoCapital[[#This Row],[Dim_Empresas.CUIT]],'clientes SQL'!C:D,2,0)</f>
        <v>#N/A</v>
      </c>
    </row>
    <row r="1151" spans="1:12" hidden="1" x14ac:dyDescent="0.3">
      <c r="A1151">
        <v>2639609</v>
      </c>
      <c r="B1151">
        <v>20251205</v>
      </c>
      <c r="C1151">
        <v>2369</v>
      </c>
      <c r="D1151">
        <v>-3.0794249649368863</v>
      </c>
      <c r="E1151" s="123" t="s">
        <v>1563</v>
      </c>
      <c r="F1151" s="123" t="s">
        <v>185</v>
      </c>
      <c r="G1151" s="123"/>
      <c r="H1151" s="95">
        <v>45996</v>
      </c>
      <c r="I1151">
        <v>30511</v>
      </c>
      <c r="J1151" s="123" t="s">
        <v>575</v>
      </c>
      <c r="K1151" s="123" t="s">
        <v>1311</v>
      </c>
      <c r="L1151" s="123" t="e">
        <f>VLOOKUP(Fact_AUM_FyoCapital[[#This Row],[Dim_Empresas.CUIT]],'clientes SQL'!C:D,2,0)</f>
        <v>#N/A</v>
      </c>
    </row>
    <row r="1152" spans="1:12" hidden="1" x14ac:dyDescent="0.3">
      <c r="A1152">
        <v>1843657</v>
      </c>
      <c r="B1152">
        <v>20251205</v>
      </c>
      <c r="C1152">
        <v>10103</v>
      </c>
      <c r="D1152">
        <v>11826.68</v>
      </c>
      <c r="E1152" s="123" t="s">
        <v>1566</v>
      </c>
      <c r="F1152" s="123" t="s">
        <v>1571</v>
      </c>
      <c r="G1152" s="123"/>
      <c r="H1152" s="95">
        <v>45996</v>
      </c>
      <c r="I1152">
        <v>35568</v>
      </c>
      <c r="J1152" s="123" t="s">
        <v>299</v>
      </c>
      <c r="K1152" s="123" t="s">
        <v>1202</v>
      </c>
      <c r="L1152" s="123" t="e">
        <f>VLOOKUP(Fact_AUM_FyoCapital[[#This Row],[Dim_Empresas.CUIT]],'clientes SQL'!C:D,2,0)</f>
        <v>#N/A</v>
      </c>
    </row>
    <row r="1153" spans="1:12" hidden="1" x14ac:dyDescent="0.3">
      <c r="A1153">
        <v>1831477</v>
      </c>
      <c r="B1153">
        <v>20251205</v>
      </c>
      <c r="C1153">
        <v>6154</v>
      </c>
      <c r="D1153">
        <v>136206.10577840114</v>
      </c>
      <c r="E1153" s="123" t="s">
        <v>1568</v>
      </c>
      <c r="F1153" s="123" t="s">
        <v>1572</v>
      </c>
      <c r="G1153" s="123" t="s">
        <v>1584</v>
      </c>
      <c r="H1153" s="95">
        <v>45996</v>
      </c>
      <c r="I1153">
        <v>34268</v>
      </c>
      <c r="J1153" s="123" t="s">
        <v>1141</v>
      </c>
      <c r="K1153" s="123" t="s">
        <v>1142</v>
      </c>
      <c r="L1153" s="123" t="e">
        <f>VLOOKUP(Fact_AUM_FyoCapital[[#This Row],[Dim_Empresas.CUIT]],'clientes SQL'!C:D,2,0)</f>
        <v>#N/A</v>
      </c>
    </row>
    <row r="1154" spans="1:12" hidden="1" x14ac:dyDescent="0.3">
      <c r="A1154">
        <v>2604269</v>
      </c>
      <c r="B1154">
        <v>20251205</v>
      </c>
      <c r="C1154">
        <v>7012</v>
      </c>
      <c r="D1154">
        <v>346.96704067321178</v>
      </c>
      <c r="E1154" s="123" t="s">
        <v>1566</v>
      </c>
      <c r="F1154" s="123" t="s">
        <v>1573</v>
      </c>
      <c r="G1154" s="123"/>
      <c r="H1154" s="95">
        <v>45996</v>
      </c>
      <c r="I1154">
        <v>34708</v>
      </c>
      <c r="J1154" s="123" t="s">
        <v>626</v>
      </c>
      <c r="K1154" s="123" t="s">
        <v>1203</v>
      </c>
      <c r="L1154" s="123" t="e">
        <f>VLOOKUP(Fact_AUM_FyoCapital[[#This Row],[Dim_Empresas.CUIT]],'clientes SQL'!C:D,2,0)</f>
        <v>#N/A</v>
      </c>
    </row>
    <row r="1155" spans="1:12" hidden="1" x14ac:dyDescent="0.3">
      <c r="A1155">
        <v>2610809</v>
      </c>
      <c r="B1155">
        <v>20251205</v>
      </c>
      <c r="C1155">
        <v>1768</v>
      </c>
      <c r="D1155" s="6">
        <v>-19.607398316970549</v>
      </c>
      <c r="E1155" s="123" t="s">
        <v>1563</v>
      </c>
      <c r="F1155" s="123" t="s">
        <v>185</v>
      </c>
      <c r="G1155" s="123"/>
      <c r="H1155" s="95">
        <v>45996</v>
      </c>
      <c r="I1155">
        <v>20575</v>
      </c>
      <c r="J1155" s="123" t="s">
        <v>263</v>
      </c>
      <c r="K1155" s="123" t="s">
        <v>1289</v>
      </c>
      <c r="L1155" s="123" t="e">
        <f>VLOOKUP(Fact_AUM_FyoCapital[[#This Row],[Dim_Empresas.CUIT]],'clientes SQL'!C:D,2,0)</f>
        <v>#N/A</v>
      </c>
    </row>
    <row r="1156" spans="1:12" hidden="1" x14ac:dyDescent="0.3">
      <c r="A1156">
        <v>1826977</v>
      </c>
      <c r="B1156">
        <v>20251205</v>
      </c>
      <c r="C1156">
        <v>4263</v>
      </c>
      <c r="D1156">
        <v>268568.88577138854</v>
      </c>
      <c r="E1156" s="123" t="s">
        <v>1568</v>
      </c>
      <c r="F1156" s="123" t="s">
        <v>1572</v>
      </c>
      <c r="G1156" s="123" t="s">
        <v>1570</v>
      </c>
      <c r="H1156" s="95">
        <v>45996</v>
      </c>
      <c r="I1156">
        <v>20401</v>
      </c>
      <c r="J1156" s="123" t="s">
        <v>1331</v>
      </c>
      <c r="K1156" s="123" t="s">
        <v>1332</v>
      </c>
      <c r="L1156" s="123" t="e">
        <f>VLOOKUP(Fact_AUM_FyoCapital[[#This Row],[Dim_Empresas.CUIT]],'clientes SQL'!C:D,2,0)</f>
        <v>#N/A</v>
      </c>
    </row>
    <row r="1157" spans="1:12" hidden="1" x14ac:dyDescent="0.3">
      <c r="A1157">
        <v>1828657</v>
      </c>
      <c r="B1157">
        <v>20251205</v>
      </c>
      <c r="C1157">
        <v>5383</v>
      </c>
      <c r="D1157">
        <v>63801.647966339413</v>
      </c>
      <c r="E1157" s="123" t="s">
        <v>1566</v>
      </c>
      <c r="F1157" s="123" t="s">
        <v>1580</v>
      </c>
      <c r="G1157" s="123"/>
      <c r="H1157" s="95">
        <v>45996</v>
      </c>
      <c r="I1157">
        <v>33182</v>
      </c>
      <c r="J1157" s="123" t="s">
        <v>238</v>
      </c>
      <c r="K1157" s="123" t="s">
        <v>1167</v>
      </c>
      <c r="L1157" s="123" t="e">
        <f>VLOOKUP(Fact_AUM_FyoCapital[[#This Row],[Dim_Empresas.CUIT]],'clientes SQL'!C:D,2,0)</f>
        <v>#N/A</v>
      </c>
    </row>
    <row r="1158" spans="1:12" hidden="1" x14ac:dyDescent="0.3">
      <c r="A1158">
        <v>2624789</v>
      </c>
      <c r="B1158">
        <v>20251205</v>
      </c>
      <c r="C1158">
        <v>2299</v>
      </c>
      <c r="D1158">
        <v>-0.01</v>
      </c>
      <c r="E1158" s="123" t="s">
        <v>1563</v>
      </c>
      <c r="F1158" s="123" t="s">
        <v>801</v>
      </c>
      <c r="G1158" s="123"/>
      <c r="H1158" s="95">
        <v>45996</v>
      </c>
      <c r="I1158">
        <v>30388</v>
      </c>
      <c r="J1158" s="123" t="s">
        <v>290</v>
      </c>
      <c r="K1158" s="123" t="s">
        <v>1160</v>
      </c>
      <c r="L1158" s="123" t="e">
        <f>VLOOKUP(Fact_AUM_FyoCapital[[#This Row],[Dim_Empresas.CUIT]],'clientes SQL'!C:D,2,0)</f>
        <v>#N/A</v>
      </c>
    </row>
    <row r="1159" spans="1:12" hidden="1" x14ac:dyDescent="0.3">
      <c r="A1159">
        <v>1862557</v>
      </c>
      <c r="B1159">
        <v>20251205</v>
      </c>
      <c r="C1159">
        <v>682</v>
      </c>
      <c r="D1159">
        <v>0</v>
      </c>
      <c r="E1159" s="123"/>
      <c r="F1159" s="123"/>
      <c r="G1159" s="123"/>
      <c r="H1159" s="95">
        <v>45996</v>
      </c>
      <c r="I1159">
        <v>9775</v>
      </c>
      <c r="J1159" s="123" t="s">
        <v>287</v>
      </c>
      <c r="K1159" s="123" t="s">
        <v>1320</v>
      </c>
      <c r="L1159" s="123" t="e">
        <f>VLOOKUP(Fact_AUM_FyoCapital[[#This Row],[Dim_Empresas.CUIT]],'clientes SQL'!C:D,2,0)</f>
        <v>#N/A</v>
      </c>
    </row>
    <row r="1160" spans="1:12" hidden="1" x14ac:dyDescent="0.3">
      <c r="A1160">
        <v>2604809</v>
      </c>
      <c r="B1160">
        <v>20251205</v>
      </c>
      <c r="C1160">
        <v>10061</v>
      </c>
      <c r="D1160">
        <v>15541.33</v>
      </c>
      <c r="E1160" s="123" t="s">
        <v>1566</v>
      </c>
      <c r="F1160" s="123" t="s">
        <v>1579</v>
      </c>
      <c r="G1160" s="123"/>
      <c r="H1160" s="95">
        <v>45996</v>
      </c>
      <c r="I1160">
        <v>35528</v>
      </c>
      <c r="J1160" s="123" t="s">
        <v>616</v>
      </c>
      <c r="K1160" s="123" t="s">
        <v>1237</v>
      </c>
      <c r="L1160" s="123" t="e">
        <f>VLOOKUP(Fact_AUM_FyoCapital[[#This Row],[Dim_Empresas.CUIT]],'clientes SQL'!C:D,2,0)</f>
        <v>#N/A</v>
      </c>
    </row>
    <row r="1161" spans="1:12" hidden="1" x14ac:dyDescent="0.3">
      <c r="A1161">
        <v>1896817</v>
      </c>
      <c r="B1161">
        <v>20251205</v>
      </c>
      <c r="C1161">
        <v>10253</v>
      </c>
      <c r="D1161">
        <v>37985.049088359046</v>
      </c>
      <c r="E1161" s="123" t="s">
        <v>1566</v>
      </c>
      <c r="F1161" s="123" t="s">
        <v>1580</v>
      </c>
      <c r="G1161" s="123"/>
      <c r="H1161" s="95">
        <v>45996</v>
      </c>
      <c r="I1161">
        <v>35643</v>
      </c>
      <c r="J1161" s="123" t="s">
        <v>603</v>
      </c>
      <c r="K1161" s="123" t="s">
        <v>1220</v>
      </c>
      <c r="L1161" s="123" t="e">
        <f>VLOOKUP(Fact_AUM_FyoCapital[[#This Row],[Dim_Empresas.CUIT]],'clientes SQL'!C:D,2,0)</f>
        <v>#N/A</v>
      </c>
    </row>
    <row r="1162" spans="1:12" hidden="1" x14ac:dyDescent="0.3">
      <c r="A1162">
        <v>1852237</v>
      </c>
      <c r="B1162">
        <v>20251205</v>
      </c>
      <c r="C1162">
        <v>606</v>
      </c>
      <c r="D1162">
        <v>14945.76</v>
      </c>
      <c r="E1162" s="123" t="s">
        <v>1566</v>
      </c>
      <c r="F1162" s="123" t="s">
        <v>1571</v>
      </c>
      <c r="G1162" s="123"/>
      <c r="H1162" s="95">
        <v>45996</v>
      </c>
      <c r="I1162">
        <v>2093</v>
      </c>
      <c r="J1162" s="123" t="s">
        <v>365</v>
      </c>
      <c r="K1162" s="123" t="s">
        <v>1206</v>
      </c>
      <c r="L1162" s="123" t="e">
        <f>VLOOKUP(Fact_AUM_FyoCapital[[#This Row],[Dim_Empresas.CUIT]],'clientes SQL'!C:D,2,0)</f>
        <v>#N/A</v>
      </c>
    </row>
    <row r="1163" spans="1:12" hidden="1" x14ac:dyDescent="0.3">
      <c r="A1163">
        <v>1902517</v>
      </c>
      <c r="B1163">
        <v>20251205</v>
      </c>
      <c r="C1163">
        <v>14873</v>
      </c>
      <c r="D1163">
        <v>693.93408134642357</v>
      </c>
      <c r="E1163" s="123" t="s">
        <v>1566</v>
      </c>
      <c r="F1163" s="123" t="s">
        <v>1573</v>
      </c>
      <c r="G1163" s="123"/>
      <c r="H1163" s="95">
        <v>45996</v>
      </c>
      <c r="I1163">
        <v>37088</v>
      </c>
      <c r="J1163" s="123" t="s">
        <v>571</v>
      </c>
      <c r="K1163" s="123" t="s">
        <v>1269</v>
      </c>
      <c r="L1163" s="123" t="e">
        <f>VLOOKUP(Fact_AUM_FyoCapital[[#This Row],[Dim_Empresas.CUIT]],'clientes SQL'!C:D,2,0)</f>
        <v>#N/A</v>
      </c>
    </row>
    <row r="1164" spans="1:12" hidden="1" x14ac:dyDescent="0.3">
      <c r="A1164">
        <v>1896877</v>
      </c>
      <c r="B1164">
        <v>20251205</v>
      </c>
      <c r="C1164">
        <v>10253</v>
      </c>
      <c r="D1164">
        <v>8776.2096774193542</v>
      </c>
      <c r="E1164" s="123" t="s">
        <v>1566</v>
      </c>
      <c r="F1164" s="123" t="s">
        <v>1573</v>
      </c>
      <c r="G1164" s="123"/>
      <c r="H1164" s="95">
        <v>45996</v>
      </c>
      <c r="I1164">
        <v>35643</v>
      </c>
      <c r="J1164" s="123" t="s">
        <v>603</v>
      </c>
      <c r="K1164" s="123" t="s">
        <v>1220</v>
      </c>
      <c r="L1164" s="123" t="e">
        <f>VLOOKUP(Fact_AUM_FyoCapital[[#This Row],[Dim_Empresas.CUIT]],'clientes SQL'!C:D,2,0)</f>
        <v>#N/A</v>
      </c>
    </row>
    <row r="1165" spans="1:12" hidden="1" x14ac:dyDescent="0.3">
      <c r="A1165">
        <v>1848337</v>
      </c>
      <c r="B1165">
        <v>20251205</v>
      </c>
      <c r="C1165">
        <v>13761</v>
      </c>
      <c r="D1165">
        <v>5999.4</v>
      </c>
      <c r="E1165" s="123" t="s">
        <v>1566</v>
      </c>
      <c r="F1165" s="123" t="s">
        <v>1579</v>
      </c>
      <c r="G1165" s="123"/>
      <c r="H1165" s="95">
        <v>45996</v>
      </c>
      <c r="I1165">
        <v>36914</v>
      </c>
      <c r="J1165" s="123" t="s">
        <v>315</v>
      </c>
      <c r="K1165" s="123" t="s">
        <v>1106</v>
      </c>
      <c r="L1165" s="123" t="e">
        <f>VLOOKUP(Fact_AUM_FyoCapital[[#This Row],[Dim_Empresas.CUIT]],'clientes SQL'!C:D,2,0)</f>
        <v>#N/A</v>
      </c>
    </row>
    <row r="1166" spans="1:12" hidden="1" x14ac:dyDescent="0.3">
      <c r="A1166">
        <v>1899757</v>
      </c>
      <c r="B1166">
        <v>20251205</v>
      </c>
      <c r="C1166">
        <v>656</v>
      </c>
      <c r="D1166">
        <v>27910.368169705467</v>
      </c>
      <c r="E1166" s="123" t="s">
        <v>1566</v>
      </c>
      <c r="F1166" s="123" t="s">
        <v>1571</v>
      </c>
      <c r="G1166" s="123"/>
      <c r="H1166" s="95">
        <v>45996</v>
      </c>
      <c r="I1166">
        <v>5003</v>
      </c>
      <c r="J1166" s="123" t="s">
        <v>1153</v>
      </c>
      <c r="K1166" s="123" t="s">
        <v>1154</v>
      </c>
      <c r="L1166" s="123" t="e">
        <f>VLOOKUP(Fact_AUM_FyoCapital[[#This Row],[Dim_Empresas.CUIT]],'clientes SQL'!C:D,2,0)</f>
        <v>#N/A</v>
      </c>
    </row>
    <row r="1167" spans="1:12" hidden="1" x14ac:dyDescent="0.3">
      <c r="A1167">
        <v>1891537</v>
      </c>
      <c r="B1167">
        <v>20251205</v>
      </c>
      <c r="C1167">
        <v>3479</v>
      </c>
      <c r="D1167">
        <v>25251.716339410941</v>
      </c>
      <c r="E1167" s="123" t="s">
        <v>1566</v>
      </c>
      <c r="F1167" s="123" t="s">
        <v>1573</v>
      </c>
      <c r="G1167" s="123"/>
      <c r="H1167" s="95">
        <v>45996</v>
      </c>
      <c r="I1167">
        <v>31936</v>
      </c>
      <c r="J1167" s="123" t="s">
        <v>456</v>
      </c>
      <c r="K1167" s="123" t="s">
        <v>1119</v>
      </c>
      <c r="L1167" s="123" t="e">
        <f>VLOOKUP(Fact_AUM_FyoCapital[[#This Row],[Dim_Empresas.CUIT]],'clientes SQL'!C:D,2,0)</f>
        <v>#N/A</v>
      </c>
    </row>
    <row r="1168" spans="1:12" hidden="1" x14ac:dyDescent="0.3">
      <c r="A1168">
        <v>1853617</v>
      </c>
      <c r="B1168">
        <v>20251205</v>
      </c>
      <c r="C1168">
        <v>974</v>
      </c>
      <c r="D1168">
        <v>707863.06690743333</v>
      </c>
      <c r="E1168" s="123" t="s">
        <v>1568</v>
      </c>
      <c r="F1168" s="123" t="s">
        <v>1572</v>
      </c>
      <c r="G1168" s="123" t="s">
        <v>1584</v>
      </c>
      <c r="H1168" s="95">
        <v>45996</v>
      </c>
      <c r="I1168">
        <v>9551</v>
      </c>
      <c r="J1168" s="123" t="s">
        <v>423</v>
      </c>
      <c r="K1168" s="123" t="s">
        <v>1344</v>
      </c>
      <c r="L1168" s="123" t="e">
        <f>VLOOKUP(Fact_AUM_FyoCapital[[#This Row],[Dim_Empresas.CUIT]],'clientes SQL'!C:D,2,0)</f>
        <v>#N/A</v>
      </c>
    </row>
    <row r="1169" spans="1:12" hidden="1" x14ac:dyDescent="0.3">
      <c r="A1169">
        <v>2608529</v>
      </c>
      <c r="B1169">
        <v>20251205</v>
      </c>
      <c r="C1169">
        <v>1277</v>
      </c>
      <c r="D1169">
        <v>2062.16</v>
      </c>
      <c r="E1169" s="123" t="s">
        <v>1563</v>
      </c>
      <c r="F1169" s="123" t="s">
        <v>950</v>
      </c>
      <c r="G1169" s="123"/>
      <c r="H1169" s="95">
        <v>45996</v>
      </c>
      <c r="I1169">
        <v>19100</v>
      </c>
      <c r="J1169" s="123" t="s">
        <v>254</v>
      </c>
      <c r="K1169" s="123" t="s">
        <v>1240</v>
      </c>
      <c r="L1169" s="123" t="e">
        <f>VLOOKUP(Fact_AUM_FyoCapital[[#This Row],[Dim_Empresas.CUIT]],'clientes SQL'!C:D,2,0)</f>
        <v>#N/A</v>
      </c>
    </row>
    <row r="1170" spans="1:12" hidden="1" x14ac:dyDescent="0.3">
      <c r="A1170">
        <v>1864717</v>
      </c>
      <c r="B1170">
        <v>20251205</v>
      </c>
      <c r="C1170">
        <v>1314</v>
      </c>
      <c r="D1170">
        <v>-133639.29130434783</v>
      </c>
      <c r="E1170" s="123" t="s">
        <v>1566</v>
      </c>
      <c r="F1170" s="123" t="s">
        <v>1578</v>
      </c>
      <c r="G1170" s="123"/>
      <c r="H1170" s="95">
        <v>45996</v>
      </c>
      <c r="I1170">
        <v>19442</v>
      </c>
      <c r="J1170" s="123" t="s">
        <v>309</v>
      </c>
      <c r="K1170" s="123" t="s">
        <v>1112</v>
      </c>
      <c r="L1170" s="123" t="e">
        <f>VLOOKUP(Fact_AUM_FyoCapital[[#This Row],[Dim_Empresas.CUIT]],'clientes SQL'!C:D,2,0)</f>
        <v>#N/A</v>
      </c>
    </row>
    <row r="1171" spans="1:12" hidden="1" x14ac:dyDescent="0.3">
      <c r="A1171">
        <v>2623109</v>
      </c>
      <c r="B1171">
        <v>20251205</v>
      </c>
      <c r="C1171">
        <v>7876</v>
      </c>
      <c r="D1171">
        <v>10.11805049088359</v>
      </c>
      <c r="E1171" s="123" t="s">
        <v>1563</v>
      </c>
      <c r="F1171" s="123" t="s">
        <v>185</v>
      </c>
      <c r="G1171" s="123"/>
      <c r="H1171" s="95">
        <v>45996</v>
      </c>
      <c r="I1171">
        <v>35163</v>
      </c>
      <c r="J1171" s="123" t="s">
        <v>389</v>
      </c>
      <c r="K1171" s="123" t="s">
        <v>1286</v>
      </c>
      <c r="L1171" s="123" t="e">
        <f>VLOOKUP(Fact_AUM_FyoCapital[[#This Row],[Dim_Empresas.CUIT]],'clientes SQL'!C:D,2,0)</f>
        <v>#N/A</v>
      </c>
    </row>
    <row r="1172" spans="1:12" hidden="1" x14ac:dyDescent="0.3">
      <c r="A1172">
        <v>2614889</v>
      </c>
      <c r="B1172">
        <v>20251205</v>
      </c>
      <c r="C1172">
        <v>5235</v>
      </c>
      <c r="D1172">
        <v>359.96</v>
      </c>
      <c r="E1172" s="123" t="s">
        <v>1563</v>
      </c>
      <c r="F1172" s="123" t="s">
        <v>188</v>
      </c>
      <c r="G1172" s="123"/>
      <c r="H1172" s="95">
        <v>45996</v>
      </c>
      <c r="I1172">
        <v>33099</v>
      </c>
      <c r="J1172" s="123" t="s">
        <v>346</v>
      </c>
      <c r="K1172" s="123" t="s">
        <v>1118</v>
      </c>
      <c r="L1172" s="123" t="e">
        <f>VLOOKUP(Fact_AUM_FyoCapital[[#This Row],[Dim_Empresas.CUIT]],'clientes SQL'!C:D,2,0)</f>
        <v>#N/A</v>
      </c>
    </row>
    <row r="1173" spans="1:12" hidden="1" x14ac:dyDescent="0.3">
      <c r="A1173">
        <v>2643749</v>
      </c>
      <c r="B1173">
        <v>20251205</v>
      </c>
      <c r="C1173">
        <v>477</v>
      </c>
      <c r="D1173">
        <v>-7.0126227208976159E-6</v>
      </c>
      <c r="E1173" s="123" t="s">
        <v>1563</v>
      </c>
      <c r="F1173" s="123" t="s">
        <v>185</v>
      </c>
      <c r="G1173" s="123"/>
      <c r="H1173" s="95">
        <v>45996</v>
      </c>
      <c r="I1173">
        <v>4377</v>
      </c>
      <c r="J1173" s="123" t="s">
        <v>621</v>
      </c>
      <c r="K1173" s="123" t="s">
        <v>1230</v>
      </c>
      <c r="L1173" s="123" t="e">
        <f>VLOOKUP(Fact_AUM_FyoCapital[[#This Row],[Dim_Empresas.CUIT]],'clientes SQL'!C:D,2,0)</f>
        <v>#N/A</v>
      </c>
    </row>
    <row r="1174" spans="1:12" hidden="1" x14ac:dyDescent="0.3">
      <c r="A1174">
        <v>2610449</v>
      </c>
      <c r="B1174">
        <v>20251205</v>
      </c>
      <c r="C1174">
        <v>6154</v>
      </c>
      <c r="D1174">
        <v>33.75</v>
      </c>
      <c r="E1174" s="123" t="s">
        <v>1563</v>
      </c>
      <c r="F1174" s="123" t="s">
        <v>950</v>
      </c>
      <c r="G1174" s="123"/>
      <c r="H1174" s="95">
        <v>45996</v>
      </c>
      <c r="I1174">
        <v>34268</v>
      </c>
      <c r="J1174" s="123" t="s">
        <v>1141</v>
      </c>
      <c r="K1174" s="123" t="s">
        <v>1142</v>
      </c>
      <c r="L1174" s="123" t="e">
        <f>VLOOKUP(Fact_AUM_FyoCapital[[#This Row],[Dim_Empresas.CUIT]],'clientes SQL'!C:D,2,0)</f>
        <v>#N/A</v>
      </c>
    </row>
    <row r="1175" spans="1:12" hidden="1" x14ac:dyDescent="0.3">
      <c r="A1175">
        <v>2637989</v>
      </c>
      <c r="B1175">
        <v>20251205</v>
      </c>
      <c r="C1175">
        <v>3176</v>
      </c>
      <c r="D1175">
        <v>45504.55</v>
      </c>
      <c r="E1175" s="123" t="s">
        <v>1563</v>
      </c>
      <c r="F1175" s="123" t="s">
        <v>950</v>
      </c>
      <c r="G1175" s="123"/>
      <c r="H1175" s="95">
        <v>45996</v>
      </c>
      <c r="I1175">
        <v>31590</v>
      </c>
      <c r="J1175" s="123" t="s">
        <v>1044</v>
      </c>
      <c r="K1175" s="123" t="s">
        <v>1045</v>
      </c>
      <c r="L1175" s="123" t="e">
        <f>VLOOKUP(Fact_AUM_FyoCapital[[#This Row],[Dim_Empresas.CUIT]],'clientes SQL'!C:D,2,0)</f>
        <v>#N/A</v>
      </c>
    </row>
    <row r="1176" spans="1:12" hidden="1" x14ac:dyDescent="0.3">
      <c r="A1176">
        <v>2609789</v>
      </c>
      <c r="B1176">
        <v>20251205</v>
      </c>
      <c r="C1176">
        <v>5383</v>
      </c>
      <c r="D1176">
        <v>1064.4000000000001</v>
      </c>
      <c r="E1176" s="123" t="s">
        <v>1563</v>
      </c>
      <c r="F1176" s="123" t="s">
        <v>950</v>
      </c>
      <c r="G1176" s="123"/>
      <c r="H1176" s="95">
        <v>45996</v>
      </c>
      <c r="I1176">
        <v>33182</v>
      </c>
      <c r="J1176" s="123" t="s">
        <v>238</v>
      </c>
      <c r="K1176" s="123" t="s">
        <v>1167</v>
      </c>
      <c r="L1176" s="123" t="e">
        <f>VLOOKUP(Fact_AUM_FyoCapital[[#This Row],[Dim_Empresas.CUIT]],'clientes SQL'!C:D,2,0)</f>
        <v>#N/A</v>
      </c>
    </row>
    <row r="1177" spans="1:12" hidden="1" x14ac:dyDescent="0.3">
      <c r="A1177">
        <v>1876357</v>
      </c>
      <c r="B1177">
        <v>20251205</v>
      </c>
      <c r="C1177">
        <v>331</v>
      </c>
      <c r="D1177">
        <v>377.14301542776997</v>
      </c>
      <c r="E1177" s="123" t="s">
        <v>1568</v>
      </c>
      <c r="F1177" s="123" t="s">
        <v>1572</v>
      </c>
      <c r="G1177" s="123" t="s">
        <v>1583</v>
      </c>
      <c r="H1177" s="95">
        <v>45996</v>
      </c>
      <c r="I1177">
        <v>652</v>
      </c>
      <c r="J1177" s="123" t="s">
        <v>447</v>
      </c>
      <c r="K1177" s="123" t="s">
        <v>1143</v>
      </c>
      <c r="L1177" s="123" t="e">
        <f>VLOOKUP(Fact_AUM_FyoCapital[[#This Row],[Dim_Empresas.CUIT]],'clientes SQL'!C:D,2,0)</f>
        <v>#N/A</v>
      </c>
    </row>
    <row r="1178" spans="1:12" hidden="1" x14ac:dyDescent="0.3">
      <c r="A1178">
        <v>1826737</v>
      </c>
      <c r="B1178">
        <v>20251205</v>
      </c>
      <c r="C1178">
        <v>1277</v>
      </c>
      <c r="D1178">
        <v>0</v>
      </c>
      <c r="E1178" s="123"/>
      <c r="F1178" s="123"/>
      <c r="G1178" s="123"/>
      <c r="H1178" s="95">
        <v>45996</v>
      </c>
      <c r="I1178">
        <v>19100</v>
      </c>
      <c r="J1178" s="123" t="s">
        <v>254</v>
      </c>
      <c r="K1178" s="123" t="s">
        <v>1240</v>
      </c>
      <c r="L1178" s="123" t="e">
        <f>VLOOKUP(Fact_AUM_FyoCapital[[#This Row],[Dim_Empresas.CUIT]],'clientes SQL'!C:D,2,0)</f>
        <v>#N/A</v>
      </c>
    </row>
    <row r="1179" spans="1:12" hidden="1" x14ac:dyDescent="0.3">
      <c r="A1179">
        <v>1852837</v>
      </c>
      <c r="B1179">
        <v>20251205</v>
      </c>
      <c r="C1179">
        <v>3119</v>
      </c>
      <c r="D1179">
        <v>25162.65</v>
      </c>
      <c r="E1179" s="123" t="s">
        <v>1566</v>
      </c>
      <c r="F1179" s="123" t="s">
        <v>1579</v>
      </c>
      <c r="G1179" s="123"/>
      <c r="H1179" s="95">
        <v>45996</v>
      </c>
      <c r="I1179">
        <v>31525</v>
      </c>
      <c r="J1179" s="123" t="s">
        <v>432</v>
      </c>
      <c r="K1179" s="123" t="s">
        <v>1145</v>
      </c>
      <c r="L1179" s="123" t="e">
        <f>VLOOKUP(Fact_AUM_FyoCapital[[#This Row],[Dim_Empresas.CUIT]],'clientes SQL'!C:D,2,0)</f>
        <v>#N/A</v>
      </c>
    </row>
    <row r="1180" spans="1:12" hidden="1" x14ac:dyDescent="0.3">
      <c r="A1180">
        <v>2643389</v>
      </c>
      <c r="B1180">
        <v>20251205</v>
      </c>
      <c r="C1180">
        <v>4612</v>
      </c>
      <c r="D1180">
        <v>1.978218793828892</v>
      </c>
      <c r="E1180" s="123" t="s">
        <v>1563</v>
      </c>
      <c r="F1180" s="123" t="s">
        <v>185</v>
      </c>
      <c r="G1180" s="123"/>
      <c r="H1180" s="95">
        <v>45996</v>
      </c>
      <c r="I1180">
        <v>18749</v>
      </c>
      <c r="J1180" s="123" t="s">
        <v>625</v>
      </c>
      <c r="K1180" s="123" t="s">
        <v>1380</v>
      </c>
      <c r="L1180" s="123" t="e">
        <f>VLOOKUP(Fact_AUM_FyoCapital[[#This Row],[Dim_Empresas.CUIT]],'clientes SQL'!C:D,2,0)</f>
        <v>#N/A</v>
      </c>
    </row>
    <row r="1181" spans="1:12" hidden="1" x14ac:dyDescent="0.3">
      <c r="A1181">
        <v>2617349</v>
      </c>
      <c r="B1181">
        <v>20251205</v>
      </c>
      <c r="C1181">
        <v>7</v>
      </c>
      <c r="D1181">
        <v>-66829.31</v>
      </c>
      <c r="E1181" s="123" t="s">
        <v>1563</v>
      </c>
      <c r="F1181" s="123" t="s">
        <v>801</v>
      </c>
      <c r="G1181" s="123"/>
      <c r="H1181" s="95">
        <v>45996</v>
      </c>
      <c r="I1181">
        <v>5181</v>
      </c>
      <c r="J1181" s="123" t="s">
        <v>212</v>
      </c>
      <c r="K1181" s="123" t="s">
        <v>1238</v>
      </c>
      <c r="L1181" s="123" t="e">
        <f>VLOOKUP(Fact_AUM_FyoCapital[[#This Row],[Dim_Empresas.CUIT]],'clientes SQL'!C:D,2,0)</f>
        <v>#N/A</v>
      </c>
    </row>
    <row r="1182" spans="1:12" hidden="1" x14ac:dyDescent="0.3">
      <c r="A1182">
        <v>2626229</v>
      </c>
      <c r="B1182">
        <v>20251205</v>
      </c>
      <c r="C1182">
        <v>1021</v>
      </c>
      <c r="D1182">
        <v>2.2440392706872371E-4</v>
      </c>
      <c r="E1182" s="123" t="s">
        <v>1563</v>
      </c>
      <c r="F1182" s="123" t="s">
        <v>185</v>
      </c>
      <c r="G1182" s="123"/>
      <c r="H1182" s="95">
        <v>45996</v>
      </c>
      <c r="I1182">
        <v>13900</v>
      </c>
      <c r="J1182" s="123" t="s">
        <v>462</v>
      </c>
      <c r="K1182" s="123" t="s">
        <v>1211</v>
      </c>
      <c r="L1182" s="123" t="e">
        <f>VLOOKUP(Fact_AUM_FyoCapital[[#This Row],[Dim_Empresas.CUIT]],'clientes SQL'!C:D,2,0)</f>
        <v>#N/A</v>
      </c>
    </row>
    <row r="1183" spans="1:12" hidden="1" x14ac:dyDescent="0.3">
      <c r="A1183">
        <v>2097160</v>
      </c>
      <c r="B1183">
        <v>20251205</v>
      </c>
      <c r="C1183">
        <v>15208</v>
      </c>
      <c r="D1183">
        <v>7685.874943899018</v>
      </c>
      <c r="E1183" s="123" t="s">
        <v>1564</v>
      </c>
      <c r="F1183" s="123" t="s">
        <v>1565</v>
      </c>
      <c r="G1183" s="123"/>
      <c r="H1183" s="95">
        <v>45996</v>
      </c>
      <c r="I1183">
        <v>37337</v>
      </c>
      <c r="J1183" s="123" t="s">
        <v>682</v>
      </c>
      <c r="K1183" s="123" t="s">
        <v>1155</v>
      </c>
      <c r="L1183" s="123" t="e">
        <f>VLOOKUP(Fact_AUM_FyoCapital[[#This Row],[Dim_Empresas.CUIT]],'clientes SQL'!C:D,2,0)</f>
        <v>#N/A</v>
      </c>
    </row>
    <row r="1184" spans="1:12" hidden="1" x14ac:dyDescent="0.3">
      <c r="A1184">
        <v>2632769</v>
      </c>
      <c r="B1184">
        <v>20251205</v>
      </c>
      <c r="C1184">
        <v>5906</v>
      </c>
      <c r="D1184">
        <v>-89.620715287517527</v>
      </c>
      <c r="E1184" s="123" t="s">
        <v>1563</v>
      </c>
      <c r="F1184" s="123" t="s">
        <v>185</v>
      </c>
      <c r="G1184" s="123"/>
      <c r="H1184" s="95">
        <v>45996</v>
      </c>
      <c r="I1184">
        <v>34129</v>
      </c>
      <c r="J1184" s="123" t="s">
        <v>127</v>
      </c>
      <c r="K1184" s="123" t="s">
        <v>1263</v>
      </c>
      <c r="L1184" s="123">
        <f>VLOOKUP(Fact_AUM_FyoCapital[[#This Row],[Dim_Empresas.CUIT]],'clientes SQL'!C:D,2,0)</f>
        <v>13005</v>
      </c>
    </row>
    <row r="1185" spans="1:12" hidden="1" x14ac:dyDescent="0.3">
      <c r="A1185">
        <v>2636369</v>
      </c>
      <c r="B1185">
        <v>20251205</v>
      </c>
      <c r="C1185">
        <v>1526</v>
      </c>
      <c r="D1185">
        <v>-10.694789621318373</v>
      </c>
      <c r="E1185" s="123" t="s">
        <v>1563</v>
      </c>
      <c r="F1185" s="123" t="s">
        <v>185</v>
      </c>
      <c r="G1185" s="123"/>
      <c r="H1185" s="95">
        <v>45996</v>
      </c>
      <c r="I1185">
        <v>20076</v>
      </c>
      <c r="J1185" s="123" t="s">
        <v>362</v>
      </c>
      <c r="K1185" s="123" t="s">
        <v>1514</v>
      </c>
      <c r="L1185" s="123" t="e">
        <f>VLOOKUP(Fact_AUM_FyoCapital[[#This Row],[Dim_Empresas.CUIT]],'clientes SQL'!C:D,2,0)</f>
        <v>#N/A</v>
      </c>
    </row>
    <row r="1186" spans="1:12" hidden="1" x14ac:dyDescent="0.3">
      <c r="A1186">
        <v>1852417</v>
      </c>
      <c r="B1186">
        <v>20251205</v>
      </c>
      <c r="C1186">
        <v>3119</v>
      </c>
      <c r="D1186">
        <v>2096.3404628330995</v>
      </c>
      <c r="E1186" s="123" t="s">
        <v>1566</v>
      </c>
      <c r="F1186" s="123" t="s">
        <v>1579</v>
      </c>
      <c r="G1186" s="123"/>
      <c r="H1186" s="95">
        <v>45996</v>
      </c>
      <c r="I1186">
        <v>31525</v>
      </c>
      <c r="J1186" s="123" t="s">
        <v>432</v>
      </c>
      <c r="K1186" s="123" t="s">
        <v>1145</v>
      </c>
      <c r="L1186" s="123" t="e">
        <f>VLOOKUP(Fact_AUM_FyoCapital[[#This Row],[Dim_Empresas.CUIT]],'clientes SQL'!C:D,2,0)</f>
        <v>#N/A</v>
      </c>
    </row>
    <row r="1187" spans="1:12" hidden="1" x14ac:dyDescent="0.3">
      <c r="A1187">
        <v>2641109</v>
      </c>
      <c r="B1187">
        <v>20251205</v>
      </c>
      <c r="C1187">
        <v>16348</v>
      </c>
      <c r="D1187">
        <v>6.16</v>
      </c>
      <c r="E1187" s="123" t="s">
        <v>1563</v>
      </c>
      <c r="F1187" s="123" t="s">
        <v>950</v>
      </c>
      <c r="G1187" s="123"/>
      <c r="H1187" s="95">
        <v>45996</v>
      </c>
      <c r="I1187">
        <v>37816</v>
      </c>
      <c r="J1187" s="123" t="s">
        <v>1198</v>
      </c>
      <c r="K1187" s="123" t="s">
        <v>1199</v>
      </c>
      <c r="L1187" s="123" t="e">
        <f>VLOOKUP(Fact_AUM_FyoCapital[[#This Row],[Dim_Empresas.CUIT]],'clientes SQL'!C:D,2,0)</f>
        <v>#N/A</v>
      </c>
    </row>
    <row r="1188" spans="1:12" hidden="1" x14ac:dyDescent="0.3">
      <c r="A1188">
        <v>1857877</v>
      </c>
      <c r="B1188">
        <v>20251205</v>
      </c>
      <c r="C1188">
        <v>1191</v>
      </c>
      <c r="D1188">
        <v>0</v>
      </c>
      <c r="E1188" s="123"/>
      <c r="F1188" s="123"/>
      <c r="G1188" s="123"/>
      <c r="H1188" s="95">
        <v>45996</v>
      </c>
      <c r="I1188">
        <v>18954</v>
      </c>
      <c r="J1188" s="123" t="s">
        <v>1247</v>
      </c>
      <c r="K1188" s="123" t="s">
        <v>1248</v>
      </c>
      <c r="L1188" s="123" t="e">
        <f>VLOOKUP(Fact_AUM_FyoCapital[[#This Row],[Dim_Empresas.CUIT]],'clientes SQL'!C:D,2,0)</f>
        <v>#N/A</v>
      </c>
    </row>
    <row r="1189" spans="1:12" hidden="1" x14ac:dyDescent="0.3">
      <c r="A1189">
        <v>1878817</v>
      </c>
      <c r="B1189">
        <v>20251205</v>
      </c>
      <c r="C1189">
        <v>334</v>
      </c>
      <c r="D1189">
        <v>-136478.18050490884</v>
      </c>
      <c r="E1189" s="123" t="s">
        <v>1566</v>
      </c>
      <c r="F1189" s="123" t="s">
        <v>1578</v>
      </c>
      <c r="G1189" s="123"/>
      <c r="H1189" s="95">
        <v>45996</v>
      </c>
      <c r="I1189">
        <v>6886</v>
      </c>
      <c r="J1189" s="123" t="s">
        <v>519</v>
      </c>
      <c r="K1189" s="123" t="s">
        <v>1517</v>
      </c>
      <c r="L1189" s="123" t="e">
        <f>VLOOKUP(Fact_AUM_FyoCapital[[#This Row],[Dim_Empresas.CUIT]],'clientes SQL'!C:D,2,0)</f>
        <v>#N/A</v>
      </c>
    </row>
    <row r="1190" spans="1:12" hidden="1" x14ac:dyDescent="0.3">
      <c r="A1190">
        <v>2633849</v>
      </c>
      <c r="B1190">
        <v>20251205</v>
      </c>
      <c r="C1190">
        <v>10128</v>
      </c>
      <c r="D1190">
        <v>0.69547685834502104</v>
      </c>
      <c r="E1190" s="123" t="s">
        <v>1563</v>
      </c>
      <c r="F1190" s="123" t="s">
        <v>185</v>
      </c>
      <c r="G1190" s="123"/>
      <c r="H1190" s="95">
        <v>45996</v>
      </c>
      <c r="I1190">
        <v>35593</v>
      </c>
      <c r="J1190" s="123" t="s">
        <v>525</v>
      </c>
      <c r="K1190" s="123" t="s">
        <v>1296</v>
      </c>
      <c r="L1190" s="123" t="e">
        <f>VLOOKUP(Fact_AUM_FyoCapital[[#This Row],[Dim_Empresas.CUIT]],'clientes SQL'!C:D,2,0)</f>
        <v>#N/A</v>
      </c>
    </row>
    <row r="1191" spans="1:12" hidden="1" x14ac:dyDescent="0.3">
      <c r="A1191">
        <v>1826437</v>
      </c>
      <c r="B1191">
        <v>20251205</v>
      </c>
      <c r="C1191">
        <v>1277</v>
      </c>
      <c r="D1191">
        <v>0</v>
      </c>
      <c r="E1191" s="123"/>
      <c r="F1191" s="123"/>
      <c r="G1191" s="123"/>
      <c r="H1191" s="95">
        <v>45996</v>
      </c>
      <c r="I1191">
        <v>19100</v>
      </c>
      <c r="J1191" s="123" t="s">
        <v>254</v>
      </c>
      <c r="K1191" s="123" t="s">
        <v>1240</v>
      </c>
      <c r="L1191" s="123" t="e">
        <f>VLOOKUP(Fact_AUM_FyoCapital[[#This Row],[Dim_Empresas.CUIT]],'clientes SQL'!C:D,2,0)</f>
        <v>#N/A</v>
      </c>
    </row>
    <row r="1192" spans="1:12" hidden="1" x14ac:dyDescent="0.3">
      <c r="A1192">
        <v>1862257</v>
      </c>
      <c r="B1192">
        <v>20251205</v>
      </c>
      <c r="C1192">
        <v>682</v>
      </c>
      <c r="D1192">
        <v>0</v>
      </c>
      <c r="E1192" s="123"/>
      <c r="F1192" s="123"/>
      <c r="G1192" s="123"/>
      <c r="H1192" s="95">
        <v>45996</v>
      </c>
      <c r="I1192">
        <v>9775</v>
      </c>
      <c r="J1192" s="123" t="s">
        <v>287</v>
      </c>
      <c r="K1192" s="123" t="s">
        <v>1320</v>
      </c>
      <c r="L1192" s="123" t="e">
        <f>VLOOKUP(Fact_AUM_FyoCapital[[#This Row],[Dim_Empresas.CUIT]],'clientes SQL'!C:D,2,0)</f>
        <v>#N/A</v>
      </c>
    </row>
    <row r="1193" spans="1:12" hidden="1" x14ac:dyDescent="0.3">
      <c r="A1193">
        <v>2604869</v>
      </c>
      <c r="B1193">
        <v>20251205</v>
      </c>
      <c r="C1193">
        <v>10061</v>
      </c>
      <c r="D1193">
        <v>16840.57</v>
      </c>
      <c r="E1193" s="123" t="s">
        <v>1566</v>
      </c>
      <c r="F1193" s="123" t="s">
        <v>1579</v>
      </c>
      <c r="G1193" s="123"/>
      <c r="H1193" s="95">
        <v>45996</v>
      </c>
      <c r="I1193">
        <v>35528</v>
      </c>
      <c r="J1193" s="123" t="s">
        <v>616</v>
      </c>
      <c r="K1193" s="123" t="s">
        <v>1237</v>
      </c>
      <c r="L1193" s="123" t="e">
        <f>VLOOKUP(Fact_AUM_FyoCapital[[#This Row],[Dim_Empresas.CUIT]],'clientes SQL'!C:D,2,0)</f>
        <v>#N/A</v>
      </c>
    </row>
    <row r="1194" spans="1:12" hidden="1" x14ac:dyDescent="0.3">
      <c r="A1194">
        <v>2617889</v>
      </c>
      <c r="B1194">
        <v>20251205</v>
      </c>
      <c r="C1194">
        <v>13275</v>
      </c>
      <c r="D1194">
        <v>-2.11</v>
      </c>
      <c r="E1194" s="123" t="s">
        <v>1563</v>
      </c>
      <c r="F1194" s="123" t="s">
        <v>801</v>
      </c>
      <c r="G1194" s="123"/>
      <c r="H1194" s="95">
        <v>45996</v>
      </c>
      <c r="I1194">
        <v>36459</v>
      </c>
      <c r="J1194" s="123" t="s">
        <v>296</v>
      </c>
      <c r="K1194" s="123" t="s">
        <v>1138</v>
      </c>
      <c r="L1194" s="123" t="e">
        <f>VLOOKUP(Fact_AUM_FyoCapital[[#This Row],[Dim_Empresas.CUIT]],'clientes SQL'!C:D,2,0)</f>
        <v>#N/A</v>
      </c>
    </row>
    <row r="1195" spans="1:12" hidden="1" x14ac:dyDescent="0.3">
      <c r="A1195">
        <v>1886257</v>
      </c>
      <c r="B1195">
        <v>20251205</v>
      </c>
      <c r="C1195">
        <v>2209</v>
      </c>
      <c r="D1195">
        <v>1.5003085553997195</v>
      </c>
      <c r="E1195" s="123" t="s">
        <v>1568</v>
      </c>
      <c r="F1195" s="123" t="s">
        <v>1572</v>
      </c>
      <c r="G1195" s="123" t="s">
        <v>1570</v>
      </c>
      <c r="H1195" s="95">
        <v>45996</v>
      </c>
      <c r="I1195">
        <v>30220</v>
      </c>
      <c r="J1195" s="123" t="s">
        <v>520</v>
      </c>
      <c r="K1195" s="123" t="s">
        <v>1308</v>
      </c>
      <c r="L1195" s="123" t="e">
        <f>VLOOKUP(Fact_AUM_FyoCapital[[#This Row],[Dim_Empresas.CUIT]],'clientes SQL'!C:D,2,0)</f>
        <v>#N/A</v>
      </c>
    </row>
    <row r="1196" spans="1:12" hidden="1" x14ac:dyDescent="0.3">
      <c r="A1196">
        <v>2621789</v>
      </c>
      <c r="B1196">
        <v>20251205</v>
      </c>
      <c r="C1196">
        <v>2184</v>
      </c>
      <c r="D1196">
        <v>3.5649719495091161</v>
      </c>
      <c r="E1196" s="123" t="s">
        <v>1563</v>
      </c>
      <c r="F1196" s="123" t="s">
        <v>185</v>
      </c>
      <c r="G1196" s="123"/>
      <c r="H1196" s="95">
        <v>45996</v>
      </c>
      <c r="I1196">
        <v>30161</v>
      </c>
      <c r="J1196" s="123" t="s">
        <v>434</v>
      </c>
      <c r="K1196" s="123" t="s">
        <v>1325</v>
      </c>
      <c r="L1196" s="123" t="e">
        <f>VLOOKUP(Fact_AUM_FyoCapital[[#This Row],[Dim_Empresas.CUIT]],'clientes SQL'!C:D,2,0)</f>
        <v>#N/A</v>
      </c>
    </row>
    <row r="1197" spans="1:12" hidden="1" x14ac:dyDescent="0.3">
      <c r="A1197">
        <v>1889077</v>
      </c>
      <c r="B1197">
        <v>20251205</v>
      </c>
      <c r="C1197">
        <v>1273</v>
      </c>
      <c r="D1197">
        <v>0</v>
      </c>
      <c r="E1197" s="123"/>
      <c r="F1197" s="123"/>
      <c r="G1197" s="123"/>
      <c r="H1197" s="95">
        <v>45996</v>
      </c>
      <c r="I1197">
        <v>19363</v>
      </c>
      <c r="J1197" s="123" t="s">
        <v>1183</v>
      </c>
      <c r="K1197" s="123" t="s">
        <v>1184</v>
      </c>
      <c r="L1197" s="123" t="e">
        <f>VLOOKUP(Fact_AUM_FyoCapital[[#This Row],[Dim_Empresas.CUIT]],'clientes SQL'!C:D,2,0)</f>
        <v>#N/A</v>
      </c>
    </row>
    <row r="1198" spans="1:12" hidden="1" x14ac:dyDescent="0.3">
      <c r="A1198">
        <v>1846297</v>
      </c>
      <c r="B1198">
        <v>20251205</v>
      </c>
      <c r="C1198">
        <v>13275</v>
      </c>
      <c r="D1198">
        <v>6642.7068723702669</v>
      </c>
      <c r="E1198" s="123" t="s">
        <v>1566</v>
      </c>
      <c r="F1198" s="123" t="s">
        <v>1571</v>
      </c>
      <c r="G1198" s="123"/>
      <c r="H1198" s="95">
        <v>45996</v>
      </c>
      <c r="I1198">
        <v>36459</v>
      </c>
      <c r="J1198" s="123" t="s">
        <v>296</v>
      </c>
      <c r="K1198" s="123" t="s">
        <v>1138</v>
      </c>
      <c r="L1198" s="123" t="e">
        <f>VLOOKUP(Fact_AUM_FyoCapital[[#This Row],[Dim_Empresas.CUIT]],'clientes SQL'!C:D,2,0)</f>
        <v>#N/A</v>
      </c>
    </row>
    <row r="1199" spans="1:12" hidden="1" x14ac:dyDescent="0.3">
      <c r="A1199">
        <v>2603909</v>
      </c>
      <c r="B1199">
        <v>20251205</v>
      </c>
      <c r="C1199">
        <v>7012</v>
      </c>
      <c r="D1199">
        <v>397.84011220196351</v>
      </c>
      <c r="E1199" s="123" t="s">
        <v>1566</v>
      </c>
      <c r="F1199" s="123" t="s">
        <v>1573</v>
      </c>
      <c r="G1199" s="123"/>
      <c r="H1199" s="95">
        <v>45996</v>
      </c>
      <c r="I1199">
        <v>34708</v>
      </c>
      <c r="J1199" s="123" t="s">
        <v>626</v>
      </c>
      <c r="K1199" s="123" t="s">
        <v>1203</v>
      </c>
      <c r="L1199" s="123" t="e">
        <f>VLOOKUP(Fact_AUM_FyoCapital[[#This Row],[Dim_Empresas.CUIT]],'clientes SQL'!C:D,2,0)</f>
        <v>#N/A</v>
      </c>
    </row>
    <row r="1200" spans="1:12" hidden="1" x14ac:dyDescent="0.3">
      <c r="A1200">
        <v>2642549</v>
      </c>
      <c r="B1200">
        <v>20251205</v>
      </c>
      <c r="C1200">
        <v>640</v>
      </c>
      <c r="D1200">
        <v>-33.97</v>
      </c>
      <c r="E1200" s="123" t="s">
        <v>1563</v>
      </c>
      <c r="F1200" s="123" t="s">
        <v>188</v>
      </c>
      <c r="G1200" s="123"/>
      <c r="H1200" s="95">
        <v>45996</v>
      </c>
      <c r="I1200">
        <v>8261</v>
      </c>
      <c r="J1200" s="123" t="s">
        <v>431</v>
      </c>
      <c r="K1200" s="123" t="s">
        <v>1192</v>
      </c>
      <c r="L1200" s="123" t="e">
        <f>VLOOKUP(Fact_AUM_FyoCapital[[#This Row],[Dim_Empresas.CUIT]],'clientes SQL'!C:D,2,0)</f>
        <v>#N/A</v>
      </c>
    </row>
    <row r="1201" spans="1:12" hidden="1" x14ac:dyDescent="0.3">
      <c r="A1201">
        <v>2097040</v>
      </c>
      <c r="B1201">
        <v>20251205</v>
      </c>
      <c r="C1201">
        <v>10207</v>
      </c>
      <c r="D1201">
        <v>869.24988078541378</v>
      </c>
      <c r="E1201" s="123" t="s">
        <v>1564</v>
      </c>
      <c r="F1201" s="123" t="s">
        <v>1565</v>
      </c>
      <c r="G1201" s="123"/>
      <c r="H1201" s="95">
        <v>45996</v>
      </c>
      <c r="I1201">
        <v>32413</v>
      </c>
      <c r="J1201" s="123" t="s">
        <v>407</v>
      </c>
      <c r="K1201" s="123" t="s">
        <v>1109</v>
      </c>
      <c r="L1201" s="123" t="e">
        <f>VLOOKUP(Fact_AUM_FyoCapital[[#This Row],[Dim_Empresas.CUIT]],'clientes SQL'!C:D,2,0)</f>
        <v>#N/A</v>
      </c>
    </row>
    <row r="1202" spans="1:12" hidden="1" x14ac:dyDescent="0.3">
      <c r="A1202">
        <v>2612489</v>
      </c>
      <c r="B1202">
        <v>20251205</v>
      </c>
      <c r="C1202">
        <v>15123</v>
      </c>
      <c r="D1202">
        <v>-4.4935483870967747</v>
      </c>
      <c r="E1202" s="123" t="s">
        <v>1563</v>
      </c>
      <c r="F1202" s="123" t="s">
        <v>185</v>
      </c>
      <c r="G1202" s="123"/>
      <c r="H1202" s="95">
        <v>45996</v>
      </c>
      <c r="I1202">
        <v>37264</v>
      </c>
      <c r="J1202" s="123" t="s">
        <v>1212</v>
      </c>
      <c r="K1202" s="123" t="s">
        <v>1213</v>
      </c>
      <c r="L1202" s="123" t="e">
        <f>VLOOKUP(Fact_AUM_FyoCapital[[#This Row],[Dim_Empresas.CUIT]],'clientes SQL'!C:D,2,0)</f>
        <v>#N/A</v>
      </c>
    </row>
    <row r="1203" spans="1:12" hidden="1" x14ac:dyDescent="0.3">
      <c r="A1203">
        <v>1876837</v>
      </c>
      <c r="B1203">
        <v>20251205</v>
      </c>
      <c r="C1203">
        <v>95</v>
      </c>
      <c r="D1203">
        <v>2163.0901402524546</v>
      </c>
      <c r="E1203" s="123" t="s">
        <v>1568</v>
      </c>
      <c r="F1203" s="123" t="s">
        <v>1572</v>
      </c>
      <c r="G1203" s="123" t="s">
        <v>1574</v>
      </c>
      <c r="H1203" s="95">
        <v>45996</v>
      </c>
      <c r="I1203">
        <v>708</v>
      </c>
      <c r="J1203" s="123" t="s">
        <v>1241</v>
      </c>
      <c r="K1203" s="123" t="s">
        <v>1242</v>
      </c>
      <c r="L1203" s="123" t="e">
        <f>VLOOKUP(Fact_AUM_FyoCapital[[#This Row],[Dim_Empresas.CUIT]],'clientes SQL'!C:D,2,0)</f>
        <v>#N/A</v>
      </c>
    </row>
    <row r="1204" spans="1:12" hidden="1" x14ac:dyDescent="0.3">
      <c r="A1204">
        <v>1888597</v>
      </c>
      <c r="B1204">
        <v>20251205</v>
      </c>
      <c r="C1204">
        <v>16491</v>
      </c>
      <c r="D1204">
        <v>2.7940813464235625</v>
      </c>
      <c r="E1204" s="123" t="s">
        <v>1568</v>
      </c>
      <c r="F1204" s="123" t="s">
        <v>1572</v>
      </c>
      <c r="G1204" s="123" t="s">
        <v>1570</v>
      </c>
      <c r="H1204" s="95">
        <v>45996</v>
      </c>
      <c r="I1204">
        <v>37938</v>
      </c>
      <c r="J1204" s="123" t="s">
        <v>845</v>
      </c>
      <c r="K1204" s="123" t="s">
        <v>1294</v>
      </c>
      <c r="L1204" s="123" t="e">
        <f>VLOOKUP(Fact_AUM_FyoCapital[[#This Row],[Dim_Empresas.CUIT]],'clientes SQL'!C:D,2,0)</f>
        <v>#N/A</v>
      </c>
    </row>
    <row r="1205" spans="1:12" hidden="1" x14ac:dyDescent="0.3">
      <c r="A1205">
        <v>1863937</v>
      </c>
      <c r="B1205">
        <v>20251205</v>
      </c>
      <c r="C1205">
        <v>2299</v>
      </c>
      <c r="D1205">
        <v>588691.80748246843</v>
      </c>
      <c r="E1205" s="123" t="s">
        <v>1568</v>
      </c>
      <c r="F1205" s="123" t="s">
        <v>1569</v>
      </c>
      <c r="G1205" s="123" t="s">
        <v>1570</v>
      </c>
      <c r="H1205" s="95">
        <v>45996</v>
      </c>
      <c r="I1205">
        <v>30388</v>
      </c>
      <c r="J1205" s="123" t="s">
        <v>290</v>
      </c>
      <c r="K1205" s="123" t="s">
        <v>1160</v>
      </c>
      <c r="L1205" s="123" t="e">
        <f>VLOOKUP(Fact_AUM_FyoCapital[[#This Row],[Dim_Empresas.CUIT]],'clientes SQL'!C:D,2,0)</f>
        <v>#N/A</v>
      </c>
    </row>
    <row r="1206" spans="1:12" hidden="1" x14ac:dyDescent="0.3">
      <c r="A1206">
        <v>2622149</v>
      </c>
      <c r="B1206">
        <v>20251205</v>
      </c>
      <c r="C1206">
        <v>7231</v>
      </c>
      <c r="D1206">
        <v>8.4641023842917242</v>
      </c>
      <c r="E1206" s="123" t="s">
        <v>1563</v>
      </c>
      <c r="F1206" s="123" t="s">
        <v>185</v>
      </c>
      <c r="G1206" s="123"/>
      <c r="H1206" s="95">
        <v>45996</v>
      </c>
      <c r="I1206">
        <v>34881</v>
      </c>
      <c r="J1206" s="123" t="s">
        <v>394</v>
      </c>
      <c r="K1206" s="123" t="s">
        <v>1275</v>
      </c>
      <c r="L1206" s="123" t="e">
        <f>VLOOKUP(Fact_AUM_FyoCapital[[#This Row],[Dim_Empresas.CUIT]],'clientes SQL'!C:D,2,0)</f>
        <v>#N/A</v>
      </c>
    </row>
    <row r="1207" spans="1:12" hidden="1" x14ac:dyDescent="0.3">
      <c r="A1207">
        <v>2644409</v>
      </c>
      <c r="B1207">
        <v>20251205</v>
      </c>
      <c r="C1207">
        <v>1036</v>
      </c>
      <c r="D1207">
        <v>5.6100981767180928E-4</v>
      </c>
      <c r="E1207" s="123" t="s">
        <v>1563</v>
      </c>
      <c r="F1207" s="123" t="s">
        <v>185</v>
      </c>
      <c r="G1207" s="123"/>
      <c r="H1207" s="95">
        <v>45996</v>
      </c>
      <c r="I1207">
        <v>8147</v>
      </c>
      <c r="J1207" s="123" t="s">
        <v>613</v>
      </c>
      <c r="K1207" s="123" t="s">
        <v>1043</v>
      </c>
      <c r="L1207" s="123" t="e">
        <f>VLOOKUP(Fact_AUM_FyoCapital[[#This Row],[Dim_Empresas.CUIT]],'clientes SQL'!C:D,2,0)</f>
        <v>#N/A</v>
      </c>
    </row>
    <row r="1208" spans="1:12" hidden="1" x14ac:dyDescent="0.3">
      <c r="A1208">
        <v>1827877</v>
      </c>
      <c r="B1208">
        <v>20251205</v>
      </c>
      <c r="C1208">
        <v>5383</v>
      </c>
      <c r="D1208">
        <v>5303.2328190743337</v>
      </c>
      <c r="E1208" s="123" t="s">
        <v>1566</v>
      </c>
      <c r="F1208" s="123" t="s">
        <v>1573</v>
      </c>
      <c r="G1208" s="123"/>
      <c r="H1208" s="95">
        <v>45996</v>
      </c>
      <c r="I1208">
        <v>33182</v>
      </c>
      <c r="J1208" s="123" t="s">
        <v>238</v>
      </c>
      <c r="K1208" s="123" t="s">
        <v>1167</v>
      </c>
      <c r="L1208" s="123" t="e">
        <f>VLOOKUP(Fact_AUM_FyoCapital[[#This Row],[Dim_Empresas.CUIT]],'clientes SQL'!C:D,2,0)</f>
        <v>#N/A</v>
      </c>
    </row>
    <row r="1209" spans="1:12" hidden="1" x14ac:dyDescent="0.3">
      <c r="A1209">
        <v>1852777</v>
      </c>
      <c r="B1209">
        <v>20251205</v>
      </c>
      <c r="C1209">
        <v>3119</v>
      </c>
      <c r="D1209">
        <v>20680.27</v>
      </c>
      <c r="E1209" s="123" t="s">
        <v>1566</v>
      </c>
      <c r="F1209" s="123" t="s">
        <v>1579</v>
      </c>
      <c r="G1209" s="123"/>
      <c r="H1209" s="95">
        <v>45996</v>
      </c>
      <c r="I1209">
        <v>31525</v>
      </c>
      <c r="J1209" s="123" t="s">
        <v>432</v>
      </c>
      <c r="K1209" s="123" t="s">
        <v>1145</v>
      </c>
      <c r="L1209" s="123" t="e">
        <f>VLOOKUP(Fact_AUM_FyoCapital[[#This Row],[Dim_Empresas.CUIT]],'clientes SQL'!C:D,2,0)</f>
        <v>#N/A</v>
      </c>
    </row>
    <row r="1210" spans="1:12" hidden="1" x14ac:dyDescent="0.3">
      <c r="A1210">
        <v>2603009</v>
      </c>
      <c r="B1210">
        <v>20251205</v>
      </c>
      <c r="C1210">
        <v>2081</v>
      </c>
      <c r="D1210">
        <v>222.47266479663395</v>
      </c>
      <c r="E1210" s="123" t="s">
        <v>1568</v>
      </c>
      <c r="F1210" s="123" t="s">
        <v>1572</v>
      </c>
      <c r="G1210" s="123" t="s">
        <v>1570</v>
      </c>
      <c r="H1210" s="95">
        <v>45996</v>
      </c>
      <c r="I1210">
        <v>18681</v>
      </c>
      <c r="J1210" s="123" t="s">
        <v>491</v>
      </c>
      <c r="K1210" s="123" t="s">
        <v>1252</v>
      </c>
      <c r="L1210" s="123" t="e">
        <f>VLOOKUP(Fact_AUM_FyoCapital[[#This Row],[Dim_Empresas.CUIT]],'clientes SQL'!C:D,2,0)</f>
        <v>#N/A</v>
      </c>
    </row>
    <row r="1211" spans="1:12" hidden="1" x14ac:dyDescent="0.3">
      <c r="A1211">
        <v>1893097</v>
      </c>
      <c r="B1211">
        <v>20251205</v>
      </c>
      <c r="C1211">
        <v>849</v>
      </c>
      <c r="D1211">
        <v>78.908239831697045</v>
      </c>
      <c r="E1211" s="123" t="s">
        <v>1568</v>
      </c>
      <c r="F1211" s="123" t="s">
        <v>1572</v>
      </c>
      <c r="G1211" s="123" t="s">
        <v>1570</v>
      </c>
      <c r="H1211" s="95">
        <v>45996</v>
      </c>
      <c r="I1211">
        <v>17504</v>
      </c>
      <c r="J1211" s="123" t="s">
        <v>1181</v>
      </c>
      <c r="K1211" s="123" t="s">
        <v>1182</v>
      </c>
      <c r="L1211" s="123" t="e">
        <f>VLOOKUP(Fact_AUM_FyoCapital[[#This Row],[Dim_Empresas.CUIT]],'clientes SQL'!C:D,2,0)</f>
        <v>#N/A</v>
      </c>
    </row>
    <row r="1212" spans="1:12" hidden="1" x14ac:dyDescent="0.3">
      <c r="A1212">
        <v>2635769</v>
      </c>
      <c r="B1212">
        <v>20251205</v>
      </c>
      <c r="C1212">
        <v>1273</v>
      </c>
      <c r="D1212">
        <v>97243.5</v>
      </c>
      <c r="E1212" s="123" t="s">
        <v>1563</v>
      </c>
      <c r="F1212" s="123" t="s">
        <v>950</v>
      </c>
      <c r="G1212" s="123"/>
      <c r="H1212" s="95">
        <v>45996</v>
      </c>
      <c r="I1212">
        <v>19363</v>
      </c>
      <c r="J1212" s="123" t="s">
        <v>1183</v>
      </c>
      <c r="K1212" s="123" t="s">
        <v>1184</v>
      </c>
      <c r="L1212" s="123" t="e">
        <f>VLOOKUP(Fact_AUM_FyoCapital[[#This Row],[Dim_Empresas.CUIT]],'clientes SQL'!C:D,2,0)</f>
        <v>#N/A</v>
      </c>
    </row>
    <row r="1213" spans="1:12" hidden="1" x14ac:dyDescent="0.3">
      <c r="A1213">
        <v>1830817</v>
      </c>
      <c r="B1213">
        <v>20251205</v>
      </c>
      <c r="C1213">
        <v>6154</v>
      </c>
      <c r="D1213">
        <v>95667.9</v>
      </c>
      <c r="E1213" s="123" t="s">
        <v>1566</v>
      </c>
      <c r="F1213" s="123" t="s">
        <v>1578</v>
      </c>
      <c r="G1213" s="123"/>
      <c r="H1213" s="95">
        <v>45996</v>
      </c>
      <c r="I1213">
        <v>34268</v>
      </c>
      <c r="J1213" s="123" t="s">
        <v>1141</v>
      </c>
      <c r="K1213" s="123" t="s">
        <v>1142</v>
      </c>
      <c r="L1213" s="123" t="e">
        <f>VLOOKUP(Fact_AUM_FyoCapital[[#This Row],[Dim_Empresas.CUIT]],'clientes SQL'!C:D,2,0)</f>
        <v>#N/A</v>
      </c>
    </row>
    <row r="1214" spans="1:12" hidden="1" x14ac:dyDescent="0.3">
      <c r="A1214">
        <v>2602709</v>
      </c>
      <c r="B1214">
        <v>20251205</v>
      </c>
      <c r="C1214">
        <v>640</v>
      </c>
      <c r="D1214">
        <v>3017996.35</v>
      </c>
      <c r="E1214" s="123" t="s">
        <v>1566</v>
      </c>
      <c r="F1214" s="123" t="s">
        <v>1567</v>
      </c>
      <c r="G1214" s="123"/>
      <c r="H1214" s="95">
        <v>45996</v>
      </c>
      <c r="I1214">
        <v>8261</v>
      </c>
      <c r="J1214" s="123" t="s">
        <v>431</v>
      </c>
      <c r="K1214" s="123" t="s">
        <v>1192</v>
      </c>
      <c r="L1214" s="123" t="e">
        <f>VLOOKUP(Fact_AUM_FyoCapital[[#This Row],[Dim_Empresas.CUIT]],'clientes SQL'!C:D,2,0)</f>
        <v>#N/A</v>
      </c>
    </row>
    <row r="1215" spans="1:12" hidden="1" x14ac:dyDescent="0.3">
      <c r="A1215">
        <v>1850137</v>
      </c>
      <c r="B1215">
        <v>20251205</v>
      </c>
      <c r="C1215">
        <v>2298</v>
      </c>
      <c r="D1215">
        <v>753460.217026648</v>
      </c>
      <c r="E1215" s="123" t="s">
        <v>1568</v>
      </c>
      <c r="F1215" s="123" t="s">
        <v>1569</v>
      </c>
      <c r="G1215" s="123" t="s">
        <v>1570</v>
      </c>
      <c r="H1215" s="95">
        <v>45996</v>
      </c>
      <c r="I1215">
        <v>30387</v>
      </c>
      <c r="J1215" s="123" t="s">
        <v>1532</v>
      </c>
      <c r="K1215" s="123" t="s">
        <v>1291</v>
      </c>
      <c r="L1215" s="123" t="e">
        <f>VLOOKUP(Fact_AUM_FyoCapital[[#This Row],[Dim_Empresas.CUIT]],'clientes SQL'!C:D,2,0)</f>
        <v>#N/A</v>
      </c>
    </row>
    <row r="1216" spans="1:12" hidden="1" x14ac:dyDescent="0.3">
      <c r="A1216">
        <v>2643869</v>
      </c>
      <c r="B1216">
        <v>20251205</v>
      </c>
      <c r="C1216">
        <v>10061</v>
      </c>
      <c r="D1216">
        <v>8.8800000000000008</v>
      </c>
      <c r="E1216" s="123" t="s">
        <v>1563</v>
      </c>
      <c r="F1216" s="123" t="s">
        <v>950</v>
      </c>
      <c r="G1216" s="123"/>
      <c r="H1216" s="95">
        <v>45996</v>
      </c>
      <c r="I1216">
        <v>35528</v>
      </c>
      <c r="J1216" s="123" t="s">
        <v>616</v>
      </c>
      <c r="K1216" s="123" t="s">
        <v>1237</v>
      </c>
      <c r="L1216" s="123" t="e">
        <f>VLOOKUP(Fact_AUM_FyoCapital[[#This Row],[Dim_Empresas.CUIT]],'clientes SQL'!C:D,2,0)</f>
        <v>#N/A</v>
      </c>
    </row>
    <row r="1217" spans="1:12" hidden="1" x14ac:dyDescent="0.3">
      <c r="A1217">
        <v>1876117</v>
      </c>
      <c r="B1217">
        <v>20251205</v>
      </c>
      <c r="C1217">
        <v>331</v>
      </c>
      <c r="D1217">
        <v>77159.562208976145</v>
      </c>
      <c r="E1217" s="123" t="s">
        <v>1566</v>
      </c>
      <c r="F1217" s="123" t="s">
        <v>1571</v>
      </c>
      <c r="G1217" s="123"/>
      <c r="H1217" s="95">
        <v>45996</v>
      </c>
      <c r="I1217">
        <v>652</v>
      </c>
      <c r="J1217" s="123" t="s">
        <v>447</v>
      </c>
      <c r="K1217" s="123" t="s">
        <v>1143</v>
      </c>
      <c r="L1217" s="123" t="e">
        <f>VLOOKUP(Fact_AUM_FyoCapital[[#This Row],[Dim_Empresas.CUIT]],'clientes SQL'!C:D,2,0)</f>
        <v>#N/A</v>
      </c>
    </row>
    <row r="1218" spans="1:12" hidden="1" x14ac:dyDescent="0.3">
      <c r="A1218">
        <v>1864057</v>
      </c>
      <c r="B1218">
        <v>20251205</v>
      </c>
      <c r="C1218">
        <v>2299</v>
      </c>
      <c r="D1218">
        <v>5492.06</v>
      </c>
      <c r="E1218" s="123" t="s">
        <v>1568</v>
      </c>
      <c r="F1218" s="123" t="s">
        <v>1572</v>
      </c>
      <c r="G1218" s="123" t="s">
        <v>1570</v>
      </c>
      <c r="H1218" s="95">
        <v>45996</v>
      </c>
      <c r="I1218">
        <v>30388</v>
      </c>
      <c r="J1218" s="123" t="s">
        <v>290</v>
      </c>
      <c r="K1218" s="123" t="s">
        <v>1160</v>
      </c>
      <c r="L1218" s="123" t="e">
        <f>VLOOKUP(Fact_AUM_FyoCapital[[#This Row],[Dim_Empresas.CUIT]],'clientes SQL'!C:D,2,0)</f>
        <v>#N/A</v>
      </c>
    </row>
    <row r="1219" spans="1:12" hidden="1" x14ac:dyDescent="0.3">
      <c r="A1219">
        <v>1865617</v>
      </c>
      <c r="B1219">
        <v>20251205</v>
      </c>
      <c r="C1219">
        <v>4531</v>
      </c>
      <c r="D1219">
        <v>48.006647966339408</v>
      </c>
      <c r="E1219" s="123" t="s">
        <v>1568</v>
      </c>
      <c r="F1219" s="123" t="s">
        <v>1572</v>
      </c>
      <c r="G1219" s="123" t="s">
        <v>1574</v>
      </c>
      <c r="H1219" s="95">
        <v>45996</v>
      </c>
      <c r="I1219">
        <v>3422</v>
      </c>
      <c r="J1219" s="123" t="s">
        <v>498</v>
      </c>
      <c r="K1219" s="123" t="s">
        <v>1231</v>
      </c>
      <c r="L1219" s="123" t="e">
        <f>VLOOKUP(Fact_AUM_FyoCapital[[#This Row],[Dim_Empresas.CUIT]],'clientes SQL'!C:D,2,0)</f>
        <v>#N/A</v>
      </c>
    </row>
    <row r="1220" spans="1:12" hidden="1" x14ac:dyDescent="0.3">
      <c r="A1220">
        <v>2604929</v>
      </c>
      <c r="B1220">
        <v>20251205</v>
      </c>
      <c r="C1220">
        <v>10061</v>
      </c>
      <c r="D1220">
        <v>5833.69</v>
      </c>
      <c r="E1220" s="123" t="s">
        <v>1566</v>
      </c>
      <c r="F1220" s="123" t="s">
        <v>1579</v>
      </c>
      <c r="G1220" s="123"/>
      <c r="H1220" s="95">
        <v>45996</v>
      </c>
      <c r="I1220">
        <v>35528</v>
      </c>
      <c r="J1220" s="123" t="s">
        <v>616</v>
      </c>
      <c r="K1220" s="123" t="s">
        <v>1237</v>
      </c>
      <c r="L1220" s="123" t="e">
        <f>VLOOKUP(Fact_AUM_FyoCapital[[#This Row],[Dim_Empresas.CUIT]],'clientes SQL'!C:D,2,0)</f>
        <v>#N/A</v>
      </c>
    </row>
    <row r="1221" spans="1:12" hidden="1" x14ac:dyDescent="0.3">
      <c r="A1221">
        <v>1896997</v>
      </c>
      <c r="B1221">
        <v>20251205</v>
      </c>
      <c r="C1221">
        <v>10253</v>
      </c>
      <c r="D1221">
        <v>37403.473001402526</v>
      </c>
      <c r="E1221" s="123" t="s">
        <v>1566</v>
      </c>
      <c r="F1221" s="123" t="s">
        <v>1573</v>
      </c>
      <c r="G1221" s="123"/>
      <c r="H1221" s="95">
        <v>45996</v>
      </c>
      <c r="I1221">
        <v>35643</v>
      </c>
      <c r="J1221" s="123" t="s">
        <v>603</v>
      </c>
      <c r="K1221" s="123" t="s">
        <v>1220</v>
      </c>
      <c r="L1221" s="123" t="e">
        <f>VLOOKUP(Fact_AUM_FyoCapital[[#This Row],[Dim_Empresas.CUIT]],'clientes SQL'!C:D,2,0)</f>
        <v>#N/A</v>
      </c>
    </row>
    <row r="1222" spans="1:12" hidden="1" x14ac:dyDescent="0.3">
      <c r="A1222">
        <v>1876657</v>
      </c>
      <c r="B1222">
        <v>20251205</v>
      </c>
      <c r="C1222">
        <v>95</v>
      </c>
      <c r="D1222">
        <v>9998.65</v>
      </c>
      <c r="E1222" s="123" t="s">
        <v>1566</v>
      </c>
      <c r="F1222" s="123" t="s">
        <v>1571</v>
      </c>
      <c r="G1222" s="123"/>
      <c r="H1222" s="95">
        <v>45996</v>
      </c>
      <c r="I1222">
        <v>708</v>
      </c>
      <c r="J1222" s="123" t="s">
        <v>1241</v>
      </c>
      <c r="K1222" s="123" t="s">
        <v>1242</v>
      </c>
      <c r="L1222" s="123" t="e">
        <f>VLOOKUP(Fact_AUM_FyoCapital[[#This Row],[Dim_Empresas.CUIT]],'clientes SQL'!C:D,2,0)</f>
        <v>#N/A</v>
      </c>
    </row>
    <row r="1223" spans="1:12" hidden="1" x14ac:dyDescent="0.3">
      <c r="A1223">
        <v>2605949</v>
      </c>
      <c r="B1223">
        <v>20251205</v>
      </c>
      <c r="C1223">
        <v>7742</v>
      </c>
      <c r="D1223">
        <v>44290.87</v>
      </c>
      <c r="E1223" s="123" t="s">
        <v>1566</v>
      </c>
      <c r="F1223" s="123" t="s">
        <v>1578</v>
      </c>
      <c r="G1223" s="123"/>
      <c r="H1223" s="95">
        <v>45996</v>
      </c>
      <c r="I1223">
        <v>35045</v>
      </c>
      <c r="J1223" s="123" t="s">
        <v>1272</v>
      </c>
      <c r="K1223" s="123" t="s">
        <v>1273</v>
      </c>
      <c r="L1223" s="123" t="e">
        <f>VLOOKUP(Fact_AUM_FyoCapital[[#This Row],[Dim_Empresas.CUIT]],'clientes SQL'!C:D,2,0)</f>
        <v>#N/A</v>
      </c>
    </row>
    <row r="1224" spans="1:12" hidden="1" x14ac:dyDescent="0.3">
      <c r="A1224">
        <v>1829977</v>
      </c>
      <c r="B1224">
        <v>20251205</v>
      </c>
      <c r="C1224">
        <v>4213</v>
      </c>
      <c r="D1224">
        <v>2700.3488779803647</v>
      </c>
      <c r="E1224" s="123" t="s">
        <v>1566</v>
      </c>
      <c r="F1224" s="123" t="s">
        <v>1573</v>
      </c>
      <c r="G1224" s="123"/>
      <c r="H1224" s="95">
        <v>45996</v>
      </c>
      <c r="I1224">
        <v>32849</v>
      </c>
      <c r="J1224" s="123" t="s">
        <v>190</v>
      </c>
      <c r="K1224" s="123" t="s">
        <v>1302</v>
      </c>
      <c r="L1224" s="123" t="e">
        <f>VLOOKUP(Fact_AUM_FyoCapital[[#This Row],[Dim_Empresas.CUIT]],'clientes SQL'!C:D,2,0)</f>
        <v>#N/A</v>
      </c>
    </row>
    <row r="1225" spans="1:12" hidden="1" x14ac:dyDescent="0.3">
      <c r="A1225">
        <v>1843777</v>
      </c>
      <c r="B1225">
        <v>20251205</v>
      </c>
      <c r="C1225">
        <v>10103</v>
      </c>
      <c r="D1225">
        <v>10891.35</v>
      </c>
      <c r="E1225" s="123" t="s">
        <v>1566</v>
      </c>
      <c r="F1225" s="123" t="s">
        <v>1571</v>
      </c>
      <c r="G1225" s="123"/>
      <c r="H1225" s="95">
        <v>45996</v>
      </c>
      <c r="I1225">
        <v>35568</v>
      </c>
      <c r="J1225" s="123" t="s">
        <v>299</v>
      </c>
      <c r="K1225" s="123" t="s">
        <v>1202</v>
      </c>
      <c r="L1225" s="123" t="e">
        <f>VLOOKUP(Fact_AUM_FyoCapital[[#This Row],[Dim_Empresas.CUIT]],'clientes SQL'!C:D,2,0)</f>
        <v>#N/A</v>
      </c>
    </row>
    <row r="1226" spans="1:12" hidden="1" x14ac:dyDescent="0.3">
      <c r="A1226">
        <v>2614769</v>
      </c>
      <c r="B1226">
        <v>20251205</v>
      </c>
      <c r="C1226">
        <v>5235</v>
      </c>
      <c r="D1226">
        <v>-7.9474053295932684E-2</v>
      </c>
      <c r="E1226" s="123" t="s">
        <v>1563</v>
      </c>
      <c r="F1226" s="123" t="s">
        <v>185</v>
      </c>
      <c r="G1226" s="123"/>
      <c r="H1226" s="95">
        <v>45996</v>
      </c>
      <c r="I1226">
        <v>33099</v>
      </c>
      <c r="J1226" s="123" t="s">
        <v>346</v>
      </c>
      <c r="K1226" s="123" t="s">
        <v>1118</v>
      </c>
      <c r="L1226" s="123" t="e">
        <f>VLOOKUP(Fact_AUM_FyoCapital[[#This Row],[Dim_Empresas.CUIT]],'clientes SQL'!C:D,2,0)</f>
        <v>#N/A</v>
      </c>
    </row>
    <row r="1227" spans="1:12" hidden="1" x14ac:dyDescent="0.3">
      <c r="A1227">
        <v>1847197</v>
      </c>
      <c r="B1227">
        <v>20251205</v>
      </c>
      <c r="C1227">
        <v>13761</v>
      </c>
      <c r="D1227">
        <v>1963.16</v>
      </c>
      <c r="E1227" s="123" t="s">
        <v>1566</v>
      </c>
      <c r="F1227" s="123" t="s">
        <v>1571</v>
      </c>
      <c r="G1227" s="123"/>
      <c r="H1227" s="95">
        <v>45996</v>
      </c>
      <c r="I1227">
        <v>36914</v>
      </c>
      <c r="J1227" s="123" t="s">
        <v>315</v>
      </c>
      <c r="K1227" s="123" t="s">
        <v>1106</v>
      </c>
      <c r="L1227" s="123" t="e">
        <f>VLOOKUP(Fact_AUM_FyoCapital[[#This Row],[Dim_Empresas.CUIT]],'clientes SQL'!C:D,2,0)</f>
        <v>#N/A</v>
      </c>
    </row>
    <row r="1228" spans="1:12" hidden="1" x14ac:dyDescent="0.3">
      <c r="A1228">
        <v>2630969</v>
      </c>
      <c r="B1228">
        <v>20251205</v>
      </c>
      <c r="C1228">
        <v>1566</v>
      </c>
      <c r="D1228">
        <v>16991.07</v>
      </c>
      <c r="E1228" s="123" t="s">
        <v>1563</v>
      </c>
      <c r="F1228" s="123" t="s">
        <v>801</v>
      </c>
      <c r="G1228" s="123"/>
      <c r="H1228" s="95">
        <v>45996</v>
      </c>
      <c r="I1228">
        <v>20248</v>
      </c>
      <c r="J1228" s="123" t="s">
        <v>1249</v>
      </c>
      <c r="K1228" s="123" t="s">
        <v>1250</v>
      </c>
      <c r="L1228" s="123" t="e">
        <f>VLOOKUP(Fact_AUM_FyoCapital[[#This Row],[Dim_Empresas.CUIT]],'clientes SQL'!C:D,2,0)</f>
        <v>#N/A</v>
      </c>
    </row>
    <row r="1229" spans="1:12" hidden="1" x14ac:dyDescent="0.3">
      <c r="A1229">
        <v>2610749</v>
      </c>
      <c r="B1229">
        <v>20251205</v>
      </c>
      <c r="C1229">
        <v>4171</v>
      </c>
      <c r="D1229">
        <v>-0.02</v>
      </c>
      <c r="E1229" s="123" t="s">
        <v>1563</v>
      </c>
      <c r="F1229" s="123" t="s">
        <v>188</v>
      </c>
      <c r="G1229" s="123"/>
      <c r="H1229" s="95">
        <v>45996</v>
      </c>
      <c r="I1229">
        <v>32799</v>
      </c>
      <c r="J1229" s="123" t="s">
        <v>262</v>
      </c>
      <c r="K1229" s="123" t="s">
        <v>1288</v>
      </c>
      <c r="L1229" s="123" t="e">
        <f>VLOOKUP(Fact_AUM_FyoCapital[[#This Row],[Dim_Empresas.CUIT]],'clientes SQL'!C:D,2,0)</f>
        <v>#N/A</v>
      </c>
    </row>
    <row r="1230" spans="1:12" hidden="1" x14ac:dyDescent="0.3">
      <c r="A1230">
        <v>1827637</v>
      </c>
      <c r="B1230">
        <v>20251205</v>
      </c>
      <c r="C1230">
        <v>5383</v>
      </c>
      <c r="D1230">
        <v>34459.58941093969</v>
      </c>
      <c r="E1230" s="123" t="s">
        <v>1566</v>
      </c>
      <c r="F1230" s="123" t="s">
        <v>1573</v>
      </c>
      <c r="G1230" s="123"/>
      <c r="H1230" s="95">
        <v>45996</v>
      </c>
      <c r="I1230">
        <v>33182</v>
      </c>
      <c r="J1230" s="123" t="s">
        <v>238</v>
      </c>
      <c r="K1230" s="123" t="s">
        <v>1167</v>
      </c>
      <c r="L1230" s="123" t="e">
        <f>VLOOKUP(Fact_AUM_FyoCapital[[#This Row],[Dim_Empresas.CUIT]],'clientes SQL'!C:D,2,0)</f>
        <v>#N/A</v>
      </c>
    </row>
    <row r="1231" spans="1:12" hidden="1" x14ac:dyDescent="0.3">
      <c r="A1231">
        <v>1903297</v>
      </c>
      <c r="B1231">
        <v>20251205</v>
      </c>
      <c r="C1231">
        <v>14876</v>
      </c>
      <c r="D1231">
        <v>693.93408134642357</v>
      </c>
      <c r="E1231" s="123" t="s">
        <v>1566</v>
      </c>
      <c r="F1231" s="123" t="s">
        <v>1573</v>
      </c>
      <c r="G1231" s="123"/>
      <c r="H1231" s="95">
        <v>45996</v>
      </c>
      <c r="I1231">
        <v>37091</v>
      </c>
      <c r="J1231" s="123" t="s">
        <v>604</v>
      </c>
      <c r="K1231" s="123" t="s">
        <v>1293</v>
      </c>
      <c r="L1231" s="123" t="e">
        <f>VLOOKUP(Fact_AUM_FyoCapital[[#This Row],[Dim_Empresas.CUIT]],'clientes SQL'!C:D,2,0)</f>
        <v>#N/A</v>
      </c>
    </row>
    <row r="1232" spans="1:12" hidden="1" x14ac:dyDescent="0.3">
      <c r="A1232">
        <v>2620949</v>
      </c>
      <c r="B1232">
        <v>20251205</v>
      </c>
      <c r="C1232">
        <v>3119</v>
      </c>
      <c r="D1232">
        <v>2905.66</v>
      </c>
      <c r="E1232" s="123" t="s">
        <v>1563</v>
      </c>
      <c r="F1232" s="123" t="s">
        <v>950</v>
      </c>
      <c r="G1232" s="123"/>
      <c r="H1232" s="95">
        <v>45996</v>
      </c>
      <c r="I1232">
        <v>31525</v>
      </c>
      <c r="J1232" s="123" t="s">
        <v>432</v>
      </c>
      <c r="K1232" s="123" t="s">
        <v>1145</v>
      </c>
      <c r="L1232" s="123" t="e">
        <f>VLOOKUP(Fact_AUM_FyoCapital[[#This Row],[Dim_Empresas.CUIT]],'clientes SQL'!C:D,2,0)</f>
        <v>#N/A</v>
      </c>
    </row>
    <row r="1233" spans="1:12" hidden="1" x14ac:dyDescent="0.3">
      <c r="A1233">
        <v>2604389</v>
      </c>
      <c r="B1233">
        <v>20251205</v>
      </c>
      <c r="C1233">
        <v>7012</v>
      </c>
      <c r="D1233">
        <v>15761.16</v>
      </c>
      <c r="E1233" s="123" t="s">
        <v>1568</v>
      </c>
      <c r="F1233" s="123" t="s">
        <v>1575</v>
      </c>
      <c r="G1233" s="123" t="s">
        <v>1583</v>
      </c>
      <c r="H1233" s="95">
        <v>45996</v>
      </c>
      <c r="I1233">
        <v>34708</v>
      </c>
      <c r="J1233" s="123" t="s">
        <v>626</v>
      </c>
      <c r="K1233" s="123" t="s">
        <v>1203</v>
      </c>
      <c r="L1233" s="123" t="e">
        <f>VLOOKUP(Fact_AUM_FyoCapital[[#This Row],[Dim_Empresas.CUIT]],'clientes SQL'!C:D,2,0)</f>
        <v>#N/A</v>
      </c>
    </row>
    <row r="1234" spans="1:12" hidden="1" x14ac:dyDescent="0.3">
      <c r="A1234">
        <v>2601449</v>
      </c>
      <c r="B1234">
        <v>20251205</v>
      </c>
      <c r="C1234">
        <v>1048</v>
      </c>
      <c r="D1234">
        <v>1048.76</v>
      </c>
      <c r="E1234" s="123" t="s">
        <v>1566</v>
      </c>
      <c r="F1234" s="123" t="s">
        <v>1571</v>
      </c>
      <c r="G1234" s="123"/>
      <c r="H1234" s="95">
        <v>45996</v>
      </c>
      <c r="I1234">
        <v>2240</v>
      </c>
      <c r="J1234" s="123" t="s">
        <v>1177</v>
      </c>
      <c r="K1234" s="123" t="s">
        <v>1178</v>
      </c>
      <c r="L1234" s="123" t="e">
        <f>VLOOKUP(Fact_AUM_FyoCapital[[#This Row],[Dim_Empresas.CUIT]],'clientes SQL'!C:D,2,0)</f>
        <v>#N/A</v>
      </c>
    </row>
    <row r="1235" spans="1:12" hidden="1" x14ac:dyDescent="0.3">
      <c r="A1235">
        <v>2608169</v>
      </c>
      <c r="B1235">
        <v>20251205</v>
      </c>
      <c r="C1235">
        <v>885</v>
      </c>
      <c r="D1235">
        <v>3.19</v>
      </c>
      <c r="E1235" s="123" t="s">
        <v>1563</v>
      </c>
      <c r="F1235" s="123" t="s">
        <v>950</v>
      </c>
      <c r="G1235" s="123"/>
      <c r="H1235" s="95">
        <v>45996</v>
      </c>
      <c r="I1235">
        <v>9831</v>
      </c>
      <c r="J1235" s="123" t="s">
        <v>1074</v>
      </c>
      <c r="K1235" s="123" t="s">
        <v>1075</v>
      </c>
      <c r="L1235" s="123" t="e">
        <f>VLOOKUP(Fact_AUM_FyoCapital[[#This Row],[Dim_Empresas.CUIT]],'clientes SQL'!C:D,2,0)</f>
        <v>#N/A</v>
      </c>
    </row>
    <row r="1236" spans="1:12" hidden="1" x14ac:dyDescent="0.3">
      <c r="A1236">
        <v>1866157</v>
      </c>
      <c r="B1236">
        <v>20251205</v>
      </c>
      <c r="C1236">
        <v>1021</v>
      </c>
      <c r="D1236">
        <v>2985</v>
      </c>
      <c r="E1236" s="123" t="s">
        <v>1566</v>
      </c>
      <c r="F1236" s="123" t="s">
        <v>1579</v>
      </c>
      <c r="G1236" s="123"/>
      <c r="H1236" s="95">
        <v>45996</v>
      </c>
      <c r="I1236">
        <v>13900</v>
      </c>
      <c r="J1236" s="123" t="s">
        <v>462</v>
      </c>
      <c r="K1236" s="123" t="s">
        <v>1211</v>
      </c>
      <c r="L1236" s="123" t="e">
        <f>VLOOKUP(Fact_AUM_FyoCapital[[#This Row],[Dim_Empresas.CUIT]],'clientes SQL'!C:D,2,0)</f>
        <v>#N/A</v>
      </c>
    </row>
    <row r="1237" spans="1:12" hidden="1" x14ac:dyDescent="0.3">
      <c r="A1237">
        <v>1853557</v>
      </c>
      <c r="B1237">
        <v>20251205</v>
      </c>
      <c r="C1237">
        <v>974</v>
      </c>
      <c r="D1237">
        <v>0</v>
      </c>
      <c r="E1237" s="123"/>
      <c r="F1237" s="123"/>
      <c r="G1237" s="123"/>
      <c r="H1237" s="95">
        <v>45996</v>
      </c>
      <c r="I1237">
        <v>9551</v>
      </c>
      <c r="J1237" s="123" t="s">
        <v>423</v>
      </c>
      <c r="K1237" s="123" t="s">
        <v>1344</v>
      </c>
      <c r="L1237" s="123" t="e">
        <f>VLOOKUP(Fact_AUM_FyoCapital[[#This Row],[Dim_Empresas.CUIT]],'clientes SQL'!C:D,2,0)</f>
        <v>#N/A</v>
      </c>
    </row>
    <row r="1238" spans="1:12" hidden="1" x14ac:dyDescent="0.3">
      <c r="A1238">
        <v>1827937</v>
      </c>
      <c r="B1238">
        <v>20251205</v>
      </c>
      <c r="C1238">
        <v>5383</v>
      </c>
      <c r="D1238">
        <v>2262.5</v>
      </c>
      <c r="E1238" s="123" t="s">
        <v>1566</v>
      </c>
      <c r="F1238" s="123" t="s">
        <v>1573</v>
      </c>
      <c r="G1238" s="123"/>
      <c r="H1238" s="95">
        <v>45996</v>
      </c>
      <c r="I1238">
        <v>33182</v>
      </c>
      <c r="J1238" s="123" t="s">
        <v>238</v>
      </c>
      <c r="K1238" s="123" t="s">
        <v>1167</v>
      </c>
      <c r="L1238" s="123" t="e">
        <f>VLOOKUP(Fact_AUM_FyoCapital[[#This Row],[Dim_Empresas.CUIT]],'clientes SQL'!C:D,2,0)</f>
        <v>#N/A</v>
      </c>
    </row>
    <row r="1239" spans="1:12" hidden="1" x14ac:dyDescent="0.3">
      <c r="A1239">
        <v>1854457</v>
      </c>
      <c r="B1239">
        <v>20251205</v>
      </c>
      <c r="C1239">
        <v>5858</v>
      </c>
      <c r="D1239">
        <v>51815.692208976157</v>
      </c>
      <c r="E1239" s="123" t="s">
        <v>1568</v>
      </c>
      <c r="F1239" s="123" t="s">
        <v>1572</v>
      </c>
      <c r="G1239" s="123" t="s">
        <v>1570</v>
      </c>
      <c r="H1239" s="95">
        <v>45996</v>
      </c>
      <c r="I1239">
        <v>34098</v>
      </c>
      <c r="J1239" s="123" t="s">
        <v>393</v>
      </c>
      <c r="K1239" s="123" t="s">
        <v>1144</v>
      </c>
      <c r="L1239" s="123" t="e">
        <f>VLOOKUP(Fact_AUM_FyoCapital[[#This Row],[Dim_Empresas.CUIT]],'clientes SQL'!C:D,2,0)</f>
        <v>#N/A</v>
      </c>
    </row>
    <row r="1240" spans="1:12" hidden="1" x14ac:dyDescent="0.3">
      <c r="A1240">
        <v>1856857</v>
      </c>
      <c r="B1240">
        <v>20251205</v>
      </c>
      <c r="C1240">
        <v>2162</v>
      </c>
      <c r="D1240">
        <v>5.9410799438990178</v>
      </c>
      <c r="E1240" s="123" t="s">
        <v>1568</v>
      </c>
      <c r="F1240" s="123" t="s">
        <v>1572</v>
      </c>
      <c r="G1240" s="123" t="s">
        <v>1577</v>
      </c>
      <c r="H1240" s="95">
        <v>45996</v>
      </c>
      <c r="I1240">
        <v>30101</v>
      </c>
      <c r="J1240" s="123" t="s">
        <v>391</v>
      </c>
      <c r="K1240" s="123" t="s">
        <v>1216</v>
      </c>
      <c r="L1240" s="123" t="e">
        <f>VLOOKUP(Fact_AUM_FyoCapital[[#This Row],[Dim_Empresas.CUIT]],'clientes SQL'!C:D,2,0)</f>
        <v>#N/A</v>
      </c>
    </row>
    <row r="1241" spans="1:12" hidden="1" x14ac:dyDescent="0.3">
      <c r="A1241">
        <v>1835137</v>
      </c>
      <c r="B1241">
        <v>20251205</v>
      </c>
      <c r="C1241">
        <v>7</v>
      </c>
      <c r="D1241">
        <v>149966.23664796635</v>
      </c>
      <c r="E1241" s="123" t="s">
        <v>1568</v>
      </c>
      <c r="F1241" s="123" t="s">
        <v>1572</v>
      </c>
      <c r="G1241" s="123" t="s">
        <v>1574</v>
      </c>
      <c r="H1241" s="95">
        <v>45996</v>
      </c>
      <c r="I1241">
        <v>5181</v>
      </c>
      <c r="J1241" s="123" t="s">
        <v>212</v>
      </c>
      <c r="K1241" s="123" t="s">
        <v>1238</v>
      </c>
      <c r="L1241" s="123" t="e">
        <f>VLOOKUP(Fact_AUM_FyoCapital[[#This Row],[Dim_Empresas.CUIT]],'clientes SQL'!C:D,2,0)</f>
        <v>#N/A</v>
      </c>
    </row>
    <row r="1242" spans="1:12" hidden="1" x14ac:dyDescent="0.3">
      <c r="A1242">
        <v>2638649</v>
      </c>
      <c r="B1242">
        <v>20251205</v>
      </c>
      <c r="C1242">
        <v>12617</v>
      </c>
      <c r="D1242">
        <v>-115.02833099579242</v>
      </c>
      <c r="E1242" s="123" t="s">
        <v>1563</v>
      </c>
      <c r="F1242" s="123" t="s">
        <v>185</v>
      </c>
      <c r="G1242" s="123"/>
      <c r="H1242" s="95">
        <v>45996</v>
      </c>
      <c r="I1242">
        <v>35876</v>
      </c>
      <c r="J1242" s="123" t="s">
        <v>1512</v>
      </c>
      <c r="K1242" s="123" t="s">
        <v>1516</v>
      </c>
      <c r="L1242" s="123" t="e">
        <f>VLOOKUP(Fact_AUM_FyoCapital[[#This Row],[Dim_Empresas.CUIT]],'clientes SQL'!C:D,2,0)</f>
        <v>#N/A</v>
      </c>
    </row>
    <row r="1243" spans="1:12" hidden="1" x14ac:dyDescent="0.3">
      <c r="A1243">
        <v>2600369</v>
      </c>
      <c r="B1243">
        <v>20251205</v>
      </c>
      <c r="C1243">
        <v>16348</v>
      </c>
      <c r="D1243">
        <v>11136.47</v>
      </c>
      <c r="E1243" s="123" t="s">
        <v>1566</v>
      </c>
      <c r="F1243" s="123" t="s">
        <v>1571</v>
      </c>
      <c r="G1243" s="123"/>
      <c r="H1243" s="95">
        <v>45996</v>
      </c>
      <c r="I1243">
        <v>37816</v>
      </c>
      <c r="J1243" s="123" t="s">
        <v>1198</v>
      </c>
      <c r="K1243" s="123" t="s">
        <v>1199</v>
      </c>
      <c r="L1243" s="123" t="e">
        <f>VLOOKUP(Fact_AUM_FyoCapital[[#This Row],[Dim_Empresas.CUIT]],'clientes SQL'!C:D,2,0)</f>
        <v>#N/A</v>
      </c>
    </row>
    <row r="1244" spans="1:12" hidden="1" x14ac:dyDescent="0.3">
      <c r="A1244">
        <v>1831837</v>
      </c>
      <c r="B1244">
        <v>20251205</v>
      </c>
      <c r="C1244">
        <v>6077</v>
      </c>
      <c r="D1244">
        <v>15011.731676016831</v>
      </c>
      <c r="E1244" s="123" t="s">
        <v>1568</v>
      </c>
      <c r="F1244" s="123" t="s">
        <v>1572</v>
      </c>
      <c r="G1244" s="123" t="s">
        <v>1570</v>
      </c>
      <c r="H1244" s="95">
        <v>45996</v>
      </c>
      <c r="I1244">
        <v>34195</v>
      </c>
      <c r="J1244" s="123" t="s">
        <v>244</v>
      </c>
      <c r="K1244" s="123" t="s">
        <v>1362</v>
      </c>
      <c r="L1244" s="123" t="e">
        <f>VLOOKUP(Fact_AUM_FyoCapital[[#This Row],[Dim_Empresas.CUIT]],'clientes SQL'!C:D,2,0)</f>
        <v>#N/A</v>
      </c>
    </row>
    <row r="1245" spans="1:12" hidden="1" x14ac:dyDescent="0.3">
      <c r="A1245">
        <v>2609849</v>
      </c>
      <c r="B1245">
        <v>20251205</v>
      </c>
      <c r="C1245">
        <v>5383</v>
      </c>
      <c r="D1245">
        <v>196.5</v>
      </c>
      <c r="E1245" s="123" t="s">
        <v>1563</v>
      </c>
      <c r="F1245" s="123" t="s">
        <v>188</v>
      </c>
      <c r="G1245" s="123"/>
      <c r="H1245" s="95">
        <v>45996</v>
      </c>
      <c r="I1245">
        <v>33182</v>
      </c>
      <c r="J1245" s="123" t="s">
        <v>238</v>
      </c>
      <c r="K1245" s="123" t="s">
        <v>1167</v>
      </c>
      <c r="L1245" s="123" t="e">
        <f>VLOOKUP(Fact_AUM_FyoCapital[[#This Row],[Dim_Empresas.CUIT]],'clientes SQL'!C:D,2,0)</f>
        <v>#N/A</v>
      </c>
    </row>
    <row r="1246" spans="1:12" hidden="1" x14ac:dyDescent="0.3">
      <c r="A1246">
        <v>1864537</v>
      </c>
      <c r="B1246">
        <v>20251205</v>
      </c>
      <c r="C1246">
        <v>578</v>
      </c>
      <c r="D1246">
        <v>6.6891725105189339</v>
      </c>
      <c r="E1246" s="123" t="s">
        <v>1568</v>
      </c>
      <c r="F1246" s="123" t="s">
        <v>1572</v>
      </c>
      <c r="G1246" s="123" t="s">
        <v>1570</v>
      </c>
      <c r="H1246" s="95">
        <v>45996</v>
      </c>
      <c r="I1246">
        <v>9066</v>
      </c>
      <c r="J1246" s="123" t="s">
        <v>301</v>
      </c>
      <c r="K1246" s="123" t="s">
        <v>1226</v>
      </c>
      <c r="L1246" s="123" t="e">
        <f>VLOOKUP(Fact_AUM_FyoCapital[[#This Row],[Dim_Empresas.CUIT]],'clientes SQL'!C:D,2,0)</f>
        <v>#N/A</v>
      </c>
    </row>
    <row r="1247" spans="1:12" hidden="1" x14ac:dyDescent="0.3">
      <c r="A1247">
        <v>2609009</v>
      </c>
      <c r="B1247">
        <v>20251205</v>
      </c>
      <c r="C1247">
        <v>5876</v>
      </c>
      <c r="D1247">
        <v>7.0000000000000007E-2</v>
      </c>
      <c r="E1247" s="123" t="s">
        <v>1563</v>
      </c>
      <c r="F1247" s="123" t="s">
        <v>950</v>
      </c>
      <c r="G1247" s="123"/>
      <c r="H1247" s="95">
        <v>45996</v>
      </c>
      <c r="I1247">
        <v>32749</v>
      </c>
      <c r="J1247" s="123" t="s">
        <v>217</v>
      </c>
      <c r="K1247" s="123" t="s">
        <v>1260</v>
      </c>
      <c r="L1247" s="123" t="e">
        <f>VLOOKUP(Fact_AUM_FyoCapital[[#This Row],[Dim_Empresas.CUIT]],'clientes SQL'!C:D,2,0)</f>
        <v>#N/A</v>
      </c>
    </row>
    <row r="1248" spans="1:12" hidden="1" x14ac:dyDescent="0.3">
      <c r="A1248">
        <v>1841797</v>
      </c>
      <c r="B1248">
        <v>20251205</v>
      </c>
      <c r="C1248">
        <v>6999</v>
      </c>
      <c r="D1248">
        <v>10893.325911640954</v>
      </c>
      <c r="E1248" s="123" t="s">
        <v>1568</v>
      </c>
      <c r="F1248" s="123" t="s">
        <v>1575</v>
      </c>
      <c r="G1248" s="123" t="s">
        <v>1570</v>
      </c>
      <c r="H1248" s="95">
        <v>45996</v>
      </c>
      <c r="I1248">
        <v>34695</v>
      </c>
      <c r="J1248" s="123" t="s">
        <v>325</v>
      </c>
      <c r="K1248" s="123" t="s">
        <v>1267</v>
      </c>
      <c r="L1248" s="123" t="e">
        <f>VLOOKUP(Fact_AUM_FyoCapital[[#This Row],[Dim_Empresas.CUIT]],'clientes SQL'!C:D,2,0)</f>
        <v>#N/A</v>
      </c>
    </row>
    <row r="1249" spans="1:12" hidden="1" x14ac:dyDescent="0.3">
      <c r="A1249">
        <v>1899877</v>
      </c>
      <c r="B1249">
        <v>20251205</v>
      </c>
      <c r="C1249">
        <v>656</v>
      </c>
      <c r="D1249">
        <v>1104696.9722861149</v>
      </c>
      <c r="E1249" s="123" t="s">
        <v>1568</v>
      </c>
      <c r="F1249" s="123" t="s">
        <v>1572</v>
      </c>
      <c r="G1249" s="123" t="s">
        <v>1574</v>
      </c>
      <c r="H1249" s="95">
        <v>45996</v>
      </c>
      <c r="I1249">
        <v>5003</v>
      </c>
      <c r="J1249" s="123" t="s">
        <v>1153</v>
      </c>
      <c r="K1249" s="123" t="s">
        <v>1154</v>
      </c>
      <c r="L1249" s="123" t="e">
        <f>VLOOKUP(Fact_AUM_FyoCapital[[#This Row],[Dim_Empresas.CUIT]],'clientes SQL'!C:D,2,0)</f>
        <v>#N/A</v>
      </c>
    </row>
    <row r="1250" spans="1:12" hidden="1" x14ac:dyDescent="0.3">
      <c r="A1250">
        <v>2613929</v>
      </c>
      <c r="B1250">
        <v>20251205</v>
      </c>
      <c r="C1250">
        <v>7</v>
      </c>
      <c r="D1250">
        <v>-423268.38</v>
      </c>
      <c r="E1250" s="123" t="s">
        <v>1563</v>
      </c>
      <c r="F1250" s="123" t="s">
        <v>801</v>
      </c>
      <c r="G1250" s="123"/>
      <c r="H1250" s="95">
        <v>45996</v>
      </c>
      <c r="I1250">
        <v>5181</v>
      </c>
      <c r="J1250" s="123" t="s">
        <v>212</v>
      </c>
      <c r="K1250" s="123" t="s">
        <v>1238</v>
      </c>
      <c r="L1250" s="123" t="e">
        <f>VLOOKUP(Fact_AUM_FyoCapital[[#This Row],[Dim_Empresas.CUIT]],'clientes SQL'!C:D,2,0)</f>
        <v>#N/A</v>
      </c>
    </row>
    <row r="1251" spans="1:12" hidden="1" x14ac:dyDescent="0.3">
      <c r="A1251">
        <v>1829197</v>
      </c>
      <c r="B1251">
        <v>20251205</v>
      </c>
      <c r="C1251">
        <v>5383</v>
      </c>
      <c r="D1251">
        <v>152456.52636746143</v>
      </c>
      <c r="E1251" s="123" t="s">
        <v>1568</v>
      </c>
      <c r="F1251" s="123" t="s">
        <v>1572</v>
      </c>
      <c r="G1251" s="123" t="s">
        <v>1574</v>
      </c>
      <c r="H1251" s="95">
        <v>45996</v>
      </c>
      <c r="I1251">
        <v>33182</v>
      </c>
      <c r="J1251" s="123" t="s">
        <v>238</v>
      </c>
      <c r="K1251" s="123" t="s">
        <v>1167</v>
      </c>
      <c r="L1251" s="123" t="e">
        <f>VLOOKUP(Fact_AUM_FyoCapital[[#This Row],[Dim_Empresas.CUIT]],'clientes SQL'!C:D,2,0)</f>
        <v>#N/A</v>
      </c>
    </row>
    <row r="1252" spans="1:12" hidden="1" x14ac:dyDescent="0.3">
      <c r="A1252">
        <v>1897357</v>
      </c>
      <c r="B1252">
        <v>20251205</v>
      </c>
      <c r="C1252">
        <v>10253</v>
      </c>
      <c r="D1252">
        <v>634.98345021037869</v>
      </c>
      <c r="E1252" s="123" t="s">
        <v>1568</v>
      </c>
      <c r="F1252" s="123" t="s">
        <v>1572</v>
      </c>
      <c r="G1252" s="123" t="s">
        <v>1574</v>
      </c>
      <c r="H1252" s="95">
        <v>45996</v>
      </c>
      <c r="I1252">
        <v>35643</v>
      </c>
      <c r="J1252" s="123" t="s">
        <v>603</v>
      </c>
      <c r="K1252" s="123" t="s">
        <v>1220</v>
      </c>
      <c r="L1252" s="123" t="e">
        <f>VLOOKUP(Fact_AUM_FyoCapital[[#This Row],[Dim_Empresas.CUIT]],'clientes SQL'!C:D,2,0)</f>
        <v>#N/A</v>
      </c>
    </row>
    <row r="1253" spans="1:12" hidden="1" x14ac:dyDescent="0.3">
      <c r="A1253">
        <v>2605289</v>
      </c>
      <c r="B1253">
        <v>20251205</v>
      </c>
      <c r="C1253">
        <v>10061</v>
      </c>
      <c r="D1253">
        <v>1.5771388499298735E-2</v>
      </c>
      <c r="E1253" s="123" t="s">
        <v>1568</v>
      </c>
      <c r="F1253" s="123" t="s">
        <v>1572</v>
      </c>
      <c r="G1253" s="123" t="s">
        <v>1570</v>
      </c>
      <c r="H1253" s="95">
        <v>45996</v>
      </c>
      <c r="I1253">
        <v>35528</v>
      </c>
      <c r="J1253" s="123" t="s">
        <v>616</v>
      </c>
      <c r="K1253" s="123" t="s">
        <v>1237</v>
      </c>
      <c r="L1253" s="123" t="e">
        <f>VLOOKUP(Fact_AUM_FyoCapital[[#This Row],[Dim_Empresas.CUIT]],'clientes SQL'!C:D,2,0)</f>
        <v>#N/A</v>
      </c>
    </row>
    <row r="1254" spans="1:12" hidden="1" x14ac:dyDescent="0.3">
      <c r="A1254">
        <v>1845817</v>
      </c>
      <c r="B1254">
        <v>20251205</v>
      </c>
      <c r="C1254">
        <v>13275</v>
      </c>
      <c r="D1254">
        <v>2331.63</v>
      </c>
      <c r="E1254" s="123" t="s">
        <v>1566</v>
      </c>
      <c r="F1254" s="123" t="s">
        <v>1571</v>
      </c>
      <c r="G1254" s="123"/>
      <c r="H1254" s="95">
        <v>45996</v>
      </c>
      <c r="I1254">
        <v>36459</v>
      </c>
      <c r="J1254" s="123" t="s">
        <v>296</v>
      </c>
      <c r="K1254" s="123" t="s">
        <v>1138</v>
      </c>
      <c r="L1254" s="123" t="e">
        <f>VLOOKUP(Fact_AUM_FyoCapital[[#This Row],[Dim_Empresas.CUIT]],'clientes SQL'!C:D,2,0)</f>
        <v>#N/A</v>
      </c>
    </row>
    <row r="1255" spans="1:12" hidden="1" x14ac:dyDescent="0.3">
      <c r="A1255">
        <v>1852717</v>
      </c>
      <c r="B1255">
        <v>20251205</v>
      </c>
      <c r="C1255">
        <v>3119</v>
      </c>
      <c r="D1255">
        <v>6245.7475455820477</v>
      </c>
      <c r="E1255" s="123" t="s">
        <v>1566</v>
      </c>
      <c r="F1255" s="123" t="s">
        <v>1571</v>
      </c>
      <c r="G1255" s="123"/>
      <c r="H1255" s="95">
        <v>45996</v>
      </c>
      <c r="I1255">
        <v>31525</v>
      </c>
      <c r="J1255" s="123" t="s">
        <v>432</v>
      </c>
      <c r="K1255" s="123" t="s">
        <v>1145</v>
      </c>
      <c r="L1255" s="123" t="e">
        <f>VLOOKUP(Fact_AUM_FyoCapital[[#This Row],[Dim_Empresas.CUIT]],'clientes SQL'!C:D,2,0)</f>
        <v>#N/A</v>
      </c>
    </row>
    <row r="1256" spans="1:12" hidden="1" x14ac:dyDescent="0.3">
      <c r="A1256">
        <v>2602289</v>
      </c>
      <c r="B1256">
        <v>20251205</v>
      </c>
      <c r="C1256">
        <v>640</v>
      </c>
      <c r="D1256">
        <v>48187.45</v>
      </c>
      <c r="E1256" s="123" t="s">
        <v>1566</v>
      </c>
      <c r="F1256" s="123" t="s">
        <v>1578</v>
      </c>
      <c r="G1256" s="123"/>
      <c r="H1256" s="95">
        <v>45996</v>
      </c>
      <c r="I1256">
        <v>8261</v>
      </c>
      <c r="J1256" s="123" t="s">
        <v>431</v>
      </c>
      <c r="K1256" s="123" t="s">
        <v>1192</v>
      </c>
      <c r="L1256" s="123" t="e">
        <f>VLOOKUP(Fact_AUM_FyoCapital[[#This Row],[Dim_Empresas.CUIT]],'clientes SQL'!C:D,2,0)</f>
        <v>#N/A</v>
      </c>
    </row>
    <row r="1257" spans="1:12" hidden="1" x14ac:dyDescent="0.3">
      <c r="A1257">
        <v>1831177</v>
      </c>
      <c r="B1257">
        <v>20251205</v>
      </c>
      <c r="C1257">
        <v>6154</v>
      </c>
      <c r="D1257">
        <v>70748.3</v>
      </c>
      <c r="E1257" s="123" t="s">
        <v>1566</v>
      </c>
      <c r="F1257" s="123" t="s">
        <v>1579</v>
      </c>
      <c r="G1257" s="123"/>
      <c r="H1257" s="95">
        <v>45996</v>
      </c>
      <c r="I1257">
        <v>34268</v>
      </c>
      <c r="J1257" s="123" t="s">
        <v>1141</v>
      </c>
      <c r="K1257" s="123" t="s">
        <v>1142</v>
      </c>
      <c r="L1257" s="123" t="e">
        <f>VLOOKUP(Fact_AUM_FyoCapital[[#This Row],[Dim_Empresas.CUIT]],'clientes SQL'!C:D,2,0)</f>
        <v>#N/A</v>
      </c>
    </row>
    <row r="1258" spans="1:12" hidden="1" x14ac:dyDescent="0.3">
      <c r="A1258">
        <v>1834957</v>
      </c>
      <c r="B1258">
        <v>20251205</v>
      </c>
      <c r="C1258">
        <v>15123</v>
      </c>
      <c r="D1258">
        <v>3135.81</v>
      </c>
      <c r="E1258" s="123" t="s">
        <v>1566</v>
      </c>
      <c r="F1258" s="123" t="s">
        <v>1571</v>
      </c>
      <c r="G1258" s="123"/>
      <c r="H1258" s="95">
        <v>45996</v>
      </c>
      <c r="I1258">
        <v>37264</v>
      </c>
      <c r="J1258" s="123" t="s">
        <v>1212</v>
      </c>
      <c r="K1258" s="123" t="s">
        <v>1213</v>
      </c>
      <c r="L1258" s="123" t="e">
        <f>VLOOKUP(Fact_AUM_FyoCapital[[#This Row],[Dim_Empresas.CUIT]],'clientes SQL'!C:D,2,0)</f>
        <v>#N/A</v>
      </c>
    </row>
    <row r="1259" spans="1:12" hidden="1" x14ac:dyDescent="0.3">
      <c r="A1259">
        <v>2602409</v>
      </c>
      <c r="B1259">
        <v>20251205</v>
      </c>
      <c r="C1259">
        <v>640</v>
      </c>
      <c r="D1259">
        <v>48323.75</v>
      </c>
      <c r="E1259" s="123" t="s">
        <v>1566</v>
      </c>
      <c r="F1259" s="123" t="s">
        <v>1578</v>
      </c>
      <c r="G1259" s="123"/>
      <c r="H1259" s="95">
        <v>45996</v>
      </c>
      <c r="I1259">
        <v>8261</v>
      </c>
      <c r="J1259" s="123" t="s">
        <v>431</v>
      </c>
      <c r="K1259" s="123" t="s">
        <v>1192</v>
      </c>
      <c r="L1259" s="123" t="e">
        <f>VLOOKUP(Fact_AUM_FyoCapital[[#This Row],[Dim_Empresas.CUIT]],'clientes SQL'!C:D,2,0)</f>
        <v>#N/A</v>
      </c>
    </row>
    <row r="1260" spans="1:12" hidden="1" x14ac:dyDescent="0.3">
      <c r="A1260">
        <v>2623469</v>
      </c>
      <c r="B1260">
        <v>20251205</v>
      </c>
      <c r="C1260">
        <v>12910</v>
      </c>
      <c r="D1260">
        <v>-1.6830294530154277E-4</v>
      </c>
      <c r="E1260" s="123" t="s">
        <v>1563</v>
      </c>
      <c r="F1260" s="123" t="s">
        <v>185</v>
      </c>
      <c r="G1260" s="123"/>
      <c r="H1260" s="95">
        <v>45996</v>
      </c>
      <c r="I1260">
        <v>36129</v>
      </c>
      <c r="J1260" s="123" t="s">
        <v>435</v>
      </c>
      <c r="K1260" s="123" t="s">
        <v>1279</v>
      </c>
      <c r="L1260" s="123" t="e">
        <f>VLOOKUP(Fact_AUM_FyoCapital[[#This Row],[Dim_Empresas.CUIT]],'clientes SQL'!C:D,2,0)</f>
        <v>#N/A</v>
      </c>
    </row>
    <row r="1261" spans="1:12" hidden="1" x14ac:dyDescent="0.3">
      <c r="A1261">
        <v>2612729</v>
      </c>
      <c r="B1261">
        <v>20251205</v>
      </c>
      <c r="C1261">
        <v>1464</v>
      </c>
      <c r="D1261">
        <v>1.6409537166900421E-3</v>
      </c>
      <c r="E1261" s="123" t="s">
        <v>1563</v>
      </c>
      <c r="F1261" s="123" t="s">
        <v>185</v>
      </c>
      <c r="G1261" s="123"/>
      <c r="H1261" s="95">
        <v>45996</v>
      </c>
      <c r="I1261">
        <v>19779</v>
      </c>
      <c r="J1261" s="123" t="s">
        <v>215</v>
      </c>
      <c r="K1261" s="123" t="s">
        <v>1285</v>
      </c>
      <c r="L1261" s="123" t="e">
        <f>VLOOKUP(Fact_AUM_FyoCapital[[#This Row],[Dim_Empresas.CUIT]],'clientes SQL'!C:D,2,0)</f>
        <v>#N/A</v>
      </c>
    </row>
    <row r="1262" spans="1:12" hidden="1" x14ac:dyDescent="0.3">
      <c r="A1262">
        <v>1848697</v>
      </c>
      <c r="B1262">
        <v>20251205</v>
      </c>
      <c r="C1262">
        <v>15208</v>
      </c>
      <c r="D1262">
        <v>20588.835904628329</v>
      </c>
      <c r="E1262" s="123" t="s">
        <v>1566</v>
      </c>
      <c r="F1262" s="123" t="s">
        <v>1571</v>
      </c>
      <c r="G1262" s="123"/>
      <c r="H1262" s="95">
        <v>45996</v>
      </c>
      <c r="I1262">
        <v>37337</v>
      </c>
      <c r="J1262" s="123" t="s">
        <v>682</v>
      </c>
      <c r="K1262" s="123" t="s">
        <v>1155</v>
      </c>
      <c r="L1262" s="123" t="e">
        <f>VLOOKUP(Fact_AUM_FyoCapital[[#This Row],[Dim_Empresas.CUIT]],'clientes SQL'!C:D,2,0)</f>
        <v>#N/A</v>
      </c>
    </row>
    <row r="1263" spans="1:12" hidden="1" x14ac:dyDescent="0.3">
      <c r="A1263">
        <v>2622929</v>
      </c>
      <c r="B1263">
        <v>20251205</v>
      </c>
      <c r="C1263">
        <v>10083</v>
      </c>
      <c r="D1263">
        <v>-0.18</v>
      </c>
      <c r="E1263" s="123" t="s">
        <v>1563</v>
      </c>
      <c r="F1263" s="123" t="s">
        <v>950</v>
      </c>
      <c r="G1263" s="123"/>
      <c r="H1263" s="95">
        <v>45996</v>
      </c>
      <c r="I1263">
        <v>35548</v>
      </c>
      <c r="J1263" s="123" t="s">
        <v>400</v>
      </c>
      <c r="K1263" s="123" t="s">
        <v>1228</v>
      </c>
      <c r="L1263" s="123" t="e">
        <f>VLOOKUP(Fact_AUM_FyoCapital[[#This Row],[Dim_Empresas.CUIT]],'clientes SQL'!C:D,2,0)</f>
        <v>#N/A</v>
      </c>
    </row>
    <row r="1264" spans="1:12" hidden="1" x14ac:dyDescent="0.3">
      <c r="A1264">
        <v>2636429</v>
      </c>
      <c r="B1264">
        <v>20251205</v>
      </c>
      <c r="C1264">
        <v>1526</v>
      </c>
      <c r="D1264">
        <v>-0.01</v>
      </c>
      <c r="E1264" s="123" t="s">
        <v>1563</v>
      </c>
      <c r="F1264" s="123" t="s">
        <v>801</v>
      </c>
      <c r="G1264" s="123"/>
      <c r="H1264" s="95">
        <v>45996</v>
      </c>
      <c r="I1264">
        <v>20076</v>
      </c>
      <c r="J1264" s="123" t="s">
        <v>362</v>
      </c>
      <c r="K1264" s="123" t="s">
        <v>1514</v>
      </c>
      <c r="L1264" s="123" t="e">
        <f>VLOOKUP(Fact_AUM_FyoCapital[[#This Row],[Dim_Empresas.CUIT]],'clientes SQL'!C:D,2,0)</f>
        <v>#N/A</v>
      </c>
    </row>
    <row r="1265" spans="1:12" hidden="1" x14ac:dyDescent="0.3">
      <c r="A1265">
        <v>1833457</v>
      </c>
      <c r="B1265">
        <v>20251205</v>
      </c>
      <c r="C1265">
        <v>2654</v>
      </c>
      <c r="D1265">
        <v>1288.2842426367463</v>
      </c>
      <c r="E1265" s="123" t="s">
        <v>1568</v>
      </c>
      <c r="F1265" s="123" t="s">
        <v>1572</v>
      </c>
      <c r="G1265" s="123" t="s">
        <v>1583</v>
      </c>
      <c r="H1265" s="95">
        <v>45996</v>
      </c>
      <c r="I1265">
        <v>30889</v>
      </c>
      <c r="J1265" s="123" t="s">
        <v>1360</v>
      </c>
      <c r="K1265" s="123" t="s">
        <v>1361</v>
      </c>
      <c r="L1265" s="123" t="e">
        <f>VLOOKUP(Fact_AUM_FyoCapital[[#This Row],[Dim_Empresas.CUIT]],'clientes SQL'!C:D,2,0)</f>
        <v>#N/A</v>
      </c>
    </row>
    <row r="1266" spans="1:12" hidden="1" x14ac:dyDescent="0.3">
      <c r="A1266">
        <v>1872997</v>
      </c>
      <c r="B1266">
        <v>20251205</v>
      </c>
      <c r="C1266">
        <v>16273</v>
      </c>
      <c r="D1266">
        <v>1349.3162692847125</v>
      </c>
      <c r="E1266" s="123" t="s">
        <v>1566</v>
      </c>
      <c r="F1266" s="123" t="s">
        <v>1573</v>
      </c>
      <c r="G1266" s="123"/>
      <c r="H1266" s="95">
        <v>45996</v>
      </c>
      <c r="I1266">
        <v>37760</v>
      </c>
      <c r="J1266" s="123" t="s">
        <v>1349</v>
      </c>
      <c r="K1266" s="123" t="s">
        <v>1350</v>
      </c>
      <c r="L1266" s="123" t="e">
        <f>VLOOKUP(Fact_AUM_FyoCapital[[#This Row],[Dim_Empresas.CUIT]],'clientes SQL'!C:D,2,0)</f>
        <v>#N/A</v>
      </c>
    </row>
    <row r="1267" spans="1:12" hidden="1" x14ac:dyDescent="0.3">
      <c r="A1267">
        <v>1883677</v>
      </c>
      <c r="B1267">
        <v>20251205</v>
      </c>
      <c r="C1267">
        <v>905</v>
      </c>
      <c r="D1267">
        <v>0</v>
      </c>
      <c r="E1267" s="123"/>
      <c r="F1267" s="123"/>
      <c r="G1267" s="123"/>
      <c r="H1267" s="95">
        <v>45996</v>
      </c>
      <c r="I1267">
        <v>18220</v>
      </c>
      <c r="J1267" s="123" t="s">
        <v>531</v>
      </c>
      <c r="K1267" s="123" t="s">
        <v>1121</v>
      </c>
      <c r="L1267" s="123" t="e">
        <f>VLOOKUP(Fact_AUM_FyoCapital[[#This Row],[Dim_Empresas.CUIT]],'clientes SQL'!C:D,2,0)</f>
        <v>#N/A</v>
      </c>
    </row>
    <row r="1268" spans="1:12" hidden="1" x14ac:dyDescent="0.3">
      <c r="A1268">
        <v>1853497</v>
      </c>
      <c r="B1268">
        <v>20251205</v>
      </c>
      <c r="C1268">
        <v>974</v>
      </c>
      <c r="D1268">
        <v>295763.5297194951</v>
      </c>
      <c r="E1268" s="123" t="s">
        <v>1568</v>
      </c>
      <c r="F1268" s="123" t="s">
        <v>1569</v>
      </c>
      <c r="G1268" s="123" t="s">
        <v>1570</v>
      </c>
      <c r="H1268" s="95">
        <v>45996</v>
      </c>
      <c r="I1268">
        <v>9551</v>
      </c>
      <c r="J1268" s="123" t="s">
        <v>423</v>
      </c>
      <c r="K1268" s="123" t="s">
        <v>1344</v>
      </c>
      <c r="L1268" s="123" t="e">
        <f>VLOOKUP(Fact_AUM_FyoCapital[[#This Row],[Dim_Empresas.CUIT]],'clientes SQL'!C:D,2,0)</f>
        <v>#N/A</v>
      </c>
    </row>
    <row r="1269" spans="1:12" hidden="1" x14ac:dyDescent="0.3">
      <c r="A1269">
        <v>2603849</v>
      </c>
      <c r="B1269">
        <v>20251205</v>
      </c>
      <c r="C1269">
        <v>7012</v>
      </c>
      <c r="D1269">
        <v>7511.04</v>
      </c>
      <c r="E1269" s="123" t="s">
        <v>1566</v>
      </c>
      <c r="F1269" s="123" t="s">
        <v>1571</v>
      </c>
      <c r="G1269" s="123"/>
      <c r="H1269" s="95">
        <v>45996</v>
      </c>
      <c r="I1269">
        <v>34708</v>
      </c>
      <c r="J1269" s="123" t="s">
        <v>626</v>
      </c>
      <c r="K1269" s="123" t="s">
        <v>1203</v>
      </c>
      <c r="L1269" s="123" t="e">
        <f>VLOOKUP(Fact_AUM_FyoCapital[[#This Row],[Dim_Empresas.CUIT]],'clientes SQL'!C:D,2,0)</f>
        <v>#N/A</v>
      </c>
    </row>
    <row r="1270" spans="1:12" hidden="1" x14ac:dyDescent="0.3">
      <c r="A1270">
        <v>1866997</v>
      </c>
      <c r="B1270">
        <v>20251205</v>
      </c>
      <c r="C1270">
        <v>5197</v>
      </c>
      <c r="D1270">
        <v>215877.86570827488</v>
      </c>
      <c r="E1270" s="123" t="s">
        <v>1566</v>
      </c>
      <c r="F1270" s="123" t="s">
        <v>1571</v>
      </c>
      <c r="G1270" s="123"/>
      <c r="H1270" s="95">
        <v>45996</v>
      </c>
      <c r="I1270">
        <v>33322</v>
      </c>
      <c r="J1270" s="123" t="s">
        <v>500</v>
      </c>
      <c r="K1270" s="123" t="s">
        <v>1233</v>
      </c>
      <c r="L1270" s="123" t="e">
        <f>VLOOKUP(Fact_AUM_FyoCapital[[#This Row],[Dim_Empresas.CUIT]],'clientes SQL'!C:D,2,0)</f>
        <v>#N/A</v>
      </c>
    </row>
    <row r="1271" spans="1:12" hidden="1" x14ac:dyDescent="0.3">
      <c r="A1271">
        <v>2625389</v>
      </c>
      <c r="B1271">
        <v>20251205</v>
      </c>
      <c r="C1271">
        <v>1314</v>
      </c>
      <c r="D1271">
        <v>1099.55</v>
      </c>
      <c r="E1271" s="123" t="s">
        <v>1563</v>
      </c>
      <c r="F1271" s="123" t="s">
        <v>950</v>
      </c>
      <c r="G1271" s="123"/>
      <c r="H1271" s="95">
        <v>45996</v>
      </c>
      <c r="I1271">
        <v>19442</v>
      </c>
      <c r="J1271" s="123" t="s">
        <v>309</v>
      </c>
      <c r="K1271" s="123" t="s">
        <v>1112</v>
      </c>
      <c r="L1271" s="123" t="e">
        <f>VLOOKUP(Fact_AUM_FyoCapital[[#This Row],[Dim_Empresas.CUIT]],'clientes SQL'!C:D,2,0)</f>
        <v>#N/A</v>
      </c>
    </row>
    <row r="1272" spans="1:12" hidden="1" x14ac:dyDescent="0.3">
      <c r="A1272">
        <v>2629349</v>
      </c>
      <c r="B1272">
        <v>20251205</v>
      </c>
      <c r="C1272">
        <v>2177</v>
      </c>
      <c r="D1272">
        <v>-7.5297194950911637</v>
      </c>
      <c r="E1272" s="123" t="s">
        <v>1563</v>
      </c>
      <c r="F1272" s="123" t="s">
        <v>185</v>
      </c>
      <c r="G1272" s="123"/>
      <c r="H1272" s="95">
        <v>45996</v>
      </c>
      <c r="I1272">
        <v>30133</v>
      </c>
      <c r="J1272" s="123" t="s">
        <v>1323</v>
      </c>
      <c r="K1272" s="123" t="s">
        <v>1324</v>
      </c>
      <c r="L1272" s="123" t="e">
        <f>VLOOKUP(Fact_AUM_FyoCapital[[#This Row],[Dim_Empresas.CUIT]],'clientes SQL'!C:D,2,0)</f>
        <v>#N/A</v>
      </c>
    </row>
    <row r="1273" spans="1:12" hidden="1" x14ac:dyDescent="0.3">
      <c r="A1273">
        <v>1831057</v>
      </c>
      <c r="B1273">
        <v>20251205</v>
      </c>
      <c r="C1273">
        <v>6154</v>
      </c>
      <c r="D1273">
        <v>67.97</v>
      </c>
      <c r="E1273" s="123" t="s">
        <v>1566</v>
      </c>
      <c r="F1273" s="123" t="s">
        <v>1571</v>
      </c>
      <c r="G1273" s="123"/>
      <c r="H1273" s="95">
        <v>45996</v>
      </c>
      <c r="I1273">
        <v>34268</v>
      </c>
      <c r="J1273" s="123" t="s">
        <v>1141</v>
      </c>
      <c r="K1273" s="123" t="s">
        <v>1142</v>
      </c>
      <c r="L1273" s="123" t="e">
        <f>VLOOKUP(Fact_AUM_FyoCapital[[#This Row],[Dim_Empresas.CUIT]],'clientes SQL'!C:D,2,0)</f>
        <v>#N/A</v>
      </c>
    </row>
    <row r="1274" spans="1:12" hidden="1" x14ac:dyDescent="0.3">
      <c r="A1274">
        <v>1828117</v>
      </c>
      <c r="B1274">
        <v>20251205</v>
      </c>
      <c r="C1274">
        <v>5383</v>
      </c>
      <c r="D1274">
        <v>12622.026647966339</v>
      </c>
      <c r="E1274" s="123" t="s">
        <v>1566</v>
      </c>
      <c r="F1274" s="123" t="s">
        <v>1580</v>
      </c>
      <c r="G1274" s="123"/>
      <c r="H1274" s="95">
        <v>45996</v>
      </c>
      <c r="I1274">
        <v>33182</v>
      </c>
      <c r="J1274" s="123" t="s">
        <v>238</v>
      </c>
      <c r="K1274" s="123" t="s">
        <v>1167</v>
      </c>
      <c r="L1274" s="123" t="e">
        <f>VLOOKUP(Fact_AUM_FyoCapital[[#This Row],[Dim_Empresas.CUIT]],'clientes SQL'!C:D,2,0)</f>
        <v>#N/A</v>
      </c>
    </row>
    <row r="1275" spans="1:12" hidden="1" x14ac:dyDescent="0.3">
      <c r="A1275">
        <v>1873057</v>
      </c>
      <c r="B1275">
        <v>20251205</v>
      </c>
      <c r="C1275">
        <v>16273</v>
      </c>
      <c r="D1275">
        <v>6704.1290743338013</v>
      </c>
      <c r="E1275" s="123" t="s">
        <v>1568</v>
      </c>
      <c r="F1275" s="123" t="s">
        <v>1572</v>
      </c>
      <c r="G1275" s="123" t="s">
        <v>1577</v>
      </c>
      <c r="H1275" s="95">
        <v>45996</v>
      </c>
      <c r="I1275">
        <v>37760</v>
      </c>
      <c r="J1275" s="123" t="s">
        <v>1349</v>
      </c>
      <c r="K1275" s="123" t="s">
        <v>1350</v>
      </c>
      <c r="L1275" s="123" t="e">
        <f>VLOOKUP(Fact_AUM_FyoCapital[[#This Row],[Dim_Empresas.CUIT]],'clientes SQL'!C:D,2,0)</f>
        <v>#N/A</v>
      </c>
    </row>
    <row r="1276" spans="1:12" hidden="1" x14ac:dyDescent="0.3">
      <c r="A1276">
        <v>2634269</v>
      </c>
      <c r="B1276">
        <v>20251205</v>
      </c>
      <c r="C1276">
        <v>971</v>
      </c>
      <c r="D1276">
        <v>-1.1220196353436185E-4</v>
      </c>
      <c r="E1276" s="123" t="s">
        <v>1563</v>
      </c>
      <c r="F1276" s="123" t="s">
        <v>185</v>
      </c>
      <c r="G1276" s="123"/>
      <c r="H1276" s="95">
        <v>45996</v>
      </c>
      <c r="I1276">
        <v>9355</v>
      </c>
      <c r="J1276" s="123" t="s">
        <v>1337</v>
      </c>
      <c r="K1276" s="123" t="s">
        <v>1338</v>
      </c>
      <c r="L1276" s="123" t="e">
        <f>VLOOKUP(Fact_AUM_FyoCapital[[#This Row],[Dim_Empresas.CUIT]],'clientes SQL'!C:D,2,0)</f>
        <v>#N/A</v>
      </c>
    </row>
    <row r="1277" spans="1:12" hidden="1" x14ac:dyDescent="0.3">
      <c r="A1277">
        <v>2627609</v>
      </c>
      <c r="B1277">
        <v>20251205</v>
      </c>
      <c r="C1277">
        <v>1437</v>
      </c>
      <c r="D1277">
        <v>-5.8694880785413739</v>
      </c>
      <c r="E1277" s="123" t="s">
        <v>1563</v>
      </c>
      <c r="F1277" s="123" t="s">
        <v>185</v>
      </c>
      <c r="G1277" s="123"/>
      <c r="H1277" s="95">
        <v>45996</v>
      </c>
      <c r="I1277">
        <v>19791</v>
      </c>
      <c r="J1277" s="123" t="s">
        <v>172</v>
      </c>
      <c r="K1277" s="123" t="s">
        <v>1223</v>
      </c>
      <c r="L1277" s="123">
        <f>VLOOKUP(Fact_AUM_FyoCapital[[#This Row],[Dim_Empresas.CUIT]],'clientes SQL'!C:D,2,0)</f>
        <v>20176</v>
      </c>
    </row>
    <row r="1278" spans="1:12" hidden="1" x14ac:dyDescent="0.3">
      <c r="A1278">
        <v>2631149</v>
      </c>
      <c r="B1278">
        <v>20251205</v>
      </c>
      <c r="C1278">
        <v>628</v>
      </c>
      <c r="D1278">
        <v>75204.61</v>
      </c>
      <c r="E1278" s="123" t="s">
        <v>1563</v>
      </c>
      <c r="F1278" s="123" t="s">
        <v>950</v>
      </c>
      <c r="G1278" s="123"/>
      <c r="H1278" s="95">
        <v>45996</v>
      </c>
      <c r="I1278">
        <v>9352</v>
      </c>
      <c r="J1278" s="123" t="s">
        <v>425</v>
      </c>
      <c r="K1278" s="123" t="s">
        <v>1336</v>
      </c>
      <c r="L1278" s="123" t="e">
        <f>VLOOKUP(Fact_AUM_FyoCapital[[#This Row],[Dim_Empresas.CUIT]],'clientes SQL'!C:D,2,0)</f>
        <v>#N/A</v>
      </c>
    </row>
    <row r="1279" spans="1:12" hidden="1" x14ac:dyDescent="0.3">
      <c r="A1279">
        <v>1896757</v>
      </c>
      <c r="B1279">
        <v>20251205</v>
      </c>
      <c r="C1279">
        <v>10253</v>
      </c>
      <c r="D1279">
        <v>34285.764375876577</v>
      </c>
      <c r="E1279" s="123" t="s">
        <v>1566</v>
      </c>
      <c r="F1279" s="123" t="s">
        <v>1580</v>
      </c>
      <c r="G1279" s="123"/>
      <c r="H1279" s="95">
        <v>45996</v>
      </c>
      <c r="I1279">
        <v>35643</v>
      </c>
      <c r="J1279" s="123" t="s">
        <v>603</v>
      </c>
      <c r="K1279" s="123" t="s">
        <v>1220</v>
      </c>
      <c r="L1279" s="123" t="e">
        <f>VLOOKUP(Fact_AUM_FyoCapital[[#This Row],[Dim_Empresas.CUIT]],'clientes SQL'!C:D,2,0)</f>
        <v>#N/A</v>
      </c>
    </row>
    <row r="1280" spans="1:12" hidden="1" x14ac:dyDescent="0.3">
      <c r="A1280">
        <v>2624369</v>
      </c>
      <c r="B1280">
        <v>20251205</v>
      </c>
      <c r="C1280">
        <v>1437</v>
      </c>
      <c r="D1280">
        <v>17288015.079999998</v>
      </c>
      <c r="E1280" s="123" t="s">
        <v>1563</v>
      </c>
      <c r="F1280" s="123" t="s">
        <v>801</v>
      </c>
      <c r="G1280" s="123"/>
      <c r="H1280" s="95">
        <v>45996</v>
      </c>
      <c r="I1280">
        <v>19791</v>
      </c>
      <c r="J1280" s="123" t="s">
        <v>172</v>
      </c>
      <c r="K1280" s="123" t="s">
        <v>1223</v>
      </c>
      <c r="L1280" s="123">
        <f>VLOOKUP(Fact_AUM_FyoCapital[[#This Row],[Dim_Empresas.CUIT]],'clientes SQL'!C:D,2,0)</f>
        <v>20176</v>
      </c>
    </row>
    <row r="1281" spans="1:12" hidden="1" x14ac:dyDescent="0.3">
      <c r="A1281">
        <v>1895677</v>
      </c>
      <c r="B1281">
        <v>20251205</v>
      </c>
      <c r="C1281">
        <v>10253</v>
      </c>
      <c r="D1281">
        <v>61528.415147265077</v>
      </c>
      <c r="E1281" s="123" t="s">
        <v>1566</v>
      </c>
      <c r="F1281" s="123" t="s">
        <v>1580</v>
      </c>
      <c r="G1281" s="123"/>
      <c r="H1281" s="95">
        <v>45996</v>
      </c>
      <c r="I1281">
        <v>35643</v>
      </c>
      <c r="J1281" s="123" t="s">
        <v>603</v>
      </c>
      <c r="K1281" s="123" t="s">
        <v>1220</v>
      </c>
      <c r="L1281" s="123" t="e">
        <f>VLOOKUP(Fact_AUM_FyoCapital[[#This Row],[Dim_Empresas.CUIT]],'clientes SQL'!C:D,2,0)</f>
        <v>#N/A</v>
      </c>
    </row>
    <row r="1282" spans="1:12" hidden="1" x14ac:dyDescent="0.3">
      <c r="A1282">
        <v>2636909</v>
      </c>
      <c r="B1282">
        <v>20251205</v>
      </c>
      <c r="C1282">
        <v>1853</v>
      </c>
      <c r="D1282">
        <v>-72660</v>
      </c>
      <c r="E1282" s="123" t="s">
        <v>1563</v>
      </c>
      <c r="F1282" s="123" t="s">
        <v>801</v>
      </c>
      <c r="G1282" s="123"/>
      <c r="H1282" s="95">
        <v>45996</v>
      </c>
      <c r="I1282">
        <v>19392</v>
      </c>
      <c r="J1282" s="123" t="s">
        <v>1309</v>
      </c>
      <c r="K1282" s="123" t="s">
        <v>1310</v>
      </c>
      <c r="L1282" s="123" t="e">
        <f>VLOOKUP(Fact_AUM_FyoCapital[[#This Row],[Dim_Empresas.CUIT]],'clientes SQL'!C:D,2,0)</f>
        <v>#N/A</v>
      </c>
    </row>
    <row r="1283" spans="1:12" hidden="1" x14ac:dyDescent="0.3">
      <c r="A1283">
        <v>2627789</v>
      </c>
      <c r="B1283">
        <v>20251205</v>
      </c>
      <c r="C1283">
        <v>7068</v>
      </c>
      <c r="D1283">
        <v>-0.21</v>
      </c>
      <c r="E1283" s="123" t="s">
        <v>1563</v>
      </c>
      <c r="F1283" s="123" t="s">
        <v>950</v>
      </c>
      <c r="G1283" s="123"/>
      <c r="H1283" s="95">
        <v>45996</v>
      </c>
      <c r="I1283">
        <v>34759</v>
      </c>
      <c r="J1283" s="123" t="s">
        <v>695</v>
      </c>
      <c r="K1283" s="123" t="s">
        <v>1312</v>
      </c>
      <c r="L1283" s="123" t="e">
        <f>VLOOKUP(Fact_AUM_FyoCapital[[#This Row],[Dim_Empresas.CUIT]],'clientes SQL'!C:D,2,0)</f>
        <v>#N/A</v>
      </c>
    </row>
    <row r="1284" spans="1:12" hidden="1" x14ac:dyDescent="0.3">
      <c r="A1284">
        <v>1830097</v>
      </c>
      <c r="B1284">
        <v>20251205</v>
      </c>
      <c r="C1284">
        <v>4213</v>
      </c>
      <c r="D1284">
        <v>66240.78</v>
      </c>
      <c r="E1284" s="123" t="s">
        <v>1566</v>
      </c>
      <c r="F1284" s="123" t="s">
        <v>1579</v>
      </c>
      <c r="G1284" s="123"/>
      <c r="H1284" s="95">
        <v>45996</v>
      </c>
      <c r="I1284">
        <v>32849</v>
      </c>
      <c r="J1284" s="123" t="s">
        <v>190</v>
      </c>
      <c r="K1284" s="123" t="s">
        <v>1302</v>
      </c>
      <c r="L1284" s="123" t="e">
        <f>VLOOKUP(Fact_AUM_FyoCapital[[#This Row],[Dim_Empresas.CUIT]],'clientes SQL'!C:D,2,0)</f>
        <v>#N/A</v>
      </c>
    </row>
    <row r="1285" spans="1:12" hidden="1" x14ac:dyDescent="0.3">
      <c r="A1285">
        <v>2610569</v>
      </c>
      <c r="B1285">
        <v>20251205</v>
      </c>
      <c r="C1285">
        <v>1352</v>
      </c>
      <c r="D1285">
        <v>-1.5368723702664797</v>
      </c>
      <c r="E1285" s="123" t="s">
        <v>1563</v>
      </c>
      <c r="F1285" s="123" t="s">
        <v>185</v>
      </c>
      <c r="G1285" s="123"/>
      <c r="H1285" s="95">
        <v>45996</v>
      </c>
      <c r="I1285">
        <v>19501</v>
      </c>
      <c r="J1285" s="123" t="s">
        <v>192</v>
      </c>
      <c r="K1285" s="123" t="s">
        <v>1129</v>
      </c>
      <c r="L1285" s="123" t="e">
        <f>VLOOKUP(Fact_AUM_FyoCapital[[#This Row],[Dim_Empresas.CUIT]],'clientes SQL'!C:D,2,0)</f>
        <v>#N/A</v>
      </c>
    </row>
    <row r="1286" spans="1:12" hidden="1" x14ac:dyDescent="0.3">
      <c r="A1286">
        <v>2614829</v>
      </c>
      <c r="B1286">
        <v>20251205</v>
      </c>
      <c r="C1286">
        <v>5235</v>
      </c>
      <c r="D1286">
        <v>-5</v>
      </c>
      <c r="E1286" s="123" t="s">
        <v>1563</v>
      </c>
      <c r="F1286" s="123" t="s">
        <v>950</v>
      </c>
      <c r="G1286" s="123"/>
      <c r="H1286" s="95">
        <v>45996</v>
      </c>
      <c r="I1286">
        <v>33099</v>
      </c>
      <c r="J1286" s="123" t="s">
        <v>346</v>
      </c>
      <c r="K1286" s="123" t="s">
        <v>1118</v>
      </c>
      <c r="L1286" s="123" t="e">
        <f>VLOOKUP(Fact_AUM_FyoCapital[[#This Row],[Dim_Empresas.CUIT]],'clientes SQL'!C:D,2,0)</f>
        <v>#N/A</v>
      </c>
    </row>
    <row r="1287" spans="1:12" hidden="1" x14ac:dyDescent="0.3">
      <c r="A1287">
        <v>1848517</v>
      </c>
      <c r="B1287">
        <v>20251205</v>
      </c>
      <c r="C1287">
        <v>13761</v>
      </c>
      <c r="D1287">
        <v>282.25772791023843</v>
      </c>
      <c r="E1287" s="123" t="s">
        <v>1568</v>
      </c>
      <c r="F1287" s="123" t="s">
        <v>1572</v>
      </c>
      <c r="G1287" s="123" t="s">
        <v>1574</v>
      </c>
      <c r="H1287" s="95">
        <v>45996</v>
      </c>
      <c r="I1287">
        <v>36914</v>
      </c>
      <c r="J1287" s="123" t="s">
        <v>315</v>
      </c>
      <c r="K1287" s="123" t="s">
        <v>1106</v>
      </c>
      <c r="L1287" s="123" t="e">
        <f>VLOOKUP(Fact_AUM_FyoCapital[[#This Row],[Dim_Empresas.CUIT]],'clientes SQL'!C:D,2,0)</f>
        <v>#N/A</v>
      </c>
    </row>
    <row r="1288" spans="1:12" hidden="1" x14ac:dyDescent="0.3">
      <c r="A1288">
        <v>2604509</v>
      </c>
      <c r="B1288">
        <v>20251205</v>
      </c>
      <c r="C1288">
        <v>5999</v>
      </c>
      <c r="D1288">
        <v>8057.9328471248245</v>
      </c>
      <c r="E1288" s="123" t="s">
        <v>1568</v>
      </c>
      <c r="F1288" s="123" t="s">
        <v>1572</v>
      </c>
      <c r="G1288" s="123" t="s">
        <v>1576</v>
      </c>
      <c r="H1288" s="95">
        <v>45996</v>
      </c>
      <c r="I1288">
        <v>33276</v>
      </c>
      <c r="J1288" s="123" t="s">
        <v>622</v>
      </c>
      <c r="K1288" s="123" t="s">
        <v>1246</v>
      </c>
      <c r="L1288" s="123" t="e">
        <f>VLOOKUP(Fact_AUM_FyoCapital[[#This Row],[Dim_Empresas.CUIT]],'clientes SQL'!C:D,2,0)</f>
        <v>#N/A</v>
      </c>
    </row>
    <row r="1289" spans="1:12" hidden="1" x14ac:dyDescent="0.3">
      <c r="A1289">
        <v>2624669</v>
      </c>
      <c r="B1289">
        <v>20251205</v>
      </c>
      <c r="C1289">
        <v>2299</v>
      </c>
      <c r="D1289">
        <v>-4.3662131837307152</v>
      </c>
      <c r="E1289" s="123" t="s">
        <v>1563</v>
      </c>
      <c r="F1289" s="123" t="s">
        <v>185</v>
      </c>
      <c r="G1289" s="123"/>
      <c r="H1289" s="95">
        <v>45996</v>
      </c>
      <c r="I1289">
        <v>30388</v>
      </c>
      <c r="J1289" s="123" t="s">
        <v>290</v>
      </c>
      <c r="K1289" s="123" t="s">
        <v>1160</v>
      </c>
      <c r="L1289" s="123" t="e">
        <f>VLOOKUP(Fact_AUM_FyoCapital[[#This Row],[Dim_Empresas.CUIT]],'clientes SQL'!C:D,2,0)</f>
        <v>#N/A</v>
      </c>
    </row>
    <row r="1290" spans="1:12" hidden="1" x14ac:dyDescent="0.3">
      <c r="A1290">
        <v>1894057</v>
      </c>
      <c r="B1290">
        <v>20251205</v>
      </c>
      <c r="C1290">
        <v>7139</v>
      </c>
      <c r="D1290">
        <v>4168.3100000000004</v>
      </c>
      <c r="E1290" s="123" t="s">
        <v>1566</v>
      </c>
      <c r="F1290" s="123" t="s">
        <v>1579</v>
      </c>
      <c r="G1290" s="123"/>
      <c r="H1290" s="95">
        <v>45996</v>
      </c>
      <c r="I1290">
        <v>34790</v>
      </c>
      <c r="J1290" s="123" t="s">
        <v>598</v>
      </c>
      <c r="K1290" s="123" t="s">
        <v>1201</v>
      </c>
      <c r="L1290" s="123" t="e">
        <f>VLOOKUP(Fact_AUM_FyoCapital[[#This Row],[Dim_Empresas.CUIT]],'clientes SQL'!C:D,2,0)</f>
        <v>#N/A</v>
      </c>
    </row>
    <row r="1291" spans="1:12" hidden="1" x14ac:dyDescent="0.3">
      <c r="A1291">
        <v>2600729</v>
      </c>
      <c r="B1291">
        <v>20251205</v>
      </c>
      <c r="C1291">
        <v>16949</v>
      </c>
      <c r="D1291">
        <v>9.8538429172510522</v>
      </c>
      <c r="E1291" s="123" t="s">
        <v>1568</v>
      </c>
      <c r="F1291" s="123" t="s">
        <v>1572</v>
      </c>
      <c r="G1291" s="123" t="s">
        <v>1570</v>
      </c>
      <c r="H1291" s="95">
        <v>45996</v>
      </c>
      <c r="I1291">
        <v>38119</v>
      </c>
      <c r="J1291" s="123" t="s">
        <v>1507</v>
      </c>
      <c r="K1291" s="123" t="s">
        <v>1508</v>
      </c>
      <c r="L1291" s="123" t="e">
        <f>VLOOKUP(Fact_AUM_FyoCapital[[#This Row],[Dim_Empresas.CUIT]],'clientes SQL'!C:D,2,0)</f>
        <v>#N/A</v>
      </c>
    </row>
    <row r="1292" spans="1:12" hidden="1" x14ac:dyDescent="0.3">
      <c r="A1292">
        <v>2604089</v>
      </c>
      <c r="B1292">
        <v>20251205</v>
      </c>
      <c r="C1292">
        <v>7012</v>
      </c>
      <c r="D1292">
        <v>346.60589060308553</v>
      </c>
      <c r="E1292" s="123" t="s">
        <v>1566</v>
      </c>
      <c r="F1292" s="123" t="s">
        <v>1573</v>
      </c>
      <c r="G1292" s="123"/>
      <c r="H1292" s="95">
        <v>45996</v>
      </c>
      <c r="I1292">
        <v>34708</v>
      </c>
      <c r="J1292" s="123" t="s">
        <v>626</v>
      </c>
      <c r="K1292" s="123" t="s">
        <v>1203</v>
      </c>
      <c r="L1292" s="123" t="e">
        <f>VLOOKUP(Fact_AUM_FyoCapital[[#This Row],[Dim_Empresas.CUIT]],'clientes SQL'!C:D,2,0)</f>
        <v>#N/A</v>
      </c>
    </row>
    <row r="1293" spans="1:12" hidden="1" x14ac:dyDescent="0.3">
      <c r="A1293">
        <v>1875757</v>
      </c>
      <c r="B1293">
        <v>20251205</v>
      </c>
      <c r="C1293">
        <v>331</v>
      </c>
      <c r="D1293">
        <v>6103.9</v>
      </c>
      <c r="E1293" s="123" t="s">
        <v>1566</v>
      </c>
      <c r="F1293" s="123" t="s">
        <v>1571</v>
      </c>
      <c r="G1293" s="123"/>
      <c r="H1293" s="95">
        <v>45996</v>
      </c>
      <c r="I1293">
        <v>652</v>
      </c>
      <c r="J1293" s="123" t="s">
        <v>447</v>
      </c>
      <c r="K1293" s="123" t="s">
        <v>1143</v>
      </c>
      <c r="L1293" s="123" t="e">
        <f>VLOOKUP(Fact_AUM_FyoCapital[[#This Row],[Dim_Empresas.CUIT]],'clientes SQL'!C:D,2,0)</f>
        <v>#N/A</v>
      </c>
    </row>
    <row r="1294" spans="1:12" hidden="1" x14ac:dyDescent="0.3">
      <c r="A1294">
        <v>2641829</v>
      </c>
      <c r="B1294">
        <v>20251205</v>
      </c>
      <c r="C1294">
        <v>1048</v>
      </c>
      <c r="D1294">
        <v>2031.54</v>
      </c>
      <c r="E1294" s="123" t="s">
        <v>1563</v>
      </c>
      <c r="F1294" s="123" t="s">
        <v>950</v>
      </c>
      <c r="G1294" s="123"/>
      <c r="H1294" s="95">
        <v>45996</v>
      </c>
      <c r="I1294">
        <v>2240</v>
      </c>
      <c r="J1294" s="123" t="s">
        <v>1177</v>
      </c>
      <c r="K1294" s="123" t="s">
        <v>1178</v>
      </c>
      <c r="L1294" s="123" t="e">
        <f>VLOOKUP(Fact_AUM_FyoCapital[[#This Row],[Dim_Empresas.CUIT]],'clientes SQL'!C:D,2,0)</f>
        <v>#N/A</v>
      </c>
    </row>
    <row r="1295" spans="1:12" hidden="1" x14ac:dyDescent="0.3">
      <c r="A1295">
        <v>1847917</v>
      </c>
      <c r="B1295">
        <v>20251205</v>
      </c>
      <c r="C1295">
        <v>13761</v>
      </c>
      <c r="D1295" s="6">
        <v>6946.67</v>
      </c>
      <c r="E1295" s="123" t="s">
        <v>1566</v>
      </c>
      <c r="F1295" s="123" t="s">
        <v>1579</v>
      </c>
      <c r="G1295" s="123"/>
      <c r="H1295" s="95">
        <v>45996</v>
      </c>
      <c r="I1295">
        <v>36914</v>
      </c>
      <c r="J1295" s="123" t="s">
        <v>315</v>
      </c>
      <c r="K1295" s="123" t="s">
        <v>1106</v>
      </c>
      <c r="L1295" s="123" t="e">
        <f>VLOOKUP(Fact_AUM_FyoCapital[[#This Row],[Dim_Empresas.CUIT]],'clientes SQL'!C:D,2,0)</f>
        <v>#N/A</v>
      </c>
    </row>
    <row r="1296" spans="1:12" hidden="1" x14ac:dyDescent="0.3">
      <c r="A1296">
        <v>2610689</v>
      </c>
      <c r="B1296">
        <v>20251205</v>
      </c>
      <c r="C1296">
        <v>4171</v>
      </c>
      <c r="D1296">
        <v>-7.0126227208976161E-5</v>
      </c>
      <c r="E1296" s="123" t="s">
        <v>1563</v>
      </c>
      <c r="F1296" s="123" t="s">
        <v>185</v>
      </c>
      <c r="G1296" s="123"/>
      <c r="H1296" s="95">
        <v>45996</v>
      </c>
      <c r="I1296">
        <v>32799</v>
      </c>
      <c r="J1296" s="123" t="s">
        <v>262</v>
      </c>
      <c r="K1296" s="123" t="s">
        <v>1288</v>
      </c>
      <c r="L1296" s="123" t="e">
        <f>VLOOKUP(Fact_AUM_FyoCapital[[#This Row],[Dim_Empresas.CUIT]],'clientes SQL'!C:D,2,0)</f>
        <v>#N/A</v>
      </c>
    </row>
    <row r="1297" spans="1:12" hidden="1" x14ac:dyDescent="0.3">
      <c r="A1297">
        <v>2614049</v>
      </c>
      <c r="B1297">
        <v>20251205</v>
      </c>
      <c r="C1297">
        <v>7</v>
      </c>
      <c r="D1297">
        <v>3541771.16</v>
      </c>
      <c r="E1297" s="123" t="s">
        <v>1563</v>
      </c>
      <c r="F1297" s="123" t="s">
        <v>801</v>
      </c>
      <c r="G1297" s="123"/>
      <c r="H1297" s="95">
        <v>45996</v>
      </c>
      <c r="I1297">
        <v>5181</v>
      </c>
      <c r="J1297" s="123" t="s">
        <v>212</v>
      </c>
      <c r="K1297" s="123" t="s">
        <v>1238</v>
      </c>
      <c r="L1297" s="123" t="e">
        <f>VLOOKUP(Fact_AUM_FyoCapital[[#This Row],[Dim_Empresas.CUIT]],'clientes SQL'!C:D,2,0)</f>
        <v>#N/A</v>
      </c>
    </row>
    <row r="1298" spans="1:12" hidden="1" x14ac:dyDescent="0.3">
      <c r="A1298">
        <v>1865977</v>
      </c>
      <c r="B1298">
        <v>20251205</v>
      </c>
      <c r="C1298">
        <v>1021</v>
      </c>
      <c r="D1298">
        <v>0</v>
      </c>
      <c r="E1298" s="123"/>
      <c r="F1298" s="123"/>
      <c r="G1298" s="123"/>
      <c r="H1298" s="95">
        <v>45996</v>
      </c>
      <c r="I1298">
        <v>13900</v>
      </c>
      <c r="J1298" s="123" t="s">
        <v>462</v>
      </c>
      <c r="K1298" s="123" t="s">
        <v>1211</v>
      </c>
      <c r="L1298" s="123" t="e">
        <f>VLOOKUP(Fact_AUM_FyoCapital[[#This Row],[Dim_Empresas.CUIT]],'clientes SQL'!C:D,2,0)</f>
        <v>#N/A</v>
      </c>
    </row>
    <row r="1299" spans="1:12" hidden="1" x14ac:dyDescent="0.3">
      <c r="A1299">
        <v>1826317</v>
      </c>
      <c r="B1299">
        <v>20251205</v>
      </c>
      <c r="C1299">
        <v>1277</v>
      </c>
      <c r="D1299">
        <v>0</v>
      </c>
      <c r="E1299" s="123"/>
      <c r="F1299" s="123"/>
      <c r="G1299" s="123"/>
      <c r="H1299" s="95">
        <v>45996</v>
      </c>
      <c r="I1299">
        <v>19100</v>
      </c>
      <c r="J1299" s="123" t="s">
        <v>254</v>
      </c>
      <c r="K1299" s="123" t="s">
        <v>1240</v>
      </c>
      <c r="L1299" s="123" t="e">
        <f>VLOOKUP(Fact_AUM_FyoCapital[[#This Row],[Dim_Empresas.CUIT]],'clientes SQL'!C:D,2,0)</f>
        <v>#N/A</v>
      </c>
    </row>
    <row r="1300" spans="1:12" hidden="1" x14ac:dyDescent="0.3">
      <c r="A1300">
        <v>1853437</v>
      </c>
      <c r="B1300">
        <v>20251205</v>
      </c>
      <c r="C1300">
        <v>974</v>
      </c>
      <c r="D1300">
        <v>533349.28640953719</v>
      </c>
      <c r="E1300" s="123" t="s">
        <v>1568</v>
      </c>
      <c r="F1300" s="123" t="s">
        <v>1572</v>
      </c>
      <c r="G1300" s="123" t="s">
        <v>1576</v>
      </c>
      <c r="H1300" s="95">
        <v>45996</v>
      </c>
      <c r="I1300">
        <v>9551</v>
      </c>
      <c r="J1300" s="123" t="s">
        <v>423</v>
      </c>
      <c r="K1300" s="123" t="s">
        <v>1344</v>
      </c>
      <c r="L1300" s="123" t="e">
        <f>VLOOKUP(Fact_AUM_FyoCapital[[#This Row],[Dim_Empresas.CUIT]],'clientes SQL'!C:D,2,0)</f>
        <v>#N/A</v>
      </c>
    </row>
    <row r="1301" spans="1:12" hidden="1" x14ac:dyDescent="0.3">
      <c r="A1301">
        <v>2604629</v>
      </c>
      <c r="B1301">
        <v>20251205</v>
      </c>
      <c r="C1301">
        <v>10061</v>
      </c>
      <c r="D1301">
        <v>15894.35</v>
      </c>
      <c r="E1301" s="123" t="s">
        <v>1566</v>
      </c>
      <c r="F1301" s="123" t="s">
        <v>1579</v>
      </c>
      <c r="G1301" s="123"/>
      <c r="H1301" s="95">
        <v>45996</v>
      </c>
      <c r="I1301">
        <v>35528</v>
      </c>
      <c r="J1301" s="123" t="s">
        <v>616</v>
      </c>
      <c r="K1301" s="123" t="s">
        <v>1237</v>
      </c>
      <c r="L1301" s="123" t="e">
        <f>VLOOKUP(Fact_AUM_FyoCapital[[#This Row],[Dim_Empresas.CUIT]],'clientes SQL'!C:D,2,0)</f>
        <v>#N/A</v>
      </c>
    </row>
    <row r="1302" spans="1:12" hidden="1" x14ac:dyDescent="0.3">
      <c r="A1302">
        <v>2612609</v>
      </c>
      <c r="B1302">
        <v>20251205</v>
      </c>
      <c r="C1302">
        <v>7</v>
      </c>
      <c r="D1302">
        <v>12137.193380084153</v>
      </c>
      <c r="E1302" s="123" t="s">
        <v>1563</v>
      </c>
      <c r="F1302" s="123" t="s">
        <v>185</v>
      </c>
      <c r="G1302" s="123"/>
      <c r="H1302" s="95">
        <v>45996</v>
      </c>
      <c r="I1302">
        <v>5181</v>
      </c>
      <c r="J1302" s="123" t="s">
        <v>212</v>
      </c>
      <c r="K1302" s="123" t="s">
        <v>1238</v>
      </c>
      <c r="L1302" s="123" t="e">
        <f>VLOOKUP(Fact_AUM_FyoCapital[[#This Row],[Dim_Empresas.CUIT]],'clientes SQL'!C:D,2,0)</f>
        <v>#N/A</v>
      </c>
    </row>
    <row r="1303" spans="1:12" hidden="1" x14ac:dyDescent="0.3">
      <c r="A1303">
        <v>2620589</v>
      </c>
      <c r="B1303">
        <v>20251205</v>
      </c>
      <c r="C1303">
        <v>1141</v>
      </c>
      <c r="D1303">
        <v>247.75</v>
      </c>
      <c r="E1303" s="123" t="s">
        <v>1563</v>
      </c>
      <c r="F1303" s="123" t="s">
        <v>188</v>
      </c>
      <c r="G1303" s="123"/>
      <c r="H1303" s="95">
        <v>45996</v>
      </c>
      <c r="I1303">
        <v>18969</v>
      </c>
      <c r="J1303" s="123" t="s">
        <v>395</v>
      </c>
      <c r="K1303" s="123" t="s">
        <v>1280</v>
      </c>
      <c r="L1303" s="123" t="e">
        <f>VLOOKUP(Fact_AUM_FyoCapital[[#This Row],[Dim_Empresas.CUIT]],'clientes SQL'!C:D,2,0)</f>
        <v>#N/A</v>
      </c>
    </row>
    <row r="1304" spans="1:12" hidden="1" x14ac:dyDescent="0.3">
      <c r="A1304">
        <v>1849057</v>
      </c>
      <c r="B1304">
        <v>20251205</v>
      </c>
      <c r="C1304">
        <v>840</v>
      </c>
      <c r="D1304">
        <v>2776.0524193548385</v>
      </c>
      <c r="E1304" s="123" t="s">
        <v>1568</v>
      </c>
      <c r="F1304" s="123" t="s">
        <v>1572</v>
      </c>
      <c r="G1304" s="123" t="s">
        <v>1576</v>
      </c>
      <c r="H1304" s="95">
        <v>45996</v>
      </c>
      <c r="I1304">
        <v>5486</v>
      </c>
      <c r="J1304" s="123" t="s">
        <v>226</v>
      </c>
      <c r="K1304" s="123" t="s">
        <v>1149</v>
      </c>
      <c r="L1304" s="123" t="e">
        <f>VLOOKUP(Fact_AUM_FyoCapital[[#This Row],[Dim_Empresas.CUIT]],'clientes SQL'!C:D,2,0)</f>
        <v>#N/A</v>
      </c>
    </row>
    <row r="1305" spans="1:12" hidden="1" x14ac:dyDescent="0.3">
      <c r="A1305">
        <v>2637629</v>
      </c>
      <c r="B1305">
        <v>20251205</v>
      </c>
      <c r="C1305">
        <v>7139</v>
      </c>
      <c r="D1305">
        <v>18.12860448807854</v>
      </c>
      <c r="E1305" s="123" t="s">
        <v>1563</v>
      </c>
      <c r="F1305" s="123" t="s">
        <v>185</v>
      </c>
      <c r="G1305" s="123"/>
      <c r="H1305" s="95">
        <v>45996</v>
      </c>
      <c r="I1305">
        <v>34790</v>
      </c>
      <c r="J1305" s="123" t="s">
        <v>598</v>
      </c>
      <c r="K1305" s="123" t="s">
        <v>1201</v>
      </c>
      <c r="L1305" s="123" t="e">
        <f>VLOOKUP(Fact_AUM_FyoCapital[[#This Row],[Dim_Empresas.CUIT]],'clientes SQL'!C:D,2,0)</f>
        <v>#N/A</v>
      </c>
    </row>
    <row r="1306" spans="1:12" hidden="1" x14ac:dyDescent="0.3">
      <c r="A1306">
        <v>1856317</v>
      </c>
      <c r="B1306">
        <v>20251205</v>
      </c>
      <c r="C1306">
        <v>12910</v>
      </c>
      <c r="D1306">
        <v>33.907251051893404</v>
      </c>
      <c r="E1306" s="123" t="s">
        <v>1568</v>
      </c>
      <c r="F1306" s="123" t="s">
        <v>1572</v>
      </c>
      <c r="G1306" s="123" t="s">
        <v>1570</v>
      </c>
      <c r="H1306" s="95">
        <v>45996</v>
      </c>
      <c r="I1306">
        <v>36129</v>
      </c>
      <c r="J1306" s="123" t="s">
        <v>435</v>
      </c>
      <c r="K1306" s="123" t="s">
        <v>1279</v>
      </c>
      <c r="L1306" s="123" t="e">
        <f>VLOOKUP(Fact_AUM_FyoCapital[[#This Row],[Dim_Empresas.CUIT]],'clientes SQL'!C:D,2,0)</f>
        <v>#N/A</v>
      </c>
    </row>
    <row r="1307" spans="1:12" hidden="1" x14ac:dyDescent="0.3">
      <c r="A1307">
        <v>1825957</v>
      </c>
      <c r="B1307">
        <v>20251205</v>
      </c>
      <c r="C1307">
        <v>1277</v>
      </c>
      <c r="D1307">
        <v>0</v>
      </c>
      <c r="E1307" s="123"/>
      <c r="F1307" s="123"/>
      <c r="G1307" s="123"/>
      <c r="H1307" s="95">
        <v>45996</v>
      </c>
      <c r="I1307">
        <v>19100</v>
      </c>
      <c r="J1307" s="123" t="s">
        <v>254</v>
      </c>
      <c r="K1307" s="123" t="s">
        <v>1240</v>
      </c>
      <c r="L1307" s="123" t="e">
        <f>VLOOKUP(Fact_AUM_FyoCapital[[#This Row],[Dim_Empresas.CUIT]],'clientes SQL'!C:D,2,0)</f>
        <v>#N/A</v>
      </c>
    </row>
    <row r="1308" spans="1:12" hidden="1" x14ac:dyDescent="0.3">
      <c r="A1308">
        <v>1879957</v>
      </c>
      <c r="B1308">
        <v>20251205</v>
      </c>
      <c r="C1308">
        <v>1546</v>
      </c>
      <c r="D1308">
        <v>0</v>
      </c>
      <c r="E1308" s="123"/>
      <c r="F1308" s="123"/>
      <c r="G1308" s="123"/>
      <c r="H1308" s="95">
        <v>45996</v>
      </c>
      <c r="I1308">
        <v>18554</v>
      </c>
      <c r="J1308" s="123" t="s">
        <v>550</v>
      </c>
      <c r="K1308" s="123" t="s">
        <v>1394</v>
      </c>
      <c r="L1308" s="123" t="e">
        <f>VLOOKUP(Fact_AUM_FyoCapital[[#This Row],[Dim_Empresas.CUIT]],'clientes SQL'!C:D,2,0)</f>
        <v>#N/A</v>
      </c>
    </row>
    <row r="1309" spans="1:12" hidden="1" x14ac:dyDescent="0.3">
      <c r="A1309">
        <v>1850377</v>
      </c>
      <c r="B1309">
        <v>20251205</v>
      </c>
      <c r="C1309">
        <v>858</v>
      </c>
      <c r="D1309">
        <v>184647</v>
      </c>
      <c r="E1309" s="123" t="s">
        <v>1566</v>
      </c>
      <c r="F1309" s="123" t="s">
        <v>1579</v>
      </c>
      <c r="G1309" s="123"/>
      <c r="H1309" s="95">
        <v>45996</v>
      </c>
      <c r="I1309">
        <v>17832</v>
      </c>
      <c r="J1309" s="123" t="s">
        <v>1139</v>
      </c>
      <c r="K1309" s="123" t="s">
        <v>1140</v>
      </c>
      <c r="L1309" s="123" t="e">
        <f>VLOOKUP(Fact_AUM_FyoCapital[[#This Row],[Dim_Empresas.CUIT]],'clientes SQL'!C:D,2,0)</f>
        <v>#N/A</v>
      </c>
    </row>
    <row r="1310" spans="1:12" hidden="1" x14ac:dyDescent="0.3">
      <c r="A1310">
        <v>1829797</v>
      </c>
      <c r="B1310">
        <v>20251205</v>
      </c>
      <c r="C1310">
        <v>4213</v>
      </c>
      <c r="D1310">
        <v>0</v>
      </c>
      <c r="E1310" s="123"/>
      <c r="F1310" s="123"/>
      <c r="G1310" s="123"/>
      <c r="H1310" s="95">
        <v>45996</v>
      </c>
      <c r="I1310">
        <v>32849</v>
      </c>
      <c r="J1310" s="123" t="s">
        <v>190</v>
      </c>
      <c r="K1310" s="123" t="s">
        <v>1302</v>
      </c>
      <c r="L1310" s="123" t="e">
        <f>VLOOKUP(Fact_AUM_FyoCapital[[#This Row],[Dim_Empresas.CUIT]],'clientes SQL'!C:D,2,0)</f>
        <v>#N/A</v>
      </c>
    </row>
    <row r="1311" spans="1:12" hidden="1" x14ac:dyDescent="0.3">
      <c r="A1311">
        <v>1828057</v>
      </c>
      <c r="B1311">
        <v>20251205</v>
      </c>
      <c r="C1311">
        <v>5383</v>
      </c>
      <c r="D1311">
        <v>106523.56241234222</v>
      </c>
      <c r="E1311" s="123" t="s">
        <v>1566</v>
      </c>
      <c r="F1311" s="123" t="s">
        <v>1580</v>
      </c>
      <c r="G1311" s="123"/>
      <c r="H1311" s="95">
        <v>45996</v>
      </c>
      <c r="I1311">
        <v>33182</v>
      </c>
      <c r="J1311" s="123" t="s">
        <v>238</v>
      </c>
      <c r="K1311" s="123" t="s">
        <v>1167</v>
      </c>
      <c r="L1311" s="123" t="e">
        <f>VLOOKUP(Fact_AUM_FyoCapital[[#This Row],[Dim_Empresas.CUIT]],'clientes SQL'!C:D,2,0)</f>
        <v>#N/A</v>
      </c>
    </row>
    <row r="1312" spans="1:12" hidden="1" x14ac:dyDescent="0.3">
      <c r="A1312">
        <v>1896517</v>
      </c>
      <c r="B1312">
        <v>20251205</v>
      </c>
      <c r="C1312">
        <v>10253</v>
      </c>
      <c r="D1312">
        <v>60998.793828892005</v>
      </c>
      <c r="E1312" s="123" t="s">
        <v>1566</v>
      </c>
      <c r="F1312" s="123" t="s">
        <v>1580</v>
      </c>
      <c r="G1312" s="123"/>
      <c r="H1312" s="95">
        <v>45996</v>
      </c>
      <c r="I1312">
        <v>35643</v>
      </c>
      <c r="J1312" s="123" t="s">
        <v>603</v>
      </c>
      <c r="K1312" s="123" t="s">
        <v>1220</v>
      </c>
      <c r="L1312" s="123" t="e">
        <f>VLOOKUP(Fact_AUM_FyoCapital[[#This Row],[Dim_Empresas.CUIT]],'clientes SQL'!C:D,2,0)</f>
        <v>#N/A</v>
      </c>
    </row>
    <row r="1313" spans="1:12" hidden="1" x14ac:dyDescent="0.3">
      <c r="A1313">
        <v>2611589</v>
      </c>
      <c r="B1313">
        <v>20251205</v>
      </c>
      <c r="C1313">
        <v>2654</v>
      </c>
      <c r="D1313">
        <v>3.6247335203366058</v>
      </c>
      <c r="E1313" s="123" t="s">
        <v>1563</v>
      </c>
      <c r="F1313" s="123" t="s">
        <v>185</v>
      </c>
      <c r="G1313" s="123"/>
      <c r="H1313" s="95">
        <v>45996</v>
      </c>
      <c r="I1313">
        <v>30889</v>
      </c>
      <c r="J1313" s="123" t="s">
        <v>1360</v>
      </c>
      <c r="K1313" s="123" t="s">
        <v>1361</v>
      </c>
      <c r="L1313" s="123" t="e">
        <f>VLOOKUP(Fact_AUM_FyoCapital[[#This Row],[Dim_Empresas.CUIT]],'clientes SQL'!C:D,2,0)</f>
        <v>#N/A</v>
      </c>
    </row>
    <row r="1314" spans="1:12" hidden="1" x14ac:dyDescent="0.3">
      <c r="A1314">
        <v>2641469</v>
      </c>
      <c r="B1314">
        <v>20251205</v>
      </c>
      <c r="C1314">
        <v>1429</v>
      </c>
      <c r="D1314">
        <v>-1.92</v>
      </c>
      <c r="E1314" s="123" t="s">
        <v>1563</v>
      </c>
      <c r="F1314" s="123" t="s">
        <v>801</v>
      </c>
      <c r="G1314" s="123"/>
      <c r="H1314" s="95">
        <v>45996</v>
      </c>
      <c r="I1314">
        <v>19755</v>
      </c>
      <c r="J1314" s="123" t="s">
        <v>374</v>
      </c>
      <c r="K1314" s="123" t="s">
        <v>1200</v>
      </c>
      <c r="L1314" s="123" t="e">
        <f>VLOOKUP(Fact_AUM_FyoCapital[[#This Row],[Dim_Empresas.CUIT]],'clientes SQL'!C:D,2,0)</f>
        <v>#N/A</v>
      </c>
    </row>
    <row r="1315" spans="1:12" hidden="1" x14ac:dyDescent="0.3">
      <c r="A1315">
        <v>1888417</v>
      </c>
      <c r="B1315">
        <v>20251205</v>
      </c>
      <c r="C1315">
        <v>2783</v>
      </c>
      <c r="D1315">
        <v>16.462580645161289</v>
      </c>
      <c r="E1315" s="123" t="s">
        <v>1568</v>
      </c>
      <c r="F1315" s="123" t="s">
        <v>1572</v>
      </c>
      <c r="G1315" s="123" t="s">
        <v>1570</v>
      </c>
      <c r="H1315" s="95">
        <v>45996</v>
      </c>
      <c r="I1315">
        <v>31085</v>
      </c>
      <c r="J1315" s="123" t="s">
        <v>1234</v>
      </c>
      <c r="K1315" s="123" t="s">
        <v>1235</v>
      </c>
      <c r="L1315" s="123" t="e">
        <f>VLOOKUP(Fact_AUM_FyoCapital[[#This Row],[Dim_Empresas.CUIT]],'clientes SQL'!C:D,2,0)</f>
        <v>#N/A</v>
      </c>
    </row>
    <row r="1316" spans="1:12" hidden="1" x14ac:dyDescent="0.3">
      <c r="A1316">
        <v>1863997</v>
      </c>
      <c r="B1316">
        <v>20251205</v>
      </c>
      <c r="C1316">
        <v>2299</v>
      </c>
      <c r="D1316" s="6">
        <v>2611.0045161290323</v>
      </c>
      <c r="E1316" s="123" t="s">
        <v>1568</v>
      </c>
      <c r="F1316" s="123" t="s">
        <v>1572</v>
      </c>
      <c r="G1316" s="123" t="s">
        <v>1570</v>
      </c>
      <c r="H1316" s="95">
        <v>45996</v>
      </c>
      <c r="I1316">
        <v>30388</v>
      </c>
      <c r="J1316" s="123" t="s">
        <v>290</v>
      </c>
      <c r="K1316" s="123" t="s">
        <v>1160</v>
      </c>
      <c r="L1316" s="123" t="e">
        <f>VLOOKUP(Fact_AUM_FyoCapital[[#This Row],[Dim_Empresas.CUIT]],'clientes SQL'!C:D,2,0)</f>
        <v>#N/A</v>
      </c>
    </row>
    <row r="1317" spans="1:12" hidden="1" x14ac:dyDescent="0.3">
      <c r="A1317">
        <v>1866277</v>
      </c>
      <c r="B1317">
        <v>20251205</v>
      </c>
      <c r="C1317">
        <v>1021</v>
      </c>
      <c r="D1317">
        <v>442325.78490182327</v>
      </c>
      <c r="E1317" s="123" t="s">
        <v>1566</v>
      </c>
      <c r="F1317" s="123" t="s">
        <v>1582</v>
      </c>
      <c r="G1317" s="123"/>
      <c r="H1317" s="95">
        <v>45996</v>
      </c>
      <c r="I1317">
        <v>13900</v>
      </c>
      <c r="J1317" s="123" t="s">
        <v>462</v>
      </c>
      <c r="K1317" s="123" t="s">
        <v>1211</v>
      </c>
      <c r="L1317" s="123" t="e">
        <f>VLOOKUP(Fact_AUM_FyoCapital[[#This Row],[Dim_Empresas.CUIT]],'clientes SQL'!C:D,2,0)</f>
        <v>#N/A</v>
      </c>
    </row>
    <row r="1318" spans="1:12" hidden="1" x14ac:dyDescent="0.3">
      <c r="A1318">
        <v>2644469</v>
      </c>
      <c r="B1318">
        <v>20251205</v>
      </c>
      <c r="C1318">
        <v>1580</v>
      </c>
      <c r="D1318">
        <v>1.7349228611500699E-2</v>
      </c>
      <c r="E1318" s="123" t="s">
        <v>1563</v>
      </c>
      <c r="F1318" s="123" t="s">
        <v>185</v>
      </c>
      <c r="G1318" s="123"/>
      <c r="H1318" s="95">
        <v>45996</v>
      </c>
      <c r="I1318">
        <v>20277</v>
      </c>
      <c r="J1318" s="123" t="s">
        <v>609</v>
      </c>
      <c r="K1318" s="123" t="s">
        <v>1292</v>
      </c>
      <c r="L1318" s="123" t="e">
        <f>VLOOKUP(Fact_AUM_FyoCapital[[#This Row],[Dim_Empresas.CUIT]],'clientes SQL'!C:D,2,0)</f>
        <v>#N/A</v>
      </c>
    </row>
    <row r="1319" spans="1:12" hidden="1" x14ac:dyDescent="0.3">
      <c r="A1319">
        <v>1825657</v>
      </c>
      <c r="B1319">
        <v>20251205</v>
      </c>
      <c r="C1319">
        <v>1277</v>
      </c>
      <c r="D1319">
        <v>0</v>
      </c>
      <c r="E1319" s="123"/>
      <c r="F1319" s="123"/>
      <c r="G1319" s="123"/>
      <c r="H1319" s="95">
        <v>45996</v>
      </c>
      <c r="I1319">
        <v>19100</v>
      </c>
      <c r="J1319" s="123" t="s">
        <v>254</v>
      </c>
      <c r="K1319" s="123" t="s">
        <v>1240</v>
      </c>
      <c r="L1319" s="123" t="e">
        <f>VLOOKUP(Fact_AUM_FyoCapital[[#This Row],[Dim_Empresas.CUIT]],'clientes SQL'!C:D,2,0)</f>
        <v>#N/A</v>
      </c>
    </row>
    <row r="1320" spans="1:12" hidden="1" x14ac:dyDescent="0.3">
      <c r="A1320">
        <v>1865917</v>
      </c>
      <c r="B1320">
        <v>20251205</v>
      </c>
      <c r="C1320">
        <v>1021</v>
      </c>
      <c r="D1320">
        <v>350000</v>
      </c>
      <c r="E1320" s="123" t="s">
        <v>1566</v>
      </c>
      <c r="F1320" s="123" t="s">
        <v>1578</v>
      </c>
      <c r="G1320" s="123"/>
      <c r="H1320" s="95">
        <v>45996</v>
      </c>
      <c r="I1320">
        <v>13900</v>
      </c>
      <c r="J1320" s="123" t="s">
        <v>462</v>
      </c>
      <c r="K1320" s="123" t="s">
        <v>1211</v>
      </c>
      <c r="L1320" s="123" t="e">
        <f>VLOOKUP(Fact_AUM_FyoCapital[[#This Row],[Dim_Empresas.CUIT]],'clientes SQL'!C:D,2,0)</f>
        <v>#N/A</v>
      </c>
    </row>
    <row r="1321" spans="1:12" hidden="1" x14ac:dyDescent="0.3">
      <c r="A1321">
        <v>1847677</v>
      </c>
      <c r="B1321">
        <v>20251205</v>
      </c>
      <c r="C1321">
        <v>13761</v>
      </c>
      <c r="D1321">
        <v>4975</v>
      </c>
      <c r="E1321" s="123" t="s">
        <v>1566</v>
      </c>
      <c r="F1321" s="123" t="s">
        <v>1579</v>
      </c>
      <c r="G1321" s="123"/>
      <c r="H1321" s="95">
        <v>45996</v>
      </c>
      <c r="I1321">
        <v>36914</v>
      </c>
      <c r="J1321" s="123" t="s">
        <v>315</v>
      </c>
      <c r="K1321" s="123" t="s">
        <v>1106</v>
      </c>
      <c r="L1321" s="123" t="e">
        <f>VLOOKUP(Fact_AUM_FyoCapital[[#This Row],[Dim_Empresas.CUIT]],'clientes SQL'!C:D,2,0)</f>
        <v>#N/A</v>
      </c>
    </row>
    <row r="1322" spans="1:12" hidden="1" x14ac:dyDescent="0.3">
      <c r="A1322">
        <v>1862197</v>
      </c>
      <c r="B1322">
        <v>20251205</v>
      </c>
      <c r="C1322">
        <v>682</v>
      </c>
      <c r="D1322">
        <v>0</v>
      </c>
      <c r="E1322" s="123"/>
      <c r="F1322" s="123"/>
      <c r="G1322" s="123"/>
      <c r="H1322" s="95">
        <v>45996</v>
      </c>
      <c r="I1322">
        <v>9775</v>
      </c>
      <c r="J1322" s="123" t="s">
        <v>287</v>
      </c>
      <c r="K1322" s="123" t="s">
        <v>1320</v>
      </c>
      <c r="L1322" s="123" t="e">
        <f>VLOOKUP(Fact_AUM_FyoCapital[[#This Row],[Dim_Empresas.CUIT]],'clientes SQL'!C:D,2,0)</f>
        <v>#N/A</v>
      </c>
    </row>
    <row r="1323" spans="1:12" hidden="1" x14ac:dyDescent="0.3">
      <c r="A1323">
        <v>2606369</v>
      </c>
      <c r="B1323">
        <v>20251205</v>
      </c>
      <c r="C1323">
        <v>7742</v>
      </c>
      <c r="D1323">
        <v>1198643.3118302946</v>
      </c>
      <c r="E1323" s="123" t="s">
        <v>1568</v>
      </c>
      <c r="F1323" s="123" t="s">
        <v>1572</v>
      </c>
      <c r="G1323" s="123" t="s">
        <v>1583</v>
      </c>
      <c r="H1323" s="95">
        <v>45996</v>
      </c>
      <c r="I1323">
        <v>35045</v>
      </c>
      <c r="J1323" s="123" t="s">
        <v>1272</v>
      </c>
      <c r="K1323" s="123" t="s">
        <v>1273</v>
      </c>
      <c r="L1323" s="123" t="e">
        <f>VLOOKUP(Fact_AUM_FyoCapital[[#This Row],[Dim_Empresas.CUIT]],'clientes SQL'!C:D,2,0)</f>
        <v>#N/A</v>
      </c>
    </row>
    <row r="1324" spans="1:12" hidden="1" x14ac:dyDescent="0.3">
      <c r="A1324">
        <v>2602769</v>
      </c>
      <c r="B1324">
        <v>20251205</v>
      </c>
      <c r="C1324">
        <v>640</v>
      </c>
      <c r="D1324">
        <v>3970891.59</v>
      </c>
      <c r="E1324" s="123" t="s">
        <v>1566</v>
      </c>
      <c r="F1324" s="123" t="s">
        <v>1567</v>
      </c>
      <c r="G1324" s="123"/>
      <c r="H1324" s="95">
        <v>45996</v>
      </c>
      <c r="I1324">
        <v>8261</v>
      </c>
      <c r="J1324" s="123" t="s">
        <v>431</v>
      </c>
      <c r="K1324" s="123" t="s">
        <v>1192</v>
      </c>
      <c r="L1324" s="123" t="e">
        <f>VLOOKUP(Fact_AUM_FyoCapital[[#This Row],[Dim_Empresas.CUIT]],'clientes SQL'!C:D,2,0)</f>
        <v>#N/A</v>
      </c>
    </row>
    <row r="1325" spans="1:12" hidden="1" x14ac:dyDescent="0.3">
      <c r="A1325">
        <v>2631509</v>
      </c>
      <c r="B1325">
        <v>20251205</v>
      </c>
      <c r="C1325">
        <v>95</v>
      </c>
      <c r="D1325">
        <v>916624.43</v>
      </c>
      <c r="E1325" s="123" t="s">
        <v>1563</v>
      </c>
      <c r="F1325" s="123" t="s">
        <v>801</v>
      </c>
      <c r="G1325" s="123"/>
      <c r="H1325" s="95">
        <v>45996</v>
      </c>
      <c r="I1325">
        <v>708</v>
      </c>
      <c r="J1325" s="123" t="s">
        <v>1241</v>
      </c>
      <c r="K1325" s="123" t="s">
        <v>1242</v>
      </c>
      <c r="L1325" s="123" t="e">
        <f>VLOOKUP(Fact_AUM_FyoCapital[[#This Row],[Dim_Empresas.CUIT]],'clientes SQL'!C:D,2,0)</f>
        <v>#N/A</v>
      </c>
    </row>
    <row r="1326" spans="1:12" hidden="1" x14ac:dyDescent="0.3">
      <c r="A1326">
        <v>1869937</v>
      </c>
      <c r="B1326">
        <v>20251205</v>
      </c>
      <c r="C1326">
        <v>13361</v>
      </c>
      <c r="D1326">
        <v>212.28611500701263</v>
      </c>
      <c r="E1326" s="123" t="s">
        <v>1566</v>
      </c>
      <c r="F1326" s="123" t="s">
        <v>1580</v>
      </c>
      <c r="G1326" s="123"/>
      <c r="H1326" s="95">
        <v>45996</v>
      </c>
      <c r="I1326">
        <v>36541</v>
      </c>
      <c r="J1326" s="123" t="s">
        <v>454</v>
      </c>
      <c r="K1326" s="123" t="s">
        <v>1322</v>
      </c>
      <c r="L1326" s="123" t="e">
        <f>VLOOKUP(Fact_AUM_FyoCapital[[#This Row],[Dim_Empresas.CUIT]],'clientes SQL'!C:D,2,0)</f>
        <v>#N/A</v>
      </c>
    </row>
    <row r="1327" spans="1:12" hidden="1" x14ac:dyDescent="0.3">
      <c r="A1327">
        <v>1886677</v>
      </c>
      <c r="B1327">
        <v>20251205</v>
      </c>
      <c r="C1327">
        <v>6418</v>
      </c>
      <c r="D1327">
        <v>-57304.236051893407</v>
      </c>
      <c r="E1327" s="123" t="s">
        <v>1566</v>
      </c>
      <c r="F1327" s="123" t="s">
        <v>1578</v>
      </c>
      <c r="G1327" s="123"/>
      <c r="H1327" s="95">
        <v>45996</v>
      </c>
      <c r="I1327">
        <v>4368</v>
      </c>
      <c r="J1327" s="123" t="s">
        <v>1168</v>
      </c>
      <c r="K1327" s="123" t="s">
        <v>1169</v>
      </c>
      <c r="L1327" s="123" t="e">
        <f>VLOOKUP(Fact_AUM_FyoCapital[[#This Row],[Dim_Empresas.CUIT]],'clientes SQL'!C:D,2,0)</f>
        <v>#N/A</v>
      </c>
    </row>
    <row r="1328" spans="1:12" hidden="1" x14ac:dyDescent="0.3">
      <c r="A1328">
        <v>2620169</v>
      </c>
      <c r="B1328">
        <v>20251205</v>
      </c>
      <c r="C1328">
        <v>1724</v>
      </c>
      <c r="D1328">
        <v>0.75</v>
      </c>
      <c r="E1328" s="123" t="s">
        <v>1563</v>
      </c>
      <c r="F1328" s="123" t="s">
        <v>950</v>
      </c>
      <c r="G1328" s="123"/>
      <c r="H1328" s="95">
        <v>45996</v>
      </c>
      <c r="I1328">
        <v>20518</v>
      </c>
      <c r="J1328" s="123" t="s">
        <v>270</v>
      </c>
      <c r="K1328" s="123" t="s">
        <v>1225</v>
      </c>
      <c r="L1328" s="123" t="e">
        <f>VLOOKUP(Fact_AUM_FyoCapital[[#This Row],[Dim_Empresas.CUIT]],'clientes SQL'!C:D,2,0)</f>
        <v>#N/A</v>
      </c>
    </row>
    <row r="1329" spans="1:12" hidden="1" x14ac:dyDescent="0.3">
      <c r="A1329">
        <v>1888537</v>
      </c>
      <c r="B1329">
        <v>20251205</v>
      </c>
      <c r="C1329">
        <v>16491</v>
      </c>
      <c r="D1329">
        <v>2387.739249649369</v>
      </c>
      <c r="E1329" s="123" t="s">
        <v>1568</v>
      </c>
      <c r="F1329" s="123" t="s">
        <v>1572</v>
      </c>
      <c r="G1329" s="123" t="s">
        <v>1570</v>
      </c>
      <c r="H1329" s="95">
        <v>45996</v>
      </c>
      <c r="I1329">
        <v>37938</v>
      </c>
      <c r="J1329" s="123" t="s">
        <v>845</v>
      </c>
      <c r="K1329" s="123" t="s">
        <v>1294</v>
      </c>
      <c r="L1329" s="123" t="e">
        <f>VLOOKUP(Fact_AUM_FyoCapital[[#This Row],[Dim_Empresas.CUIT]],'clientes SQL'!C:D,2,0)</f>
        <v>#N/A</v>
      </c>
    </row>
    <row r="1330" spans="1:12" hidden="1" x14ac:dyDescent="0.3">
      <c r="A1330">
        <v>1845757</v>
      </c>
      <c r="B1330">
        <v>20251205</v>
      </c>
      <c r="C1330">
        <v>13275</v>
      </c>
      <c r="D1330">
        <v>2335.2800000000002</v>
      </c>
      <c r="E1330" s="123" t="s">
        <v>1566</v>
      </c>
      <c r="F1330" s="123" t="s">
        <v>1571</v>
      </c>
      <c r="G1330" s="123"/>
      <c r="H1330" s="95">
        <v>45996</v>
      </c>
      <c r="I1330">
        <v>36459</v>
      </c>
      <c r="J1330" s="123" t="s">
        <v>296</v>
      </c>
      <c r="K1330" s="123" t="s">
        <v>1138</v>
      </c>
      <c r="L1330" s="123" t="e">
        <f>VLOOKUP(Fact_AUM_FyoCapital[[#This Row],[Dim_Empresas.CUIT]],'clientes SQL'!C:D,2,0)</f>
        <v>#N/A</v>
      </c>
    </row>
    <row r="1331" spans="1:12" hidden="1" x14ac:dyDescent="0.3">
      <c r="A1331">
        <v>1876057</v>
      </c>
      <c r="B1331">
        <v>20251205</v>
      </c>
      <c r="C1331">
        <v>331</v>
      </c>
      <c r="D1331" s="6">
        <v>121998.35199859747</v>
      </c>
      <c r="E1331" s="123" t="s">
        <v>1566</v>
      </c>
      <c r="F1331" s="123" t="s">
        <v>1571</v>
      </c>
      <c r="G1331" s="123"/>
      <c r="H1331" s="95">
        <v>45996</v>
      </c>
      <c r="I1331">
        <v>652</v>
      </c>
      <c r="J1331" s="123" t="s">
        <v>447</v>
      </c>
      <c r="K1331" s="123" t="s">
        <v>1143</v>
      </c>
      <c r="L1331" s="123" t="e">
        <f>VLOOKUP(Fact_AUM_FyoCapital[[#This Row],[Dim_Empresas.CUIT]],'clientes SQL'!C:D,2,0)</f>
        <v>#N/A</v>
      </c>
    </row>
    <row r="1332" spans="1:12" hidden="1" x14ac:dyDescent="0.3">
      <c r="A1332">
        <v>1834777</v>
      </c>
      <c r="B1332">
        <v>20251205</v>
      </c>
      <c r="C1332">
        <v>16773</v>
      </c>
      <c r="D1332">
        <v>2791.97</v>
      </c>
      <c r="E1332" s="123" t="s">
        <v>1566</v>
      </c>
      <c r="F1332" s="123" t="s">
        <v>1571</v>
      </c>
      <c r="G1332" s="123"/>
      <c r="H1332" s="95">
        <v>45996</v>
      </c>
      <c r="I1332">
        <v>38070</v>
      </c>
      <c r="J1332" s="123" t="s">
        <v>1505</v>
      </c>
      <c r="K1332" s="123" t="s">
        <v>1506</v>
      </c>
      <c r="L1332" s="123" t="e">
        <f>VLOOKUP(Fact_AUM_FyoCapital[[#This Row],[Dim_Empresas.CUIT]],'clientes SQL'!C:D,2,0)</f>
        <v>#N/A</v>
      </c>
    </row>
    <row r="1333" spans="1:12" hidden="1" x14ac:dyDescent="0.3">
      <c r="A1333">
        <v>2632829</v>
      </c>
      <c r="B1333">
        <v>20251205</v>
      </c>
      <c r="C1333">
        <v>5906</v>
      </c>
      <c r="D1333">
        <v>5126.7</v>
      </c>
      <c r="E1333" s="123" t="s">
        <v>1563</v>
      </c>
      <c r="F1333" s="123" t="s">
        <v>188</v>
      </c>
      <c r="G1333" s="123"/>
      <c r="H1333" s="95">
        <v>45996</v>
      </c>
      <c r="I1333">
        <v>34129</v>
      </c>
      <c r="J1333" s="123" t="s">
        <v>127</v>
      </c>
      <c r="K1333" s="123" t="s">
        <v>1263</v>
      </c>
      <c r="L1333" s="123">
        <f>VLOOKUP(Fact_AUM_FyoCapital[[#This Row],[Dim_Empresas.CUIT]],'clientes SQL'!C:D,2,0)</f>
        <v>13005</v>
      </c>
    </row>
    <row r="1334" spans="1:12" hidden="1" x14ac:dyDescent="0.3">
      <c r="A1334">
        <v>2622029</v>
      </c>
      <c r="B1334">
        <v>20251205</v>
      </c>
      <c r="C1334">
        <v>974</v>
      </c>
      <c r="D1334">
        <v>35.752762973352034</v>
      </c>
      <c r="E1334" s="123" t="s">
        <v>1563</v>
      </c>
      <c r="F1334" s="123" t="s">
        <v>185</v>
      </c>
      <c r="G1334" s="123"/>
      <c r="H1334" s="95">
        <v>45996</v>
      </c>
      <c r="I1334">
        <v>9551</v>
      </c>
      <c r="J1334" s="123" t="s">
        <v>423</v>
      </c>
      <c r="K1334" s="123" t="s">
        <v>1344</v>
      </c>
      <c r="L1334" s="123" t="e">
        <f>VLOOKUP(Fact_AUM_FyoCapital[[#This Row],[Dim_Empresas.CUIT]],'clientes SQL'!C:D,2,0)</f>
        <v>#N/A</v>
      </c>
    </row>
    <row r="1335" spans="1:12" hidden="1" x14ac:dyDescent="0.3">
      <c r="A1335">
        <v>2630249</v>
      </c>
      <c r="B1335">
        <v>20251205</v>
      </c>
      <c r="C1335">
        <v>2109</v>
      </c>
      <c r="D1335">
        <v>-0.01</v>
      </c>
      <c r="E1335" s="123" t="s">
        <v>1563</v>
      </c>
      <c r="F1335" s="123" t="s">
        <v>801</v>
      </c>
      <c r="G1335" s="123"/>
      <c r="H1335" s="95">
        <v>45996</v>
      </c>
      <c r="I1335">
        <v>20716</v>
      </c>
      <c r="J1335" s="123" t="s">
        <v>323</v>
      </c>
      <c r="K1335" s="123" t="s">
        <v>1388</v>
      </c>
      <c r="L1335" s="123" t="e">
        <f>VLOOKUP(Fact_AUM_FyoCapital[[#This Row],[Dim_Empresas.CUIT]],'clientes SQL'!C:D,2,0)</f>
        <v>#N/A</v>
      </c>
    </row>
    <row r="1336" spans="1:12" hidden="1" x14ac:dyDescent="0.3">
      <c r="A1336">
        <v>1863097</v>
      </c>
      <c r="B1336">
        <v>20251205</v>
      </c>
      <c r="C1336">
        <v>682</v>
      </c>
      <c r="D1336">
        <v>153751.79345021039</v>
      </c>
      <c r="E1336" s="123" t="s">
        <v>1566</v>
      </c>
      <c r="F1336" s="123" t="s">
        <v>1571</v>
      </c>
      <c r="G1336" s="123"/>
      <c r="H1336" s="95">
        <v>45996</v>
      </c>
      <c r="I1336">
        <v>9775</v>
      </c>
      <c r="J1336" s="123" t="s">
        <v>287</v>
      </c>
      <c r="K1336" s="123" t="s">
        <v>1320</v>
      </c>
      <c r="L1336" s="123" t="e">
        <f>VLOOKUP(Fact_AUM_FyoCapital[[#This Row],[Dim_Empresas.CUIT]],'clientes SQL'!C:D,2,0)</f>
        <v>#N/A</v>
      </c>
    </row>
    <row r="1337" spans="1:12" hidden="1" x14ac:dyDescent="0.3">
      <c r="A1337">
        <v>1860517</v>
      </c>
      <c r="B1337">
        <v>20251205</v>
      </c>
      <c r="C1337">
        <v>1437</v>
      </c>
      <c r="D1337">
        <v>253887.09677419355</v>
      </c>
      <c r="E1337" s="123" t="s">
        <v>1566</v>
      </c>
      <c r="F1337" s="123" t="s">
        <v>1582</v>
      </c>
      <c r="G1337" s="123"/>
      <c r="H1337" s="95">
        <v>45996</v>
      </c>
      <c r="I1337">
        <v>19791</v>
      </c>
      <c r="J1337" s="123" t="s">
        <v>172</v>
      </c>
      <c r="K1337" s="123" t="s">
        <v>1223</v>
      </c>
      <c r="L1337" s="123">
        <f>VLOOKUP(Fact_AUM_FyoCapital[[#This Row],[Dim_Empresas.CUIT]],'clientes SQL'!C:D,2,0)</f>
        <v>20176</v>
      </c>
    </row>
    <row r="1338" spans="1:12" hidden="1" x14ac:dyDescent="0.3">
      <c r="A1338">
        <v>1896937</v>
      </c>
      <c r="B1338">
        <v>20251205</v>
      </c>
      <c r="C1338">
        <v>10253</v>
      </c>
      <c r="D1338">
        <v>178852.0827489481</v>
      </c>
      <c r="E1338" s="123" t="s">
        <v>1566</v>
      </c>
      <c r="F1338" s="123" t="s">
        <v>1573</v>
      </c>
      <c r="G1338" s="123"/>
      <c r="H1338" s="95">
        <v>45996</v>
      </c>
      <c r="I1338">
        <v>35643</v>
      </c>
      <c r="J1338" s="123" t="s">
        <v>603</v>
      </c>
      <c r="K1338" s="123" t="s">
        <v>1220</v>
      </c>
      <c r="L1338" s="123" t="e">
        <f>VLOOKUP(Fact_AUM_FyoCapital[[#This Row],[Dim_Empresas.CUIT]],'clientes SQL'!C:D,2,0)</f>
        <v>#N/A</v>
      </c>
    </row>
    <row r="1339" spans="1:12" hidden="1" x14ac:dyDescent="0.3">
      <c r="A1339">
        <v>2613149</v>
      </c>
      <c r="B1339">
        <v>20251205</v>
      </c>
      <c r="C1339">
        <v>2145</v>
      </c>
      <c r="D1339">
        <v>-12625.24</v>
      </c>
      <c r="E1339" s="123" t="s">
        <v>1563</v>
      </c>
      <c r="F1339" s="123" t="s">
        <v>801</v>
      </c>
      <c r="G1339" s="123"/>
      <c r="H1339" s="95">
        <v>45996</v>
      </c>
      <c r="I1339">
        <v>30078</v>
      </c>
      <c r="J1339" s="123" t="s">
        <v>342</v>
      </c>
      <c r="K1339" s="123" t="s">
        <v>1276</v>
      </c>
      <c r="L1339" s="123" t="e">
        <f>VLOOKUP(Fact_AUM_FyoCapital[[#This Row],[Dim_Empresas.CUIT]],'clientes SQL'!C:D,2,0)</f>
        <v>#N/A</v>
      </c>
    </row>
    <row r="1340" spans="1:12" hidden="1" x14ac:dyDescent="0.3">
      <c r="A1340">
        <v>2609369</v>
      </c>
      <c r="B1340">
        <v>20251205</v>
      </c>
      <c r="C1340">
        <v>4129</v>
      </c>
      <c r="D1340">
        <v>2.0336605890603084E-4</v>
      </c>
      <c r="E1340" s="123" t="s">
        <v>1563</v>
      </c>
      <c r="F1340" s="123" t="s">
        <v>185</v>
      </c>
      <c r="G1340" s="123"/>
      <c r="H1340" s="95">
        <v>45996</v>
      </c>
      <c r="I1340">
        <v>32746</v>
      </c>
      <c r="J1340" s="123" t="s">
        <v>230</v>
      </c>
      <c r="K1340" s="123" t="s">
        <v>1298</v>
      </c>
      <c r="L1340" s="123" t="e">
        <f>VLOOKUP(Fact_AUM_FyoCapital[[#This Row],[Dim_Empresas.CUIT]],'clientes SQL'!C:D,2,0)</f>
        <v>#N/A</v>
      </c>
    </row>
    <row r="1341" spans="1:12" hidden="1" x14ac:dyDescent="0.3">
      <c r="A1341">
        <v>1902637</v>
      </c>
      <c r="B1341">
        <v>20251205</v>
      </c>
      <c r="C1341">
        <v>14873</v>
      </c>
      <c r="D1341">
        <v>120.62070827489481</v>
      </c>
      <c r="E1341" s="123" t="s">
        <v>1568</v>
      </c>
      <c r="F1341" s="123" t="s">
        <v>1572</v>
      </c>
      <c r="G1341" s="123" t="s">
        <v>1574</v>
      </c>
      <c r="H1341" s="95">
        <v>45996</v>
      </c>
      <c r="I1341">
        <v>37088</v>
      </c>
      <c r="J1341" s="123" t="s">
        <v>571</v>
      </c>
      <c r="K1341" s="123" t="s">
        <v>1269</v>
      </c>
      <c r="L1341" s="123" t="e">
        <f>VLOOKUP(Fact_AUM_FyoCapital[[#This Row],[Dim_Empresas.CUIT]],'clientes SQL'!C:D,2,0)</f>
        <v>#N/A</v>
      </c>
    </row>
    <row r="1342" spans="1:12" hidden="1" x14ac:dyDescent="0.3">
      <c r="A1342">
        <v>1871257</v>
      </c>
      <c r="B1342">
        <v>20251205</v>
      </c>
      <c r="C1342">
        <v>13719</v>
      </c>
      <c r="D1342">
        <v>0</v>
      </c>
      <c r="E1342" s="123"/>
      <c r="F1342" s="123"/>
      <c r="G1342" s="123"/>
      <c r="H1342" s="95">
        <v>45996</v>
      </c>
      <c r="I1342">
        <v>36879</v>
      </c>
      <c r="J1342" s="123" t="s">
        <v>1340</v>
      </c>
      <c r="K1342" s="123" t="s">
        <v>1341</v>
      </c>
      <c r="L1342" s="123" t="e">
        <f>VLOOKUP(Fact_AUM_FyoCapital[[#This Row],[Dim_Empresas.CUIT]],'clientes SQL'!C:D,2,0)</f>
        <v>#N/A</v>
      </c>
    </row>
    <row r="1343" spans="1:12" hidden="1" x14ac:dyDescent="0.3">
      <c r="A1343">
        <v>2618249</v>
      </c>
      <c r="B1343">
        <v>20251205</v>
      </c>
      <c r="C1343">
        <v>13685</v>
      </c>
      <c r="D1343">
        <v>1.05</v>
      </c>
      <c r="E1343" s="123" t="s">
        <v>1563</v>
      </c>
      <c r="F1343" s="123" t="s">
        <v>950</v>
      </c>
      <c r="G1343" s="123"/>
      <c r="H1343" s="95">
        <v>45996</v>
      </c>
      <c r="I1343">
        <v>36847</v>
      </c>
      <c r="J1343" s="123" t="s">
        <v>292</v>
      </c>
      <c r="K1343" s="123" t="s">
        <v>1391</v>
      </c>
      <c r="L1343" s="123" t="e">
        <f>VLOOKUP(Fact_AUM_FyoCapital[[#This Row],[Dim_Empresas.CUIT]],'clientes SQL'!C:D,2,0)</f>
        <v>#N/A</v>
      </c>
    </row>
    <row r="1344" spans="1:12" hidden="1" x14ac:dyDescent="0.3">
      <c r="A1344">
        <v>1829617</v>
      </c>
      <c r="B1344">
        <v>20251205</v>
      </c>
      <c r="C1344">
        <v>2259</v>
      </c>
      <c r="D1344">
        <v>348.09539270687242</v>
      </c>
      <c r="E1344" s="123" t="s">
        <v>1568</v>
      </c>
      <c r="F1344" s="123" t="s">
        <v>1572</v>
      </c>
      <c r="G1344" s="123" t="s">
        <v>1570</v>
      </c>
      <c r="H1344" s="95">
        <v>45996</v>
      </c>
      <c r="I1344">
        <v>30317</v>
      </c>
      <c r="J1344" s="123" t="s">
        <v>221</v>
      </c>
      <c r="K1344" s="123" t="s">
        <v>1416</v>
      </c>
      <c r="L1344" s="123" t="e">
        <f>VLOOKUP(Fact_AUM_FyoCapital[[#This Row],[Dim_Empresas.CUIT]],'clientes SQL'!C:D,2,0)</f>
        <v>#N/A</v>
      </c>
    </row>
    <row r="1345" spans="1:12" hidden="1" x14ac:dyDescent="0.3">
      <c r="A1345">
        <v>1831297</v>
      </c>
      <c r="B1345">
        <v>20251205</v>
      </c>
      <c r="C1345">
        <v>6154</v>
      </c>
      <c r="D1345">
        <v>203223.91</v>
      </c>
      <c r="E1345" s="123" t="s">
        <v>1568</v>
      </c>
      <c r="F1345" s="123" t="s">
        <v>1575</v>
      </c>
      <c r="G1345" s="123" t="s">
        <v>1576</v>
      </c>
      <c r="H1345" s="95">
        <v>45996</v>
      </c>
      <c r="I1345">
        <v>34268</v>
      </c>
      <c r="J1345" s="123" t="s">
        <v>1141</v>
      </c>
      <c r="K1345" s="123" t="s">
        <v>1142</v>
      </c>
      <c r="L1345" s="123" t="e">
        <f>VLOOKUP(Fact_AUM_FyoCapital[[#This Row],[Dim_Empresas.CUIT]],'clientes SQL'!C:D,2,0)</f>
        <v>#N/A</v>
      </c>
    </row>
    <row r="1346" spans="1:12" hidden="1" x14ac:dyDescent="0.3">
      <c r="A1346">
        <v>1864837</v>
      </c>
      <c r="B1346">
        <v>20251205</v>
      </c>
      <c r="C1346">
        <v>1314</v>
      </c>
      <c r="D1346">
        <v>-119745.25</v>
      </c>
      <c r="E1346" s="123" t="s">
        <v>1566</v>
      </c>
      <c r="F1346" s="123" t="s">
        <v>1578</v>
      </c>
      <c r="G1346" s="123"/>
      <c r="H1346" s="95">
        <v>45996</v>
      </c>
      <c r="I1346">
        <v>19442</v>
      </c>
      <c r="J1346" s="123" t="s">
        <v>309</v>
      </c>
      <c r="K1346" s="123" t="s">
        <v>1112</v>
      </c>
      <c r="L1346" s="123" t="e">
        <f>VLOOKUP(Fact_AUM_FyoCapital[[#This Row],[Dim_Empresas.CUIT]],'clientes SQL'!C:D,2,0)</f>
        <v>#N/A</v>
      </c>
    </row>
    <row r="1347" spans="1:12" hidden="1" x14ac:dyDescent="0.3">
      <c r="A1347">
        <v>2632589</v>
      </c>
      <c r="B1347">
        <v>20251205</v>
      </c>
      <c r="C1347">
        <v>334</v>
      </c>
      <c r="D1347">
        <v>-1.3936886395511923</v>
      </c>
      <c r="E1347" s="123" t="s">
        <v>1563</v>
      </c>
      <c r="F1347" s="123" t="s">
        <v>185</v>
      </c>
      <c r="G1347" s="123"/>
      <c r="H1347" s="95">
        <v>45996</v>
      </c>
      <c r="I1347">
        <v>6886</v>
      </c>
      <c r="J1347" s="123" t="s">
        <v>519</v>
      </c>
      <c r="K1347" s="123" t="s">
        <v>1517</v>
      </c>
      <c r="L1347" s="123" t="e">
        <f>VLOOKUP(Fact_AUM_FyoCapital[[#This Row],[Dim_Empresas.CUIT]],'clientes SQL'!C:D,2,0)</f>
        <v>#N/A</v>
      </c>
    </row>
    <row r="1348" spans="1:12" hidden="1" x14ac:dyDescent="0.3">
      <c r="A1348">
        <v>1895617</v>
      </c>
      <c r="B1348">
        <v>20251205</v>
      </c>
      <c r="C1348">
        <v>10253</v>
      </c>
      <c r="D1348">
        <v>230468.07</v>
      </c>
      <c r="E1348" s="123" t="s">
        <v>1566</v>
      </c>
      <c r="F1348" s="123" t="s">
        <v>1571</v>
      </c>
      <c r="G1348" s="123"/>
      <c r="H1348" s="95">
        <v>45996</v>
      </c>
      <c r="I1348">
        <v>35643</v>
      </c>
      <c r="J1348" s="123" t="s">
        <v>603</v>
      </c>
      <c r="K1348" s="123" t="s">
        <v>1220</v>
      </c>
      <c r="L1348" s="123" t="e">
        <f>VLOOKUP(Fact_AUM_FyoCapital[[#This Row],[Dim_Empresas.CUIT]],'clientes SQL'!C:D,2,0)</f>
        <v>#N/A</v>
      </c>
    </row>
    <row r="1349" spans="1:12" hidden="1" x14ac:dyDescent="0.3">
      <c r="A1349">
        <v>2624429</v>
      </c>
      <c r="B1349">
        <v>20251205</v>
      </c>
      <c r="C1349">
        <v>1437</v>
      </c>
      <c r="D1349">
        <v>160003.04</v>
      </c>
      <c r="E1349" s="123" t="s">
        <v>1563</v>
      </c>
      <c r="F1349" s="123" t="s">
        <v>188</v>
      </c>
      <c r="G1349" s="123"/>
      <c r="H1349" s="95">
        <v>45996</v>
      </c>
      <c r="I1349">
        <v>19791</v>
      </c>
      <c r="J1349" s="123" t="s">
        <v>172</v>
      </c>
      <c r="K1349" s="123" t="s">
        <v>1223</v>
      </c>
      <c r="L1349" s="123">
        <f>VLOOKUP(Fact_AUM_FyoCapital[[#This Row],[Dim_Empresas.CUIT]],'clientes SQL'!C:D,2,0)</f>
        <v>20176</v>
      </c>
    </row>
    <row r="1350" spans="1:12" hidden="1" x14ac:dyDescent="0.3">
      <c r="A1350">
        <v>1897717</v>
      </c>
      <c r="B1350">
        <v>20251205</v>
      </c>
      <c r="C1350">
        <v>12617</v>
      </c>
      <c r="D1350">
        <v>40121.318373071532</v>
      </c>
      <c r="E1350" s="123" t="s">
        <v>1566</v>
      </c>
      <c r="F1350" s="123" t="s">
        <v>1580</v>
      </c>
      <c r="G1350" s="123"/>
      <c r="H1350" s="95">
        <v>45996</v>
      </c>
      <c r="I1350">
        <v>35876</v>
      </c>
      <c r="J1350" s="123" t="s">
        <v>1512</v>
      </c>
      <c r="K1350" s="123" t="s">
        <v>1516</v>
      </c>
      <c r="L1350" s="123" t="e">
        <f>VLOOKUP(Fact_AUM_FyoCapital[[#This Row],[Dim_Empresas.CUIT]],'clientes SQL'!C:D,2,0)</f>
        <v>#N/A</v>
      </c>
    </row>
    <row r="1351" spans="1:12" hidden="1" x14ac:dyDescent="0.3">
      <c r="A1351">
        <v>2608769</v>
      </c>
      <c r="B1351">
        <v>20251205</v>
      </c>
      <c r="C1351">
        <v>2084</v>
      </c>
      <c r="D1351">
        <v>7.4978962131837315E-2</v>
      </c>
      <c r="E1351" s="123" t="s">
        <v>1563</v>
      </c>
      <c r="F1351" s="123" t="s">
        <v>185</v>
      </c>
      <c r="G1351" s="123"/>
      <c r="H1351" s="95">
        <v>45996</v>
      </c>
      <c r="I1351">
        <v>3107</v>
      </c>
      <c r="J1351" s="123" t="s">
        <v>280</v>
      </c>
      <c r="K1351" s="123" t="s">
        <v>1401</v>
      </c>
      <c r="L1351" s="123" t="e">
        <f>VLOOKUP(Fact_AUM_FyoCapital[[#This Row],[Dim_Empresas.CUIT]],'clientes SQL'!C:D,2,0)</f>
        <v>#N/A</v>
      </c>
    </row>
    <row r="1352" spans="1:12" hidden="1" x14ac:dyDescent="0.3">
      <c r="A1352">
        <v>2632289</v>
      </c>
      <c r="B1352">
        <v>20251205</v>
      </c>
      <c r="C1352">
        <v>1592</v>
      </c>
      <c r="D1352">
        <v>-1.1578471248246844</v>
      </c>
      <c r="E1352" s="123" t="s">
        <v>1563</v>
      </c>
      <c r="F1352" s="123" t="s">
        <v>185</v>
      </c>
      <c r="G1352" s="123"/>
      <c r="H1352" s="95">
        <v>45996</v>
      </c>
      <c r="I1352">
        <v>8614</v>
      </c>
      <c r="J1352" s="123" t="s">
        <v>530</v>
      </c>
      <c r="K1352" s="123" t="s">
        <v>1188</v>
      </c>
      <c r="L1352" s="123" t="e">
        <f>VLOOKUP(Fact_AUM_FyoCapital[[#This Row],[Dim_Empresas.CUIT]],'clientes SQL'!C:D,2,0)</f>
        <v>#N/A</v>
      </c>
    </row>
    <row r="1353" spans="1:12" hidden="1" x14ac:dyDescent="0.3">
      <c r="A1353">
        <v>2628389</v>
      </c>
      <c r="B1353">
        <v>20251205</v>
      </c>
      <c r="C1353">
        <v>81</v>
      </c>
      <c r="D1353">
        <v>-6.9435343618513317</v>
      </c>
      <c r="E1353" s="123" t="s">
        <v>1563</v>
      </c>
      <c r="F1353" s="123" t="s">
        <v>185</v>
      </c>
      <c r="G1353" s="123"/>
      <c r="H1353" s="95">
        <v>45996</v>
      </c>
      <c r="I1353">
        <v>3375</v>
      </c>
      <c r="J1353" s="123" t="s">
        <v>465</v>
      </c>
      <c r="K1353" s="123" t="s">
        <v>1317</v>
      </c>
      <c r="L1353" s="123" t="e">
        <f>VLOOKUP(Fact_AUM_FyoCapital[[#This Row],[Dim_Empresas.CUIT]],'clientes SQL'!C:D,2,0)</f>
        <v>#N/A</v>
      </c>
    </row>
    <row r="1354" spans="1:12" hidden="1" x14ac:dyDescent="0.3">
      <c r="A1354">
        <v>1831897</v>
      </c>
      <c r="B1354">
        <v>20251205</v>
      </c>
      <c r="C1354">
        <v>6077</v>
      </c>
      <c r="D1354" s="6">
        <v>105382.28014726509</v>
      </c>
      <c r="E1354" s="123" t="s">
        <v>1568</v>
      </c>
      <c r="F1354" s="123" t="s">
        <v>1572</v>
      </c>
      <c r="G1354" s="123" t="s">
        <v>1574</v>
      </c>
      <c r="H1354" s="95">
        <v>45996</v>
      </c>
      <c r="I1354">
        <v>34195</v>
      </c>
      <c r="J1354" s="123" t="s">
        <v>244</v>
      </c>
      <c r="K1354" s="123" t="s">
        <v>1362</v>
      </c>
      <c r="L1354" s="123" t="e">
        <f>VLOOKUP(Fact_AUM_FyoCapital[[#This Row],[Dim_Empresas.CUIT]],'clientes SQL'!C:D,2,0)</f>
        <v>#N/A</v>
      </c>
    </row>
    <row r="1355" spans="1:12" hidden="1" x14ac:dyDescent="0.3">
      <c r="A1355">
        <v>2640869</v>
      </c>
      <c r="B1355">
        <v>20251205</v>
      </c>
      <c r="C1355">
        <v>3244</v>
      </c>
      <c r="D1355">
        <v>-0.45152875175315565</v>
      </c>
      <c r="E1355" s="123" t="s">
        <v>1563</v>
      </c>
      <c r="F1355" s="123" t="s">
        <v>185</v>
      </c>
      <c r="G1355" s="123"/>
      <c r="H1355" s="95">
        <v>45996</v>
      </c>
      <c r="I1355">
        <v>31666</v>
      </c>
      <c r="J1355" s="123" t="s">
        <v>1151</v>
      </c>
      <c r="K1355" s="123" t="s">
        <v>1152</v>
      </c>
      <c r="L1355" s="123" t="e">
        <f>VLOOKUP(Fact_AUM_FyoCapital[[#This Row],[Dim_Empresas.CUIT]],'clientes SQL'!C:D,2,0)</f>
        <v>#N/A</v>
      </c>
    </row>
    <row r="1356" spans="1:12" hidden="1" x14ac:dyDescent="0.3">
      <c r="A1356">
        <v>1503664</v>
      </c>
      <c r="B1356">
        <v>20251205</v>
      </c>
      <c r="C1356">
        <v>10253</v>
      </c>
      <c r="D1356">
        <v>1744355.23</v>
      </c>
      <c r="E1356" s="123" t="s">
        <v>1564</v>
      </c>
      <c r="F1356" s="123" t="s">
        <v>1581</v>
      </c>
      <c r="G1356" s="123"/>
      <c r="H1356" s="95">
        <v>45996</v>
      </c>
      <c r="I1356">
        <v>35643</v>
      </c>
      <c r="J1356" s="123" t="s">
        <v>603</v>
      </c>
      <c r="K1356" s="123" t="s">
        <v>1220</v>
      </c>
      <c r="L1356" s="123" t="e">
        <f>VLOOKUP(Fact_AUM_FyoCapital[[#This Row],[Dim_Empresas.CUIT]],'clientes SQL'!C:D,2,0)</f>
        <v>#N/A</v>
      </c>
    </row>
    <row r="1357" spans="1:12" hidden="1" x14ac:dyDescent="0.3">
      <c r="A1357">
        <v>2617169</v>
      </c>
      <c r="B1357">
        <v>20251205</v>
      </c>
      <c r="C1357">
        <v>12979</v>
      </c>
      <c r="D1357">
        <v>4.84</v>
      </c>
      <c r="E1357" s="123" t="s">
        <v>1563</v>
      </c>
      <c r="F1357" s="123" t="s">
        <v>950</v>
      </c>
      <c r="G1357" s="123"/>
      <c r="H1357" s="95">
        <v>45996</v>
      </c>
      <c r="I1357">
        <v>36187</v>
      </c>
      <c r="J1357" s="123" t="s">
        <v>311</v>
      </c>
      <c r="K1357" s="123" t="s">
        <v>1319</v>
      </c>
      <c r="L1357" s="123" t="e">
        <f>VLOOKUP(Fact_AUM_FyoCapital[[#This Row],[Dim_Empresas.CUIT]],'clientes SQL'!C:D,2,0)</f>
        <v>#N/A</v>
      </c>
    </row>
    <row r="1358" spans="1:12" hidden="1" x14ac:dyDescent="0.3">
      <c r="A1358">
        <v>1851637</v>
      </c>
      <c r="B1358">
        <v>20251205</v>
      </c>
      <c r="C1358">
        <v>1724</v>
      </c>
      <c r="D1358">
        <v>76830</v>
      </c>
      <c r="E1358" s="123" t="s">
        <v>1568</v>
      </c>
      <c r="F1358" s="123" t="s">
        <v>1572</v>
      </c>
      <c r="G1358" s="123" t="s">
        <v>1574</v>
      </c>
      <c r="H1358" s="95">
        <v>45996</v>
      </c>
      <c r="I1358">
        <v>20518</v>
      </c>
      <c r="J1358" s="123" t="s">
        <v>270</v>
      </c>
      <c r="K1358" s="123" t="s">
        <v>1225</v>
      </c>
      <c r="L1358" s="123" t="e">
        <f>VLOOKUP(Fact_AUM_FyoCapital[[#This Row],[Dim_Empresas.CUIT]],'clientes SQL'!C:D,2,0)</f>
        <v>#N/A</v>
      </c>
    </row>
    <row r="1359" spans="1:12" hidden="1" x14ac:dyDescent="0.3">
      <c r="A1359">
        <v>1866337</v>
      </c>
      <c r="B1359">
        <v>20251205</v>
      </c>
      <c r="C1359">
        <v>1021</v>
      </c>
      <c r="D1359">
        <v>97124.82468443198</v>
      </c>
      <c r="E1359" s="123" t="s">
        <v>1566</v>
      </c>
      <c r="F1359" s="123" t="s">
        <v>1571</v>
      </c>
      <c r="G1359" s="123"/>
      <c r="H1359" s="95">
        <v>45996</v>
      </c>
      <c r="I1359">
        <v>13900</v>
      </c>
      <c r="J1359" s="123" t="s">
        <v>462</v>
      </c>
      <c r="K1359" s="123" t="s">
        <v>1211</v>
      </c>
      <c r="L1359" s="123" t="e">
        <f>VLOOKUP(Fact_AUM_FyoCapital[[#This Row],[Dim_Empresas.CUIT]],'clientes SQL'!C:D,2,0)</f>
        <v>#N/A</v>
      </c>
    </row>
    <row r="1360" spans="1:12" hidden="1" x14ac:dyDescent="0.3">
      <c r="A1360">
        <v>1897777</v>
      </c>
      <c r="B1360">
        <v>20251205</v>
      </c>
      <c r="C1360">
        <v>12617</v>
      </c>
      <c r="D1360">
        <v>99990</v>
      </c>
      <c r="E1360" s="123" t="s">
        <v>1566</v>
      </c>
      <c r="F1360" s="123" t="s">
        <v>1579</v>
      </c>
      <c r="G1360" s="123"/>
      <c r="H1360" s="95">
        <v>45996</v>
      </c>
      <c r="I1360">
        <v>35876</v>
      </c>
      <c r="J1360" s="123" t="s">
        <v>1512</v>
      </c>
      <c r="K1360" s="123" t="s">
        <v>1516</v>
      </c>
      <c r="L1360" s="123" t="e">
        <f>VLOOKUP(Fact_AUM_FyoCapital[[#This Row],[Dim_Empresas.CUIT]],'clientes SQL'!C:D,2,0)</f>
        <v>#N/A</v>
      </c>
    </row>
    <row r="1361" spans="1:12" hidden="1" x14ac:dyDescent="0.3">
      <c r="A1361">
        <v>1886437</v>
      </c>
      <c r="B1361">
        <v>20251205</v>
      </c>
      <c r="C1361">
        <v>971</v>
      </c>
      <c r="D1361">
        <v>438.25509817671809</v>
      </c>
      <c r="E1361" s="123" t="s">
        <v>1568</v>
      </c>
      <c r="F1361" s="123" t="s">
        <v>1572</v>
      </c>
      <c r="G1361" s="123" t="s">
        <v>1574</v>
      </c>
      <c r="H1361" s="95">
        <v>45996</v>
      </c>
      <c r="I1361">
        <v>9355</v>
      </c>
      <c r="J1361" s="123" t="s">
        <v>1337</v>
      </c>
      <c r="K1361" s="123" t="s">
        <v>1338</v>
      </c>
      <c r="L1361" s="123" t="e">
        <f>VLOOKUP(Fact_AUM_FyoCapital[[#This Row],[Dim_Empresas.CUIT]],'clientes SQL'!C:D,2,0)</f>
        <v>#N/A</v>
      </c>
    </row>
    <row r="1362" spans="1:12" hidden="1" x14ac:dyDescent="0.3">
      <c r="A1362">
        <v>2643929</v>
      </c>
      <c r="B1362">
        <v>20251205</v>
      </c>
      <c r="C1362">
        <v>10061</v>
      </c>
      <c r="D1362">
        <v>0.39</v>
      </c>
      <c r="E1362" s="123" t="s">
        <v>1563</v>
      </c>
      <c r="F1362" s="123" t="s">
        <v>188</v>
      </c>
      <c r="G1362" s="123"/>
      <c r="H1362" s="95">
        <v>45996</v>
      </c>
      <c r="I1362">
        <v>35528</v>
      </c>
      <c r="J1362" s="123" t="s">
        <v>616</v>
      </c>
      <c r="K1362" s="123" t="s">
        <v>1237</v>
      </c>
      <c r="L1362" s="123" t="e">
        <f>VLOOKUP(Fact_AUM_FyoCapital[[#This Row],[Dim_Empresas.CUIT]],'clientes SQL'!C:D,2,0)</f>
        <v>#N/A</v>
      </c>
    </row>
    <row r="1363" spans="1:12" hidden="1" x14ac:dyDescent="0.3">
      <c r="A1363">
        <v>1866037</v>
      </c>
      <c r="B1363">
        <v>20251205</v>
      </c>
      <c r="C1363">
        <v>1021</v>
      </c>
      <c r="D1363">
        <v>346661.22</v>
      </c>
      <c r="E1363" s="123" t="s">
        <v>1566</v>
      </c>
      <c r="F1363" s="123" t="s">
        <v>1571</v>
      </c>
      <c r="G1363" s="123"/>
      <c r="H1363" s="95">
        <v>45996</v>
      </c>
      <c r="I1363">
        <v>13900</v>
      </c>
      <c r="J1363" s="123" t="s">
        <v>462</v>
      </c>
      <c r="K1363" s="123" t="s">
        <v>1211</v>
      </c>
      <c r="L1363" s="123" t="e">
        <f>VLOOKUP(Fact_AUM_FyoCapital[[#This Row],[Dim_Empresas.CUIT]],'clientes SQL'!C:D,2,0)</f>
        <v>#N/A</v>
      </c>
    </row>
    <row r="1364" spans="1:12" hidden="1" x14ac:dyDescent="0.3">
      <c r="A1364">
        <v>2637569</v>
      </c>
      <c r="B1364">
        <v>20251205</v>
      </c>
      <c r="C1364">
        <v>4241</v>
      </c>
      <c r="D1364">
        <v>2392.9299999999998</v>
      </c>
      <c r="E1364" s="123" t="s">
        <v>1563</v>
      </c>
      <c r="F1364" s="123" t="s">
        <v>188</v>
      </c>
      <c r="G1364" s="123"/>
      <c r="H1364" s="95">
        <v>45996</v>
      </c>
      <c r="I1364">
        <v>32893</v>
      </c>
      <c r="J1364" s="123" t="s">
        <v>125</v>
      </c>
      <c r="K1364" s="123" t="s">
        <v>1158</v>
      </c>
      <c r="L1364" s="123">
        <f>VLOOKUP(Fact_AUM_FyoCapital[[#This Row],[Dim_Empresas.CUIT]],'clientes SQL'!C:D,2,0)</f>
        <v>13036</v>
      </c>
    </row>
    <row r="1365" spans="1:12" hidden="1" x14ac:dyDescent="0.3">
      <c r="A1365">
        <v>1863217</v>
      </c>
      <c r="B1365">
        <v>20251205</v>
      </c>
      <c r="C1365">
        <v>682</v>
      </c>
      <c r="D1365">
        <v>679694.22899018228</v>
      </c>
      <c r="E1365" s="123" t="s">
        <v>1568</v>
      </c>
      <c r="F1365" s="123" t="s">
        <v>1572</v>
      </c>
      <c r="G1365" s="123" t="s">
        <v>1583</v>
      </c>
      <c r="H1365" s="95">
        <v>45996</v>
      </c>
      <c r="I1365">
        <v>9775</v>
      </c>
      <c r="J1365" s="123" t="s">
        <v>287</v>
      </c>
      <c r="K1365" s="123" t="s">
        <v>1320</v>
      </c>
      <c r="L1365" s="123" t="e">
        <f>VLOOKUP(Fact_AUM_FyoCapital[[#This Row],[Dim_Empresas.CUIT]],'clientes SQL'!C:D,2,0)</f>
        <v>#N/A</v>
      </c>
    </row>
    <row r="1366" spans="1:12" hidden="1" x14ac:dyDescent="0.3">
      <c r="A1366">
        <v>2625449</v>
      </c>
      <c r="B1366">
        <v>20251205</v>
      </c>
      <c r="C1366">
        <v>1314</v>
      </c>
      <c r="D1366">
        <v>-155120.69</v>
      </c>
      <c r="E1366" s="123" t="s">
        <v>1563</v>
      </c>
      <c r="F1366" s="123" t="s">
        <v>801</v>
      </c>
      <c r="G1366" s="123"/>
      <c r="H1366" s="95">
        <v>45996</v>
      </c>
      <c r="I1366">
        <v>19442</v>
      </c>
      <c r="J1366" s="123" t="s">
        <v>309</v>
      </c>
      <c r="K1366" s="123" t="s">
        <v>1112</v>
      </c>
      <c r="L1366" s="123" t="e">
        <f>VLOOKUP(Fact_AUM_FyoCapital[[#This Row],[Dim_Empresas.CUIT]],'clientes SQL'!C:D,2,0)</f>
        <v>#N/A</v>
      </c>
    </row>
    <row r="1367" spans="1:12" hidden="1" x14ac:dyDescent="0.3">
      <c r="A1367">
        <v>1851577</v>
      </c>
      <c r="B1367">
        <v>20251205</v>
      </c>
      <c r="C1367">
        <v>1724</v>
      </c>
      <c r="D1367">
        <v>303006.08000000002</v>
      </c>
      <c r="E1367" s="123" t="s">
        <v>1566</v>
      </c>
      <c r="F1367" s="123" t="s">
        <v>1571</v>
      </c>
      <c r="G1367" s="123"/>
      <c r="H1367" s="95">
        <v>45996</v>
      </c>
      <c r="I1367">
        <v>20518</v>
      </c>
      <c r="J1367" s="123" t="s">
        <v>270</v>
      </c>
      <c r="K1367" s="123" t="s">
        <v>1225</v>
      </c>
      <c r="L1367" s="123" t="e">
        <f>VLOOKUP(Fact_AUM_FyoCapital[[#This Row],[Dim_Empresas.CUIT]],'clientes SQL'!C:D,2,0)</f>
        <v>#N/A</v>
      </c>
    </row>
    <row r="1368" spans="1:12" hidden="1" x14ac:dyDescent="0.3">
      <c r="A1368">
        <v>1839637</v>
      </c>
      <c r="B1368">
        <v>20251205</v>
      </c>
      <c r="C1368">
        <v>5868</v>
      </c>
      <c r="D1368">
        <v>30270</v>
      </c>
      <c r="E1368" s="123" t="s">
        <v>1566</v>
      </c>
      <c r="F1368" s="123" t="s">
        <v>1579</v>
      </c>
      <c r="G1368" s="123"/>
      <c r="H1368" s="95">
        <v>45996</v>
      </c>
      <c r="I1368">
        <v>33580</v>
      </c>
      <c r="J1368" s="123" t="s">
        <v>348</v>
      </c>
      <c r="K1368" s="123" t="s">
        <v>1277</v>
      </c>
      <c r="L1368" s="123" t="e">
        <f>VLOOKUP(Fact_AUM_FyoCapital[[#This Row],[Dim_Empresas.CUIT]],'clientes SQL'!C:D,2,0)</f>
        <v>#N/A</v>
      </c>
    </row>
    <row r="1369" spans="1:12" hidden="1" x14ac:dyDescent="0.3">
      <c r="A1369">
        <v>1830577</v>
      </c>
      <c r="B1369">
        <v>20251205</v>
      </c>
      <c r="C1369">
        <v>6154</v>
      </c>
      <c r="D1369">
        <v>14933.27</v>
      </c>
      <c r="E1369" s="123" t="s">
        <v>1566</v>
      </c>
      <c r="F1369" s="123" t="s">
        <v>1578</v>
      </c>
      <c r="G1369" s="123"/>
      <c r="H1369" s="95">
        <v>45996</v>
      </c>
      <c r="I1369">
        <v>34268</v>
      </c>
      <c r="J1369" s="123" t="s">
        <v>1141</v>
      </c>
      <c r="K1369" s="123" t="s">
        <v>1142</v>
      </c>
      <c r="L1369" s="123" t="e">
        <f>VLOOKUP(Fact_AUM_FyoCapital[[#This Row],[Dim_Empresas.CUIT]],'clientes SQL'!C:D,2,0)</f>
        <v>#N/A</v>
      </c>
    </row>
    <row r="1370" spans="1:12" hidden="1" x14ac:dyDescent="0.3">
      <c r="A1370">
        <v>1830037</v>
      </c>
      <c r="B1370">
        <v>20251205</v>
      </c>
      <c r="C1370">
        <v>4213</v>
      </c>
      <c r="D1370">
        <v>155551.01999999999</v>
      </c>
      <c r="E1370" s="123" t="s">
        <v>1566</v>
      </c>
      <c r="F1370" s="123" t="s">
        <v>1579</v>
      </c>
      <c r="G1370" s="123"/>
      <c r="H1370" s="95">
        <v>45996</v>
      </c>
      <c r="I1370">
        <v>32849</v>
      </c>
      <c r="J1370" s="123" t="s">
        <v>190</v>
      </c>
      <c r="K1370" s="123" t="s">
        <v>1302</v>
      </c>
      <c r="L1370" s="123" t="e">
        <f>VLOOKUP(Fact_AUM_FyoCapital[[#This Row],[Dim_Empresas.CUIT]],'clientes SQL'!C:D,2,0)</f>
        <v>#N/A</v>
      </c>
    </row>
    <row r="1371" spans="1:12" hidden="1" x14ac:dyDescent="0.3">
      <c r="A1371">
        <v>1897657</v>
      </c>
      <c r="B1371">
        <v>20251205</v>
      </c>
      <c r="C1371">
        <v>12617</v>
      </c>
      <c r="D1371">
        <v>107028.47</v>
      </c>
      <c r="E1371" s="123" t="s">
        <v>1566</v>
      </c>
      <c r="F1371" s="123" t="s">
        <v>1579</v>
      </c>
      <c r="G1371" s="123"/>
      <c r="H1371" s="95">
        <v>45996</v>
      </c>
      <c r="I1371">
        <v>35876</v>
      </c>
      <c r="J1371" s="123" t="s">
        <v>1512</v>
      </c>
      <c r="K1371" s="123" t="s">
        <v>1516</v>
      </c>
      <c r="L1371" s="123" t="e">
        <f>VLOOKUP(Fact_AUM_FyoCapital[[#This Row],[Dim_Empresas.CUIT]],'clientes SQL'!C:D,2,0)</f>
        <v>#N/A</v>
      </c>
    </row>
    <row r="1372" spans="1:12" hidden="1" x14ac:dyDescent="0.3">
      <c r="A1372">
        <v>1868977</v>
      </c>
      <c r="B1372">
        <v>20251205</v>
      </c>
      <c r="C1372">
        <v>13361</v>
      </c>
      <c r="D1372">
        <v>1183.6400000000001</v>
      </c>
      <c r="E1372" s="123" t="s">
        <v>1566</v>
      </c>
      <c r="F1372" s="123" t="s">
        <v>1571</v>
      </c>
      <c r="G1372" s="123"/>
      <c r="H1372" s="95">
        <v>45996</v>
      </c>
      <c r="I1372">
        <v>36541</v>
      </c>
      <c r="J1372" s="123" t="s">
        <v>454</v>
      </c>
      <c r="K1372" s="123" t="s">
        <v>1322</v>
      </c>
      <c r="L1372" s="123" t="e">
        <f>VLOOKUP(Fact_AUM_FyoCapital[[#This Row],[Dim_Empresas.CUIT]],'clientes SQL'!C:D,2,0)</f>
        <v>#N/A</v>
      </c>
    </row>
    <row r="1373" spans="1:12" hidden="1" x14ac:dyDescent="0.3">
      <c r="A1373">
        <v>1859737</v>
      </c>
      <c r="B1373">
        <v>20251205</v>
      </c>
      <c r="C1373">
        <v>3570</v>
      </c>
      <c r="D1373">
        <v>96.827784011220203</v>
      </c>
      <c r="E1373" s="123" t="s">
        <v>1568</v>
      </c>
      <c r="F1373" s="123" t="s">
        <v>1572</v>
      </c>
      <c r="G1373" s="123" t="s">
        <v>1570</v>
      </c>
      <c r="H1373" s="95">
        <v>45996</v>
      </c>
      <c r="I1373">
        <v>32043</v>
      </c>
      <c r="J1373" s="123" t="s">
        <v>1264</v>
      </c>
      <c r="K1373" s="123" t="s">
        <v>1265</v>
      </c>
      <c r="L1373" s="123" t="e">
        <f>VLOOKUP(Fact_AUM_FyoCapital[[#This Row],[Dim_Empresas.CUIT]],'clientes SQL'!C:D,2,0)</f>
        <v>#N/A</v>
      </c>
    </row>
    <row r="1374" spans="1:12" hidden="1" x14ac:dyDescent="0.3">
      <c r="A1374">
        <v>1838317</v>
      </c>
      <c r="B1374">
        <v>20251205</v>
      </c>
      <c r="C1374">
        <v>5235</v>
      </c>
      <c r="D1374">
        <v>8396.23</v>
      </c>
      <c r="E1374" s="123" t="s">
        <v>1566</v>
      </c>
      <c r="F1374" s="123" t="s">
        <v>1571</v>
      </c>
      <c r="G1374" s="123"/>
      <c r="H1374" s="95">
        <v>45996</v>
      </c>
      <c r="I1374">
        <v>33099</v>
      </c>
      <c r="J1374" s="123" t="s">
        <v>346</v>
      </c>
      <c r="K1374" s="123" t="s">
        <v>1118</v>
      </c>
      <c r="L1374" s="123" t="e">
        <f>VLOOKUP(Fact_AUM_FyoCapital[[#This Row],[Dim_Empresas.CUIT]],'clientes SQL'!C:D,2,0)</f>
        <v>#N/A</v>
      </c>
    </row>
    <row r="1375" spans="1:12" hidden="1" x14ac:dyDescent="0.3">
      <c r="A1375">
        <v>1825837</v>
      </c>
      <c r="B1375">
        <v>20251205</v>
      </c>
      <c r="C1375">
        <v>1277</v>
      </c>
      <c r="D1375">
        <v>0</v>
      </c>
      <c r="E1375" s="123"/>
      <c r="F1375" s="123"/>
      <c r="G1375" s="123"/>
      <c r="H1375" s="95">
        <v>45996</v>
      </c>
      <c r="I1375">
        <v>19100</v>
      </c>
      <c r="J1375" s="123" t="s">
        <v>254</v>
      </c>
      <c r="K1375" s="123" t="s">
        <v>1240</v>
      </c>
      <c r="L1375" s="123" t="e">
        <f>VLOOKUP(Fact_AUM_FyoCapital[[#This Row],[Dim_Empresas.CUIT]],'clientes SQL'!C:D,2,0)</f>
        <v>#N/A</v>
      </c>
    </row>
    <row r="1376" spans="1:12" hidden="1" x14ac:dyDescent="0.3">
      <c r="A1376">
        <v>1859617</v>
      </c>
      <c r="B1376">
        <v>20251205</v>
      </c>
      <c r="C1376">
        <v>3570</v>
      </c>
      <c r="D1376">
        <v>42262.080995792428</v>
      </c>
      <c r="E1376" s="123" t="s">
        <v>1566</v>
      </c>
      <c r="F1376" s="123" t="s">
        <v>1571</v>
      </c>
      <c r="G1376" s="123"/>
      <c r="H1376" s="95">
        <v>45996</v>
      </c>
      <c r="I1376">
        <v>32043</v>
      </c>
      <c r="J1376" s="123" t="s">
        <v>1264</v>
      </c>
      <c r="K1376" s="123" t="s">
        <v>1265</v>
      </c>
      <c r="L1376" s="123" t="e">
        <f>VLOOKUP(Fact_AUM_FyoCapital[[#This Row],[Dim_Empresas.CUIT]],'clientes SQL'!C:D,2,0)</f>
        <v>#N/A</v>
      </c>
    </row>
    <row r="1377" spans="1:12" hidden="1" x14ac:dyDescent="0.3">
      <c r="A1377">
        <v>1893937</v>
      </c>
      <c r="B1377">
        <v>20251205</v>
      </c>
      <c r="C1377">
        <v>2225</v>
      </c>
      <c r="D1377">
        <v>17351.633541374475</v>
      </c>
      <c r="E1377" s="123" t="s">
        <v>1568</v>
      </c>
      <c r="F1377" s="123" t="s">
        <v>1569</v>
      </c>
      <c r="G1377" s="123" t="s">
        <v>1570</v>
      </c>
      <c r="H1377" s="95">
        <v>45996</v>
      </c>
      <c r="I1377">
        <v>30253</v>
      </c>
      <c r="J1377" s="123" t="s">
        <v>577</v>
      </c>
      <c r="K1377" s="123" t="s">
        <v>1217</v>
      </c>
      <c r="L1377" s="123" t="e">
        <f>VLOOKUP(Fact_AUM_FyoCapital[[#This Row],[Dim_Empresas.CUIT]],'clientes SQL'!C:D,2,0)</f>
        <v>#N/A</v>
      </c>
    </row>
    <row r="1378" spans="1:12" hidden="1" x14ac:dyDescent="0.3">
      <c r="A1378">
        <v>2612249</v>
      </c>
      <c r="B1378">
        <v>20251205</v>
      </c>
      <c r="C1378">
        <v>12600</v>
      </c>
      <c r="D1378">
        <v>3.856942496493689E-4</v>
      </c>
      <c r="E1378" s="123" t="s">
        <v>1563</v>
      </c>
      <c r="F1378" s="123" t="s">
        <v>185</v>
      </c>
      <c r="G1378" s="123"/>
      <c r="H1378" s="95">
        <v>45996</v>
      </c>
      <c r="I1378">
        <v>35861</v>
      </c>
      <c r="J1378" s="123" t="s">
        <v>874</v>
      </c>
      <c r="K1378" s="123" t="s">
        <v>1471</v>
      </c>
      <c r="L1378" s="123" t="e">
        <f>VLOOKUP(Fact_AUM_FyoCapital[[#This Row],[Dim_Empresas.CUIT]],'clientes SQL'!C:D,2,0)</f>
        <v>#N/A</v>
      </c>
    </row>
    <row r="1379" spans="1:12" hidden="1" x14ac:dyDescent="0.3">
      <c r="A1379">
        <v>1826137</v>
      </c>
      <c r="B1379">
        <v>20251205</v>
      </c>
      <c r="C1379">
        <v>1277</v>
      </c>
      <c r="D1379">
        <v>0</v>
      </c>
      <c r="E1379" s="123"/>
      <c r="F1379" s="123"/>
      <c r="G1379" s="123"/>
      <c r="H1379" s="95">
        <v>45996</v>
      </c>
      <c r="I1379">
        <v>19100</v>
      </c>
      <c r="J1379" s="123" t="s">
        <v>254</v>
      </c>
      <c r="K1379" s="123" t="s">
        <v>1240</v>
      </c>
      <c r="L1379" s="123" t="e">
        <f>VLOOKUP(Fact_AUM_FyoCapital[[#This Row],[Dim_Empresas.CUIT]],'clientes SQL'!C:D,2,0)</f>
        <v>#N/A</v>
      </c>
    </row>
    <row r="1380" spans="1:12" hidden="1" x14ac:dyDescent="0.3">
      <c r="A1380">
        <v>2620709</v>
      </c>
      <c r="B1380">
        <v>20251205</v>
      </c>
      <c r="C1380">
        <v>606</v>
      </c>
      <c r="D1380">
        <v>-4.0364656381486674E-2</v>
      </c>
      <c r="E1380" s="123" t="s">
        <v>1563</v>
      </c>
      <c r="F1380" s="123" t="s">
        <v>185</v>
      </c>
      <c r="G1380" s="123"/>
      <c r="H1380" s="95">
        <v>45996</v>
      </c>
      <c r="I1380">
        <v>2093</v>
      </c>
      <c r="J1380" s="123" t="s">
        <v>365</v>
      </c>
      <c r="K1380" s="123" t="s">
        <v>1206</v>
      </c>
      <c r="L1380" s="123" t="e">
        <f>VLOOKUP(Fact_AUM_FyoCapital[[#This Row],[Dim_Empresas.CUIT]],'clientes SQL'!C:D,2,0)</f>
        <v>#N/A</v>
      </c>
    </row>
    <row r="1381" spans="1:12" hidden="1" x14ac:dyDescent="0.3">
      <c r="A1381">
        <v>1884097</v>
      </c>
      <c r="B1381">
        <v>20251205</v>
      </c>
      <c r="C1381">
        <v>905</v>
      </c>
      <c r="D1381">
        <v>70.739999999999995</v>
      </c>
      <c r="E1381" s="123" t="s">
        <v>1568</v>
      </c>
      <c r="F1381" s="123" t="s">
        <v>1572</v>
      </c>
      <c r="G1381" s="123" t="s">
        <v>1584</v>
      </c>
      <c r="H1381" s="95">
        <v>45996</v>
      </c>
      <c r="I1381">
        <v>18220</v>
      </c>
      <c r="J1381" s="123" t="s">
        <v>531</v>
      </c>
      <c r="K1381" s="123" t="s">
        <v>1121</v>
      </c>
      <c r="L1381" s="123" t="e">
        <f>VLOOKUP(Fact_AUM_FyoCapital[[#This Row],[Dim_Empresas.CUIT]],'clientes SQL'!C:D,2,0)</f>
        <v>#N/A</v>
      </c>
    </row>
    <row r="1382" spans="1:12" hidden="1" x14ac:dyDescent="0.3">
      <c r="A1382">
        <v>1861597</v>
      </c>
      <c r="B1382">
        <v>20251205</v>
      </c>
      <c r="C1382">
        <v>682</v>
      </c>
      <c r="D1382">
        <v>0</v>
      </c>
      <c r="E1382" s="123"/>
      <c r="F1382" s="123"/>
      <c r="G1382" s="123"/>
      <c r="H1382" s="95">
        <v>45996</v>
      </c>
      <c r="I1382">
        <v>9775</v>
      </c>
      <c r="J1382" s="123" t="s">
        <v>287</v>
      </c>
      <c r="K1382" s="123" t="s">
        <v>1320</v>
      </c>
      <c r="L1382" s="123" t="e">
        <f>VLOOKUP(Fact_AUM_FyoCapital[[#This Row],[Dim_Empresas.CUIT]],'clientes SQL'!C:D,2,0)</f>
        <v>#N/A</v>
      </c>
    </row>
    <row r="1383" spans="1:12" hidden="1" x14ac:dyDescent="0.3">
      <c r="A1383">
        <v>1903177</v>
      </c>
      <c r="B1383">
        <v>20251205</v>
      </c>
      <c r="C1383">
        <v>14876</v>
      </c>
      <c r="D1383">
        <v>3161.9947405329594</v>
      </c>
      <c r="E1383" s="123" t="s">
        <v>1566</v>
      </c>
      <c r="F1383" s="123" t="s">
        <v>1571</v>
      </c>
      <c r="G1383" s="123"/>
      <c r="H1383" s="95">
        <v>45996</v>
      </c>
      <c r="I1383">
        <v>37091</v>
      </c>
      <c r="J1383" s="123" t="s">
        <v>604</v>
      </c>
      <c r="K1383" s="123" t="s">
        <v>1293</v>
      </c>
      <c r="L1383" s="123" t="e">
        <f>VLOOKUP(Fact_AUM_FyoCapital[[#This Row],[Dim_Empresas.CUIT]],'clientes SQL'!C:D,2,0)</f>
        <v>#N/A</v>
      </c>
    </row>
    <row r="1384" spans="1:12" hidden="1" x14ac:dyDescent="0.3">
      <c r="A1384">
        <v>2628509</v>
      </c>
      <c r="B1384">
        <v>20251205</v>
      </c>
      <c r="C1384">
        <v>1314</v>
      </c>
      <c r="D1384">
        <v>-85478.33</v>
      </c>
      <c r="E1384" s="123" t="s">
        <v>1563</v>
      </c>
      <c r="F1384" s="123" t="s">
        <v>801</v>
      </c>
      <c r="G1384" s="123"/>
      <c r="H1384" s="95">
        <v>45996</v>
      </c>
      <c r="I1384">
        <v>19442</v>
      </c>
      <c r="J1384" s="123" t="s">
        <v>309</v>
      </c>
      <c r="K1384" s="123" t="s">
        <v>1112</v>
      </c>
      <c r="L1384" s="123" t="e">
        <f>VLOOKUP(Fact_AUM_FyoCapital[[#This Row],[Dim_Empresas.CUIT]],'clientes SQL'!C:D,2,0)</f>
        <v>#N/A</v>
      </c>
    </row>
    <row r="1385" spans="1:12" hidden="1" x14ac:dyDescent="0.3">
      <c r="A1385">
        <v>2638409</v>
      </c>
      <c r="B1385">
        <v>20251205</v>
      </c>
      <c r="C1385">
        <v>10253</v>
      </c>
      <c r="D1385">
        <v>274.08</v>
      </c>
      <c r="E1385" s="123" t="s">
        <v>1563</v>
      </c>
      <c r="F1385" s="123" t="s">
        <v>188</v>
      </c>
      <c r="G1385" s="123"/>
      <c r="H1385" s="95">
        <v>45996</v>
      </c>
      <c r="I1385">
        <v>35643</v>
      </c>
      <c r="J1385" s="123" t="s">
        <v>603</v>
      </c>
      <c r="K1385" s="123" t="s">
        <v>1220</v>
      </c>
      <c r="L1385" s="123" t="e">
        <f>VLOOKUP(Fact_AUM_FyoCapital[[#This Row],[Dim_Empresas.CUIT]],'clientes SQL'!C:D,2,0)</f>
        <v>#N/A</v>
      </c>
    </row>
    <row r="1386" spans="1:12" hidden="1" x14ac:dyDescent="0.3">
      <c r="A1386">
        <v>1503904</v>
      </c>
      <c r="B1386">
        <v>20251205</v>
      </c>
      <c r="C1386">
        <v>1191</v>
      </c>
      <c r="D1386">
        <v>455959.89198457223</v>
      </c>
      <c r="E1386" s="123" t="s">
        <v>1564</v>
      </c>
      <c r="F1386" s="123" t="s">
        <v>1581</v>
      </c>
      <c r="G1386" s="123"/>
      <c r="H1386" s="95">
        <v>45996</v>
      </c>
      <c r="I1386">
        <v>18954</v>
      </c>
      <c r="J1386" s="123" t="s">
        <v>1247</v>
      </c>
      <c r="K1386" s="123" t="s">
        <v>1248</v>
      </c>
      <c r="L1386" s="123" t="e">
        <f>VLOOKUP(Fact_AUM_FyoCapital[[#This Row],[Dim_Empresas.CUIT]],'clientes SQL'!C:D,2,0)</f>
        <v>#N/A</v>
      </c>
    </row>
    <row r="1387" spans="1:12" hidden="1" x14ac:dyDescent="0.3">
      <c r="A1387">
        <v>1824937</v>
      </c>
      <c r="B1387">
        <v>20251205</v>
      </c>
      <c r="C1387">
        <v>112</v>
      </c>
      <c r="D1387">
        <v>0</v>
      </c>
      <c r="E1387" s="123"/>
      <c r="F1387" s="123"/>
      <c r="G1387" s="123"/>
      <c r="H1387" s="95">
        <v>45996</v>
      </c>
      <c r="I1387">
        <v>4429</v>
      </c>
      <c r="J1387" s="123" t="s">
        <v>210</v>
      </c>
      <c r="K1387" s="123" t="s">
        <v>1135</v>
      </c>
      <c r="L1387" s="123" t="e">
        <f>VLOOKUP(Fact_AUM_FyoCapital[[#This Row],[Dim_Empresas.CUIT]],'clientes SQL'!C:D,2,0)</f>
        <v>#N/A</v>
      </c>
    </row>
    <row r="1388" spans="1:12" hidden="1" x14ac:dyDescent="0.3">
      <c r="A1388">
        <v>2604689</v>
      </c>
      <c r="B1388">
        <v>20251205</v>
      </c>
      <c r="C1388">
        <v>10061</v>
      </c>
      <c r="D1388">
        <v>2688.44</v>
      </c>
      <c r="E1388" s="123" t="s">
        <v>1566</v>
      </c>
      <c r="F1388" s="123" t="s">
        <v>1579</v>
      </c>
      <c r="G1388" s="123"/>
      <c r="H1388" s="95">
        <v>45996</v>
      </c>
      <c r="I1388">
        <v>35528</v>
      </c>
      <c r="J1388" s="123" t="s">
        <v>616</v>
      </c>
      <c r="K1388" s="123" t="s">
        <v>1237</v>
      </c>
      <c r="L1388" s="123" t="e">
        <f>VLOOKUP(Fact_AUM_FyoCapital[[#This Row],[Dim_Empresas.CUIT]],'clientes SQL'!C:D,2,0)</f>
        <v>#N/A</v>
      </c>
    </row>
    <row r="1389" spans="1:12" hidden="1" x14ac:dyDescent="0.3">
      <c r="A1389">
        <v>2627489</v>
      </c>
      <c r="B1389">
        <v>20251205</v>
      </c>
      <c r="C1389">
        <v>4121</v>
      </c>
      <c r="D1389">
        <v>6.8723702664796632E-4</v>
      </c>
      <c r="E1389" s="123" t="s">
        <v>1563</v>
      </c>
      <c r="F1389" s="123" t="s">
        <v>185</v>
      </c>
      <c r="G1389" s="123"/>
      <c r="H1389" s="95">
        <v>45996</v>
      </c>
      <c r="I1389">
        <v>32736</v>
      </c>
      <c r="J1389" s="123" t="s">
        <v>1326</v>
      </c>
      <c r="K1389" s="123" t="s">
        <v>1327</v>
      </c>
      <c r="L1389" s="123" t="e">
        <f>VLOOKUP(Fact_AUM_FyoCapital[[#This Row],[Dim_Empresas.CUIT]],'clientes SQL'!C:D,2,0)</f>
        <v>#N/A</v>
      </c>
    </row>
    <row r="1390" spans="1:12" hidden="1" x14ac:dyDescent="0.3">
      <c r="A1390">
        <v>2639969</v>
      </c>
      <c r="B1390">
        <v>20251205</v>
      </c>
      <c r="C1390">
        <v>2173</v>
      </c>
      <c r="D1390">
        <v>736.13</v>
      </c>
      <c r="E1390" s="123" t="s">
        <v>1563</v>
      </c>
      <c r="F1390" s="123" t="s">
        <v>188</v>
      </c>
      <c r="G1390" s="123"/>
      <c r="H1390" s="95">
        <v>45996</v>
      </c>
      <c r="I1390">
        <v>30123</v>
      </c>
      <c r="J1390" s="123" t="s">
        <v>599</v>
      </c>
      <c r="K1390" s="123" t="s">
        <v>1125</v>
      </c>
      <c r="L1390" s="123" t="e">
        <f>VLOOKUP(Fact_AUM_FyoCapital[[#This Row],[Dim_Empresas.CUIT]],'clientes SQL'!C:D,2,0)</f>
        <v>#N/A</v>
      </c>
    </row>
    <row r="1391" spans="1:12" hidden="1" x14ac:dyDescent="0.3">
      <c r="A1391">
        <v>1897237</v>
      </c>
      <c r="B1391">
        <v>20251205</v>
      </c>
      <c r="C1391">
        <v>10253</v>
      </c>
      <c r="D1391">
        <v>168914.85273492287</v>
      </c>
      <c r="E1391" s="123" t="s">
        <v>1566</v>
      </c>
      <c r="F1391" s="123" t="s">
        <v>1580</v>
      </c>
      <c r="G1391" s="123"/>
      <c r="H1391" s="95">
        <v>45996</v>
      </c>
      <c r="I1391">
        <v>35643</v>
      </c>
      <c r="J1391" s="123" t="s">
        <v>603</v>
      </c>
      <c r="K1391" s="123" t="s">
        <v>1220</v>
      </c>
      <c r="L1391" s="123" t="e">
        <f>VLOOKUP(Fact_AUM_FyoCapital[[#This Row],[Dim_Empresas.CUIT]],'clientes SQL'!C:D,2,0)</f>
        <v>#N/A</v>
      </c>
    </row>
    <row r="1392" spans="1:12" hidden="1" x14ac:dyDescent="0.3">
      <c r="A1392">
        <v>1838137</v>
      </c>
      <c r="B1392">
        <v>20251205</v>
      </c>
      <c r="C1392">
        <v>5235</v>
      </c>
      <c r="D1392">
        <v>104093.01</v>
      </c>
      <c r="E1392" s="123" t="s">
        <v>1566</v>
      </c>
      <c r="F1392" s="123" t="s">
        <v>1573</v>
      </c>
      <c r="G1392" s="123"/>
      <c r="H1392" s="95">
        <v>45996</v>
      </c>
      <c r="I1392">
        <v>33099</v>
      </c>
      <c r="J1392" s="123" t="s">
        <v>346</v>
      </c>
      <c r="K1392" s="123" t="s">
        <v>1118</v>
      </c>
      <c r="L1392" s="123" t="e">
        <f>VLOOKUP(Fact_AUM_FyoCapital[[#This Row],[Dim_Empresas.CUIT]],'clientes SQL'!C:D,2,0)</f>
        <v>#N/A</v>
      </c>
    </row>
    <row r="1393" spans="1:12" hidden="1" x14ac:dyDescent="0.3">
      <c r="A1393">
        <v>2625329</v>
      </c>
      <c r="B1393">
        <v>20251205</v>
      </c>
      <c r="C1393">
        <v>1314</v>
      </c>
      <c r="D1393">
        <v>7701.8769915848525</v>
      </c>
      <c r="E1393" s="123" t="s">
        <v>1563</v>
      </c>
      <c r="F1393" s="123" t="s">
        <v>185</v>
      </c>
      <c r="G1393" s="123"/>
      <c r="H1393" s="95">
        <v>45996</v>
      </c>
      <c r="I1393">
        <v>19442</v>
      </c>
      <c r="J1393" s="123" t="s">
        <v>309</v>
      </c>
      <c r="K1393" s="123" t="s">
        <v>1112</v>
      </c>
      <c r="L1393" s="123" t="e">
        <f>VLOOKUP(Fact_AUM_FyoCapital[[#This Row],[Dim_Empresas.CUIT]],'clientes SQL'!C:D,2,0)</f>
        <v>#N/A</v>
      </c>
    </row>
    <row r="1394" spans="1:12" hidden="1" x14ac:dyDescent="0.3">
      <c r="A1394">
        <v>2626109</v>
      </c>
      <c r="B1394">
        <v>20251205</v>
      </c>
      <c r="C1394">
        <v>1437</v>
      </c>
      <c r="D1394">
        <v>50249.19431977559</v>
      </c>
      <c r="E1394" s="123" t="s">
        <v>1563</v>
      </c>
      <c r="F1394" s="123" t="s">
        <v>185</v>
      </c>
      <c r="G1394" s="123"/>
      <c r="H1394" s="95">
        <v>45996</v>
      </c>
      <c r="I1394">
        <v>19791</v>
      </c>
      <c r="J1394" s="123" t="s">
        <v>172</v>
      </c>
      <c r="K1394" s="123" t="s">
        <v>1223</v>
      </c>
      <c r="L1394" s="123">
        <f>VLOOKUP(Fact_AUM_FyoCapital[[#This Row],[Dim_Empresas.CUIT]],'clientes SQL'!C:D,2,0)</f>
        <v>20176</v>
      </c>
    </row>
    <row r="1395" spans="1:12" hidden="1" x14ac:dyDescent="0.3">
      <c r="A1395">
        <v>1857577</v>
      </c>
      <c r="B1395">
        <v>20251205</v>
      </c>
      <c r="C1395">
        <v>1191</v>
      </c>
      <c r="D1395">
        <v>0</v>
      </c>
      <c r="E1395" s="123"/>
      <c r="F1395" s="123"/>
      <c r="G1395" s="123"/>
      <c r="H1395" s="95">
        <v>45996</v>
      </c>
      <c r="I1395">
        <v>18954</v>
      </c>
      <c r="J1395" s="123" t="s">
        <v>1247</v>
      </c>
      <c r="K1395" s="123" t="s">
        <v>1248</v>
      </c>
      <c r="L1395" s="123" t="e">
        <f>VLOOKUP(Fact_AUM_FyoCapital[[#This Row],[Dim_Empresas.CUIT]],'clientes SQL'!C:D,2,0)</f>
        <v>#N/A</v>
      </c>
    </row>
    <row r="1396" spans="1:12" hidden="1" x14ac:dyDescent="0.3">
      <c r="A1396">
        <v>1862737</v>
      </c>
      <c r="B1396">
        <v>20251205</v>
      </c>
      <c r="C1396">
        <v>682</v>
      </c>
      <c r="D1396">
        <v>0</v>
      </c>
      <c r="E1396" s="123"/>
      <c r="F1396" s="123"/>
      <c r="G1396" s="123"/>
      <c r="H1396" s="95">
        <v>45996</v>
      </c>
      <c r="I1396">
        <v>9775</v>
      </c>
      <c r="J1396" s="123" t="s">
        <v>287</v>
      </c>
      <c r="K1396" s="123" t="s">
        <v>1320</v>
      </c>
      <c r="L1396" s="123" t="e">
        <f>VLOOKUP(Fact_AUM_FyoCapital[[#This Row],[Dim_Empresas.CUIT]],'clientes SQL'!C:D,2,0)</f>
        <v>#N/A</v>
      </c>
    </row>
    <row r="1397" spans="1:12" hidden="1" x14ac:dyDescent="0.3">
      <c r="A1397">
        <v>1902217</v>
      </c>
      <c r="B1397">
        <v>20251205</v>
      </c>
      <c r="C1397">
        <v>14873</v>
      </c>
      <c r="D1397">
        <v>2838.4361851332396</v>
      </c>
      <c r="E1397" s="123" t="s">
        <v>1566</v>
      </c>
      <c r="F1397" s="123" t="s">
        <v>1573</v>
      </c>
      <c r="G1397" s="123"/>
      <c r="H1397" s="95">
        <v>45996</v>
      </c>
      <c r="I1397">
        <v>37088</v>
      </c>
      <c r="J1397" s="123" t="s">
        <v>571</v>
      </c>
      <c r="K1397" s="123" t="s">
        <v>1269</v>
      </c>
      <c r="L1397" s="123" t="e">
        <f>VLOOKUP(Fact_AUM_FyoCapital[[#This Row],[Dim_Empresas.CUIT]],'clientes SQL'!C:D,2,0)</f>
        <v>#N/A</v>
      </c>
    </row>
    <row r="1398" spans="1:12" hidden="1" x14ac:dyDescent="0.3">
      <c r="A1398">
        <v>1896697</v>
      </c>
      <c r="B1398">
        <v>20251205</v>
      </c>
      <c r="C1398">
        <v>10253</v>
      </c>
      <c r="D1398">
        <v>61040.843267882185</v>
      </c>
      <c r="E1398" s="123" t="s">
        <v>1566</v>
      </c>
      <c r="F1398" s="123" t="s">
        <v>1573</v>
      </c>
      <c r="G1398" s="123"/>
      <c r="H1398" s="95">
        <v>45996</v>
      </c>
      <c r="I1398">
        <v>35643</v>
      </c>
      <c r="J1398" s="123" t="s">
        <v>603</v>
      </c>
      <c r="K1398" s="123" t="s">
        <v>1220</v>
      </c>
      <c r="L1398" s="123" t="e">
        <f>VLOOKUP(Fact_AUM_FyoCapital[[#This Row],[Dim_Empresas.CUIT]],'clientes SQL'!C:D,2,0)</f>
        <v>#N/A</v>
      </c>
    </row>
    <row r="1399" spans="1:12" hidden="1" x14ac:dyDescent="0.3">
      <c r="A1399">
        <v>1849777</v>
      </c>
      <c r="B1399">
        <v>20251205</v>
      </c>
      <c r="C1399">
        <v>2298</v>
      </c>
      <c r="D1399">
        <v>345788.15999999997</v>
      </c>
      <c r="E1399" s="123" t="s">
        <v>1566</v>
      </c>
      <c r="F1399" s="123" t="s">
        <v>1571</v>
      </c>
      <c r="G1399" s="123"/>
      <c r="H1399" s="95">
        <v>45996</v>
      </c>
      <c r="I1399">
        <v>30387</v>
      </c>
      <c r="J1399" s="123" t="s">
        <v>1532</v>
      </c>
      <c r="K1399" s="123" t="s">
        <v>1291</v>
      </c>
      <c r="L1399" s="123" t="e">
        <f>VLOOKUP(Fact_AUM_FyoCapital[[#This Row],[Dim_Empresas.CUIT]],'clientes SQL'!C:D,2,0)</f>
        <v>#N/A</v>
      </c>
    </row>
    <row r="1400" spans="1:12" hidden="1" x14ac:dyDescent="0.3">
      <c r="A1400">
        <v>2628809</v>
      </c>
      <c r="B1400">
        <v>20251205</v>
      </c>
      <c r="C1400">
        <v>13199</v>
      </c>
      <c r="D1400">
        <v>-2.1967952314165498</v>
      </c>
      <c r="E1400" s="123" t="s">
        <v>1563</v>
      </c>
      <c r="F1400" s="123" t="s">
        <v>185</v>
      </c>
      <c r="G1400" s="123"/>
      <c r="H1400" s="95">
        <v>45996</v>
      </c>
      <c r="I1400">
        <v>36385</v>
      </c>
      <c r="J1400" s="123" t="s">
        <v>444</v>
      </c>
      <c r="K1400" s="123" t="s">
        <v>1355</v>
      </c>
      <c r="L1400" s="123" t="e">
        <f>VLOOKUP(Fact_AUM_FyoCapital[[#This Row],[Dim_Empresas.CUIT]],'clientes SQL'!C:D,2,0)</f>
        <v>#N/A</v>
      </c>
    </row>
    <row r="1401" spans="1:12" hidden="1" x14ac:dyDescent="0.3">
      <c r="A1401">
        <v>2606189</v>
      </c>
      <c r="B1401">
        <v>20251205</v>
      </c>
      <c r="C1401">
        <v>7742</v>
      </c>
      <c r="D1401">
        <v>92208.47</v>
      </c>
      <c r="E1401" s="123" t="s">
        <v>1566</v>
      </c>
      <c r="F1401" s="123" t="s">
        <v>1571</v>
      </c>
      <c r="G1401" s="123"/>
      <c r="H1401" s="95">
        <v>45996</v>
      </c>
      <c r="I1401">
        <v>35045</v>
      </c>
      <c r="J1401" s="123" t="s">
        <v>1272</v>
      </c>
      <c r="K1401" s="123" t="s">
        <v>1273</v>
      </c>
      <c r="L1401" s="123" t="e">
        <f>VLOOKUP(Fact_AUM_FyoCapital[[#This Row],[Dim_Empresas.CUIT]],'clientes SQL'!C:D,2,0)</f>
        <v>#N/A</v>
      </c>
    </row>
    <row r="1402" spans="1:12" hidden="1" x14ac:dyDescent="0.3">
      <c r="A1402">
        <v>1872097</v>
      </c>
      <c r="B1402">
        <v>20251205</v>
      </c>
      <c r="C1402">
        <v>13719</v>
      </c>
      <c r="D1402">
        <v>0</v>
      </c>
      <c r="E1402" s="123"/>
      <c r="F1402" s="123"/>
      <c r="G1402" s="123"/>
      <c r="H1402" s="95">
        <v>45996</v>
      </c>
      <c r="I1402">
        <v>36879</v>
      </c>
      <c r="J1402" s="123" t="s">
        <v>1340</v>
      </c>
      <c r="K1402" s="123" t="s">
        <v>1341</v>
      </c>
      <c r="L1402" s="123" t="e">
        <f>VLOOKUP(Fact_AUM_FyoCapital[[#This Row],[Dim_Empresas.CUIT]],'clientes SQL'!C:D,2,0)</f>
        <v>#N/A</v>
      </c>
    </row>
    <row r="1403" spans="1:12" hidden="1" x14ac:dyDescent="0.3">
      <c r="A1403">
        <v>1885357</v>
      </c>
      <c r="B1403">
        <v>20251205</v>
      </c>
      <c r="C1403">
        <v>3288</v>
      </c>
      <c r="D1403">
        <v>11250.306914446002</v>
      </c>
      <c r="E1403" s="123" t="s">
        <v>1568</v>
      </c>
      <c r="F1403" s="123" t="s">
        <v>1572</v>
      </c>
      <c r="G1403" s="123" t="s">
        <v>1583</v>
      </c>
      <c r="H1403" s="95">
        <v>45996</v>
      </c>
      <c r="I1403">
        <v>31716</v>
      </c>
      <c r="J1403" s="123" t="s">
        <v>544</v>
      </c>
      <c r="K1403" s="123" t="s">
        <v>1353</v>
      </c>
      <c r="L1403" s="123" t="e">
        <f>VLOOKUP(Fact_AUM_FyoCapital[[#This Row],[Dim_Empresas.CUIT]],'clientes SQL'!C:D,2,0)</f>
        <v>#N/A</v>
      </c>
    </row>
    <row r="1404" spans="1:12" hidden="1" x14ac:dyDescent="0.3">
      <c r="A1404">
        <v>1890397</v>
      </c>
      <c r="B1404">
        <v>20251205</v>
      </c>
      <c r="C1404">
        <v>1853</v>
      </c>
      <c r="D1404">
        <v>0</v>
      </c>
      <c r="E1404" s="123"/>
      <c r="F1404" s="123"/>
      <c r="G1404" s="123"/>
      <c r="H1404" s="95">
        <v>45996</v>
      </c>
      <c r="I1404">
        <v>19392</v>
      </c>
      <c r="J1404" s="123" t="s">
        <v>1309</v>
      </c>
      <c r="K1404" s="123" t="s">
        <v>1310</v>
      </c>
      <c r="L1404" s="123" t="e">
        <f>VLOOKUP(Fact_AUM_FyoCapital[[#This Row],[Dim_Empresas.CUIT]],'clientes SQL'!C:D,2,0)</f>
        <v>#N/A</v>
      </c>
    </row>
    <row r="1405" spans="1:12" hidden="1" x14ac:dyDescent="0.3">
      <c r="A1405">
        <v>2601329</v>
      </c>
      <c r="B1405">
        <v>20251205</v>
      </c>
      <c r="C1405">
        <v>1048</v>
      </c>
      <c r="D1405">
        <v>763.27</v>
      </c>
      <c r="E1405" s="123" t="s">
        <v>1566</v>
      </c>
      <c r="F1405" s="123" t="s">
        <v>1571</v>
      </c>
      <c r="G1405" s="123"/>
      <c r="H1405" s="95">
        <v>45996</v>
      </c>
      <c r="I1405">
        <v>2240</v>
      </c>
      <c r="J1405" s="123" t="s">
        <v>1177</v>
      </c>
      <c r="K1405" s="123" t="s">
        <v>1178</v>
      </c>
      <c r="L1405" s="123" t="e">
        <f>VLOOKUP(Fact_AUM_FyoCapital[[#This Row],[Dim_Empresas.CUIT]],'clientes SQL'!C:D,2,0)</f>
        <v>#N/A</v>
      </c>
    </row>
    <row r="1406" spans="1:12" hidden="1" x14ac:dyDescent="0.3">
      <c r="A1406">
        <v>1828777</v>
      </c>
      <c r="B1406">
        <v>20251205</v>
      </c>
      <c r="C1406">
        <v>5383</v>
      </c>
      <c r="D1406">
        <v>125743.23807854137</v>
      </c>
      <c r="E1406" s="123" t="s">
        <v>1566</v>
      </c>
      <c r="F1406" s="123" t="s">
        <v>1573</v>
      </c>
      <c r="G1406" s="123"/>
      <c r="H1406" s="95">
        <v>45996</v>
      </c>
      <c r="I1406">
        <v>33182</v>
      </c>
      <c r="J1406" s="123" t="s">
        <v>238</v>
      </c>
      <c r="K1406" s="123" t="s">
        <v>1167</v>
      </c>
      <c r="L1406" s="123" t="e">
        <f>VLOOKUP(Fact_AUM_FyoCapital[[#This Row],[Dim_Empresas.CUIT]],'clientes SQL'!C:D,2,0)</f>
        <v>#N/A</v>
      </c>
    </row>
    <row r="1407" spans="1:12" hidden="1" x14ac:dyDescent="0.3">
      <c r="A1407">
        <v>2617529</v>
      </c>
      <c r="B1407">
        <v>20251205</v>
      </c>
      <c r="C1407">
        <v>889</v>
      </c>
      <c r="D1407">
        <v>-0.01</v>
      </c>
      <c r="E1407" s="123" t="s">
        <v>1563</v>
      </c>
      <c r="F1407" s="123" t="s">
        <v>801</v>
      </c>
      <c r="G1407" s="123"/>
      <c r="H1407" s="95">
        <v>45996</v>
      </c>
      <c r="I1407">
        <v>17632</v>
      </c>
      <c r="J1407" s="123" t="s">
        <v>693</v>
      </c>
      <c r="K1407" s="123" t="s">
        <v>1494</v>
      </c>
      <c r="L1407" s="123" t="e">
        <f>VLOOKUP(Fact_AUM_FyoCapital[[#This Row],[Dim_Empresas.CUIT]],'clientes SQL'!C:D,2,0)</f>
        <v>#N/A</v>
      </c>
    </row>
    <row r="1408" spans="1:12" hidden="1" x14ac:dyDescent="0.3">
      <c r="A1408">
        <v>2636849</v>
      </c>
      <c r="B1408">
        <v>20251205</v>
      </c>
      <c r="C1408">
        <v>1853</v>
      </c>
      <c r="D1408">
        <v>0</v>
      </c>
      <c r="E1408" s="123"/>
      <c r="F1408" s="123"/>
      <c r="G1408" s="123"/>
      <c r="H1408" s="95">
        <v>45996</v>
      </c>
      <c r="I1408">
        <v>19392</v>
      </c>
      <c r="J1408" s="123" t="s">
        <v>1309</v>
      </c>
      <c r="K1408" s="123" t="s">
        <v>1310</v>
      </c>
      <c r="L1408" s="123" t="e">
        <f>VLOOKUP(Fact_AUM_FyoCapital[[#This Row],[Dim_Empresas.CUIT]],'clientes SQL'!C:D,2,0)</f>
        <v>#N/A</v>
      </c>
    </row>
    <row r="1409" spans="1:12" hidden="1" x14ac:dyDescent="0.3">
      <c r="A1409">
        <v>2624069</v>
      </c>
      <c r="B1409">
        <v>20251205</v>
      </c>
      <c r="C1409">
        <v>16447</v>
      </c>
      <c r="D1409">
        <v>-10165.902454417952</v>
      </c>
      <c r="E1409" s="123" t="s">
        <v>1563</v>
      </c>
      <c r="F1409" s="123" t="s">
        <v>185</v>
      </c>
      <c r="G1409" s="123"/>
      <c r="H1409" s="95">
        <v>45996</v>
      </c>
      <c r="I1409">
        <v>37899</v>
      </c>
      <c r="J1409" s="123" t="s">
        <v>1368</v>
      </c>
      <c r="K1409" s="123" t="s">
        <v>1369</v>
      </c>
      <c r="L1409" s="123" t="e">
        <f>VLOOKUP(Fact_AUM_FyoCapital[[#This Row],[Dim_Empresas.CUIT]],'clientes SQL'!C:D,2,0)</f>
        <v>#N/A</v>
      </c>
    </row>
    <row r="1410" spans="1:12" hidden="1" x14ac:dyDescent="0.3">
      <c r="A1410">
        <v>2604749</v>
      </c>
      <c r="B1410">
        <v>20251205</v>
      </c>
      <c r="C1410">
        <v>10061</v>
      </c>
      <c r="D1410">
        <v>21415.51</v>
      </c>
      <c r="E1410" s="123" t="s">
        <v>1566</v>
      </c>
      <c r="F1410" s="123" t="s">
        <v>1579</v>
      </c>
      <c r="G1410" s="123"/>
      <c r="H1410" s="95">
        <v>45996</v>
      </c>
      <c r="I1410">
        <v>35528</v>
      </c>
      <c r="J1410" s="123" t="s">
        <v>616</v>
      </c>
      <c r="K1410" s="123" t="s">
        <v>1237</v>
      </c>
      <c r="L1410" s="123" t="e">
        <f>VLOOKUP(Fact_AUM_FyoCapital[[#This Row],[Dim_Empresas.CUIT]],'clientes SQL'!C:D,2,0)</f>
        <v>#N/A</v>
      </c>
    </row>
    <row r="1411" spans="1:12" hidden="1" x14ac:dyDescent="0.3">
      <c r="A1411">
        <v>1853197</v>
      </c>
      <c r="B1411">
        <v>20251205</v>
      </c>
      <c r="C1411">
        <v>3661</v>
      </c>
      <c r="D1411">
        <v>8.5377349228611497</v>
      </c>
      <c r="E1411" s="123" t="s">
        <v>1568</v>
      </c>
      <c r="F1411" s="123" t="s">
        <v>1572</v>
      </c>
      <c r="G1411" s="123" t="s">
        <v>1583</v>
      </c>
      <c r="H1411" s="95">
        <v>45996</v>
      </c>
      <c r="I1411">
        <v>32155</v>
      </c>
      <c r="J1411" s="123" t="s">
        <v>1313</v>
      </c>
      <c r="K1411" s="123" t="s">
        <v>1314</v>
      </c>
      <c r="L1411" s="123" t="e">
        <f>VLOOKUP(Fact_AUM_FyoCapital[[#This Row],[Dim_Empresas.CUIT]],'clientes SQL'!C:D,2,0)</f>
        <v>#N/A</v>
      </c>
    </row>
    <row r="1412" spans="1:12" hidden="1" x14ac:dyDescent="0.3">
      <c r="A1412">
        <v>2616389</v>
      </c>
      <c r="B1412">
        <v>20251205</v>
      </c>
      <c r="C1412">
        <v>9947</v>
      </c>
      <c r="D1412">
        <v>-0.02</v>
      </c>
      <c r="E1412" s="123" t="s">
        <v>1563</v>
      </c>
      <c r="F1412" s="123" t="s">
        <v>950</v>
      </c>
      <c r="G1412" s="123"/>
      <c r="H1412" s="95">
        <v>45996</v>
      </c>
      <c r="I1412">
        <v>35446</v>
      </c>
      <c r="J1412" s="123" t="s">
        <v>354</v>
      </c>
      <c r="K1412" s="123" t="s">
        <v>1299</v>
      </c>
      <c r="L1412" s="123" t="e">
        <f>VLOOKUP(Fact_AUM_FyoCapital[[#This Row],[Dim_Empresas.CUIT]],'clientes SQL'!C:D,2,0)</f>
        <v>#N/A</v>
      </c>
    </row>
    <row r="1413" spans="1:12" hidden="1" x14ac:dyDescent="0.3">
      <c r="A1413">
        <v>2628869</v>
      </c>
      <c r="B1413">
        <v>20251205</v>
      </c>
      <c r="C1413">
        <v>13199</v>
      </c>
      <c r="D1413">
        <v>0.04</v>
      </c>
      <c r="E1413" s="123" t="s">
        <v>1563</v>
      </c>
      <c r="F1413" s="123" t="s">
        <v>188</v>
      </c>
      <c r="G1413" s="123"/>
      <c r="H1413" s="95">
        <v>45996</v>
      </c>
      <c r="I1413">
        <v>36385</v>
      </c>
      <c r="J1413" s="123" t="s">
        <v>444</v>
      </c>
      <c r="K1413" s="123" t="s">
        <v>1355</v>
      </c>
      <c r="L1413" s="123" t="e">
        <f>VLOOKUP(Fact_AUM_FyoCapital[[#This Row],[Dim_Empresas.CUIT]],'clientes SQL'!C:D,2,0)</f>
        <v>#N/A</v>
      </c>
    </row>
    <row r="1414" spans="1:12" hidden="1" x14ac:dyDescent="0.3">
      <c r="A1414">
        <v>1826617</v>
      </c>
      <c r="B1414">
        <v>20251205</v>
      </c>
      <c r="C1414">
        <v>1277</v>
      </c>
      <c r="D1414">
        <v>-489753.5</v>
      </c>
      <c r="E1414" s="123" t="s">
        <v>1566</v>
      </c>
      <c r="F1414" s="123" t="s">
        <v>1578</v>
      </c>
      <c r="G1414" s="123"/>
      <c r="H1414" s="95">
        <v>45996</v>
      </c>
      <c r="I1414">
        <v>19100</v>
      </c>
      <c r="J1414" s="123" t="s">
        <v>254</v>
      </c>
      <c r="K1414" s="123" t="s">
        <v>1240</v>
      </c>
      <c r="L1414" s="123" t="e">
        <f>VLOOKUP(Fact_AUM_FyoCapital[[#This Row],[Dim_Empresas.CUIT]],'clientes SQL'!C:D,2,0)</f>
        <v>#N/A</v>
      </c>
    </row>
    <row r="1415" spans="1:12" hidden="1" x14ac:dyDescent="0.3">
      <c r="A1415">
        <v>2641409</v>
      </c>
      <c r="B1415">
        <v>20251205</v>
      </c>
      <c r="C1415">
        <v>1429</v>
      </c>
      <c r="D1415">
        <v>50.75</v>
      </c>
      <c r="E1415" s="123" t="s">
        <v>1563</v>
      </c>
      <c r="F1415" s="123" t="s">
        <v>950</v>
      </c>
      <c r="G1415" s="123"/>
      <c r="H1415" s="95">
        <v>45996</v>
      </c>
      <c r="I1415">
        <v>19755</v>
      </c>
      <c r="J1415" s="123" t="s">
        <v>374</v>
      </c>
      <c r="K1415" s="123" t="s">
        <v>1200</v>
      </c>
      <c r="L1415" s="123" t="e">
        <f>VLOOKUP(Fact_AUM_FyoCapital[[#This Row],[Dim_Empresas.CUIT]],'clientes SQL'!C:D,2,0)</f>
        <v>#N/A</v>
      </c>
    </row>
    <row r="1416" spans="1:12" hidden="1" x14ac:dyDescent="0.3">
      <c r="A1416">
        <v>1902157</v>
      </c>
      <c r="B1416">
        <v>20251205</v>
      </c>
      <c r="C1416">
        <v>14873</v>
      </c>
      <c r="D1416">
        <v>1163.3099579242637</v>
      </c>
      <c r="E1416" s="123" t="s">
        <v>1566</v>
      </c>
      <c r="F1416" s="123" t="s">
        <v>1573</v>
      </c>
      <c r="G1416" s="123"/>
      <c r="H1416" s="95">
        <v>45996</v>
      </c>
      <c r="I1416">
        <v>37088</v>
      </c>
      <c r="J1416" s="123" t="s">
        <v>571</v>
      </c>
      <c r="K1416" s="123" t="s">
        <v>1269</v>
      </c>
      <c r="L1416" s="123" t="e">
        <f>VLOOKUP(Fact_AUM_FyoCapital[[#This Row],[Dim_Empresas.CUIT]],'clientes SQL'!C:D,2,0)</f>
        <v>#N/A</v>
      </c>
    </row>
    <row r="1417" spans="1:12" hidden="1" x14ac:dyDescent="0.3">
      <c r="A1417">
        <v>1862617</v>
      </c>
      <c r="B1417">
        <v>20251205</v>
      </c>
      <c r="C1417">
        <v>682</v>
      </c>
      <c r="D1417">
        <v>0</v>
      </c>
      <c r="E1417" s="123"/>
      <c r="F1417" s="123"/>
      <c r="G1417" s="123"/>
      <c r="H1417" s="95">
        <v>45996</v>
      </c>
      <c r="I1417">
        <v>9775</v>
      </c>
      <c r="J1417" s="123" t="s">
        <v>287</v>
      </c>
      <c r="K1417" s="123" t="s">
        <v>1320</v>
      </c>
      <c r="L1417" s="123" t="e">
        <f>VLOOKUP(Fact_AUM_FyoCapital[[#This Row],[Dim_Empresas.CUIT]],'clientes SQL'!C:D,2,0)</f>
        <v>#N/A</v>
      </c>
    </row>
    <row r="1418" spans="1:12" hidden="1" x14ac:dyDescent="0.3">
      <c r="A1418">
        <v>1834657</v>
      </c>
      <c r="B1418">
        <v>20251205</v>
      </c>
      <c r="C1418">
        <v>12600</v>
      </c>
      <c r="D1418">
        <v>118682.86758765779</v>
      </c>
      <c r="E1418" s="123" t="s">
        <v>1568</v>
      </c>
      <c r="F1418" s="123" t="s">
        <v>1572</v>
      </c>
      <c r="G1418" s="123" t="s">
        <v>1570</v>
      </c>
      <c r="H1418" s="95">
        <v>45996</v>
      </c>
      <c r="I1418">
        <v>35861</v>
      </c>
      <c r="J1418" s="123" t="s">
        <v>874</v>
      </c>
      <c r="K1418" s="123" t="s">
        <v>1471</v>
      </c>
      <c r="L1418" s="123" t="e">
        <f>VLOOKUP(Fact_AUM_FyoCapital[[#This Row],[Dim_Empresas.CUIT]],'clientes SQL'!C:D,2,0)</f>
        <v>#N/A</v>
      </c>
    </row>
    <row r="1419" spans="1:12" hidden="1" x14ac:dyDescent="0.3">
      <c r="A1419">
        <v>1875697</v>
      </c>
      <c r="B1419">
        <v>20251205</v>
      </c>
      <c r="C1419">
        <v>331</v>
      </c>
      <c r="D1419">
        <v>66.099999999999994</v>
      </c>
      <c r="E1419" s="123" t="s">
        <v>1566</v>
      </c>
      <c r="F1419" s="123" t="s">
        <v>1579</v>
      </c>
      <c r="G1419" s="123"/>
      <c r="H1419" s="95">
        <v>45996</v>
      </c>
      <c r="I1419">
        <v>652</v>
      </c>
      <c r="J1419" s="123" t="s">
        <v>447</v>
      </c>
      <c r="K1419" s="123" t="s">
        <v>1143</v>
      </c>
      <c r="L1419" s="123" t="e">
        <f>VLOOKUP(Fact_AUM_FyoCapital[[#This Row],[Dim_Empresas.CUIT]],'clientes SQL'!C:D,2,0)</f>
        <v>#N/A</v>
      </c>
    </row>
    <row r="1420" spans="1:12" hidden="1" x14ac:dyDescent="0.3">
      <c r="A1420">
        <v>2632469</v>
      </c>
      <c r="B1420">
        <v>20251205</v>
      </c>
      <c r="C1420">
        <v>95</v>
      </c>
      <c r="D1420">
        <v>-1733.9851122019636</v>
      </c>
      <c r="E1420" s="123" t="s">
        <v>1563</v>
      </c>
      <c r="F1420" s="123" t="s">
        <v>185</v>
      </c>
      <c r="G1420" s="123"/>
      <c r="H1420" s="95">
        <v>45996</v>
      </c>
      <c r="I1420">
        <v>708</v>
      </c>
      <c r="J1420" s="123" t="s">
        <v>1241</v>
      </c>
      <c r="K1420" s="123" t="s">
        <v>1242</v>
      </c>
      <c r="L1420" s="123" t="e">
        <f>VLOOKUP(Fact_AUM_FyoCapital[[#This Row],[Dim_Empresas.CUIT]],'clientes SQL'!C:D,2,0)</f>
        <v>#N/A</v>
      </c>
    </row>
    <row r="1421" spans="1:12" hidden="1" x14ac:dyDescent="0.3">
      <c r="A1421">
        <v>1878577</v>
      </c>
      <c r="B1421">
        <v>20251205</v>
      </c>
      <c r="C1421">
        <v>1444</v>
      </c>
      <c r="D1421">
        <v>30676.880834502103</v>
      </c>
      <c r="E1421" s="123" t="s">
        <v>1568</v>
      </c>
      <c r="F1421" s="123" t="s">
        <v>1572</v>
      </c>
      <c r="G1421" s="123" t="s">
        <v>1583</v>
      </c>
      <c r="H1421" s="95">
        <v>45996</v>
      </c>
      <c r="I1421">
        <v>19813</v>
      </c>
      <c r="J1421" s="123" t="s">
        <v>510</v>
      </c>
      <c r="K1421" s="123" t="s">
        <v>1304</v>
      </c>
      <c r="L1421" s="123" t="e">
        <f>VLOOKUP(Fact_AUM_FyoCapital[[#This Row],[Dim_Empresas.CUIT]],'clientes SQL'!C:D,2,0)</f>
        <v>#N/A</v>
      </c>
    </row>
    <row r="1422" spans="1:12" hidden="1" x14ac:dyDescent="0.3">
      <c r="A1422">
        <v>2605169</v>
      </c>
      <c r="B1422">
        <v>20251205</v>
      </c>
      <c r="C1422">
        <v>10061</v>
      </c>
      <c r="D1422">
        <v>31894.61</v>
      </c>
      <c r="E1422" s="123" t="s">
        <v>1566</v>
      </c>
      <c r="F1422" s="123" t="s">
        <v>1579</v>
      </c>
      <c r="G1422" s="123"/>
      <c r="H1422" s="95">
        <v>45996</v>
      </c>
      <c r="I1422">
        <v>35528</v>
      </c>
      <c r="J1422" s="123" t="s">
        <v>616</v>
      </c>
      <c r="K1422" s="123" t="s">
        <v>1237</v>
      </c>
      <c r="L1422" s="123" t="e">
        <f>VLOOKUP(Fact_AUM_FyoCapital[[#This Row],[Dim_Empresas.CUIT]],'clientes SQL'!C:D,2,0)</f>
        <v>#N/A</v>
      </c>
    </row>
    <row r="1423" spans="1:12" hidden="1" x14ac:dyDescent="0.3">
      <c r="A1423">
        <v>1875577</v>
      </c>
      <c r="B1423">
        <v>20251205</v>
      </c>
      <c r="C1423">
        <v>331</v>
      </c>
      <c r="D1423">
        <v>6708.08</v>
      </c>
      <c r="E1423" s="123" t="s">
        <v>1566</v>
      </c>
      <c r="F1423" s="123" t="s">
        <v>1571</v>
      </c>
      <c r="G1423" s="123"/>
      <c r="H1423" s="95">
        <v>45996</v>
      </c>
      <c r="I1423">
        <v>652</v>
      </c>
      <c r="J1423" s="123" t="s">
        <v>447</v>
      </c>
      <c r="K1423" s="123" t="s">
        <v>1143</v>
      </c>
      <c r="L1423" s="123" t="e">
        <f>VLOOKUP(Fact_AUM_FyoCapital[[#This Row],[Dim_Empresas.CUIT]],'clientes SQL'!C:D,2,0)</f>
        <v>#N/A</v>
      </c>
    </row>
    <row r="1424" spans="1:12" hidden="1" x14ac:dyDescent="0.3">
      <c r="A1424">
        <v>2623709</v>
      </c>
      <c r="B1424">
        <v>20251205</v>
      </c>
      <c r="C1424">
        <v>2162</v>
      </c>
      <c r="D1424">
        <v>214.74</v>
      </c>
      <c r="E1424" s="123" t="s">
        <v>1563</v>
      </c>
      <c r="F1424" s="123" t="s">
        <v>950</v>
      </c>
      <c r="G1424" s="123"/>
      <c r="H1424" s="95">
        <v>45996</v>
      </c>
      <c r="I1424">
        <v>30101</v>
      </c>
      <c r="J1424" s="123" t="s">
        <v>391</v>
      </c>
      <c r="K1424" s="123" t="s">
        <v>1216</v>
      </c>
      <c r="L1424" s="123" t="e">
        <f>VLOOKUP(Fact_AUM_FyoCapital[[#This Row],[Dim_Empresas.CUIT]],'clientes SQL'!C:D,2,0)</f>
        <v>#N/A</v>
      </c>
    </row>
    <row r="1425" spans="1:12" hidden="1" x14ac:dyDescent="0.3">
      <c r="A1425">
        <v>1865437</v>
      </c>
      <c r="B1425">
        <v>20251205</v>
      </c>
      <c r="C1425">
        <v>4531</v>
      </c>
      <c r="D1425">
        <v>956872.37026647967</v>
      </c>
      <c r="E1425" s="123" t="s">
        <v>1566</v>
      </c>
      <c r="F1425" s="123" t="s">
        <v>1571</v>
      </c>
      <c r="G1425" s="123"/>
      <c r="H1425" s="95">
        <v>45996</v>
      </c>
      <c r="I1425">
        <v>3422</v>
      </c>
      <c r="J1425" s="123" t="s">
        <v>498</v>
      </c>
      <c r="K1425" s="123" t="s">
        <v>1231</v>
      </c>
      <c r="L1425" s="123" t="e">
        <f>VLOOKUP(Fact_AUM_FyoCapital[[#This Row],[Dim_Empresas.CUIT]],'clientes SQL'!C:D,2,0)</f>
        <v>#N/A</v>
      </c>
    </row>
    <row r="1426" spans="1:12" hidden="1" x14ac:dyDescent="0.3">
      <c r="A1426">
        <v>1856917</v>
      </c>
      <c r="B1426">
        <v>20251205</v>
      </c>
      <c r="C1426">
        <v>2162</v>
      </c>
      <c r="D1426">
        <v>14833.19</v>
      </c>
      <c r="E1426" s="123" t="s">
        <v>1568</v>
      </c>
      <c r="F1426" s="123" t="s">
        <v>1575</v>
      </c>
      <c r="G1426" s="123" t="s">
        <v>1576</v>
      </c>
      <c r="H1426" s="95">
        <v>45996</v>
      </c>
      <c r="I1426">
        <v>30101</v>
      </c>
      <c r="J1426" s="123" t="s">
        <v>391</v>
      </c>
      <c r="K1426" s="123" t="s">
        <v>1216</v>
      </c>
      <c r="L1426" s="123" t="e">
        <f>VLOOKUP(Fact_AUM_FyoCapital[[#This Row],[Dim_Empresas.CUIT]],'clientes SQL'!C:D,2,0)</f>
        <v>#N/A</v>
      </c>
    </row>
    <row r="1427" spans="1:12" hidden="1" x14ac:dyDescent="0.3">
      <c r="A1427">
        <v>2605049</v>
      </c>
      <c r="B1427">
        <v>20251205</v>
      </c>
      <c r="C1427">
        <v>10061</v>
      </c>
      <c r="D1427">
        <v>47517.2</v>
      </c>
      <c r="E1427" s="123" t="s">
        <v>1566</v>
      </c>
      <c r="F1427" s="123" t="s">
        <v>1579</v>
      </c>
      <c r="G1427" s="123"/>
      <c r="H1427" s="95">
        <v>45996</v>
      </c>
      <c r="I1427">
        <v>35528</v>
      </c>
      <c r="J1427" s="123" t="s">
        <v>616</v>
      </c>
      <c r="K1427" s="123" t="s">
        <v>1237</v>
      </c>
      <c r="L1427" s="123" t="e">
        <f>VLOOKUP(Fact_AUM_FyoCapital[[#This Row],[Dim_Empresas.CUIT]],'clientes SQL'!C:D,2,0)</f>
        <v>#N/A</v>
      </c>
    </row>
    <row r="1428" spans="1:12" hidden="1" x14ac:dyDescent="0.3">
      <c r="A1428">
        <v>1839397</v>
      </c>
      <c r="B1428">
        <v>20251205</v>
      </c>
      <c r="C1428">
        <v>5868</v>
      </c>
      <c r="D1428">
        <v>3852.1633941093969</v>
      </c>
      <c r="E1428" s="123" t="s">
        <v>1566</v>
      </c>
      <c r="F1428" s="123" t="s">
        <v>1573</v>
      </c>
      <c r="G1428" s="123"/>
      <c r="H1428" s="95">
        <v>45996</v>
      </c>
      <c r="I1428">
        <v>33580</v>
      </c>
      <c r="J1428" s="123" t="s">
        <v>348</v>
      </c>
      <c r="K1428" s="123" t="s">
        <v>1277</v>
      </c>
      <c r="L1428" s="123" t="e">
        <f>VLOOKUP(Fact_AUM_FyoCapital[[#This Row],[Dim_Empresas.CUIT]],'clientes SQL'!C:D,2,0)</f>
        <v>#N/A</v>
      </c>
    </row>
    <row r="1429" spans="1:12" hidden="1" x14ac:dyDescent="0.3">
      <c r="A1429">
        <v>1830697</v>
      </c>
      <c r="B1429">
        <v>20251205</v>
      </c>
      <c r="C1429">
        <v>6154</v>
      </c>
      <c r="D1429">
        <v>37680.6</v>
      </c>
      <c r="E1429" s="123" t="s">
        <v>1566</v>
      </c>
      <c r="F1429" s="123" t="s">
        <v>1578</v>
      </c>
      <c r="G1429" s="123"/>
      <c r="H1429" s="95">
        <v>45996</v>
      </c>
      <c r="I1429">
        <v>34268</v>
      </c>
      <c r="J1429" s="123" t="s">
        <v>1141</v>
      </c>
      <c r="K1429" s="123" t="s">
        <v>1142</v>
      </c>
      <c r="L1429" s="123" t="e">
        <f>VLOOKUP(Fact_AUM_FyoCapital[[#This Row],[Dim_Empresas.CUIT]],'clientes SQL'!C:D,2,0)</f>
        <v>#N/A</v>
      </c>
    </row>
    <row r="1430" spans="1:12" hidden="1" x14ac:dyDescent="0.3">
      <c r="A1430">
        <v>2644109</v>
      </c>
      <c r="B1430">
        <v>20251205</v>
      </c>
      <c r="C1430">
        <v>690</v>
      </c>
      <c r="D1430">
        <v>2.5014025245441793</v>
      </c>
      <c r="E1430" s="123" t="s">
        <v>1563</v>
      </c>
      <c r="F1430" s="123" t="s">
        <v>185</v>
      </c>
      <c r="G1430" s="123"/>
      <c r="H1430" s="95">
        <v>45996</v>
      </c>
      <c r="I1430">
        <v>9839</v>
      </c>
      <c r="J1430" s="123" t="s">
        <v>1356</v>
      </c>
      <c r="K1430" s="123" t="s">
        <v>1357</v>
      </c>
      <c r="L1430" s="123" t="e">
        <f>VLOOKUP(Fact_AUM_FyoCapital[[#This Row],[Dim_Empresas.CUIT]],'clientes SQL'!C:D,2,0)</f>
        <v>#N/A</v>
      </c>
    </row>
    <row r="1431" spans="1:12" hidden="1" x14ac:dyDescent="0.3">
      <c r="A1431">
        <v>1860697</v>
      </c>
      <c r="B1431">
        <v>20251205</v>
      </c>
      <c r="C1431">
        <v>1437</v>
      </c>
      <c r="D1431">
        <v>908851.68232819077</v>
      </c>
      <c r="E1431" s="123" t="s">
        <v>1568</v>
      </c>
      <c r="F1431" s="123" t="s">
        <v>1572</v>
      </c>
      <c r="G1431" s="123" t="s">
        <v>1570</v>
      </c>
      <c r="H1431" s="95">
        <v>45996</v>
      </c>
      <c r="I1431">
        <v>19791</v>
      </c>
      <c r="J1431" s="123" t="s">
        <v>172</v>
      </c>
      <c r="K1431" s="123" t="s">
        <v>1223</v>
      </c>
      <c r="L1431" s="123">
        <f>VLOOKUP(Fact_AUM_FyoCapital[[#This Row],[Dim_Empresas.CUIT]],'clientes SQL'!C:D,2,0)</f>
        <v>20176</v>
      </c>
    </row>
    <row r="1432" spans="1:12" hidden="1" x14ac:dyDescent="0.3">
      <c r="A1432">
        <v>1869097</v>
      </c>
      <c r="B1432">
        <v>20251205</v>
      </c>
      <c r="C1432">
        <v>13361</v>
      </c>
      <c r="D1432">
        <v>606.94249649368862</v>
      </c>
      <c r="E1432" s="123" t="s">
        <v>1566</v>
      </c>
      <c r="F1432" s="123" t="s">
        <v>1580</v>
      </c>
      <c r="G1432" s="123"/>
      <c r="H1432" s="95">
        <v>45996</v>
      </c>
      <c r="I1432">
        <v>36541</v>
      </c>
      <c r="J1432" s="123" t="s">
        <v>454</v>
      </c>
      <c r="K1432" s="123" t="s">
        <v>1322</v>
      </c>
      <c r="L1432" s="123" t="e">
        <f>VLOOKUP(Fact_AUM_FyoCapital[[#This Row],[Dim_Empresas.CUIT]],'clientes SQL'!C:D,2,0)</f>
        <v>#N/A</v>
      </c>
    </row>
    <row r="1433" spans="1:12" hidden="1" x14ac:dyDescent="0.3">
      <c r="A1433">
        <v>1859497</v>
      </c>
      <c r="B1433">
        <v>20251205</v>
      </c>
      <c r="C1433">
        <v>16447</v>
      </c>
      <c r="D1433">
        <v>7140.6737377279105</v>
      </c>
      <c r="E1433" s="123" t="s">
        <v>1568</v>
      </c>
      <c r="F1433" s="123" t="s">
        <v>1572</v>
      </c>
      <c r="G1433" s="123" t="s">
        <v>1574</v>
      </c>
      <c r="H1433" s="95">
        <v>45996</v>
      </c>
      <c r="I1433">
        <v>37899</v>
      </c>
      <c r="J1433" s="123" t="s">
        <v>1368</v>
      </c>
      <c r="K1433" s="123" t="s">
        <v>1369</v>
      </c>
      <c r="L1433" s="123" t="e">
        <f>VLOOKUP(Fact_AUM_FyoCapital[[#This Row],[Dim_Empresas.CUIT]],'clientes SQL'!C:D,2,0)</f>
        <v>#N/A</v>
      </c>
    </row>
    <row r="1434" spans="1:12" hidden="1" x14ac:dyDescent="0.3">
      <c r="A1434">
        <v>2612129</v>
      </c>
      <c r="B1434">
        <v>20251205</v>
      </c>
      <c r="C1434">
        <v>5538</v>
      </c>
      <c r="D1434">
        <v>0.13956521739130434</v>
      </c>
      <c r="E1434" s="123" t="s">
        <v>1563</v>
      </c>
      <c r="F1434" s="123" t="s">
        <v>185</v>
      </c>
      <c r="G1434" s="123"/>
      <c r="H1434" s="95">
        <v>45996</v>
      </c>
      <c r="I1434">
        <v>33777</v>
      </c>
      <c r="J1434" s="123" t="s">
        <v>1069</v>
      </c>
      <c r="K1434" s="123" t="s">
        <v>1070</v>
      </c>
      <c r="L1434" s="123" t="e">
        <f>VLOOKUP(Fact_AUM_FyoCapital[[#This Row],[Dim_Empresas.CUIT]],'clientes SQL'!C:D,2,0)</f>
        <v>#N/A</v>
      </c>
    </row>
    <row r="1435" spans="1:12" hidden="1" x14ac:dyDescent="0.3">
      <c r="A1435">
        <v>2631269</v>
      </c>
      <c r="B1435">
        <v>20251205</v>
      </c>
      <c r="C1435">
        <v>331</v>
      </c>
      <c r="D1435">
        <v>750</v>
      </c>
      <c r="E1435" s="123" t="s">
        <v>1563</v>
      </c>
      <c r="F1435" s="123" t="s">
        <v>801</v>
      </c>
      <c r="G1435" s="123"/>
      <c r="H1435" s="95">
        <v>45996</v>
      </c>
      <c r="I1435">
        <v>652</v>
      </c>
      <c r="J1435" s="123" t="s">
        <v>447</v>
      </c>
      <c r="K1435" s="123" t="s">
        <v>1143</v>
      </c>
      <c r="L1435" s="123" t="e">
        <f>VLOOKUP(Fact_AUM_FyoCapital[[#This Row],[Dim_Empresas.CUIT]],'clientes SQL'!C:D,2,0)</f>
        <v>#N/A</v>
      </c>
    </row>
    <row r="1436" spans="1:12" hidden="1" x14ac:dyDescent="0.3">
      <c r="A1436">
        <v>2598329</v>
      </c>
      <c r="B1436">
        <v>20251205</v>
      </c>
      <c r="C1436">
        <v>14876</v>
      </c>
      <c r="D1436">
        <v>84725.437945301543</v>
      </c>
      <c r="E1436" s="123" t="s">
        <v>1568</v>
      </c>
      <c r="F1436" s="123" t="s">
        <v>1572</v>
      </c>
      <c r="G1436" s="123" t="s">
        <v>1583</v>
      </c>
      <c r="H1436" s="95">
        <v>45996</v>
      </c>
      <c r="I1436">
        <v>37091</v>
      </c>
      <c r="J1436" s="123" t="s">
        <v>604</v>
      </c>
      <c r="K1436" s="123" t="s">
        <v>1293</v>
      </c>
      <c r="L1436" s="123" t="e">
        <f>VLOOKUP(Fact_AUM_FyoCapital[[#This Row],[Dim_Empresas.CUIT]],'clientes SQL'!C:D,2,0)</f>
        <v>#N/A</v>
      </c>
    </row>
    <row r="1437" spans="1:12" hidden="1" x14ac:dyDescent="0.3">
      <c r="A1437">
        <v>2642849</v>
      </c>
      <c r="B1437">
        <v>20251205</v>
      </c>
      <c r="C1437">
        <v>5209</v>
      </c>
      <c r="D1437">
        <v>8.3309957924263683E-3</v>
      </c>
      <c r="E1437" s="123" t="s">
        <v>1563</v>
      </c>
      <c r="F1437" s="123" t="s">
        <v>185</v>
      </c>
      <c r="G1437" s="123"/>
      <c r="H1437" s="95">
        <v>45996</v>
      </c>
      <c r="I1437">
        <v>33183</v>
      </c>
      <c r="J1437" s="123" t="s">
        <v>585</v>
      </c>
      <c r="K1437" s="123" t="s">
        <v>1339</v>
      </c>
      <c r="L1437" s="123" t="e">
        <f>VLOOKUP(Fact_AUM_FyoCapital[[#This Row],[Dim_Empresas.CUIT]],'clientes SQL'!C:D,2,0)</f>
        <v>#N/A</v>
      </c>
    </row>
    <row r="1438" spans="1:12" hidden="1" x14ac:dyDescent="0.3">
      <c r="A1438">
        <v>1861537</v>
      </c>
      <c r="B1438">
        <v>20251205</v>
      </c>
      <c r="C1438">
        <v>682</v>
      </c>
      <c r="D1438">
        <v>0</v>
      </c>
      <c r="E1438" s="123"/>
      <c r="F1438" s="123"/>
      <c r="G1438" s="123"/>
      <c r="H1438" s="95">
        <v>45996</v>
      </c>
      <c r="I1438">
        <v>9775</v>
      </c>
      <c r="J1438" s="123" t="s">
        <v>287</v>
      </c>
      <c r="K1438" s="123" t="s">
        <v>1320</v>
      </c>
      <c r="L1438" s="123" t="e">
        <f>VLOOKUP(Fact_AUM_FyoCapital[[#This Row],[Dim_Empresas.CUIT]],'clientes SQL'!C:D,2,0)</f>
        <v>#N/A</v>
      </c>
    </row>
    <row r="1439" spans="1:12" hidden="1" x14ac:dyDescent="0.3">
      <c r="A1439">
        <v>2625509</v>
      </c>
      <c r="B1439">
        <v>20251205</v>
      </c>
      <c r="C1439">
        <v>1314</v>
      </c>
      <c r="D1439">
        <v>27.79</v>
      </c>
      <c r="E1439" s="123" t="s">
        <v>1563</v>
      </c>
      <c r="F1439" s="123" t="s">
        <v>188</v>
      </c>
      <c r="G1439" s="123"/>
      <c r="H1439" s="95">
        <v>45996</v>
      </c>
      <c r="I1439">
        <v>19442</v>
      </c>
      <c r="J1439" s="123" t="s">
        <v>309</v>
      </c>
      <c r="K1439" s="123" t="s">
        <v>1112</v>
      </c>
      <c r="L1439" s="123" t="e">
        <f>VLOOKUP(Fact_AUM_FyoCapital[[#This Row],[Dim_Empresas.CUIT]],'clientes SQL'!C:D,2,0)</f>
        <v>#N/A</v>
      </c>
    </row>
    <row r="1440" spans="1:12" hidden="1" x14ac:dyDescent="0.3">
      <c r="A1440">
        <v>2629829</v>
      </c>
      <c r="B1440">
        <v>20251205</v>
      </c>
      <c r="C1440">
        <v>2810</v>
      </c>
      <c r="D1440">
        <v>0.2</v>
      </c>
      <c r="E1440" s="123" t="s">
        <v>1563</v>
      </c>
      <c r="F1440" s="123" t="s">
        <v>950</v>
      </c>
      <c r="G1440" s="123"/>
      <c r="H1440" s="95">
        <v>45996</v>
      </c>
      <c r="I1440">
        <v>31130</v>
      </c>
      <c r="J1440" s="123" t="s">
        <v>1605</v>
      </c>
      <c r="K1440" s="123" t="s">
        <v>1606</v>
      </c>
      <c r="L1440" s="123" t="e">
        <f>VLOOKUP(Fact_AUM_FyoCapital[[#This Row],[Dim_Empresas.CUIT]],'clientes SQL'!C:D,2,0)</f>
        <v>#N/A</v>
      </c>
    </row>
    <row r="1441" spans="1:12" hidden="1" x14ac:dyDescent="0.3">
      <c r="A1441">
        <v>2635889</v>
      </c>
      <c r="B1441">
        <v>20251205</v>
      </c>
      <c r="C1441">
        <v>1273</v>
      </c>
      <c r="D1441">
        <v>10000.14</v>
      </c>
      <c r="E1441" s="123" t="s">
        <v>1563</v>
      </c>
      <c r="F1441" s="123" t="s">
        <v>188</v>
      </c>
      <c r="G1441" s="123"/>
      <c r="H1441" s="95">
        <v>45996</v>
      </c>
      <c r="I1441">
        <v>19363</v>
      </c>
      <c r="J1441" s="123" t="s">
        <v>1183</v>
      </c>
      <c r="K1441" s="123" t="s">
        <v>1184</v>
      </c>
      <c r="L1441" s="123" t="e">
        <f>VLOOKUP(Fact_AUM_FyoCapital[[#This Row],[Dim_Empresas.CUIT]],'clientes SQL'!C:D,2,0)</f>
        <v>#N/A</v>
      </c>
    </row>
    <row r="1442" spans="1:12" hidden="1" x14ac:dyDescent="0.3">
      <c r="A1442">
        <v>1861297</v>
      </c>
      <c r="B1442">
        <v>20251205</v>
      </c>
      <c r="C1442">
        <v>682</v>
      </c>
      <c r="D1442">
        <v>0</v>
      </c>
      <c r="E1442" s="123"/>
      <c r="F1442" s="123"/>
      <c r="G1442" s="123"/>
      <c r="H1442" s="95">
        <v>45996</v>
      </c>
      <c r="I1442">
        <v>9775</v>
      </c>
      <c r="J1442" s="123" t="s">
        <v>287</v>
      </c>
      <c r="K1442" s="123" t="s">
        <v>1320</v>
      </c>
      <c r="L1442" s="123" t="e">
        <f>VLOOKUP(Fact_AUM_FyoCapital[[#This Row],[Dim_Empresas.CUIT]],'clientes SQL'!C:D,2,0)</f>
        <v>#N/A</v>
      </c>
    </row>
    <row r="1443" spans="1:12" hidden="1" x14ac:dyDescent="0.3">
      <c r="A1443">
        <v>2598509</v>
      </c>
      <c r="B1443">
        <v>20251205</v>
      </c>
      <c r="C1443">
        <v>14905</v>
      </c>
      <c r="D1443">
        <v>22867.09</v>
      </c>
      <c r="E1443" s="123" t="s">
        <v>1566</v>
      </c>
      <c r="F1443" s="123" t="s">
        <v>1578</v>
      </c>
      <c r="G1443" s="123"/>
      <c r="H1443" s="95">
        <v>45996</v>
      </c>
      <c r="I1443">
        <v>37115</v>
      </c>
      <c r="J1443" s="123" t="s">
        <v>701</v>
      </c>
      <c r="K1443" s="123" t="s">
        <v>1330</v>
      </c>
      <c r="L1443" s="123" t="e">
        <f>VLOOKUP(Fact_AUM_FyoCapital[[#This Row],[Dim_Empresas.CUIT]],'clientes SQL'!C:D,2,0)</f>
        <v>#N/A</v>
      </c>
    </row>
    <row r="1444" spans="1:12" hidden="1" x14ac:dyDescent="0.3">
      <c r="A1444">
        <v>2624129</v>
      </c>
      <c r="B1444">
        <v>20251205</v>
      </c>
      <c r="C1444">
        <v>1667</v>
      </c>
      <c r="D1444">
        <v>28.387819074333802</v>
      </c>
      <c r="E1444" s="123" t="s">
        <v>1563</v>
      </c>
      <c r="F1444" s="123" t="s">
        <v>185</v>
      </c>
      <c r="G1444" s="123"/>
      <c r="H1444" s="95">
        <v>45996</v>
      </c>
      <c r="I1444">
        <v>20443</v>
      </c>
      <c r="J1444" s="123" t="s">
        <v>1518</v>
      </c>
      <c r="K1444" s="123" t="s">
        <v>1519</v>
      </c>
      <c r="L1444" s="123" t="e">
        <f>VLOOKUP(Fact_AUM_FyoCapital[[#This Row],[Dim_Empresas.CUIT]],'clientes SQL'!C:D,2,0)</f>
        <v>#N/A</v>
      </c>
    </row>
    <row r="1445" spans="1:12" hidden="1" x14ac:dyDescent="0.3">
      <c r="A1445">
        <v>1890997</v>
      </c>
      <c r="B1445">
        <v>20251205</v>
      </c>
      <c r="C1445">
        <v>1853</v>
      </c>
      <c r="D1445">
        <v>29172.510518934083</v>
      </c>
      <c r="E1445" s="123" t="s">
        <v>1566</v>
      </c>
      <c r="F1445" s="123" t="s">
        <v>1580</v>
      </c>
      <c r="G1445" s="123"/>
      <c r="H1445" s="95">
        <v>45996</v>
      </c>
      <c r="I1445">
        <v>19392</v>
      </c>
      <c r="J1445" s="123" t="s">
        <v>1309</v>
      </c>
      <c r="K1445" s="123" t="s">
        <v>1310</v>
      </c>
      <c r="L1445" s="123" t="e">
        <f>VLOOKUP(Fact_AUM_FyoCapital[[#This Row],[Dim_Empresas.CUIT]],'clientes SQL'!C:D,2,0)</f>
        <v>#N/A</v>
      </c>
    </row>
    <row r="1446" spans="1:12" hidden="1" x14ac:dyDescent="0.3">
      <c r="A1446">
        <v>1879597</v>
      </c>
      <c r="B1446">
        <v>20251205</v>
      </c>
      <c r="C1446">
        <v>1546</v>
      </c>
      <c r="D1446">
        <v>0</v>
      </c>
      <c r="E1446" s="123"/>
      <c r="F1446" s="123"/>
      <c r="G1446" s="123"/>
      <c r="H1446" s="95">
        <v>45996</v>
      </c>
      <c r="I1446">
        <v>18554</v>
      </c>
      <c r="J1446" s="123" t="s">
        <v>550</v>
      </c>
      <c r="K1446" s="123" t="s">
        <v>1394</v>
      </c>
      <c r="L1446" s="123" t="e">
        <f>VLOOKUP(Fact_AUM_FyoCapital[[#This Row],[Dim_Empresas.CUIT]],'clientes SQL'!C:D,2,0)</f>
        <v>#N/A</v>
      </c>
    </row>
    <row r="1447" spans="1:12" hidden="1" x14ac:dyDescent="0.3">
      <c r="A1447">
        <v>2601569</v>
      </c>
      <c r="B1447">
        <v>20251205</v>
      </c>
      <c r="C1447">
        <v>1048</v>
      </c>
      <c r="D1447">
        <v>247020.78553295933</v>
      </c>
      <c r="E1447" s="123" t="s">
        <v>1568</v>
      </c>
      <c r="F1447" s="123" t="s">
        <v>1572</v>
      </c>
      <c r="G1447" s="123" t="s">
        <v>1587</v>
      </c>
      <c r="H1447" s="95">
        <v>45996</v>
      </c>
      <c r="I1447">
        <v>2240</v>
      </c>
      <c r="J1447" s="123" t="s">
        <v>1177</v>
      </c>
      <c r="K1447" s="123" t="s">
        <v>1178</v>
      </c>
      <c r="L1447" s="123" t="e">
        <f>VLOOKUP(Fact_AUM_FyoCapital[[#This Row],[Dim_Empresas.CUIT]],'clientes SQL'!C:D,2,0)</f>
        <v>#N/A</v>
      </c>
    </row>
    <row r="1448" spans="1:12" hidden="1" x14ac:dyDescent="0.3">
      <c r="A1448">
        <v>2610509</v>
      </c>
      <c r="B1448">
        <v>20251205</v>
      </c>
      <c r="C1448">
        <v>2309</v>
      </c>
      <c r="D1448">
        <v>2.4716339410939692</v>
      </c>
      <c r="E1448" s="123" t="s">
        <v>1563</v>
      </c>
      <c r="F1448" s="123" t="s">
        <v>185</v>
      </c>
      <c r="G1448" s="123"/>
      <c r="H1448" s="95">
        <v>45996</v>
      </c>
      <c r="I1448">
        <v>30408</v>
      </c>
      <c r="J1448" s="123" t="s">
        <v>197</v>
      </c>
      <c r="K1448" s="123" t="s">
        <v>1229</v>
      </c>
      <c r="L1448" s="123" t="e">
        <f>VLOOKUP(Fact_AUM_FyoCapital[[#This Row],[Dim_Empresas.CUIT]],'clientes SQL'!C:D,2,0)</f>
        <v>#N/A</v>
      </c>
    </row>
    <row r="1449" spans="1:12" hidden="1" x14ac:dyDescent="0.3">
      <c r="A1449">
        <v>2616329</v>
      </c>
      <c r="B1449">
        <v>20251205</v>
      </c>
      <c r="C1449">
        <v>9947</v>
      </c>
      <c r="D1449">
        <v>9.4109396914445996E-3</v>
      </c>
      <c r="E1449" s="123" t="s">
        <v>1563</v>
      </c>
      <c r="F1449" s="123" t="s">
        <v>185</v>
      </c>
      <c r="G1449" s="123"/>
      <c r="H1449" s="95">
        <v>45996</v>
      </c>
      <c r="I1449">
        <v>35446</v>
      </c>
      <c r="J1449" s="123" t="s">
        <v>354</v>
      </c>
      <c r="K1449" s="123" t="s">
        <v>1299</v>
      </c>
      <c r="L1449" s="123" t="e">
        <f>VLOOKUP(Fact_AUM_FyoCapital[[#This Row],[Dim_Empresas.CUIT]],'clientes SQL'!C:D,2,0)</f>
        <v>#N/A</v>
      </c>
    </row>
    <row r="1450" spans="1:12" hidden="1" x14ac:dyDescent="0.3">
      <c r="A1450">
        <v>2608229</v>
      </c>
      <c r="B1450">
        <v>20251205</v>
      </c>
      <c r="C1450">
        <v>112</v>
      </c>
      <c r="D1450">
        <v>6.0939691444600276E-3</v>
      </c>
      <c r="E1450" s="123" t="s">
        <v>1563</v>
      </c>
      <c r="F1450" s="123" t="s">
        <v>185</v>
      </c>
      <c r="G1450" s="123"/>
      <c r="H1450" s="95">
        <v>45996</v>
      </c>
      <c r="I1450">
        <v>4429</v>
      </c>
      <c r="J1450" s="123" t="s">
        <v>210</v>
      </c>
      <c r="K1450" s="123" t="s">
        <v>1135</v>
      </c>
      <c r="L1450" s="123" t="e">
        <f>VLOOKUP(Fact_AUM_FyoCapital[[#This Row],[Dim_Empresas.CUIT]],'clientes SQL'!C:D,2,0)</f>
        <v>#N/A</v>
      </c>
    </row>
    <row r="1451" spans="1:12" hidden="1" x14ac:dyDescent="0.3">
      <c r="A1451">
        <v>1887997</v>
      </c>
      <c r="B1451">
        <v>20251205</v>
      </c>
      <c r="C1451">
        <v>10056</v>
      </c>
      <c r="D1451">
        <v>5.8401122019635343</v>
      </c>
      <c r="E1451" s="123" t="s">
        <v>1568</v>
      </c>
      <c r="F1451" s="123" t="s">
        <v>1572</v>
      </c>
      <c r="G1451" s="123" t="s">
        <v>1583</v>
      </c>
      <c r="H1451" s="95">
        <v>45996</v>
      </c>
      <c r="I1451">
        <v>35523</v>
      </c>
      <c r="J1451" s="123" t="s">
        <v>705</v>
      </c>
      <c r="K1451" s="123" t="s">
        <v>1419</v>
      </c>
      <c r="L1451" s="123" t="e">
        <f>VLOOKUP(Fact_AUM_FyoCapital[[#This Row],[Dim_Empresas.CUIT]],'clientes SQL'!C:D,2,0)</f>
        <v>#N/A</v>
      </c>
    </row>
    <row r="1452" spans="1:12" hidden="1" x14ac:dyDescent="0.3">
      <c r="A1452">
        <v>2633909</v>
      </c>
      <c r="B1452">
        <v>20251205</v>
      </c>
      <c r="C1452">
        <v>847</v>
      </c>
      <c r="D1452">
        <v>-4.1403856942496491</v>
      </c>
      <c r="E1452" s="123" t="s">
        <v>1563</v>
      </c>
      <c r="F1452" s="123" t="s">
        <v>185</v>
      </c>
      <c r="G1452" s="123"/>
      <c r="H1452" s="95">
        <v>45996</v>
      </c>
      <c r="I1452">
        <v>17681</v>
      </c>
      <c r="J1452" s="123" t="s">
        <v>1209</v>
      </c>
      <c r="K1452" s="123" t="s">
        <v>1210</v>
      </c>
      <c r="L1452" s="123" t="e">
        <f>VLOOKUP(Fact_AUM_FyoCapital[[#This Row],[Dim_Empresas.CUIT]],'clientes SQL'!C:D,2,0)</f>
        <v>#N/A</v>
      </c>
    </row>
    <row r="1453" spans="1:12" hidden="1" x14ac:dyDescent="0.3">
      <c r="A1453">
        <v>1829137</v>
      </c>
      <c r="B1453">
        <v>20251205</v>
      </c>
      <c r="C1453">
        <v>5383</v>
      </c>
      <c r="D1453">
        <v>189752.4193548387</v>
      </c>
      <c r="E1453" s="123" t="s">
        <v>1566</v>
      </c>
      <c r="F1453" s="123" t="s">
        <v>1573</v>
      </c>
      <c r="G1453" s="123"/>
      <c r="H1453" s="95">
        <v>45996</v>
      </c>
      <c r="I1453">
        <v>33182</v>
      </c>
      <c r="J1453" s="123" t="s">
        <v>238</v>
      </c>
      <c r="K1453" s="123" t="s">
        <v>1167</v>
      </c>
      <c r="L1453" s="123" t="e">
        <f>VLOOKUP(Fact_AUM_FyoCapital[[#This Row],[Dim_Empresas.CUIT]],'clientes SQL'!C:D,2,0)</f>
        <v>#N/A</v>
      </c>
    </row>
    <row r="1454" spans="1:12" hidden="1" x14ac:dyDescent="0.3">
      <c r="A1454">
        <v>1861117</v>
      </c>
      <c r="B1454">
        <v>20251205</v>
      </c>
      <c r="C1454">
        <v>682</v>
      </c>
      <c r="D1454">
        <v>0</v>
      </c>
      <c r="E1454" s="123"/>
      <c r="F1454" s="123"/>
      <c r="G1454" s="123"/>
      <c r="H1454" s="95">
        <v>45996</v>
      </c>
      <c r="I1454">
        <v>9775</v>
      </c>
      <c r="J1454" s="123" t="s">
        <v>287</v>
      </c>
      <c r="K1454" s="123" t="s">
        <v>1320</v>
      </c>
      <c r="L1454" s="123" t="e">
        <f>VLOOKUP(Fact_AUM_FyoCapital[[#This Row],[Dim_Empresas.CUIT]],'clientes SQL'!C:D,2,0)</f>
        <v>#N/A</v>
      </c>
    </row>
    <row r="1455" spans="1:12" hidden="1" x14ac:dyDescent="0.3">
      <c r="A1455">
        <v>1829317</v>
      </c>
      <c r="B1455">
        <v>20251205</v>
      </c>
      <c r="C1455">
        <v>923</v>
      </c>
      <c r="D1455">
        <v>88.621683029453024</v>
      </c>
      <c r="E1455" s="123" t="s">
        <v>1568</v>
      </c>
      <c r="F1455" s="123" t="s">
        <v>1572</v>
      </c>
      <c r="G1455" s="123" t="s">
        <v>1574</v>
      </c>
      <c r="H1455" s="95">
        <v>45996</v>
      </c>
      <c r="I1455">
        <v>5246</v>
      </c>
      <c r="J1455" s="123" t="s">
        <v>240</v>
      </c>
      <c r="K1455" s="123" t="s">
        <v>1497</v>
      </c>
      <c r="L1455" s="123" t="e">
        <f>VLOOKUP(Fact_AUM_FyoCapital[[#This Row],[Dim_Empresas.CUIT]],'clientes SQL'!C:D,2,0)</f>
        <v>#N/A</v>
      </c>
    </row>
    <row r="1456" spans="1:12" hidden="1" x14ac:dyDescent="0.3">
      <c r="A1456">
        <v>1865317</v>
      </c>
      <c r="B1456">
        <v>20251205</v>
      </c>
      <c r="C1456">
        <v>4531</v>
      </c>
      <c r="D1456">
        <v>9428.35</v>
      </c>
      <c r="E1456" s="123" t="s">
        <v>1566</v>
      </c>
      <c r="F1456" s="123" t="s">
        <v>1579</v>
      </c>
      <c r="G1456" s="123"/>
      <c r="H1456" s="95">
        <v>45996</v>
      </c>
      <c r="I1456">
        <v>3422</v>
      </c>
      <c r="J1456" s="123" t="s">
        <v>498</v>
      </c>
      <c r="K1456" s="123" t="s">
        <v>1231</v>
      </c>
      <c r="L1456" s="123" t="e">
        <f>VLOOKUP(Fact_AUM_FyoCapital[[#This Row],[Dim_Empresas.CUIT]],'clientes SQL'!C:D,2,0)</f>
        <v>#N/A</v>
      </c>
    </row>
    <row r="1457" spans="1:12" hidden="1" x14ac:dyDescent="0.3">
      <c r="A1457">
        <v>1903117</v>
      </c>
      <c r="B1457">
        <v>20251205</v>
      </c>
      <c r="C1457">
        <v>14876</v>
      </c>
      <c r="D1457">
        <v>3687.5623632538568</v>
      </c>
      <c r="E1457" s="123" t="s">
        <v>1566</v>
      </c>
      <c r="F1457" s="123" t="s">
        <v>1571</v>
      </c>
      <c r="G1457" s="123"/>
      <c r="H1457" s="95">
        <v>45996</v>
      </c>
      <c r="I1457">
        <v>37091</v>
      </c>
      <c r="J1457" s="123" t="s">
        <v>604</v>
      </c>
      <c r="K1457" s="123" t="s">
        <v>1293</v>
      </c>
      <c r="L1457" s="123" t="e">
        <f>VLOOKUP(Fact_AUM_FyoCapital[[#This Row],[Dim_Empresas.CUIT]],'clientes SQL'!C:D,2,0)</f>
        <v>#N/A</v>
      </c>
    </row>
    <row r="1458" spans="1:12" hidden="1" x14ac:dyDescent="0.3">
      <c r="A1458">
        <v>1866697</v>
      </c>
      <c r="B1458">
        <v>20251205</v>
      </c>
      <c r="C1458">
        <v>2393</v>
      </c>
      <c r="D1458">
        <v>108776.71401823281</v>
      </c>
      <c r="E1458" s="123" t="s">
        <v>1568</v>
      </c>
      <c r="F1458" s="123" t="s">
        <v>1572</v>
      </c>
      <c r="G1458" s="123" t="s">
        <v>1570</v>
      </c>
      <c r="H1458" s="95">
        <v>45996</v>
      </c>
      <c r="I1458">
        <v>30570</v>
      </c>
      <c r="J1458" s="123" t="s">
        <v>480</v>
      </c>
      <c r="K1458" s="123" t="s">
        <v>1379</v>
      </c>
      <c r="L1458" s="123" t="e">
        <f>VLOOKUP(Fact_AUM_FyoCapital[[#This Row],[Dim_Empresas.CUIT]],'clientes SQL'!C:D,2,0)</f>
        <v>#N/A</v>
      </c>
    </row>
    <row r="1459" spans="1:12" hidden="1" x14ac:dyDescent="0.3">
      <c r="A1459">
        <v>2629049</v>
      </c>
      <c r="B1459">
        <v>20251205</v>
      </c>
      <c r="C1459">
        <v>13361</v>
      </c>
      <c r="D1459">
        <v>-123.7848667601683</v>
      </c>
      <c r="E1459" s="123" t="s">
        <v>1563</v>
      </c>
      <c r="F1459" s="123" t="s">
        <v>185</v>
      </c>
      <c r="G1459" s="123"/>
      <c r="H1459" s="95">
        <v>45996</v>
      </c>
      <c r="I1459">
        <v>36541</v>
      </c>
      <c r="J1459" s="123" t="s">
        <v>454</v>
      </c>
      <c r="K1459" s="123" t="s">
        <v>1322</v>
      </c>
      <c r="L1459" s="123" t="e">
        <f>VLOOKUP(Fact_AUM_FyoCapital[[#This Row],[Dim_Empresas.CUIT]],'clientes SQL'!C:D,2,0)</f>
        <v>#N/A</v>
      </c>
    </row>
    <row r="1460" spans="1:12" hidden="1" x14ac:dyDescent="0.3">
      <c r="A1460">
        <v>1838077</v>
      </c>
      <c r="B1460">
        <v>20251205</v>
      </c>
      <c r="C1460">
        <v>2145</v>
      </c>
      <c r="D1460">
        <v>1150.7048667601682</v>
      </c>
      <c r="E1460" s="123" t="s">
        <v>1568</v>
      </c>
      <c r="F1460" s="123" t="s">
        <v>1572</v>
      </c>
      <c r="G1460" s="123" t="s">
        <v>1570</v>
      </c>
      <c r="H1460" s="95">
        <v>45996</v>
      </c>
      <c r="I1460">
        <v>30078</v>
      </c>
      <c r="J1460" s="123" t="s">
        <v>342</v>
      </c>
      <c r="K1460" s="123" t="s">
        <v>1276</v>
      </c>
      <c r="L1460" s="123" t="e">
        <f>VLOOKUP(Fact_AUM_FyoCapital[[#This Row],[Dim_Empresas.CUIT]],'clientes SQL'!C:D,2,0)</f>
        <v>#N/A</v>
      </c>
    </row>
    <row r="1461" spans="1:12" hidden="1" x14ac:dyDescent="0.3">
      <c r="A1461">
        <v>2606309</v>
      </c>
      <c r="B1461">
        <v>20251205</v>
      </c>
      <c r="C1461">
        <v>7742</v>
      </c>
      <c r="D1461">
        <v>1470.13</v>
      </c>
      <c r="E1461" s="123" t="s">
        <v>1568</v>
      </c>
      <c r="F1461" s="123" t="s">
        <v>1572</v>
      </c>
      <c r="G1461" s="123" t="s">
        <v>1570</v>
      </c>
      <c r="H1461" s="95">
        <v>45996</v>
      </c>
      <c r="I1461">
        <v>35045</v>
      </c>
      <c r="J1461" s="123" t="s">
        <v>1272</v>
      </c>
      <c r="K1461" s="123" t="s">
        <v>1273</v>
      </c>
      <c r="L1461" s="123" t="e">
        <f>VLOOKUP(Fact_AUM_FyoCapital[[#This Row],[Dim_Empresas.CUIT]],'clientes SQL'!C:D,2,0)</f>
        <v>#N/A</v>
      </c>
    </row>
    <row r="1462" spans="1:12" hidden="1" x14ac:dyDescent="0.3">
      <c r="A1462">
        <v>1840957</v>
      </c>
      <c r="B1462">
        <v>20251205</v>
      </c>
      <c r="C1462">
        <v>5251</v>
      </c>
      <c r="D1462">
        <v>119745.25</v>
      </c>
      <c r="E1462" s="123" t="s">
        <v>1566</v>
      </c>
      <c r="F1462" s="123" t="s">
        <v>1578</v>
      </c>
      <c r="G1462" s="123"/>
      <c r="H1462" s="95">
        <v>45996</v>
      </c>
      <c r="I1462">
        <v>33173</v>
      </c>
      <c r="J1462" s="123" t="s">
        <v>341</v>
      </c>
      <c r="K1462" s="123" t="s">
        <v>1318</v>
      </c>
      <c r="L1462" s="123" t="e">
        <f>VLOOKUP(Fact_AUM_FyoCapital[[#This Row],[Dim_Empresas.CUIT]],'clientes SQL'!C:D,2,0)</f>
        <v>#N/A</v>
      </c>
    </row>
    <row r="1463" spans="1:12" hidden="1" x14ac:dyDescent="0.3">
      <c r="A1463">
        <v>2629529</v>
      </c>
      <c r="B1463">
        <v>20251205</v>
      </c>
      <c r="C1463">
        <v>13719</v>
      </c>
      <c r="D1463">
        <v>-78806.86</v>
      </c>
      <c r="E1463" s="123" t="s">
        <v>1563</v>
      </c>
      <c r="F1463" s="123" t="s">
        <v>801</v>
      </c>
      <c r="G1463" s="123"/>
      <c r="H1463" s="95">
        <v>45996</v>
      </c>
      <c r="I1463">
        <v>36879</v>
      </c>
      <c r="J1463" s="123" t="s">
        <v>1340</v>
      </c>
      <c r="K1463" s="123" t="s">
        <v>1341</v>
      </c>
      <c r="L1463" s="123" t="e">
        <f>VLOOKUP(Fact_AUM_FyoCapital[[#This Row],[Dim_Empresas.CUIT]],'clientes SQL'!C:D,2,0)</f>
        <v>#N/A</v>
      </c>
    </row>
    <row r="1464" spans="1:12" hidden="1" x14ac:dyDescent="0.3">
      <c r="A1464">
        <v>2634029</v>
      </c>
      <c r="B1464">
        <v>20251205</v>
      </c>
      <c r="C1464">
        <v>3288</v>
      </c>
      <c r="D1464">
        <v>10.58</v>
      </c>
      <c r="E1464" s="123" t="s">
        <v>1563</v>
      </c>
      <c r="F1464" s="123" t="s">
        <v>950</v>
      </c>
      <c r="G1464" s="123"/>
      <c r="H1464" s="95">
        <v>45996</v>
      </c>
      <c r="I1464">
        <v>31716</v>
      </c>
      <c r="J1464" s="123" t="s">
        <v>544</v>
      </c>
      <c r="K1464" s="123" t="s">
        <v>1353</v>
      </c>
      <c r="L1464" s="123" t="e">
        <f>VLOOKUP(Fact_AUM_FyoCapital[[#This Row],[Dim_Empresas.CUIT]],'clientes SQL'!C:D,2,0)</f>
        <v>#N/A</v>
      </c>
    </row>
    <row r="1465" spans="1:12" hidden="1" x14ac:dyDescent="0.3">
      <c r="A1465">
        <v>1835017</v>
      </c>
      <c r="B1465">
        <v>20251205</v>
      </c>
      <c r="C1465">
        <v>15123</v>
      </c>
      <c r="D1465">
        <v>2349.4899999999998</v>
      </c>
      <c r="E1465" s="123" t="s">
        <v>1566</v>
      </c>
      <c r="F1465" s="123" t="s">
        <v>1579</v>
      </c>
      <c r="G1465" s="123"/>
      <c r="H1465" s="95">
        <v>45996</v>
      </c>
      <c r="I1465">
        <v>37264</v>
      </c>
      <c r="J1465" s="123" t="s">
        <v>1212</v>
      </c>
      <c r="K1465" s="123" t="s">
        <v>1213</v>
      </c>
      <c r="L1465" s="123" t="e">
        <f>VLOOKUP(Fact_AUM_FyoCapital[[#This Row],[Dim_Empresas.CUIT]],'clientes SQL'!C:D,2,0)</f>
        <v>#N/A</v>
      </c>
    </row>
    <row r="1466" spans="1:12" hidden="1" x14ac:dyDescent="0.3">
      <c r="A1466">
        <v>1828537</v>
      </c>
      <c r="B1466">
        <v>20251205</v>
      </c>
      <c r="C1466">
        <v>5383</v>
      </c>
      <c r="D1466">
        <v>10127.684431977559</v>
      </c>
      <c r="E1466" s="123" t="s">
        <v>1566</v>
      </c>
      <c r="F1466" s="123" t="s">
        <v>1580</v>
      </c>
      <c r="G1466" s="123"/>
      <c r="H1466" s="95">
        <v>45996</v>
      </c>
      <c r="I1466">
        <v>33182</v>
      </c>
      <c r="J1466" s="123" t="s">
        <v>238</v>
      </c>
      <c r="K1466" s="123" t="s">
        <v>1167</v>
      </c>
      <c r="L1466" s="123" t="e">
        <f>VLOOKUP(Fact_AUM_FyoCapital[[#This Row],[Dim_Empresas.CUIT]],'clientes SQL'!C:D,2,0)</f>
        <v>#N/A</v>
      </c>
    </row>
    <row r="1467" spans="1:12" hidden="1" x14ac:dyDescent="0.3">
      <c r="A1467">
        <v>1830637</v>
      </c>
      <c r="B1467">
        <v>20251205</v>
      </c>
      <c r="C1467">
        <v>6154</v>
      </c>
      <c r="D1467">
        <v>47619.63</v>
      </c>
      <c r="E1467" s="123" t="s">
        <v>1566</v>
      </c>
      <c r="F1467" s="123" t="s">
        <v>1578</v>
      </c>
      <c r="G1467" s="123"/>
      <c r="H1467" s="95">
        <v>45996</v>
      </c>
      <c r="I1467">
        <v>34268</v>
      </c>
      <c r="J1467" s="123" t="s">
        <v>1141</v>
      </c>
      <c r="K1467" s="123" t="s">
        <v>1142</v>
      </c>
      <c r="L1467" s="123" t="e">
        <f>VLOOKUP(Fact_AUM_FyoCapital[[#This Row],[Dim_Empresas.CUIT]],'clientes SQL'!C:D,2,0)</f>
        <v>#N/A</v>
      </c>
    </row>
    <row r="1468" spans="1:12" hidden="1" x14ac:dyDescent="0.3">
      <c r="A1468">
        <v>2600129</v>
      </c>
      <c r="B1468">
        <v>20251205</v>
      </c>
      <c r="C1468">
        <v>91</v>
      </c>
      <c r="D1468">
        <v>78196.62</v>
      </c>
      <c r="E1468" s="123" t="s">
        <v>1566</v>
      </c>
      <c r="F1468" s="123" t="s">
        <v>1571</v>
      </c>
      <c r="G1468" s="123"/>
      <c r="H1468" s="95">
        <v>45996</v>
      </c>
      <c r="I1468">
        <v>6122</v>
      </c>
      <c r="J1468" s="123" t="s">
        <v>1300</v>
      </c>
      <c r="K1468" s="123" t="s">
        <v>1301</v>
      </c>
      <c r="L1468" s="123" t="e">
        <f>VLOOKUP(Fact_AUM_FyoCapital[[#This Row],[Dim_Empresas.CUIT]],'clientes SQL'!C:D,2,0)</f>
        <v>#N/A</v>
      </c>
    </row>
    <row r="1469" spans="1:12" hidden="1" x14ac:dyDescent="0.3">
      <c r="A1469">
        <v>1862797</v>
      </c>
      <c r="B1469">
        <v>20251205</v>
      </c>
      <c r="C1469">
        <v>682</v>
      </c>
      <c r="D1469">
        <v>0</v>
      </c>
      <c r="E1469" s="123"/>
      <c r="F1469" s="123"/>
      <c r="G1469" s="123"/>
      <c r="H1469" s="95">
        <v>45996</v>
      </c>
      <c r="I1469">
        <v>9775</v>
      </c>
      <c r="J1469" s="123" t="s">
        <v>287</v>
      </c>
      <c r="K1469" s="123" t="s">
        <v>1320</v>
      </c>
      <c r="L1469" s="123" t="e">
        <f>VLOOKUP(Fact_AUM_FyoCapital[[#This Row],[Dim_Empresas.CUIT]],'clientes SQL'!C:D,2,0)</f>
        <v>#N/A</v>
      </c>
    </row>
    <row r="1470" spans="1:12" hidden="1" x14ac:dyDescent="0.3">
      <c r="A1470">
        <v>1897837</v>
      </c>
      <c r="B1470">
        <v>20251205</v>
      </c>
      <c r="C1470">
        <v>2794</v>
      </c>
      <c r="D1470">
        <v>599.29988078541373</v>
      </c>
      <c r="E1470" s="123" t="s">
        <v>1568</v>
      </c>
      <c r="F1470" s="123" t="s">
        <v>1572</v>
      </c>
      <c r="G1470" s="123" t="s">
        <v>1574</v>
      </c>
      <c r="H1470" s="95">
        <v>45996</v>
      </c>
      <c r="I1470">
        <v>31104</v>
      </c>
      <c r="J1470" s="123" t="s">
        <v>601</v>
      </c>
      <c r="K1470" s="123" t="s">
        <v>1366</v>
      </c>
      <c r="L1470" s="123" t="e">
        <f>VLOOKUP(Fact_AUM_FyoCapital[[#This Row],[Dim_Empresas.CUIT]],'clientes SQL'!C:D,2,0)</f>
        <v>#N/A</v>
      </c>
    </row>
    <row r="1471" spans="1:12" hidden="1" x14ac:dyDescent="0.3">
      <c r="A1471">
        <v>1870477</v>
      </c>
      <c r="B1471">
        <v>20251205</v>
      </c>
      <c r="C1471">
        <v>13361</v>
      </c>
      <c r="D1471">
        <v>4048.1697054698457</v>
      </c>
      <c r="E1471" s="123" t="s">
        <v>1566</v>
      </c>
      <c r="F1471" s="123" t="s">
        <v>1571</v>
      </c>
      <c r="G1471" s="123"/>
      <c r="H1471" s="95">
        <v>45996</v>
      </c>
      <c r="I1471">
        <v>36541</v>
      </c>
      <c r="J1471" s="123" t="s">
        <v>454</v>
      </c>
      <c r="K1471" s="123" t="s">
        <v>1322</v>
      </c>
      <c r="L1471" s="123" t="e">
        <f>VLOOKUP(Fact_AUM_FyoCapital[[#This Row],[Dim_Empresas.CUIT]],'clientes SQL'!C:D,2,0)</f>
        <v>#N/A</v>
      </c>
    </row>
    <row r="1472" spans="1:12" hidden="1" x14ac:dyDescent="0.3">
      <c r="A1472">
        <v>1826797</v>
      </c>
      <c r="B1472">
        <v>20251205</v>
      </c>
      <c r="C1472">
        <v>1277</v>
      </c>
      <c r="D1472">
        <v>-2577973</v>
      </c>
      <c r="E1472" s="123" t="s">
        <v>1566</v>
      </c>
      <c r="F1472" s="123" t="s">
        <v>1578</v>
      </c>
      <c r="G1472" s="123"/>
      <c r="H1472" s="95">
        <v>45996</v>
      </c>
      <c r="I1472">
        <v>19100</v>
      </c>
      <c r="J1472" s="123" t="s">
        <v>254</v>
      </c>
      <c r="K1472" s="123" t="s">
        <v>1240</v>
      </c>
      <c r="L1472" s="123" t="e">
        <f>VLOOKUP(Fact_AUM_FyoCapital[[#This Row],[Dim_Empresas.CUIT]],'clientes SQL'!C:D,2,0)</f>
        <v>#N/A</v>
      </c>
    </row>
    <row r="1473" spans="1:12" hidden="1" x14ac:dyDescent="0.3">
      <c r="A1473">
        <v>1895977</v>
      </c>
      <c r="B1473">
        <v>20251205</v>
      </c>
      <c r="C1473">
        <v>10253</v>
      </c>
      <c r="D1473">
        <v>109147.54733520337</v>
      </c>
      <c r="E1473" s="123" t="s">
        <v>1566</v>
      </c>
      <c r="F1473" s="123" t="s">
        <v>1573</v>
      </c>
      <c r="G1473" s="123"/>
      <c r="H1473" s="95">
        <v>45996</v>
      </c>
      <c r="I1473">
        <v>35643</v>
      </c>
      <c r="J1473" s="123" t="s">
        <v>603</v>
      </c>
      <c r="K1473" s="123" t="s">
        <v>1220</v>
      </c>
      <c r="L1473" s="123" t="e">
        <f>VLOOKUP(Fact_AUM_FyoCapital[[#This Row],[Dim_Empresas.CUIT]],'clientes SQL'!C:D,2,0)</f>
        <v>#N/A</v>
      </c>
    </row>
    <row r="1474" spans="1:12" hidden="1" x14ac:dyDescent="0.3">
      <c r="A1474">
        <v>2620529</v>
      </c>
      <c r="B1474">
        <v>20251205</v>
      </c>
      <c r="C1474">
        <v>1141</v>
      </c>
      <c r="D1474" s="6">
        <v>483.88</v>
      </c>
      <c r="E1474" s="123" t="s">
        <v>1563</v>
      </c>
      <c r="F1474" s="123" t="s">
        <v>950</v>
      </c>
      <c r="G1474" s="123"/>
      <c r="H1474" s="95">
        <v>45996</v>
      </c>
      <c r="I1474">
        <v>18969</v>
      </c>
      <c r="J1474" s="123" t="s">
        <v>395</v>
      </c>
      <c r="K1474" s="123" t="s">
        <v>1280</v>
      </c>
      <c r="L1474" s="123" t="e">
        <f>VLOOKUP(Fact_AUM_FyoCapital[[#This Row],[Dim_Empresas.CUIT]],'clientes SQL'!C:D,2,0)</f>
        <v>#N/A</v>
      </c>
    </row>
    <row r="1475" spans="1:12" hidden="1" x14ac:dyDescent="0.3">
      <c r="A1475">
        <v>2625149</v>
      </c>
      <c r="B1475">
        <v>20251205</v>
      </c>
      <c r="C1475">
        <v>578</v>
      </c>
      <c r="D1475">
        <v>-0.53276297335203371</v>
      </c>
      <c r="E1475" s="123" t="s">
        <v>1563</v>
      </c>
      <c r="F1475" s="123" t="s">
        <v>185</v>
      </c>
      <c r="G1475" s="123"/>
      <c r="H1475" s="95">
        <v>45996</v>
      </c>
      <c r="I1475">
        <v>9066</v>
      </c>
      <c r="J1475" s="123" t="s">
        <v>301</v>
      </c>
      <c r="K1475" s="123" t="s">
        <v>1226</v>
      </c>
      <c r="L1475" s="123" t="e">
        <f>VLOOKUP(Fact_AUM_FyoCapital[[#This Row],[Dim_Empresas.CUIT]],'clientes SQL'!C:D,2,0)</f>
        <v>#N/A</v>
      </c>
    </row>
    <row r="1476" spans="1:12" hidden="1" x14ac:dyDescent="0.3">
      <c r="A1476">
        <v>1890817</v>
      </c>
      <c r="B1476">
        <v>20251205</v>
      </c>
      <c r="C1476">
        <v>1853</v>
      </c>
      <c r="D1476">
        <v>0</v>
      </c>
      <c r="E1476" s="123"/>
      <c r="F1476" s="123"/>
      <c r="G1476" s="123"/>
      <c r="H1476" s="95">
        <v>45996</v>
      </c>
      <c r="I1476">
        <v>19392</v>
      </c>
      <c r="J1476" s="123" t="s">
        <v>1309</v>
      </c>
      <c r="K1476" s="123" t="s">
        <v>1310</v>
      </c>
      <c r="L1476" s="123" t="e">
        <f>VLOOKUP(Fact_AUM_FyoCapital[[#This Row],[Dim_Empresas.CUIT]],'clientes SQL'!C:D,2,0)</f>
        <v>#N/A</v>
      </c>
    </row>
    <row r="1477" spans="1:12" hidden="1" x14ac:dyDescent="0.3">
      <c r="A1477">
        <v>2633729</v>
      </c>
      <c r="B1477">
        <v>20251205</v>
      </c>
      <c r="C1477">
        <v>95</v>
      </c>
      <c r="D1477">
        <v>-516.81919354838715</v>
      </c>
      <c r="E1477" s="123" t="s">
        <v>1563</v>
      </c>
      <c r="F1477" s="123" t="s">
        <v>185</v>
      </c>
      <c r="G1477" s="123"/>
      <c r="H1477" s="95">
        <v>45996</v>
      </c>
      <c r="I1477">
        <v>708</v>
      </c>
      <c r="J1477" s="123" t="s">
        <v>1241</v>
      </c>
      <c r="K1477" s="123" t="s">
        <v>1242</v>
      </c>
      <c r="L1477" s="123" t="e">
        <f>VLOOKUP(Fact_AUM_FyoCapital[[#This Row],[Dim_Empresas.CUIT]],'clientes SQL'!C:D,2,0)</f>
        <v>#N/A</v>
      </c>
    </row>
    <row r="1478" spans="1:12" hidden="1" x14ac:dyDescent="0.3">
      <c r="A1478">
        <v>1861657</v>
      </c>
      <c r="B1478">
        <v>20251205</v>
      </c>
      <c r="C1478">
        <v>682</v>
      </c>
      <c r="D1478">
        <v>0</v>
      </c>
      <c r="E1478" s="123"/>
      <c r="F1478" s="123"/>
      <c r="G1478" s="123"/>
      <c r="H1478" s="95">
        <v>45996</v>
      </c>
      <c r="I1478">
        <v>9775</v>
      </c>
      <c r="J1478" s="123" t="s">
        <v>287</v>
      </c>
      <c r="K1478" s="123" t="s">
        <v>1320</v>
      </c>
      <c r="L1478" s="123" t="e">
        <f>VLOOKUP(Fact_AUM_FyoCapital[[#This Row],[Dim_Empresas.CUIT]],'clientes SQL'!C:D,2,0)</f>
        <v>#N/A</v>
      </c>
    </row>
    <row r="1479" spans="1:12" hidden="1" x14ac:dyDescent="0.3">
      <c r="A1479">
        <v>1831777</v>
      </c>
      <c r="B1479">
        <v>20251205</v>
      </c>
      <c r="C1479">
        <v>4171</v>
      </c>
      <c r="D1479">
        <v>102.24861851332398</v>
      </c>
      <c r="E1479" s="123" t="s">
        <v>1568</v>
      </c>
      <c r="F1479" s="123" t="s">
        <v>1572</v>
      </c>
      <c r="G1479" s="123" t="s">
        <v>1570</v>
      </c>
      <c r="H1479" s="95">
        <v>45996</v>
      </c>
      <c r="I1479">
        <v>32799</v>
      </c>
      <c r="J1479" s="123" t="s">
        <v>262</v>
      </c>
      <c r="K1479" s="123" t="s">
        <v>1288</v>
      </c>
      <c r="L1479" s="123" t="e">
        <f>VLOOKUP(Fact_AUM_FyoCapital[[#This Row],[Dim_Empresas.CUIT]],'clientes SQL'!C:D,2,0)</f>
        <v>#N/A</v>
      </c>
    </row>
    <row r="1480" spans="1:12" hidden="1" x14ac:dyDescent="0.3">
      <c r="A1480">
        <v>1896637</v>
      </c>
      <c r="B1480">
        <v>20251205</v>
      </c>
      <c r="C1480">
        <v>10253</v>
      </c>
      <c r="D1480" s="6">
        <v>69430.575035063113</v>
      </c>
      <c r="E1480" s="123" t="s">
        <v>1566</v>
      </c>
      <c r="F1480" s="123" t="s">
        <v>1580</v>
      </c>
      <c r="G1480" s="123"/>
      <c r="H1480" s="95">
        <v>45996</v>
      </c>
      <c r="I1480">
        <v>35643</v>
      </c>
      <c r="J1480" s="123" t="s">
        <v>603</v>
      </c>
      <c r="K1480" s="123" t="s">
        <v>1220</v>
      </c>
      <c r="L1480" s="123" t="e">
        <f>VLOOKUP(Fact_AUM_FyoCapital[[#This Row],[Dim_Empresas.CUIT]],'clientes SQL'!C:D,2,0)</f>
        <v>#N/A</v>
      </c>
    </row>
    <row r="1481" spans="1:12" hidden="1" x14ac:dyDescent="0.3">
      <c r="A1481">
        <v>1888177</v>
      </c>
      <c r="B1481">
        <v>20251205</v>
      </c>
      <c r="C1481">
        <v>15937</v>
      </c>
      <c r="D1481">
        <v>77.775217391304352</v>
      </c>
      <c r="E1481" s="123" t="s">
        <v>1568</v>
      </c>
      <c r="F1481" s="123" t="s">
        <v>1572</v>
      </c>
      <c r="G1481" s="123" t="s">
        <v>1570</v>
      </c>
      <c r="H1481" s="95">
        <v>45996</v>
      </c>
      <c r="I1481">
        <v>37489</v>
      </c>
      <c r="J1481" s="123" t="s">
        <v>688</v>
      </c>
      <c r="K1481" s="123" t="s">
        <v>1290</v>
      </c>
      <c r="L1481" s="123" t="e">
        <f>VLOOKUP(Fact_AUM_FyoCapital[[#This Row],[Dim_Empresas.CUIT]],'clientes SQL'!C:D,2,0)</f>
        <v>#N/A</v>
      </c>
    </row>
    <row r="1482" spans="1:12" hidden="1" x14ac:dyDescent="0.3">
      <c r="A1482">
        <v>1862017</v>
      </c>
      <c r="B1482">
        <v>20251205</v>
      </c>
      <c r="C1482">
        <v>682</v>
      </c>
      <c r="D1482">
        <v>0</v>
      </c>
      <c r="E1482" s="123"/>
      <c r="F1482" s="123"/>
      <c r="G1482" s="123"/>
      <c r="H1482" s="95">
        <v>45996</v>
      </c>
      <c r="I1482">
        <v>9775</v>
      </c>
      <c r="J1482" s="123" t="s">
        <v>287</v>
      </c>
      <c r="K1482" s="123" t="s">
        <v>1320</v>
      </c>
      <c r="L1482" s="123" t="e">
        <f>VLOOKUP(Fact_AUM_FyoCapital[[#This Row],[Dim_Empresas.CUIT]],'clientes SQL'!C:D,2,0)</f>
        <v>#N/A</v>
      </c>
    </row>
    <row r="1483" spans="1:12" hidden="1" x14ac:dyDescent="0.3">
      <c r="A1483">
        <v>2617109</v>
      </c>
      <c r="B1483">
        <v>20251205</v>
      </c>
      <c r="C1483">
        <v>12979</v>
      </c>
      <c r="D1483">
        <v>0.35493688639551191</v>
      </c>
      <c r="E1483" s="123" t="s">
        <v>1563</v>
      </c>
      <c r="F1483" s="123" t="s">
        <v>185</v>
      </c>
      <c r="G1483" s="123"/>
      <c r="H1483" s="95">
        <v>45996</v>
      </c>
      <c r="I1483">
        <v>36187</v>
      </c>
      <c r="J1483" s="123" t="s">
        <v>311</v>
      </c>
      <c r="K1483" s="123" t="s">
        <v>1319</v>
      </c>
      <c r="L1483" s="123" t="e">
        <f>VLOOKUP(Fact_AUM_FyoCapital[[#This Row],[Dim_Empresas.CUIT]],'clientes SQL'!C:D,2,0)</f>
        <v>#N/A</v>
      </c>
    </row>
    <row r="1484" spans="1:12" hidden="1" x14ac:dyDescent="0.3">
      <c r="A1484">
        <v>1866397</v>
      </c>
      <c r="B1484">
        <v>20251205</v>
      </c>
      <c r="C1484">
        <v>1021</v>
      </c>
      <c r="D1484">
        <v>40006.33</v>
      </c>
      <c r="E1484" s="123" t="s">
        <v>1568</v>
      </c>
      <c r="F1484" s="123" t="s">
        <v>1572</v>
      </c>
      <c r="G1484" s="123" t="s">
        <v>1570</v>
      </c>
      <c r="H1484" s="95">
        <v>45996</v>
      </c>
      <c r="I1484">
        <v>13900</v>
      </c>
      <c r="J1484" s="123" t="s">
        <v>462</v>
      </c>
      <c r="K1484" s="123" t="s">
        <v>1211</v>
      </c>
      <c r="L1484" s="123" t="e">
        <f>VLOOKUP(Fact_AUM_FyoCapital[[#This Row],[Dim_Empresas.CUIT]],'clientes SQL'!C:D,2,0)</f>
        <v>#N/A</v>
      </c>
    </row>
    <row r="1485" spans="1:12" hidden="1" x14ac:dyDescent="0.3">
      <c r="A1485">
        <v>2619509</v>
      </c>
      <c r="B1485">
        <v>20251205</v>
      </c>
      <c r="C1485">
        <v>1099</v>
      </c>
      <c r="D1485">
        <v>26.69</v>
      </c>
      <c r="E1485" s="123" t="s">
        <v>1563</v>
      </c>
      <c r="F1485" s="123" t="s">
        <v>188</v>
      </c>
      <c r="G1485" s="123"/>
      <c r="H1485" s="95">
        <v>45996</v>
      </c>
      <c r="I1485">
        <v>18842</v>
      </c>
      <c r="J1485" s="123" t="s">
        <v>250</v>
      </c>
      <c r="K1485" s="123" t="s">
        <v>1287</v>
      </c>
      <c r="L1485" s="123" t="e">
        <f>VLOOKUP(Fact_AUM_FyoCapital[[#This Row],[Dim_Empresas.CUIT]],'clientes SQL'!C:D,2,0)</f>
        <v>#N/A</v>
      </c>
    </row>
    <row r="1486" spans="1:12" hidden="1" x14ac:dyDescent="0.3">
      <c r="A1486">
        <v>2621549</v>
      </c>
      <c r="B1486">
        <v>20251205</v>
      </c>
      <c r="C1486">
        <v>5486</v>
      </c>
      <c r="D1486">
        <v>-1.3171669004207573</v>
      </c>
      <c r="E1486" s="123" t="s">
        <v>1563</v>
      </c>
      <c r="F1486" s="123" t="s">
        <v>185</v>
      </c>
      <c r="G1486" s="123"/>
      <c r="H1486" s="95">
        <v>45996</v>
      </c>
      <c r="I1486">
        <v>33102</v>
      </c>
      <c r="J1486" s="123" t="s">
        <v>412</v>
      </c>
      <c r="K1486" s="123" t="s">
        <v>1410</v>
      </c>
      <c r="L1486" s="123" t="e">
        <f>VLOOKUP(Fact_AUM_FyoCapital[[#This Row],[Dim_Empresas.CUIT]],'clientes SQL'!C:D,2,0)</f>
        <v>#N/A</v>
      </c>
    </row>
    <row r="1487" spans="1:12" hidden="1" x14ac:dyDescent="0.3">
      <c r="A1487">
        <v>1861717</v>
      </c>
      <c r="B1487">
        <v>20251205</v>
      </c>
      <c r="C1487">
        <v>682</v>
      </c>
      <c r="D1487">
        <v>0</v>
      </c>
      <c r="E1487" s="123"/>
      <c r="F1487" s="123"/>
      <c r="G1487" s="123"/>
      <c r="H1487" s="95">
        <v>45996</v>
      </c>
      <c r="I1487">
        <v>9775</v>
      </c>
      <c r="J1487" s="123" t="s">
        <v>287</v>
      </c>
      <c r="K1487" s="123" t="s">
        <v>1320</v>
      </c>
      <c r="L1487" s="123" t="e">
        <f>VLOOKUP(Fact_AUM_FyoCapital[[#This Row],[Dim_Empresas.CUIT]],'clientes SQL'!C:D,2,0)</f>
        <v>#N/A</v>
      </c>
    </row>
    <row r="1488" spans="1:12" hidden="1" x14ac:dyDescent="0.3">
      <c r="A1488">
        <v>1853857</v>
      </c>
      <c r="B1488">
        <v>20251205</v>
      </c>
      <c r="C1488">
        <v>8016</v>
      </c>
      <c r="D1488">
        <v>6874.7751402524545</v>
      </c>
      <c r="E1488" s="123" t="s">
        <v>1568</v>
      </c>
      <c r="F1488" s="123" t="s">
        <v>1575</v>
      </c>
      <c r="G1488" s="123" t="s">
        <v>1574</v>
      </c>
      <c r="H1488" s="95">
        <v>45996</v>
      </c>
      <c r="I1488">
        <v>35240</v>
      </c>
      <c r="J1488" s="123" t="s">
        <v>411</v>
      </c>
      <c r="K1488" s="123" t="s">
        <v>1411</v>
      </c>
      <c r="L1488" s="123" t="e">
        <f>VLOOKUP(Fact_AUM_FyoCapital[[#This Row],[Dim_Empresas.CUIT]],'clientes SQL'!C:D,2,0)</f>
        <v>#N/A</v>
      </c>
    </row>
    <row r="1489" spans="1:12" hidden="1" x14ac:dyDescent="0.3">
      <c r="A1489">
        <v>1830937</v>
      </c>
      <c r="B1489">
        <v>20251205</v>
      </c>
      <c r="C1489">
        <v>6154</v>
      </c>
      <c r="D1489">
        <v>0</v>
      </c>
      <c r="E1489" s="123"/>
      <c r="F1489" s="123"/>
      <c r="G1489" s="123"/>
      <c r="H1489" s="95">
        <v>45996</v>
      </c>
      <c r="I1489">
        <v>34268</v>
      </c>
      <c r="J1489" s="123" t="s">
        <v>1141</v>
      </c>
      <c r="K1489" s="123" t="s">
        <v>1142</v>
      </c>
      <c r="L1489" s="123" t="e">
        <f>VLOOKUP(Fact_AUM_FyoCapital[[#This Row],[Dim_Empresas.CUIT]],'clientes SQL'!C:D,2,0)</f>
        <v>#N/A</v>
      </c>
    </row>
    <row r="1490" spans="1:12" hidden="1" x14ac:dyDescent="0.3">
      <c r="A1490">
        <v>1848877</v>
      </c>
      <c r="B1490">
        <v>20251205</v>
      </c>
      <c r="C1490">
        <v>15233</v>
      </c>
      <c r="D1490">
        <v>8.4751402524544179</v>
      </c>
      <c r="E1490" s="123" t="s">
        <v>1568</v>
      </c>
      <c r="F1490" s="123" t="s">
        <v>1572</v>
      </c>
      <c r="G1490" s="123" t="s">
        <v>1570</v>
      </c>
      <c r="H1490" s="95">
        <v>45996</v>
      </c>
      <c r="I1490">
        <v>37359</v>
      </c>
      <c r="J1490" s="123" t="s">
        <v>710</v>
      </c>
      <c r="K1490" s="123" t="s">
        <v>1232</v>
      </c>
      <c r="L1490" s="123" t="e">
        <f>VLOOKUP(Fact_AUM_FyoCapital[[#This Row],[Dim_Empresas.CUIT]],'clientes SQL'!C:D,2,0)</f>
        <v>#N/A</v>
      </c>
    </row>
    <row r="1491" spans="1:12" hidden="1" x14ac:dyDescent="0.3">
      <c r="A1491">
        <v>1860577</v>
      </c>
      <c r="B1491">
        <v>20251205</v>
      </c>
      <c r="C1491">
        <v>1437</v>
      </c>
      <c r="D1491">
        <v>481972.78</v>
      </c>
      <c r="E1491" s="123" t="s">
        <v>1566</v>
      </c>
      <c r="F1491" s="123" t="s">
        <v>1579</v>
      </c>
      <c r="G1491" s="123"/>
      <c r="H1491" s="95">
        <v>45996</v>
      </c>
      <c r="I1491">
        <v>19791</v>
      </c>
      <c r="J1491" s="123" t="s">
        <v>172</v>
      </c>
      <c r="K1491" s="123" t="s">
        <v>1223</v>
      </c>
      <c r="L1491" s="123">
        <f>VLOOKUP(Fact_AUM_FyoCapital[[#This Row],[Dim_Empresas.CUIT]],'clientes SQL'!C:D,2,0)</f>
        <v>20176</v>
      </c>
    </row>
    <row r="1492" spans="1:12" hidden="1" x14ac:dyDescent="0.3">
      <c r="A1492">
        <v>1869697</v>
      </c>
      <c r="B1492">
        <v>20251205</v>
      </c>
      <c r="C1492">
        <v>13361</v>
      </c>
      <c r="D1492">
        <v>106.19915848527349</v>
      </c>
      <c r="E1492" s="123" t="s">
        <v>1566</v>
      </c>
      <c r="F1492" s="123" t="s">
        <v>1580</v>
      </c>
      <c r="G1492" s="123"/>
      <c r="H1492" s="95">
        <v>45996</v>
      </c>
      <c r="I1492">
        <v>36541</v>
      </c>
      <c r="J1492" s="123" t="s">
        <v>454</v>
      </c>
      <c r="K1492" s="123" t="s">
        <v>1322</v>
      </c>
      <c r="L1492" s="123" t="e">
        <f>VLOOKUP(Fact_AUM_FyoCapital[[#This Row],[Dim_Empresas.CUIT]],'clientes SQL'!C:D,2,0)</f>
        <v>#N/A</v>
      </c>
    </row>
    <row r="1493" spans="1:12" hidden="1" x14ac:dyDescent="0.3">
      <c r="A1493">
        <v>2622869</v>
      </c>
      <c r="B1493">
        <v>20251205</v>
      </c>
      <c r="C1493">
        <v>10083</v>
      </c>
      <c r="D1493">
        <v>1.1553506311360449</v>
      </c>
      <c r="E1493" s="123" t="s">
        <v>1563</v>
      </c>
      <c r="F1493" s="123" t="s">
        <v>185</v>
      </c>
      <c r="G1493" s="123"/>
      <c r="H1493" s="95">
        <v>45996</v>
      </c>
      <c r="I1493">
        <v>35548</v>
      </c>
      <c r="J1493" s="123" t="s">
        <v>400</v>
      </c>
      <c r="K1493" s="123" t="s">
        <v>1228</v>
      </c>
      <c r="L1493" s="123" t="e">
        <f>VLOOKUP(Fact_AUM_FyoCapital[[#This Row],[Dim_Empresas.CUIT]],'clientes SQL'!C:D,2,0)</f>
        <v>#N/A</v>
      </c>
    </row>
    <row r="1494" spans="1:12" hidden="1" x14ac:dyDescent="0.3">
      <c r="A1494">
        <v>2607689</v>
      </c>
      <c r="B1494">
        <v>20251205</v>
      </c>
      <c r="C1494">
        <v>664</v>
      </c>
      <c r="D1494">
        <v>63752.629375876575</v>
      </c>
      <c r="E1494" s="123" t="s">
        <v>1568</v>
      </c>
      <c r="F1494" s="123" t="s">
        <v>1572</v>
      </c>
      <c r="G1494" s="123" t="s">
        <v>1574</v>
      </c>
      <c r="H1494" s="95">
        <v>45996</v>
      </c>
      <c r="I1494">
        <v>8097</v>
      </c>
      <c r="J1494" s="123" t="s">
        <v>822</v>
      </c>
      <c r="K1494" s="123" t="s">
        <v>1348</v>
      </c>
      <c r="L1494" s="123" t="e">
        <f>VLOOKUP(Fact_AUM_FyoCapital[[#This Row],[Dim_Empresas.CUIT]],'clientes SQL'!C:D,2,0)</f>
        <v>#N/A</v>
      </c>
    </row>
    <row r="1495" spans="1:12" hidden="1" x14ac:dyDescent="0.3">
      <c r="A1495">
        <v>1861477</v>
      </c>
      <c r="B1495">
        <v>20251205</v>
      </c>
      <c r="C1495">
        <v>682</v>
      </c>
      <c r="D1495">
        <v>0</v>
      </c>
      <c r="E1495" s="123"/>
      <c r="F1495" s="123"/>
      <c r="G1495" s="123"/>
      <c r="H1495" s="95">
        <v>45996</v>
      </c>
      <c r="I1495">
        <v>9775</v>
      </c>
      <c r="J1495" s="123" t="s">
        <v>287</v>
      </c>
      <c r="K1495" s="123" t="s">
        <v>1320</v>
      </c>
      <c r="L1495" s="123" t="e">
        <f>VLOOKUP(Fact_AUM_FyoCapital[[#This Row],[Dim_Empresas.CUIT]],'clientes SQL'!C:D,2,0)</f>
        <v>#N/A</v>
      </c>
    </row>
    <row r="1496" spans="1:12" hidden="1" x14ac:dyDescent="0.3">
      <c r="A1496">
        <v>1885237</v>
      </c>
      <c r="B1496">
        <v>20251205</v>
      </c>
      <c r="C1496">
        <v>3288</v>
      </c>
      <c r="D1496">
        <v>111506.67</v>
      </c>
      <c r="E1496" s="123" t="s">
        <v>1568</v>
      </c>
      <c r="F1496" s="123" t="s">
        <v>1575</v>
      </c>
      <c r="G1496" s="123" t="s">
        <v>1576</v>
      </c>
      <c r="H1496" s="95">
        <v>45996</v>
      </c>
      <c r="I1496">
        <v>31716</v>
      </c>
      <c r="J1496" s="123" t="s">
        <v>544</v>
      </c>
      <c r="K1496" s="123" t="s">
        <v>1353</v>
      </c>
      <c r="L1496" s="123" t="e">
        <f>VLOOKUP(Fact_AUM_FyoCapital[[#This Row],[Dim_Empresas.CUIT]],'clientes SQL'!C:D,2,0)</f>
        <v>#N/A</v>
      </c>
    </row>
    <row r="1497" spans="1:12" hidden="1" x14ac:dyDescent="0.3">
      <c r="A1497">
        <v>2631029</v>
      </c>
      <c r="B1497">
        <v>20251205</v>
      </c>
      <c r="C1497">
        <v>1566</v>
      </c>
      <c r="D1497">
        <v>17.95</v>
      </c>
      <c r="E1497" s="123" t="s">
        <v>1563</v>
      </c>
      <c r="F1497" s="123" t="s">
        <v>188</v>
      </c>
      <c r="G1497" s="123"/>
      <c r="H1497" s="95">
        <v>45996</v>
      </c>
      <c r="I1497">
        <v>20248</v>
      </c>
      <c r="J1497" s="123" t="s">
        <v>1249</v>
      </c>
      <c r="K1497" s="123" t="s">
        <v>1250</v>
      </c>
      <c r="L1497" s="123" t="e">
        <f>VLOOKUP(Fact_AUM_FyoCapital[[#This Row],[Dim_Empresas.CUIT]],'clientes SQL'!C:D,2,0)</f>
        <v>#N/A</v>
      </c>
    </row>
    <row r="1498" spans="1:12" hidden="1" x14ac:dyDescent="0.3">
      <c r="A1498">
        <v>2631389</v>
      </c>
      <c r="B1498">
        <v>20251205</v>
      </c>
      <c r="C1498">
        <v>95</v>
      </c>
      <c r="D1498">
        <v>2250.8039901823286</v>
      </c>
      <c r="E1498" s="123" t="s">
        <v>1563</v>
      </c>
      <c r="F1498" s="123" t="s">
        <v>185</v>
      </c>
      <c r="G1498" s="123"/>
      <c r="H1498" s="95">
        <v>45996</v>
      </c>
      <c r="I1498">
        <v>708</v>
      </c>
      <c r="J1498" s="123" t="s">
        <v>1241</v>
      </c>
      <c r="K1498" s="123" t="s">
        <v>1242</v>
      </c>
      <c r="L1498" s="123" t="e">
        <f>VLOOKUP(Fact_AUM_FyoCapital[[#This Row],[Dim_Empresas.CUIT]],'clientes SQL'!C:D,2,0)</f>
        <v>#N/A</v>
      </c>
    </row>
    <row r="1499" spans="1:12" hidden="1" x14ac:dyDescent="0.3">
      <c r="A1499">
        <v>2628449</v>
      </c>
      <c r="B1499">
        <v>20251205</v>
      </c>
      <c r="C1499">
        <v>1314</v>
      </c>
      <c r="D1499">
        <v>-30668.240722300143</v>
      </c>
      <c r="E1499" s="123" t="s">
        <v>1563</v>
      </c>
      <c r="F1499" s="123" t="s">
        <v>185</v>
      </c>
      <c r="G1499" s="123"/>
      <c r="H1499" s="95">
        <v>45996</v>
      </c>
      <c r="I1499">
        <v>19442</v>
      </c>
      <c r="J1499" s="123" t="s">
        <v>309</v>
      </c>
      <c r="K1499" s="123" t="s">
        <v>1112</v>
      </c>
      <c r="L1499" s="123" t="e">
        <f>VLOOKUP(Fact_AUM_FyoCapital[[#This Row],[Dim_Empresas.CUIT]],'clientes SQL'!C:D,2,0)</f>
        <v>#N/A</v>
      </c>
    </row>
    <row r="1500" spans="1:12" hidden="1" x14ac:dyDescent="0.3">
      <c r="A1500">
        <v>2627669</v>
      </c>
      <c r="B1500">
        <v>20251205</v>
      </c>
      <c r="C1500">
        <v>1437</v>
      </c>
      <c r="D1500">
        <v>2100</v>
      </c>
      <c r="E1500" s="123" t="s">
        <v>1563</v>
      </c>
      <c r="F1500" s="123" t="s">
        <v>801</v>
      </c>
      <c r="G1500" s="123"/>
      <c r="H1500" s="95">
        <v>45996</v>
      </c>
      <c r="I1500">
        <v>19791</v>
      </c>
      <c r="J1500" s="123" t="s">
        <v>172</v>
      </c>
      <c r="K1500" s="123" t="s">
        <v>1223</v>
      </c>
      <c r="L1500" s="123">
        <f>VLOOKUP(Fact_AUM_FyoCapital[[#This Row],[Dim_Empresas.CUIT]],'clientes SQL'!C:D,2,0)</f>
        <v>20176</v>
      </c>
    </row>
    <row r="1501" spans="1:12" hidden="1" x14ac:dyDescent="0.3">
      <c r="A1501">
        <v>1886797</v>
      </c>
      <c r="B1501">
        <v>20251205</v>
      </c>
      <c r="C1501">
        <v>6418</v>
      </c>
      <c r="D1501">
        <v>-350000</v>
      </c>
      <c r="E1501" s="123" t="s">
        <v>1566</v>
      </c>
      <c r="F1501" s="123" t="s">
        <v>1578</v>
      </c>
      <c r="G1501" s="123"/>
      <c r="H1501" s="95">
        <v>45996</v>
      </c>
      <c r="I1501">
        <v>4368</v>
      </c>
      <c r="J1501" s="123" t="s">
        <v>1168</v>
      </c>
      <c r="K1501" s="123" t="s">
        <v>1169</v>
      </c>
      <c r="L1501" s="123" t="e">
        <f>VLOOKUP(Fact_AUM_FyoCapital[[#This Row],[Dim_Empresas.CUIT]],'clientes SQL'!C:D,2,0)</f>
        <v>#N/A</v>
      </c>
    </row>
    <row r="1502" spans="1:12" hidden="1" x14ac:dyDescent="0.3">
      <c r="A1502">
        <v>1889437</v>
      </c>
      <c r="B1502">
        <v>20251205</v>
      </c>
      <c r="C1502">
        <v>739</v>
      </c>
      <c r="D1502">
        <v>119.08618513323982</v>
      </c>
      <c r="E1502" s="123" t="s">
        <v>1568</v>
      </c>
      <c r="F1502" s="123" t="s">
        <v>1572</v>
      </c>
      <c r="G1502" s="123" t="s">
        <v>1574</v>
      </c>
      <c r="H1502" s="95">
        <v>45996</v>
      </c>
      <c r="I1502">
        <v>8041</v>
      </c>
      <c r="J1502" s="123" t="s">
        <v>1404</v>
      </c>
      <c r="K1502" s="123" t="s">
        <v>1405</v>
      </c>
      <c r="L1502" s="123" t="e">
        <f>VLOOKUP(Fact_AUM_FyoCapital[[#This Row],[Dim_Empresas.CUIT]],'clientes SQL'!C:D,2,0)</f>
        <v>#N/A</v>
      </c>
    </row>
    <row r="1503" spans="1:12" hidden="1" x14ac:dyDescent="0.3">
      <c r="A1503">
        <v>2598629</v>
      </c>
      <c r="B1503">
        <v>20251205</v>
      </c>
      <c r="C1503">
        <v>14905</v>
      </c>
      <c r="D1503">
        <v>22779.69</v>
      </c>
      <c r="E1503" s="123" t="s">
        <v>1566</v>
      </c>
      <c r="F1503" s="123" t="s">
        <v>1578</v>
      </c>
      <c r="G1503" s="123"/>
      <c r="H1503" s="95">
        <v>45996</v>
      </c>
      <c r="I1503">
        <v>37115</v>
      </c>
      <c r="J1503" s="123" t="s">
        <v>701</v>
      </c>
      <c r="K1503" s="123" t="s">
        <v>1330</v>
      </c>
      <c r="L1503" s="123" t="e">
        <f>VLOOKUP(Fact_AUM_FyoCapital[[#This Row],[Dim_Empresas.CUIT]],'clientes SQL'!C:D,2,0)</f>
        <v>#N/A</v>
      </c>
    </row>
    <row r="1504" spans="1:12" hidden="1" x14ac:dyDescent="0.3">
      <c r="A1504">
        <v>1859557</v>
      </c>
      <c r="B1504">
        <v>20251205</v>
      </c>
      <c r="C1504">
        <v>16447</v>
      </c>
      <c r="D1504">
        <v>7.0126227208976159E-6</v>
      </c>
      <c r="E1504" s="123" t="s">
        <v>1568</v>
      </c>
      <c r="F1504" s="123" t="s">
        <v>1572</v>
      </c>
      <c r="G1504" s="123" t="s">
        <v>1574</v>
      </c>
      <c r="H1504" s="95">
        <v>45996</v>
      </c>
      <c r="I1504">
        <v>37899</v>
      </c>
      <c r="J1504" s="123" t="s">
        <v>1368</v>
      </c>
      <c r="K1504" s="123" t="s">
        <v>1369</v>
      </c>
      <c r="L1504" s="123" t="e">
        <f>VLOOKUP(Fact_AUM_FyoCapital[[#This Row],[Dim_Empresas.CUIT]],'clientes SQL'!C:D,2,0)</f>
        <v>#N/A</v>
      </c>
    </row>
    <row r="1505" spans="1:12" hidden="1" x14ac:dyDescent="0.3">
      <c r="A1505">
        <v>2642969</v>
      </c>
      <c r="B1505">
        <v>20251205</v>
      </c>
      <c r="C1505">
        <v>387</v>
      </c>
      <c r="D1505">
        <v>-1001</v>
      </c>
      <c r="E1505" s="123" t="s">
        <v>1563</v>
      </c>
      <c r="F1505" s="123" t="s">
        <v>801</v>
      </c>
      <c r="G1505" s="123"/>
      <c r="H1505" s="95">
        <v>45996</v>
      </c>
      <c r="I1505">
        <v>7412</v>
      </c>
      <c r="J1505" s="123" t="s">
        <v>589</v>
      </c>
      <c r="K1505" s="123" t="s">
        <v>1427</v>
      </c>
      <c r="L1505" s="123" t="e">
        <f>VLOOKUP(Fact_AUM_FyoCapital[[#This Row],[Dim_Empresas.CUIT]],'clientes SQL'!C:D,2,0)</f>
        <v>#N/A</v>
      </c>
    </row>
    <row r="1506" spans="1:12" hidden="1" x14ac:dyDescent="0.3">
      <c r="A1506">
        <v>1859377</v>
      </c>
      <c r="B1506">
        <v>20251205</v>
      </c>
      <c r="C1506">
        <v>3713</v>
      </c>
      <c r="D1506">
        <v>21943.602854137447</v>
      </c>
      <c r="E1506" s="123" t="s">
        <v>1568</v>
      </c>
      <c r="F1506" s="123" t="s">
        <v>1572</v>
      </c>
      <c r="G1506" s="123" t="s">
        <v>1584</v>
      </c>
      <c r="H1506" s="95">
        <v>45996</v>
      </c>
      <c r="I1506">
        <v>32219</v>
      </c>
      <c r="J1506" s="123" t="s">
        <v>804</v>
      </c>
      <c r="K1506" s="123" t="s">
        <v>1429</v>
      </c>
      <c r="L1506" s="123" t="e">
        <f>VLOOKUP(Fact_AUM_FyoCapital[[#This Row],[Dim_Empresas.CUIT]],'clientes SQL'!C:D,2,0)</f>
        <v>#N/A</v>
      </c>
    </row>
    <row r="1507" spans="1:12" hidden="1" x14ac:dyDescent="0.3">
      <c r="A1507">
        <v>2603789</v>
      </c>
      <c r="B1507">
        <v>20251205</v>
      </c>
      <c r="C1507">
        <v>7012</v>
      </c>
      <c r="D1507">
        <v>11074.15</v>
      </c>
      <c r="E1507" s="123" t="s">
        <v>1566</v>
      </c>
      <c r="F1507" s="123" t="s">
        <v>1579</v>
      </c>
      <c r="G1507" s="123"/>
      <c r="H1507" s="95">
        <v>45996</v>
      </c>
      <c r="I1507">
        <v>34708</v>
      </c>
      <c r="J1507" s="123" t="s">
        <v>626</v>
      </c>
      <c r="K1507" s="123" t="s">
        <v>1203</v>
      </c>
      <c r="L1507" s="123" t="e">
        <f>VLOOKUP(Fact_AUM_FyoCapital[[#This Row],[Dim_Empresas.CUIT]],'clientes SQL'!C:D,2,0)</f>
        <v>#N/A</v>
      </c>
    </row>
    <row r="1508" spans="1:12" hidden="1" x14ac:dyDescent="0.3">
      <c r="A1508">
        <v>2624849</v>
      </c>
      <c r="B1508">
        <v>20251205</v>
      </c>
      <c r="C1508">
        <v>2299</v>
      </c>
      <c r="D1508">
        <v>-7.0000000000000007E-2</v>
      </c>
      <c r="E1508" s="123" t="s">
        <v>1563</v>
      </c>
      <c r="F1508" s="123" t="s">
        <v>188</v>
      </c>
      <c r="G1508" s="123"/>
      <c r="H1508" s="95">
        <v>45996</v>
      </c>
      <c r="I1508">
        <v>30388</v>
      </c>
      <c r="J1508" s="123" t="s">
        <v>290</v>
      </c>
      <c r="K1508" s="123" t="s">
        <v>1160</v>
      </c>
      <c r="L1508" s="123" t="e">
        <f>VLOOKUP(Fact_AUM_FyoCapital[[#This Row],[Dim_Empresas.CUIT]],'clientes SQL'!C:D,2,0)</f>
        <v>#N/A</v>
      </c>
    </row>
    <row r="1509" spans="1:12" hidden="1" x14ac:dyDescent="0.3">
      <c r="A1509">
        <v>1826917</v>
      </c>
      <c r="B1509">
        <v>20251205</v>
      </c>
      <c r="C1509">
        <v>1277</v>
      </c>
      <c r="D1509">
        <v>4105862.1942706872</v>
      </c>
      <c r="E1509" s="123" t="s">
        <v>1568</v>
      </c>
      <c r="F1509" s="123" t="s">
        <v>1572</v>
      </c>
      <c r="G1509" s="123" t="s">
        <v>1570</v>
      </c>
      <c r="H1509" s="95">
        <v>45996</v>
      </c>
      <c r="I1509">
        <v>19100</v>
      </c>
      <c r="J1509" s="123" t="s">
        <v>254</v>
      </c>
      <c r="K1509" s="123" t="s">
        <v>1240</v>
      </c>
      <c r="L1509" s="123" t="e">
        <f>VLOOKUP(Fact_AUM_FyoCapital[[#This Row],[Dim_Empresas.CUIT]],'clientes SQL'!C:D,2,0)</f>
        <v>#N/A</v>
      </c>
    </row>
    <row r="1510" spans="1:12" hidden="1" x14ac:dyDescent="0.3">
      <c r="A1510">
        <v>2602469</v>
      </c>
      <c r="B1510">
        <v>20251205</v>
      </c>
      <c r="C1510">
        <v>640</v>
      </c>
      <c r="D1510">
        <v>48146.15</v>
      </c>
      <c r="E1510" s="123" t="s">
        <v>1566</v>
      </c>
      <c r="F1510" s="123" t="s">
        <v>1578</v>
      </c>
      <c r="G1510" s="123"/>
      <c r="H1510" s="95">
        <v>45996</v>
      </c>
      <c r="I1510">
        <v>8261</v>
      </c>
      <c r="J1510" s="123" t="s">
        <v>431</v>
      </c>
      <c r="K1510" s="123" t="s">
        <v>1192</v>
      </c>
      <c r="L1510" s="123" t="e">
        <f>VLOOKUP(Fact_AUM_FyoCapital[[#This Row],[Dim_Empresas.CUIT]],'clientes SQL'!C:D,2,0)</f>
        <v>#N/A</v>
      </c>
    </row>
    <row r="1511" spans="1:12" hidden="1" x14ac:dyDescent="0.3">
      <c r="A1511">
        <v>2618789</v>
      </c>
      <c r="B1511">
        <v>20251205</v>
      </c>
      <c r="C1511">
        <v>14750</v>
      </c>
      <c r="D1511">
        <v>39.36</v>
      </c>
      <c r="E1511" s="123" t="s">
        <v>1563</v>
      </c>
      <c r="F1511" s="123" t="s">
        <v>950</v>
      </c>
      <c r="G1511" s="123"/>
      <c r="H1511" s="95">
        <v>45996</v>
      </c>
      <c r="I1511">
        <v>36994</v>
      </c>
      <c r="J1511" s="123" t="s">
        <v>1402</v>
      </c>
      <c r="K1511" s="123" t="s">
        <v>1403</v>
      </c>
      <c r="L1511" s="123" t="e">
        <f>VLOOKUP(Fact_AUM_FyoCapital[[#This Row],[Dim_Empresas.CUIT]],'clientes SQL'!C:D,2,0)</f>
        <v>#N/A</v>
      </c>
    </row>
    <row r="1512" spans="1:12" hidden="1" x14ac:dyDescent="0.3">
      <c r="A1512">
        <v>2626289</v>
      </c>
      <c r="B1512">
        <v>20251205</v>
      </c>
      <c r="C1512">
        <v>1021</v>
      </c>
      <c r="D1512">
        <v>26.49</v>
      </c>
      <c r="E1512" s="123" t="s">
        <v>1563</v>
      </c>
      <c r="F1512" s="123" t="s">
        <v>950</v>
      </c>
      <c r="G1512" s="123"/>
      <c r="H1512" s="95">
        <v>45996</v>
      </c>
      <c r="I1512">
        <v>13900</v>
      </c>
      <c r="J1512" s="123" t="s">
        <v>462</v>
      </c>
      <c r="K1512" s="123" t="s">
        <v>1211</v>
      </c>
      <c r="L1512" s="123" t="e">
        <f>VLOOKUP(Fact_AUM_FyoCapital[[#This Row],[Dim_Empresas.CUIT]],'clientes SQL'!C:D,2,0)</f>
        <v>#N/A</v>
      </c>
    </row>
    <row r="1513" spans="1:12" hidden="1" x14ac:dyDescent="0.3">
      <c r="A1513">
        <v>1893877</v>
      </c>
      <c r="B1513">
        <v>20251205</v>
      </c>
      <c r="C1513">
        <v>2225</v>
      </c>
      <c r="D1513">
        <v>203.73084852734922</v>
      </c>
      <c r="E1513" s="123" t="s">
        <v>1568</v>
      </c>
      <c r="F1513" s="123" t="s">
        <v>1572</v>
      </c>
      <c r="G1513" s="123" t="s">
        <v>1577</v>
      </c>
      <c r="H1513" s="95">
        <v>45996</v>
      </c>
      <c r="I1513">
        <v>30253</v>
      </c>
      <c r="J1513" s="123" t="s">
        <v>577</v>
      </c>
      <c r="K1513" s="123" t="s">
        <v>1217</v>
      </c>
      <c r="L1513" s="123" t="e">
        <f>VLOOKUP(Fact_AUM_FyoCapital[[#This Row],[Dim_Empresas.CUIT]],'clientes SQL'!C:D,2,0)</f>
        <v>#N/A</v>
      </c>
    </row>
    <row r="1514" spans="1:12" hidden="1" x14ac:dyDescent="0.3">
      <c r="A1514">
        <v>1865557</v>
      </c>
      <c r="B1514">
        <v>20251205</v>
      </c>
      <c r="C1514">
        <v>4531</v>
      </c>
      <c r="D1514">
        <v>95570.502594670397</v>
      </c>
      <c r="E1514" s="123" t="s">
        <v>1568</v>
      </c>
      <c r="F1514" s="123" t="s">
        <v>1572</v>
      </c>
      <c r="G1514" s="123" t="s">
        <v>1574</v>
      </c>
      <c r="H1514" s="95">
        <v>45996</v>
      </c>
      <c r="I1514">
        <v>3422</v>
      </c>
      <c r="J1514" s="123" t="s">
        <v>498</v>
      </c>
      <c r="K1514" s="123" t="s">
        <v>1231</v>
      </c>
      <c r="L1514" s="123" t="e">
        <f>VLOOKUP(Fact_AUM_FyoCapital[[#This Row],[Dim_Empresas.CUIT]],'clientes SQL'!C:D,2,0)</f>
        <v>#N/A</v>
      </c>
    </row>
    <row r="1515" spans="1:12" hidden="1" x14ac:dyDescent="0.3">
      <c r="A1515">
        <v>1839577</v>
      </c>
      <c r="B1515">
        <v>20251205</v>
      </c>
      <c r="C1515">
        <v>5868</v>
      </c>
      <c r="D1515">
        <v>3782.9032258064517</v>
      </c>
      <c r="E1515" s="123" t="s">
        <v>1566</v>
      </c>
      <c r="F1515" s="123" t="s">
        <v>1580</v>
      </c>
      <c r="G1515" s="123"/>
      <c r="H1515" s="95">
        <v>45996</v>
      </c>
      <c r="I1515">
        <v>33580</v>
      </c>
      <c r="J1515" s="123" t="s">
        <v>348</v>
      </c>
      <c r="K1515" s="123" t="s">
        <v>1277</v>
      </c>
      <c r="L1515" s="123" t="e">
        <f>VLOOKUP(Fact_AUM_FyoCapital[[#This Row],[Dim_Empresas.CUIT]],'clientes SQL'!C:D,2,0)</f>
        <v>#N/A</v>
      </c>
    </row>
    <row r="1516" spans="1:12" hidden="1" x14ac:dyDescent="0.3">
      <c r="A1516">
        <v>2604569</v>
      </c>
      <c r="B1516">
        <v>20251205</v>
      </c>
      <c r="C1516">
        <v>5999</v>
      </c>
      <c r="D1516">
        <v>22.559530154277699</v>
      </c>
      <c r="E1516" s="123" t="s">
        <v>1568</v>
      </c>
      <c r="F1516" s="123" t="s">
        <v>1572</v>
      </c>
      <c r="G1516" s="123" t="s">
        <v>1570</v>
      </c>
      <c r="H1516" s="95">
        <v>45996</v>
      </c>
      <c r="I1516">
        <v>33276</v>
      </c>
      <c r="J1516" s="123" t="s">
        <v>622</v>
      </c>
      <c r="K1516" s="123" t="s">
        <v>1246</v>
      </c>
      <c r="L1516" s="123" t="e">
        <f>VLOOKUP(Fact_AUM_FyoCapital[[#This Row],[Dim_Empresas.CUIT]],'clientes SQL'!C:D,2,0)</f>
        <v>#N/A</v>
      </c>
    </row>
    <row r="1517" spans="1:12" hidden="1" x14ac:dyDescent="0.3">
      <c r="A1517">
        <v>1890457</v>
      </c>
      <c r="B1517">
        <v>20251205</v>
      </c>
      <c r="C1517">
        <v>1853</v>
      </c>
      <c r="D1517">
        <v>0</v>
      </c>
      <c r="E1517" s="123"/>
      <c r="F1517" s="123"/>
      <c r="G1517" s="123"/>
      <c r="H1517" s="95">
        <v>45996</v>
      </c>
      <c r="I1517">
        <v>19392</v>
      </c>
      <c r="J1517" s="123" t="s">
        <v>1309</v>
      </c>
      <c r="K1517" s="123" t="s">
        <v>1310</v>
      </c>
      <c r="L1517" s="123" t="e">
        <f>VLOOKUP(Fact_AUM_FyoCapital[[#This Row],[Dim_Empresas.CUIT]],'clientes SQL'!C:D,2,0)</f>
        <v>#N/A</v>
      </c>
    </row>
    <row r="1518" spans="1:12" hidden="1" x14ac:dyDescent="0.3">
      <c r="A1518">
        <v>1902337</v>
      </c>
      <c r="B1518">
        <v>20251205</v>
      </c>
      <c r="C1518">
        <v>14873</v>
      </c>
      <c r="D1518">
        <v>693.21178120617105</v>
      </c>
      <c r="E1518" s="123" t="s">
        <v>1566</v>
      </c>
      <c r="F1518" s="123" t="s">
        <v>1573</v>
      </c>
      <c r="G1518" s="123"/>
      <c r="H1518" s="95">
        <v>45996</v>
      </c>
      <c r="I1518">
        <v>37088</v>
      </c>
      <c r="J1518" s="123" t="s">
        <v>571</v>
      </c>
      <c r="K1518" s="123" t="s">
        <v>1269</v>
      </c>
      <c r="L1518" s="123" t="e">
        <f>VLOOKUP(Fact_AUM_FyoCapital[[#This Row],[Dim_Empresas.CUIT]],'clientes SQL'!C:D,2,0)</f>
        <v>#N/A</v>
      </c>
    </row>
    <row r="1519" spans="1:12" hidden="1" x14ac:dyDescent="0.3">
      <c r="A1519">
        <v>2608349</v>
      </c>
      <c r="B1519">
        <v>20251205</v>
      </c>
      <c r="C1519">
        <v>920</v>
      </c>
      <c r="D1519" s="6">
        <v>-4.2075736325385694E-5</v>
      </c>
      <c r="E1519" s="123" t="s">
        <v>1563</v>
      </c>
      <c r="F1519" s="123" t="s">
        <v>185</v>
      </c>
      <c r="G1519" s="123"/>
      <c r="H1519" s="95">
        <v>45996</v>
      </c>
      <c r="I1519">
        <v>18292</v>
      </c>
      <c r="J1519" s="123" t="s">
        <v>243</v>
      </c>
      <c r="K1519" s="123" t="s">
        <v>1315</v>
      </c>
      <c r="L1519" s="123" t="e">
        <f>VLOOKUP(Fact_AUM_FyoCapital[[#This Row],[Dim_Empresas.CUIT]],'clientes SQL'!C:D,2,0)</f>
        <v>#N/A</v>
      </c>
    </row>
    <row r="1520" spans="1:12" hidden="1" x14ac:dyDescent="0.3">
      <c r="A1520">
        <v>1888117</v>
      </c>
      <c r="B1520">
        <v>20251205</v>
      </c>
      <c r="C1520">
        <v>15937</v>
      </c>
      <c r="D1520">
        <v>335539.05</v>
      </c>
      <c r="E1520" s="123" t="s">
        <v>1566</v>
      </c>
      <c r="F1520" s="123" t="s">
        <v>1578</v>
      </c>
      <c r="G1520" s="123"/>
      <c r="H1520" s="95">
        <v>45996</v>
      </c>
      <c r="I1520">
        <v>37489</v>
      </c>
      <c r="J1520" s="123" t="s">
        <v>688</v>
      </c>
      <c r="K1520" s="123" t="s">
        <v>1290</v>
      </c>
      <c r="L1520" s="123" t="e">
        <f>VLOOKUP(Fact_AUM_FyoCapital[[#This Row],[Dim_Empresas.CUIT]],'clientes SQL'!C:D,2,0)</f>
        <v>#N/A</v>
      </c>
    </row>
    <row r="1521" spans="1:12" hidden="1" x14ac:dyDescent="0.3">
      <c r="A1521">
        <v>2642909</v>
      </c>
      <c r="B1521">
        <v>20251205</v>
      </c>
      <c r="C1521">
        <v>387</v>
      </c>
      <c r="D1521">
        <v>-145.9576507713885</v>
      </c>
      <c r="E1521" s="123" t="s">
        <v>1563</v>
      </c>
      <c r="F1521" s="123" t="s">
        <v>185</v>
      </c>
      <c r="G1521" s="123"/>
      <c r="H1521" s="95">
        <v>45996</v>
      </c>
      <c r="I1521">
        <v>7412</v>
      </c>
      <c r="J1521" s="123" t="s">
        <v>589</v>
      </c>
      <c r="K1521" s="123" t="s">
        <v>1427</v>
      </c>
      <c r="L1521" s="123" t="e">
        <f>VLOOKUP(Fact_AUM_FyoCapital[[#This Row],[Dim_Empresas.CUIT]],'clientes SQL'!C:D,2,0)</f>
        <v>#N/A</v>
      </c>
    </row>
    <row r="1522" spans="1:12" hidden="1" x14ac:dyDescent="0.3">
      <c r="A1522">
        <v>1840537</v>
      </c>
      <c r="B1522">
        <v>20251205</v>
      </c>
      <c r="C1522">
        <v>5251</v>
      </c>
      <c r="D1522">
        <v>0</v>
      </c>
      <c r="E1522" s="123"/>
      <c r="F1522" s="123"/>
      <c r="G1522" s="123"/>
      <c r="H1522" s="95">
        <v>45996</v>
      </c>
      <c r="I1522">
        <v>33173</v>
      </c>
      <c r="J1522" s="123" t="s">
        <v>341</v>
      </c>
      <c r="K1522" s="123" t="s">
        <v>1318</v>
      </c>
      <c r="L1522" s="123" t="e">
        <f>VLOOKUP(Fact_AUM_FyoCapital[[#This Row],[Dim_Empresas.CUIT]],'clientes SQL'!C:D,2,0)</f>
        <v>#N/A</v>
      </c>
    </row>
    <row r="1523" spans="1:12" hidden="1" x14ac:dyDescent="0.3">
      <c r="A1523">
        <v>1856017</v>
      </c>
      <c r="B1523">
        <v>20251205</v>
      </c>
      <c r="C1523">
        <v>12829</v>
      </c>
      <c r="D1523">
        <v>10049.280000000001</v>
      </c>
      <c r="E1523" s="123" t="s">
        <v>1568</v>
      </c>
      <c r="F1523" s="123" t="s">
        <v>1572</v>
      </c>
      <c r="G1523" s="123" t="s">
        <v>1576</v>
      </c>
      <c r="H1523" s="95">
        <v>45996</v>
      </c>
      <c r="I1523">
        <v>36053</v>
      </c>
      <c r="J1523" s="123" t="s">
        <v>369</v>
      </c>
      <c r="K1523" s="123" t="s">
        <v>1382</v>
      </c>
      <c r="L1523" s="123" t="e">
        <f>VLOOKUP(Fact_AUM_FyoCapital[[#This Row],[Dim_Empresas.CUIT]],'clientes SQL'!C:D,2,0)</f>
        <v>#N/A</v>
      </c>
    </row>
    <row r="1524" spans="1:12" hidden="1" x14ac:dyDescent="0.3">
      <c r="A1524">
        <v>1872217</v>
      </c>
      <c r="B1524">
        <v>20251205</v>
      </c>
      <c r="C1524">
        <v>13719</v>
      </c>
      <c r="D1524">
        <v>0</v>
      </c>
      <c r="E1524" s="123"/>
      <c r="F1524" s="123"/>
      <c r="G1524" s="123"/>
      <c r="H1524" s="95">
        <v>45996</v>
      </c>
      <c r="I1524">
        <v>36879</v>
      </c>
      <c r="J1524" s="123" t="s">
        <v>1340</v>
      </c>
      <c r="K1524" s="123" t="s">
        <v>1341</v>
      </c>
      <c r="L1524" s="123" t="e">
        <f>VLOOKUP(Fact_AUM_FyoCapital[[#This Row],[Dim_Empresas.CUIT]],'clientes SQL'!C:D,2,0)</f>
        <v>#N/A</v>
      </c>
    </row>
    <row r="1525" spans="1:12" hidden="1" x14ac:dyDescent="0.3">
      <c r="A1525">
        <v>2603129</v>
      </c>
      <c r="B1525">
        <v>20251205</v>
      </c>
      <c r="C1525">
        <v>1628</v>
      </c>
      <c r="D1525">
        <v>1.4025245441795232E-4</v>
      </c>
      <c r="E1525" s="123" t="s">
        <v>1568</v>
      </c>
      <c r="F1525" s="123" t="s">
        <v>1572</v>
      </c>
      <c r="G1525" s="123" t="s">
        <v>1574</v>
      </c>
      <c r="H1525" s="95">
        <v>45996</v>
      </c>
      <c r="I1525">
        <v>20351</v>
      </c>
      <c r="J1525" s="123" t="s">
        <v>1163</v>
      </c>
      <c r="K1525" s="123" t="s">
        <v>1164</v>
      </c>
      <c r="L1525" s="123" t="e">
        <f>VLOOKUP(Fact_AUM_FyoCapital[[#This Row],[Dim_Empresas.CUIT]],'clientes SQL'!C:D,2,0)</f>
        <v>#N/A</v>
      </c>
    </row>
    <row r="1526" spans="1:12" hidden="1" x14ac:dyDescent="0.3">
      <c r="A1526">
        <v>2617289</v>
      </c>
      <c r="B1526">
        <v>20251205</v>
      </c>
      <c r="C1526">
        <v>7</v>
      </c>
      <c r="D1526">
        <v>-1862.6700210378683</v>
      </c>
      <c r="E1526" s="123" t="s">
        <v>1563</v>
      </c>
      <c r="F1526" s="123" t="s">
        <v>185</v>
      </c>
      <c r="G1526" s="123"/>
      <c r="H1526" s="95">
        <v>45996</v>
      </c>
      <c r="I1526">
        <v>5181</v>
      </c>
      <c r="J1526" s="123" t="s">
        <v>212</v>
      </c>
      <c r="K1526" s="123" t="s">
        <v>1238</v>
      </c>
      <c r="L1526" s="123" t="e">
        <f>VLOOKUP(Fact_AUM_FyoCapital[[#This Row],[Dim_Empresas.CUIT]],'clientes SQL'!C:D,2,0)</f>
        <v>#N/A</v>
      </c>
    </row>
    <row r="1527" spans="1:12" hidden="1" x14ac:dyDescent="0.3">
      <c r="A1527">
        <v>1894117</v>
      </c>
      <c r="B1527">
        <v>20251205</v>
      </c>
      <c r="C1527">
        <v>7139</v>
      </c>
      <c r="D1527">
        <v>7190.48</v>
      </c>
      <c r="E1527" s="123" t="s">
        <v>1566</v>
      </c>
      <c r="F1527" s="123" t="s">
        <v>1579</v>
      </c>
      <c r="G1527" s="123"/>
      <c r="H1527" s="95">
        <v>45996</v>
      </c>
      <c r="I1527">
        <v>34790</v>
      </c>
      <c r="J1527" s="123" t="s">
        <v>598</v>
      </c>
      <c r="K1527" s="123" t="s">
        <v>1201</v>
      </c>
      <c r="L1527" s="123" t="e">
        <f>VLOOKUP(Fact_AUM_FyoCapital[[#This Row],[Dim_Empresas.CUIT]],'clientes SQL'!C:D,2,0)</f>
        <v>#N/A</v>
      </c>
    </row>
    <row r="1528" spans="1:12" hidden="1" x14ac:dyDescent="0.3">
      <c r="A1528">
        <v>1899937</v>
      </c>
      <c r="B1528">
        <v>20251205</v>
      </c>
      <c r="C1528">
        <v>13188</v>
      </c>
      <c r="D1528">
        <v>0</v>
      </c>
      <c r="E1528" s="123"/>
      <c r="F1528" s="123"/>
      <c r="G1528" s="123"/>
      <c r="H1528" s="95">
        <v>45996</v>
      </c>
      <c r="I1528">
        <v>36372</v>
      </c>
      <c r="J1528" s="123" t="s">
        <v>573</v>
      </c>
      <c r="K1528" s="123" t="s">
        <v>1303</v>
      </c>
      <c r="L1528" s="123" t="e">
        <f>VLOOKUP(Fact_AUM_FyoCapital[[#This Row],[Dim_Empresas.CUIT]],'clientes SQL'!C:D,2,0)</f>
        <v>#N/A</v>
      </c>
    </row>
    <row r="1529" spans="1:12" hidden="1" x14ac:dyDescent="0.3">
      <c r="A1529">
        <v>1897297</v>
      </c>
      <c r="B1529">
        <v>20251205</v>
      </c>
      <c r="C1529">
        <v>10253</v>
      </c>
      <c r="D1529">
        <v>579512.06171107991</v>
      </c>
      <c r="E1529" s="123" t="s">
        <v>1566</v>
      </c>
      <c r="F1529" s="123" t="s">
        <v>1573</v>
      </c>
      <c r="G1529" s="123"/>
      <c r="H1529" s="95">
        <v>45996</v>
      </c>
      <c r="I1529">
        <v>35643</v>
      </c>
      <c r="J1529" s="123" t="s">
        <v>603</v>
      </c>
      <c r="K1529" s="123" t="s">
        <v>1220</v>
      </c>
      <c r="L1529" s="123" t="e">
        <f>VLOOKUP(Fact_AUM_FyoCapital[[#This Row],[Dim_Empresas.CUIT]],'clientes SQL'!C:D,2,0)</f>
        <v>#N/A</v>
      </c>
    </row>
    <row r="1530" spans="1:12" hidden="1" x14ac:dyDescent="0.3">
      <c r="A1530">
        <v>2632529</v>
      </c>
      <c r="B1530">
        <v>20251205</v>
      </c>
      <c r="C1530">
        <v>95</v>
      </c>
      <c r="D1530">
        <v>-400497.78</v>
      </c>
      <c r="E1530" s="123" t="s">
        <v>1563</v>
      </c>
      <c r="F1530" s="123" t="s">
        <v>801</v>
      </c>
      <c r="G1530" s="123"/>
      <c r="H1530" s="95">
        <v>45996</v>
      </c>
      <c r="I1530">
        <v>708</v>
      </c>
      <c r="J1530" s="123" t="s">
        <v>1241</v>
      </c>
      <c r="K1530" s="123" t="s">
        <v>1242</v>
      </c>
      <c r="L1530" s="123" t="e">
        <f>VLOOKUP(Fact_AUM_FyoCapital[[#This Row],[Dim_Empresas.CUIT]],'clientes SQL'!C:D,2,0)</f>
        <v>#N/A</v>
      </c>
    </row>
    <row r="1531" spans="1:12" hidden="1" x14ac:dyDescent="0.3">
      <c r="A1531">
        <v>1857997</v>
      </c>
      <c r="B1531">
        <v>20251205</v>
      </c>
      <c r="C1531">
        <v>1191</v>
      </c>
      <c r="D1531">
        <v>0</v>
      </c>
      <c r="E1531" s="123"/>
      <c r="F1531" s="123"/>
      <c r="G1531" s="123"/>
      <c r="H1531" s="95">
        <v>45996</v>
      </c>
      <c r="I1531">
        <v>18954</v>
      </c>
      <c r="J1531" s="123" t="s">
        <v>1247</v>
      </c>
      <c r="K1531" s="123" t="s">
        <v>1248</v>
      </c>
      <c r="L1531" s="123" t="e">
        <f>VLOOKUP(Fact_AUM_FyoCapital[[#This Row],[Dim_Empresas.CUIT]],'clientes SQL'!C:D,2,0)</f>
        <v>#N/A</v>
      </c>
    </row>
    <row r="1532" spans="1:12" hidden="1" x14ac:dyDescent="0.3">
      <c r="A1532">
        <v>1884217</v>
      </c>
      <c r="B1532">
        <v>20251205</v>
      </c>
      <c r="C1532">
        <v>847</v>
      </c>
      <c r="D1532">
        <v>35716.461746143061</v>
      </c>
      <c r="E1532" s="123" t="s">
        <v>1568</v>
      </c>
      <c r="F1532" s="123" t="s">
        <v>1569</v>
      </c>
      <c r="G1532" s="123" t="s">
        <v>1576</v>
      </c>
      <c r="H1532" s="95">
        <v>45996</v>
      </c>
      <c r="I1532">
        <v>17681</v>
      </c>
      <c r="J1532" s="123" t="s">
        <v>1209</v>
      </c>
      <c r="K1532" s="123" t="s">
        <v>1210</v>
      </c>
      <c r="L1532" s="123" t="e">
        <f>VLOOKUP(Fact_AUM_FyoCapital[[#This Row],[Dim_Empresas.CUIT]],'clientes SQL'!C:D,2,0)</f>
        <v>#N/A</v>
      </c>
    </row>
    <row r="1533" spans="1:12" hidden="1" x14ac:dyDescent="0.3">
      <c r="A1533">
        <v>1902757</v>
      </c>
      <c r="B1533">
        <v>20251205</v>
      </c>
      <c r="C1533">
        <v>14876</v>
      </c>
      <c r="D1533">
        <v>547.04</v>
      </c>
      <c r="E1533" s="123" t="s">
        <v>1566</v>
      </c>
      <c r="F1533" s="123" t="s">
        <v>1571</v>
      </c>
      <c r="G1533" s="123"/>
      <c r="H1533" s="95">
        <v>45996</v>
      </c>
      <c r="I1533">
        <v>37091</v>
      </c>
      <c r="J1533" s="123" t="s">
        <v>604</v>
      </c>
      <c r="K1533" s="123" t="s">
        <v>1293</v>
      </c>
      <c r="L1533" s="123" t="e">
        <f>VLOOKUP(Fact_AUM_FyoCapital[[#This Row],[Dim_Empresas.CUIT]],'clientes SQL'!C:D,2,0)</f>
        <v>#N/A</v>
      </c>
    </row>
    <row r="1534" spans="1:12" hidden="1" x14ac:dyDescent="0.3">
      <c r="A1534">
        <v>1829017</v>
      </c>
      <c r="B1534">
        <v>20251205</v>
      </c>
      <c r="C1534">
        <v>5383</v>
      </c>
      <c r="D1534">
        <v>3153.1700561009816</v>
      </c>
      <c r="E1534" s="123" t="s">
        <v>1566</v>
      </c>
      <c r="F1534" s="123" t="s">
        <v>1573</v>
      </c>
      <c r="G1534" s="123"/>
      <c r="H1534" s="95">
        <v>45996</v>
      </c>
      <c r="I1534">
        <v>33182</v>
      </c>
      <c r="J1534" s="123" t="s">
        <v>238</v>
      </c>
      <c r="K1534" s="123" t="s">
        <v>1167</v>
      </c>
      <c r="L1534" s="123" t="e">
        <f>VLOOKUP(Fact_AUM_FyoCapital[[#This Row],[Dim_Empresas.CUIT]],'clientes SQL'!C:D,2,0)</f>
        <v>#N/A</v>
      </c>
    </row>
    <row r="1535" spans="1:12" hidden="1" x14ac:dyDescent="0.3">
      <c r="A1535">
        <v>1826677</v>
      </c>
      <c r="B1535">
        <v>20251205</v>
      </c>
      <c r="C1535">
        <v>1277</v>
      </c>
      <c r="D1535">
        <v>-489753.5</v>
      </c>
      <c r="E1535" s="123" t="s">
        <v>1566</v>
      </c>
      <c r="F1535" s="123" t="s">
        <v>1578</v>
      </c>
      <c r="G1535" s="123"/>
      <c r="H1535" s="95">
        <v>45996</v>
      </c>
      <c r="I1535">
        <v>19100</v>
      </c>
      <c r="J1535" s="123" t="s">
        <v>254</v>
      </c>
      <c r="K1535" s="123" t="s">
        <v>1240</v>
      </c>
      <c r="L1535" s="123" t="e">
        <f>VLOOKUP(Fact_AUM_FyoCapital[[#This Row],[Dim_Empresas.CUIT]],'clientes SQL'!C:D,2,0)</f>
        <v>#N/A</v>
      </c>
    </row>
    <row r="1536" spans="1:12" hidden="1" x14ac:dyDescent="0.3">
      <c r="A1536">
        <v>1872337</v>
      </c>
      <c r="B1536">
        <v>20251205</v>
      </c>
      <c r="C1536">
        <v>13719</v>
      </c>
      <c r="D1536">
        <v>0</v>
      </c>
      <c r="E1536" s="123"/>
      <c r="F1536" s="123"/>
      <c r="G1536" s="123"/>
      <c r="H1536" s="95">
        <v>45996</v>
      </c>
      <c r="I1536">
        <v>36879</v>
      </c>
      <c r="J1536" s="123" t="s">
        <v>1340</v>
      </c>
      <c r="K1536" s="123" t="s">
        <v>1341</v>
      </c>
      <c r="L1536" s="123" t="e">
        <f>VLOOKUP(Fact_AUM_FyoCapital[[#This Row],[Dim_Empresas.CUIT]],'clientes SQL'!C:D,2,0)</f>
        <v>#N/A</v>
      </c>
    </row>
    <row r="1537" spans="1:12" hidden="1" x14ac:dyDescent="0.3">
      <c r="A1537">
        <v>2632169</v>
      </c>
      <c r="B1537">
        <v>20251205</v>
      </c>
      <c r="C1537">
        <v>1444</v>
      </c>
      <c r="D1537">
        <v>0</v>
      </c>
      <c r="E1537" s="123"/>
      <c r="F1537" s="123"/>
      <c r="G1537" s="123"/>
      <c r="H1537" s="95">
        <v>45996</v>
      </c>
      <c r="I1537">
        <v>19813</v>
      </c>
      <c r="J1537" s="123" t="s">
        <v>510</v>
      </c>
      <c r="K1537" s="123" t="s">
        <v>1304</v>
      </c>
      <c r="L1537" s="123" t="e">
        <f>VLOOKUP(Fact_AUM_FyoCapital[[#This Row],[Dim_Empresas.CUIT]],'clientes SQL'!C:D,2,0)</f>
        <v>#N/A</v>
      </c>
    </row>
    <row r="1538" spans="1:12" hidden="1" x14ac:dyDescent="0.3">
      <c r="A1538">
        <v>1876477</v>
      </c>
      <c r="B1538">
        <v>20251205</v>
      </c>
      <c r="C1538">
        <v>95</v>
      </c>
      <c r="D1538" s="6">
        <v>489753.5</v>
      </c>
      <c r="E1538" s="123" t="s">
        <v>1566</v>
      </c>
      <c r="F1538" s="123" t="s">
        <v>1578</v>
      </c>
      <c r="G1538" s="123"/>
      <c r="H1538" s="95">
        <v>45996</v>
      </c>
      <c r="I1538">
        <v>708</v>
      </c>
      <c r="J1538" s="123" t="s">
        <v>1241</v>
      </c>
      <c r="K1538" s="123" t="s">
        <v>1242</v>
      </c>
      <c r="L1538" s="123" t="e">
        <f>VLOOKUP(Fact_AUM_FyoCapital[[#This Row],[Dim_Empresas.CUIT]],'clientes SQL'!C:D,2,0)</f>
        <v>#N/A</v>
      </c>
    </row>
    <row r="1539" spans="1:12" hidden="1" x14ac:dyDescent="0.3">
      <c r="A1539">
        <v>2096620</v>
      </c>
      <c r="B1539">
        <v>20251205</v>
      </c>
      <c r="C1539">
        <v>682</v>
      </c>
      <c r="D1539">
        <v>88649.541774193553</v>
      </c>
      <c r="E1539" s="123" t="s">
        <v>1564</v>
      </c>
      <c r="F1539" s="123" t="s">
        <v>1565</v>
      </c>
      <c r="G1539" s="123"/>
      <c r="H1539" s="95">
        <v>45996</v>
      </c>
      <c r="I1539">
        <v>9775</v>
      </c>
      <c r="J1539" s="123" t="s">
        <v>287</v>
      </c>
      <c r="K1539" s="123" t="s">
        <v>1320</v>
      </c>
      <c r="L1539" s="123" t="e">
        <f>VLOOKUP(Fact_AUM_FyoCapital[[#This Row],[Dim_Empresas.CUIT]],'clientes SQL'!C:D,2,0)</f>
        <v>#N/A</v>
      </c>
    </row>
    <row r="1540" spans="1:12" hidden="1" x14ac:dyDescent="0.3">
      <c r="A1540">
        <v>1871917</v>
      </c>
      <c r="B1540">
        <v>20251205</v>
      </c>
      <c r="C1540">
        <v>13719</v>
      </c>
      <c r="D1540">
        <v>-482706.5</v>
      </c>
      <c r="E1540" s="123" t="s">
        <v>1566</v>
      </c>
      <c r="F1540" s="123" t="s">
        <v>1578</v>
      </c>
      <c r="G1540" s="123"/>
      <c r="H1540" s="95">
        <v>45996</v>
      </c>
      <c r="I1540">
        <v>36879</v>
      </c>
      <c r="J1540" s="123" t="s">
        <v>1340</v>
      </c>
      <c r="K1540" s="123" t="s">
        <v>1341</v>
      </c>
      <c r="L1540" s="123" t="e">
        <f>VLOOKUP(Fact_AUM_FyoCapital[[#This Row],[Dim_Empresas.CUIT]],'clientes SQL'!C:D,2,0)</f>
        <v>#N/A</v>
      </c>
    </row>
    <row r="1541" spans="1:12" hidden="1" x14ac:dyDescent="0.3">
      <c r="A1541">
        <v>2627849</v>
      </c>
      <c r="B1541">
        <v>20251205</v>
      </c>
      <c r="C1541">
        <v>9952</v>
      </c>
      <c r="D1541">
        <v>1.2283029453015428</v>
      </c>
      <c r="E1541" s="123" t="s">
        <v>1563</v>
      </c>
      <c r="F1541" s="123" t="s">
        <v>185</v>
      </c>
      <c r="G1541" s="123"/>
      <c r="H1541" s="95">
        <v>45996</v>
      </c>
      <c r="I1541">
        <v>35451</v>
      </c>
      <c r="J1541" s="123" t="s">
        <v>477</v>
      </c>
      <c r="K1541" s="123" t="s">
        <v>1435</v>
      </c>
      <c r="L1541" s="123" t="e">
        <f>VLOOKUP(Fact_AUM_FyoCapital[[#This Row],[Dim_Empresas.CUIT]],'clientes SQL'!C:D,2,0)</f>
        <v>#N/A</v>
      </c>
    </row>
    <row r="1542" spans="1:12" hidden="1" x14ac:dyDescent="0.3">
      <c r="A1542">
        <v>1861777</v>
      </c>
      <c r="B1542">
        <v>20251205</v>
      </c>
      <c r="C1542">
        <v>682</v>
      </c>
      <c r="D1542">
        <v>0</v>
      </c>
      <c r="E1542" s="123"/>
      <c r="F1542" s="123"/>
      <c r="G1542" s="123"/>
      <c r="H1542" s="95">
        <v>45996</v>
      </c>
      <c r="I1542">
        <v>9775</v>
      </c>
      <c r="J1542" s="123" t="s">
        <v>287</v>
      </c>
      <c r="K1542" s="123" t="s">
        <v>1320</v>
      </c>
      <c r="L1542" s="123" t="e">
        <f>VLOOKUP(Fact_AUM_FyoCapital[[#This Row],[Dim_Empresas.CUIT]],'clientes SQL'!C:D,2,0)</f>
        <v>#N/A</v>
      </c>
    </row>
    <row r="1543" spans="1:12" hidden="1" x14ac:dyDescent="0.3">
      <c r="A1543">
        <v>2603429</v>
      </c>
      <c r="B1543">
        <v>20251205</v>
      </c>
      <c r="C1543">
        <v>1737</v>
      </c>
      <c r="D1543">
        <v>35.111893408134641</v>
      </c>
      <c r="E1543" s="123" t="s">
        <v>1568</v>
      </c>
      <c r="F1543" s="123" t="s">
        <v>1572</v>
      </c>
      <c r="G1543" s="123" t="s">
        <v>1570</v>
      </c>
      <c r="H1543" s="95">
        <v>45996</v>
      </c>
      <c r="I1543">
        <v>20485</v>
      </c>
      <c r="J1543" s="123" t="s">
        <v>684</v>
      </c>
      <c r="K1543" s="123" t="s">
        <v>1305</v>
      </c>
      <c r="L1543" s="123" t="e">
        <f>VLOOKUP(Fact_AUM_FyoCapital[[#This Row],[Dim_Empresas.CUIT]],'clientes SQL'!C:D,2,0)</f>
        <v>#N/A</v>
      </c>
    </row>
    <row r="1544" spans="1:12" hidden="1" x14ac:dyDescent="0.3">
      <c r="A1544">
        <v>1844677</v>
      </c>
      <c r="B1544">
        <v>20251205</v>
      </c>
      <c r="C1544">
        <v>12979</v>
      </c>
      <c r="D1544">
        <v>2390.3200000000002</v>
      </c>
      <c r="E1544" s="123" t="s">
        <v>1566</v>
      </c>
      <c r="F1544" s="123" t="s">
        <v>1571</v>
      </c>
      <c r="G1544" s="123"/>
      <c r="H1544" s="95">
        <v>45996</v>
      </c>
      <c r="I1544">
        <v>36187</v>
      </c>
      <c r="J1544" s="123" t="s">
        <v>311</v>
      </c>
      <c r="K1544" s="123" t="s">
        <v>1319</v>
      </c>
      <c r="L1544" s="123" t="e">
        <f>VLOOKUP(Fact_AUM_FyoCapital[[#This Row],[Dim_Empresas.CUIT]],'clientes SQL'!C:D,2,0)</f>
        <v>#N/A</v>
      </c>
    </row>
    <row r="1545" spans="1:12" hidden="1" x14ac:dyDescent="0.3">
      <c r="A1545">
        <v>2610089</v>
      </c>
      <c r="B1545">
        <v>20251205</v>
      </c>
      <c r="C1545">
        <v>4213</v>
      </c>
      <c r="D1545">
        <v>-771.88030154277703</v>
      </c>
      <c r="E1545" s="123" t="s">
        <v>1563</v>
      </c>
      <c r="F1545" s="123" t="s">
        <v>185</v>
      </c>
      <c r="G1545" s="123"/>
      <c r="H1545" s="95">
        <v>45996</v>
      </c>
      <c r="I1545">
        <v>32849</v>
      </c>
      <c r="J1545" s="123" t="s">
        <v>190</v>
      </c>
      <c r="K1545" s="123" t="s">
        <v>1302</v>
      </c>
      <c r="L1545" s="123" t="e">
        <f>VLOOKUP(Fact_AUM_FyoCapital[[#This Row],[Dim_Empresas.CUIT]],'clientes SQL'!C:D,2,0)</f>
        <v>#N/A</v>
      </c>
    </row>
    <row r="1546" spans="1:12" hidden="1" x14ac:dyDescent="0.3">
      <c r="A1546">
        <v>2620769</v>
      </c>
      <c r="B1546">
        <v>20251205</v>
      </c>
      <c r="C1546">
        <v>606</v>
      </c>
      <c r="D1546">
        <v>1898.06</v>
      </c>
      <c r="E1546" s="123" t="s">
        <v>1563</v>
      </c>
      <c r="F1546" s="123" t="s">
        <v>950</v>
      </c>
      <c r="G1546" s="123"/>
      <c r="H1546" s="95">
        <v>45996</v>
      </c>
      <c r="I1546">
        <v>2093</v>
      </c>
      <c r="J1546" s="123" t="s">
        <v>365</v>
      </c>
      <c r="K1546" s="123" t="s">
        <v>1206</v>
      </c>
      <c r="L1546" s="123" t="e">
        <f>VLOOKUP(Fact_AUM_FyoCapital[[#This Row],[Dim_Empresas.CUIT]],'clientes SQL'!C:D,2,0)</f>
        <v>#N/A</v>
      </c>
    </row>
    <row r="1547" spans="1:12" hidden="1" x14ac:dyDescent="0.3">
      <c r="A1547">
        <v>1901977</v>
      </c>
      <c r="B1547">
        <v>20251205</v>
      </c>
      <c r="C1547">
        <v>14873</v>
      </c>
      <c r="D1547">
        <v>619.62</v>
      </c>
      <c r="E1547" s="123" t="s">
        <v>1566</v>
      </c>
      <c r="F1547" s="123" t="s">
        <v>1571</v>
      </c>
      <c r="G1547" s="123"/>
      <c r="H1547" s="95">
        <v>45996</v>
      </c>
      <c r="I1547">
        <v>37088</v>
      </c>
      <c r="J1547" s="123" t="s">
        <v>571</v>
      </c>
      <c r="K1547" s="123" t="s">
        <v>1269</v>
      </c>
      <c r="L1547" s="123" t="e">
        <f>VLOOKUP(Fact_AUM_FyoCapital[[#This Row],[Dim_Empresas.CUIT]],'clientes SQL'!C:D,2,0)</f>
        <v>#N/A</v>
      </c>
    </row>
    <row r="1548" spans="1:12" hidden="1" x14ac:dyDescent="0.3">
      <c r="A1548">
        <v>2615069</v>
      </c>
      <c r="B1548">
        <v>20251205</v>
      </c>
      <c r="C1548">
        <v>5875</v>
      </c>
      <c r="D1548">
        <v>25.34</v>
      </c>
      <c r="E1548" s="123" t="s">
        <v>1563</v>
      </c>
      <c r="F1548" s="123" t="s">
        <v>188</v>
      </c>
      <c r="G1548" s="123"/>
      <c r="H1548" s="95">
        <v>45996</v>
      </c>
      <c r="I1548">
        <v>33579</v>
      </c>
      <c r="J1548" s="123" t="s">
        <v>344</v>
      </c>
      <c r="K1548" s="123" t="s">
        <v>1395</v>
      </c>
      <c r="L1548" s="123" t="e">
        <f>VLOOKUP(Fact_AUM_FyoCapital[[#This Row],[Dim_Empresas.CUIT]],'clientes SQL'!C:D,2,0)</f>
        <v>#N/A</v>
      </c>
    </row>
    <row r="1549" spans="1:12" hidden="1" x14ac:dyDescent="0.3">
      <c r="A1549">
        <v>2622689</v>
      </c>
      <c r="B1549">
        <v>20251205</v>
      </c>
      <c r="C1549">
        <v>5858</v>
      </c>
      <c r="D1549">
        <v>1.4726507713884993E-4</v>
      </c>
      <c r="E1549" s="123" t="s">
        <v>1563</v>
      </c>
      <c r="F1549" s="123" t="s">
        <v>185</v>
      </c>
      <c r="G1549" s="123"/>
      <c r="H1549" s="95">
        <v>45996</v>
      </c>
      <c r="I1549">
        <v>34098</v>
      </c>
      <c r="J1549" s="123" t="s">
        <v>393</v>
      </c>
      <c r="K1549" s="123" t="s">
        <v>1144</v>
      </c>
      <c r="L1549" s="123" t="e">
        <f>VLOOKUP(Fact_AUM_FyoCapital[[#This Row],[Dim_Empresas.CUIT]],'clientes SQL'!C:D,2,0)</f>
        <v>#N/A</v>
      </c>
    </row>
    <row r="1550" spans="1:12" hidden="1" x14ac:dyDescent="0.3">
      <c r="A1550">
        <v>1870657</v>
      </c>
      <c r="B1550">
        <v>20251205</v>
      </c>
      <c r="C1550">
        <v>13361</v>
      </c>
      <c r="D1550">
        <v>3051.02</v>
      </c>
      <c r="E1550" s="123" t="s">
        <v>1566</v>
      </c>
      <c r="F1550" s="123" t="s">
        <v>1579</v>
      </c>
      <c r="G1550" s="123"/>
      <c r="H1550" s="95">
        <v>45996</v>
      </c>
      <c r="I1550">
        <v>36541</v>
      </c>
      <c r="J1550" s="123" t="s">
        <v>454</v>
      </c>
      <c r="K1550" s="123" t="s">
        <v>1322</v>
      </c>
      <c r="L1550" s="123" t="e">
        <f>VLOOKUP(Fact_AUM_FyoCapital[[#This Row],[Dim_Empresas.CUIT]],'clientes SQL'!C:D,2,0)</f>
        <v>#N/A</v>
      </c>
    </row>
    <row r="1551" spans="1:12" hidden="1" x14ac:dyDescent="0.3">
      <c r="A1551">
        <v>1860937</v>
      </c>
      <c r="B1551">
        <v>20251205</v>
      </c>
      <c r="C1551">
        <v>682</v>
      </c>
      <c r="D1551">
        <v>0</v>
      </c>
      <c r="E1551" s="123"/>
      <c r="F1551" s="123"/>
      <c r="G1551" s="123"/>
      <c r="H1551" s="95">
        <v>45996</v>
      </c>
      <c r="I1551">
        <v>9775</v>
      </c>
      <c r="J1551" s="123" t="s">
        <v>287</v>
      </c>
      <c r="K1551" s="123" t="s">
        <v>1320</v>
      </c>
      <c r="L1551" s="123" t="e">
        <f>VLOOKUP(Fact_AUM_FyoCapital[[#This Row],[Dim_Empresas.CUIT]],'clientes SQL'!C:D,2,0)</f>
        <v>#N/A</v>
      </c>
    </row>
    <row r="1552" spans="1:12" hidden="1" x14ac:dyDescent="0.3">
      <c r="A1552">
        <v>1869217</v>
      </c>
      <c r="B1552">
        <v>20251205</v>
      </c>
      <c r="C1552">
        <v>13361</v>
      </c>
      <c r="D1552">
        <v>2214.83</v>
      </c>
      <c r="E1552" s="123" t="s">
        <v>1566</v>
      </c>
      <c r="F1552" s="123" t="s">
        <v>1579</v>
      </c>
      <c r="G1552" s="123"/>
      <c r="H1552" s="95">
        <v>45996</v>
      </c>
      <c r="I1552">
        <v>36541</v>
      </c>
      <c r="J1552" s="123" t="s">
        <v>454</v>
      </c>
      <c r="K1552" s="123" t="s">
        <v>1322</v>
      </c>
      <c r="L1552" s="123" t="e">
        <f>VLOOKUP(Fact_AUM_FyoCapital[[#This Row],[Dim_Empresas.CUIT]],'clientes SQL'!C:D,2,0)</f>
        <v>#N/A</v>
      </c>
    </row>
    <row r="1553" spans="1:12" hidden="1" x14ac:dyDescent="0.3">
      <c r="A1553">
        <v>1841977</v>
      </c>
      <c r="B1553">
        <v>20251205</v>
      </c>
      <c r="C1553">
        <v>2027</v>
      </c>
      <c r="D1553">
        <v>9.6072931276297341E-4</v>
      </c>
      <c r="E1553" s="123" t="s">
        <v>1568</v>
      </c>
      <c r="F1553" s="123" t="s">
        <v>1572</v>
      </c>
      <c r="G1553" s="123" t="s">
        <v>1583</v>
      </c>
      <c r="H1553" s="95">
        <v>45996</v>
      </c>
      <c r="I1553">
        <v>20888</v>
      </c>
      <c r="J1553" s="123" t="s">
        <v>358</v>
      </c>
      <c r="K1553" s="123" t="s">
        <v>1268</v>
      </c>
      <c r="L1553" s="123" t="e">
        <f>VLOOKUP(Fact_AUM_FyoCapital[[#This Row],[Dim_Empresas.CUIT]],'clientes SQL'!C:D,2,0)</f>
        <v>#N/A</v>
      </c>
    </row>
    <row r="1554" spans="1:12" hidden="1" x14ac:dyDescent="0.3">
      <c r="A1554">
        <v>2641709</v>
      </c>
      <c r="B1554">
        <v>20251205</v>
      </c>
      <c r="C1554">
        <v>1235</v>
      </c>
      <c r="D1554">
        <v>1076.2</v>
      </c>
      <c r="E1554" s="123" t="s">
        <v>1563</v>
      </c>
      <c r="F1554" s="123" t="s">
        <v>188</v>
      </c>
      <c r="G1554" s="123"/>
      <c r="H1554" s="95">
        <v>45996</v>
      </c>
      <c r="I1554">
        <v>19316</v>
      </c>
      <c r="J1554" s="123" t="s">
        <v>377</v>
      </c>
      <c r="K1554" s="123" t="s">
        <v>1239</v>
      </c>
      <c r="L1554" s="123" t="e">
        <f>VLOOKUP(Fact_AUM_FyoCapital[[#This Row],[Dim_Empresas.CUIT]],'clientes SQL'!C:D,2,0)</f>
        <v>#N/A</v>
      </c>
    </row>
    <row r="1555" spans="1:12" hidden="1" x14ac:dyDescent="0.3">
      <c r="A1555">
        <v>1895737</v>
      </c>
      <c r="B1555">
        <v>20251205</v>
      </c>
      <c r="C1555">
        <v>10253</v>
      </c>
      <c r="D1555">
        <v>21019.197054698456</v>
      </c>
      <c r="E1555" s="123" t="s">
        <v>1566</v>
      </c>
      <c r="F1555" s="123" t="s">
        <v>1580</v>
      </c>
      <c r="G1555" s="123"/>
      <c r="H1555" s="95">
        <v>45996</v>
      </c>
      <c r="I1555">
        <v>35643</v>
      </c>
      <c r="J1555" s="123" t="s">
        <v>603</v>
      </c>
      <c r="K1555" s="123" t="s">
        <v>1220</v>
      </c>
      <c r="L1555" s="123" t="e">
        <f>VLOOKUP(Fact_AUM_FyoCapital[[#This Row],[Dim_Empresas.CUIT]],'clientes SQL'!C:D,2,0)</f>
        <v>#N/A</v>
      </c>
    </row>
    <row r="1556" spans="1:12" hidden="1" x14ac:dyDescent="0.3">
      <c r="A1556">
        <v>1871857</v>
      </c>
      <c r="B1556">
        <v>20251205</v>
      </c>
      <c r="C1556">
        <v>13719</v>
      </c>
      <c r="D1556">
        <v>-386165.2</v>
      </c>
      <c r="E1556" s="123" t="s">
        <v>1566</v>
      </c>
      <c r="F1556" s="123" t="s">
        <v>1578</v>
      </c>
      <c r="G1556" s="123"/>
      <c r="H1556" s="95">
        <v>45996</v>
      </c>
      <c r="I1556">
        <v>36879</v>
      </c>
      <c r="J1556" s="123" t="s">
        <v>1340</v>
      </c>
      <c r="K1556" s="123" t="s">
        <v>1341</v>
      </c>
      <c r="L1556" s="123" t="e">
        <f>VLOOKUP(Fact_AUM_FyoCapital[[#This Row],[Dim_Empresas.CUIT]],'clientes SQL'!C:D,2,0)</f>
        <v>#N/A</v>
      </c>
    </row>
    <row r="1557" spans="1:12" hidden="1" x14ac:dyDescent="0.3">
      <c r="A1557">
        <v>1863457</v>
      </c>
      <c r="B1557">
        <v>20251205</v>
      </c>
      <c r="C1557">
        <v>2299</v>
      </c>
      <c r="D1557">
        <v>753898.16549789626</v>
      </c>
      <c r="E1557" s="123" t="s">
        <v>1566</v>
      </c>
      <c r="F1557" s="123" t="s">
        <v>1582</v>
      </c>
      <c r="G1557" s="123"/>
      <c r="H1557" s="95">
        <v>45996</v>
      </c>
      <c r="I1557">
        <v>30388</v>
      </c>
      <c r="J1557" s="123" t="s">
        <v>290</v>
      </c>
      <c r="K1557" s="123" t="s">
        <v>1160</v>
      </c>
      <c r="L1557" s="123" t="e">
        <f>VLOOKUP(Fact_AUM_FyoCapital[[#This Row],[Dim_Empresas.CUIT]],'clientes SQL'!C:D,2,0)</f>
        <v>#N/A</v>
      </c>
    </row>
    <row r="1558" spans="1:12" hidden="1" x14ac:dyDescent="0.3">
      <c r="A1558">
        <v>1876777</v>
      </c>
      <c r="B1558">
        <v>20251205</v>
      </c>
      <c r="C1558">
        <v>95</v>
      </c>
      <c r="D1558">
        <v>4835944.7807363253</v>
      </c>
      <c r="E1558" s="123" t="s">
        <v>1568</v>
      </c>
      <c r="F1558" s="123" t="s">
        <v>1572</v>
      </c>
      <c r="G1558" s="123" t="s">
        <v>1583</v>
      </c>
      <c r="H1558" s="95">
        <v>45996</v>
      </c>
      <c r="I1558">
        <v>708</v>
      </c>
      <c r="J1558" s="123" t="s">
        <v>1241</v>
      </c>
      <c r="K1558" s="123" t="s">
        <v>1242</v>
      </c>
      <c r="L1558" s="123" t="e">
        <f>VLOOKUP(Fact_AUM_FyoCapital[[#This Row],[Dim_Empresas.CUIT]],'clientes SQL'!C:D,2,0)</f>
        <v>#N/A</v>
      </c>
    </row>
    <row r="1559" spans="1:12" hidden="1" x14ac:dyDescent="0.3">
      <c r="A1559">
        <v>1828717</v>
      </c>
      <c r="B1559">
        <v>20251205</v>
      </c>
      <c r="C1559">
        <v>5383</v>
      </c>
      <c r="D1559">
        <v>1333.366058906031</v>
      </c>
      <c r="E1559" s="123" t="s">
        <v>1566</v>
      </c>
      <c r="F1559" s="123" t="s">
        <v>1580</v>
      </c>
      <c r="G1559" s="123"/>
      <c r="H1559" s="95">
        <v>45996</v>
      </c>
      <c r="I1559">
        <v>33182</v>
      </c>
      <c r="J1559" s="123" t="s">
        <v>238</v>
      </c>
      <c r="K1559" s="123" t="s">
        <v>1167</v>
      </c>
      <c r="L1559" s="123" t="e">
        <f>VLOOKUP(Fact_AUM_FyoCapital[[#This Row],[Dim_Empresas.CUIT]],'clientes SQL'!C:D,2,0)</f>
        <v>#N/A</v>
      </c>
    </row>
    <row r="1560" spans="1:12" hidden="1" x14ac:dyDescent="0.3">
      <c r="A1560">
        <v>1859437</v>
      </c>
      <c r="B1560">
        <v>20251205</v>
      </c>
      <c r="C1560">
        <v>16447</v>
      </c>
      <c r="D1560">
        <v>24764.969116409538</v>
      </c>
      <c r="E1560" s="123" t="s">
        <v>1566</v>
      </c>
      <c r="F1560" s="123" t="s">
        <v>1582</v>
      </c>
      <c r="G1560" s="123"/>
      <c r="H1560" s="95">
        <v>45996</v>
      </c>
      <c r="I1560">
        <v>37899</v>
      </c>
      <c r="J1560" s="123" t="s">
        <v>1368</v>
      </c>
      <c r="K1560" s="123" t="s">
        <v>1369</v>
      </c>
      <c r="L1560" s="123" t="e">
        <f>VLOOKUP(Fact_AUM_FyoCapital[[#This Row],[Dim_Empresas.CUIT]],'clientes SQL'!C:D,2,0)</f>
        <v>#N/A</v>
      </c>
    </row>
    <row r="1561" spans="1:12" hidden="1" x14ac:dyDescent="0.3">
      <c r="A1561">
        <v>1850917</v>
      </c>
      <c r="B1561">
        <v>20251205</v>
      </c>
      <c r="C1561">
        <v>1343</v>
      </c>
      <c r="D1561">
        <v>5761.3796143057507</v>
      </c>
      <c r="E1561" s="123" t="s">
        <v>1568</v>
      </c>
      <c r="F1561" s="123" t="s">
        <v>1572</v>
      </c>
      <c r="G1561" s="123" t="s">
        <v>1576</v>
      </c>
      <c r="H1561" s="95">
        <v>45996</v>
      </c>
      <c r="I1561">
        <v>17661</v>
      </c>
      <c r="J1561" s="123" t="s">
        <v>255</v>
      </c>
      <c r="K1561" s="123" t="s">
        <v>1132</v>
      </c>
      <c r="L1561" s="123" t="e">
        <f>VLOOKUP(Fact_AUM_FyoCapital[[#This Row],[Dim_Empresas.CUIT]],'clientes SQL'!C:D,2,0)</f>
        <v>#N/A</v>
      </c>
    </row>
    <row r="1562" spans="1:12" hidden="1" x14ac:dyDescent="0.3">
      <c r="A1562">
        <v>2640449</v>
      </c>
      <c r="B1562">
        <v>20251205</v>
      </c>
      <c r="C1562">
        <v>14905</v>
      </c>
      <c r="D1562">
        <v>480.68</v>
      </c>
      <c r="E1562" s="123" t="s">
        <v>1563</v>
      </c>
      <c r="F1562" s="123" t="s">
        <v>950</v>
      </c>
      <c r="G1562" s="123"/>
      <c r="H1562" s="95">
        <v>45996</v>
      </c>
      <c r="I1562">
        <v>37115</v>
      </c>
      <c r="J1562" s="123" t="s">
        <v>701</v>
      </c>
      <c r="K1562" s="123" t="s">
        <v>1330</v>
      </c>
      <c r="L1562" s="123" t="e">
        <f>VLOOKUP(Fact_AUM_FyoCapital[[#This Row],[Dim_Empresas.CUIT]],'clientes SQL'!C:D,2,0)</f>
        <v>#N/A</v>
      </c>
    </row>
    <row r="1563" spans="1:12" hidden="1" x14ac:dyDescent="0.3">
      <c r="A1563">
        <v>1871317</v>
      </c>
      <c r="B1563">
        <v>20251205</v>
      </c>
      <c r="C1563">
        <v>13719</v>
      </c>
      <c r="D1563">
        <v>0</v>
      </c>
      <c r="E1563" s="123"/>
      <c r="F1563" s="123"/>
      <c r="G1563" s="123"/>
      <c r="H1563" s="95">
        <v>45996</v>
      </c>
      <c r="I1563">
        <v>36879</v>
      </c>
      <c r="J1563" s="123" t="s">
        <v>1340</v>
      </c>
      <c r="K1563" s="123" t="s">
        <v>1341</v>
      </c>
      <c r="L1563" s="123" t="e">
        <f>VLOOKUP(Fact_AUM_FyoCapital[[#This Row],[Dim_Empresas.CUIT]],'clientes SQL'!C:D,2,0)</f>
        <v>#N/A</v>
      </c>
    </row>
    <row r="1564" spans="1:12" hidden="1" x14ac:dyDescent="0.3">
      <c r="A1564">
        <v>1862977</v>
      </c>
      <c r="B1564">
        <v>20251205</v>
      </c>
      <c r="C1564">
        <v>682</v>
      </c>
      <c r="D1564">
        <v>0</v>
      </c>
      <c r="E1564" s="123"/>
      <c r="F1564" s="123"/>
      <c r="G1564" s="123"/>
      <c r="H1564" s="95">
        <v>45996</v>
      </c>
      <c r="I1564">
        <v>9775</v>
      </c>
      <c r="J1564" s="123" t="s">
        <v>287</v>
      </c>
      <c r="K1564" s="123" t="s">
        <v>1320</v>
      </c>
      <c r="L1564" s="123" t="e">
        <f>VLOOKUP(Fact_AUM_FyoCapital[[#This Row],[Dim_Empresas.CUIT]],'clientes SQL'!C:D,2,0)</f>
        <v>#N/A</v>
      </c>
    </row>
    <row r="1565" spans="1:12" hidden="1" x14ac:dyDescent="0.3">
      <c r="A1565">
        <v>2610989</v>
      </c>
      <c r="B1565">
        <v>20251205</v>
      </c>
      <c r="C1565">
        <v>6921</v>
      </c>
      <c r="D1565">
        <v>-90.735546984572224</v>
      </c>
      <c r="E1565" s="123" t="s">
        <v>1563</v>
      </c>
      <c r="F1565" s="123" t="s">
        <v>185</v>
      </c>
      <c r="G1565" s="123"/>
      <c r="H1565" s="95">
        <v>45996</v>
      </c>
      <c r="I1565">
        <v>34623</v>
      </c>
      <c r="J1565" s="123" t="s">
        <v>1364</v>
      </c>
      <c r="K1565" s="123" t="s">
        <v>1365</v>
      </c>
      <c r="L1565" s="123" t="e">
        <f>VLOOKUP(Fact_AUM_FyoCapital[[#This Row],[Dim_Empresas.CUIT]],'clientes SQL'!C:D,2,0)</f>
        <v>#N/A</v>
      </c>
    </row>
    <row r="1566" spans="1:12" hidden="1" x14ac:dyDescent="0.3">
      <c r="A1566">
        <v>1839937</v>
      </c>
      <c r="B1566">
        <v>20251205</v>
      </c>
      <c r="C1566">
        <v>2390</v>
      </c>
      <c r="D1566">
        <v>7073.2398316970548</v>
      </c>
      <c r="E1566" s="123" t="s">
        <v>1566</v>
      </c>
      <c r="F1566" s="123" t="s">
        <v>1580</v>
      </c>
      <c r="G1566" s="123"/>
      <c r="H1566" s="95">
        <v>45996</v>
      </c>
      <c r="I1566">
        <v>30567</v>
      </c>
      <c r="J1566" s="123" t="s">
        <v>363</v>
      </c>
      <c r="K1566" s="123" t="s">
        <v>1434</v>
      </c>
      <c r="L1566" s="123" t="e">
        <f>VLOOKUP(Fact_AUM_FyoCapital[[#This Row],[Dim_Empresas.CUIT]],'clientes SQL'!C:D,2,0)</f>
        <v>#N/A</v>
      </c>
    </row>
    <row r="1567" spans="1:12" hidden="1" x14ac:dyDescent="0.3">
      <c r="A1567">
        <v>2603069</v>
      </c>
      <c r="B1567">
        <v>20251205</v>
      </c>
      <c r="C1567">
        <v>1628</v>
      </c>
      <c r="D1567">
        <v>17015.599838709677</v>
      </c>
      <c r="E1567" s="123" t="s">
        <v>1568</v>
      </c>
      <c r="F1567" s="123" t="s">
        <v>1572</v>
      </c>
      <c r="G1567" s="123" t="s">
        <v>1583</v>
      </c>
      <c r="H1567" s="95">
        <v>45996</v>
      </c>
      <c r="I1567">
        <v>20351</v>
      </c>
      <c r="J1567" s="123" t="s">
        <v>1163</v>
      </c>
      <c r="K1567" s="123" t="s">
        <v>1164</v>
      </c>
      <c r="L1567" s="123" t="e">
        <f>VLOOKUP(Fact_AUM_FyoCapital[[#This Row],[Dim_Empresas.CUIT]],'clientes SQL'!C:D,2,0)</f>
        <v>#N/A</v>
      </c>
    </row>
    <row r="1568" spans="1:12" hidden="1" x14ac:dyDescent="0.3">
      <c r="A1568">
        <v>1859677</v>
      </c>
      <c r="B1568">
        <v>20251205</v>
      </c>
      <c r="C1568">
        <v>3570</v>
      </c>
      <c r="D1568">
        <v>28499.13108695652</v>
      </c>
      <c r="E1568" s="123" t="s">
        <v>1568</v>
      </c>
      <c r="F1568" s="123" t="s">
        <v>1569</v>
      </c>
      <c r="G1568" s="123" t="s">
        <v>1570</v>
      </c>
      <c r="H1568" s="95">
        <v>45996</v>
      </c>
      <c r="I1568">
        <v>32043</v>
      </c>
      <c r="J1568" s="123" t="s">
        <v>1264</v>
      </c>
      <c r="K1568" s="123" t="s">
        <v>1265</v>
      </c>
      <c r="L1568" s="123" t="e">
        <f>VLOOKUP(Fact_AUM_FyoCapital[[#This Row],[Dim_Empresas.CUIT]],'clientes SQL'!C:D,2,0)</f>
        <v>#N/A</v>
      </c>
    </row>
    <row r="1569" spans="1:12" hidden="1" x14ac:dyDescent="0.3">
      <c r="A1569">
        <v>1826497</v>
      </c>
      <c r="B1569">
        <v>20251205</v>
      </c>
      <c r="C1569">
        <v>1277</v>
      </c>
      <c r="D1569">
        <v>0</v>
      </c>
      <c r="E1569" s="123"/>
      <c r="F1569" s="123"/>
      <c r="G1569" s="123"/>
      <c r="H1569" s="95">
        <v>45996</v>
      </c>
      <c r="I1569">
        <v>19100</v>
      </c>
      <c r="J1569" s="123" t="s">
        <v>254</v>
      </c>
      <c r="K1569" s="123" t="s">
        <v>1240</v>
      </c>
      <c r="L1569" s="123" t="e">
        <f>VLOOKUP(Fact_AUM_FyoCapital[[#This Row],[Dim_Empresas.CUIT]],'clientes SQL'!C:D,2,0)</f>
        <v>#N/A</v>
      </c>
    </row>
    <row r="1570" spans="1:12" hidden="1" x14ac:dyDescent="0.3">
      <c r="A1570">
        <v>1856797</v>
      </c>
      <c r="B1570">
        <v>20251205</v>
      </c>
      <c r="C1570">
        <v>2162</v>
      </c>
      <c r="D1570">
        <v>4438.9621318373074</v>
      </c>
      <c r="E1570" s="123" t="s">
        <v>1566</v>
      </c>
      <c r="F1570" s="123" t="s">
        <v>1573</v>
      </c>
      <c r="G1570" s="123"/>
      <c r="H1570" s="95">
        <v>45996</v>
      </c>
      <c r="I1570">
        <v>30101</v>
      </c>
      <c r="J1570" s="123" t="s">
        <v>391</v>
      </c>
      <c r="K1570" s="123" t="s">
        <v>1216</v>
      </c>
      <c r="L1570" s="123" t="e">
        <f>VLOOKUP(Fact_AUM_FyoCapital[[#This Row],[Dim_Empresas.CUIT]],'clientes SQL'!C:D,2,0)</f>
        <v>#N/A</v>
      </c>
    </row>
    <row r="1571" spans="1:12" hidden="1" x14ac:dyDescent="0.3">
      <c r="A1571">
        <v>2621609</v>
      </c>
      <c r="B1571">
        <v>20251205</v>
      </c>
      <c r="C1571">
        <v>3661</v>
      </c>
      <c r="D1571">
        <v>-0.88992286115007013</v>
      </c>
      <c r="E1571" s="123" t="s">
        <v>1563</v>
      </c>
      <c r="F1571" s="123" t="s">
        <v>185</v>
      </c>
      <c r="G1571" s="123"/>
      <c r="H1571" s="95">
        <v>45996</v>
      </c>
      <c r="I1571">
        <v>32155</v>
      </c>
      <c r="J1571" s="123" t="s">
        <v>1313</v>
      </c>
      <c r="K1571" s="123" t="s">
        <v>1314</v>
      </c>
      <c r="L1571" s="123" t="e">
        <f>VLOOKUP(Fact_AUM_FyoCapital[[#This Row],[Dim_Empresas.CUIT]],'clientes SQL'!C:D,2,0)</f>
        <v>#N/A</v>
      </c>
    </row>
    <row r="1572" spans="1:12" hidden="1" x14ac:dyDescent="0.3">
      <c r="A1572">
        <v>2605109</v>
      </c>
      <c r="B1572">
        <v>20251205</v>
      </c>
      <c r="C1572">
        <v>10061</v>
      </c>
      <c r="D1572">
        <v>568.23</v>
      </c>
      <c r="E1572" s="123" t="s">
        <v>1566</v>
      </c>
      <c r="F1572" s="123" t="s">
        <v>1579</v>
      </c>
      <c r="G1572" s="123"/>
      <c r="H1572" s="95">
        <v>45996</v>
      </c>
      <c r="I1572">
        <v>35528</v>
      </c>
      <c r="J1572" s="123" t="s">
        <v>616</v>
      </c>
      <c r="K1572" s="123" t="s">
        <v>1237</v>
      </c>
      <c r="L1572" s="123" t="e">
        <f>VLOOKUP(Fact_AUM_FyoCapital[[#This Row],[Dim_Empresas.CUIT]],'clientes SQL'!C:D,2,0)</f>
        <v>#N/A</v>
      </c>
    </row>
    <row r="1573" spans="1:12" hidden="1" x14ac:dyDescent="0.3">
      <c r="A1573">
        <v>1876237</v>
      </c>
      <c r="B1573">
        <v>20251205</v>
      </c>
      <c r="C1573">
        <v>331</v>
      </c>
      <c r="D1573">
        <v>563859.12950911641</v>
      </c>
      <c r="E1573" s="123" t="s">
        <v>1568</v>
      </c>
      <c r="F1573" s="123" t="s">
        <v>1572</v>
      </c>
      <c r="G1573" s="123" t="s">
        <v>1570</v>
      </c>
      <c r="H1573" s="95">
        <v>45996</v>
      </c>
      <c r="I1573">
        <v>652</v>
      </c>
      <c r="J1573" s="123" t="s">
        <v>447</v>
      </c>
      <c r="K1573" s="123" t="s">
        <v>1143</v>
      </c>
      <c r="L1573" s="123" t="e">
        <f>VLOOKUP(Fact_AUM_FyoCapital[[#This Row],[Dim_Empresas.CUIT]],'clientes SQL'!C:D,2,0)</f>
        <v>#N/A</v>
      </c>
    </row>
    <row r="1574" spans="1:12" hidden="1" x14ac:dyDescent="0.3">
      <c r="A1574">
        <v>1895557</v>
      </c>
      <c r="B1574">
        <v>20251205</v>
      </c>
      <c r="C1574">
        <v>10253</v>
      </c>
      <c r="D1574">
        <v>610264.92000000004</v>
      </c>
      <c r="E1574" s="123" t="s">
        <v>1566</v>
      </c>
      <c r="F1574" s="123" t="s">
        <v>1571</v>
      </c>
      <c r="G1574" s="123"/>
      <c r="H1574" s="95">
        <v>45996</v>
      </c>
      <c r="I1574">
        <v>35643</v>
      </c>
      <c r="J1574" s="123" t="s">
        <v>603</v>
      </c>
      <c r="K1574" s="123" t="s">
        <v>1220</v>
      </c>
      <c r="L1574" s="123" t="e">
        <f>VLOOKUP(Fact_AUM_FyoCapital[[#This Row],[Dim_Empresas.CUIT]],'clientes SQL'!C:D,2,0)</f>
        <v>#N/A</v>
      </c>
    </row>
    <row r="1575" spans="1:12" hidden="1" x14ac:dyDescent="0.3">
      <c r="A1575">
        <v>2640389</v>
      </c>
      <c r="B1575">
        <v>20251205</v>
      </c>
      <c r="C1575">
        <v>14905</v>
      </c>
      <c r="D1575">
        <v>-29.200483870967741</v>
      </c>
      <c r="E1575" s="123" t="s">
        <v>1563</v>
      </c>
      <c r="F1575" s="123" t="s">
        <v>185</v>
      </c>
      <c r="G1575" s="123"/>
      <c r="H1575" s="95">
        <v>45996</v>
      </c>
      <c r="I1575">
        <v>37115</v>
      </c>
      <c r="J1575" s="123" t="s">
        <v>701</v>
      </c>
      <c r="K1575" s="123" t="s">
        <v>1330</v>
      </c>
      <c r="L1575" s="123" t="e">
        <f>VLOOKUP(Fact_AUM_FyoCapital[[#This Row],[Dim_Empresas.CUIT]],'clientes SQL'!C:D,2,0)</f>
        <v>#N/A</v>
      </c>
    </row>
    <row r="1576" spans="1:12" hidden="1" x14ac:dyDescent="0.3">
      <c r="A1576">
        <v>1885417</v>
      </c>
      <c r="B1576">
        <v>20251205</v>
      </c>
      <c r="C1576">
        <v>3288</v>
      </c>
      <c r="D1576">
        <v>49657.512377279105</v>
      </c>
      <c r="E1576" s="123" t="s">
        <v>1568</v>
      </c>
      <c r="F1576" s="123" t="s">
        <v>1572</v>
      </c>
      <c r="G1576" s="123" t="s">
        <v>1583</v>
      </c>
      <c r="H1576" s="95">
        <v>45996</v>
      </c>
      <c r="I1576">
        <v>31716</v>
      </c>
      <c r="J1576" s="123" t="s">
        <v>544</v>
      </c>
      <c r="K1576" s="123" t="s">
        <v>1353</v>
      </c>
      <c r="L1576" s="123" t="e">
        <f>VLOOKUP(Fact_AUM_FyoCapital[[#This Row],[Dim_Empresas.CUIT]],'clientes SQL'!C:D,2,0)</f>
        <v>#N/A</v>
      </c>
    </row>
    <row r="1577" spans="1:12" hidden="1" x14ac:dyDescent="0.3">
      <c r="A1577">
        <v>1903357</v>
      </c>
      <c r="B1577">
        <v>20251205</v>
      </c>
      <c r="C1577">
        <v>14876</v>
      </c>
      <c r="D1577">
        <v>1884.7377840112204</v>
      </c>
      <c r="E1577" s="123" t="s">
        <v>1568</v>
      </c>
      <c r="F1577" s="123" t="s">
        <v>1575</v>
      </c>
      <c r="G1577" s="123" t="s">
        <v>1577</v>
      </c>
      <c r="H1577" s="95">
        <v>45996</v>
      </c>
      <c r="I1577">
        <v>37091</v>
      </c>
      <c r="J1577" s="123" t="s">
        <v>604</v>
      </c>
      <c r="K1577" s="123" t="s">
        <v>1293</v>
      </c>
      <c r="L1577" s="123" t="e">
        <f>VLOOKUP(Fact_AUM_FyoCapital[[#This Row],[Dim_Empresas.CUIT]],'clientes SQL'!C:D,2,0)</f>
        <v>#N/A</v>
      </c>
    </row>
    <row r="1578" spans="1:12" hidden="1" x14ac:dyDescent="0.3">
      <c r="A1578">
        <v>1886977</v>
      </c>
      <c r="B1578">
        <v>20251205</v>
      </c>
      <c r="C1578">
        <v>1417</v>
      </c>
      <c r="D1578">
        <v>616.59443197755968</v>
      </c>
      <c r="E1578" s="123" t="s">
        <v>1568</v>
      </c>
      <c r="F1578" s="123" t="s">
        <v>1572</v>
      </c>
      <c r="G1578" s="123" t="s">
        <v>1570</v>
      </c>
      <c r="H1578" s="95">
        <v>45996</v>
      </c>
      <c r="I1578">
        <v>9611</v>
      </c>
      <c r="J1578" s="123" t="s">
        <v>709</v>
      </c>
      <c r="K1578" s="123" t="s">
        <v>1436</v>
      </c>
      <c r="L1578" s="123" t="e">
        <f>VLOOKUP(Fact_AUM_FyoCapital[[#This Row],[Dim_Empresas.CUIT]],'clientes SQL'!C:D,2,0)</f>
        <v>#N/A</v>
      </c>
    </row>
    <row r="1579" spans="1:12" hidden="1" x14ac:dyDescent="0.3">
      <c r="A1579">
        <v>2615489</v>
      </c>
      <c r="B1579">
        <v>20251205</v>
      </c>
      <c r="C1579">
        <v>5820</v>
      </c>
      <c r="D1579">
        <v>1.6507082748948105</v>
      </c>
      <c r="E1579" s="123" t="s">
        <v>1563</v>
      </c>
      <c r="F1579" s="123" t="s">
        <v>185</v>
      </c>
      <c r="G1579" s="123"/>
      <c r="H1579" s="95">
        <v>45996</v>
      </c>
      <c r="I1579">
        <v>34059</v>
      </c>
      <c r="J1579" s="123" t="s">
        <v>331</v>
      </c>
      <c r="K1579" s="123" t="s">
        <v>1383</v>
      </c>
      <c r="L1579" s="123" t="e">
        <f>VLOOKUP(Fact_AUM_FyoCapital[[#This Row],[Dim_Empresas.CUIT]],'clientes SQL'!C:D,2,0)</f>
        <v>#N/A</v>
      </c>
    </row>
    <row r="1580" spans="1:12" hidden="1" x14ac:dyDescent="0.3">
      <c r="A1580">
        <v>1871437</v>
      </c>
      <c r="B1580">
        <v>20251205</v>
      </c>
      <c r="C1580">
        <v>13719</v>
      </c>
      <c r="D1580">
        <v>0</v>
      </c>
      <c r="E1580" s="123"/>
      <c r="F1580" s="123"/>
      <c r="G1580" s="123"/>
      <c r="H1580" s="95">
        <v>45996</v>
      </c>
      <c r="I1580">
        <v>36879</v>
      </c>
      <c r="J1580" s="123" t="s">
        <v>1340</v>
      </c>
      <c r="K1580" s="123" t="s">
        <v>1341</v>
      </c>
      <c r="L1580" s="123" t="e">
        <f>VLOOKUP(Fact_AUM_FyoCapital[[#This Row],[Dim_Empresas.CUIT]],'clientes SQL'!C:D,2,0)</f>
        <v>#N/A</v>
      </c>
    </row>
    <row r="1581" spans="1:12" hidden="1" x14ac:dyDescent="0.3">
      <c r="A1581">
        <v>1879537</v>
      </c>
      <c r="B1581">
        <v>20251205</v>
      </c>
      <c r="C1581">
        <v>1546</v>
      </c>
      <c r="D1581">
        <v>0</v>
      </c>
      <c r="E1581" s="123"/>
      <c r="F1581" s="123"/>
      <c r="G1581" s="123"/>
      <c r="H1581" s="95">
        <v>45996</v>
      </c>
      <c r="I1581">
        <v>18554</v>
      </c>
      <c r="J1581" s="123" t="s">
        <v>550</v>
      </c>
      <c r="K1581" s="123" t="s">
        <v>1394</v>
      </c>
      <c r="L1581" s="123" t="e">
        <f>VLOOKUP(Fact_AUM_FyoCapital[[#This Row],[Dim_Empresas.CUIT]],'clientes SQL'!C:D,2,0)</f>
        <v>#N/A</v>
      </c>
    </row>
    <row r="1582" spans="1:12" hidden="1" x14ac:dyDescent="0.3">
      <c r="A1582">
        <v>1857517</v>
      </c>
      <c r="B1582">
        <v>20251205</v>
      </c>
      <c r="C1582">
        <v>1191</v>
      </c>
      <c r="D1582">
        <v>0</v>
      </c>
      <c r="E1582" s="123"/>
      <c r="F1582" s="123"/>
      <c r="G1582" s="123"/>
      <c r="H1582" s="95">
        <v>45996</v>
      </c>
      <c r="I1582">
        <v>18954</v>
      </c>
      <c r="J1582" s="123" t="s">
        <v>1247</v>
      </c>
      <c r="K1582" s="123" t="s">
        <v>1248</v>
      </c>
      <c r="L1582" s="123" t="e">
        <f>VLOOKUP(Fact_AUM_FyoCapital[[#This Row],[Dim_Empresas.CUIT]],'clientes SQL'!C:D,2,0)</f>
        <v>#N/A</v>
      </c>
    </row>
    <row r="1583" spans="1:12" hidden="1" x14ac:dyDescent="0.3">
      <c r="A1583">
        <v>1872757</v>
      </c>
      <c r="B1583">
        <v>20251205</v>
      </c>
      <c r="C1583">
        <v>16273</v>
      </c>
      <c r="D1583">
        <v>6617.9344319775601</v>
      </c>
      <c r="E1583" s="123" t="s">
        <v>1566</v>
      </c>
      <c r="F1583" s="123" t="s">
        <v>1571</v>
      </c>
      <c r="G1583" s="123"/>
      <c r="H1583" s="95">
        <v>45996</v>
      </c>
      <c r="I1583">
        <v>37760</v>
      </c>
      <c r="J1583" s="123" t="s">
        <v>1349</v>
      </c>
      <c r="K1583" s="123" t="s">
        <v>1350</v>
      </c>
      <c r="L1583" s="123" t="e">
        <f>VLOOKUP(Fact_AUM_FyoCapital[[#This Row],[Dim_Empresas.CUIT]],'clientes SQL'!C:D,2,0)</f>
        <v>#N/A</v>
      </c>
    </row>
    <row r="1584" spans="1:12" hidden="1" x14ac:dyDescent="0.3">
      <c r="A1584">
        <v>2600489</v>
      </c>
      <c r="B1584">
        <v>20251205</v>
      </c>
      <c r="C1584">
        <v>16348</v>
      </c>
      <c r="D1584">
        <v>100.55561009817671</v>
      </c>
      <c r="E1584" s="123" t="s">
        <v>1568</v>
      </c>
      <c r="F1584" s="123" t="s">
        <v>1572</v>
      </c>
      <c r="G1584" s="123" t="s">
        <v>1583</v>
      </c>
      <c r="H1584" s="95">
        <v>45996</v>
      </c>
      <c r="I1584">
        <v>37816</v>
      </c>
      <c r="J1584" s="123" t="s">
        <v>1198</v>
      </c>
      <c r="K1584" s="123" t="s">
        <v>1199</v>
      </c>
      <c r="L1584" s="123" t="e">
        <f>VLOOKUP(Fact_AUM_FyoCapital[[#This Row],[Dim_Empresas.CUIT]],'clientes SQL'!C:D,2,0)</f>
        <v>#N/A</v>
      </c>
    </row>
    <row r="1585" spans="1:12" hidden="1" x14ac:dyDescent="0.3">
      <c r="A1585">
        <v>2624309</v>
      </c>
      <c r="B1585">
        <v>20251205</v>
      </c>
      <c r="C1585">
        <v>1437</v>
      </c>
      <c r="D1585">
        <v>0.01</v>
      </c>
      <c r="E1585" s="123" t="s">
        <v>1563</v>
      </c>
      <c r="F1585" s="123" t="s">
        <v>950</v>
      </c>
      <c r="G1585" s="123"/>
      <c r="H1585" s="95">
        <v>45996</v>
      </c>
      <c r="I1585">
        <v>19791</v>
      </c>
      <c r="J1585" s="123" t="s">
        <v>172</v>
      </c>
      <c r="K1585" s="123" t="s">
        <v>1223</v>
      </c>
      <c r="L1585" s="123">
        <f>VLOOKUP(Fact_AUM_FyoCapital[[#This Row],[Dim_Empresas.CUIT]],'clientes SQL'!C:D,2,0)</f>
        <v>20176</v>
      </c>
    </row>
    <row r="1586" spans="1:12" hidden="1" x14ac:dyDescent="0.3">
      <c r="A1586">
        <v>2638709</v>
      </c>
      <c r="B1586">
        <v>20251205</v>
      </c>
      <c r="C1586">
        <v>12617</v>
      </c>
      <c r="D1586" s="6">
        <v>120260.66</v>
      </c>
      <c r="E1586" s="123" t="s">
        <v>1563</v>
      </c>
      <c r="F1586" s="123" t="s">
        <v>950</v>
      </c>
      <c r="G1586" s="123"/>
      <c r="H1586" s="95">
        <v>45996</v>
      </c>
      <c r="I1586">
        <v>35876</v>
      </c>
      <c r="J1586" s="123" t="s">
        <v>1512</v>
      </c>
      <c r="K1586" s="123" t="s">
        <v>1516</v>
      </c>
      <c r="L1586" s="123" t="e">
        <f>VLOOKUP(Fact_AUM_FyoCapital[[#This Row],[Dim_Empresas.CUIT]],'clientes SQL'!C:D,2,0)</f>
        <v>#N/A</v>
      </c>
    </row>
    <row r="1587" spans="1:12" hidden="1" x14ac:dyDescent="0.3">
      <c r="A1587">
        <v>2622209</v>
      </c>
      <c r="B1587">
        <v>20251205</v>
      </c>
      <c r="C1587">
        <v>5855</v>
      </c>
      <c r="D1587">
        <v>-9.4319775596072936E-2</v>
      </c>
      <c r="E1587" s="123" t="s">
        <v>1563</v>
      </c>
      <c r="F1587" s="123" t="s">
        <v>185</v>
      </c>
      <c r="G1587" s="123"/>
      <c r="H1587" s="95">
        <v>45996</v>
      </c>
      <c r="I1587">
        <v>34095</v>
      </c>
      <c r="J1587" s="123" t="s">
        <v>406</v>
      </c>
      <c r="K1587" s="123" t="s">
        <v>1440</v>
      </c>
      <c r="L1587" s="123" t="e">
        <f>VLOOKUP(Fact_AUM_FyoCapital[[#This Row],[Dim_Empresas.CUIT]],'clientes SQL'!C:D,2,0)</f>
        <v>#N/A</v>
      </c>
    </row>
    <row r="1588" spans="1:12" hidden="1" x14ac:dyDescent="0.3">
      <c r="A1588">
        <v>1903057</v>
      </c>
      <c r="B1588">
        <v>20251205</v>
      </c>
      <c r="C1588">
        <v>14876</v>
      </c>
      <c r="D1588">
        <v>2838.4361851332396</v>
      </c>
      <c r="E1588" s="123" t="s">
        <v>1566</v>
      </c>
      <c r="F1588" s="123" t="s">
        <v>1573</v>
      </c>
      <c r="G1588" s="123"/>
      <c r="H1588" s="95">
        <v>45996</v>
      </c>
      <c r="I1588">
        <v>37091</v>
      </c>
      <c r="J1588" s="123" t="s">
        <v>604</v>
      </c>
      <c r="K1588" s="123" t="s">
        <v>1293</v>
      </c>
      <c r="L1588" s="123" t="e">
        <f>VLOOKUP(Fact_AUM_FyoCapital[[#This Row],[Dim_Empresas.CUIT]],'clientes SQL'!C:D,2,0)</f>
        <v>#N/A</v>
      </c>
    </row>
    <row r="1589" spans="1:12" hidden="1" x14ac:dyDescent="0.3">
      <c r="A1589">
        <v>1895797</v>
      </c>
      <c r="B1589">
        <v>20251205</v>
      </c>
      <c r="C1589">
        <v>10253</v>
      </c>
      <c r="D1589">
        <v>32320.47685834502</v>
      </c>
      <c r="E1589" s="123" t="s">
        <v>1566</v>
      </c>
      <c r="F1589" s="123" t="s">
        <v>1580</v>
      </c>
      <c r="G1589" s="123"/>
      <c r="H1589" s="95">
        <v>45996</v>
      </c>
      <c r="I1589">
        <v>35643</v>
      </c>
      <c r="J1589" s="123" t="s">
        <v>603</v>
      </c>
      <c r="K1589" s="123" t="s">
        <v>1220</v>
      </c>
      <c r="L1589" s="123" t="e">
        <f>VLOOKUP(Fact_AUM_FyoCapital[[#This Row],[Dim_Empresas.CUIT]],'clientes SQL'!C:D,2,0)</f>
        <v>#N/A</v>
      </c>
    </row>
    <row r="1590" spans="1:12" hidden="1" x14ac:dyDescent="0.3">
      <c r="A1590">
        <v>1840417</v>
      </c>
      <c r="B1590">
        <v>20251205</v>
      </c>
      <c r="C1590">
        <v>5251</v>
      </c>
      <c r="D1590" s="6">
        <v>0</v>
      </c>
      <c r="E1590" s="123"/>
      <c r="F1590" s="123"/>
      <c r="G1590" s="123"/>
      <c r="H1590" s="95">
        <v>45996</v>
      </c>
      <c r="I1590">
        <v>33173</v>
      </c>
      <c r="J1590" s="123" t="s">
        <v>341</v>
      </c>
      <c r="K1590" s="123" t="s">
        <v>1318</v>
      </c>
      <c r="L1590" s="123" t="e">
        <f>VLOOKUP(Fact_AUM_FyoCapital[[#This Row],[Dim_Empresas.CUIT]],'clientes SQL'!C:D,2,0)</f>
        <v>#N/A</v>
      </c>
    </row>
    <row r="1591" spans="1:12" hidden="1" x14ac:dyDescent="0.3">
      <c r="A1591">
        <v>1864897</v>
      </c>
      <c r="B1591">
        <v>20251205</v>
      </c>
      <c r="C1591">
        <v>1314</v>
      </c>
      <c r="D1591">
        <v>17449.189999999999</v>
      </c>
      <c r="E1591" s="123" t="s">
        <v>1566</v>
      </c>
      <c r="F1591" s="123" t="s">
        <v>1571</v>
      </c>
      <c r="G1591" s="123"/>
      <c r="H1591" s="95">
        <v>45996</v>
      </c>
      <c r="I1591">
        <v>19442</v>
      </c>
      <c r="J1591" s="123" t="s">
        <v>309</v>
      </c>
      <c r="K1591" s="123" t="s">
        <v>1112</v>
      </c>
      <c r="L1591" s="123" t="e">
        <f>VLOOKUP(Fact_AUM_FyoCapital[[#This Row],[Dim_Empresas.CUIT]],'clientes SQL'!C:D,2,0)</f>
        <v>#N/A</v>
      </c>
    </row>
    <row r="1592" spans="1:12" hidden="1" x14ac:dyDescent="0.3">
      <c r="A1592">
        <v>2598689</v>
      </c>
      <c r="B1592">
        <v>20251205</v>
      </c>
      <c r="C1592">
        <v>14905</v>
      </c>
      <c r="D1592">
        <v>442965.98</v>
      </c>
      <c r="E1592" s="123" t="s">
        <v>1566</v>
      </c>
      <c r="F1592" s="123" t="s">
        <v>1579</v>
      </c>
      <c r="G1592" s="123"/>
      <c r="H1592" s="95">
        <v>45996</v>
      </c>
      <c r="I1592">
        <v>37115</v>
      </c>
      <c r="J1592" s="123" t="s">
        <v>701</v>
      </c>
      <c r="K1592" s="123" t="s">
        <v>1330</v>
      </c>
      <c r="L1592" s="123" t="e">
        <f>VLOOKUP(Fact_AUM_FyoCapital[[#This Row],[Dim_Empresas.CUIT]],'clientes SQL'!C:D,2,0)</f>
        <v>#N/A</v>
      </c>
    </row>
    <row r="1593" spans="1:12" hidden="1" x14ac:dyDescent="0.3">
      <c r="A1593">
        <v>2623769</v>
      </c>
      <c r="B1593">
        <v>20251205</v>
      </c>
      <c r="C1593">
        <v>2162</v>
      </c>
      <c r="D1593">
        <v>207.36</v>
      </c>
      <c r="E1593" s="123" t="s">
        <v>1563</v>
      </c>
      <c r="F1593" s="123" t="s">
        <v>188</v>
      </c>
      <c r="G1593" s="123"/>
      <c r="H1593" s="95">
        <v>45996</v>
      </c>
      <c r="I1593">
        <v>30101</v>
      </c>
      <c r="J1593" s="123" t="s">
        <v>391</v>
      </c>
      <c r="K1593" s="123" t="s">
        <v>1216</v>
      </c>
      <c r="L1593" s="123" t="e">
        <f>VLOOKUP(Fact_AUM_FyoCapital[[#This Row],[Dim_Empresas.CUIT]],'clientes SQL'!C:D,2,0)</f>
        <v>#N/A</v>
      </c>
    </row>
    <row r="1594" spans="1:12" hidden="1" x14ac:dyDescent="0.3">
      <c r="A1594">
        <v>1826257</v>
      </c>
      <c r="B1594">
        <v>20251205</v>
      </c>
      <c r="C1594">
        <v>1277</v>
      </c>
      <c r="D1594">
        <v>0</v>
      </c>
      <c r="E1594" s="123"/>
      <c r="F1594" s="123"/>
      <c r="G1594" s="123"/>
      <c r="H1594" s="95">
        <v>45996</v>
      </c>
      <c r="I1594">
        <v>19100</v>
      </c>
      <c r="J1594" s="123" t="s">
        <v>254</v>
      </c>
      <c r="K1594" s="123" t="s">
        <v>1240</v>
      </c>
      <c r="L1594" s="123" t="e">
        <f>VLOOKUP(Fact_AUM_FyoCapital[[#This Row],[Dim_Empresas.CUIT]],'clientes SQL'!C:D,2,0)</f>
        <v>#N/A</v>
      </c>
    </row>
    <row r="1595" spans="1:12" hidden="1" x14ac:dyDescent="0.3">
      <c r="A1595">
        <v>1869877</v>
      </c>
      <c r="B1595">
        <v>20251205</v>
      </c>
      <c r="C1595">
        <v>13361</v>
      </c>
      <c r="D1595">
        <v>1857.3632538569425</v>
      </c>
      <c r="E1595" s="123" t="s">
        <v>1566</v>
      </c>
      <c r="F1595" s="123" t="s">
        <v>1579</v>
      </c>
      <c r="G1595" s="123"/>
      <c r="H1595" s="95">
        <v>45996</v>
      </c>
      <c r="I1595">
        <v>36541</v>
      </c>
      <c r="J1595" s="123" t="s">
        <v>454</v>
      </c>
      <c r="K1595" s="123" t="s">
        <v>1322</v>
      </c>
      <c r="L1595" s="123" t="e">
        <f>VLOOKUP(Fact_AUM_FyoCapital[[#This Row],[Dim_Empresas.CUIT]],'clientes SQL'!C:D,2,0)</f>
        <v>#N/A</v>
      </c>
    </row>
    <row r="1596" spans="1:12" hidden="1" x14ac:dyDescent="0.3">
      <c r="A1596">
        <v>2598389</v>
      </c>
      <c r="B1596">
        <v>20251205</v>
      </c>
      <c r="C1596">
        <v>14876</v>
      </c>
      <c r="D1596">
        <v>10592.779081346423</v>
      </c>
      <c r="E1596" s="123" t="s">
        <v>1568</v>
      </c>
      <c r="F1596" s="123" t="s">
        <v>1572</v>
      </c>
      <c r="G1596" s="123" t="s">
        <v>1574</v>
      </c>
      <c r="H1596" s="95">
        <v>45996</v>
      </c>
      <c r="I1596">
        <v>37091</v>
      </c>
      <c r="J1596" s="123" t="s">
        <v>604</v>
      </c>
      <c r="K1596" s="123" t="s">
        <v>1293</v>
      </c>
      <c r="L1596" s="123" t="e">
        <f>VLOOKUP(Fact_AUM_FyoCapital[[#This Row],[Dim_Empresas.CUIT]],'clientes SQL'!C:D,2,0)</f>
        <v>#N/A</v>
      </c>
    </row>
    <row r="1597" spans="1:12" hidden="1" x14ac:dyDescent="0.3">
      <c r="A1597">
        <v>2639249</v>
      </c>
      <c r="B1597">
        <v>20251205</v>
      </c>
      <c r="C1597">
        <v>12999</v>
      </c>
      <c r="D1597">
        <v>3.085553997194951E-4</v>
      </c>
      <c r="E1597" s="123" t="s">
        <v>1563</v>
      </c>
      <c r="F1597" s="123" t="s">
        <v>185</v>
      </c>
      <c r="G1597" s="123"/>
      <c r="H1597" s="95">
        <v>45996</v>
      </c>
      <c r="I1597">
        <v>36209</v>
      </c>
      <c r="J1597" s="123" t="s">
        <v>586</v>
      </c>
      <c r="K1597" s="123" t="s">
        <v>1421</v>
      </c>
      <c r="L1597" s="123" t="e">
        <f>VLOOKUP(Fact_AUM_FyoCapital[[#This Row],[Dim_Empresas.CUIT]],'clientes SQL'!C:D,2,0)</f>
        <v>#N/A</v>
      </c>
    </row>
    <row r="1598" spans="1:12" hidden="1" x14ac:dyDescent="0.3">
      <c r="A1598">
        <v>1861957</v>
      </c>
      <c r="B1598">
        <v>20251205</v>
      </c>
      <c r="C1598">
        <v>682</v>
      </c>
      <c r="D1598">
        <v>0</v>
      </c>
      <c r="E1598" s="123"/>
      <c r="F1598" s="123"/>
      <c r="G1598" s="123"/>
      <c r="H1598" s="95">
        <v>45996</v>
      </c>
      <c r="I1598">
        <v>9775</v>
      </c>
      <c r="J1598" s="123" t="s">
        <v>287</v>
      </c>
      <c r="K1598" s="123" t="s">
        <v>1320</v>
      </c>
      <c r="L1598" s="123" t="e">
        <f>VLOOKUP(Fact_AUM_FyoCapital[[#This Row],[Dim_Empresas.CUIT]],'clientes SQL'!C:D,2,0)</f>
        <v>#N/A</v>
      </c>
    </row>
    <row r="1599" spans="1:12" hidden="1" x14ac:dyDescent="0.3">
      <c r="A1599">
        <v>1848757</v>
      </c>
      <c r="B1599">
        <v>20251205</v>
      </c>
      <c r="C1599">
        <v>15233</v>
      </c>
      <c r="D1599">
        <v>902.37471248246845</v>
      </c>
      <c r="E1599" s="123" t="s">
        <v>1568</v>
      </c>
      <c r="F1599" s="123" t="s">
        <v>1572</v>
      </c>
      <c r="G1599" s="123" t="s">
        <v>1577</v>
      </c>
      <c r="H1599" s="95">
        <v>45996</v>
      </c>
      <c r="I1599">
        <v>37359</v>
      </c>
      <c r="J1599" s="123" t="s">
        <v>710</v>
      </c>
      <c r="K1599" s="123" t="s">
        <v>1232</v>
      </c>
      <c r="L1599" s="123" t="e">
        <f>VLOOKUP(Fact_AUM_FyoCapital[[#This Row],[Dim_Empresas.CUIT]],'clientes SQL'!C:D,2,0)</f>
        <v>#N/A</v>
      </c>
    </row>
    <row r="1600" spans="1:12" hidden="1" x14ac:dyDescent="0.3">
      <c r="A1600">
        <v>2640029</v>
      </c>
      <c r="B1600">
        <v>20251205</v>
      </c>
      <c r="C1600">
        <v>14873</v>
      </c>
      <c r="D1600">
        <v>20.151654978962132</v>
      </c>
      <c r="E1600" s="123" t="s">
        <v>1563</v>
      </c>
      <c r="F1600" s="123" t="s">
        <v>185</v>
      </c>
      <c r="G1600" s="123"/>
      <c r="H1600" s="95">
        <v>45996</v>
      </c>
      <c r="I1600">
        <v>37088</v>
      </c>
      <c r="J1600" s="123" t="s">
        <v>571</v>
      </c>
      <c r="K1600" s="123" t="s">
        <v>1269</v>
      </c>
      <c r="L1600" s="123" t="e">
        <f>VLOOKUP(Fact_AUM_FyoCapital[[#This Row],[Dim_Empresas.CUIT]],'clientes SQL'!C:D,2,0)</f>
        <v>#N/A</v>
      </c>
    </row>
    <row r="1601" spans="1:12" hidden="1" x14ac:dyDescent="0.3">
      <c r="A1601">
        <v>1861897</v>
      </c>
      <c r="B1601">
        <v>20251205</v>
      </c>
      <c r="C1601">
        <v>682</v>
      </c>
      <c r="D1601">
        <v>0</v>
      </c>
      <c r="E1601" s="123"/>
      <c r="F1601" s="123"/>
      <c r="G1601" s="123"/>
      <c r="H1601" s="95">
        <v>45996</v>
      </c>
      <c r="I1601">
        <v>9775</v>
      </c>
      <c r="J1601" s="123" t="s">
        <v>287</v>
      </c>
      <c r="K1601" s="123" t="s">
        <v>1320</v>
      </c>
      <c r="L1601" s="123" t="e">
        <f>VLOOKUP(Fact_AUM_FyoCapital[[#This Row],[Dim_Empresas.CUIT]],'clientes SQL'!C:D,2,0)</f>
        <v>#N/A</v>
      </c>
    </row>
    <row r="1602" spans="1:12" hidden="1" x14ac:dyDescent="0.3">
      <c r="A1602">
        <v>1833397</v>
      </c>
      <c r="B1602">
        <v>20251205</v>
      </c>
      <c r="C1602">
        <v>2654</v>
      </c>
      <c r="D1602">
        <v>280.57650070126226</v>
      </c>
      <c r="E1602" s="123" t="s">
        <v>1568</v>
      </c>
      <c r="F1602" s="123" t="s">
        <v>1572</v>
      </c>
      <c r="G1602" s="123" t="s">
        <v>1570</v>
      </c>
      <c r="H1602" s="95">
        <v>45996</v>
      </c>
      <c r="I1602">
        <v>30889</v>
      </c>
      <c r="J1602" s="123" t="s">
        <v>1360</v>
      </c>
      <c r="K1602" s="123" t="s">
        <v>1361</v>
      </c>
      <c r="L1602" s="123" t="e">
        <f>VLOOKUP(Fact_AUM_FyoCapital[[#This Row],[Dim_Empresas.CUIT]],'clientes SQL'!C:D,2,0)</f>
        <v>#N/A</v>
      </c>
    </row>
    <row r="1603" spans="1:12" hidden="1" x14ac:dyDescent="0.3">
      <c r="A1603">
        <v>2610269</v>
      </c>
      <c r="B1603">
        <v>20251205</v>
      </c>
      <c r="C1603">
        <v>5410</v>
      </c>
      <c r="D1603">
        <v>-0.25889901823281908</v>
      </c>
      <c r="E1603" s="123" t="s">
        <v>1563</v>
      </c>
      <c r="F1603" s="123" t="s">
        <v>185</v>
      </c>
      <c r="G1603" s="123"/>
      <c r="H1603" s="95">
        <v>45996</v>
      </c>
      <c r="I1603">
        <v>33533</v>
      </c>
      <c r="J1603" s="123" t="s">
        <v>199</v>
      </c>
      <c r="K1603" s="123" t="s">
        <v>1359</v>
      </c>
      <c r="L1603" s="123" t="e">
        <f>VLOOKUP(Fact_AUM_FyoCapital[[#This Row],[Dim_Empresas.CUIT]],'clientes SQL'!C:D,2,0)</f>
        <v>#N/A</v>
      </c>
    </row>
    <row r="1604" spans="1:12" hidden="1" x14ac:dyDescent="0.3">
      <c r="A1604">
        <v>1869637</v>
      </c>
      <c r="B1604">
        <v>20251205</v>
      </c>
      <c r="C1604">
        <v>13361</v>
      </c>
      <c r="D1604">
        <v>517</v>
      </c>
      <c r="E1604" s="123" t="s">
        <v>1566</v>
      </c>
      <c r="F1604" s="123" t="s">
        <v>1571</v>
      </c>
      <c r="G1604" s="123"/>
      <c r="H1604" s="95">
        <v>45996</v>
      </c>
      <c r="I1604">
        <v>36541</v>
      </c>
      <c r="J1604" s="123" t="s">
        <v>454</v>
      </c>
      <c r="K1604" s="123" t="s">
        <v>1322</v>
      </c>
      <c r="L1604" s="123" t="e">
        <f>VLOOKUP(Fact_AUM_FyoCapital[[#This Row],[Dim_Empresas.CUIT]],'clientes SQL'!C:D,2,0)</f>
        <v>#N/A</v>
      </c>
    </row>
    <row r="1605" spans="1:12" hidden="1" x14ac:dyDescent="0.3">
      <c r="A1605">
        <v>1863817</v>
      </c>
      <c r="B1605">
        <v>20251205</v>
      </c>
      <c r="C1605">
        <v>2299</v>
      </c>
      <c r="D1605">
        <v>21245.71590462833</v>
      </c>
      <c r="E1605" s="123" t="s">
        <v>1566</v>
      </c>
      <c r="F1605" s="123" t="s">
        <v>1571</v>
      </c>
      <c r="G1605" s="123"/>
      <c r="H1605" s="95">
        <v>45996</v>
      </c>
      <c r="I1605">
        <v>30388</v>
      </c>
      <c r="J1605" s="123" t="s">
        <v>290</v>
      </c>
      <c r="K1605" s="123" t="s">
        <v>1160</v>
      </c>
      <c r="L1605" s="123" t="e">
        <f>VLOOKUP(Fact_AUM_FyoCapital[[#This Row],[Dim_Empresas.CUIT]],'clientes SQL'!C:D,2,0)</f>
        <v>#N/A</v>
      </c>
    </row>
    <row r="1606" spans="1:12" hidden="1" x14ac:dyDescent="0.3">
      <c r="A1606">
        <v>2606129</v>
      </c>
      <c r="B1606">
        <v>20251205</v>
      </c>
      <c r="C1606">
        <v>7742</v>
      </c>
      <c r="D1606">
        <v>184633.15</v>
      </c>
      <c r="E1606" s="123" t="s">
        <v>1566</v>
      </c>
      <c r="F1606" s="123" t="s">
        <v>1571</v>
      </c>
      <c r="G1606" s="123"/>
      <c r="H1606" s="95">
        <v>45996</v>
      </c>
      <c r="I1606">
        <v>35045</v>
      </c>
      <c r="J1606" s="123" t="s">
        <v>1272</v>
      </c>
      <c r="K1606" s="123" t="s">
        <v>1273</v>
      </c>
      <c r="L1606" s="123" t="e">
        <f>VLOOKUP(Fact_AUM_FyoCapital[[#This Row],[Dim_Empresas.CUIT]],'clientes SQL'!C:D,2,0)</f>
        <v>#N/A</v>
      </c>
    </row>
    <row r="1607" spans="1:12" hidden="1" x14ac:dyDescent="0.3">
      <c r="A1607">
        <v>2642489</v>
      </c>
      <c r="B1607">
        <v>20251205</v>
      </c>
      <c r="C1607">
        <v>640</v>
      </c>
      <c r="D1607">
        <v>231725.53</v>
      </c>
      <c r="E1607" s="123" t="s">
        <v>1563</v>
      </c>
      <c r="F1607" s="123" t="s">
        <v>950</v>
      </c>
      <c r="G1607" s="123"/>
      <c r="H1607" s="95">
        <v>45996</v>
      </c>
      <c r="I1607">
        <v>8261</v>
      </c>
      <c r="J1607" s="123" t="s">
        <v>431</v>
      </c>
      <c r="K1607" s="123" t="s">
        <v>1192</v>
      </c>
      <c r="L1607" s="123" t="e">
        <f>VLOOKUP(Fact_AUM_FyoCapital[[#This Row],[Dim_Empresas.CUIT]],'clientes SQL'!C:D,2,0)</f>
        <v>#N/A</v>
      </c>
    </row>
    <row r="1608" spans="1:12" hidden="1" x14ac:dyDescent="0.3">
      <c r="A1608">
        <v>1858477</v>
      </c>
      <c r="B1608">
        <v>20251205</v>
      </c>
      <c r="C1608">
        <v>1191</v>
      </c>
      <c r="D1608">
        <v>220324.55617110801</v>
      </c>
      <c r="E1608" s="123" t="s">
        <v>1566</v>
      </c>
      <c r="F1608" s="123" t="s">
        <v>1571</v>
      </c>
      <c r="G1608" s="123"/>
      <c r="H1608" s="95">
        <v>45996</v>
      </c>
      <c r="I1608">
        <v>18954</v>
      </c>
      <c r="J1608" s="123" t="s">
        <v>1247</v>
      </c>
      <c r="K1608" s="123" t="s">
        <v>1248</v>
      </c>
      <c r="L1608" s="123" t="e">
        <f>VLOOKUP(Fact_AUM_FyoCapital[[#This Row],[Dim_Empresas.CUIT]],'clientes SQL'!C:D,2,0)</f>
        <v>#N/A</v>
      </c>
    </row>
    <row r="1609" spans="1:12" hidden="1" x14ac:dyDescent="0.3">
      <c r="A1609">
        <v>1862377</v>
      </c>
      <c r="B1609">
        <v>20251205</v>
      </c>
      <c r="C1609">
        <v>682</v>
      </c>
      <c r="D1609">
        <v>0</v>
      </c>
      <c r="E1609" s="123"/>
      <c r="F1609" s="123"/>
      <c r="G1609" s="123"/>
      <c r="H1609" s="95">
        <v>45996</v>
      </c>
      <c r="I1609">
        <v>9775</v>
      </c>
      <c r="J1609" s="123" t="s">
        <v>287</v>
      </c>
      <c r="K1609" s="123" t="s">
        <v>1320</v>
      </c>
      <c r="L1609" s="123" t="e">
        <f>VLOOKUP(Fact_AUM_FyoCapital[[#This Row],[Dim_Empresas.CUIT]],'clientes SQL'!C:D,2,0)</f>
        <v>#N/A</v>
      </c>
    </row>
    <row r="1610" spans="1:12" hidden="1" x14ac:dyDescent="0.3">
      <c r="A1610">
        <v>2628029</v>
      </c>
      <c r="B1610">
        <v>20251205</v>
      </c>
      <c r="C1610">
        <v>2346</v>
      </c>
      <c r="D1610">
        <v>0</v>
      </c>
      <c r="E1610" s="123"/>
      <c r="F1610" s="123"/>
      <c r="G1610" s="123"/>
      <c r="H1610" s="95">
        <v>45996</v>
      </c>
      <c r="I1610">
        <v>30471</v>
      </c>
      <c r="J1610" s="123" t="s">
        <v>469</v>
      </c>
      <c r="K1610" s="123" t="s">
        <v>1316</v>
      </c>
      <c r="L1610" s="123" t="e">
        <f>VLOOKUP(Fact_AUM_FyoCapital[[#This Row],[Dim_Empresas.CUIT]],'clientes SQL'!C:D,2,0)</f>
        <v>#N/A</v>
      </c>
    </row>
    <row r="1611" spans="1:12" hidden="1" x14ac:dyDescent="0.3">
      <c r="A1611">
        <v>2619209</v>
      </c>
      <c r="B1611">
        <v>20251205</v>
      </c>
      <c r="C1611">
        <v>2298</v>
      </c>
      <c r="D1611">
        <v>3.64</v>
      </c>
      <c r="E1611" s="123" t="s">
        <v>1563</v>
      </c>
      <c r="F1611" s="123" t="s">
        <v>188</v>
      </c>
      <c r="G1611" s="123"/>
      <c r="H1611" s="95">
        <v>45996</v>
      </c>
      <c r="I1611">
        <v>30387</v>
      </c>
      <c r="J1611" s="123" t="s">
        <v>1532</v>
      </c>
      <c r="K1611" s="123" t="s">
        <v>1291</v>
      </c>
      <c r="L1611" s="123" t="e">
        <f>VLOOKUP(Fact_AUM_FyoCapital[[#This Row],[Dim_Empresas.CUIT]],'clientes SQL'!C:D,2,0)</f>
        <v>#N/A</v>
      </c>
    </row>
    <row r="1612" spans="1:12" hidden="1" x14ac:dyDescent="0.3">
      <c r="A1612">
        <v>2641049</v>
      </c>
      <c r="B1612">
        <v>20251205</v>
      </c>
      <c r="C1612">
        <v>16348</v>
      </c>
      <c r="D1612">
        <v>-2.8730715287517531E-2</v>
      </c>
      <c r="E1612" s="123" t="s">
        <v>1563</v>
      </c>
      <c r="F1612" s="123" t="s">
        <v>185</v>
      </c>
      <c r="G1612" s="123"/>
      <c r="H1612" s="95">
        <v>45996</v>
      </c>
      <c r="I1612">
        <v>37816</v>
      </c>
      <c r="J1612" s="123" t="s">
        <v>1198</v>
      </c>
      <c r="K1612" s="123" t="s">
        <v>1199</v>
      </c>
      <c r="L1612" s="123" t="e">
        <f>VLOOKUP(Fact_AUM_FyoCapital[[#This Row],[Dim_Empresas.CUIT]],'clientes SQL'!C:D,2,0)</f>
        <v>#N/A</v>
      </c>
    </row>
    <row r="1613" spans="1:12" hidden="1" x14ac:dyDescent="0.3">
      <c r="A1613">
        <v>2606069</v>
      </c>
      <c r="B1613">
        <v>20251205</v>
      </c>
      <c r="C1613">
        <v>7742</v>
      </c>
      <c r="D1613">
        <v>92085.27</v>
      </c>
      <c r="E1613" s="123" t="s">
        <v>1566</v>
      </c>
      <c r="F1613" s="123" t="s">
        <v>1571</v>
      </c>
      <c r="G1613" s="123"/>
      <c r="H1613" s="95">
        <v>45996</v>
      </c>
      <c r="I1613">
        <v>35045</v>
      </c>
      <c r="J1613" s="123" t="s">
        <v>1272</v>
      </c>
      <c r="K1613" s="123" t="s">
        <v>1273</v>
      </c>
      <c r="L1613" s="123" t="e">
        <f>VLOOKUP(Fact_AUM_FyoCapital[[#This Row],[Dim_Empresas.CUIT]],'clientes SQL'!C:D,2,0)</f>
        <v>#N/A</v>
      </c>
    </row>
    <row r="1614" spans="1:12" hidden="1" x14ac:dyDescent="0.3">
      <c r="A1614">
        <v>1849957</v>
      </c>
      <c r="B1614">
        <v>20251205</v>
      </c>
      <c r="C1614">
        <v>2298</v>
      </c>
      <c r="D1614">
        <v>34.42</v>
      </c>
      <c r="E1614" s="123" t="s">
        <v>1566</v>
      </c>
      <c r="F1614" s="123" t="s">
        <v>1571</v>
      </c>
      <c r="G1614" s="123"/>
      <c r="H1614" s="95">
        <v>45996</v>
      </c>
      <c r="I1614">
        <v>30387</v>
      </c>
      <c r="J1614" s="123" t="s">
        <v>1532</v>
      </c>
      <c r="K1614" s="123" t="s">
        <v>1291</v>
      </c>
      <c r="L1614" s="123" t="e">
        <f>VLOOKUP(Fact_AUM_FyoCapital[[#This Row],[Dim_Empresas.CUIT]],'clientes SQL'!C:D,2,0)</f>
        <v>#N/A</v>
      </c>
    </row>
    <row r="1615" spans="1:12" hidden="1" x14ac:dyDescent="0.3">
      <c r="A1615">
        <v>1860757</v>
      </c>
      <c r="B1615">
        <v>20251205</v>
      </c>
      <c r="C1615">
        <v>1437</v>
      </c>
      <c r="D1615">
        <v>140252.45441795231</v>
      </c>
      <c r="E1615" s="123" t="s">
        <v>1568</v>
      </c>
      <c r="F1615" s="123" t="s">
        <v>1572</v>
      </c>
      <c r="G1615" s="123" t="s">
        <v>1584</v>
      </c>
      <c r="H1615" s="95">
        <v>45996</v>
      </c>
      <c r="I1615">
        <v>19791</v>
      </c>
      <c r="J1615" s="123" t="s">
        <v>172</v>
      </c>
      <c r="K1615" s="123" t="s">
        <v>1223</v>
      </c>
      <c r="L1615" s="123">
        <f>VLOOKUP(Fact_AUM_FyoCapital[[#This Row],[Dim_Empresas.CUIT]],'clientes SQL'!C:D,2,0)</f>
        <v>20176</v>
      </c>
    </row>
    <row r="1616" spans="1:12" hidden="1" x14ac:dyDescent="0.3">
      <c r="A1616">
        <v>1897177</v>
      </c>
      <c r="B1616">
        <v>20251205</v>
      </c>
      <c r="C1616">
        <v>10253</v>
      </c>
      <c r="D1616">
        <v>31203.366058906031</v>
      </c>
      <c r="E1616" s="123" t="s">
        <v>1566</v>
      </c>
      <c r="F1616" s="123" t="s">
        <v>1580</v>
      </c>
      <c r="G1616" s="123"/>
      <c r="H1616" s="95">
        <v>45996</v>
      </c>
      <c r="I1616">
        <v>35643</v>
      </c>
      <c r="J1616" s="123" t="s">
        <v>603</v>
      </c>
      <c r="K1616" s="123" t="s">
        <v>1220</v>
      </c>
      <c r="L1616" s="123" t="e">
        <f>VLOOKUP(Fact_AUM_FyoCapital[[#This Row],[Dim_Empresas.CUIT]],'clientes SQL'!C:D,2,0)</f>
        <v>#N/A</v>
      </c>
    </row>
    <row r="1617" spans="1:12" hidden="1" x14ac:dyDescent="0.3">
      <c r="A1617">
        <v>2632349</v>
      </c>
      <c r="B1617">
        <v>20251205</v>
      </c>
      <c r="C1617">
        <v>3997</v>
      </c>
      <c r="D1617">
        <v>30</v>
      </c>
      <c r="E1617" s="123" t="s">
        <v>1563</v>
      </c>
      <c r="F1617" s="123" t="s">
        <v>188</v>
      </c>
      <c r="G1617" s="123"/>
      <c r="H1617" s="95">
        <v>45996</v>
      </c>
      <c r="I1617">
        <v>32594</v>
      </c>
      <c r="J1617" s="123" t="s">
        <v>123</v>
      </c>
      <c r="K1617" s="123" t="s">
        <v>1363</v>
      </c>
      <c r="L1617" s="123">
        <f>VLOOKUP(Fact_AUM_FyoCapital[[#This Row],[Dim_Empresas.CUIT]],'clientes SQL'!C:D,2,0)</f>
        <v>13033</v>
      </c>
    </row>
    <row r="1618" spans="1:12" hidden="1" x14ac:dyDescent="0.3">
      <c r="A1618">
        <v>2631449</v>
      </c>
      <c r="B1618">
        <v>20251205</v>
      </c>
      <c r="C1618">
        <v>95</v>
      </c>
      <c r="D1618">
        <v>768.48</v>
      </c>
      <c r="E1618" s="123" t="s">
        <v>1563</v>
      </c>
      <c r="F1618" s="123" t="s">
        <v>950</v>
      </c>
      <c r="G1618" s="123"/>
      <c r="H1618" s="95">
        <v>45996</v>
      </c>
      <c r="I1618">
        <v>708</v>
      </c>
      <c r="J1618" s="123" t="s">
        <v>1241</v>
      </c>
      <c r="K1618" s="123" t="s">
        <v>1242</v>
      </c>
      <c r="L1618" s="123" t="e">
        <f>VLOOKUP(Fact_AUM_FyoCapital[[#This Row],[Dim_Empresas.CUIT]],'clientes SQL'!C:D,2,0)</f>
        <v>#N/A</v>
      </c>
    </row>
    <row r="1619" spans="1:12" hidden="1" x14ac:dyDescent="0.3">
      <c r="A1619">
        <v>1852537</v>
      </c>
      <c r="B1619">
        <v>20251205</v>
      </c>
      <c r="C1619">
        <v>3119</v>
      </c>
      <c r="D1619">
        <v>8279.1440883590476</v>
      </c>
      <c r="E1619" s="123" t="s">
        <v>1566</v>
      </c>
      <c r="F1619" s="123" t="s">
        <v>1571</v>
      </c>
      <c r="G1619" s="123"/>
      <c r="H1619" s="95">
        <v>45996</v>
      </c>
      <c r="I1619">
        <v>31525</v>
      </c>
      <c r="J1619" s="123" t="s">
        <v>432</v>
      </c>
      <c r="K1619" s="123" t="s">
        <v>1145</v>
      </c>
      <c r="L1619" s="123" t="e">
        <f>VLOOKUP(Fact_AUM_FyoCapital[[#This Row],[Dim_Empresas.CUIT]],'clientes SQL'!C:D,2,0)</f>
        <v>#N/A</v>
      </c>
    </row>
    <row r="1620" spans="1:12" hidden="1" x14ac:dyDescent="0.3">
      <c r="A1620">
        <v>1858237</v>
      </c>
      <c r="B1620">
        <v>20251205</v>
      </c>
      <c r="C1620">
        <v>1191</v>
      </c>
      <c r="D1620" s="6">
        <v>0</v>
      </c>
      <c r="E1620" s="123"/>
      <c r="F1620" s="123"/>
      <c r="G1620" s="123"/>
      <c r="H1620" s="95">
        <v>45996</v>
      </c>
      <c r="I1620">
        <v>18954</v>
      </c>
      <c r="J1620" s="123" t="s">
        <v>1247</v>
      </c>
      <c r="K1620" s="123" t="s">
        <v>1248</v>
      </c>
      <c r="L1620" s="123" t="e">
        <f>VLOOKUP(Fact_AUM_FyoCapital[[#This Row],[Dim_Empresas.CUIT]],'clientes SQL'!C:D,2,0)</f>
        <v>#N/A</v>
      </c>
    </row>
    <row r="1621" spans="1:12" hidden="1" x14ac:dyDescent="0.3">
      <c r="A1621">
        <v>2611289</v>
      </c>
      <c r="B1621">
        <v>20251205</v>
      </c>
      <c r="C1621">
        <v>6921</v>
      </c>
      <c r="D1621">
        <v>14.699004207573632</v>
      </c>
      <c r="E1621" s="123" t="s">
        <v>1563</v>
      </c>
      <c r="F1621" s="123" t="s">
        <v>185</v>
      </c>
      <c r="G1621" s="123"/>
      <c r="H1621" s="95">
        <v>45996</v>
      </c>
      <c r="I1621">
        <v>34623</v>
      </c>
      <c r="J1621" s="123" t="s">
        <v>1364</v>
      </c>
      <c r="K1621" s="123" t="s">
        <v>1365</v>
      </c>
      <c r="L1621" s="123" t="e">
        <f>VLOOKUP(Fact_AUM_FyoCapital[[#This Row],[Dim_Empresas.CUIT]],'clientes SQL'!C:D,2,0)</f>
        <v>#N/A</v>
      </c>
    </row>
    <row r="1622" spans="1:12" hidden="1" x14ac:dyDescent="0.3">
      <c r="A1622">
        <v>2606249</v>
      </c>
      <c r="B1622">
        <v>20251205</v>
      </c>
      <c r="C1622">
        <v>7742</v>
      </c>
      <c r="D1622">
        <v>445815.49</v>
      </c>
      <c r="E1622" s="123" t="s">
        <v>1566</v>
      </c>
      <c r="F1622" s="123" t="s">
        <v>1571</v>
      </c>
      <c r="G1622" s="123"/>
      <c r="H1622" s="95">
        <v>45996</v>
      </c>
      <c r="I1622">
        <v>35045</v>
      </c>
      <c r="J1622" s="123" t="s">
        <v>1272</v>
      </c>
      <c r="K1622" s="123" t="s">
        <v>1273</v>
      </c>
      <c r="L1622" s="123" t="e">
        <f>VLOOKUP(Fact_AUM_FyoCapital[[#This Row],[Dim_Empresas.CUIT]],'clientes SQL'!C:D,2,0)</f>
        <v>#N/A</v>
      </c>
    </row>
    <row r="1623" spans="1:12" hidden="1" x14ac:dyDescent="0.3">
      <c r="A1623">
        <v>2600189</v>
      </c>
      <c r="B1623">
        <v>20251205</v>
      </c>
      <c r="C1623">
        <v>91</v>
      </c>
      <c r="D1623">
        <v>206305.4</v>
      </c>
      <c r="E1623" s="123" t="s">
        <v>1566</v>
      </c>
      <c r="F1623" s="123" t="s">
        <v>1571</v>
      </c>
      <c r="G1623" s="123"/>
      <c r="H1623" s="95">
        <v>45996</v>
      </c>
      <c r="I1623">
        <v>6122</v>
      </c>
      <c r="J1623" s="123" t="s">
        <v>1300</v>
      </c>
      <c r="K1623" s="123" t="s">
        <v>1301</v>
      </c>
      <c r="L1623" s="123" t="e">
        <f>VLOOKUP(Fact_AUM_FyoCapital[[#This Row],[Dim_Empresas.CUIT]],'clientes SQL'!C:D,2,0)</f>
        <v>#N/A</v>
      </c>
    </row>
    <row r="1624" spans="1:12" hidden="1" x14ac:dyDescent="0.3">
      <c r="A1624">
        <v>2640629</v>
      </c>
      <c r="B1624">
        <v>20251205</v>
      </c>
      <c r="C1624">
        <v>14997</v>
      </c>
      <c r="D1624">
        <v>-3.0294530154277703E-3</v>
      </c>
      <c r="E1624" s="123" t="s">
        <v>1563</v>
      </c>
      <c r="F1624" s="123" t="s">
        <v>185</v>
      </c>
      <c r="G1624" s="123"/>
      <c r="H1624" s="95">
        <v>45996</v>
      </c>
      <c r="I1624">
        <v>37202</v>
      </c>
      <c r="J1624" s="123" t="s">
        <v>1179</v>
      </c>
      <c r="K1624" s="123" t="s">
        <v>1180</v>
      </c>
      <c r="L1624" s="123" t="e">
        <f>VLOOKUP(Fact_AUM_FyoCapital[[#This Row],[Dim_Empresas.CUIT]],'clientes SQL'!C:D,2,0)</f>
        <v>#N/A</v>
      </c>
    </row>
    <row r="1625" spans="1:12" hidden="1" x14ac:dyDescent="0.3">
      <c r="A1625">
        <v>1861837</v>
      </c>
      <c r="B1625">
        <v>20251205</v>
      </c>
      <c r="C1625">
        <v>682</v>
      </c>
      <c r="D1625">
        <v>0</v>
      </c>
      <c r="E1625" s="123"/>
      <c r="F1625" s="123"/>
      <c r="G1625" s="123"/>
      <c r="H1625" s="95">
        <v>45996</v>
      </c>
      <c r="I1625">
        <v>9775</v>
      </c>
      <c r="J1625" s="123" t="s">
        <v>287</v>
      </c>
      <c r="K1625" s="123" t="s">
        <v>1320</v>
      </c>
      <c r="L1625" s="123" t="e">
        <f>VLOOKUP(Fact_AUM_FyoCapital[[#This Row],[Dim_Empresas.CUIT]],'clientes SQL'!C:D,2,0)</f>
        <v>#N/A</v>
      </c>
    </row>
    <row r="1626" spans="1:12" hidden="1" x14ac:dyDescent="0.3">
      <c r="A1626">
        <v>1828237</v>
      </c>
      <c r="B1626">
        <v>20251205</v>
      </c>
      <c r="C1626">
        <v>5383</v>
      </c>
      <c r="D1626">
        <v>114.11</v>
      </c>
      <c r="E1626" s="123" t="s">
        <v>1566</v>
      </c>
      <c r="F1626" s="123" t="s">
        <v>1571</v>
      </c>
      <c r="G1626" s="123"/>
      <c r="H1626" s="95">
        <v>45996</v>
      </c>
      <c r="I1626">
        <v>33182</v>
      </c>
      <c r="J1626" s="123" t="s">
        <v>238</v>
      </c>
      <c r="K1626" s="123" t="s">
        <v>1167</v>
      </c>
      <c r="L1626" s="123" t="e">
        <f>VLOOKUP(Fact_AUM_FyoCapital[[#This Row],[Dim_Empresas.CUIT]],'clientes SQL'!C:D,2,0)</f>
        <v>#N/A</v>
      </c>
    </row>
    <row r="1627" spans="1:12" hidden="1" x14ac:dyDescent="0.3">
      <c r="A1627">
        <v>1834477</v>
      </c>
      <c r="B1627">
        <v>20251205</v>
      </c>
      <c r="C1627">
        <v>16128</v>
      </c>
      <c r="D1627">
        <v>0</v>
      </c>
      <c r="E1627" s="123"/>
      <c r="F1627" s="123"/>
      <c r="G1627" s="123"/>
      <c r="H1627" s="95">
        <v>45996</v>
      </c>
      <c r="I1627">
        <v>37646</v>
      </c>
      <c r="J1627" s="123" t="s">
        <v>1392</v>
      </c>
      <c r="K1627" s="123" t="s">
        <v>1393</v>
      </c>
      <c r="L1627" s="123" t="e">
        <f>VLOOKUP(Fact_AUM_FyoCapital[[#This Row],[Dim_Empresas.CUIT]],'clientes SQL'!C:D,2,0)</f>
        <v>#N/A</v>
      </c>
    </row>
    <row r="1628" spans="1:12" hidden="1" x14ac:dyDescent="0.3">
      <c r="A1628">
        <v>2096860</v>
      </c>
      <c r="B1628">
        <v>20251205</v>
      </c>
      <c r="C1628">
        <v>5747</v>
      </c>
      <c r="D1628">
        <v>352.57048387096773</v>
      </c>
      <c r="E1628" s="123" t="s">
        <v>1564</v>
      </c>
      <c r="F1628" s="123" t="s">
        <v>1565</v>
      </c>
      <c r="G1628" s="123"/>
      <c r="H1628" s="95">
        <v>45996</v>
      </c>
      <c r="I1628">
        <v>33986</v>
      </c>
      <c r="J1628" s="123" t="s">
        <v>1417</v>
      </c>
      <c r="K1628" s="123" t="s">
        <v>1418</v>
      </c>
      <c r="L1628" s="123" t="e">
        <f>VLOOKUP(Fact_AUM_FyoCapital[[#This Row],[Dim_Empresas.CUIT]],'clientes SQL'!C:D,2,0)</f>
        <v>#N/A</v>
      </c>
    </row>
    <row r="1629" spans="1:12" hidden="1" x14ac:dyDescent="0.3">
      <c r="A1629">
        <v>1839877</v>
      </c>
      <c r="B1629">
        <v>20251205</v>
      </c>
      <c r="C1629">
        <v>978</v>
      </c>
      <c r="D1629">
        <v>3.8271598877980364</v>
      </c>
      <c r="E1629" s="123" t="s">
        <v>1568</v>
      </c>
      <c r="F1629" s="123" t="s">
        <v>1572</v>
      </c>
      <c r="G1629" s="123" t="s">
        <v>1570</v>
      </c>
      <c r="H1629" s="95">
        <v>45996</v>
      </c>
      <c r="I1629">
        <v>4339</v>
      </c>
      <c r="J1629" s="123" t="s">
        <v>337</v>
      </c>
      <c r="K1629" s="123" t="s">
        <v>1254</v>
      </c>
      <c r="L1629" s="123" t="e">
        <f>VLOOKUP(Fact_AUM_FyoCapital[[#This Row],[Dim_Empresas.CUIT]],'clientes SQL'!C:D,2,0)</f>
        <v>#N/A</v>
      </c>
    </row>
    <row r="1630" spans="1:12" hidden="1" x14ac:dyDescent="0.3">
      <c r="A1630">
        <v>1875877</v>
      </c>
      <c r="B1630">
        <v>20251205</v>
      </c>
      <c r="C1630">
        <v>331</v>
      </c>
      <c r="D1630">
        <v>11476.157082748949</v>
      </c>
      <c r="E1630" s="123" t="s">
        <v>1566</v>
      </c>
      <c r="F1630" s="123" t="s">
        <v>1573</v>
      </c>
      <c r="G1630" s="123"/>
      <c r="H1630" s="95">
        <v>45996</v>
      </c>
      <c r="I1630">
        <v>652</v>
      </c>
      <c r="J1630" s="123" t="s">
        <v>447</v>
      </c>
      <c r="K1630" s="123" t="s">
        <v>1143</v>
      </c>
      <c r="L1630" s="123" t="e">
        <f>VLOOKUP(Fact_AUM_FyoCapital[[#This Row],[Dim_Empresas.CUIT]],'clientes SQL'!C:D,2,0)</f>
        <v>#N/A</v>
      </c>
    </row>
    <row r="1631" spans="1:12" hidden="1" x14ac:dyDescent="0.3">
      <c r="A1631">
        <v>1872157</v>
      </c>
      <c r="B1631">
        <v>20251205</v>
      </c>
      <c r="C1631">
        <v>13719</v>
      </c>
      <c r="D1631">
        <v>0</v>
      </c>
      <c r="E1631" s="123"/>
      <c r="F1631" s="123"/>
      <c r="G1631" s="123"/>
      <c r="H1631" s="95">
        <v>45996</v>
      </c>
      <c r="I1631">
        <v>36879</v>
      </c>
      <c r="J1631" s="123" t="s">
        <v>1340</v>
      </c>
      <c r="K1631" s="123" t="s">
        <v>1341</v>
      </c>
      <c r="L1631" s="123" t="e">
        <f>VLOOKUP(Fact_AUM_FyoCapital[[#This Row],[Dim_Empresas.CUIT]],'clientes SQL'!C:D,2,0)</f>
        <v>#N/A</v>
      </c>
    </row>
    <row r="1632" spans="1:12" hidden="1" x14ac:dyDescent="0.3">
      <c r="A1632">
        <v>1848637</v>
      </c>
      <c r="B1632">
        <v>20251205</v>
      </c>
      <c r="C1632">
        <v>13260</v>
      </c>
      <c r="D1632">
        <v>41416.68732117812</v>
      </c>
      <c r="E1632" s="123" t="s">
        <v>1568</v>
      </c>
      <c r="F1632" s="123" t="s">
        <v>1572</v>
      </c>
      <c r="G1632" s="123" t="s">
        <v>1583</v>
      </c>
      <c r="H1632" s="95">
        <v>45996</v>
      </c>
      <c r="I1632">
        <v>36446</v>
      </c>
      <c r="J1632" s="123" t="s">
        <v>1370</v>
      </c>
      <c r="K1632" s="123" t="s">
        <v>1371</v>
      </c>
      <c r="L1632" s="123" t="e">
        <f>VLOOKUP(Fact_AUM_FyoCapital[[#This Row],[Dim_Empresas.CUIT]],'clientes SQL'!C:D,2,0)</f>
        <v>#N/A</v>
      </c>
    </row>
    <row r="1633" spans="1:12" hidden="1" x14ac:dyDescent="0.3">
      <c r="A1633">
        <v>1870057</v>
      </c>
      <c r="B1633">
        <v>20251205</v>
      </c>
      <c r="C1633">
        <v>13361</v>
      </c>
      <c r="D1633">
        <v>909.01122019635341</v>
      </c>
      <c r="E1633" s="123" t="s">
        <v>1566</v>
      </c>
      <c r="F1633" s="123" t="s">
        <v>1580</v>
      </c>
      <c r="G1633" s="123"/>
      <c r="H1633" s="95">
        <v>45996</v>
      </c>
      <c r="I1633">
        <v>36541</v>
      </c>
      <c r="J1633" s="123" t="s">
        <v>454</v>
      </c>
      <c r="K1633" s="123" t="s">
        <v>1322</v>
      </c>
      <c r="L1633" s="123" t="e">
        <f>VLOOKUP(Fact_AUM_FyoCapital[[#This Row],[Dim_Empresas.CUIT]],'clientes SQL'!C:D,2,0)</f>
        <v>#N/A</v>
      </c>
    </row>
    <row r="1634" spans="1:12" hidden="1" x14ac:dyDescent="0.3">
      <c r="A1634">
        <v>1890577</v>
      </c>
      <c r="B1634">
        <v>20251205</v>
      </c>
      <c r="C1634">
        <v>1853</v>
      </c>
      <c r="D1634">
        <v>96541.3</v>
      </c>
      <c r="E1634" s="123" t="s">
        <v>1566</v>
      </c>
      <c r="F1634" s="123" t="s">
        <v>1578</v>
      </c>
      <c r="G1634" s="123"/>
      <c r="H1634" s="95">
        <v>45996</v>
      </c>
      <c r="I1634">
        <v>19392</v>
      </c>
      <c r="J1634" s="123" t="s">
        <v>1309</v>
      </c>
      <c r="K1634" s="123" t="s">
        <v>1310</v>
      </c>
      <c r="L1634" s="123" t="e">
        <f>VLOOKUP(Fact_AUM_FyoCapital[[#This Row],[Dim_Empresas.CUIT]],'clientes SQL'!C:D,2,0)</f>
        <v>#N/A</v>
      </c>
    </row>
    <row r="1635" spans="1:12" hidden="1" x14ac:dyDescent="0.3">
      <c r="A1635">
        <v>1890517</v>
      </c>
      <c r="B1635">
        <v>20251205</v>
      </c>
      <c r="C1635">
        <v>1853</v>
      </c>
      <c r="D1635" s="6">
        <v>48270.65</v>
      </c>
      <c r="E1635" s="123" t="s">
        <v>1566</v>
      </c>
      <c r="F1635" s="123" t="s">
        <v>1578</v>
      </c>
      <c r="G1635" s="123"/>
      <c r="H1635" s="95">
        <v>45996</v>
      </c>
      <c r="I1635">
        <v>19392</v>
      </c>
      <c r="J1635" s="123" t="s">
        <v>1309</v>
      </c>
      <c r="K1635" s="123" t="s">
        <v>1310</v>
      </c>
      <c r="L1635" s="123" t="e">
        <f>VLOOKUP(Fact_AUM_FyoCapital[[#This Row],[Dim_Empresas.CUIT]],'clientes SQL'!C:D,2,0)</f>
        <v>#N/A</v>
      </c>
    </row>
    <row r="1636" spans="1:12" hidden="1" x14ac:dyDescent="0.3">
      <c r="A1636">
        <v>1894177</v>
      </c>
      <c r="B1636">
        <v>20251205</v>
      </c>
      <c r="C1636">
        <v>7740</v>
      </c>
      <c r="D1636">
        <v>203.47902524544182</v>
      </c>
      <c r="E1636" s="123" t="s">
        <v>1568</v>
      </c>
      <c r="F1636" s="123" t="s">
        <v>1572</v>
      </c>
      <c r="G1636" s="123" t="s">
        <v>1570</v>
      </c>
      <c r="H1636" s="95">
        <v>45996</v>
      </c>
      <c r="I1636">
        <v>35043</v>
      </c>
      <c r="J1636" s="123" t="s">
        <v>596</v>
      </c>
      <c r="K1636" s="123" t="s">
        <v>1377</v>
      </c>
      <c r="L1636" s="123" t="e">
        <f>VLOOKUP(Fact_AUM_FyoCapital[[#This Row],[Dim_Empresas.CUIT]],'clientes SQL'!C:D,2,0)</f>
        <v>#N/A</v>
      </c>
    </row>
    <row r="1637" spans="1:12" hidden="1" x14ac:dyDescent="0.3">
      <c r="A1637">
        <v>1867357</v>
      </c>
      <c r="B1637">
        <v>20251205</v>
      </c>
      <c r="C1637">
        <v>1361</v>
      </c>
      <c r="D1637">
        <v>69622.45</v>
      </c>
      <c r="E1637" s="123" t="s">
        <v>1566</v>
      </c>
      <c r="F1637" s="123" t="s">
        <v>1571</v>
      </c>
      <c r="G1637" s="123"/>
      <c r="H1637" s="95">
        <v>45996</v>
      </c>
      <c r="I1637">
        <v>19517</v>
      </c>
      <c r="J1637" s="123" t="s">
        <v>647</v>
      </c>
      <c r="K1637" s="123" t="s">
        <v>1399</v>
      </c>
      <c r="L1637" s="123" t="e">
        <f>VLOOKUP(Fact_AUM_FyoCapital[[#This Row],[Dim_Empresas.CUIT]],'clientes SQL'!C:D,2,0)</f>
        <v>#N/A</v>
      </c>
    </row>
    <row r="1638" spans="1:12" hidden="1" x14ac:dyDescent="0.3">
      <c r="A1638">
        <v>1840897</v>
      </c>
      <c r="B1638">
        <v>20251205</v>
      </c>
      <c r="C1638">
        <v>5251</v>
      </c>
      <c r="D1638">
        <v>0</v>
      </c>
      <c r="E1638" s="123"/>
      <c r="F1638" s="123"/>
      <c r="G1638" s="123"/>
      <c r="H1638" s="95">
        <v>45996</v>
      </c>
      <c r="I1638">
        <v>33173</v>
      </c>
      <c r="J1638" s="123" t="s">
        <v>341</v>
      </c>
      <c r="K1638" s="123" t="s">
        <v>1318</v>
      </c>
      <c r="L1638" s="123" t="e">
        <f>VLOOKUP(Fact_AUM_FyoCapital[[#This Row],[Dim_Empresas.CUIT]],'clientes SQL'!C:D,2,0)</f>
        <v>#N/A</v>
      </c>
    </row>
    <row r="1639" spans="1:12" hidden="1" x14ac:dyDescent="0.3">
      <c r="A1639">
        <v>1870597</v>
      </c>
      <c r="B1639">
        <v>20251205</v>
      </c>
      <c r="C1639">
        <v>13361</v>
      </c>
      <c r="D1639">
        <v>3022.5</v>
      </c>
      <c r="E1639" s="123" t="s">
        <v>1566</v>
      </c>
      <c r="F1639" s="123" t="s">
        <v>1579</v>
      </c>
      <c r="G1639" s="123"/>
      <c r="H1639" s="95">
        <v>45996</v>
      </c>
      <c r="I1639">
        <v>36541</v>
      </c>
      <c r="J1639" s="123" t="s">
        <v>454</v>
      </c>
      <c r="K1639" s="123" t="s">
        <v>1322</v>
      </c>
      <c r="L1639" s="123" t="e">
        <f>VLOOKUP(Fact_AUM_FyoCapital[[#This Row],[Dim_Empresas.CUIT]],'clientes SQL'!C:D,2,0)</f>
        <v>#N/A</v>
      </c>
    </row>
    <row r="1640" spans="1:12" hidden="1" x14ac:dyDescent="0.3">
      <c r="A1640">
        <v>2609729</v>
      </c>
      <c r="B1640">
        <v>20251205</v>
      </c>
      <c r="C1640">
        <v>5383</v>
      </c>
      <c r="D1640" s="6">
        <v>1.0518934081346423E-4</v>
      </c>
      <c r="E1640" s="123" t="s">
        <v>1563</v>
      </c>
      <c r="F1640" s="123" t="s">
        <v>185</v>
      </c>
      <c r="G1640" s="123"/>
      <c r="H1640" s="95">
        <v>45996</v>
      </c>
      <c r="I1640">
        <v>33182</v>
      </c>
      <c r="J1640" s="123" t="s">
        <v>238</v>
      </c>
      <c r="K1640" s="123" t="s">
        <v>1167</v>
      </c>
      <c r="L1640" s="123" t="e">
        <f>VLOOKUP(Fact_AUM_FyoCapital[[#This Row],[Dim_Empresas.CUIT]],'clientes SQL'!C:D,2,0)</f>
        <v>#N/A</v>
      </c>
    </row>
    <row r="1641" spans="1:12" hidden="1" x14ac:dyDescent="0.3">
      <c r="A1641">
        <v>1827217</v>
      </c>
      <c r="B1641">
        <v>20251205</v>
      </c>
      <c r="C1641">
        <v>4129</v>
      </c>
      <c r="D1641">
        <v>5.6347194950911641</v>
      </c>
      <c r="E1641" s="123" t="s">
        <v>1568</v>
      </c>
      <c r="F1641" s="123" t="s">
        <v>1572</v>
      </c>
      <c r="G1641" s="123" t="s">
        <v>1570</v>
      </c>
      <c r="H1641" s="95">
        <v>45996</v>
      </c>
      <c r="I1641">
        <v>32746</v>
      </c>
      <c r="J1641" s="123" t="s">
        <v>230</v>
      </c>
      <c r="K1641" s="123" t="s">
        <v>1298</v>
      </c>
      <c r="L1641" s="123" t="e">
        <f>VLOOKUP(Fact_AUM_FyoCapital[[#This Row],[Dim_Empresas.CUIT]],'clientes SQL'!C:D,2,0)</f>
        <v>#N/A</v>
      </c>
    </row>
    <row r="1642" spans="1:12" hidden="1" x14ac:dyDescent="0.3">
      <c r="A1642">
        <v>1897537</v>
      </c>
      <c r="B1642">
        <v>20251205</v>
      </c>
      <c r="C1642">
        <v>12617</v>
      </c>
      <c r="D1642">
        <v>119836.28</v>
      </c>
      <c r="E1642" s="123" t="s">
        <v>1566</v>
      </c>
      <c r="F1642" s="123" t="s">
        <v>1571</v>
      </c>
      <c r="G1642" s="123"/>
      <c r="H1642" s="95">
        <v>45996</v>
      </c>
      <c r="I1642">
        <v>35876</v>
      </c>
      <c r="J1642" s="123" t="s">
        <v>1512</v>
      </c>
      <c r="K1642" s="123" t="s">
        <v>1516</v>
      </c>
      <c r="L1642" s="123" t="e">
        <f>VLOOKUP(Fact_AUM_FyoCapital[[#This Row],[Dim_Empresas.CUIT]],'clientes SQL'!C:D,2,0)</f>
        <v>#N/A</v>
      </c>
    </row>
    <row r="1643" spans="1:12" hidden="1" x14ac:dyDescent="0.3">
      <c r="A1643">
        <v>2609609</v>
      </c>
      <c r="B1643">
        <v>20251205</v>
      </c>
      <c r="C1643">
        <v>744</v>
      </c>
      <c r="D1643">
        <v>0</v>
      </c>
      <c r="E1643" s="123"/>
      <c r="F1643" s="123"/>
      <c r="G1643" s="123"/>
      <c r="H1643" s="95">
        <v>45996</v>
      </c>
      <c r="I1643">
        <v>446</v>
      </c>
      <c r="J1643" s="123" t="s">
        <v>1396</v>
      </c>
      <c r="K1643" s="123" t="s">
        <v>1397</v>
      </c>
      <c r="L1643" s="123" t="e">
        <f>VLOOKUP(Fact_AUM_FyoCapital[[#This Row],[Dim_Empresas.CUIT]],'clientes SQL'!C:D,2,0)</f>
        <v>#N/A</v>
      </c>
    </row>
    <row r="1644" spans="1:12" hidden="1" x14ac:dyDescent="0.3">
      <c r="A1644">
        <v>2600669</v>
      </c>
      <c r="B1644">
        <v>20251205</v>
      </c>
      <c r="C1644">
        <v>16949</v>
      </c>
      <c r="D1644">
        <v>2617.9523141654977</v>
      </c>
      <c r="E1644" s="123" t="s">
        <v>1566</v>
      </c>
      <c r="F1644" s="123" t="s">
        <v>1580</v>
      </c>
      <c r="G1644" s="123"/>
      <c r="H1644" s="95">
        <v>45996</v>
      </c>
      <c r="I1644">
        <v>38119</v>
      </c>
      <c r="J1644" s="123" t="s">
        <v>1507</v>
      </c>
      <c r="K1644" s="123" t="s">
        <v>1508</v>
      </c>
      <c r="L1644" s="123" t="e">
        <f>VLOOKUP(Fact_AUM_FyoCapital[[#This Row],[Dim_Empresas.CUIT]],'clientes SQL'!C:D,2,0)</f>
        <v>#N/A</v>
      </c>
    </row>
    <row r="1645" spans="1:12" hidden="1" x14ac:dyDescent="0.3">
      <c r="A1645">
        <v>1867717</v>
      </c>
      <c r="B1645">
        <v>20251205</v>
      </c>
      <c r="C1645">
        <v>7068</v>
      </c>
      <c r="D1645">
        <v>77958.176851332391</v>
      </c>
      <c r="E1645" s="123" t="s">
        <v>1568</v>
      </c>
      <c r="F1645" s="123" t="s">
        <v>1572</v>
      </c>
      <c r="G1645" s="123" t="s">
        <v>1583</v>
      </c>
      <c r="H1645" s="95">
        <v>45996</v>
      </c>
      <c r="I1645">
        <v>34759</v>
      </c>
      <c r="J1645" s="123" t="s">
        <v>695</v>
      </c>
      <c r="K1645" s="123" t="s">
        <v>1312</v>
      </c>
      <c r="L1645" s="123" t="e">
        <f>VLOOKUP(Fact_AUM_FyoCapital[[#This Row],[Dim_Empresas.CUIT]],'clientes SQL'!C:D,2,0)</f>
        <v>#N/A</v>
      </c>
    </row>
    <row r="1646" spans="1:12" hidden="1" x14ac:dyDescent="0.3">
      <c r="A1646">
        <v>1880497</v>
      </c>
      <c r="B1646">
        <v>20251205</v>
      </c>
      <c r="C1646">
        <v>1546</v>
      </c>
      <c r="D1646">
        <v>0</v>
      </c>
      <c r="E1646" s="123"/>
      <c r="F1646" s="123"/>
      <c r="G1646" s="123"/>
      <c r="H1646" s="95">
        <v>45996</v>
      </c>
      <c r="I1646">
        <v>18554</v>
      </c>
      <c r="J1646" s="123" t="s">
        <v>550</v>
      </c>
      <c r="K1646" s="123" t="s">
        <v>1394</v>
      </c>
      <c r="L1646" s="123" t="e">
        <f>VLOOKUP(Fact_AUM_FyoCapital[[#This Row],[Dim_Empresas.CUIT]],'clientes SQL'!C:D,2,0)</f>
        <v>#N/A</v>
      </c>
    </row>
    <row r="1647" spans="1:12" hidden="1" x14ac:dyDescent="0.3">
      <c r="A1647">
        <v>1851697</v>
      </c>
      <c r="B1647">
        <v>20251205</v>
      </c>
      <c r="C1647">
        <v>1724</v>
      </c>
      <c r="D1647">
        <v>487678.96191444603</v>
      </c>
      <c r="E1647" s="123" t="s">
        <v>1568</v>
      </c>
      <c r="F1647" s="123" t="s">
        <v>1572</v>
      </c>
      <c r="G1647" s="123" t="s">
        <v>1583</v>
      </c>
      <c r="H1647" s="95">
        <v>45996</v>
      </c>
      <c r="I1647">
        <v>20518</v>
      </c>
      <c r="J1647" s="123" t="s">
        <v>270</v>
      </c>
      <c r="K1647" s="123" t="s">
        <v>1225</v>
      </c>
      <c r="L1647" s="123" t="e">
        <f>VLOOKUP(Fact_AUM_FyoCapital[[#This Row],[Dim_Empresas.CUIT]],'clientes SQL'!C:D,2,0)</f>
        <v>#N/A</v>
      </c>
    </row>
    <row r="1648" spans="1:12" hidden="1" x14ac:dyDescent="0.3">
      <c r="A1648">
        <v>2627729</v>
      </c>
      <c r="B1648">
        <v>20251205</v>
      </c>
      <c r="C1648">
        <v>7068</v>
      </c>
      <c r="D1648">
        <v>22.278744740532961</v>
      </c>
      <c r="E1648" s="123" t="s">
        <v>1563</v>
      </c>
      <c r="F1648" s="123" t="s">
        <v>185</v>
      </c>
      <c r="G1648" s="123"/>
      <c r="H1648" s="95">
        <v>45996</v>
      </c>
      <c r="I1648">
        <v>34759</v>
      </c>
      <c r="J1648" s="123" t="s">
        <v>695</v>
      </c>
      <c r="K1648" s="123" t="s">
        <v>1312</v>
      </c>
      <c r="L1648" s="123" t="e">
        <f>VLOOKUP(Fact_AUM_FyoCapital[[#This Row],[Dim_Empresas.CUIT]],'clientes SQL'!C:D,2,0)</f>
        <v>#N/A</v>
      </c>
    </row>
    <row r="1649" spans="1:12" hidden="1" x14ac:dyDescent="0.3">
      <c r="A1649">
        <v>2096740</v>
      </c>
      <c r="B1649">
        <v>20251205</v>
      </c>
      <c r="C1649">
        <v>1021</v>
      </c>
      <c r="D1649">
        <v>15.164502103786816</v>
      </c>
      <c r="E1649" s="123" t="s">
        <v>1564</v>
      </c>
      <c r="F1649" s="123" t="s">
        <v>1565</v>
      </c>
      <c r="G1649" s="123"/>
      <c r="H1649" s="95">
        <v>45996</v>
      </c>
      <c r="I1649">
        <v>13900</v>
      </c>
      <c r="J1649" s="123" t="s">
        <v>462</v>
      </c>
      <c r="K1649" s="123" t="s">
        <v>1211</v>
      </c>
      <c r="L1649" s="123" t="e">
        <f>VLOOKUP(Fact_AUM_FyoCapital[[#This Row],[Dim_Empresas.CUIT]],'clientes SQL'!C:D,2,0)</f>
        <v>#N/A</v>
      </c>
    </row>
    <row r="1650" spans="1:12" hidden="1" x14ac:dyDescent="0.3">
      <c r="A1650">
        <v>1828597</v>
      </c>
      <c r="B1650">
        <v>20251205</v>
      </c>
      <c r="C1650">
        <v>5383</v>
      </c>
      <c r="D1650">
        <v>7974.2286115007009</v>
      </c>
      <c r="E1650" s="123" t="s">
        <v>1566</v>
      </c>
      <c r="F1650" s="123" t="s">
        <v>1580</v>
      </c>
      <c r="G1650" s="123"/>
      <c r="H1650" s="95">
        <v>45996</v>
      </c>
      <c r="I1650">
        <v>33182</v>
      </c>
      <c r="J1650" s="123" t="s">
        <v>238</v>
      </c>
      <c r="K1650" s="123" t="s">
        <v>1167</v>
      </c>
      <c r="L1650" s="123" t="e">
        <f>VLOOKUP(Fact_AUM_FyoCapital[[#This Row],[Dim_Empresas.CUIT]],'clientes SQL'!C:D,2,0)</f>
        <v>#N/A</v>
      </c>
    </row>
    <row r="1651" spans="1:12" hidden="1" x14ac:dyDescent="0.3">
      <c r="A1651">
        <v>1873657</v>
      </c>
      <c r="B1651">
        <v>20251205</v>
      </c>
      <c r="C1651">
        <v>2109</v>
      </c>
      <c r="D1651">
        <v>0</v>
      </c>
      <c r="E1651" s="123"/>
      <c r="F1651" s="123"/>
      <c r="G1651" s="123"/>
      <c r="H1651" s="95">
        <v>45996</v>
      </c>
      <c r="I1651">
        <v>20716</v>
      </c>
      <c r="J1651" s="123" t="s">
        <v>323</v>
      </c>
      <c r="K1651" s="123" t="s">
        <v>1388</v>
      </c>
      <c r="L1651" s="123" t="e">
        <f>VLOOKUP(Fact_AUM_FyoCapital[[#This Row],[Dim_Empresas.CUIT]],'clientes SQL'!C:D,2,0)</f>
        <v>#N/A</v>
      </c>
    </row>
    <row r="1652" spans="1:12" hidden="1" x14ac:dyDescent="0.3">
      <c r="A1652">
        <v>1871557</v>
      </c>
      <c r="B1652">
        <v>20251205</v>
      </c>
      <c r="C1652">
        <v>13719</v>
      </c>
      <c r="D1652">
        <v>0</v>
      </c>
      <c r="E1652" s="123"/>
      <c r="F1652" s="123"/>
      <c r="G1652" s="123"/>
      <c r="H1652" s="95">
        <v>45996</v>
      </c>
      <c r="I1652">
        <v>36879</v>
      </c>
      <c r="J1652" s="123" t="s">
        <v>1340</v>
      </c>
      <c r="K1652" s="123" t="s">
        <v>1341</v>
      </c>
      <c r="L1652" s="123" t="e">
        <f>VLOOKUP(Fact_AUM_FyoCapital[[#This Row],[Dim_Empresas.CUIT]],'clientes SQL'!C:D,2,0)</f>
        <v>#N/A</v>
      </c>
    </row>
    <row r="1653" spans="1:12" hidden="1" x14ac:dyDescent="0.3">
      <c r="A1653">
        <v>1902037</v>
      </c>
      <c r="B1653">
        <v>20251205</v>
      </c>
      <c r="C1653">
        <v>14873</v>
      </c>
      <c r="D1653">
        <v>2093.29</v>
      </c>
      <c r="E1653" s="123" t="s">
        <v>1566</v>
      </c>
      <c r="F1653" s="123" t="s">
        <v>1571</v>
      </c>
      <c r="G1653" s="123"/>
      <c r="H1653" s="95">
        <v>45996</v>
      </c>
      <c r="I1653">
        <v>37088</v>
      </c>
      <c r="J1653" s="123" t="s">
        <v>571</v>
      </c>
      <c r="K1653" s="123" t="s">
        <v>1269</v>
      </c>
      <c r="L1653" s="123" t="e">
        <f>VLOOKUP(Fact_AUM_FyoCapital[[#This Row],[Dim_Empresas.CUIT]],'clientes SQL'!C:D,2,0)</f>
        <v>#N/A</v>
      </c>
    </row>
    <row r="1654" spans="1:12" hidden="1" x14ac:dyDescent="0.3">
      <c r="A1654">
        <v>1861237</v>
      </c>
      <c r="B1654">
        <v>20251205</v>
      </c>
      <c r="C1654">
        <v>682</v>
      </c>
      <c r="D1654">
        <v>0</v>
      </c>
      <c r="E1654" s="123"/>
      <c r="F1654" s="123"/>
      <c r="G1654" s="123"/>
      <c r="H1654" s="95">
        <v>45996</v>
      </c>
      <c r="I1654">
        <v>9775</v>
      </c>
      <c r="J1654" s="123" t="s">
        <v>287</v>
      </c>
      <c r="K1654" s="123" t="s">
        <v>1320</v>
      </c>
      <c r="L1654" s="123" t="e">
        <f>VLOOKUP(Fact_AUM_FyoCapital[[#This Row],[Dim_Empresas.CUIT]],'clientes SQL'!C:D,2,0)</f>
        <v>#N/A</v>
      </c>
    </row>
    <row r="1655" spans="1:12" hidden="1" x14ac:dyDescent="0.3">
      <c r="A1655">
        <v>1890157</v>
      </c>
      <c r="B1655">
        <v>20251205</v>
      </c>
      <c r="C1655">
        <v>1065</v>
      </c>
      <c r="D1655">
        <v>67829.3</v>
      </c>
      <c r="E1655" s="123" t="s">
        <v>1566</v>
      </c>
      <c r="F1655" s="123" t="s">
        <v>1571</v>
      </c>
      <c r="G1655" s="123"/>
      <c r="H1655" s="95">
        <v>45996</v>
      </c>
      <c r="I1655">
        <v>18751</v>
      </c>
      <c r="J1655" s="123" t="s">
        <v>370</v>
      </c>
      <c r="K1655" s="123" t="s">
        <v>1321</v>
      </c>
      <c r="L1655" s="123" t="e">
        <f>VLOOKUP(Fact_AUM_FyoCapital[[#This Row],[Dim_Empresas.CUIT]],'clientes SQL'!C:D,2,0)</f>
        <v>#N/A</v>
      </c>
    </row>
    <row r="1656" spans="1:12" hidden="1" x14ac:dyDescent="0.3">
      <c r="A1656">
        <v>1890877</v>
      </c>
      <c r="B1656">
        <v>20251205</v>
      </c>
      <c r="C1656">
        <v>1853</v>
      </c>
      <c r="D1656">
        <v>0</v>
      </c>
      <c r="E1656" s="123"/>
      <c r="F1656" s="123"/>
      <c r="G1656" s="123"/>
      <c r="H1656" s="95">
        <v>45996</v>
      </c>
      <c r="I1656">
        <v>19392</v>
      </c>
      <c r="J1656" s="123" t="s">
        <v>1309</v>
      </c>
      <c r="K1656" s="123" t="s">
        <v>1310</v>
      </c>
      <c r="L1656" s="123" t="e">
        <f>VLOOKUP(Fact_AUM_FyoCapital[[#This Row],[Dim_Empresas.CUIT]],'clientes SQL'!C:D,2,0)</f>
        <v>#N/A</v>
      </c>
    </row>
    <row r="1657" spans="1:12" hidden="1" x14ac:dyDescent="0.3">
      <c r="A1657">
        <v>1829917</v>
      </c>
      <c r="B1657">
        <v>20251205</v>
      </c>
      <c r="C1657">
        <v>4213</v>
      </c>
      <c r="D1657">
        <v>24523.81</v>
      </c>
      <c r="E1657" s="123" t="s">
        <v>1566</v>
      </c>
      <c r="F1657" s="123" t="s">
        <v>1579</v>
      </c>
      <c r="G1657" s="123"/>
      <c r="H1657" s="95">
        <v>45996</v>
      </c>
      <c r="I1657">
        <v>32849</v>
      </c>
      <c r="J1657" s="123" t="s">
        <v>190</v>
      </c>
      <c r="K1657" s="123" t="s">
        <v>1302</v>
      </c>
      <c r="L1657" s="123" t="e">
        <f>VLOOKUP(Fact_AUM_FyoCapital[[#This Row],[Dim_Empresas.CUIT]],'clientes SQL'!C:D,2,0)</f>
        <v>#N/A</v>
      </c>
    </row>
    <row r="1658" spans="1:12" hidden="1" x14ac:dyDescent="0.3">
      <c r="A1658">
        <v>1863277</v>
      </c>
      <c r="B1658">
        <v>20251205</v>
      </c>
      <c r="C1658">
        <v>682</v>
      </c>
      <c r="D1658">
        <v>48324.134025245447</v>
      </c>
      <c r="E1658" s="123" t="s">
        <v>1568</v>
      </c>
      <c r="F1658" s="123" t="s">
        <v>1572</v>
      </c>
      <c r="G1658" s="123" t="s">
        <v>1583</v>
      </c>
      <c r="H1658" s="95">
        <v>45996</v>
      </c>
      <c r="I1658">
        <v>9775</v>
      </c>
      <c r="J1658" s="123" t="s">
        <v>287</v>
      </c>
      <c r="K1658" s="123" t="s">
        <v>1320</v>
      </c>
      <c r="L1658" s="123" t="e">
        <f>VLOOKUP(Fact_AUM_FyoCapital[[#This Row],[Dim_Empresas.CUIT]],'clientes SQL'!C:D,2,0)</f>
        <v>#N/A</v>
      </c>
    </row>
    <row r="1659" spans="1:12" hidden="1" x14ac:dyDescent="0.3">
      <c r="A1659">
        <v>1863577</v>
      </c>
      <c r="B1659">
        <v>20251205</v>
      </c>
      <c r="C1659">
        <v>2299</v>
      </c>
      <c r="D1659">
        <v>17.46</v>
      </c>
      <c r="E1659" s="123" t="s">
        <v>1566</v>
      </c>
      <c r="F1659" s="123" t="s">
        <v>1571</v>
      </c>
      <c r="G1659" s="123"/>
      <c r="H1659" s="95">
        <v>45996</v>
      </c>
      <c r="I1659">
        <v>30388</v>
      </c>
      <c r="J1659" s="123" t="s">
        <v>290</v>
      </c>
      <c r="K1659" s="123" t="s">
        <v>1160</v>
      </c>
      <c r="L1659" s="123" t="e">
        <f>VLOOKUP(Fact_AUM_FyoCapital[[#This Row],[Dim_Empresas.CUIT]],'clientes SQL'!C:D,2,0)</f>
        <v>#N/A</v>
      </c>
    </row>
    <row r="1660" spans="1:12" hidden="1" x14ac:dyDescent="0.3">
      <c r="A1660">
        <v>1869757</v>
      </c>
      <c r="B1660">
        <v>20251205</v>
      </c>
      <c r="C1660">
        <v>13361</v>
      </c>
      <c r="D1660">
        <v>0</v>
      </c>
      <c r="E1660" s="123"/>
      <c r="F1660" s="123"/>
      <c r="G1660" s="123"/>
      <c r="H1660" s="95">
        <v>45996</v>
      </c>
      <c r="I1660">
        <v>36541</v>
      </c>
      <c r="J1660" s="123" t="s">
        <v>454</v>
      </c>
      <c r="K1660" s="123" t="s">
        <v>1322</v>
      </c>
      <c r="L1660" s="123" t="e">
        <f>VLOOKUP(Fact_AUM_FyoCapital[[#This Row],[Dim_Empresas.CUIT]],'clientes SQL'!C:D,2,0)</f>
        <v>#N/A</v>
      </c>
    </row>
    <row r="1661" spans="1:12" hidden="1" x14ac:dyDescent="0.3">
      <c r="A1661">
        <v>2629469</v>
      </c>
      <c r="B1661">
        <v>20251205</v>
      </c>
      <c r="C1661">
        <v>13719</v>
      </c>
      <c r="D1661">
        <v>-6789.0323352033656</v>
      </c>
      <c r="E1661" s="123" t="s">
        <v>1563</v>
      </c>
      <c r="F1661" s="123" t="s">
        <v>185</v>
      </c>
      <c r="G1661" s="123"/>
      <c r="H1661" s="95">
        <v>45996</v>
      </c>
      <c r="I1661">
        <v>36879</v>
      </c>
      <c r="J1661" s="123" t="s">
        <v>1340</v>
      </c>
      <c r="K1661" s="123" t="s">
        <v>1341</v>
      </c>
      <c r="L1661" s="123" t="e">
        <f>VLOOKUP(Fact_AUM_FyoCapital[[#This Row],[Dim_Empresas.CUIT]],'clientes SQL'!C:D,2,0)</f>
        <v>#N/A</v>
      </c>
    </row>
    <row r="1662" spans="1:12" hidden="1" x14ac:dyDescent="0.3">
      <c r="A1662">
        <v>1902877</v>
      </c>
      <c r="B1662">
        <v>20251205</v>
      </c>
      <c r="C1662">
        <v>14876</v>
      </c>
      <c r="D1662">
        <v>2093.29</v>
      </c>
      <c r="E1662" s="123" t="s">
        <v>1566</v>
      </c>
      <c r="F1662" s="123" t="s">
        <v>1571</v>
      </c>
      <c r="G1662" s="123"/>
      <c r="H1662" s="95">
        <v>45996</v>
      </c>
      <c r="I1662">
        <v>37091</v>
      </c>
      <c r="J1662" s="123" t="s">
        <v>604</v>
      </c>
      <c r="K1662" s="123" t="s">
        <v>1293</v>
      </c>
      <c r="L1662" s="123" t="e">
        <f>VLOOKUP(Fact_AUM_FyoCapital[[#This Row],[Dim_Empresas.CUIT]],'clientes SQL'!C:D,2,0)</f>
        <v>#N/A</v>
      </c>
    </row>
    <row r="1663" spans="1:12" hidden="1" x14ac:dyDescent="0.3">
      <c r="A1663">
        <v>1893037</v>
      </c>
      <c r="B1663">
        <v>20251205</v>
      </c>
      <c r="C1663">
        <v>849</v>
      </c>
      <c r="D1663">
        <v>10126.541374474053</v>
      </c>
      <c r="E1663" s="123" t="s">
        <v>1566</v>
      </c>
      <c r="F1663" s="123" t="s">
        <v>1582</v>
      </c>
      <c r="G1663" s="123"/>
      <c r="H1663" s="95">
        <v>45996</v>
      </c>
      <c r="I1663">
        <v>17504</v>
      </c>
      <c r="J1663" s="123" t="s">
        <v>1181</v>
      </c>
      <c r="K1663" s="123" t="s">
        <v>1182</v>
      </c>
      <c r="L1663" s="123" t="e">
        <f>VLOOKUP(Fact_AUM_FyoCapital[[#This Row],[Dim_Empresas.CUIT]],'clientes SQL'!C:D,2,0)</f>
        <v>#N/A</v>
      </c>
    </row>
    <row r="1664" spans="1:12" hidden="1" x14ac:dyDescent="0.3">
      <c r="A1664">
        <v>2644769</v>
      </c>
      <c r="B1664">
        <v>20251205</v>
      </c>
      <c r="C1664">
        <v>1436</v>
      </c>
      <c r="D1664">
        <v>834</v>
      </c>
      <c r="E1664" s="123" t="s">
        <v>1563</v>
      </c>
      <c r="F1664" s="123" t="s">
        <v>801</v>
      </c>
      <c r="G1664" s="123"/>
      <c r="H1664" s="95">
        <v>45996</v>
      </c>
      <c r="I1664">
        <v>1035</v>
      </c>
      <c r="J1664" s="123" t="s">
        <v>686</v>
      </c>
      <c r="K1664" s="123" t="s">
        <v>1378</v>
      </c>
      <c r="L1664" s="123" t="e">
        <f>VLOOKUP(Fact_AUM_FyoCapital[[#This Row],[Dim_Empresas.CUIT]],'clientes SQL'!C:D,2,0)</f>
        <v>#N/A</v>
      </c>
    </row>
    <row r="1665" spans="1:12" hidden="1" x14ac:dyDescent="0.3">
      <c r="A1665">
        <v>2638349</v>
      </c>
      <c r="B1665">
        <v>20251205</v>
      </c>
      <c r="C1665">
        <v>10253</v>
      </c>
      <c r="D1665">
        <v>-0.18</v>
      </c>
      <c r="E1665" s="123" t="s">
        <v>1563</v>
      </c>
      <c r="F1665" s="123" t="s">
        <v>950</v>
      </c>
      <c r="G1665" s="123"/>
      <c r="H1665" s="95">
        <v>45996</v>
      </c>
      <c r="I1665">
        <v>35643</v>
      </c>
      <c r="J1665" s="123" t="s">
        <v>603</v>
      </c>
      <c r="K1665" s="123" t="s">
        <v>1220</v>
      </c>
      <c r="L1665" s="123" t="e">
        <f>VLOOKUP(Fact_AUM_FyoCapital[[#This Row],[Dim_Empresas.CUIT]],'clientes SQL'!C:D,2,0)</f>
        <v>#N/A</v>
      </c>
    </row>
    <row r="1666" spans="1:12" hidden="1" x14ac:dyDescent="0.3">
      <c r="A1666">
        <v>1841617</v>
      </c>
      <c r="B1666">
        <v>20251205</v>
      </c>
      <c r="C1666">
        <v>6999</v>
      </c>
      <c r="D1666">
        <v>2771.91</v>
      </c>
      <c r="E1666" s="123" t="s">
        <v>1566</v>
      </c>
      <c r="F1666" s="123" t="s">
        <v>1571</v>
      </c>
      <c r="G1666" s="123"/>
      <c r="H1666" s="95">
        <v>45996</v>
      </c>
      <c r="I1666">
        <v>34695</v>
      </c>
      <c r="J1666" s="123" t="s">
        <v>325</v>
      </c>
      <c r="K1666" s="123" t="s">
        <v>1267</v>
      </c>
      <c r="L1666" s="123" t="e">
        <f>VLOOKUP(Fact_AUM_FyoCapital[[#This Row],[Dim_Empresas.CUIT]],'clientes SQL'!C:D,2,0)</f>
        <v>#N/A</v>
      </c>
    </row>
    <row r="1667" spans="1:12" hidden="1" x14ac:dyDescent="0.3">
      <c r="A1667">
        <v>1869157</v>
      </c>
      <c r="B1667">
        <v>20251205</v>
      </c>
      <c r="C1667">
        <v>13361</v>
      </c>
      <c r="D1667">
        <v>2512.5</v>
      </c>
      <c r="E1667" s="123" t="s">
        <v>1566</v>
      </c>
      <c r="F1667" s="123" t="s">
        <v>1579</v>
      </c>
      <c r="G1667" s="123"/>
      <c r="H1667" s="95">
        <v>45996</v>
      </c>
      <c r="I1667">
        <v>36541</v>
      </c>
      <c r="J1667" s="123" t="s">
        <v>454</v>
      </c>
      <c r="K1667" s="123" t="s">
        <v>1322</v>
      </c>
      <c r="L1667" s="123" t="e">
        <f>VLOOKUP(Fact_AUM_FyoCapital[[#This Row],[Dim_Empresas.CUIT]],'clientes SQL'!C:D,2,0)</f>
        <v>#N/A</v>
      </c>
    </row>
    <row r="1668" spans="1:12" hidden="1" x14ac:dyDescent="0.3">
      <c r="A1668">
        <v>2602349</v>
      </c>
      <c r="B1668">
        <v>20251205</v>
      </c>
      <c r="C1668">
        <v>640</v>
      </c>
      <c r="D1668">
        <v>48323.75</v>
      </c>
      <c r="E1668" s="123" t="s">
        <v>1566</v>
      </c>
      <c r="F1668" s="123" t="s">
        <v>1578</v>
      </c>
      <c r="G1668" s="123"/>
      <c r="H1668" s="95">
        <v>45996</v>
      </c>
      <c r="I1668">
        <v>8261</v>
      </c>
      <c r="J1668" s="123" t="s">
        <v>431</v>
      </c>
      <c r="K1668" s="123" t="s">
        <v>1192</v>
      </c>
      <c r="L1668" s="123" t="e">
        <f>VLOOKUP(Fact_AUM_FyoCapital[[#This Row],[Dim_Empresas.CUIT]],'clientes SQL'!C:D,2,0)</f>
        <v>#N/A</v>
      </c>
    </row>
    <row r="1669" spans="1:12" hidden="1" x14ac:dyDescent="0.3">
      <c r="A1669">
        <v>1902817</v>
      </c>
      <c r="B1669">
        <v>20251205</v>
      </c>
      <c r="C1669">
        <v>14876</v>
      </c>
      <c r="D1669">
        <v>619.62</v>
      </c>
      <c r="E1669" s="123" t="s">
        <v>1566</v>
      </c>
      <c r="F1669" s="123" t="s">
        <v>1571</v>
      </c>
      <c r="G1669" s="123"/>
      <c r="H1669" s="95">
        <v>45996</v>
      </c>
      <c r="I1669">
        <v>37091</v>
      </c>
      <c r="J1669" s="123" t="s">
        <v>604</v>
      </c>
      <c r="K1669" s="123" t="s">
        <v>1293</v>
      </c>
      <c r="L1669" s="123" t="e">
        <f>VLOOKUP(Fact_AUM_FyoCapital[[#This Row],[Dim_Empresas.CUIT]],'clientes SQL'!C:D,2,0)</f>
        <v>#N/A</v>
      </c>
    </row>
    <row r="1670" spans="1:12" hidden="1" x14ac:dyDescent="0.3">
      <c r="A1670">
        <v>1857157</v>
      </c>
      <c r="B1670">
        <v>20251205</v>
      </c>
      <c r="C1670">
        <v>1191</v>
      </c>
      <c r="D1670">
        <v>33018.980000000003</v>
      </c>
      <c r="E1670" s="123" t="s">
        <v>1566</v>
      </c>
      <c r="F1670" s="123" t="s">
        <v>1578</v>
      </c>
      <c r="G1670" s="123"/>
      <c r="H1670" s="95">
        <v>45996</v>
      </c>
      <c r="I1670">
        <v>18954</v>
      </c>
      <c r="J1670" s="123" t="s">
        <v>1247</v>
      </c>
      <c r="K1670" s="123" t="s">
        <v>1248</v>
      </c>
      <c r="L1670" s="123" t="e">
        <f>VLOOKUP(Fact_AUM_FyoCapital[[#This Row],[Dim_Empresas.CUIT]],'clientes SQL'!C:D,2,0)</f>
        <v>#N/A</v>
      </c>
    </row>
    <row r="1671" spans="1:12" hidden="1" x14ac:dyDescent="0.3">
      <c r="A1671">
        <v>1860637</v>
      </c>
      <c r="B1671">
        <v>20251205</v>
      </c>
      <c r="C1671">
        <v>1437</v>
      </c>
      <c r="D1671">
        <v>1130911.55</v>
      </c>
      <c r="E1671" s="123" t="s">
        <v>1566</v>
      </c>
      <c r="F1671" s="123" t="s">
        <v>1579</v>
      </c>
      <c r="G1671" s="123"/>
      <c r="H1671" s="95">
        <v>45996</v>
      </c>
      <c r="I1671">
        <v>19791</v>
      </c>
      <c r="J1671" s="123" t="s">
        <v>172</v>
      </c>
      <c r="K1671" s="123" t="s">
        <v>1223</v>
      </c>
      <c r="L1671" s="123">
        <f>VLOOKUP(Fact_AUM_FyoCapital[[#This Row],[Dim_Empresas.CUIT]],'clientes SQL'!C:D,2,0)</f>
        <v>20176</v>
      </c>
    </row>
    <row r="1672" spans="1:12" hidden="1" x14ac:dyDescent="0.3">
      <c r="A1672">
        <v>1901917</v>
      </c>
      <c r="B1672">
        <v>20251205</v>
      </c>
      <c r="C1672">
        <v>14873</v>
      </c>
      <c r="D1672">
        <v>547.04</v>
      </c>
      <c r="E1672" s="123" t="s">
        <v>1566</v>
      </c>
      <c r="F1672" s="123" t="s">
        <v>1571</v>
      </c>
      <c r="G1672" s="123"/>
      <c r="H1672" s="95">
        <v>45996</v>
      </c>
      <c r="I1672">
        <v>37088</v>
      </c>
      <c r="J1672" s="123" t="s">
        <v>571</v>
      </c>
      <c r="K1672" s="123" t="s">
        <v>1269</v>
      </c>
      <c r="L1672" s="123" t="e">
        <f>VLOOKUP(Fact_AUM_FyoCapital[[#This Row],[Dim_Empresas.CUIT]],'clientes SQL'!C:D,2,0)</f>
        <v>#N/A</v>
      </c>
    </row>
    <row r="1673" spans="1:12" hidden="1" x14ac:dyDescent="0.3">
      <c r="A1673">
        <v>2624249</v>
      </c>
      <c r="B1673">
        <v>20251205</v>
      </c>
      <c r="C1673">
        <v>1437</v>
      </c>
      <c r="D1673">
        <v>-18753.015974754559</v>
      </c>
      <c r="E1673" s="123" t="s">
        <v>1563</v>
      </c>
      <c r="F1673" s="123" t="s">
        <v>185</v>
      </c>
      <c r="G1673" s="123"/>
      <c r="H1673" s="95">
        <v>45996</v>
      </c>
      <c r="I1673">
        <v>19791</v>
      </c>
      <c r="J1673" s="123" t="s">
        <v>172</v>
      </c>
      <c r="K1673" s="123" t="s">
        <v>1223</v>
      </c>
      <c r="L1673" s="123">
        <f>VLOOKUP(Fact_AUM_FyoCapital[[#This Row],[Dim_Empresas.CUIT]],'clientes SQL'!C:D,2,0)</f>
        <v>20176</v>
      </c>
    </row>
    <row r="1674" spans="1:12" hidden="1" x14ac:dyDescent="0.3">
      <c r="A1674">
        <v>2619449</v>
      </c>
      <c r="B1674">
        <v>20251205</v>
      </c>
      <c r="C1674">
        <v>1099</v>
      </c>
      <c r="D1674">
        <v>9.1164095371669001E-5</v>
      </c>
      <c r="E1674" s="123" t="s">
        <v>1563</v>
      </c>
      <c r="F1674" s="123" t="s">
        <v>185</v>
      </c>
      <c r="G1674" s="123"/>
      <c r="H1674" s="95">
        <v>45996</v>
      </c>
      <c r="I1674">
        <v>18842</v>
      </c>
      <c r="J1674" s="123" t="s">
        <v>250</v>
      </c>
      <c r="K1674" s="123" t="s">
        <v>1287</v>
      </c>
      <c r="L1674" s="123" t="e">
        <f>VLOOKUP(Fact_AUM_FyoCapital[[#This Row],[Dim_Empresas.CUIT]],'clientes SQL'!C:D,2,0)</f>
        <v>#N/A</v>
      </c>
    </row>
    <row r="1675" spans="1:12" hidden="1" x14ac:dyDescent="0.3">
      <c r="A1675">
        <v>1852897</v>
      </c>
      <c r="B1675">
        <v>20251205</v>
      </c>
      <c r="C1675">
        <v>3119</v>
      </c>
      <c r="D1675">
        <v>4393.30278401122</v>
      </c>
      <c r="E1675" s="123" t="s">
        <v>1568</v>
      </c>
      <c r="F1675" s="123" t="s">
        <v>1572</v>
      </c>
      <c r="G1675" s="123" t="s">
        <v>1570</v>
      </c>
      <c r="H1675" s="95">
        <v>45996</v>
      </c>
      <c r="I1675">
        <v>31525</v>
      </c>
      <c r="J1675" s="123" t="s">
        <v>432</v>
      </c>
      <c r="K1675" s="123" t="s">
        <v>1145</v>
      </c>
      <c r="L1675" s="123" t="e">
        <f>VLOOKUP(Fact_AUM_FyoCapital[[#This Row],[Dim_Empresas.CUIT]],'clientes SQL'!C:D,2,0)</f>
        <v>#N/A</v>
      </c>
    </row>
    <row r="1676" spans="1:12" hidden="1" x14ac:dyDescent="0.3">
      <c r="A1676">
        <v>1844017</v>
      </c>
      <c r="B1676">
        <v>20251205</v>
      </c>
      <c r="C1676">
        <v>12519</v>
      </c>
      <c r="D1676">
        <v>1578.45</v>
      </c>
      <c r="E1676" s="123" t="s">
        <v>1566</v>
      </c>
      <c r="F1676" s="123" t="s">
        <v>1579</v>
      </c>
      <c r="G1676" s="123"/>
      <c r="H1676" s="95">
        <v>45996</v>
      </c>
      <c r="I1676">
        <v>35782</v>
      </c>
      <c r="J1676" s="123" t="s">
        <v>297</v>
      </c>
      <c r="K1676" s="123" t="s">
        <v>1367</v>
      </c>
      <c r="L1676" s="123" t="e">
        <f>VLOOKUP(Fact_AUM_FyoCapital[[#This Row],[Dim_Empresas.CUIT]],'clientes SQL'!C:D,2,0)</f>
        <v>#N/A</v>
      </c>
    </row>
    <row r="1677" spans="1:12" hidden="1" x14ac:dyDescent="0.3">
      <c r="A1677">
        <v>2600249</v>
      </c>
      <c r="B1677">
        <v>20251205</v>
      </c>
      <c r="C1677">
        <v>91</v>
      </c>
      <c r="D1677">
        <v>463.51320476858342</v>
      </c>
      <c r="E1677" s="123" t="s">
        <v>1568</v>
      </c>
      <c r="F1677" s="123" t="s">
        <v>1572</v>
      </c>
      <c r="G1677" s="123" t="s">
        <v>1570</v>
      </c>
      <c r="H1677" s="95">
        <v>45996</v>
      </c>
      <c r="I1677">
        <v>6122</v>
      </c>
      <c r="J1677" s="123" t="s">
        <v>1300</v>
      </c>
      <c r="K1677" s="123" t="s">
        <v>1301</v>
      </c>
      <c r="L1677" s="123" t="e">
        <f>VLOOKUP(Fact_AUM_FyoCapital[[#This Row],[Dim_Empresas.CUIT]],'clientes SQL'!C:D,2,0)</f>
        <v>#N/A</v>
      </c>
    </row>
    <row r="1678" spans="1:12" hidden="1" x14ac:dyDescent="0.3">
      <c r="A1678">
        <v>1890637</v>
      </c>
      <c r="B1678">
        <v>20251205</v>
      </c>
      <c r="C1678">
        <v>1853</v>
      </c>
      <c r="D1678">
        <v>96541.3</v>
      </c>
      <c r="E1678" s="123" t="s">
        <v>1566</v>
      </c>
      <c r="F1678" s="123" t="s">
        <v>1578</v>
      </c>
      <c r="G1678" s="123"/>
      <c r="H1678" s="95">
        <v>45996</v>
      </c>
      <c r="I1678">
        <v>19392</v>
      </c>
      <c r="J1678" s="123" t="s">
        <v>1309</v>
      </c>
      <c r="K1678" s="123" t="s">
        <v>1310</v>
      </c>
      <c r="L1678" s="123" t="e">
        <f>VLOOKUP(Fact_AUM_FyoCapital[[#This Row],[Dim_Empresas.CUIT]],'clientes SQL'!C:D,2,0)</f>
        <v>#N/A</v>
      </c>
    </row>
    <row r="1679" spans="1:12" hidden="1" x14ac:dyDescent="0.3">
      <c r="A1679">
        <v>1870537</v>
      </c>
      <c r="B1679">
        <v>20251205</v>
      </c>
      <c r="C1679">
        <v>13361</v>
      </c>
      <c r="D1679">
        <v>822.37026647966343</v>
      </c>
      <c r="E1679" s="123" t="s">
        <v>1566</v>
      </c>
      <c r="F1679" s="123" t="s">
        <v>1580</v>
      </c>
      <c r="G1679" s="123"/>
      <c r="H1679" s="95">
        <v>45996</v>
      </c>
      <c r="I1679">
        <v>36541</v>
      </c>
      <c r="J1679" s="123" t="s">
        <v>454</v>
      </c>
      <c r="K1679" s="123" t="s">
        <v>1322</v>
      </c>
      <c r="L1679" s="123" t="e">
        <f>VLOOKUP(Fact_AUM_FyoCapital[[#This Row],[Dim_Empresas.CUIT]],'clientes SQL'!C:D,2,0)</f>
        <v>#N/A</v>
      </c>
    </row>
    <row r="1680" spans="1:12" hidden="1" x14ac:dyDescent="0.3">
      <c r="A1680">
        <v>2608589</v>
      </c>
      <c r="B1680">
        <v>20251205</v>
      </c>
      <c r="C1680">
        <v>1277</v>
      </c>
      <c r="D1680">
        <v>0.3</v>
      </c>
      <c r="E1680" s="123" t="s">
        <v>1563</v>
      </c>
      <c r="F1680" s="123" t="s">
        <v>188</v>
      </c>
      <c r="G1680" s="123"/>
      <c r="H1680" s="95">
        <v>45996</v>
      </c>
      <c r="I1680">
        <v>19100</v>
      </c>
      <c r="J1680" s="123" t="s">
        <v>254</v>
      </c>
      <c r="K1680" s="123" t="s">
        <v>1240</v>
      </c>
      <c r="L1680" s="123" t="e">
        <f>VLOOKUP(Fact_AUM_FyoCapital[[#This Row],[Dim_Empresas.CUIT]],'clientes SQL'!C:D,2,0)</f>
        <v>#N/A</v>
      </c>
    </row>
    <row r="1681" spans="1:12" hidden="1" x14ac:dyDescent="0.3">
      <c r="A1681">
        <v>1876717</v>
      </c>
      <c r="B1681">
        <v>20251205</v>
      </c>
      <c r="C1681">
        <v>95</v>
      </c>
      <c r="D1681">
        <v>3254558.2047685836</v>
      </c>
      <c r="E1681" s="123" t="s">
        <v>1566</v>
      </c>
      <c r="F1681" s="123" t="s">
        <v>1571</v>
      </c>
      <c r="G1681" s="123"/>
      <c r="H1681" s="95">
        <v>45996</v>
      </c>
      <c r="I1681">
        <v>708</v>
      </c>
      <c r="J1681" s="123" t="s">
        <v>1241</v>
      </c>
      <c r="K1681" s="123" t="s">
        <v>1242</v>
      </c>
      <c r="L1681" s="123" t="e">
        <f>VLOOKUP(Fact_AUM_FyoCapital[[#This Row],[Dim_Empresas.CUIT]],'clientes SQL'!C:D,2,0)</f>
        <v>#N/A</v>
      </c>
    </row>
    <row r="1682" spans="1:12" hidden="1" x14ac:dyDescent="0.3">
      <c r="A1682">
        <v>1875637</v>
      </c>
      <c r="B1682">
        <v>20251205</v>
      </c>
      <c r="C1682">
        <v>331</v>
      </c>
      <c r="D1682">
        <v>48628.14</v>
      </c>
      <c r="E1682" s="123" t="s">
        <v>1566</v>
      </c>
      <c r="F1682" s="123" t="s">
        <v>1571</v>
      </c>
      <c r="G1682" s="123"/>
      <c r="H1682" s="95">
        <v>45996</v>
      </c>
      <c r="I1682">
        <v>652</v>
      </c>
      <c r="J1682" s="123" t="s">
        <v>447</v>
      </c>
      <c r="K1682" s="123" t="s">
        <v>1143</v>
      </c>
      <c r="L1682" s="123" t="e">
        <f>VLOOKUP(Fact_AUM_FyoCapital[[#This Row],[Dim_Empresas.CUIT]],'clientes SQL'!C:D,2,0)</f>
        <v>#N/A</v>
      </c>
    </row>
    <row r="1683" spans="1:12" hidden="1" x14ac:dyDescent="0.3">
      <c r="A1683">
        <v>1861177</v>
      </c>
      <c r="B1683">
        <v>20251205</v>
      </c>
      <c r="C1683">
        <v>682</v>
      </c>
      <c r="D1683">
        <v>0</v>
      </c>
      <c r="E1683" s="123"/>
      <c r="F1683" s="123"/>
      <c r="G1683" s="123"/>
      <c r="H1683" s="95">
        <v>45996</v>
      </c>
      <c r="I1683">
        <v>9775</v>
      </c>
      <c r="J1683" s="123" t="s">
        <v>287</v>
      </c>
      <c r="K1683" s="123" t="s">
        <v>1320</v>
      </c>
      <c r="L1683" s="123" t="e">
        <f>VLOOKUP(Fact_AUM_FyoCapital[[#This Row],[Dim_Empresas.CUIT]],'clientes SQL'!C:D,2,0)</f>
        <v>#N/A</v>
      </c>
    </row>
    <row r="1684" spans="1:12" hidden="1" x14ac:dyDescent="0.3">
      <c r="A1684">
        <v>1870897</v>
      </c>
      <c r="B1684">
        <v>20251205</v>
      </c>
      <c r="C1684">
        <v>13361</v>
      </c>
      <c r="D1684">
        <v>5597.7417601683028</v>
      </c>
      <c r="E1684" s="123" t="s">
        <v>1568</v>
      </c>
      <c r="F1684" s="123" t="s">
        <v>1572</v>
      </c>
      <c r="G1684" s="123" t="s">
        <v>1583</v>
      </c>
      <c r="H1684" s="95">
        <v>45996</v>
      </c>
      <c r="I1684">
        <v>36541</v>
      </c>
      <c r="J1684" s="123" t="s">
        <v>454</v>
      </c>
      <c r="K1684" s="123" t="s">
        <v>1322</v>
      </c>
      <c r="L1684" s="123" t="e">
        <f>VLOOKUP(Fact_AUM_FyoCapital[[#This Row],[Dim_Empresas.CUIT]],'clientes SQL'!C:D,2,0)</f>
        <v>#N/A</v>
      </c>
    </row>
    <row r="1685" spans="1:12" hidden="1" x14ac:dyDescent="0.3">
      <c r="A1685">
        <v>1853737</v>
      </c>
      <c r="B1685">
        <v>20251205</v>
      </c>
      <c r="C1685">
        <v>7231</v>
      </c>
      <c r="D1685">
        <v>66.149453015427767</v>
      </c>
      <c r="E1685" s="123" t="s">
        <v>1568</v>
      </c>
      <c r="F1685" s="123" t="s">
        <v>1572</v>
      </c>
      <c r="G1685" s="123" t="s">
        <v>1570</v>
      </c>
      <c r="H1685" s="95">
        <v>45996</v>
      </c>
      <c r="I1685">
        <v>34881</v>
      </c>
      <c r="J1685" s="123" t="s">
        <v>394</v>
      </c>
      <c r="K1685" s="123" t="s">
        <v>1275</v>
      </c>
      <c r="L1685" s="123" t="e">
        <f>VLOOKUP(Fact_AUM_FyoCapital[[#This Row],[Dim_Empresas.CUIT]],'clientes SQL'!C:D,2,0)</f>
        <v>#N/A</v>
      </c>
    </row>
    <row r="1686" spans="1:12" hidden="1" x14ac:dyDescent="0.3">
      <c r="A1686">
        <v>1896577</v>
      </c>
      <c r="B1686">
        <v>20251205</v>
      </c>
      <c r="C1686">
        <v>10253</v>
      </c>
      <c r="D1686">
        <v>23098.316970546985</v>
      </c>
      <c r="E1686" s="123" t="s">
        <v>1566</v>
      </c>
      <c r="F1686" s="123" t="s">
        <v>1573</v>
      </c>
      <c r="G1686" s="123"/>
      <c r="H1686" s="95">
        <v>45996</v>
      </c>
      <c r="I1686">
        <v>35643</v>
      </c>
      <c r="J1686" s="123" t="s">
        <v>603</v>
      </c>
      <c r="K1686" s="123" t="s">
        <v>1220</v>
      </c>
      <c r="L1686" s="123" t="e">
        <f>VLOOKUP(Fact_AUM_FyoCapital[[#This Row],[Dim_Empresas.CUIT]],'clientes SQL'!C:D,2,0)</f>
        <v>#N/A</v>
      </c>
    </row>
    <row r="1687" spans="1:12" hidden="1" x14ac:dyDescent="0.3">
      <c r="A1687">
        <v>2629169</v>
      </c>
      <c r="B1687">
        <v>20251205</v>
      </c>
      <c r="C1687">
        <v>13361</v>
      </c>
      <c r="D1687">
        <v>0.92</v>
      </c>
      <c r="E1687" s="123" t="s">
        <v>1563</v>
      </c>
      <c r="F1687" s="123" t="s">
        <v>188</v>
      </c>
      <c r="G1687" s="123"/>
      <c r="H1687" s="95">
        <v>45996</v>
      </c>
      <c r="I1687">
        <v>36541</v>
      </c>
      <c r="J1687" s="123" t="s">
        <v>454</v>
      </c>
      <c r="K1687" s="123" t="s">
        <v>1322</v>
      </c>
      <c r="L1687" s="123" t="e">
        <f>VLOOKUP(Fact_AUM_FyoCapital[[#This Row],[Dim_Empresas.CUIT]],'clientes SQL'!C:D,2,0)</f>
        <v>#N/A</v>
      </c>
    </row>
    <row r="1688" spans="1:12" hidden="1" x14ac:dyDescent="0.3">
      <c r="A1688">
        <v>1848937</v>
      </c>
      <c r="B1688">
        <v>20251205</v>
      </c>
      <c r="C1688">
        <v>15233</v>
      </c>
      <c r="D1688">
        <v>2220.7399999999998</v>
      </c>
      <c r="E1688" s="123" t="s">
        <v>1568</v>
      </c>
      <c r="F1688" s="123" t="s">
        <v>1572</v>
      </c>
      <c r="G1688" s="123" t="s">
        <v>1574</v>
      </c>
      <c r="H1688" s="95">
        <v>45996</v>
      </c>
      <c r="I1688">
        <v>37359</v>
      </c>
      <c r="J1688" s="123" t="s">
        <v>710</v>
      </c>
      <c r="K1688" s="123" t="s">
        <v>1232</v>
      </c>
      <c r="L1688" s="123" t="e">
        <f>VLOOKUP(Fact_AUM_FyoCapital[[#This Row],[Dim_Empresas.CUIT]],'clientes SQL'!C:D,2,0)</f>
        <v>#N/A</v>
      </c>
    </row>
    <row r="1689" spans="1:12" hidden="1" x14ac:dyDescent="0.3">
      <c r="A1689">
        <v>1881097</v>
      </c>
      <c r="B1689">
        <v>20251205</v>
      </c>
      <c r="C1689">
        <v>1546</v>
      </c>
      <c r="D1689">
        <v>0</v>
      </c>
      <c r="E1689" s="123"/>
      <c r="F1689" s="123"/>
      <c r="G1689" s="123"/>
      <c r="H1689" s="95">
        <v>45996</v>
      </c>
      <c r="I1689">
        <v>18554</v>
      </c>
      <c r="J1689" s="123" t="s">
        <v>550</v>
      </c>
      <c r="K1689" s="123" t="s">
        <v>1394</v>
      </c>
      <c r="L1689" s="123" t="e">
        <f>VLOOKUP(Fact_AUM_FyoCapital[[#This Row],[Dim_Empresas.CUIT]],'clientes SQL'!C:D,2,0)</f>
        <v>#N/A</v>
      </c>
    </row>
    <row r="1690" spans="1:12" hidden="1" x14ac:dyDescent="0.3">
      <c r="A1690">
        <v>2621669</v>
      </c>
      <c r="B1690">
        <v>20251205</v>
      </c>
      <c r="C1690">
        <v>3661</v>
      </c>
      <c r="D1690">
        <v>9.86</v>
      </c>
      <c r="E1690" s="123" t="s">
        <v>1563</v>
      </c>
      <c r="F1690" s="123" t="s">
        <v>950</v>
      </c>
      <c r="G1690" s="123"/>
      <c r="H1690" s="95">
        <v>45996</v>
      </c>
      <c r="I1690">
        <v>32155</v>
      </c>
      <c r="J1690" s="123" t="s">
        <v>1313</v>
      </c>
      <c r="K1690" s="123" t="s">
        <v>1314</v>
      </c>
      <c r="L1690" s="123" t="e">
        <f>VLOOKUP(Fact_AUM_FyoCapital[[#This Row],[Dim_Empresas.CUIT]],'clientes SQL'!C:D,2,0)</f>
        <v>#N/A</v>
      </c>
    </row>
    <row r="1691" spans="1:12" hidden="1" x14ac:dyDescent="0.3">
      <c r="A1691">
        <v>2613689</v>
      </c>
      <c r="B1691">
        <v>20251205</v>
      </c>
      <c r="C1691">
        <v>2668</v>
      </c>
      <c r="D1691">
        <v>2.8050490883590464E-4</v>
      </c>
      <c r="E1691" s="123" t="s">
        <v>1563</v>
      </c>
      <c r="F1691" s="123" t="s">
        <v>185</v>
      </c>
      <c r="G1691" s="123"/>
      <c r="H1691" s="95">
        <v>45996</v>
      </c>
      <c r="I1691">
        <v>30908</v>
      </c>
      <c r="J1691" s="123" t="s">
        <v>304</v>
      </c>
      <c r="K1691" s="123" t="s">
        <v>1354</v>
      </c>
      <c r="L1691" s="123" t="e">
        <f>VLOOKUP(Fact_AUM_FyoCapital[[#This Row],[Dim_Empresas.CUIT]],'clientes SQL'!C:D,2,0)</f>
        <v>#N/A</v>
      </c>
    </row>
    <row r="1692" spans="1:12" hidden="1" x14ac:dyDescent="0.3">
      <c r="A1692">
        <v>1850317</v>
      </c>
      <c r="B1692">
        <v>20251205</v>
      </c>
      <c r="C1692">
        <v>2298</v>
      </c>
      <c r="D1692">
        <v>3435.83</v>
      </c>
      <c r="E1692" s="123" t="s">
        <v>1568</v>
      </c>
      <c r="F1692" s="123" t="s">
        <v>1572</v>
      </c>
      <c r="G1692" s="123" t="s">
        <v>1570</v>
      </c>
      <c r="H1692" s="95">
        <v>45996</v>
      </c>
      <c r="I1692">
        <v>30387</v>
      </c>
      <c r="J1692" s="123" t="s">
        <v>1532</v>
      </c>
      <c r="K1692" s="123" t="s">
        <v>1291</v>
      </c>
      <c r="L1692" s="123" t="e">
        <f>VLOOKUP(Fact_AUM_FyoCapital[[#This Row],[Dim_Empresas.CUIT]],'clientes SQL'!C:D,2,0)</f>
        <v>#N/A</v>
      </c>
    </row>
    <row r="1693" spans="1:12" hidden="1" x14ac:dyDescent="0.3">
      <c r="A1693">
        <v>2615309</v>
      </c>
      <c r="B1693">
        <v>20251205</v>
      </c>
      <c r="C1693">
        <v>2390</v>
      </c>
      <c r="D1693">
        <v>81.72</v>
      </c>
      <c r="E1693" s="123" t="s">
        <v>1563</v>
      </c>
      <c r="F1693" s="123" t="s">
        <v>950</v>
      </c>
      <c r="G1693" s="123"/>
      <c r="H1693" s="95">
        <v>45996</v>
      </c>
      <c r="I1693">
        <v>30567</v>
      </c>
      <c r="J1693" s="123" t="s">
        <v>363</v>
      </c>
      <c r="K1693" s="123" t="s">
        <v>1434</v>
      </c>
      <c r="L1693" s="123" t="e">
        <f>VLOOKUP(Fact_AUM_FyoCapital[[#This Row],[Dim_Empresas.CUIT]],'clientes SQL'!C:D,2,0)</f>
        <v>#N/A</v>
      </c>
    </row>
    <row r="1694" spans="1:12" hidden="1" x14ac:dyDescent="0.3">
      <c r="A1694">
        <v>1881397</v>
      </c>
      <c r="B1694">
        <v>20251205</v>
      </c>
      <c r="C1694">
        <v>1546</v>
      </c>
      <c r="D1694">
        <v>0</v>
      </c>
      <c r="E1694" s="123"/>
      <c r="F1694" s="123"/>
      <c r="G1694" s="123"/>
      <c r="H1694" s="95">
        <v>45996</v>
      </c>
      <c r="I1694">
        <v>18554</v>
      </c>
      <c r="J1694" s="123" t="s">
        <v>550</v>
      </c>
      <c r="K1694" s="123" t="s">
        <v>1394</v>
      </c>
      <c r="L1694" s="123" t="e">
        <f>VLOOKUP(Fact_AUM_FyoCapital[[#This Row],[Dim_Empresas.CUIT]],'clientes SQL'!C:D,2,0)</f>
        <v>#N/A</v>
      </c>
    </row>
    <row r="1695" spans="1:12" hidden="1" x14ac:dyDescent="0.3">
      <c r="A1695">
        <v>1857397</v>
      </c>
      <c r="B1695">
        <v>20251205</v>
      </c>
      <c r="C1695">
        <v>1191</v>
      </c>
      <c r="D1695">
        <v>0</v>
      </c>
      <c r="E1695" s="123"/>
      <c r="F1695" s="123"/>
      <c r="G1695" s="123"/>
      <c r="H1695" s="95">
        <v>45996</v>
      </c>
      <c r="I1695">
        <v>18954</v>
      </c>
      <c r="J1695" s="123" t="s">
        <v>1247</v>
      </c>
      <c r="K1695" s="123" t="s">
        <v>1248</v>
      </c>
      <c r="L1695" s="123" t="e">
        <f>VLOOKUP(Fact_AUM_FyoCapital[[#This Row],[Dim_Empresas.CUIT]],'clientes SQL'!C:D,2,0)</f>
        <v>#N/A</v>
      </c>
    </row>
    <row r="1696" spans="1:12" hidden="1" x14ac:dyDescent="0.3">
      <c r="A1696">
        <v>2604989</v>
      </c>
      <c r="B1696">
        <v>20251205</v>
      </c>
      <c r="C1696">
        <v>10061</v>
      </c>
      <c r="D1696">
        <v>13442.18</v>
      </c>
      <c r="E1696" s="123" t="s">
        <v>1566</v>
      </c>
      <c r="F1696" s="123" t="s">
        <v>1579</v>
      </c>
      <c r="G1696" s="123"/>
      <c r="H1696" s="95">
        <v>45996</v>
      </c>
      <c r="I1696">
        <v>35528</v>
      </c>
      <c r="J1696" s="123" t="s">
        <v>616</v>
      </c>
      <c r="K1696" s="123" t="s">
        <v>1237</v>
      </c>
      <c r="L1696" s="123" t="e">
        <f>VLOOKUP(Fact_AUM_FyoCapital[[#This Row],[Dim_Empresas.CUIT]],'clientes SQL'!C:D,2,0)</f>
        <v>#N/A</v>
      </c>
    </row>
    <row r="1697" spans="1:12" hidden="1" x14ac:dyDescent="0.3">
      <c r="A1697">
        <v>1862917</v>
      </c>
      <c r="B1697">
        <v>20251205</v>
      </c>
      <c r="C1697">
        <v>682</v>
      </c>
      <c r="D1697">
        <v>0</v>
      </c>
      <c r="E1697" s="123"/>
      <c r="F1697" s="123"/>
      <c r="G1697" s="123"/>
      <c r="H1697" s="95">
        <v>45996</v>
      </c>
      <c r="I1697">
        <v>9775</v>
      </c>
      <c r="J1697" s="123" t="s">
        <v>287</v>
      </c>
      <c r="K1697" s="123" t="s">
        <v>1320</v>
      </c>
      <c r="L1697" s="123" t="e">
        <f>VLOOKUP(Fact_AUM_FyoCapital[[#This Row],[Dim_Empresas.CUIT]],'clientes SQL'!C:D,2,0)</f>
        <v>#N/A</v>
      </c>
    </row>
    <row r="1698" spans="1:12" hidden="1" x14ac:dyDescent="0.3">
      <c r="A1698">
        <v>2624729</v>
      </c>
      <c r="B1698">
        <v>20251205</v>
      </c>
      <c r="C1698">
        <v>2299</v>
      </c>
      <c r="D1698">
        <v>4112.05</v>
      </c>
      <c r="E1698" s="123" t="s">
        <v>1563</v>
      </c>
      <c r="F1698" s="123" t="s">
        <v>950</v>
      </c>
      <c r="G1698" s="123"/>
      <c r="H1698" s="95">
        <v>45996</v>
      </c>
      <c r="I1698">
        <v>30388</v>
      </c>
      <c r="J1698" s="123" t="s">
        <v>290</v>
      </c>
      <c r="K1698" s="123" t="s">
        <v>1160</v>
      </c>
      <c r="L1698" s="123" t="e">
        <f>VLOOKUP(Fact_AUM_FyoCapital[[#This Row],[Dim_Empresas.CUIT]],'clientes SQL'!C:D,2,0)</f>
        <v>#N/A</v>
      </c>
    </row>
    <row r="1699" spans="1:12" hidden="1" x14ac:dyDescent="0.3">
      <c r="A1699">
        <v>1844197</v>
      </c>
      <c r="B1699">
        <v>20251205</v>
      </c>
      <c r="C1699">
        <v>12519</v>
      </c>
      <c r="D1699">
        <v>2213.1573842917251</v>
      </c>
      <c r="E1699" s="123" t="s">
        <v>1568</v>
      </c>
      <c r="F1699" s="123" t="s">
        <v>1572</v>
      </c>
      <c r="G1699" s="123" t="s">
        <v>1570</v>
      </c>
      <c r="H1699" s="95">
        <v>45996</v>
      </c>
      <c r="I1699">
        <v>35782</v>
      </c>
      <c r="J1699" s="123" t="s">
        <v>297</v>
      </c>
      <c r="K1699" s="123" t="s">
        <v>1367</v>
      </c>
      <c r="L1699" s="123" t="e">
        <f>VLOOKUP(Fact_AUM_FyoCapital[[#This Row],[Dim_Empresas.CUIT]],'clientes SQL'!C:D,2,0)</f>
        <v>#N/A</v>
      </c>
    </row>
    <row r="1700" spans="1:12" hidden="1" x14ac:dyDescent="0.3">
      <c r="A1700">
        <v>1849897</v>
      </c>
      <c r="B1700">
        <v>20251205</v>
      </c>
      <c r="C1700">
        <v>2298</v>
      </c>
      <c r="D1700">
        <v>17.46</v>
      </c>
      <c r="E1700" s="123" t="s">
        <v>1566</v>
      </c>
      <c r="F1700" s="123" t="s">
        <v>1571</v>
      </c>
      <c r="G1700" s="123"/>
      <c r="H1700" s="95">
        <v>45996</v>
      </c>
      <c r="I1700">
        <v>30387</v>
      </c>
      <c r="J1700" s="123" t="s">
        <v>1532</v>
      </c>
      <c r="K1700" s="123" t="s">
        <v>1291</v>
      </c>
      <c r="L1700" s="123" t="e">
        <f>VLOOKUP(Fact_AUM_FyoCapital[[#This Row],[Dim_Empresas.CUIT]],'clientes SQL'!C:D,2,0)</f>
        <v>#N/A</v>
      </c>
    </row>
    <row r="1701" spans="1:12" hidden="1" x14ac:dyDescent="0.3">
      <c r="A1701">
        <v>1871797</v>
      </c>
      <c r="B1701">
        <v>20251205</v>
      </c>
      <c r="C1701">
        <v>13719</v>
      </c>
      <c r="D1701">
        <v>-96541.3</v>
      </c>
      <c r="E1701" s="123" t="s">
        <v>1566</v>
      </c>
      <c r="F1701" s="123" t="s">
        <v>1578</v>
      </c>
      <c r="G1701" s="123"/>
      <c r="H1701" s="95">
        <v>45996</v>
      </c>
      <c r="I1701">
        <v>36879</v>
      </c>
      <c r="J1701" s="123" t="s">
        <v>1340</v>
      </c>
      <c r="K1701" s="123" t="s">
        <v>1341</v>
      </c>
      <c r="L1701" s="123" t="e">
        <f>VLOOKUP(Fact_AUM_FyoCapital[[#This Row],[Dim_Empresas.CUIT]],'clientes SQL'!C:D,2,0)</f>
        <v>#N/A</v>
      </c>
    </row>
    <row r="1702" spans="1:12" hidden="1" x14ac:dyDescent="0.3">
      <c r="A1702">
        <v>2635169</v>
      </c>
      <c r="B1702">
        <v>20251205</v>
      </c>
      <c r="C1702">
        <v>1605</v>
      </c>
      <c r="D1702">
        <v>0</v>
      </c>
      <c r="E1702" s="123"/>
      <c r="F1702" s="123"/>
      <c r="G1702" s="123"/>
      <c r="H1702" s="95">
        <v>45996</v>
      </c>
      <c r="I1702">
        <v>20317</v>
      </c>
      <c r="J1702" s="123" t="s">
        <v>721</v>
      </c>
      <c r="K1702" s="123" t="s">
        <v>1430</v>
      </c>
      <c r="L1702" s="123" t="e">
        <f>VLOOKUP(Fact_AUM_FyoCapital[[#This Row],[Dim_Empresas.CUIT]],'clientes SQL'!C:D,2,0)</f>
        <v>#N/A</v>
      </c>
    </row>
    <row r="1703" spans="1:12" hidden="1" x14ac:dyDescent="0.3">
      <c r="A1703">
        <v>1861357</v>
      </c>
      <c r="B1703">
        <v>20251205</v>
      </c>
      <c r="C1703">
        <v>682</v>
      </c>
      <c r="D1703">
        <v>0</v>
      </c>
      <c r="E1703" s="123"/>
      <c r="F1703" s="123"/>
      <c r="G1703" s="123"/>
      <c r="H1703" s="95">
        <v>45996</v>
      </c>
      <c r="I1703">
        <v>9775</v>
      </c>
      <c r="J1703" s="123" t="s">
        <v>287</v>
      </c>
      <c r="K1703" s="123" t="s">
        <v>1320</v>
      </c>
      <c r="L1703" s="123" t="e">
        <f>VLOOKUP(Fact_AUM_FyoCapital[[#This Row],[Dim_Empresas.CUIT]],'clientes SQL'!C:D,2,0)</f>
        <v>#N/A</v>
      </c>
    </row>
    <row r="1704" spans="1:12" hidden="1" x14ac:dyDescent="0.3">
      <c r="A1704">
        <v>2618489</v>
      </c>
      <c r="B1704">
        <v>20251205</v>
      </c>
      <c r="C1704">
        <v>13260</v>
      </c>
      <c r="D1704">
        <v>-5.139719495091164</v>
      </c>
      <c r="E1704" s="123" t="s">
        <v>1563</v>
      </c>
      <c r="F1704" s="123" t="s">
        <v>185</v>
      </c>
      <c r="G1704" s="123"/>
      <c r="H1704" s="95">
        <v>45996</v>
      </c>
      <c r="I1704">
        <v>36446</v>
      </c>
      <c r="J1704" s="123" t="s">
        <v>1370</v>
      </c>
      <c r="K1704" s="123" t="s">
        <v>1371</v>
      </c>
      <c r="L1704" s="123" t="e">
        <f>VLOOKUP(Fact_AUM_FyoCapital[[#This Row],[Dim_Empresas.CUIT]],'clientes SQL'!C:D,2,0)</f>
        <v>#N/A</v>
      </c>
    </row>
    <row r="1705" spans="1:12" hidden="1" x14ac:dyDescent="0.3">
      <c r="A1705">
        <v>1866217</v>
      </c>
      <c r="B1705">
        <v>20251205</v>
      </c>
      <c r="C1705">
        <v>1021</v>
      </c>
      <c r="D1705">
        <v>18336.900000000001</v>
      </c>
      <c r="E1705" s="123" t="s">
        <v>1566</v>
      </c>
      <c r="F1705" s="123" t="s">
        <v>1579</v>
      </c>
      <c r="G1705" s="123"/>
      <c r="H1705" s="95">
        <v>45996</v>
      </c>
      <c r="I1705">
        <v>13900</v>
      </c>
      <c r="J1705" s="123" t="s">
        <v>462</v>
      </c>
      <c r="K1705" s="123" t="s">
        <v>1211</v>
      </c>
      <c r="L1705" s="123" t="e">
        <f>VLOOKUP(Fact_AUM_FyoCapital[[#This Row],[Dim_Empresas.CUIT]],'clientes SQL'!C:D,2,0)</f>
        <v>#N/A</v>
      </c>
    </row>
    <row r="1706" spans="1:12" hidden="1" x14ac:dyDescent="0.3">
      <c r="A1706">
        <v>1827577</v>
      </c>
      <c r="B1706">
        <v>20251205</v>
      </c>
      <c r="C1706">
        <v>5383</v>
      </c>
      <c r="D1706">
        <v>114.29</v>
      </c>
      <c r="E1706" s="123" t="s">
        <v>1566</v>
      </c>
      <c r="F1706" s="123" t="s">
        <v>1571</v>
      </c>
      <c r="G1706" s="123"/>
      <c r="H1706" s="95">
        <v>45996</v>
      </c>
      <c r="I1706">
        <v>33182</v>
      </c>
      <c r="J1706" s="123" t="s">
        <v>238</v>
      </c>
      <c r="K1706" s="123" t="s">
        <v>1167</v>
      </c>
      <c r="L1706" s="123" t="e">
        <f>VLOOKUP(Fact_AUM_FyoCapital[[#This Row],[Dim_Empresas.CUIT]],'clientes SQL'!C:D,2,0)</f>
        <v>#N/A</v>
      </c>
    </row>
    <row r="1707" spans="1:12" hidden="1" x14ac:dyDescent="0.3">
      <c r="A1707">
        <v>1858537</v>
      </c>
      <c r="B1707">
        <v>20251205</v>
      </c>
      <c r="C1707">
        <v>1191</v>
      </c>
      <c r="D1707">
        <v>1966.1465638148668</v>
      </c>
      <c r="E1707" s="123" t="s">
        <v>1566</v>
      </c>
      <c r="F1707" s="123" t="s">
        <v>1573</v>
      </c>
      <c r="G1707" s="123"/>
      <c r="H1707" s="95">
        <v>45996</v>
      </c>
      <c r="I1707">
        <v>18954</v>
      </c>
      <c r="J1707" s="123" t="s">
        <v>1247</v>
      </c>
      <c r="K1707" s="123" t="s">
        <v>1248</v>
      </c>
      <c r="L1707" s="123" t="e">
        <f>VLOOKUP(Fact_AUM_FyoCapital[[#This Row],[Dim_Empresas.CUIT]],'clientes SQL'!C:D,2,0)</f>
        <v>#N/A</v>
      </c>
    </row>
    <row r="1708" spans="1:12" hidden="1" x14ac:dyDescent="0.3">
      <c r="A1708">
        <v>1849837</v>
      </c>
      <c r="B1708">
        <v>20251205</v>
      </c>
      <c r="C1708">
        <v>2298</v>
      </c>
      <c r="D1708">
        <v>3504.25</v>
      </c>
      <c r="E1708" s="123" t="s">
        <v>1566</v>
      </c>
      <c r="F1708" s="123" t="s">
        <v>1571</v>
      </c>
      <c r="G1708" s="123"/>
      <c r="H1708" s="95">
        <v>45996</v>
      </c>
      <c r="I1708">
        <v>30387</v>
      </c>
      <c r="J1708" s="123" t="s">
        <v>1532</v>
      </c>
      <c r="K1708" s="123" t="s">
        <v>1291</v>
      </c>
      <c r="L1708" s="123" t="e">
        <f>VLOOKUP(Fact_AUM_FyoCapital[[#This Row],[Dim_Empresas.CUIT]],'clientes SQL'!C:D,2,0)</f>
        <v>#N/A</v>
      </c>
    </row>
    <row r="1709" spans="1:12" hidden="1" x14ac:dyDescent="0.3">
      <c r="A1709">
        <v>2641289</v>
      </c>
      <c r="B1709">
        <v>20251205</v>
      </c>
      <c r="C1709">
        <v>15122</v>
      </c>
      <c r="D1709">
        <v>9.0299999999999994</v>
      </c>
      <c r="E1709" s="123" t="s">
        <v>1563</v>
      </c>
      <c r="F1709" s="123" t="s">
        <v>950</v>
      </c>
      <c r="G1709" s="123"/>
      <c r="H1709" s="95">
        <v>45996</v>
      </c>
      <c r="I1709">
        <v>37263</v>
      </c>
      <c r="J1709" s="123" t="s">
        <v>1342</v>
      </c>
      <c r="K1709" s="123" t="s">
        <v>1343</v>
      </c>
      <c r="L1709" s="123" t="e">
        <f>VLOOKUP(Fact_AUM_FyoCapital[[#This Row],[Dim_Empresas.CUIT]],'clientes SQL'!C:D,2,0)</f>
        <v>#N/A</v>
      </c>
    </row>
    <row r="1710" spans="1:12" hidden="1" x14ac:dyDescent="0.3">
      <c r="A1710">
        <v>1876597</v>
      </c>
      <c r="B1710">
        <v>20251205</v>
      </c>
      <c r="C1710">
        <v>95</v>
      </c>
      <c r="D1710">
        <v>2577973</v>
      </c>
      <c r="E1710" s="123" t="s">
        <v>1566</v>
      </c>
      <c r="F1710" s="123" t="s">
        <v>1578</v>
      </c>
      <c r="G1710" s="123"/>
      <c r="H1710" s="95">
        <v>45996</v>
      </c>
      <c r="I1710">
        <v>708</v>
      </c>
      <c r="J1710" s="123" t="s">
        <v>1241</v>
      </c>
      <c r="K1710" s="123" t="s">
        <v>1242</v>
      </c>
      <c r="L1710" s="123" t="e">
        <f>VLOOKUP(Fact_AUM_FyoCapital[[#This Row],[Dim_Empresas.CUIT]],'clientes SQL'!C:D,2,0)</f>
        <v>#N/A</v>
      </c>
    </row>
    <row r="1711" spans="1:12" hidden="1" x14ac:dyDescent="0.3">
      <c r="A1711">
        <v>1890337</v>
      </c>
      <c r="B1711">
        <v>20251205</v>
      </c>
      <c r="C1711">
        <v>1065</v>
      </c>
      <c r="D1711">
        <v>20979.579242636748</v>
      </c>
      <c r="E1711" s="123" t="s">
        <v>1566</v>
      </c>
      <c r="F1711" s="123" t="s">
        <v>1580</v>
      </c>
      <c r="G1711" s="123"/>
      <c r="H1711" s="95">
        <v>45996</v>
      </c>
      <c r="I1711">
        <v>18751</v>
      </c>
      <c r="J1711" s="123" t="s">
        <v>370</v>
      </c>
      <c r="K1711" s="123" t="s">
        <v>1321</v>
      </c>
      <c r="L1711" s="123" t="e">
        <f>VLOOKUP(Fact_AUM_FyoCapital[[#This Row],[Dim_Empresas.CUIT]],'clientes SQL'!C:D,2,0)</f>
        <v>#N/A</v>
      </c>
    </row>
    <row r="1712" spans="1:12" hidden="1" x14ac:dyDescent="0.3">
      <c r="A1712">
        <v>1838017</v>
      </c>
      <c r="B1712">
        <v>20251205</v>
      </c>
      <c r="C1712">
        <v>2668</v>
      </c>
      <c r="D1712">
        <v>6755.1124333800844</v>
      </c>
      <c r="E1712" s="123" t="s">
        <v>1568</v>
      </c>
      <c r="F1712" s="123" t="s">
        <v>1572</v>
      </c>
      <c r="G1712" s="123" t="s">
        <v>1570</v>
      </c>
      <c r="H1712" s="95">
        <v>45996</v>
      </c>
      <c r="I1712">
        <v>30908</v>
      </c>
      <c r="J1712" s="123" t="s">
        <v>304</v>
      </c>
      <c r="K1712" s="123" t="s">
        <v>1354</v>
      </c>
      <c r="L1712" s="123" t="e">
        <f>VLOOKUP(Fact_AUM_FyoCapital[[#This Row],[Dim_Empresas.CUIT]],'clientes SQL'!C:D,2,0)</f>
        <v>#N/A</v>
      </c>
    </row>
    <row r="1713" spans="1:12" hidden="1" x14ac:dyDescent="0.3">
      <c r="A1713">
        <v>1872457</v>
      </c>
      <c r="B1713">
        <v>20251205</v>
      </c>
      <c r="C1713">
        <v>13719</v>
      </c>
      <c r="D1713">
        <v>240292.27314866759</v>
      </c>
      <c r="E1713" s="123" t="s">
        <v>1568</v>
      </c>
      <c r="F1713" s="123" t="s">
        <v>1572</v>
      </c>
      <c r="G1713" s="123" t="s">
        <v>1583</v>
      </c>
      <c r="H1713" s="95">
        <v>45996</v>
      </c>
      <c r="I1713">
        <v>36879</v>
      </c>
      <c r="J1713" s="123" t="s">
        <v>1340</v>
      </c>
      <c r="K1713" s="123" t="s">
        <v>1341</v>
      </c>
      <c r="L1713" s="123" t="e">
        <f>VLOOKUP(Fact_AUM_FyoCapital[[#This Row],[Dim_Empresas.CUIT]],'clientes SQL'!C:D,2,0)</f>
        <v>#N/A</v>
      </c>
    </row>
    <row r="1714" spans="1:12" hidden="1" x14ac:dyDescent="0.3">
      <c r="A1714">
        <v>1876417</v>
      </c>
      <c r="B1714">
        <v>20251205</v>
      </c>
      <c r="C1714">
        <v>95</v>
      </c>
      <c r="D1714">
        <v>0</v>
      </c>
      <c r="E1714" s="123"/>
      <c r="F1714" s="123"/>
      <c r="G1714" s="123"/>
      <c r="H1714" s="95">
        <v>45996</v>
      </c>
      <c r="I1714">
        <v>708</v>
      </c>
      <c r="J1714" s="123" t="s">
        <v>1241</v>
      </c>
      <c r="K1714" s="123" t="s">
        <v>1242</v>
      </c>
      <c r="L1714" s="123" t="e">
        <f>VLOOKUP(Fact_AUM_FyoCapital[[#This Row],[Dim_Empresas.CUIT]],'clientes SQL'!C:D,2,0)</f>
        <v>#N/A</v>
      </c>
    </row>
    <row r="1715" spans="1:12" hidden="1" x14ac:dyDescent="0.3">
      <c r="A1715">
        <v>1862497</v>
      </c>
      <c r="B1715">
        <v>20251205</v>
      </c>
      <c r="C1715">
        <v>682</v>
      </c>
      <c r="D1715">
        <v>0</v>
      </c>
      <c r="E1715" s="123"/>
      <c r="F1715" s="123"/>
      <c r="G1715" s="123"/>
      <c r="H1715" s="95">
        <v>45996</v>
      </c>
      <c r="I1715">
        <v>9775</v>
      </c>
      <c r="J1715" s="123" t="s">
        <v>287</v>
      </c>
      <c r="K1715" s="123" t="s">
        <v>1320</v>
      </c>
      <c r="L1715" s="123" t="e">
        <f>VLOOKUP(Fact_AUM_FyoCapital[[#This Row],[Dim_Empresas.CUIT]],'clientes SQL'!C:D,2,0)</f>
        <v>#N/A</v>
      </c>
    </row>
    <row r="1716" spans="1:12" hidden="1" x14ac:dyDescent="0.3">
      <c r="A1716">
        <v>1834357</v>
      </c>
      <c r="B1716">
        <v>20251205</v>
      </c>
      <c r="C1716">
        <v>1146</v>
      </c>
      <c r="D1716">
        <v>127.34892706872371</v>
      </c>
      <c r="E1716" s="123" t="s">
        <v>1568</v>
      </c>
      <c r="F1716" s="123" t="s">
        <v>1572</v>
      </c>
      <c r="G1716" s="123" t="s">
        <v>1570</v>
      </c>
      <c r="H1716" s="95">
        <v>45996</v>
      </c>
      <c r="I1716">
        <v>18940</v>
      </c>
      <c r="J1716" s="123" t="s">
        <v>1495</v>
      </c>
      <c r="K1716" s="123" t="s">
        <v>1496</v>
      </c>
      <c r="L1716" s="123" t="e">
        <f>VLOOKUP(Fact_AUM_FyoCapital[[#This Row],[Dim_Empresas.CUIT]],'clientes SQL'!C:D,2,0)</f>
        <v>#N/A</v>
      </c>
    </row>
    <row r="1717" spans="1:12" hidden="1" x14ac:dyDescent="0.3">
      <c r="A1717">
        <v>2629109</v>
      </c>
      <c r="B1717">
        <v>20251205</v>
      </c>
      <c r="C1717">
        <v>13361</v>
      </c>
      <c r="D1717">
        <v>14444.73</v>
      </c>
      <c r="E1717" s="123" t="s">
        <v>1563</v>
      </c>
      <c r="F1717" s="123" t="s">
        <v>950</v>
      </c>
      <c r="G1717" s="123"/>
      <c r="H1717" s="95">
        <v>45996</v>
      </c>
      <c r="I1717">
        <v>36541</v>
      </c>
      <c r="J1717" s="123" t="s">
        <v>454</v>
      </c>
      <c r="K1717" s="123" t="s">
        <v>1322</v>
      </c>
      <c r="L1717" s="123" t="e">
        <f>VLOOKUP(Fact_AUM_FyoCapital[[#This Row],[Dim_Empresas.CUIT]],'clientes SQL'!C:D,2,0)</f>
        <v>#N/A</v>
      </c>
    </row>
    <row r="1718" spans="1:12" hidden="1" x14ac:dyDescent="0.3">
      <c r="A1718">
        <v>1873117</v>
      </c>
      <c r="B1718">
        <v>20251205</v>
      </c>
      <c r="C1718">
        <v>16273</v>
      </c>
      <c r="D1718">
        <v>3199.402314165498</v>
      </c>
      <c r="E1718" s="123" t="s">
        <v>1568</v>
      </c>
      <c r="F1718" s="123" t="s">
        <v>1572</v>
      </c>
      <c r="G1718" s="123" t="s">
        <v>1574</v>
      </c>
      <c r="H1718" s="95">
        <v>45996</v>
      </c>
      <c r="I1718">
        <v>37760</v>
      </c>
      <c r="J1718" s="123" t="s">
        <v>1349</v>
      </c>
      <c r="K1718" s="123" t="s">
        <v>1350</v>
      </c>
      <c r="L1718" s="123" t="e">
        <f>VLOOKUP(Fact_AUM_FyoCapital[[#This Row],[Dim_Empresas.CUIT]],'clientes SQL'!C:D,2,0)</f>
        <v>#N/A</v>
      </c>
    </row>
    <row r="1719" spans="1:12" hidden="1" x14ac:dyDescent="0.3">
      <c r="A1719">
        <v>1826197</v>
      </c>
      <c r="B1719">
        <v>20251205</v>
      </c>
      <c r="C1719">
        <v>1277</v>
      </c>
      <c r="D1719">
        <v>0</v>
      </c>
      <c r="E1719" s="123"/>
      <c r="F1719" s="123"/>
      <c r="G1719" s="123"/>
      <c r="H1719" s="95">
        <v>45996</v>
      </c>
      <c r="I1719">
        <v>19100</v>
      </c>
      <c r="J1719" s="123" t="s">
        <v>254</v>
      </c>
      <c r="K1719" s="123" t="s">
        <v>1240</v>
      </c>
      <c r="L1719" s="123" t="e">
        <f>VLOOKUP(Fact_AUM_FyoCapital[[#This Row],[Dim_Empresas.CUIT]],'clientes SQL'!C:D,2,0)</f>
        <v>#N/A</v>
      </c>
    </row>
    <row r="1720" spans="1:12" hidden="1" x14ac:dyDescent="0.3">
      <c r="A1720">
        <v>1839217</v>
      </c>
      <c r="B1720">
        <v>20251205</v>
      </c>
      <c r="C1720">
        <v>5868</v>
      </c>
      <c r="D1720">
        <v>20544.22</v>
      </c>
      <c r="E1720" s="123" t="s">
        <v>1566</v>
      </c>
      <c r="F1720" s="123" t="s">
        <v>1579</v>
      </c>
      <c r="G1720" s="123"/>
      <c r="H1720" s="95">
        <v>45996</v>
      </c>
      <c r="I1720">
        <v>33580</v>
      </c>
      <c r="J1720" s="123" t="s">
        <v>348</v>
      </c>
      <c r="K1720" s="123" t="s">
        <v>1277</v>
      </c>
      <c r="L1720" s="123" t="e">
        <f>VLOOKUP(Fact_AUM_FyoCapital[[#This Row],[Dim_Empresas.CUIT]],'clientes SQL'!C:D,2,0)</f>
        <v>#N/A</v>
      </c>
    </row>
    <row r="1721" spans="1:12" hidden="1" x14ac:dyDescent="0.3">
      <c r="A1721">
        <v>1849657</v>
      </c>
      <c r="B1721">
        <v>20251205</v>
      </c>
      <c r="C1721">
        <v>2298</v>
      </c>
      <c r="D1721">
        <v>133317.20000000001</v>
      </c>
      <c r="E1721" s="123" t="s">
        <v>1566</v>
      </c>
      <c r="F1721" s="123" t="s">
        <v>1571</v>
      </c>
      <c r="G1721" s="123"/>
      <c r="H1721" s="95">
        <v>45996</v>
      </c>
      <c r="I1721">
        <v>30387</v>
      </c>
      <c r="J1721" s="123" t="s">
        <v>1532</v>
      </c>
      <c r="K1721" s="123" t="s">
        <v>1291</v>
      </c>
      <c r="L1721" s="123" t="e">
        <f>VLOOKUP(Fact_AUM_FyoCapital[[#This Row],[Dim_Empresas.CUIT]],'clientes SQL'!C:D,2,0)</f>
        <v>#N/A</v>
      </c>
    </row>
    <row r="1722" spans="1:12" hidden="1" x14ac:dyDescent="0.3">
      <c r="A1722">
        <v>1827277</v>
      </c>
      <c r="B1722">
        <v>20251205</v>
      </c>
      <c r="C1722">
        <v>5874</v>
      </c>
      <c r="D1722">
        <v>0</v>
      </c>
      <c r="E1722" s="123"/>
      <c r="F1722" s="123"/>
      <c r="G1722" s="123"/>
      <c r="H1722" s="95">
        <v>45996</v>
      </c>
      <c r="I1722">
        <v>33645</v>
      </c>
      <c r="J1722" s="123" t="s">
        <v>1414</v>
      </c>
      <c r="K1722" s="123" t="s">
        <v>1415</v>
      </c>
      <c r="L1722" s="123" t="e">
        <f>VLOOKUP(Fact_AUM_FyoCapital[[#This Row],[Dim_Empresas.CUIT]],'clientes SQL'!C:D,2,0)</f>
        <v>#N/A</v>
      </c>
    </row>
    <row r="1723" spans="1:12" hidden="1" x14ac:dyDescent="0.3">
      <c r="A1723">
        <v>1857937</v>
      </c>
      <c r="B1723">
        <v>20251205</v>
      </c>
      <c r="C1723">
        <v>1191</v>
      </c>
      <c r="D1723">
        <v>0</v>
      </c>
      <c r="E1723" s="123"/>
      <c r="F1723" s="123"/>
      <c r="G1723" s="123"/>
      <c r="H1723" s="95">
        <v>45996</v>
      </c>
      <c r="I1723">
        <v>18954</v>
      </c>
      <c r="J1723" s="123" t="s">
        <v>1247</v>
      </c>
      <c r="K1723" s="123" t="s">
        <v>1248</v>
      </c>
      <c r="L1723" s="123" t="e">
        <f>VLOOKUP(Fact_AUM_FyoCapital[[#This Row],[Dim_Empresas.CUIT]],'clientes SQL'!C:D,2,0)</f>
        <v>#N/A</v>
      </c>
    </row>
    <row r="1724" spans="1:12" hidden="1" x14ac:dyDescent="0.3">
      <c r="A1724">
        <v>2602829</v>
      </c>
      <c r="B1724">
        <v>20251205</v>
      </c>
      <c r="C1724">
        <v>640</v>
      </c>
      <c r="D1724">
        <v>61175.51</v>
      </c>
      <c r="E1724" s="123" t="s">
        <v>1566</v>
      </c>
      <c r="F1724" s="123" t="s">
        <v>1571</v>
      </c>
      <c r="G1724" s="123"/>
      <c r="H1724" s="95">
        <v>45996</v>
      </c>
      <c r="I1724">
        <v>8261</v>
      </c>
      <c r="J1724" s="123" t="s">
        <v>431</v>
      </c>
      <c r="K1724" s="123" t="s">
        <v>1192</v>
      </c>
      <c r="L1724" s="123" t="e">
        <f>VLOOKUP(Fact_AUM_FyoCapital[[#This Row],[Dim_Empresas.CUIT]],'clientes SQL'!C:D,2,0)</f>
        <v>#N/A</v>
      </c>
    </row>
    <row r="1725" spans="1:12" hidden="1" x14ac:dyDescent="0.3">
      <c r="A1725">
        <v>2611049</v>
      </c>
      <c r="B1725">
        <v>20251205</v>
      </c>
      <c r="C1725">
        <v>6921</v>
      </c>
      <c r="D1725">
        <v>-22.870385694249649</v>
      </c>
      <c r="E1725" s="123" t="s">
        <v>1563</v>
      </c>
      <c r="F1725" s="123" t="s">
        <v>185</v>
      </c>
      <c r="G1725" s="123"/>
      <c r="H1725" s="95">
        <v>45996</v>
      </c>
      <c r="I1725">
        <v>34623</v>
      </c>
      <c r="J1725" s="123" t="s">
        <v>1364</v>
      </c>
      <c r="K1725" s="123" t="s">
        <v>1365</v>
      </c>
      <c r="L1725" s="123" t="e">
        <f>VLOOKUP(Fact_AUM_FyoCapital[[#This Row],[Dim_Empresas.CUIT]],'clientes SQL'!C:D,2,0)</f>
        <v>#N/A</v>
      </c>
    </row>
    <row r="1726" spans="1:12" hidden="1" x14ac:dyDescent="0.3">
      <c r="A1726">
        <v>2615369</v>
      </c>
      <c r="B1726">
        <v>20251205</v>
      </c>
      <c r="C1726">
        <v>5251</v>
      </c>
      <c r="D1726">
        <v>-2.173913043478261E-4</v>
      </c>
      <c r="E1726" s="123" t="s">
        <v>1563</v>
      </c>
      <c r="F1726" s="123" t="s">
        <v>185</v>
      </c>
      <c r="G1726" s="123"/>
      <c r="H1726" s="95">
        <v>45996</v>
      </c>
      <c r="I1726">
        <v>33173</v>
      </c>
      <c r="J1726" s="123" t="s">
        <v>341</v>
      </c>
      <c r="K1726" s="123" t="s">
        <v>1318</v>
      </c>
      <c r="L1726" s="123" t="e">
        <f>VLOOKUP(Fact_AUM_FyoCapital[[#This Row],[Dim_Empresas.CUIT]],'clientes SQL'!C:D,2,0)</f>
        <v>#N/A</v>
      </c>
    </row>
    <row r="1727" spans="1:12" hidden="1" x14ac:dyDescent="0.3">
      <c r="A1727">
        <v>1868377</v>
      </c>
      <c r="B1727">
        <v>20251205</v>
      </c>
      <c r="C1727">
        <v>800</v>
      </c>
      <c r="D1727">
        <v>861256.58</v>
      </c>
      <c r="E1727" s="123" t="s">
        <v>1566</v>
      </c>
      <c r="F1727" s="123" t="s">
        <v>1578</v>
      </c>
      <c r="G1727" s="123"/>
      <c r="H1727" s="95">
        <v>45996</v>
      </c>
      <c r="I1727">
        <v>17065</v>
      </c>
      <c r="J1727" s="123" t="s">
        <v>478</v>
      </c>
      <c r="K1727" s="123" t="s">
        <v>1270</v>
      </c>
      <c r="L1727" s="123" t="e">
        <f>VLOOKUP(Fact_AUM_FyoCapital[[#This Row],[Dim_Empresas.CUIT]],'clientes SQL'!C:D,2,0)</f>
        <v>#N/A</v>
      </c>
    </row>
    <row r="1728" spans="1:12" hidden="1" x14ac:dyDescent="0.3">
      <c r="A1728">
        <v>2606009</v>
      </c>
      <c r="B1728">
        <v>20251205</v>
      </c>
      <c r="C1728">
        <v>7742</v>
      </c>
      <c r="D1728">
        <v>44198.44</v>
      </c>
      <c r="E1728" s="123" t="s">
        <v>1566</v>
      </c>
      <c r="F1728" s="123" t="s">
        <v>1578</v>
      </c>
      <c r="G1728" s="123"/>
      <c r="H1728" s="95">
        <v>45996</v>
      </c>
      <c r="I1728">
        <v>35045</v>
      </c>
      <c r="J1728" s="123" t="s">
        <v>1272</v>
      </c>
      <c r="K1728" s="123" t="s">
        <v>1273</v>
      </c>
      <c r="L1728" s="123" t="e">
        <f>VLOOKUP(Fact_AUM_FyoCapital[[#This Row],[Dim_Empresas.CUIT]],'clientes SQL'!C:D,2,0)</f>
        <v>#N/A</v>
      </c>
    </row>
    <row r="1729" spans="1:12" hidden="1" x14ac:dyDescent="0.3">
      <c r="A1729">
        <v>2622989</v>
      </c>
      <c r="B1729">
        <v>20251205</v>
      </c>
      <c r="C1729">
        <v>10133</v>
      </c>
      <c r="D1729">
        <v>50.45</v>
      </c>
      <c r="E1729" s="123" t="s">
        <v>1563</v>
      </c>
      <c r="F1729" s="123" t="s">
        <v>950</v>
      </c>
      <c r="G1729" s="123"/>
      <c r="H1729" s="95">
        <v>45996</v>
      </c>
      <c r="I1729">
        <v>35598</v>
      </c>
      <c r="J1729" s="123" t="s">
        <v>371</v>
      </c>
      <c r="K1729" s="123" t="s">
        <v>1236</v>
      </c>
      <c r="L1729" s="123" t="e">
        <f>VLOOKUP(Fact_AUM_FyoCapital[[#This Row],[Dim_Empresas.CUIT]],'clientes SQL'!C:D,2,0)</f>
        <v>#N/A</v>
      </c>
    </row>
    <row r="1730" spans="1:12" hidden="1" x14ac:dyDescent="0.3">
      <c r="A1730">
        <v>1897117</v>
      </c>
      <c r="B1730">
        <v>20251205</v>
      </c>
      <c r="C1730">
        <v>10253</v>
      </c>
      <c r="D1730">
        <v>104118.8832398317</v>
      </c>
      <c r="E1730" s="123" t="s">
        <v>1566</v>
      </c>
      <c r="F1730" s="123" t="s">
        <v>1573</v>
      </c>
      <c r="G1730" s="123"/>
      <c r="H1730" s="95">
        <v>45996</v>
      </c>
      <c r="I1730">
        <v>35643</v>
      </c>
      <c r="J1730" s="123" t="s">
        <v>603</v>
      </c>
      <c r="K1730" s="123" t="s">
        <v>1220</v>
      </c>
      <c r="L1730" s="123" t="e">
        <f>VLOOKUP(Fact_AUM_FyoCapital[[#This Row],[Dim_Empresas.CUIT]],'clientes SQL'!C:D,2,0)</f>
        <v>#N/A</v>
      </c>
    </row>
    <row r="1731" spans="1:12" hidden="1" x14ac:dyDescent="0.3">
      <c r="A1731">
        <v>2642609</v>
      </c>
      <c r="B1731">
        <v>20251205</v>
      </c>
      <c r="C1731">
        <v>2817</v>
      </c>
      <c r="D1731">
        <v>0.70666199158485277</v>
      </c>
      <c r="E1731" s="123" t="s">
        <v>1563</v>
      </c>
      <c r="F1731" s="123" t="s">
        <v>185</v>
      </c>
      <c r="G1731" s="123"/>
      <c r="H1731" s="95">
        <v>45996</v>
      </c>
      <c r="I1731">
        <v>31142</v>
      </c>
      <c r="J1731" s="123" t="s">
        <v>438</v>
      </c>
      <c r="K1731" s="123" t="s">
        <v>1197</v>
      </c>
      <c r="L1731" s="123" t="e">
        <f>VLOOKUP(Fact_AUM_FyoCapital[[#This Row],[Dim_Empresas.CUIT]],'clientes SQL'!C:D,2,0)</f>
        <v>#N/A</v>
      </c>
    </row>
    <row r="1732" spans="1:12" hidden="1" x14ac:dyDescent="0.3">
      <c r="A1732">
        <v>1841737</v>
      </c>
      <c r="B1732">
        <v>20251205</v>
      </c>
      <c r="C1732">
        <v>6999</v>
      </c>
      <c r="D1732">
        <v>2489.3200000000002</v>
      </c>
      <c r="E1732" s="123" t="s">
        <v>1566</v>
      </c>
      <c r="F1732" s="123" t="s">
        <v>1571</v>
      </c>
      <c r="G1732" s="123"/>
      <c r="H1732" s="95">
        <v>45996</v>
      </c>
      <c r="I1732">
        <v>34695</v>
      </c>
      <c r="J1732" s="123" t="s">
        <v>325</v>
      </c>
      <c r="K1732" s="123" t="s">
        <v>1267</v>
      </c>
      <c r="L1732" s="123" t="e">
        <f>VLOOKUP(Fact_AUM_FyoCapital[[#This Row],[Dim_Empresas.CUIT]],'clientes SQL'!C:D,2,0)</f>
        <v>#N/A</v>
      </c>
    </row>
    <row r="1733" spans="1:12" hidden="1" x14ac:dyDescent="0.3">
      <c r="A1733">
        <v>1503124</v>
      </c>
      <c r="B1733">
        <v>20251205</v>
      </c>
      <c r="C1733">
        <v>5251</v>
      </c>
      <c r="D1733">
        <v>41309.030266479662</v>
      </c>
      <c r="E1733" s="123" t="s">
        <v>1564</v>
      </c>
      <c r="F1733" s="123" t="s">
        <v>1581</v>
      </c>
      <c r="G1733" s="123"/>
      <c r="H1733" s="95">
        <v>45996</v>
      </c>
      <c r="I1733">
        <v>33173</v>
      </c>
      <c r="J1733" s="123" t="s">
        <v>341</v>
      </c>
      <c r="K1733" s="123" t="s">
        <v>1318</v>
      </c>
      <c r="L1733" s="123" t="e">
        <f>VLOOKUP(Fact_AUM_FyoCapital[[#This Row],[Dim_Empresas.CUIT]],'clientes SQL'!C:D,2,0)</f>
        <v>#N/A</v>
      </c>
    </row>
    <row r="1734" spans="1:12" hidden="1" x14ac:dyDescent="0.3">
      <c r="A1734">
        <v>1869577</v>
      </c>
      <c r="B1734">
        <v>20251205</v>
      </c>
      <c r="C1734">
        <v>13361</v>
      </c>
      <c r="D1734">
        <v>514.96</v>
      </c>
      <c r="E1734" s="123" t="s">
        <v>1566</v>
      </c>
      <c r="F1734" s="123" t="s">
        <v>1571</v>
      </c>
      <c r="G1734" s="123"/>
      <c r="H1734" s="95">
        <v>45996</v>
      </c>
      <c r="I1734">
        <v>36541</v>
      </c>
      <c r="J1734" s="123" t="s">
        <v>454</v>
      </c>
      <c r="K1734" s="123" t="s">
        <v>1322</v>
      </c>
      <c r="L1734" s="123" t="e">
        <f>VLOOKUP(Fact_AUM_FyoCapital[[#This Row],[Dim_Empresas.CUIT]],'clientes SQL'!C:D,2,0)</f>
        <v>#N/A</v>
      </c>
    </row>
    <row r="1735" spans="1:12" hidden="1" x14ac:dyDescent="0.3">
      <c r="A1735">
        <v>1840237</v>
      </c>
      <c r="B1735">
        <v>20251205</v>
      </c>
      <c r="C1735">
        <v>5251</v>
      </c>
      <c r="D1735">
        <v>0</v>
      </c>
      <c r="E1735" s="123"/>
      <c r="F1735" s="123"/>
      <c r="G1735" s="123"/>
      <c r="H1735" s="95">
        <v>45996</v>
      </c>
      <c r="I1735">
        <v>33173</v>
      </c>
      <c r="J1735" s="123" t="s">
        <v>341</v>
      </c>
      <c r="K1735" s="123" t="s">
        <v>1318</v>
      </c>
      <c r="L1735" s="123" t="e">
        <f>VLOOKUP(Fact_AUM_FyoCapital[[#This Row],[Dim_Empresas.CUIT]],'clientes SQL'!C:D,2,0)</f>
        <v>#N/A</v>
      </c>
    </row>
    <row r="1736" spans="1:12" hidden="1" x14ac:dyDescent="0.3">
      <c r="A1736">
        <v>1828477</v>
      </c>
      <c r="B1736">
        <v>20251205</v>
      </c>
      <c r="C1736">
        <v>5383</v>
      </c>
      <c r="D1736">
        <v>12794.737026647967</v>
      </c>
      <c r="E1736" s="123" t="s">
        <v>1566</v>
      </c>
      <c r="F1736" s="123" t="s">
        <v>1573</v>
      </c>
      <c r="G1736" s="123"/>
      <c r="H1736" s="95">
        <v>45996</v>
      </c>
      <c r="I1736">
        <v>33182</v>
      </c>
      <c r="J1736" s="123" t="s">
        <v>238</v>
      </c>
      <c r="K1736" s="123" t="s">
        <v>1167</v>
      </c>
      <c r="L1736" s="123" t="e">
        <f>VLOOKUP(Fact_AUM_FyoCapital[[#This Row],[Dim_Empresas.CUIT]],'clientes SQL'!C:D,2,0)</f>
        <v>#N/A</v>
      </c>
    </row>
    <row r="1737" spans="1:12" hidden="1" x14ac:dyDescent="0.3">
      <c r="A1737">
        <v>2633789</v>
      </c>
      <c r="B1737">
        <v>20251205</v>
      </c>
      <c r="C1737">
        <v>95</v>
      </c>
      <c r="D1737">
        <v>-481126.65</v>
      </c>
      <c r="E1737" s="123" t="s">
        <v>1563</v>
      </c>
      <c r="F1737" s="123" t="s">
        <v>801</v>
      </c>
      <c r="G1737" s="123"/>
      <c r="H1737" s="95">
        <v>45996</v>
      </c>
      <c r="I1737">
        <v>708</v>
      </c>
      <c r="J1737" s="123" t="s">
        <v>1241</v>
      </c>
      <c r="K1737" s="123" t="s">
        <v>1242</v>
      </c>
      <c r="L1737" s="123" t="e">
        <f>VLOOKUP(Fact_AUM_FyoCapital[[#This Row],[Dim_Empresas.CUIT]],'clientes SQL'!C:D,2,0)</f>
        <v>#N/A</v>
      </c>
    </row>
    <row r="1738" spans="1:12" hidden="1" x14ac:dyDescent="0.3">
      <c r="A1738">
        <v>1863637</v>
      </c>
      <c r="B1738">
        <v>20251205</v>
      </c>
      <c r="C1738">
        <v>2299</v>
      </c>
      <c r="D1738">
        <v>34.42</v>
      </c>
      <c r="E1738" s="123" t="s">
        <v>1566</v>
      </c>
      <c r="F1738" s="123" t="s">
        <v>1571</v>
      </c>
      <c r="G1738" s="123"/>
      <c r="H1738" s="95">
        <v>45996</v>
      </c>
      <c r="I1738">
        <v>30388</v>
      </c>
      <c r="J1738" s="123" t="s">
        <v>290</v>
      </c>
      <c r="K1738" s="123" t="s">
        <v>1160</v>
      </c>
      <c r="L1738" s="123" t="e">
        <f>VLOOKUP(Fact_AUM_FyoCapital[[#This Row],[Dim_Empresas.CUIT]],'clientes SQL'!C:D,2,0)</f>
        <v>#N/A</v>
      </c>
    </row>
    <row r="1739" spans="1:12" hidden="1" x14ac:dyDescent="0.3">
      <c r="A1739">
        <v>1862677</v>
      </c>
      <c r="B1739">
        <v>20251205</v>
      </c>
      <c r="C1739">
        <v>682</v>
      </c>
      <c r="D1739">
        <v>0</v>
      </c>
      <c r="E1739" s="123"/>
      <c r="F1739" s="123"/>
      <c r="G1739" s="123"/>
      <c r="H1739" s="95">
        <v>45996</v>
      </c>
      <c r="I1739">
        <v>9775</v>
      </c>
      <c r="J1739" s="123" t="s">
        <v>287</v>
      </c>
      <c r="K1739" s="123" t="s">
        <v>1320</v>
      </c>
      <c r="L1739" s="123" t="e">
        <f>VLOOKUP(Fact_AUM_FyoCapital[[#This Row],[Dim_Empresas.CUIT]],'clientes SQL'!C:D,2,0)</f>
        <v>#N/A</v>
      </c>
    </row>
    <row r="1740" spans="1:12" hidden="1" x14ac:dyDescent="0.3">
      <c r="A1740">
        <v>1857757</v>
      </c>
      <c r="B1740">
        <v>20251205</v>
      </c>
      <c r="C1740">
        <v>1191</v>
      </c>
      <c r="D1740">
        <v>0</v>
      </c>
      <c r="E1740" s="123"/>
      <c r="F1740" s="123"/>
      <c r="G1740" s="123"/>
      <c r="H1740" s="95">
        <v>45996</v>
      </c>
      <c r="I1740">
        <v>18954</v>
      </c>
      <c r="J1740" s="123" t="s">
        <v>1247</v>
      </c>
      <c r="K1740" s="123" t="s">
        <v>1248</v>
      </c>
      <c r="L1740" s="123" t="e">
        <f>VLOOKUP(Fact_AUM_FyoCapital[[#This Row],[Dim_Empresas.CUIT]],'clientes SQL'!C:D,2,0)</f>
        <v>#N/A</v>
      </c>
    </row>
    <row r="1741" spans="1:12" hidden="1" x14ac:dyDescent="0.3">
      <c r="A1741">
        <v>2615909</v>
      </c>
      <c r="B1741">
        <v>20251205</v>
      </c>
      <c r="C1741">
        <v>2027</v>
      </c>
      <c r="D1741">
        <v>1.1433380084151474</v>
      </c>
      <c r="E1741" s="123" t="s">
        <v>1563</v>
      </c>
      <c r="F1741" s="123" t="s">
        <v>185</v>
      </c>
      <c r="G1741" s="123"/>
      <c r="H1741" s="95">
        <v>45996</v>
      </c>
      <c r="I1741">
        <v>20888</v>
      </c>
      <c r="J1741" s="123" t="s">
        <v>358</v>
      </c>
      <c r="K1741" s="123" t="s">
        <v>1268</v>
      </c>
      <c r="L1741" s="123" t="e">
        <f>VLOOKUP(Fact_AUM_FyoCapital[[#This Row],[Dim_Empresas.CUIT]],'clientes SQL'!C:D,2,0)</f>
        <v>#N/A</v>
      </c>
    </row>
    <row r="1742" spans="1:12" hidden="1" x14ac:dyDescent="0.3">
      <c r="A1742">
        <v>1902457</v>
      </c>
      <c r="B1742">
        <v>20251205</v>
      </c>
      <c r="C1742">
        <v>14873</v>
      </c>
      <c r="D1742">
        <v>3636.7040673211782</v>
      </c>
      <c r="E1742" s="123" t="s">
        <v>1566</v>
      </c>
      <c r="F1742" s="123" t="s">
        <v>1580</v>
      </c>
      <c r="G1742" s="123"/>
      <c r="H1742" s="95">
        <v>45996</v>
      </c>
      <c r="I1742">
        <v>37088</v>
      </c>
      <c r="J1742" s="123" t="s">
        <v>571</v>
      </c>
      <c r="K1742" s="123" t="s">
        <v>1269</v>
      </c>
      <c r="L1742" s="123" t="e">
        <f>VLOOKUP(Fact_AUM_FyoCapital[[#This Row],[Dim_Empresas.CUIT]],'clientes SQL'!C:D,2,0)</f>
        <v>#N/A</v>
      </c>
    </row>
    <row r="1743" spans="1:12" hidden="1" x14ac:dyDescent="0.3">
      <c r="A1743">
        <v>1869037</v>
      </c>
      <c r="B1743">
        <v>20251205</v>
      </c>
      <c r="C1743">
        <v>13361</v>
      </c>
      <c r="D1743">
        <v>0.98</v>
      </c>
      <c r="E1743" s="123" t="s">
        <v>1566</v>
      </c>
      <c r="F1743" s="123" t="s">
        <v>1571</v>
      </c>
      <c r="G1743" s="123"/>
      <c r="H1743" s="95">
        <v>45996</v>
      </c>
      <c r="I1743">
        <v>36541</v>
      </c>
      <c r="J1743" s="123" t="s">
        <v>454</v>
      </c>
      <c r="K1743" s="123" t="s">
        <v>1322</v>
      </c>
      <c r="L1743" s="123" t="e">
        <f>VLOOKUP(Fact_AUM_FyoCapital[[#This Row],[Dim_Empresas.CUIT]],'clientes SQL'!C:D,2,0)</f>
        <v>#N/A</v>
      </c>
    </row>
    <row r="1744" spans="1:12" hidden="1" x14ac:dyDescent="0.3">
      <c r="A1744">
        <v>1871017</v>
      </c>
      <c r="B1744">
        <v>20251205</v>
      </c>
      <c r="C1744">
        <v>13361</v>
      </c>
      <c r="D1744" s="6">
        <v>5381.2191865357645</v>
      </c>
      <c r="E1744" s="123" t="s">
        <v>1568</v>
      </c>
      <c r="F1744" s="123" t="s">
        <v>1575</v>
      </c>
      <c r="G1744" s="123" t="s">
        <v>1574</v>
      </c>
      <c r="H1744" s="95">
        <v>45996</v>
      </c>
      <c r="I1744">
        <v>36541</v>
      </c>
      <c r="J1744" s="123" t="s">
        <v>454</v>
      </c>
      <c r="K1744" s="123" t="s">
        <v>1322</v>
      </c>
      <c r="L1744" s="123" t="e">
        <f>VLOOKUP(Fact_AUM_FyoCapital[[#This Row],[Dim_Empresas.CUIT]],'clientes SQL'!C:D,2,0)</f>
        <v>#N/A</v>
      </c>
    </row>
    <row r="1745" spans="1:12" hidden="1" x14ac:dyDescent="0.3">
      <c r="A1745">
        <v>1880737</v>
      </c>
      <c r="B1745">
        <v>20251205</v>
      </c>
      <c r="C1745">
        <v>1546</v>
      </c>
      <c r="D1745">
        <v>0</v>
      </c>
      <c r="E1745" s="123"/>
      <c r="F1745" s="123"/>
      <c r="G1745" s="123"/>
      <c r="H1745" s="95">
        <v>45996</v>
      </c>
      <c r="I1745">
        <v>18554</v>
      </c>
      <c r="J1745" s="123" t="s">
        <v>550</v>
      </c>
      <c r="K1745" s="123" t="s">
        <v>1394</v>
      </c>
      <c r="L1745" s="123" t="e">
        <f>VLOOKUP(Fact_AUM_FyoCapital[[#This Row],[Dim_Empresas.CUIT]],'clientes SQL'!C:D,2,0)</f>
        <v>#N/A</v>
      </c>
    </row>
    <row r="1746" spans="1:12" hidden="1" x14ac:dyDescent="0.3">
      <c r="A1746">
        <v>1853677</v>
      </c>
      <c r="B1746">
        <v>20251205</v>
      </c>
      <c r="C1746">
        <v>5747</v>
      </c>
      <c r="D1746">
        <v>1781.6762833099579</v>
      </c>
      <c r="E1746" s="123" t="s">
        <v>1568</v>
      </c>
      <c r="F1746" s="123" t="s">
        <v>1572</v>
      </c>
      <c r="G1746" s="123" t="s">
        <v>1574</v>
      </c>
      <c r="H1746" s="95">
        <v>45996</v>
      </c>
      <c r="I1746">
        <v>33986</v>
      </c>
      <c r="J1746" s="123" t="s">
        <v>1417</v>
      </c>
      <c r="K1746" s="123" t="s">
        <v>1418</v>
      </c>
      <c r="L1746" s="123" t="e">
        <f>VLOOKUP(Fact_AUM_FyoCapital[[#This Row],[Dim_Empresas.CUIT]],'clientes SQL'!C:D,2,0)</f>
        <v>#N/A</v>
      </c>
    </row>
    <row r="1747" spans="1:12" hidden="1" x14ac:dyDescent="0.3">
      <c r="A1747">
        <v>1885477</v>
      </c>
      <c r="B1747">
        <v>20251205</v>
      </c>
      <c r="C1747">
        <v>3288</v>
      </c>
      <c r="D1747">
        <v>11252.062868162693</v>
      </c>
      <c r="E1747" s="123" t="s">
        <v>1568</v>
      </c>
      <c r="F1747" s="123" t="s">
        <v>1572</v>
      </c>
      <c r="G1747" s="123" t="s">
        <v>1574</v>
      </c>
      <c r="H1747" s="95">
        <v>45996</v>
      </c>
      <c r="I1747">
        <v>31716</v>
      </c>
      <c r="J1747" s="123" t="s">
        <v>544</v>
      </c>
      <c r="K1747" s="123" t="s">
        <v>1353</v>
      </c>
      <c r="L1747" s="123" t="e">
        <f>VLOOKUP(Fact_AUM_FyoCapital[[#This Row],[Dim_Empresas.CUIT]],'clientes SQL'!C:D,2,0)</f>
        <v>#N/A</v>
      </c>
    </row>
    <row r="1748" spans="1:12" hidden="1" x14ac:dyDescent="0.3">
      <c r="A1748">
        <v>1858357</v>
      </c>
      <c r="B1748">
        <v>20251205</v>
      </c>
      <c r="C1748">
        <v>1191</v>
      </c>
      <c r="D1748">
        <v>21496.87</v>
      </c>
      <c r="E1748" s="123" t="s">
        <v>1566</v>
      </c>
      <c r="F1748" s="123" t="s">
        <v>1579</v>
      </c>
      <c r="G1748" s="123"/>
      <c r="H1748" s="95">
        <v>45996</v>
      </c>
      <c r="I1748">
        <v>18954</v>
      </c>
      <c r="J1748" s="123" t="s">
        <v>1247</v>
      </c>
      <c r="K1748" s="123" t="s">
        <v>1248</v>
      </c>
      <c r="L1748" s="123" t="e">
        <f>VLOOKUP(Fact_AUM_FyoCapital[[#This Row],[Dim_Empresas.CUIT]],'clientes SQL'!C:D,2,0)</f>
        <v>#N/A</v>
      </c>
    </row>
    <row r="1749" spans="1:12" hidden="1" x14ac:dyDescent="0.3">
      <c r="A1749">
        <v>1856257</v>
      </c>
      <c r="B1749">
        <v>20251205</v>
      </c>
      <c r="C1749">
        <v>12527</v>
      </c>
      <c r="D1749">
        <v>1.5357643758765777E-3</v>
      </c>
      <c r="E1749" s="123" t="s">
        <v>1568</v>
      </c>
      <c r="F1749" s="123" t="s">
        <v>1572</v>
      </c>
      <c r="G1749" s="123" t="s">
        <v>1583</v>
      </c>
      <c r="H1749" s="95">
        <v>45996</v>
      </c>
      <c r="I1749">
        <v>35790</v>
      </c>
      <c r="J1749" s="123" t="s">
        <v>376</v>
      </c>
      <c r="K1749" s="123" t="s">
        <v>1407</v>
      </c>
      <c r="L1749" s="123" t="e">
        <f>VLOOKUP(Fact_AUM_FyoCapital[[#This Row],[Dim_Empresas.CUIT]],'clientes SQL'!C:D,2,0)</f>
        <v>#N/A</v>
      </c>
    </row>
    <row r="1750" spans="1:12" hidden="1" x14ac:dyDescent="0.3">
      <c r="A1750">
        <v>1841317</v>
      </c>
      <c r="B1750">
        <v>20251205</v>
      </c>
      <c r="C1750">
        <v>5251</v>
      </c>
      <c r="D1750">
        <v>502695.67</v>
      </c>
      <c r="E1750" s="123" t="s">
        <v>1566</v>
      </c>
      <c r="F1750" s="123" t="s">
        <v>1579</v>
      </c>
      <c r="G1750" s="123"/>
      <c r="H1750" s="95">
        <v>45996</v>
      </c>
      <c r="I1750">
        <v>33173</v>
      </c>
      <c r="J1750" s="123" t="s">
        <v>341</v>
      </c>
      <c r="K1750" s="123" t="s">
        <v>1318</v>
      </c>
      <c r="L1750" s="123" t="e">
        <f>VLOOKUP(Fact_AUM_FyoCapital[[#This Row],[Dim_Empresas.CUIT]],'clientes SQL'!C:D,2,0)</f>
        <v>#N/A</v>
      </c>
    </row>
    <row r="1751" spans="1:12" hidden="1" x14ac:dyDescent="0.3">
      <c r="A1751">
        <v>1863157</v>
      </c>
      <c r="B1751">
        <v>20251205</v>
      </c>
      <c r="C1751">
        <v>682</v>
      </c>
      <c r="D1751">
        <v>7701.1332047685828</v>
      </c>
      <c r="E1751" s="123" t="s">
        <v>1568</v>
      </c>
      <c r="F1751" s="123" t="s">
        <v>1569</v>
      </c>
      <c r="G1751" s="123" t="s">
        <v>1570</v>
      </c>
      <c r="H1751" s="95">
        <v>45996</v>
      </c>
      <c r="I1751">
        <v>9775</v>
      </c>
      <c r="J1751" s="123" t="s">
        <v>287</v>
      </c>
      <c r="K1751" s="123" t="s">
        <v>1320</v>
      </c>
      <c r="L1751" s="123" t="e">
        <f>VLOOKUP(Fact_AUM_FyoCapital[[#This Row],[Dim_Empresas.CUIT]],'clientes SQL'!C:D,2,0)</f>
        <v>#N/A</v>
      </c>
    </row>
    <row r="1752" spans="1:12" hidden="1" x14ac:dyDescent="0.3">
      <c r="A1752">
        <v>1854577</v>
      </c>
      <c r="B1752">
        <v>20251205</v>
      </c>
      <c r="C1752">
        <v>10133</v>
      </c>
      <c r="D1752">
        <v>587.63211781206178</v>
      </c>
      <c r="E1752" s="123" t="s">
        <v>1568</v>
      </c>
      <c r="F1752" s="123" t="s">
        <v>1572</v>
      </c>
      <c r="G1752" s="123" t="s">
        <v>1570</v>
      </c>
      <c r="H1752" s="95">
        <v>45996</v>
      </c>
      <c r="I1752">
        <v>35598</v>
      </c>
      <c r="J1752" s="123" t="s">
        <v>371</v>
      </c>
      <c r="K1752" s="123" t="s">
        <v>1236</v>
      </c>
      <c r="L1752" s="123" t="e">
        <f>VLOOKUP(Fact_AUM_FyoCapital[[#This Row],[Dim_Empresas.CUIT]],'clientes SQL'!C:D,2,0)</f>
        <v>#N/A</v>
      </c>
    </row>
    <row r="1753" spans="1:12" hidden="1" x14ac:dyDescent="0.3">
      <c r="A1753">
        <v>2625989</v>
      </c>
      <c r="B1753">
        <v>20251205</v>
      </c>
      <c r="C1753">
        <v>1437</v>
      </c>
      <c r="D1753">
        <v>-31490.308856942498</v>
      </c>
      <c r="E1753" s="123" t="s">
        <v>1563</v>
      </c>
      <c r="F1753" s="123" t="s">
        <v>185</v>
      </c>
      <c r="G1753" s="123"/>
      <c r="H1753" s="95">
        <v>45996</v>
      </c>
      <c r="I1753">
        <v>19791</v>
      </c>
      <c r="J1753" s="123" t="s">
        <v>172</v>
      </c>
      <c r="K1753" s="123" t="s">
        <v>1223</v>
      </c>
      <c r="L1753" s="123">
        <f>VLOOKUP(Fact_AUM_FyoCapital[[#This Row],[Dim_Empresas.CUIT]],'clientes SQL'!C:D,2,0)</f>
        <v>20176</v>
      </c>
    </row>
    <row r="1754" spans="1:12" hidden="1" x14ac:dyDescent="0.3">
      <c r="A1754">
        <v>1881277</v>
      </c>
      <c r="B1754">
        <v>20251205</v>
      </c>
      <c r="C1754">
        <v>1546</v>
      </c>
      <c r="D1754">
        <v>0</v>
      </c>
      <c r="E1754" s="123"/>
      <c r="F1754" s="123"/>
      <c r="G1754" s="123"/>
      <c r="H1754" s="95">
        <v>45996</v>
      </c>
      <c r="I1754">
        <v>18554</v>
      </c>
      <c r="J1754" s="123" t="s">
        <v>550</v>
      </c>
      <c r="K1754" s="123" t="s">
        <v>1394</v>
      </c>
      <c r="L1754" s="123" t="e">
        <f>VLOOKUP(Fact_AUM_FyoCapital[[#This Row],[Dim_Empresas.CUIT]],'clientes SQL'!C:D,2,0)</f>
        <v>#N/A</v>
      </c>
    </row>
    <row r="1755" spans="1:12" hidden="1" x14ac:dyDescent="0.3">
      <c r="A1755">
        <v>2618729</v>
      </c>
      <c r="B1755">
        <v>20251205</v>
      </c>
      <c r="C1755">
        <v>15233</v>
      </c>
      <c r="D1755">
        <v>0.94</v>
      </c>
      <c r="E1755" s="123" t="s">
        <v>1563</v>
      </c>
      <c r="F1755" s="123" t="s">
        <v>950</v>
      </c>
      <c r="G1755" s="123"/>
      <c r="H1755" s="95">
        <v>45996</v>
      </c>
      <c r="I1755">
        <v>37359</v>
      </c>
      <c r="J1755" s="123" t="s">
        <v>710</v>
      </c>
      <c r="K1755" s="123" t="s">
        <v>1232</v>
      </c>
      <c r="L1755" s="123" t="e">
        <f>VLOOKUP(Fact_AUM_FyoCapital[[#This Row],[Dim_Empresas.CUIT]],'clientes SQL'!C:D,2,0)</f>
        <v>#N/A</v>
      </c>
    </row>
    <row r="1756" spans="1:12" hidden="1" x14ac:dyDescent="0.3">
      <c r="A1756">
        <v>1878697</v>
      </c>
      <c r="B1756">
        <v>20251205</v>
      </c>
      <c r="C1756">
        <v>737</v>
      </c>
      <c r="D1756">
        <v>61447.749025245444</v>
      </c>
      <c r="E1756" s="123" t="s">
        <v>1568</v>
      </c>
      <c r="F1756" s="123" t="s">
        <v>1572</v>
      </c>
      <c r="G1756" s="123" t="s">
        <v>1570</v>
      </c>
      <c r="H1756" s="95">
        <v>45996</v>
      </c>
      <c r="I1756">
        <v>16298</v>
      </c>
      <c r="J1756" s="123" t="s">
        <v>521</v>
      </c>
      <c r="K1756" s="123" t="s">
        <v>1400</v>
      </c>
      <c r="L1756" s="123" t="e">
        <f>VLOOKUP(Fact_AUM_FyoCapital[[#This Row],[Dim_Empresas.CUIT]],'clientes SQL'!C:D,2,0)</f>
        <v>#N/A</v>
      </c>
    </row>
    <row r="1757" spans="1:12" hidden="1" x14ac:dyDescent="0.3">
      <c r="A1757">
        <v>1888777</v>
      </c>
      <c r="B1757">
        <v>20251205</v>
      </c>
      <c r="C1757">
        <v>16751</v>
      </c>
      <c r="D1757">
        <v>24.398050490883591</v>
      </c>
      <c r="E1757" s="123" t="s">
        <v>1568</v>
      </c>
      <c r="F1757" s="123" t="s">
        <v>1572</v>
      </c>
      <c r="G1757" s="123" t="s">
        <v>1570</v>
      </c>
      <c r="H1757" s="95">
        <v>45996</v>
      </c>
      <c r="I1757">
        <v>38048</v>
      </c>
      <c r="J1757" s="123" t="s">
        <v>858</v>
      </c>
      <c r="K1757" s="123" t="s">
        <v>1372</v>
      </c>
      <c r="L1757" s="123" t="e">
        <f>VLOOKUP(Fact_AUM_FyoCapital[[#This Row],[Dim_Empresas.CUIT]],'clientes SQL'!C:D,2,0)</f>
        <v>#N/A</v>
      </c>
    </row>
    <row r="1758" spans="1:12" hidden="1" x14ac:dyDescent="0.3">
      <c r="A1758">
        <v>2614169</v>
      </c>
      <c r="B1758">
        <v>20251205</v>
      </c>
      <c r="C1758">
        <v>2145</v>
      </c>
      <c r="D1758">
        <v>12625.24</v>
      </c>
      <c r="E1758" s="123" t="s">
        <v>1563</v>
      </c>
      <c r="F1758" s="123" t="s">
        <v>801</v>
      </c>
      <c r="G1758" s="123"/>
      <c r="H1758" s="95">
        <v>45996</v>
      </c>
      <c r="I1758">
        <v>30078</v>
      </c>
      <c r="J1758" s="123" t="s">
        <v>342</v>
      </c>
      <c r="K1758" s="123" t="s">
        <v>1276</v>
      </c>
      <c r="L1758" s="123" t="e">
        <f>VLOOKUP(Fact_AUM_FyoCapital[[#This Row],[Dim_Empresas.CUIT]],'clientes SQL'!C:D,2,0)</f>
        <v>#N/A</v>
      </c>
    </row>
    <row r="1759" spans="1:12" hidden="1" x14ac:dyDescent="0.3">
      <c r="A1759">
        <v>2630129</v>
      </c>
      <c r="B1759">
        <v>20251205</v>
      </c>
      <c r="C1759">
        <v>2109</v>
      </c>
      <c r="D1759">
        <v>9.7966339410939692E-3</v>
      </c>
      <c r="E1759" s="123" t="s">
        <v>1563</v>
      </c>
      <c r="F1759" s="123" t="s">
        <v>185</v>
      </c>
      <c r="G1759" s="123"/>
      <c r="H1759" s="95">
        <v>45996</v>
      </c>
      <c r="I1759">
        <v>20716</v>
      </c>
      <c r="J1759" s="123" t="s">
        <v>323</v>
      </c>
      <c r="K1759" s="123" t="s">
        <v>1388</v>
      </c>
      <c r="L1759" s="123" t="e">
        <f>VLOOKUP(Fact_AUM_FyoCapital[[#This Row],[Dim_Empresas.CUIT]],'clientes SQL'!C:D,2,0)</f>
        <v>#N/A</v>
      </c>
    </row>
    <row r="1760" spans="1:12" hidden="1" x14ac:dyDescent="0.3">
      <c r="A1760">
        <v>1897597</v>
      </c>
      <c r="B1760">
        <v>20251205</v>
      </c>
      <c r="C1760">
        <v>12617</v>
      </c>
      <c r="D1760">
        <v>178680000</v>
      </c>
      <c r="E1760" s="123" t="s">
        <v>1566</v>
      </c>
      <c r="F1760" s="123" t="s">
        <v>1579</v>
      </c>
      <c r="G1760" s="123"/>
      <c r="H1760" s="95">
        <v>45996</v>
      </c>
      <c r="I1760">
        <v>35876</v>
      </c>
      <c r="J1760" s="123" t="s">
        <v>1512</v>
      </c>
      <c r="K1760" s="123" t="s">
        <v>1516</v>
      </c>
      <c r="L1760" s="123" t="e">
        <f>VLOOKUP(Fact_AUM_FyoCapital[[#This Row],[Dim_Empresas.CUIT]],'clientes SQL'!C:D,2,0)</f>
        <v>#N/A</v>
      </c>
    </row>
    <row r="1761" spans="1:12" hidden="1" x14ac:dyDescent="0.3">
      <c r="A1761">
        <v>1827817</v>
      </c>
      <c r="B1761">
        <v>20251205</v>
      </c>
      <c r="C1761">
        <v>5383</v>
      </c>
      <c r="D1761">
        <v>1685.8906030855539</v>
      </c>
      <c r="E1761" s="123" t="s">
        <v>1566</v>
      </c>
      <c r="F1761" s="123" t="s">
        <v>1573</v>
      </c>
      <c r="G1761" s="123"/>
      <c r="H1761" s="95">
        <v>45996</v>
      </c>
      <c r="I1761">
        <v>33182</v>
      </c>
      <c r="J1761" s="123" t="s">
        <v>238</v>
      </c>
      <c r="K1761" s="123" t="s">
        <v>1167</v>
      </c>
      <c r="L1761" s="123" t="e">
        <f>VLOOKUP(Fact_AUM_FyoCapital[[#This Row],[Dim_Empresas.CUIT]],'clientes SQL'!C:D,2,0)</f>
        <v>#N/A</v>
      </c>
    </row>
    <row r="1762" spans="1:12" hidden="1" x14ac:dyDescent="0.3">
      <c r="A1762">
        <v>2631569</v>
      </c>
      <c r="B1762">
        <v>20251205</v>
      </c>
      <c r="C1762">
        <v>3451</v>
      </c>
      <c r="D1762">
        <v>0.78896914446002797</v>
      </c>
      <c r="E1762" s="123" t="s">
        <v>1563</v>
      </c>
      <c r="F1762" s="123" t="s">
        <v>185</v>
      </c>
      <c r="G1762" s="123"/>
      <c r="H1762" s="95">
        <v>45996</v>
      </c>
      <c r="I1762">
        <v>31905</v>
      </c>
      <c r="J1762" s="123" t="s">
        <v>1437</v>
      </c>
      <c r="K1762" s="123" t="s">
        <v>1438</v>
      </c>
      <c r="L1762" s="123" t="e">
        <f>VLOOKUP(Fact_AUM_FyoCapital[[#This Row],[Dim_Empresas.CUIT]],'clientes SQL'!C:D,2,0)</f>
        <v>#N/A</v>
      </c>
    </row>
    <row r="1763" spans="1:12" hidden="1" x14ac:dyDescent="0.3">
      <c r="A1763">
        <v>1873717</v>
      </c>
      <c r="B1763">
        <v>20251205</v>
      </c>
      <c r="C1763">
        <v>2109</v>
      </c>
      <c r="D1763">
        <v>0</v>
      </c>
      <c r="E1763" s="123"/>
      <c r="F1763" s="123"/>
      <c r="G1763" s="123"/>
      <c r="H1763" s="95">
        <v>45996</v>
      </c>
      <c r="I1763">
        <v>20716</v>
      </c>
      <c r="J1763" s="123" t="s">
        <v>323</v>
      </c>
      <c r="K1763" s="123" t="s">
        <v>1388</v>
      </c>
      <c r="L1763" s="123" t="e">
        <f>VLOOKUP(Fact_AUM_FyoCapital[[#This Row],[Dim_Empresas.CUIT]],'clientes SQL'!C:D,2,0)</f>
        <v>#N/A</v>
      </c>
    </row>
    <row r="1764" spans="1:12" hidden="1" x14ac:dyDescent="0.3">
      <c r="A1764">
        <v>1871677</v>
      </c>
      <c r="B1764">
        <v>20251205</v>
      </c>
      <c r="C1764">
        <v>13719</v>
      </c>
      <c r="D1764">
        <v>-48270.65</v>
      </c>
      <c r="E1764" s="123" t="s">
        <v>1566</v>
      </c>
      <c r="F1764" s="123" t="s">
        <v>1578</v>
      </c>
      <c r="G1764" s="123"/>
      <c r="H1764" s="95">
        <v>45996</v>
      </c>
      <c r="I1764">
        <v>36879</v>
      </c>
      <c r="J1764" s="123" t="s">
        <v>1340</v>
      </c>
      <c r="K1764" s="123" t="s">
        <v>1341</v>
      </c>
      <c r="L1764" s="123" t="e">
        <f>VLOOKUP(Fact_AUM_FyoCapital[[#This Row],[Dim_Empresas.CUIT]],'clientes SQL'!C:D,2,0)</f>
        <v>#N/A</v>
      </c>
    </row>
    <row r="1765" spans="1:12" hidden="1" x14ac:dyDescent="0.3">
      <c r="A1765">
        <v>2638289</v>
      </c>
      <c r="B1765">
        <v>20251205</v>
      </c>
      <c r="C1765">
        <v>10253</v>
      </c>
      <c r="D1765">
        <v>-34878.970119214588</v>
      </c>
      <c r="E1765" s="123" t="s">
        <v>1563</v>
      </c>
      <c r="F1765" s="123" t="s">
        <v>185</v>
      </c>
      <c r="G1765" s="123"/>
      <c r="H1765" s="95">
        <v>45996</v>
      </c>
      <c r="I1765">
        <v>35643</v>
      </c>
      <c r="J1765" s="123" t="s">
        <v>603</v>
      </c>
      <c r="K1765" s="123" t="s">
        <v>1220</v>
      </c>
      <c r="L1765" s="123" t="e">
        <f>VLOOKUP(Fact_AUM_FyoCapital[[#This Row],[Dim_Empresas.CUIT]],'clientes SQL'!C:D,2,0)</f>
        <v>#N/A</v>
      </c>
    </row>
    <row r="1766" spans="1:12" hidden="1" x14ac:dyDescent="0.3">
      <c r="A1766">
        <v>2639489</v>
      </c>
      <c r="B1766">
        <v>20251205</v>
      </c>
      <c r="C1766">
        <v>13188</v>
      </c>
      <c r="D1766">
        <v>0.39397615708274891</v>
      </c>
      <c r="E1766" s="123" t="s">
        <v>1563</v>
      </c>
      <c r="F1766" s="123" t="s">
        <v>185</v>
      </c>
      <c r="G1766" s="123"/>
      <c r="H1766" s="95">
        <v>45996</v>
      </c>
      <c r="I1766">
        <v>36372</v>
      </c>
      <c r="J1766" s="123" t="s">
        <v>573</v>
      </c>
      <c r="K1766" s="123" t="s">
        <v>1303</v>
      </c>
      <c r="L1766" s="123" t="e">
        <f>VLOOKUP(Fact_AUM_FyoCapital[[#This Row],[Dim_Empresas.CUIT]],'clientes SQL'!C:D,2,0)</f>
        <v>#N/A</v>
      </c>
    </row>
    <row r="1767" spans="1:12" hidden="1" x14ac:dyDescent="0.3">
      <c r="A1767">
        <v>2600969</v>
      </c>
      <c r="B1767">
        <v>20251205</v>
      </c>
      <c r="C1767">
        <v>15122</v>
      </c>
      <c r="D1767">
        <v>8365.7608695652179</v>
      </c>
      <c r="E1767" s="123" t="s">
        <v>1566</v>
      </c>
      <c r="F1767" s="123" t="s">
        <v>1573</v>
      </c>
      <c r="G1767" s="123"/>
      <c r="H1767" s="95">
        <v>45996</v>
      </c>
      <c r="I1767">
        <v>37263</v>
      </c>
      <c r="J1767" s="123" t="s">
        <v>1342</v>
      </c>
      <c r="K1767" s="123" t="s">
        <v>1343</v>
      </c>
      <c r="L1767" s="123" t="e">
        <f>VLOOKUP(Fact_AUM_FyoCapital[[#This Row],[Dim_Empresas.CUIT]],'clientes SQL'!C:D,2,0)</f>
        <v>#N/A</v>
      </c>
    </row>
    <row r="1768" spans="1:12" hidden="1" x14ac:dyDescent="0.3">
      <c r="A1768">
        <v>1850197</v>
      </c>
      <c r="B1768">
        <v>20251205</v>
      </c>
      <c r="C1768">
        <v>2298</v>
      </c>
      <c r="D1768">
        <v>23.764214586255257</v>
      </c>
      <c r="E1768" s="123" t="s">
        <v>1568</v>
      </c>
      <c r="F1768" s="123" t="s">
        <v>1569</v>
      </c>
      <c r="G1768" s="123" t="s">
        <v>1570</v>
      </c>
      <c r="H1768" s="95">
        <v>45996</v>
      </c>
      <c r="I1768">
        <v>30387</v>
      </c>
      <c r="J1768" s="123" t="s">
        <v>1532</v>
      </c>
      <c r="K1768" s="123" t="s">
        <v>1291</v>
      </c>
      <c r="L1768" s="123" t="e">
        <f>VLOOKUP(Fact_AUM_FyoCapital[[#This Row],[Dim_Empresas.CUIT]],'clientes SQL'!C:D,2,0)</f>
        <v>#N/A</v>
      </c>
    </row>
    <row r="1769" spans="1:12" hidden="1" x14ac:dyDescent="0.3">
      <c r="A1769">
        <v>2606429</v>
      </c>
      <c r="B1769">
        <v>20251205</v>
      </c>
      <c r="C1769">
        <v>7742</v>
      </c>
      <c r="D1769">
        <v>1.4025245441795232E-5</v>
      </c>
      <c r="E1769" s="123" t="s">
        <v>1568</v>
      </c>
      <c r="F1769" s="123" t="s">
        <v>1572</v>
      </c>
      <c r="G1769" s="123" t="s">
        <v>1574</v>
      </c>
      <c r="H1769" s="95">
        <v>45996</v>
      </c>
      <c r="I1769">
        <v>35045</v>
      </c>
      <c r="J1769" s="123" t="s">
        <v>1272</v>
      </c>
      <c r="K1769" s="123" t="s">
        <v>1273</v>
      </c>
      <c r="L1769" s="123" t="e">
        <f>VLOOKUP(Fact_AUM_FyoCapital[[#This Row],[Dim_Empresas.CUIT]],'clientes SQL'!C:D,2,0)</f>
        <v>#N/A</v>
      </c>
    </row>
    <row r="1770" spans="1:12" hidden="1" x14ac:dyDescent="0.3">
      <c r="A1770">
        <v>1899517</v>
      </c>
      <c r="B1770">
        <v>20251205</v>
      </c>
      <c r="C1770">
        <v>12999</v>
      </c>
      <c r="D1770">
        <v>28328.527987377278</v>
      </c>
      <c r="E1770" s="123" t="s">
        <v>1566</v>
      </c>
      <c r="F1770" s="123" t="s">
        <v>1571</v>
      </c>
      <c r="G1770" s="123"/>
      <c r="H1770" s="95">
        <v>45996</v>
      </c>
      <c r="I1770">
        <v>36209</v>
      </c>
      <c r="J1770" s="123" t="s">
        <v>586</v>
      </c>
      <c r="K1770" s="123" t="s">
        <v>1421</v>
      </c>
      <c r="L1770" s="123" t="e">
        <f>VLOOKUP(Fact_AUM_FyoCapital[[#This Row],[Dim_Empresas.CUIT]],'clientes SQL'!C:D,2,0)</f>
        <v>#N/A</v>
      </c>
    </row>
    <row r="1771" spans="1:12" hidden="1" x14ac:dyDescent="0.3">
      <c r="A1771">
        <v>1856197</v>
      </c>
      <c r="B1771">
        <v>20251205</v>
      </c>
      <c r="C1771">
        <v>12829</v>
      </c>
      <c r="D1771">
        <v>10263.17</v>
      </c>
      <c r="E1771" s="123" t="s">
        <v>1568</v>
      </c>
      <c r="F1771" s="123" t="s">
        <v>1575</v>
      </c>
      <c r="G1771" s="123" t="s">
        <v>1574</v>
      </c>
      <c r="H1771" s="95">
        <v>45996</v>
      </c>
      <c r="I1771">
        <v>36053</v>
      </c>
      <c r="J1771" s="123" t="s">
        <v>369</v>
      </c>
      <c r="K1771" s="123" t="s">
        <v>1382</v>
      </c>
      <c r="L1771" s="123" t="e">
        <f>VLOOKUP(Fact_AUM_FyoCapital[[#This Row],[Dim_Empresas.CUIT]],'clientes SQL'!C:D,2,0)</f>
        <v>#N/A</v>
      </c>
    </row>
    <row r="1772" spans="1:12" hidden="1" x14ac:dyDescent="0.3">
      <c r="A1772">
        <v>1858117</v>
      </c>
      <c r="B1772">
        <v>20251205</v>
      </c>
      <c r="C1772">
        <v>1191</v>
      </c>
      <c r="D1772">
        <v>10282.98</v>
      </c>
      <c r="E1772" s="123" t="s">
        <v>1566</v>
      </c>
      <c r="F1772" s="123" t="s">
        <v>1578</v>
      </c>
      <c r="G1772" s="123"/>
      <c r="H1772" s="95">
        <v>45996</v>
      </c>
      <c r="I1772">
        <v>18954</v>
      </c>
      <c r="J1772" s="123" t="s">
        <v>1247</v>
      </c>
      <c r="K1772" s="123" t="s">
        <v>1248</v>
      </c>
      <c r="L1772" s="123" t="e">
        <f>VLOOKUP(Fact_AUM_FyoCapital[[#This Row],[Dim_Empresas.CUIT]],'clientes SQL'!C:D,2,0)</f>
        <v>#N/A</v>
      </c>
    </row>
    <row r="1773" spans="1:12" hidden="1" x14ac:dyDescent="0.3">
      <c r="A1773">
        <v>1858417</v>
      </c>
      <c r="B1773">
        <v>20251205</v>
      </c>
      <c r="C1773">
        <v>1191</v>
      </c>
      <c r="D1773">
        <v>211625.03507012621</v>
      </c>
      <c r="E1773" s="123" t="s">
        <v>1566</v>
      </c>
      <c r="F1773" s="123" t="s">
        <v>1571</v>
      </c>
      <c r="G1773" s="123"/>
      <c r="H1773" s="95">
        <v>45996</v>
      </c>
      <c r="I1773">
        <v>18954</v>
      </c>
      <c r="J1773" s="123" t="s">
        <v>1247</v>
      </c>
      <c r="K1773" s="123" t="s">
        <v>1248</v>
      </c>
      <c r="L1773" s="123" t="e">
        <f>VLOOKUP(Fact_AUM_FyoCapital[[#This Row],[Dim_Empresas.CUIT]],'clientes SQL'!C:D,2,0)</f>
        <v>#N/A</v>
      </c>
    </row>
    <row r="1774" spans="1:12" hidden="1" x14ac:dyDescent="0.3">
      <c r="A1774">
        <v>1826377</v>
      </c>
      <c r="B1774">
        <v>20251205</v>
      </c>
      <c r="C1774">
        <v>1277</v>
      </c>
      <c r="D1774">
        <v>0</v>
      </c>
      <c r="E1774" s="123"/>
      <c r="F1774" s="123"/>
      <c r="G1774" s="123"/>
      <c r="H1774" s="95">
        <v>45996</v>
      </c>
      <c r="I1774">
        <v>19100</v>
      </c>
      <c r="J1774" s="123" t="s">
        <v>254</v>
      </c>
      <c r="K1774" s="123" t="s">
        <v>1240</v>
      </c>
      <c r="L1774" s="123" t="e">
        <f>VLOOKUP(Fact_AUM_FyoCapital[[#This Row],[Dim_Empresas.CUIT]],'clientes SQL'!C:D,2,0)</f>
        <v>#N/A</v>
      </c>
    </row>
    <row r="1775" spans="1:12" hidden="1" x14ac:dyDescent="0.3">
      <c r="A1775">
        <v>2624609</v>
      </c>
      <c r="B1775">
        <v>20251205</v>
      </c>
      <c r="C1775">
        <v>997</v>
      </c>
      <c r="D1775">
        <v>35.61</v>
      </c>
      <c r="E1775" s="123" t="s">
        <v>1563</v>
      </c>
      <c r="F1775" s="123" t="s">
        <v>188</v>
      </c>
      <c r="G1775" s="123"/>
      <c r="H1775" s="95">
        <v>45996</v>
      </c>
      <c r="I1775">
        <v>17024</v>
      </c>
      <c r="J1775" s="123" t="s">
        <v>1425</v>
      </c>
      <c r="K1775" s="123" t="s">
        <v>1426</v>
      </c>
      <c r="L1775" s="123" t="e">
        <f>VLOOKUP(Fact_AUM_FyoCapital[[#This Row],[Dim_Empresas.CUIT]],'clientes SQL'!C:D,2,0)</f>
        <v>#N/A</v>
      </c>
    </row>
    <row r="1776" spans="1:12" hidden="1" x14ac:dyDescent="0.3">
      <c r="A1776">
        <v>1872937</v>
      </c>
      <c r="B1776">
        <v>20251205</v>
      </c>
      <c r="C1776">
        <v>16273</v>
      </c>
      <c r="D1776">
        <v>2189.4167952314165</v>
      </c>
      <c r="E1776" s="123" t="s">
        <v>1566</v>
      </c>
      <c r="F1776" s="123" t="s">
        <v>1571</v>
      </c>
      <c r="G1776" s="123"/>
      <c r="H1776" s="95">
        <v>45996</v>
      </c>
      <c r="I1776">
        <v>37760</v>
      </c>
      <c r="J1776" s="123" t="s">
        <v>1349</v>
      </c>
      <c r="K1776" s="123" t="s">
        <v>1350</v>
      </c>
      <c r="L1776" s="123" t="e">
        <f>VLOOKUP(Fact_AUM_FyoCapital[[#This Row],[Dim_Empresas.CUIT]],'clientes SQL'!C:D,2,0)</f>
        <v>#N/A</v>
      </c>
    </row>
    <row r="1777" spans="1:12" hidden="1" x14ac:dyDescent="0.3">
      <c r="A1777">
        <v>1839157</v>
      </c>
      <c r="B1777">
        <v>20251205</v>
      </c>
      <c r="C1777">
        <v>5868</v>
      </c>
      <c r="D1777">
        <v>11146.897685834501</v>
      </c>
      <c r="E1777" s="123" t="s">
        <v>1566</v>
      </c>
      <c r="F1777" s="123" t="s">
        <v>1579</v>
      </c>
      <c r="G1777" s="123"/>
      <c r="H1777" s="95">
        <v>45996</v>
      </c>
      <c r="I1777">
        <v>33580</v>
      </c>
      <c r="J1777" s="123" t="s">
        <v>348</v>
      </c>
      <c r="K1777" s="123" t="s">
        <v>1277</v>
      </c>
      <c r="L1777" s="123" t="e">
        <f>VLOOKUP(Fact_AUM_FyoCapital[[#This Row],[Dim_Empresas.CUIT]],'clientes SQL'!C:D,2,0)</f>
        <v>#N/A</v>
      </c>
    </row>
    <row r="1778" spans="1:12" hidden="1" x14ac:dyDescent="0.3">
      <c r="A1778">
        <v>2627249</v>
      </c>
      <c r="B1778">
        <v>20251205</v>
      </c>
      <c r="C1778">
        <v>1361</v>
      </c>
      <c r="D1778">
        <v>250</v>
      </c>
      <c r="E1778" s="123" t="s">
        <v>1563</v>
      </c>
      <c r="F1778" s="123" t="s">
        <v>801</v>
      </c>
      <c r="G1778" s="123"/>
      <c r="H1778" s="95">
        <v>45996</v>
      </c>
      <c r="I1778">
        <v>19517</v>
      </c>
      <c r="J1778" s="123" t="s">
        <v>647</v>
      </c>
      <c r="K1778" s="123" t="s">
        <v>1399</v>
      </c>
      <c r="L1778" s="123" t="e">
        <f>VLOOKUP(Fact_AUM_FyoCapital[[#This Row],[Dim_Empresas.CUIT]],'clientes SQL'!C:D,2,0)</f>
        <v>#N/A</v>
      </c>
    </row>
    <row r="1779" spans="1:12" hidden="1" x14ac:dyDescent="0.3">
      <c r="A1779">
        <v>2637509</v>
      </c>
      <c r="B1779">
        <v>20251205</v>
      </c>
      <c r="C1779">
        <v>4241</v>
      </c>
      <c r="D1779">
        <v>0</v>
      </c>
      <c r="E1779" s="123"/>
      <c r="F1779" s="123"/>
      <c r="G1779" s="123"/>
      <c r="H1779" s="95">
        <v>45996</v>
      </c>
      <c r="I1779">
        <v>32893</v>
      </c>
      <c r="J1779" s="123" t="s">
        <v>125</v>
      </c>
      <c r="K1779" s="123" t="s">
        <v>1158</v>
      </c>
      <c r="L1779" s="123">
        <f>VLOOKUP(Fact_AUM_FyoCapital[[#This Row],[Dim_Empresas.CUIT]],'clientes SQL'!C:D,2,0)</f>
        <v>13036</v>
      </c>
    </row>
    <row r="1780" spans="1:12" hidden="1" x14ac:dyDescent="0.3">
      <c r="A1780">
        <v>1873957</v>
      </c>
      <c r="B1780">
        <v>20251205</v>
      </c>
      <c r="C1780">
        <v>2109</v>
      </c>
      <c r="D1780">
        <v>31920.527980364655</v>
      </c>
      <c r="E1780" s="123" t="s">
        <v>1568</v>
      </c>
      <c r="F1780" s="123" t="s">
        <v>1572</v>
      </c>
      <c r="G1780" s="123" t="s">
        <v>1570</v>
      </c>
      <c r="H1780" s="95">
        <v>45996</v>
      </c>
      <c r="I1780">
        <v>20716</v>
      </c>
      <c r="J1780" s="123" t="s">
        <v>323</v>
      </c>
      <c r="K1780" s="123" t="s">
        <v>1388</v>
      </c>
      <c r="L1780" s="123" t="e">
        <f>VLOOKUP(Fact_AUM_FyoCapital[[#This Row],[Dim_Empresas.CUIT]],'clientes SQL'!C:D,2,0)</f>
        <v>#N/A</v>
      </c>
    </row>
    <row r="1781" spans="1:12" hidden="1" x14ac:dyDescent="0.3">
      <c r="A1781">
        <v>1840297</v>
      </c>
      <c r="B1781">
        <v>20251205</v>
      </c>
      <c r="C1781">
        <v>5251</v>
      </c>
      <c r="D1781">
        <v>0</v>
      </c>
      <c r="E1781" s="123"/>
      <c r="F1781" s="123"/>
      <c r="G1781" s="123"/>
      <c r="H1781" s="95">
        <v>45996</v>
      </c>
      <c r="I1781">
        <v>33173</v>
      </c>
      <c r="J1781" s="123" t="s">
        <v>341</v>
      </c>
      <c r="K1781" s="123" t="s">
        <v>1318</v>
      </c>
      <c r="L1781" s="123" t="e">
        <f>VLOOKUP(Fact_AUM_FyoCapital[[#This Row],[Dim_Empresas.CUIT]],'clientes SQL'!C:D,2,0)</f>
        <v>#N/A</v>
      </c>
    </row>
    <row r="1782" spans="1:12" hidden="1" x14ac:dyDescent="0.3">
      <c r="A1782">
        <v>2640269</v>
      </c>
      <c r="B1782">
        <v>20251205</v>
      </c>
      <c r="C1782">
        <v>14876</v>
      </c>
      <c r="D1782">
        <v>732.3</v>
      </c>
      <c r="E1782" s="123" t="s">
        <v>1563</v>
      </c>
      <c r="F1782" s="123" t="s">
        <v>950</v>
      </c>
      <c r="G1782" s="123"/>
      <c r="H1782" s="95">
        <v>45996</v>
      </c>
      <c r="I1782">
        <v>37091</v>
      </c>
      <c r="J1782" s="123" t="s">
        <v>604</v>
      </c>
      <c r="K1782" s="123" t="s">
        <v>1293</v>
      </c>
      <c r="L1782" s="123" t="e">
        <f>VLOOKUP(Fact_AUM_FyoCapital[[#This Row],[Dim_Empresas.CUIT]],'clientes SQL'!C:D,2,0)</f>
        <v>#N/A</v>
      </c>
    </row>
    <row r="1783" spans="1:12" hidden="1" x14ac:dyDescent="0.3">
      <c r="A1783">
        <v>1885297</v>
      </c>
      <c r="B1783">
        <v>20251205</v>
      </c>
      <c r="C1783">
        <v>3288</v>
      </c>
      <c r="D1783">
        <v>11862.842342215989</v>
      </c>
      <c r="E1783" s="123" t="s">
        <v>1568</v>
      </c>
      <c r="F1783" s="123" t="s">
        <v>1572</v>
      </c>
      <c r="G1783" s="123" t="s">
        <v>1570</v>
      </c>
      <c r="H1783" s="95">
        <v>45996</v>
      </c>
      <c r="I1783">
        <v>31716</v>
      </c>
      <c r="J1783" s="123" t="s">
        <v>544</v>
      </c>
      <c r="K1783" s="123" t="s">
        <v>1353</v>
      </c>
      <c r="L1783" s="123" t="e">
        <f>VLOOKUP(Fact_AUM_FyoCapital[[#This Row],[Dim_Empresas.CUIT]],'clientes SQL'!C:D,2,0)</f>
        <v>#N/A</v>
      </c>
    </row>
    <row r="1784" spans="1:12" hidden="1" x14ac:dyDescent="0.3">
      <c r="A1784">
        <v>2628689</v>
      </c>
      <c r="B1784">
        <v>20251205</v>
      </c>
      <c r="C1784">
        <v>10256</v>
      </c>
      <c r="D1784">
        <v>-4.3016339410939688</v>
      </c>
      <c r="E1784" s="123" t="s">
        <v>1563</v>
      </c>
      <c r="F1784" s="123" t="s">
        <v>185</v>
      </c>
      <c r="G1784" s="123"/>
      <c r="H1784" s="95">
        <v>45996</v>
      </c>
      <c r="I1784">
        <v>35646</v>
      </c>
      <c r="J1784" s="123" t="s">
        <v>1375</v>
      </c>
      <c r="K1784" s="123" t="s">
        <v>1376</v>
      </c>
      <c r="L1784" s="123" t="e">
        <f>VLOOKUP(Fact_AUM_FyoCapital[[#This Row],[Dim_Empresas.CUIT]],'clientes SQL'!C:D,2,0)</f>
        <v>#N/A</v>
      </c>
    </row>
    <row r="1785" spans="1:12" hidden="1" x14ac:dyDescent="0.3">
      <c r="A1785">
        <v>1835677</v>
      </c>
      <c r="B1785">
        <v>20251205</v>
      </c>
      <c r="C1785">
        <v>2145</v>
      </c>
      <c r="D1785">
        <v>459788.82741234219</v>
      </c>
      <c r="E1785" s="123" t="s">
        <v>1568</v>
      </c>
      <c r="F1785" s="123" t="s">
        <v>1572</v>
      </c>
      <c r="G1785" s="123" t="s">
        <v>1570</v>
      </c>
      <c r="H1785" s="95">
        <v>45996</v>
      </c>
      <c r="I1785">
        <v>30078</v>
      </c>
      <c r="J1785" s="123" t="s">
        <v>342</v>
      </c>
      <c r="K1785" s="123" t="s">
        <v>1276</v>
      </c>
      <c r="L1785" s="123" t="e">
        <f>VLOOKUP(Fact_AUM_FyoCapital[[#This Row],[Dim_Empresas.CUIT]],'clientes SQL'!C:D,2,0)</f>
        <v>#N/A</v>
      </c>
    </row>
    <row r="1786" spans="1:12" hidden="1" x14ac:dyDescent="0.3">
      <c r="A1786">
        <v>2600429</v>
      </c>
      <c r="B1786">
        <v>20251205</v>
      </c>
      <c r="C1786">
        <v>16348</v>
      </c>
      <c r="D1786">
        <v>445.36598877980367</v>
      </c>
      <c r="E1786" s="123" t="s">
        <v>1568</v>
      </c>
      <c r="F1786" s="123" t="s">
        <v>1572</v>
      </c>
      <c r="G1786" s="123" t="s">
        <v>1570</v>
      </c>
      <c r="H1786" s="95">
        <v>45996</v>
      </c>
      <c r="I1786">
        <v>37816</v>
      </c>
      <c r="J1786" s="123" t="s">
        <v>1198</v>
      </c>
      <c r="K1786" s="123" t="s">
        <v>1199</v>
      </c>
      <c r="L1786" s="123" t="e">
        <f>VLOOKUP(Fact_AUM_FyoCapital[[#This Row],[Dim_Empresas.CUIT]],'clientes SQL'!C:D,2,0)</f>
        <v>#N/A</v>
      </c>
    </row>
    <row r="1787" spans="1:12" hidden="1" x14ac:dyDescent="0.3">
      <c r="A1787">
        <v>2635109</v>
      </c>
      <c r="B1787">
        <v>20251205</v>
      </c>
      <c r="C1787">
        <v>1605</v>
      </c>
      <c r="D1787">
        <v>2.5245441795231413E-4</v>
      </c>
      <c r="E1787" s="123" t="s">
        <v>1563</v>
      </c>
      <c r="F1787" s="123" t="s">
        <v>185</v>
      </c>
      <c r="G1787" s="123"/>
      <c r="H1787" s="95">
        <v>45996</v>
      </c>
      <c r="I1787">
        <v>20317</v>
      </c>
      <c r="J1787" s="123" t="s">
        <v>721</v>
      </c>
      <c r="K1787" s="123" t="s">
        <v>1430</v>
      </c>
      <c r="L1787" s="123" t="e">
        <f>VLOOKUP(Fact_AUM_FyoCapital[[#This Row],[Dim_Empresas.CUIT]],'clientes SQL'!C:D,2,0)</f>
        <v>#N/A</v>
      </c>
    </row>
    <row r="1788" spans="1:12" hidden="1" x14ac:dyDescent="0.3">
      <c r="A1788">
        <v>1840597</v>
      </c>
      <c r="B1788">
        <v>20251205</v>
      </c>
      <c r="C1788">
        <v>5251</v>
      </c>
      <c r="D1788">
        <v>0</v>
      </c>
      <c r="E1788" s="123"/>
      <c r="F1788" s="123"/>
      <c r="G1788" s="123"/>
      <c r="H1788" s="95">
        <v>45996</v>
      </c>
      <c r="I1788">
        <v>33173</v>
      </c>
      <c r="J1788" s="123" t="s">
        <v>341</v>
      </c>
      <c r="K1788" s="123" t="s">
        <v>1318</v>
      </c>
      <c r="L1788" s="123" t="e">
        <f>VLOOKUP(Fact_AUM_FyoCapital[[#This Row],[Dim_Empresas.CUIT]],'clientes SQL'!C:D,2,0)</f>
        <v>#N/A</v>
      </c>
    </row>
    <row r="1789" spans="1:12" hidden="1" x14ac:dyDescent="0.3">
      <c r="A1789">
        <v>1867537</v>
      </c>
      <c r="B1789">
        <v>20251205</v>
      </c>
      <c r="C1789">
        <v>1361</v>
      </c>
      <c r="D1789">
        <v>3282.2130224403923</v>
      </c>
      <c r="E1789" s="123" t="s">
        <v>1566</v>
      </c>
      <c r="F1789" s="123" t="s">
        <v>1571</v>
      </c>
      <c r="G1789" s="123"/>
      <c r="H1789" s="95">
        <v>45996</v>
      </c>
      <c r="I1789">
        <v>19517</v>
      </c>
      <c r="J1789" s="123" t="s">
        <v>647</v>
      </c>
      <c r="K1789" s="123" t="s">
        <v>1399</v>
      </c>
      <c r="L1789" s="123" t="e">
        <f>VLOOKUP(Fact_AUM_FyoCapital[[#This Row],[Dim_Empresas.CUIT]],'clientes SQL'!C:D,2,0)</f>
        <v>#N/A</v>
      </c>
    </row>
    <row r="1790" spans="1:12" hidden="1" x14ac:dyDescent="0.3">
      <c r="A1790">
        <v>1503604</v>
      </c>
      <c r="B1790">
        <v>20251205</v>
      </c>
      <c r="C1790">
        <v>2346</v>
      </c>
      <c r="D1790">
        <v>17407.946942496495</v>
      </c>
      <c r="E1790" s="123" t="s">
        <v>1564</v>
      </c>
      <c r="F1790" s="123" t="s">
        <v>1581</v>
      </c>
      <c r="G1790" s="123"/>
      <c r="H1790" s="95">
        <v>45996</v>
      </c>
      <c r="I1790">
        <v>30471</v>
      </c>
      <c r="J1790" s="123" t="s">
        <v>469</v>
      </c>
      <c r="K1790" s="123" t="s">
        <v>1316</v>
      </c>
      <c r="L1790" s="123" t="e">
        <f>VLOOKUP(Fact_AUM_FyoCapital[[#This Row],[Dim_Empresas.CUIT]],'clientes SQL'!C:D,2,0)</f>
        <v>#N/A</v>
      </c>
    </row>
    <row r="1791" spans="1:12" hidden="1" x14ac:dyDescent="0.3">
      <c r="A1791">
        <v>1868197</v>
      </c>
      <c r="B1791">
        <v>20251205</v>
      </c>
      <c r="C1791">
        <v>81</v>
      </c>
      <c r="D1791">
        <v>625.6275175315568</v>
      </c>
      <c r="E1791" s="123" t="s">
        <v>1568</v>
      </c>
      <c r="F1791" s="123" t="s">
        <v>1572</v>
      </c>
      <c r="G1791" s="123" t="s">
        <v>1570</v>
      </c>
      <c r="H1791" s="95">
        <v>45996</v>
      </c>
      <c r="I1791">
        <v>3375</v>
      </c>
      <c r="J1791" s="123" t="s">
        <v>465</v>
      </c>
      <c r="K1791" s="123" t="s">
        <v>1317</v>
      </c>
      <c r="L1791" s="123" t="e">
        <f>VLOOKUP(Fact_AUM_FyoCapital[[#This Row],[Dim_Empresas.CUIT]],'clientes SQL'!C:D,2,0)</f>
        <v>#N/A</v>
      </c>
    </row>
    <row r="1792" spans="1:12" hidden="1" x14ac:dyDescent="0.3">
      <c r="A1792">
        <v>2613089</v>
      </c>
      <c r="B1792">
        <v>20251205</v>
      </c>
      <c r="C1792">
        <v>2145</v>
      </c>
      <c r="D1792">
        <v>0.17</v>
      </c>
      <c r="E1792" s="123" t="s">
        <v>1563</v>
      </c>
      <c r="F1792" s="123" t="s">
        <v>950</v>
      </c>
      <c r="G1792" s="123"/>
      <c r="H1792" s="95">
        <v>45996</v>
      </c>
      <c r="I1792">
        <v>30078</v>
      </c>
      <c r="J1792" s="123" t="s">
        <v>342</v>
      </c>
      <c r="K1792" s="123" t="s">
        <v>1276</v>
      </c>
      <c r="L1792" s="123" t="e">
        <f>VLOOKUP(Fact_AUM_FyoCapital[[#This Row],[Dim_Empresas.CUIT]],'clientes SQL'!C:D,2,0)</f>
        <v>#N/A</v>
      </c>
    </row>
    <row r="1793" spans="1:12" hidden="1" x14ac:dyDescent="0.3">
      <c r="A1793">
        <v>1833337</v>
      </c>
      <c r="B1793">
        <v>20251205</v>
      </c>
      <c r="C1793">
        <v>2654</v>
      </c>
      <c r="D1793">
        <v>1384.4153155680224</v>
      </c>
      <c r="E1793" s="123" t="s">
        <v>1568</v>
      </c>
      <c r="F1793" s="123" t="s">
        <v>1572</v>
      </c>
      <c r="G1793" s="123" t="s">
        <v>1577</v>
      </c>
      <c r="H1793" s="95">
        <v>45996</v>
      </c>
      <c r="I1793">
        <v>30889</v>
      </c>
      <c r="J1793" s="123" t="s">
        <v>1360</v>
      </c>
      <c r="K1793" s="123" t="s">
        <v>1361</v>
      </c>
      <c r="L1793" s="123" t="e">
        <f>VLOOKUP(Fact_AUM_FyoCapital[[#This Row],[Dim_Empresas.CUIT]],'clientes SQL'!C:D,2,0)</f>
        <v>#N/A</v>
      </c>
    </row>
    <row r="1794" spans="1:12" hidden="1" x14ac:dyDescent="0.3">
      <c r="A1794">
        <v>1861417</v>
      </c>
      <c r="B1794">
        <v>20251205</v>
      </c>
      <c r="C1794">
        <v>682</v>
      </c>
      <c r="D1794">
        <v>0</v>
      </c>
      <c r="E1794" s="123"/>
      <c r="F1794" s="123"/>
      <c r="G1794" s="123"/>
      <c r="H1794" s="95">
        <v>45996</v>
      </c>
      <c r="I1794">
        <v>9775</v>
      </c>
      <c r="J1794" s="123" t="s">
        <v>287</v>
      </c>
      <c r="K1794" s="123" t="s">
        <v>1320</v>
      </c>
      <c r="L1794" s="123" t="e">
        <f>VLOOKUP(Fact_AUM_FyoCapital[[#This Row],[Dim_Empresas.CUIT]],'clientes SQL'!C:D,2,0)</f>
        <v>#N/A</v>
      </c>
    </row>
    <row r="1795" spans="1:12" hidden="1" x14ac:dyDescent="0.3">
      <c r="A1795">
        <v>1880977</v>
      </c>
      <c r="B1795">
        <v>20251205</v>
      </c>
      <c r="C1795">
        <v>1546</v>
      </c>
      <c r="D1795">
        <v>0</v>
      </c>
      <c r="E1795" s="123"/>
      <c r="F1795" s="123"/>
      <c r="G1795" s="123"/>
      <c r="H1795" s="95">
        <v>45996</v>
      </c>
      <c r="I1795">
        <v>18554</v>
      </c>
      <c r="J1795" s="123" t="s">
        <v>550</v>
      </c>
      <c r="K1795" s="123" t="s">
        <v>1394</v>
      </c>
      <c r="L1795" s="123" t="e">
        <f>VLOOKUP(Fact_AUM_FyoCapital[[#This Row],[Dim_Empresas.CUIT]],'clientes SQL'!C:D,2,0)</f>
        <v>#N/A</v>
      </c>
    </row>
    <row r="1796" spans="1:12" hidden="1" x14ac:dyDescent="0.3">
      <c r="A1796">
        <v>1834417</v>
      </c>
      <c r="B1796">
        <v>20251205</v>
      </c>
      <c r="C1796">
        <v>2273</v>
      </c>
      <c r="D1796">
        <v>52144.545350631139</v>
      </c>
      <c r="E1796" s="123" t="s">
        <v>1568</v>
      </c>
      <c r="F1796" s="123" t="s">
        <v>1572</v>
      </c>
      <c r="G1796" s="123" t="s">
        <v>1570</v>
      </c>
      <c r="H1796" s="95">
        <v>45996</v>
      </c>
      <c r="I1796">
        <v>30340</v>
      </c>
      <c r="J1796" s="123" t="s">
        <v>1386</v>
      </c>
      <c r="K1796" s="123" t="s">
        <v>1387</v>
      </c>
      <c r="L1796" s="123" t="e">
        <f>VLOOKUP(Fact_AUM_FyoCapital[[#This Row],[Dim_Empresas.CUIT]],'clientes SQL'!C:D,2,0)</f>
        <v>#N/A</v>
      </c>
    </row>
    <row r="1797" spans="1:12" hidden="1" x14ac:dyDescent="0.3">
      <c r="A1797">
        <v>1902577</v>
      </c>
      <c r="B1797">
        <v>20251205</v>
      </c>
      <c r="C1797">
        <v>14873</v>
      </c>
      <c r="D1797">
        <v>90312.396746143058</v>
      </c>
      <c r="E1797" s="123" t="s">
        <v>1568</v>
      </c>
      <c r="F1797" s="123" t="s">
        <v>1572</v>
      </c>
      <c r="G1797" s="123" t="s">
        <v>1583</v>
      </c>
      <c r="H1797" s="95">
        <v>45996</v>
      </c>
      <c r="I1797">
        <v>37088</v>
      </c>
      <c r="J1797" s="123" t="s">
        <v>571</v>
      </c>
      <c r="K1797" s="123" t="s">
        <v>1269</v>
      </c>
      <c r="L1797" s="123" t="e">
        <f>VLOOKUP(Fact_AUM_FyoCapital[[#This Row],[Dim_Empresas.CUIT]],'clientes SQL'!C:D,2,0)</f>
        <v>#N/A</v>
      </c>
    </row>
    <row r="1798" spans="1:12" hidden="1" x14ac:dyDescent="0.3">
      <c r="A1798">
        <v>1870777</v>
      </c>
      <c r="B1798">
        <v>20251205</v>
      </c>
      <c r="C1798">
        <v>13361</v>
      </c>
      <c r="D1798">
        <v>2013.61</v>
      </c>
      <c r="E1798" s="123" t="s">
        <v>1566</v>
      </c>
      <c r="F1798" s="123" t="s">
        <v>1579</v>
      </c>
      <c r="G1798" s="123"/>
      <c r="H1798" s="95">
        <v>45996</v>
      </c>
      <c r="I1798">
        <v>36541</v>
      </c>
      <c r="J1798" s="123" t="s">
        <v>454</v>
      </c>
      <c r="K1798" s="123" t="s">
        <v>1322</v>
      </c>
      <c r="L1798" s="123" t="e">
        <f>VLOOKUP(Fact_AUM_FyoCapital[[#This Row],[Dim_Empresas.CUIT]],'clientes SQL'!C:D,2,0)</f>
        <v>#N/A</v>
      </c>
    </row>
    <row r="1799" spans="1:12" hidden="1" x14ac:dyDescent="0.3">
      <c r="A1799">
        <v>1869337</v>
      </c>
      <c r="B1799">
        <v>20251205</v>
      </c>
      <c r="C1799">
        <v>13361</v>
      </c>
      <c r="D1799">
        <v>958.79</v>
      </c>
      <c r="E1799" s="123" t="s">
        <v>1566</v>
      </c>
      <c r="F1799" s="123" t="s">
        <v>1579</v>
      </c>
      <c r="G1799" s="123"/>
      <c r="H1799" s="95">
        <v>45996</v>
      </c>
      <c r="I1799">
        <v>36541</v>
      </c>
      <c r="J1799" s="123" t="s">
        <v>454</v>
      </c>
      <c r="K1799" s="123" t="s">
        <v>1322</v>
      </c>
      <c r="L1799" s="123" t="e">
        <f>VLOOKUP(Fact_AUM_FyoCapital[[#This Row],[Dim_Empresas.CUIT]],'clientes SQL'!C:D,2,0)</f>
        <v>#N/A</v>
      </c>
    </row>
    <row r="1800" spans="1:12" hidden="1" x14ac:dyDescent="0.3">
      <c r="A1800">
        <v>1833997</v>
      </c>
      <c r="B1800">
        <v>20251205</v>
      </c>
      <c r="C1800">
        <v>6247</v>
      </c>
      <c r="D1800">
        <v>0</v>
      </c>
      <c r="E1800" s="123"/>
      <c r="F1800" s="123"/>
      <c r="G1800" s="123"/>
      <c r="H1800" s="95">
        <v>45996</v>
      </c>
      <c r="I1800">
        <v>34358</v>
      </c>
      <c r="J1800" s="123" t="s">
        <v>1373</v>
      </c>
      <c r="K1800" s="123" t="s">
        <v>1374</v>
      </c>
      <c r="L1800" s="123" t="e">
        <f>VLOOKUP(Fact_AUM_FyoCapital[[#This Row],[Dim_Empresas.CUIT]],'clientes SQL'!C:D,2,0)</f>
        <v>#N/A</v>
      </c>
    </row>
    <row r="1801" spans="1:12" hidden="1" x14ac:dyDescent="0.3">
      <c r="A1801">
        <v>1841857</v>
      </c>
      <c r="B1801">
        <v>20251205</v>
      </c>
      <c r="C1801">
        <v>6999</v>
      </c>
      <c r="D1801">
        <v>28673.69</v>
      </c>
      <c r="E1801" s="123" t="s">
        <v>1568</v>
      </c>
      <c r="F1801" s="123" t="s">
        <v>1575</v>
      </c>
      <c r="G1801" s="123" t="s">
        <v>1583</v>
      </c>
      <c r="H1801" s="95">
        <v>45996</v>
      </c>
      <c r="I1801">
        <v>34695</v>
      </c>
      <c r="J1801" s="123" t="s">
        <v>325</v>
      </c>
      <c r="K1801" s="123" t="s">
        <v>1267</v>
      </c>
      <c r="L1801" s="123" t="e">
        <f>VLOOKUP(Fact_AUM_FyoCapital[[#This Row],[Dim_Empresas.CUIT]],'clientes SQL'!C:D,2,0)</f>
        <v>#N/A</v>
      </c>
    </row>
    <row r="1802" spans="1:12" hidden="1" x14ac:dyDescent="0.3">
      <c r="A1802">
        <v>1872037</v>
      </c>
      <c r="B1802">
        <v>20251205</v>
      </c>
      <c r="C1802">
        <v>13719</v>
      </c>
      <c r="D1802">
        <v>0</v>
      </c>
      <c r="E1802" s="123"/>
      <c r="F1802" s="123"/>
      <c r="G1802" s="123"/>
      <c r="H1802" s="95">
        <v>45996</v>
      </c>
      <c r="I1802">
        <v>36879</v>
      </c>
      <c r="J1802" s="123" t="s">
        <v>1340</v>
      </c>
      <c r="K1802" s="123" t="s">
        <v>1341</v>
      </c>
      <c r="L1802" s="123" t="e">
        <f>VLOOKUP(Fact_AUM_FyoCapital[[#This Row],[Dim_Empresas.CUIT]],'clientes SQL'!C:D,2,0)</f>
        <v>#N/A</v>
      </c>
    </row>
    <row r="1803" spans="1:12" hidden="1" x14ac:dyDescent="0.3">
      <c r="A1803">
        <v>2615849</v>
      </c>
      <c r="B1803">
        <v>20251205</v>
      </c>
      <c r="C1803">
        <v>6999</v>
      </c>
      <c r="D1803">
        <v>0.1</v>
      </c>
      <c r="E1803" s="123" t="s">
        <v>1563</v>
      </c>
      <c r="F1803" s="123" t="s">
        <v>188</v>
      </c>
      <c r="G1803" s="123"/>
      <c r="H1803" s="95">
        <v>45996</v>
      </c>
      <c r="I1803">
        <v>34695</v>
      </c>
      <c r="J1803" s="123" t="s">
        <v>325</v>
      </c>
      <c r="K1803" s="123" t="s">
        <v>1267</v>
      </c>
      <c r="L1803" s="123" t="e">
        <f>VLOOKUP(Fact_AUM_FyoCapital[[#This Row],[Dim_Empresas.CUIT]],'clientes SQL'!C:D,2,0)</f>
        <v>#N/A</v>
      </c>
    </row>
    <row r="1804" spans="1:12" hidden="1" x14ac:dyDescent="0.3">
      <c r="A1804">
        <v>2624489</v>
      </c>
      <c r="B1804">
        <v>20251205</v>
      </c>
      <c r="C1804">
        <v>997</v>
      </c>
      <c r="D1804">
        <v>-13.531907433380084</v>
      </c>
      <c r="E1804" s="123" t="s">
        <v>1563</v>
      </c>
      <c r="F1804" s="123" t="s">
        <v>185</v>
      </c>
      <c r="G1804" s="123"/>
      <c r="H1804" s="95">
        <v>45996</v>
      </c>
      <c r="I1804">
        <v>17024</v>
      </c>
      <c r="J1804" s="123" t="s">
        <v>1425</v>
      </c>
      <c r="K1804" s="123" t="s">
        <v>1426</v>
      </c>
      <c r="L1804" s="123" t="e">
        <f>VLOOKUP(Fact_AUM_FyoCapital[[#This Row],[Dim_Empresas.CUIT]],'clientes SQL'!C:D,2,0)</f>
        <v>#N/A</v>
      </c>
    </row>
    <row r="1805" spans="1:12" hidden="1" x14ac:dyDescent="0.3">
      <c r="A1805">
        <v>1827337</v>
      </c>
      <c r="B1805">
        <v>20251205</v>
      </c>
      <c r="C1805">
        <v>744</v>
      </c>
      <c r="D1805">
        <v>1420316.6323211782</v>
      </c>
      <c r="E1805" s="123" t="s">
        <v>1568</v>
      </c>
      <c r="F1805" s="123" t="s">
        <v>1572</v>
      </c>
      <c r="G1805" s="123" t="s">
        <v>1570</v>
      </c>
      <c r="H1805" s="95">
        <v>45996</v>
      </c>
      <c r="I1805">
        <v>446</v>
      </c>
      <c r="J1805" s="123" t="s">
        <v>1396</v>
      </c>
      <c r="K1805" s="123" t="s">
        <v>1397</v>
      </c>
      <c r="L1805" s="123" t="e">
        <f>VLOOKUP(Fact_AUM_FyoCapital[[#This Row],[Dim_Empresas.CUIT]],'clientes SQL'!C:D,2,0)</f>
        <v>#N/A</v>
      </c>
    </row>
    <row r="1806" spans="1:12" hidden="1" x14ac:dyDescent="0.3">
      <c r="A1806">
        <v>2614109</v>
      </c>
      <c r="B1806">
        <v>20251205</v>
      </c>
      <c r="C1806">
        <v>2145</v>
      </c>
      <c r="D1806">
        <v>20355.388730715287</v>
      </c>
      <c r="E1806" s="123" t="s">
        <v>1563</v>
      </c>
      <c r="F1806" s="123" t="s">
        <v>185</v>
      </c>
      <c r="G1806" s="123"/>
      <c r="H1806" s="95">
        <v>45996</v>
      </c>
      <c r="I1806">
        <v>30078</v>
      </c>
      <c r="J1806" s="123" t="s">
        <v>342</v>
      </c>
      <c r="K1806" s="123" t="s">
        <v>1276</v>
      </c>
      <c r="L1806" s="123" t="e">
        <f>VLOOKUP(Fact_AUM_FyoCapital[[#This Row],[Dim_Empresas.CUIT]],'clientes SQL'!C:D,2,0)</f>
        <v>#N/A</v>
      </c>
    </row>
    <row r="1807" spans="1:12" hidden="1" x14ac:dyDescent="0.3">
      <c r="A1807">
        <v>2628269</v>
      </c>
      <c r="B1807">
        <v>20251205</v>
      </c>
      <c r="C1807">
        <v>12432</v>
      </c>
      <c r="D1807">
        <v>430.68</v>
      </c>
      <c r="E1807" s="123" t="s">
        <v>1563</v>
      </c>
      <c r="F1807" s="123" t="s">
        <v>950</v>
      </c>
      <c r="G1807" s="123"/>
      <c r="H1807" s="95">
        <v>45996</v>
      </c>
      <c r="I1807">
        <v>35714</v>
      </c>
      <c r="J1807" s="123" t="s">
        <v>479</v>
      </c>
      <c r="K1807" s="123" t="s">
        <v>1204</v>
      </c>
      <c r="L1807" s="123" t="e">
        <f>VLOOKUP(Fact_AUM_FyoCapital[[#This Row],[Dim_Empresas.CUIT]],'clientes SQL'!C:D,2,0)</f>
        <v>#N/A</v>
      </c>
    </row>
    <row r="1808" spans="1:12" hidden="1" x14ac:dyDescent="0.3">
      <c r="A1808">
        <v>1854637</v>
      </c>
      <c r="B1808">
        <v>20251205</v>
      </c>
      <c r="C1808">
        <v>6005</v>
      </c>
      <c r="D1808">
        <v>1004.6610098176719</v>
      </c>
      <c r="E1808" s="123" t="s">
        <v>1568</v>
      </c>
      <c r="F1808" s="123" t="s">
        <v>1572</v>
      </c>
      <c r="G1808" s="123" t="s">
        <v>1570</v>
      </c>
      <c r="H1808" s="95">
        <v>45996</v>
      </c>
      <c r="I1808">
        <v>33372</v>
      </c>
      <c r="J1808" s="123" t="s">
        <v>416</v>
      </c>
      <c r="K1808" s="123" t="s">
        <v>1186</v>
      </c>
      <c r="L1808" s="123" t="e">
        <f>VLOOKUP(Fact_AUM_FyoCapital[[#This Row],[Dim_Empresas.CUIT]],'clientes SQL'!C:D,2,0)</f>
        <v>#N/A</v>
      </c>
    </row>
    <row r="1809" spans="1:12" hidden="1" x14ac:dyDescent="0.3">
      <c r="A1809">
        <v>1825237</v>
      </c>
      <c r="B1809">
        <v>20251205</v>
      </c>
      <c r="C1809">
        <v>920</v>
      </c>
      <c r="D1809">
        <v>35071.640953716691</v>
      </c>
      <c r="E1809" s="123" t="s">
        <v>1566</v>
      </c>
      <c r="F1809" s="123" t="s">
        <v>1573</v>
      </c>
      <c r="G1809" s="123"/>
      <c r="H1809" s="95">
        <v>45996</v>
      </c>
      <c r="I1809">
        <v>18292</v>
      </c>
      <c r="J1809" s="123" t="s">
        <v>243</v>
      </c>
      <c r="K1809" s="123" t="s">
        <v>1315</v>
      </c>
      <c r="L1809" s="123" t="e">
        <f>VLOOKUP(Fact_AUM_FyoCapital[[#This Row],[Dim_Empresas.CUIT]],'clientes SQL'!C:D,2,0)</f>
        <v>#N/A</v>
      </c>
    </row>
    <row r="1810" spans="1:12" hidden="1" x14ac:dyDescent="0.3">
      <c r="A1810">
        <v>1840717</v>
      </c>
      <c r="B1810">
        <v>20251205</v>
      </c>
      <c r="C1810">
        <v>5251</v>
      </c>
      <c r="D1810">
        <v>0</v>
      </c>
      <c r="E1810" s="123"/>
      <c r="F1810" s="123"/>
      <c r="G1810" s="123"/>
      <c r="H1810" s="95">
        <v>45996</v>
      </c>
      <c r="I1810">
        <v>33173</v>
      </c>
      <c r="J1810" s="123" t="s">
        <v>341</v>
      </c>
      <c r="K1810" s="123" t="s">
        <v>1318</v>
      </c>
      <c r="L1810" s="123" t="e">
        <f>VLOOKUP(Fact_AUM_FyoCapital[[#This Row],[Dim_Empresas.CUIT]],'clientes SQL'!C:D,2,0)</f>
        <v>#N/A</v>
      </c>
    </row>
    <row r="1811" spans="1:12" hidden="1" x14ac:dyDescent="0.3">
      <c r="A1811">
        <v>1881577</v>
      </c>
      <c r="B1811">
        <v>20251205</v>
      </c>
      <c r="C1811">
        <v>1546</v>
      </c>
      <c r="D1811">
        <v>0</v>
      </c>
      <c r="E1811" s="123"/>
      <c r="F1811" s="123"/>
      <c r="G1811" s="123"/>
      <c r="H1811" s="95">
        <v>45996</v>
      </c>
      <c r="I1811">
        <v>18554</v>
      </c>
      <c r="J1811" s="123" t="s">
        <v>550</v>
      </c>
      <c r="K1811" s="123" t="s">
        <v>1394</v>
      </c>
      <c r="L1811" s="123" t="e">
        <f>VLOOKUP(Fact_AUM_FyoCapital[[#This Row],[Dim_Empresas.CUIT]],'clientes SQL'!C:D,2,0)</f>
        <v>#N/A</v>
      </c>
    </row>
    <row r="1812" spans="1:12" hidden="1" x14ac:dyDescent="0.3">
      <c r="A1812">
        <v>1829857</v>
      </c>
      <c r="B1812">
        <v>20251205</v>
      </c>
      <c r="C1812">
        <v>4213</v>
      </c>
      <c r="D1812">
        <v>79317.8</v>
      </c>
      <c r="E1812" s="123" t="s">
        <v>1566</v>
      </c>
      <c r="F1812" s="123" t="s">
        <v>1571</v>
      </c>
      <c r="G1812" s="123"/>
      <c r="H1812" s="95">
        <v>45996</v>
      </c>
      <c r="I1812">
        <v>32849</v>
      </c>
      <c r="J1812" s="123" t="s">
        <v>190</v>
      </c>
      <c r="K1812" s="123" t="s">
        <v>1302</v>
      </c>
      <c r="L1812" s="123" t="e">
        <f>VLOOKUP(Fact_AUM_FyoCapital[[#This Row],[Dim_Empresas.CUIT]],'clientes SQL'!C:D,2,0)</f>
        <v>#N/A</v>
      </c>
    </row>
    <row r="1813" spans="1:12" hidden="1" x14ac:dyDescent="0.3">
      <c r="A1813">
        <v>1857817</v>
      </c>
      <c r="B1813">
        <v>20251205</v>
      </c>
      <c r="C1813">
        <v>1191</v>
      </c>
      <c r="D1813">
        <v>0</v>
      </c>
      <c r="E1813" s="123"/>
      <c r="F1813" s="123"/>
      <c r="G1813" s="123"/>
      <c r="H1813" s="95">
        <v>45996</v>
      </c>
      <c r="I1813">
        <v>18954</v>
      </c>
      <c r="J1813" s="123" t="s">
        <v>1247</v>
      </c>
      <c r="K1813" s="123" t="s">
        <v>1248</v>
      </c>
      <c r="L1813" s="123" t="e">
        <f>VLOOKUP(Fact_AUM_FyoCapital[[#This Row],[Dim_Empresas.CUIT]],'clientes SQL'!C:D,2,0)</f>
        <v>#N/A</v>
      </c>
    </row>
    <row r="1814" spans="1:12" hidden="1" x14ac:dyDescent="0.3">
      <c r="A1814">
        <v>2625929</v>
      </c>
      <c r="B1814">
        <v>20251205</v>
      </c>
      <c r="C1814">
        <v>4531</v>
      </c>
      <c r="D1814">
        <v>0.13</v>
      </c>
      <c r="E1814" s="123" t="s">
        <v>1563</v>
      </c>
      <c r="F1814" s="123" t="s">
        <v>950</v>
      </c>
      <c r="G1814" s="123"/>
      <c r="H1814" s="95">
        <v>45996</v>
      </c>
      <c r="I1814">
        <v>3422</v>
      </c>
      <c r="J1814" s="123" t="s">
        <v>498</v>
      </c>
      <c r="K1814" s="123" t="s">
        <v>1231</v>
      </c>
      <c r="L1814" s="123" t="e">
        <f>VLOOKUP(Fact_AUM_FyoCapital[[#This Row],[Dim_Empresas.CUIT]],'clientes SQL'!C:D,2,0)</f>
        <v>#N/A</v>
      </c>
    </row>
    <row r="1815" spans="1:12" hidden="1" x14ac:dyDescent="0.3">
      <c r="A1815">
        <v>1876177</v>
      </c>
      <c r="B1815">
        <v>20251205</v>
      </c>
      <c r="C1815">
        <v>331</v>
      </c>
      <c r="D1815">
        <v>7710.3786816269285</v>
      </c>
      <c r="E1815" s="123" t="s">
        <v>1566</v>
      </c>
      <c r="F1815" s="123" t="s">
        <v>1573</v>
      </c>
      <c r="G1815" s="123"/>
      <c r="H1815" s="95">
        <v>45996</v>
      </c>
      <c r="I1815">
        <v>652</v>
      </c>
      <c r="J1815" s="123" t="s">
        <v>447</v>
      </c>
      <c r="K1815" s="123" t="s">
        <v>1143</v>
      </c>
      <c r="L1815" s="123" t="e">
        <f>VLOOKUP(Fact_AUM_FyoCapital[[#This Row],[Dim_Empresas.CUIT]],'clientes SQL'!C:D,2,0)</f>
        <v>#N/A</v>
      </c>
    </row>
    <row r="1816" spans="1:12" hidden="1" x14ac:dyDescent="0.3">
      <c r="A1816">
        <v>1886857</v>
      </c>
      <c r="B1816">
        <v>20251205</v>
      </c>
      <c r="C1816">
        <v>1417</v>
      </c>
      <c r="D1816">
        <v>23620.742237026647</v>
      </c>
      <c r="E1816" s="123" t="s">
        <v>1566</v>
      </c>
      <c r="F1816" s="123" t="s">
        <v>1571</v>
      </c>
      <c r="G1816" s="123"/>
      <c r="H1816" s="95">
        <v>45996</v>
      </c>
      <c r="I1816">
        <v>9611</v>
      </c>
      <c r="J1816" s="123" t="s">
        <v>709</v>
      </c>
      <c r="K1816" s="123" t="s">
        <v>1436</v>
      </c>
      <c r="L1816" s="123" t="e">
        <f>VLOOKUP(Fact_AUM_FyoCapital[[#This Row],[Dim_Empresas.CUIT]],'clientes SQL'!C:D,2,0)</f>
        <v>#N/A</v>
      </c>
    </row>
    <row r="1817" spans="1:12" hidden="1" x14ac:dyDescent="0.3">
      <c r="A1817">
        <v>1881457</v>
      </c>
      <c r="B1817">
        <v>20251205</v>
      </c>
      <c r="C1817">
        <v>1546</v>
      </c>
      <c r="D1817">
        <v>0</v>
      </c>
      <c r="E1817" s="123"/>
      <c r="F1817" s="123"/>
      <c r="G1817" s="123"/>
      <c r="H1817" s="95">
        <v>45996</v>
      </c>
      <c r="I1817">
        <v>18554</v>
      </c>
      <c r="J1817" s="123" t="s">
        <v>550</v>
      </c>
      <c r="K1817" s="123" t="s">
        <v>1394</v>
      </c>
      <c r="L1817" s="123" t="e">
        <f>VLOOKUP(Fact_AUM_FyoCapital[[#This Row],[Dim_Empresas.CUIT]],'clientes SQL'!C:D,2,0)</f>
        <v>#N/A</v>
      </c>
    </row>
    <row r="1818" spans="1:12" hidden="1" x14ac:dyDescent="0.3">
      <c r="A1818">
        <v>1873837</v>
      </c>
      <c r="B1818">
        <v>20251205</v>
      </c>
      <c r="C1818">
        <v>2109</v>
      </c>
      <c r="D1818">
        <v>0</v>
      </c>
      <c r="E1818" s="123"/>
      <c r="F1818" s="123"/>
      <c r="G1818" s="123"/>
      <c r="H1818" s="95">
        <v>45996</v>
      </c>
      <c r="I1818">
        <v>20716</v>
      </c>
      <c r="J1818" s="123" t="s">
        <v>323</v>
      </c>
      <c r="K1818" s="123" t="s">
        <v>1388</v>
      </c>
      <c r="L1818" s="123" t="e">
        <f>VLOOKUP(Fact_AUM_FyoCapital[[#This Row],[Dim_Empresas.CUIT]],'clientes SQL'!C:D,2,0)</f>
        <v>#N/A</v>
      </c>
    </row>
    <row r="1819" spans="1:12" hidden="1" x14ac:dyDescent="0.3">
      <c r="A1819">
        <v>1896217</v>
      </c>
      <c r="B1819">
        <v>20251205</v>
      </c>
      <c r="C1819">
        <v>10253</v>
      </c>
      <c r="D1819">
        <v>1996.52</v>
      </c>
      <c r="E1819" s="123" t="s">
        <v>1566</v>
      </c>
      <c r="F1819" s="123" t="s">
        <v>1579</v>
      </c>
      <c r="G1819" s="123"/>
      <c r="H1819" s="95">
        <v>45996</v>
      </c>
      <c r="I1819">
        <v>35643</v>
      </c>
      <c r="J1819" s="123" t="s">
        <v>603</v>
      </c>
      <c r="K1819" s="123" t="s">
        <v>1220</v>
      </c>
      <c r="L1819" s="123" t="e">
        <f>VLOOKUP(Fact_AUM_FyoCapital[[#This Row],[Dim_Empresas.CUIT]],'clientes SQL'!C:D,2,0)</f>
        <v>#N/A</v>
      </c>
    </row>
    <row r="1820" spans="1:12" hidden="1" x14ac:dyDescent="0.3">
      <c r="A1820">
        <v>1859317</v>
      </c>
      <c r="B1820">
        <v>20251205</v>
      </c>
      <c r="C1820">
        <v>3713</v>
      </c>
      <c r="D1820">
        <v>26801.320266479666</v>
      </c>
      <c r="E1820" s="123" t="s">
        <v>1568</v>
      </c>
      <c r="F1820" s="123" t="s">
        <v>1572</v>
      </c>
      <c r="G1820" s="123" t="s">
        <v>1570</v>
      </c>
      <c r="H1820" s="95">
        <v>45996</v>
      </c>
      <c r="I1820">
        <v>32219</v>
      </c>
      <c r="J1820" s="123" t="s">
        <v>804</v>
      </c>
      <c r="K1820" s="123" t="s">
        <v>1429</v>
      </c>
      <c r="L1820" s="123" t="e">
        <f>VLOOKUP(Fact_AUM_FyoCapital[[#This Row],[Dim_Empresas.CUIT]],'clientes SQL'!C:D,2,0)</f>
        <v>#N/A</v>
      </c>
    </row>
    <row r="1821" spans="1:12" hidden="1" x14ac:dyDescent="0.3">
      <c r="A1821">
        <v>1848577</v>
      </c>
      <c r="B1821">
        <v>20251205</v>
      </c>
      <c r="C1821">
        <v>13260</v>
      </c>
      <c r="D1821">
        <v>39110.980000000003</v>
      </c>
      <c r="E1821" s="123" t="s">
        <v>1568</v>
      </c>
      <c r="F1821" s="123" t="s">
        <v>1575</v>
      </c>
      <c r="G1821" s="123" t="s">
        <v>1576</v>
      </c>
      <c r="H1821" s="95">
        <v>45996</v>
      </c>
      <c r="I1821">
        <v>36446</v>
      </c>
      <c r="J1821" s="123" t="s">
        <v>1370</v>
      </c>
      <c r="K1821" s="123" t="s">
        <v>1371</v>
      </c>
      <c r="L1821" s="123" t="e">
        <f>VLOOKUP(Fact_AUM_FyoCapital[[#This Row],[Dim_Empresas.CUIT]],'clientes SQL'!C:D,2,0)</f>
        <v>#N/A</v>
      </c>
    </row>
    <row r="1822" spans="1:12" hidden="1" x14ac:dyDescent="0.3">
      <c r="A1822">
        <v>2615429</v>
      </c>
      <c r="B1822">
        <v>20251205</v>
      </c>
      <c r="C1822">
        <v>5251</v>
      </c>
      <c r="D1822">
        <v>37314.449999999997</v>
      </c>
      <c r="E1822" s="123" t="s">
        <v>1563</v>
      </c>
      <c r="F1822" s="123" t="s">
        <v>950</v>
      </c>
      <c r="G1822" s="123"/>
      <c r="H1822" s="95">
        <v>45996</v>
      </c>
      <c r="I1822">
        <v>33173</v>
      </c>
      <c r="J1822" s="123" t="s">
        <v>341</v>
      </c>
      <c r="K1822" s="123" t="s">
        <v>1318</v>
      </c>
      <c r="L1822" s="123" t="e">
        <f>VLOOKUP(Fact_AUM_FyoCapital[[#This Row],[Dim_Empresas.CUIT]],'clientes SQL'!C:D,2,0)</f>
        <v>#N/A</v>
      </c>
    </row>
    <row r="1823" spans="1:12" hidden="1" x14ac:dyDescent="0.3">
      <c r="A1823">
        <v>1891057</v>
      </c>
      <c r="B1823">
        <v>20251205</v>
      </c>
      <c r="C1823">
        <v>1853</v>
      </c>
      <c r="D1823">
        <v>629.4251893408134</v>
      </c>
      <c r="E1823" s="123" t="s">
        <v>1568</v>
      </c>
      <c r="F1823" s="123" t="s">
        <v>1572</v>
      </c>
      <c r="G1823" s="123" t="s">
        <v>1583</v>
      </c>
      <c r="H1823" s="95">
        <v>45996</v>
      </c>
      <c r="I1823">
        <v>19392</v>
      </c>
      <c r="J1823" s="123" t="s">
        <v>1309</v>
      </c>
      <c r="K1823" s="123" t="s">
        <v>1310</v>
      </c>
      <c r="L1823" s="123" t="e">
        <f>VLOOKUP(Fact_AUM_FyoCapital[[#This Row],[Dim_Empresas.CUIT]],'clientes SQL'!C:D,2,0)</f>
        <v>#N/A</v>
      </c>
    </row>
    <row r="1824" spans="1:12" hidden="1" x14ac:dyDescent="0.3">
      <c r="A1824">
        <v>1829737</v>
      </c>
      <c r="B1824">
        <v>20251205</v>
      </c>
      <c r="C1824">
        <v>4213</v>
      </c>
      <c r="D1824">
        <v>0</v>
      </c>
      <c r="E1824" s="123"/>
      <c r="F1824" s="123"/>
      <c r="G1824" s="123"/>
      <c r="H1824" s="95">
        <v>45996</v>
      </c>
      <c r="I1824">
        <v>32849</v>
      </c>
      <c r="J1824" s="123" t="s">
        <v>190</v>
      </c>
      <c r="K1824" s="123" t="s">
        <v>1302</v>
      </c>
      <c r="L1824" s="123" t="e">
        <f>VLOOKUP(Fact_AUM_FyoCapital[[#This Row],[Dim_Empresas.CUIT]],'clientes SQL'!C:D,2,0)</f>
        <v>#N/A</v>
      </c>
    </row>
    <row r="1825" spans="1:12" hidden="1" x14ac:dyDescent="0.3">
      <c r="A1825">
        <v>2627969</v>
      </c>
      <c r="B1825">
        <v>20251205</v>
      </c>
      <c r="C1825">
        <v>2346</v>
      </c>
      <c r="D1825">
        <v>-6.4516129032258064E-4</v>
      </c>
      <c r="E1825" s="123" t="s">
        <v>1563</v>
      </c>
      <c r="F1825" s="123" t="s">
        <v>185</v>
      </c>
      <c r="G1825" s="123"/>
      <c r="H1825" s="95">
        <v>45996</v>
      </c>
      <c r="I1825">
        <v>30471</v>
      </c>
      <c r="J1825" s="123" t="s">
        <v>469</v>
      </c>
      <c r="K1825" s="123" t="s">
        <v>1316</v>
      </c>
      <c r="L1825" s="123" t="e">
        <f>VLOOKUP(Fact_AUM_FyoCapital[[#This Row],[Dim_Empresas.CUIT]],'clientes SQL'!C:D,2,0)</f>
        <v>#N/A</v>
      </c>
    </row>
    <row r="1826" spans="1:12" hidden="1" x14ac:dyDescent="0.3">
      <c r="A1826">
        <v>1879897</v>
      </c>
      <c r="B1826">
        <v>20251205</v>
      </c>
      <c r="C1826">
        <v>1546</v>
      </c>
      <c r="D1826">
        <v>0</v>
      </c>
      <c r="E1826" s="123"/>
      <c r="F1826" s="123"/>
      <c r="G1826" s="123"/>
      <c r="H1826" s="95">
        <v>45996</v>
      </c>
      <c r="I1826">
        <v>18554</v>
      </c>
      <c r="J1826" s="123" t="s">
        <v>550</v>
      </c>
      <c r="K1826" s="123" t="s">
        <v>1394</v>
      </c>
      <c r="L1826" s="123" t="e">
        <f>VLOOKUP(Fact_AUM_FyoCapital[[#This Row],[Dim_Empresas.CUIT]],'clientes SQL'!C:D,2,0)</f>
        <v>#N/A</v>
      </c>
    </row>
    <row r="1827" spans="1:12" hidden="1" x14ac:dyDescent="0.3">
      <c r="A1827">
        <v>1858057</v>
      </c>
      <c r="B1827">
        <v>20251205</v>
      </c>
      <c r="C1827">
        <v>1191</v>
      </c>
      <c r="D1827">
        <v>10282.98</v>
      </c>
      <c r="E1827" s="123" t="s">
        <v>1566</v>
      </c>
      <c r="F1827" s="123" t="s">
        <v>1578</v>
      </c>
      <c r="G1827" s="123"/>
      <c r="H1827" s="95">
        <v>45996</v>
      </c>
      <c r="I1827">
        <v>18954</v>
      </c>
      <c r="J1827" s="123" t="s">
        <v>1247</v>
      </c>
      <c r="K1827" s="123" t="s">
        <v>1248</v>
      </c>
      <c r="L1827" s="123" t="e">
        <f>VLOOKUP(Fact_AUM_FyoCapital[[#This Row],[Dim_Empresas.CUIT]],'clientes SQL'!C:D,2,0)</f>
        <v>#N/A</v>
      </c>
    </row>
    <row r="1828" spans="1:12" hidden="1" x14ac:dyDescent="0.3">
      <c r="A1828">
        <v>1860877</v>
      </c>
      <c r="B1828">
        <v>20251205</v>
      </c>
      <c r="C1828">
        <v>682</v>
      </c>
      <c r="D1828">
        <v>0</v>
      </c>
      <c r="E1828" s="123"/>
      <c r="F1828" s="123"/>
      <c r="G1828" s="123"/>
      <c r="H1828" s="95">
        <v>45996</v>
      </c>
      <c r="I1828">
        <v>9775</v>
      </c>
      <c r="J1828" s="123" t="s">
        <v>287</v>
      </c>
      <c r="K1828" s="123" t="s">
        <v>1320</v>
      </c>
      <c r="L1828" s="123" t="e">
        <f>VLOOKUP(Fact_AUM_FyoCapital[[#This Row],[Dim_Empresas.CUIT]],'clientes SQL'!C:D,2,0)</f>
        <v>#N/A</v>
      </c>
    </row>
    <row r="1829" spans="1:12" hidden="1" x14ac:dyDescent="0.3">
      <c r="A1829">
        <v>1869817</v>
      </c>
      <c r="B1829">
        <v>20251205</v>
      </c>
      <c r="C1829">
        <v>13361</v>
      </c>
      <c r="D1829">
        <v>5286.73</v>
      </c>
      <c r="E1829" s="123" t="s">
        <v>1566</v>
      </c>
      <c r="F1829" s="123" t="s">
        <v>1579</v>
      </c>
      <c r="G1829" s="123"/>
      <c r="H1829" s="95">
        <v>45996</v>
      </c>
      <c r="I1829">
        <v>36541</v>
      </c>
      <c r="J1829" s="123" t="s">
        <v>454</v>
      </c>
      <c r="K1829" s="123" t="s">
        <v>1322</v>
      </c>
      <c r="L1829" s="123" t="e">
        <f>VLOOKUP(Fact_AUM_FyoCapital[[#This Row],[Dim_Empresas.CUIT]],'clientes SQL'!C:D,2,0)</f>
        <v>#N/A</v>
      </c>
    </row>
    <row r="1830" spans="1:12" hidden="1" x14ac:dyDescent="0.3">
      <c r="A1830">
        <v>2645129</v>
      </c>
      <c r="B1830">
        <v>20251205</v>
      </c>
      <c r="C1830">
        <v>12993</v>
      </c>
      <c r="D1830">
        <v>92.2</v>
      </c>
      <c r="E1830" s="123" t="s">
        <v>1563</v>
      </c>
      <c r="F1830" s="123" t="s">
        <v>950</v>
      </c>
      <c r="G1830" s="123"/>
      <c r="H1830" s="95">
        <v>45996</v>
      </c>
      <c r="I1830">
        <v>36201</v>
      </c>
      <c r="J1830" s="123" t="s">
        <v>617</v>
      </c>
      <c r="K1830" s="123" t="s">
        <v>1515</v>
      </c>
      <c r="L1830" s="123" t="e">
        <f>VLOOKUP(Fact_AUM_FyoCapital[[#This Row],[Dim_Empresas.CUIT]],'clientes SQL'!C:D,2,0)</f>
        <v>#N/A</v>
      </c>
    </row>
    <row r="1831" spans="1:12" hidden="1" x14ac:dyDescent="0.3">
      <c r="A1831">
        <v>2626349</v>
      </c>
      <c r="B1831">
        <v>20251205</v>
      </c>
      <c r="C1831">
        <v>1021</v>
      </c>
      <c r="D1831">
        <v>63.55</v>
      </c>
      <c r="E1831" s="123" t="s">
        <v>1563</v>
      </c>
      <c r="F1831" s="123" t="s">
        <v>188</v>
      </c>
      <c r="G1831" s="123"/>
      <c r="H1831" s="95">
        <v>45996</v>
      </c>
      <c r="I1831">
        <v>13900</v>
      </c>
      <c r="J1831" s="123" t="s">
        <v>462</v>
      </c>
      <c r="K1831" s="123" t="s">
        <v>1211</v>
      </c>
      <c r="L1831" s="123" t="e">
        <f>VLOOKUP(Fact_AUM_FyoCapital[[#This Row],[Dim_Empresas.CUIT]],'clientes SQL'!C:D,2,0)</f>
        <v>#N/A</v>
      </c>
    </row>
    <row r="1832" spans="1:12" hidden="1" x14ac:dyDescent="0.3">
      <c r="A1832">
        <v>1855957</v>
      </c>
      <c r="B1832">
        <v>20251205</v>
      </c>
      <c r="C1832">
        <v>12829</v>
      </c>
      <c r="D1832">
        <v>12214.865273492285</v>
      </c>
      <c r="E1832" s="123" t="s">
        <v>1568</v>
      </c>
      <c r="F1832" s="123" t="s">
        <v>1575</v>
      </c>
      <c r="G1832" s="123" t="s">
        <v>1576</v>
      </c>
      <c r="H1832" s="95">
        <v>45996</v>
      </c>
      <c r="I1832">
        <v>36053</v>
      </c>
      <c r="J1832" s="123" t="s">
        <v>369</v>
      </c>
      <c r="K1832" s="123" t="s">
        <v>1382</v>
      </c>
      <c r="L1832" s="123" t="e">
        <f>VLOOKUP(Fact_AUM_FyoCapital[[#This Row],[Dim_Empresas.CUIT]],'clientes SQL'!C:D,2,0)</f>
        <v>#N/A</v>
      </c>
    </row>
    <row r="1833" spans="1:12" hidden="1" x14ac:dyDescent="0.3">
      <c r="A1833">
        <v>2096980</v>
      </c>
      <c r="B1833">
        <v>20251205</v>
      </c>
      <c r="C1833">
        <v>2346</v>
      </c>
      <c r="D1833">
        <v>1859.4776788218794</v>
      </c>
      <c r="E1833" s="123" t="s">
        <v>1564</v>
      </c>
      <c r="F1833" s="123" t="s">
        <v>1565</v>
      </c>
      <c r="G1833" s="123"/>
      <c r="H1833" s="95">
        <v>45996</v>
      </c>
      <c r="I1833">
        <v>30471</v>
      </c>
      <c r="J1833" s="123" t="s">
        <v>469</v>
      </c>
      <c r="K1833" s="123" t="s">
        <v>1316</v>
      </c>
      <c r="L1833" s="123" t="e">
        <f>VLOOKUP(Fact_AUM_FyoCapital[[#This Row],[Dim_Empresas.CUIT]],'clientes SQL'!C:D,2,0)</f>
        <v>#N/A</v>
      </c>
    </row>
    <row r="1834" spans="1:12" hidden="1" x14ac:dyDescent="0.3">
      <c r="A1834">
        <v>1903237</v>
      </c>
      <c r="B1834">
        <v>20251205</v>
      </c>
      <c r="C1834">
        <v>14876</v>
      </c>
      <c r="D1834">
        <v>3636.7040673211782</v>
      </c>
      <c r="E1834" s="123" t="s">
        <v>1566</v>
      </c>
      <c r="F1834" s="123" t="s">
        <v>1580</v>
      </c>
      <c r="G1834" s="123"/>
      <c r="H1834" s="95">
        <v>45996</v>
      </c>
      <c r="I1834">
        <v>37091</v>
      </c>
      <c r="J1834" s="123" t="s">
        <v>604</v>
      </c>
      <c r="K1834" s="123" t="s">
        <v>1293</v>
      </c>
      <c r="L1834" s="123" t="e">
        <f>VLOOKUP(Fact_AUM_FyoCapital[[#This Row],[Dim_Empresas.CUIT]],'clientes SQL'!C:D,2,0)</f>
        <v>#N/A</v>
      </c>
    </row>
    <row r="1835" spans="1:12" hidden="1" x14ac:dyDescent="0.3">
      <c r="A1835">
        <v>1857217</v>
      </c>
      <c r="B1835">
        <v>20251205</v>
      </c>
      <c r="C1835">
        <v>1191</v>
      </c>
      <c r="D1835">
        <v>0</v>
      </c>
      <c r="E1835" s="123"/>
      <c r="F1835" s="123"/>
      <c r="G1835" s="123"/>
      <c r="H1835" s="95">
        <v>45996</v>
      </c>
      <c r="I1835">
        <v>18954</v>
      </c>
      <c r="J1835" s="123" t="s">
        <v>1247</v>
      </c>
      <c r="K1835" s="123" t="s">
        <v>1248</v>
      </c>
      <c r="L1835" s="123" t="e">
        <f>VLOOKUP(Fact_AUM_FyoCapital[[#This Row],[Dim_Empresas.CUIT]],'clientes SQL'!C:D,2,0)</f>
        <v>#N/A</v>
      </c>
    </row>
    <row r="1836" spans="1:12" hidden="1" x14ac:dyDescent="0.3">
      <c r="A1836">
        <v>1868317</v>
      </c>
      <c r="B1836">
        <v>20251205</v>
      </c>
      <c r="C1836">
        <v>10256</v>
      </c>
      <c r="D1836">
        <v>10558.898043478261</v>
      </c>
      <c r="E1836" s="123" t="s">
        <v>1568</v>
      </c>
      <c r="F1836" s="123" t="s">
        <v>1572</v>
      </c>
      <c r="G1836" s="123" t="s">
        <v>1570</v>
      </c>
      <c r="H1836" s="95">
        <v>45996</v>
      </c>
      <c r="I1836">
        <v>35646</v>
      </c>
      <c r="J1836" s="123" t="s">
        <v>1375</v>
      </c>
      <c r="K1836" s="123" t="s">
        <v>1376</v>
      </c>
      <c r="L1836" s="123" t="e">
        <f>VLOOKUP(Fact_AUM_FyoCapital[[#This Row],[Dim_Empresas.CUIT]],'clientes SQL'!C:D,2,0)</f>
        <v>#N/A</v>
      </c>
    </row>
    <row r="1837" spans="1:12" hidden="1" x14ac:dyDescent="0.3">
      <c r="A1837">
        <v>1879477</v>
      </c>
      <c r="B1837">
        <v>20251205</v>
      </c>
      <c r="C1837">
        <v>1241</v>
      </c>
      <c r="D1837">
        <v>1521.7291164095373</v>
      </c>
      <c r="E1837" s="123" t="s">
        <v>1568</v>
      </c>
      <c r="F1837" s="123" t="s">
        <v>1572</v>
      </c>
      <c r="G1837" s="123" t="s">
        <v>1570</v>
      </c>
      <c r="H1837" s="95">
        <v>45996</v>
      </c>
      <c r="I1837">
        <v>9793</v>
      </c>
      <c r="J1837" s="123" t="s">
        <v>506</v>
      </c>
      <c r="K1837" s="123" t="s">
        <v>1271</v>
      </c>
      <c r="L1837" s="123" t="e">
        <f>VLOOKUP(Fact_AUM_FyoCapital[[#This Row],[Dim_Empresas.CUIT]],'clientes SQL'!C:D,2,0)</f>
        <v>#N/A</v>
      </c>
    </row>
    <row r="1838" spans="1:12" hidden="1" x14ac:dyDescent="0.3">
      <c r="A1838">
        <v>1825717</v>
      </c>
      <c r="B1838">
        <v>20251205</v>
      </c>
      <c r="C1838">
        <v>1277</v>
      </c>
      <c r="D1838">
        <v>0</v>
      </c>
      <c r="E1838" s="123"/>
      <c r="F1838" s="123"/>
      <c r="G1838" s="123"/>
      <c r="H1838" s="95">
        <v>45996</v>
      </c>
      <c r="I1838">
        <v>19100</v>
      </c>
      <c r="J1838" s="123" t="s">
        <v>254</v>
      </c>
      <c r="K1838" s="123" t="s">
        <v>1240</v>
      </c>
      <c r="L1838" s="123" t="e">
        <f>VLOOKUP(Fact_AUM_FyoCapital[[#This Row],[Dim_Empresas.CUIT]],'clientes SQL'!C:D,2,0)</f>
        <v>#N/A</v>
      </c>
    </row>
    <row r="1839" spans="1:12" hidden="1" x14ac:dyDescent="0.3">
      <c r="A1839">
        <v>1840657</v>
      </c>
      <c r="B1839">
        <v>20251205</v>
      </c>
      <c r="C1839">
        <v>5251</v>
      </c>
      <c r="D1839">
        <v>0</v>
      </c>
      <c r="E1839" s="123"/>
      <c r="F1839" s="123"/>
      <c r="G1839" s="123"/>
      <c r="H1839" s="95">
        <v>45996</v>
      </c>
      <c r="I1839">
        <v>33173</v>
      </c>
      <c r="J1839" s="123" t="s">
        <v>341</v>
      </c>
      <c r="K1839" s="123" t="s">
        <v>1318</v>
      </c>
      <c r="L1839" s="123" t="e">
        <f>VLOOKUP(Fact_AUM_FyoCapital[[#This Row],[Dim_Empresas.CUIT]],'clientes SQL'!C:D,2,0)</f>
        <v>#N/A</v>
      </c>
    </row>
    <row r="1840" spans="1:12" hidden="1" x14ac:dyDescent="0.3">
      <c r="A1840">
        <v>2624549</v>
      </c>
      <c r="B1840">
        <v>20251205</v>
      </c>
      <c r="C1840">
        <v>997</v>
      </c>
      <c r="D1840">
        <v>11999.06</v>
      </c>
      <c r="E1840" s="123" t="s">
        <v>1563</v>
      </c>
      <c r="F1840" s="123" t="s">
        <v>950</v>
      </c>
      <c r="G1840" s="123"/>
      <c r="H1840" s="95">
        <v>45996</v>
      </c>
      <c r="I1840">
        <v>17024</v>
      </c>
      <c r="J1840" s="123" t="s">
        <v>1425</v>
      </c>
      <c r="K1840" s="123" t="s">
        <v>1426</v>
      </c>
      <c r="L1840" s="123" t="e">
        <f>VLOOKUP(Fact_AUM_FyoCapital[[#This Row],[Dim_Empresas.CUIT]],'clientes SQL'!C:D,2,0)</f>
        <v>#N/A</v>
      </c>
    </row>
    <row r="1841" spans="1:12" hidden="1" x14ac:dyDescent="0.3">
      <c r="A1841">
        <v>2615789</v>
      </c>
      <c r="B1841">
        <v>20251205</v>
      </c>
      <c r="C1841">
        <v>6999</v>
      </c>
      <c r="D1841">
        <v>-3.23</v>
      </c>
      <c r="E1841" s="123" t="s">
        <v>1563</v>
      </c>
      <c r="F1841" s="123" t="s">
        <v>950</v>
      </c>
      <c r="G1841" s="123"/>
      <c r="H1841" s="95">
        <v>45996</v>
      </c>
      <c r="I1841">
        <v>34695</v>
      </c>
      <c r="J1841" s="123" t="s">
        <v>325</v>
      </c>
      <c r="K1841" s="123" t="s">
        <v>1267</v>
      </c>
      <c r="L1841" s="123" t="e">
        <f>VLOOKUP(Fact_AUM_FyoCapital[[#This Row],[Dim_Empresas.CUIT]],'clientes SQL'!C:D,2,0)</f>
        <v>#N/A</v>
      </c>
    </row>
    <row r="1842" spans="1:12" hidden="1" x14ac:dyDescent="0.3">
      <c r="A1842">
        <v>1863757</v>
      </c>
      <c r="B1842">
        <v>20251205</v>
      </c>
      <c r="C1842">
        <v>2299</v>
      </c>
      <c r="D1842">
        <v>347020.4</v>
      </c>
      <c r="E1842" s="123" t="s">
        <v>1566</v>
      </c>
      <c r="F1842" s="123" t="s">
        <v>1579</v>
      </c>
      <c r="G1842" s="123"/>
      <c r="H1842" s="95">
        <v>45996</v>
      </c>
      <c r="I1842">
        <v>30388</v>
      </c>
      <c r="J1842" s="123" t="s">
        <v>290</v>
      </c>
      <c r="K1842" s="123" t="s">
        <v>1160</v>
      </c>
      <c r="L1842" s="123" t="e">
        <f>VLOOKUP(Fact_AUM_FyoCapital[[#This Row],[Dim_Empresas.CUIT]],'clientes SQL'!C:D,2,0)</f>
        <v>#N/A</v>
      </c>
    </row>
    <row r="1843" spans="1:12" hidden="1" x14ac:dyDescent="0.3">
      <c r="A1843">
        <v>2610149</v>
      </c>
      <c r="B1843">
        <v>20251205</v>
      </c>
      <c r="C1843">
        <v>4213</v>
      </c>
      <c r="D1843">
        <v>1.19</v>
      </c>
      <c r="E1843" s="123" t="s">
        <v>1563</v>
      </c>
      <c r="F1843" s="123" t="s">
        <v>950</v>
      </c>
      <c r="G1843" s="123"/>
      <c r="H1843" s="95">
        <v>45996</v>
      </c>
      <c r="I1843">
        <v>32849</v>
      </c>
      <c r="J1843" s="123" t="s">
        <v>190</v>
      </c>
      <c r="K1843" s="123" t="s">
        <v>1302</v>
      </c>
      <c r="L1843" s="123" t="e">
        <f>VLOOKUP(Fact_AUM_FyoCapital[[#This Row],[Dim_Empresas.CUIT]],'clientes SQL'!C:D,2,0)</f>
        <v>#N/A</v>
      </c>
    </row>
    <row r="1844" spans="1:12" hidden="1" x14ac:dyDescent="0.3">
      <c r="A1844">
        <v>1863037</v>
      </c>
      <c r="B1844">
        <v>20251205</v>
      </c>
      <c r="C1844">
        <v>682</v>
      </c>
      <c r="D1844">
        <v>0</v>
      </c>
      <c r="E1844" s="123"/>
      <c r="F1844" s="123"/>
      <c r="G1844" s="123"/>
      <c r="H1844" s="95">
        <v>45996</v>
      </c>
      <c r="I1844">
        <v>9775</v>
      </c>
      <c r="J1844" s="123" t="s">
        <v>287</v>
      </c>
      <c r="K1844" s="123" t="s">
        <v>1320</v>
      </c>
      <c r="L1844" s="123" t="e">
        <f>VLOOKUP(Fact_AUM_FyoCapital[[#This Row],[Dim_Empresas.CUIT]],'clientes SQL'!C:D,2,0)</f>
        <v>#N/A</v>
      </c>
    </row>
    <row r="1845" spans="1:12" hidden="1" x14ac:dyDescent="0.3">
      <c r="A1845">
        <v>1876537</v>
      </c>
      <c r="B1845">
        <v>20251205</v>
      </c>
      <c r="C1845">
        <v>95</v>
      </c>
      <c r="D1845">
        <v>489753.5</v>
      </c>
      <c r="E1845" s="123" t="s">
        <v>1566</v>
      </c>
      <c r="F1845" s="123" t="s">
        <v>1578</v>
      </c>
      <c r="G1845" s="123"/>
      <c r="H1845" s="95">
        <v>45996</v>
      </c>
      <c r="I1845">
        <v>708</v>
      </c>
      <c r="J1845" s="123" t="s">
        <v>1241</v>
      </c>
      <c r="K1845" s="123" t="s">
        <v>1242</v>
      </c>
      <c r="L1845" s="123" t="e">
        <f>VLOOKUP(Fact_AUM_FyoCapital[[#This Row],[Dim_Empresas.CUIT]],'clientes SQL'!C:D,2,0)</f>
        <v>#N/A</v>
      </c>
    </row>
    <row r="1846" spans="1:12" hidden="1" x14ac:dyDescent="0.3">
      <c r="A1846">
        <v>2622329</v>
      </c>
      <c r="B1846">
        <v>20251205</v>
      </c>
      <c r="C1846">
        <v>315</v>
      </c>
      <c r="D1846">
        <v>-12.818892005610099</v>
      </c>
      <c r="E1846" s="123" t="s">
        <v>1563</v>
      </c>
      <c r="F1846" s="123" t="s">
        <v>185</v>
      </c>
      <c r="G1846" s="123"/>
      <c r="H1846" s="95">
        <v>45996</v>
      </c>
      <c r="I1846">
        <v>736</v>
      </c>
      <c r="J1846" s="123" t="s">
        <v>404</v>
      </c>
      <c r="K1846" s="123" t="s">
        <v>1408</v>
      </c>
      <c r="L1846" s="123" t="e">
        <f>VLOOKUP(Fact_AUM_FyoCapital[[#This Row],[Dim_Empresas.CUIT]],'clientes SQL'!C:D,2,0)</f>
        <v>#N/A</v>
      </c>
    </row>
    <row r="1847" spans="1:12" hidden="1" x14ac:dyDescent="0.3">
      <c r="A1847">
        <v>1899577</v>
      </c>
      <c r="B1847">
        <v>20251205</v>
      </c>
      <c r="C1847">
        <v>12999</v>
      </c>
      <c r="D1847">
        <v>131.66399018232821</v>
      </c>
      <c r="E1847" s="123" t="s">
        <v>1568</v>
      </c>
      <c r="F1847" s="123" t="s">
        <v>1572</v>
      </c>
      <c r="G1847" s="123" t="s">
        <v>1583</v>
      </c>
      <c r="H1847" s="95">
        <v>45996</v>
      </c>
      <c r="I1847">
        <v>36209</v>
      </c>
      <c r="J1847" s="123" t="s">
        <v>586</v>
      </c>
      <c r="K1847" s="123" t="s">
        <v>1421</v>
      </c>
      <c r="L1847" s="123" t="e">
        <f>VLOOKUP(Fact_AUM_FyoCapital[[#This Row],[Dim_Empresas.CUIT]],'clientes SQL'!C:D,2,0)</f>
        <v>#N/A</v>
      </c>
    </row>
    <row r="1848" spans="1:12" hidden="1" x14ac:dyDescent="0.3">
      <c r="A1848">
        <v>1853017</v>
      </c>
      <c r="B1848">
        <v>20251205</v>
      </c>
      <c r="C1848">
        <v>5880</v>
      </c>
      <c r="D1848">
        <v>2164.0935764375877</v>
      </c>
      <c r="E1848" s="123" t="s">
        <v>1568</v>
      </c>
      <c r="F1848" s="123" t="s">
        <v>1572</v>
      </c>
      <c r="G1848" s="123" t="s">
        <v>1570</v>
      </c>
      <c r="H1848" s="95">
        <v>45996</v>
      </c>
      <c r="I1848">
        <v>33073</v>
      </c>
      <c r="J1848" s="123" t="s">
        <v>383</v>
      </c>
      <c r="K1848" s="123" t="s">
        <v>1329</v>
      </c>
      <c r="L1848" s="123" t="e">
        <f>VLOOKUP(Fact_AUM_FyoCapital[[#This Row],[Dim_Empresas.CUIT]],'clientes SQL'!C:D,2,0)</f>
        <v>#N/A</v>
      </c>
    </row>
    <row r="1849" spans="1:12" hidden="1" x14ac:dyDescent="0.3">
      <c r="A1849">
        <v>1869517</v>
      </c>
      <c r="B1849">
        <v>20251205</v>
      </c>
      <c r="C1849">
        <v>13361</v>
      </c>
      <c r="D1849">
        <v>2767.43</v>
      </c>
      <c r="E1849" s="123" t="s">
        <v>1566</v>
      </c>
      <c r="F1849" s="123" t="s">
        <v>1571</v>
      </c>
      <c r="G1849" s="123"/>
      <c r="H1849" s="95">
        <v>45996</v>
      </c>
      <c r="I1849">
        <v>36541</v>
      </c>
      <c r="J1849" s="123" t="s">
        <v>454</v>
      </c>
      <c r="K1849" s="123" t="s">
        <v>1322</v>
      </c>
      <c r="L1849" s="123" t="e">
        <f>VLOOKUP(Fact_AUM_FyoCapital[[#This Row],[Dim_Empresas.CUIT]],'clientes SQL'!C:D,2,0)</f>
        <v>#N/A</v>
      </c>
    </row>
    <row r="1850" spans="1:12" hidden="1" x14ac:dyDescent="0.3">
      <c r="A1850">
        <v>1840777</v>
      </c>
      <c r="B1850">
        <v>20251205</v>
      </c>
      <c r="C1850">
        <v>5251</v>
      </c>
      <c r="D1850">
        <v>0</v>
      </c>
      <c r="E1850" s="123"/>
      <c r="F1850" s="123"/>
      <c r="G1850" s="123"/>
      <c r="H1850" s="95">
        <v>45996</v>
      </c>
      <c r="I1850">
        <v>33173</v>
      </c>
      <c r="J1850" s="123" t="s">
        <v>341</v>
      </c>
      <c r="K1850" s="123" t="s">
        <v>1318</v>
      </c>
      <c r="L1850" s="123" t="e">
        <f>VLOOKUP(Fact_AUM_FyoCapital[[#This Row],[Dim_Empresas.CUIT]],'clientes SQL'!C:D,2,0)</f>
        <v>#N/A</v>
      </c>
    </row>
    <row r="1851" spans="1:12" hidden="1" x14ac:dyDescent="0.3">
      <c r="A1851">
        <v>2622269</v>
      </c>
      <c r="B1851">
        <v>20251205</v>
      </c>
      <c r="C1851">
        <v>8016</v>
      </c>
      <c r="D1851">
        <v>237.8</v>
      </c>
      <c r="E1851" s="123" t="s">
        <v>1563</v>
      </c>
      <c r="F1851" s="123" t="s">
        <v>950</v>
      </c>
      <c r="G1851" s="123"/>
      <c r="H1851" s="95">
        <v>45996</v>
      </c>
      <c r="I1851">
        <v>35240</v>
      </c>
      <c r="J1851" s="123" t="s">
        <v>411</v>
      </c>
      <c r="K1851" s="123" t="s">
        <v>1411</v>
      </c>
      <c r="L1851" s="123" t="e">
        <f>VLOOKUP(Fact_AUM_FyoCapital[[#This Row],[Dim_Empresas.CUIT]],'clientes SQL'!C:D,2,0)</f>
        <v>#N/A</v>
      </c>
    </row>
    <row r="1852" spans="1:12" hidden="1" x14ac:dyDescent="0.3">
      <c r="A1852">
        <v>2632229</v>
      </c>
      <c r="B1852">
        <v>20251205</v>
      </c>
      <c r="C1852">
        <v>931</v>
      </c>
      <c r="D1852">
        <v>6.87</v>
      </c>
      <c r="E1852" s="123" t="s">
        <v>1563</v>
      </c>
      <c r="F1852" s="123" t="s">
        <v>188</v>
      </c>
      <c r="G1852" s="123"/>
      <c r="H1852" s="95">
        <v>45996</v>
      </c>
      <c r="I1852">
        <v>18421</v>
      </c>
      <c r="J1852" s="123" t="s">
        <v>513</v>
      </c>
      <c r="K1852" s="123" t="s">
        <v>1412</v>
      </c>
      <c r="L1852" s="123" t="e">
        <f>VLOOKUP(Fact_AUM_FyoCapital[[#This Row],[Dim_Empresas.CUIT]],'clientes SQL'!C:D,2,0)</f>
        <v>#N/A</v>
      </c>
    </row>
    <row r="1853" spans="1:12" hidden="1" x14ac:dyDescent="0.3">
      <c r="A1853">
        <v>1871497</v>
      </c>
      <c r="B1853">
        <v>20251205</v>
      </c>
      <c r="C1853">
        <v>13719</v>
      </c>
      <c r="D1853">
        <v>0</v>
      </c>
      <c r="E1853" s="123"/>
      <c r="F1853" s="123"/>
      <c r="G1853" s="123"/>
      <c r="H1853" s="95">
        <v>45996</v>
      </c>
      <c r="I1853">
        <v>36879</v>
      </c>
      <c r="J1853" s="123" t="s">
        <v>1340</v>
      </c>
      <c r="K1853" s="123" t="s">
        <v>1341</v>
      </c>
      <c r="L1853" s="123" t="e">
        <f>VLOOKUP(Fact_AUM_FyoCapital[[#This Row],[Dim_Empresas.CUIT]],'clientes SQL'!C:D,2,0)</f>
        <v>#N/A</v>
      </c>
    </row>
    <row r="1854" spans="1:12" hidden="1" x14ac:dyDescent="0.3">
      <c r="A1854">
        <v>1880557</v>
      </c>
      <c r="B1854">
        <v>20251205</v>
      </c>
      <c r="C1854">
        <v>1546</v>
      </c>
      <c r="D1854">
        <v>0</v>
      </c>
      <c r="E1854" s="123"/>
      <c r="F1854" s="123"/>
      <c r="G1854" s="123"/>
      <c r="H1854" s="95">
        <v>45996</v>
      </c>
      <c r="I1854">
        <v>18554</v>
      </c>
      <c r="J1854" s="123" t="s">
        <v>550</v>
      </c>
      <c r="K1854" s="123" t="s">
        <v>1394</v>
      </c>
      <c r="L1854" s="123" t="e">
        <f>VLOOKUP(Fact_AUM_FyoCapital[[#This Row],[Dim_Empresas.CUIT]],'clientes SQL'!C:D,2,0)</f>
        <v>#N/A</v>
      </c>
    </row>
    <row r="1855" spans="1:12" hidden="1" x14ac:dyDescent="0.3">
      <c r="A1855">
        <v>1825297</v>
      </c>
      <c r="B1855">
        <v>20251205</v>
      </c>
      <c r="C1855">
        <v>920</v>
      </c>
      <c r="D1855">
        <v>96394.559999999998</v>
      </c>
      <c r="E1855" s="123" t="s">
        <v>1566</v>
      </c>
      <c r="F1855" s="123" t="s">
        <v>1579</v>
      </c>
      <c r="G1855" s="123"/>
      <c r="H1855" s="95">
        <v>45996</v>
      </c>
      <c r="I1855">
        <v>18292</v>
      </c>
      <c r="J1855" s="123" t="s">
        <v>243</v>
      </c>
      <c r="K1855" s="123" t="s">
        <v>1315</v>
      </c>
      <c r="L1855" s="123" t="e">
        <f>VLOOKUP(Fact_AUM_FyoCapital[[#This Row],[Dim_Empresas.CUIT]],'clientes SQL'!C:D,2,0)</f>
        <v>#N/A</v>
      </c>
    </row>
    <row r="1856" spans="1:12" hidden="1" x14ac:dyDescent="0.3">
      <c r="A1856">
        <v>2600909</v>
      </c>
      <c r="B1856">
        <v>20251205</v>
      </c>
      <c r="C1856">
        <v>15122</v>
      </c>
      <c r="D1856">
        <v>4703.3900000000003</v>
      </c>
      <c r="E1856" s="123" t="s">
        <v>1566</v>
      </c>
      <c r="F1856" s="123" t="s">
        <v>1579</v>
      </c>
      <c r="G1856" s="123"/>
      <c r="H1856" s="95">
        <v>45996</v>
      </c>
      <c r="I1856">
        <v>37263</v>
      </c>
      <c r="J1856" s="123" t="s">
        <v>1342</v>
      </c>
      <c r="K1856" s="123" t="s">
        <v>1343</v>
      </c>
      <c r="L1856" s="123" t="e">
        <f>VLOOKUP(Fact_AUM_FyoCapital[[#This Row],[Dim_Empresas.CUIT]],'clientes SQL'!C:D,2,0)</f>
        <v>#N/A</v>
      </c>
    </row>
    <row r="1857" spans="1:12" hidden="1" x14ac:dyDescent="0.3">
      <c r="A1857">
        <v>1850857</v>
      </c>
      <c r="B1857">
        <v>20251205</v>
      </c>
      <c r="C1857">
        <v>1099</v>
      </c>
      <c r="D1857">
        <v>35798.487173913047</v>
      </c>
      <c r="E1857" s="123" t="s">
        <v>1568</v>
      </c>
      <c r="F1857" s="123" t="s">
        <v>1572</v>
      </c>
      <c r="G1857" s="123" t="s">
        <v>1574</v>
      </c>
      <c r="H1857" s="95">
        <v>45996</v>
      </c>
      <c r="I1857">
        <v>18842</v>
      </c>
      <c r="J1857" s="123" t="s">
        <v>250</v>
      </c>
      <c r="K1857" s="123" t="s">
        <v>1287</v>
      </c>
      <c r="L1857" s="123" t="e">
        <f>VLOOKUP(Fact_AUM_FyoCapital[[#This Row],[Dim_Empresas.CUIT]],'clientes SQL'!C:D,2,0)</f>
        <v>#N/A</v>
      </c>
    </row>
    <row r="1858" spans="1:12" hidden="1" x14ac:dyDescent="0.3">
      <c r="A1858">
        <v>1865497</v>
      </c>
      <c r="B1858">
        <v>20251205</v>
      </c>
      <c r="C1858">
        <v>4531</v>
      </c>
      <c r="D1858">
        <v>9562.8539551192152</v>
      </c>
      <c r="E1858" s="123" t="s">
        <v>1568</v>
      </c>
      <c r="F1858" s="123" t="s">
        <v>1572</v>
      </c>
      <c r="G1858" s="123" t="s">
        <v>1570</v>
      </c>
      <c r="H1858" s="95">
        <v>45996</v>
      </c>
      <c r="I1858">
        <v>3422</v>
      </c>
      <c r="J1858" s="123" t="s">
        <v>498</v>
      </c>
      <c r="K1858" s="123" t="s">
        <v>1231</v>
      </c>
      <c r="L1858" s="123" t="e">
        <f>VLOOKUP(Fact_AUM_FyoCapital[[#This Row],[Dim_Empresas.CUIT]],'clientes SQL'!C:D,2,0)</f>
        <v>#N/A</v>
      </c>
    </row>
    <row r="1859" spans="1:12" hidden="1" x14ac:dyDescent="0.3">
      <c r="A1859">
        <v>2627189</v>
      </c>
      <c r="B1859">
        <v>20251205</v>
      </c>
      <c r="C1859">
        <v>1361</v>
      </c>
      <c r="D1859">
        <v>8032.42</v>
      </c>
      <c r="E1859" s="123" t="s">
        <v>1563</v>
      </c>
      <c r="F1859" s="123" t="s">
        <v>950</v>
      </c>
      <c r="G1859" s="123"/>
      <c r="H1859" s="95">
        <v>45996</v>
      </c>
      <c r="I1859">
        <v>19517</v>
      </c>
      <c r="J1859" s="123" t="s">
        <v>647</v>
      </c>
      <c r="K1859" s="123" t="s">
        <v>1399</v>
      </c>
      <c r="L1859" s="123" t="e">
        <f>VLOOKUP(Fact_AUM_FyoCapital[[#This Row],[Dim_Empresas.CUIT]],'clientes SQL'!C:D,2,0)</f>
        <v>#N/A</v>
      </c>
    </row>
    <row r="1860" spans="1:12" hidden="1" x14ac:dyDescent="0.3">
      <c r="A1860">
        <v>1840357</v>
      </c>
      <c r="B1860">
        <v>20251205</v>
      </c>
      <c r="C1860">
        <v>5251</v>
      </c>
      <c r="D1860">
        <v>0</v>
      </c>
      <c r="E1860" s="123"/>
      <c r="F1860" s="123"/>
      <c r="G1860" s="123"/>
      <c r="H1860" s="95">
        <v>45996</v>
      </c>
      <c r="I1860">
        <v>33173</v>
      </c>
      <c r="J1860" s="123" t="s">
        <v>341</v>
      </c>
      <c r="K1860" s="123" t="s">
        <v>1318</v>
      </c>
      <c r="L1860" s="123" t="e">
        <f>VLOOKUP(Fact_AUM_FyoCapital[[#This Row],[Dim_Empresas.CUIT]],'clientes SQL'!C:D,2,0)</f>
        <v>#N/A</v>
      </c>
    </row>
    <row r="1861" spans="1:12" hidden="1" x14ac:dyDescent="0.3">
      <c r="A1861">
        <v>1880017</v>
      </c>
      <c r="B1861">
        <v>20251205</v>
      </c>
      <c r="C1861">
        <v>1546</v>
      </c>
      <c r="D1861">
        <v>0</v>
      </c>
      <c r="E1861" s="123"/>
      <c r="F1861" s="123"/>
      <c r="G1861" s="123"/>
      <c r="H1861" s="95">
        <v>45996</v>
      </c>
      <c r="I1861">
        <v>18554</v>
      </c>
      <c r="J1861" s="123" t="s">
        <v>550</v>
      </c>
      <c r="K1861" s="123" t="s">
        <v>1394</v>
      </c>
      <c r="L1861" s="123" t="e">
        <f>VLOOKUP(Fact_AUM_FyoCapital[[#This Row],[Dim_Empresas.CUIT]],'clientes SQL'!C:D,2,0)</f>
        <v>#N/A</v>
      </c>
    </row>
    <row r="1862" spans="1:12" hidden="1" x14ac:dyDescent="0.3">
      <c r="A1862">
        <v>1890757</v>
      </c>
      <c r="B1862">
        <v>20251205</v>
      </c>
      <c r="C1862">
        <v>1853</v>
      </c>
      <c r="D1862">
        <v>482706.5</v>
      </c>
      <c r="E1862" s="123" t="s">
        <v>1566</v>
      </c>
      <c r="F1862" s="123" t="s">
        <v>1578</v>
      </c>
      <c r="G1862" s="123"/>
      <c r="H1862" s="95">
        <v>45996</v>
      </c>
      <c r="I1862">
        <v>19392</v>
      </c>
      <c r="J1862" s="123" t="s">
        <v>1309</v>
      </c>
      <c r="K1862" s="123" t="s">
        <v>1310</v>
      </c>
      <c r="L1862" s="123" t="e">
        <f>VLOOKUP(Fact_AUM_FyoCapital[[#This Row],[Dim_Empresas.CUIT]],'clientes SQL'!C:D,2,0)</f>
        <v>#N/A</v>
      </c>
    </row>
    <row r="1863" spans="1:12" hidden="1" x14ac:dyDescent="0.3">
      <c r="A1863">
        <v>1880317</v>
      </c>
      <c r="B1863">
        <v>20251205</v>
      </c>
      <c r="C1863">
        <v>1546</v>
      </c>
      <c r="D1863">
        <v>0</v>
      </c>
      <c r="E1863" s="123"/>
      <c r="F1863" s="123"/>
      <c r="G1863" s="123"/>
      <c r="H1863" s="95">
        <v>45996</v>
      </c>
      <c r="I1863">
        <v>18554</v>
      </c>
      <c r="J1863" s="123" t="s">
        <v>550</v>
      </c>
      <c r="K1863" s="123" t="s">
        <v>1394</v>
      </c>
      <c r="L1863" s="123" t="e">
        <f>VLOOKUP(Fact_AUM_FyoCapital[[#This Row],[Dim_Empresas.CUIT]],'clientes SQL'!C:D,2,0)</f>
        <v>#N/A</v>
      </c>
    </row>
    <row r="1864" spans="1:12" hidden="1" x14ac:dyDescent="0.3">
      <c r="A1864">
        <v>1896277</v>
      </c>
      <c r="B1864">
        <v>20251205</v>
      </c>
      <c r="C1864">
        <v>10253</v>
      </c>
      <c r="D1864">
        <v>40026.699999999997</v>
      </c>
      <c r="E1864" s="123" t="s">
        <v>1566</v>
      </c>
      <c r="F1864" s="123" t="s">
        <v>1571</v>
      </c>
      <c r="G1864" s="123"/>
      <c r="H1864" s="95">
        <v>45996</v>
      </c>
      <c r="I1864">
        <v>35643</v>
      </c>
      <c r="J1864" s="123" t="s">
        <v>603</v>
      </c>
      <c r="K1864" s="123" t="s">
        <v>1220</v>
      </c>
      <c r="L1864" s="123" t="e">
        <f>VLOOKUP(Fact_AUM_FyoCapital[[#This Row],[Dim_Empresas.CUIT]],'clientes SQL'!C:D,2,0)</f>
        <v>#N/A</v>
      </c>
    </row>
    <row r="1865" spans="1:12" hidden="1" x14ac:dyDescent="0.3">
      <c r="A1865">
        <v>2613869</v>
      </c>
      <c r="B1865">
        <v>20251205</v>
      </c>
      <c r="C1865">
        <v>7</v>
      </c>
      <c r="D1865">
        <v>-9997.8956030855552</v>
      </c>
      <c r="E1865" s="123" t="s">
        <v>1563</v>
      </c>
      <c r="F1865" s="123" t="s">
        <v>185</v>
      </c>
      <c r="G1865" s="123"/>
      <c r="H1865" s="95">
        <v>45996</v>
      </c>
      <c r="I1865">
        <v>5181</v>
      </c>
      <c r="J1865" s="123" t="s">
        <v>212</v>
      </c>
      <c r="K1865" s="123" t="s">
        <v>1238</v>
      </c>
      <c r="L1865" s="123" t="e">
        <f>VLOOKUP(Fact_AUM_FyoCapital[[#This Row],[Dim_Empresas.CUIT]],'clientes SQL'!C:D,2,0)</f>
        <v>#N/A</v>
      </c>
    </row>
    <row r="1866" spans="1:12" hidden="1" x14ac:dyDescent="0.3">
      <c r="A1866">
        <v>1838857</v>
      </c>
      <c r="B1866">
        <v>20251205</v>
      </c>
      <c r="C1866">
        <v>5875</v>
      </c>
      <c r="D1866">
        <v>42031.28</v>
      </c>
      <c r="E1866" s="123" t="s">
        <v>1566</v>
      </c>
      <c r="F1866" s="123" t="s">
        <v>1579</v>
      </c>
      <c r="G1866" s="123"/>
      <c r="H1866" s="95">
        <v>45996</v>
      </c>
      <c r="I1866">
        <v>33579</v>
      </c>
      <c r="J1866" s="123" t="s">
        <v>344</v>
      </c>
      <c r="K1866" s="123" t="s">
        <v>1395</v>
      </c>
      <c r="L1866" s="123" t="e">
        <f>VLOOKUP(Fact_AUM_FyoCapital[[#This Row],[Dim_Empresas.CUIT]],'clientes SQL'!C:D,2,0)</f>
        <v>#N/A</v>
      </c>
    </row>
    <row r="1867" spans="1:12" hidden="1" x14ac:dyDescent="0.3">
      <c r="A1867">
        <v>1881217</v>
      </c>
      <c r="B1867">
        <v>20251205</v>
      </c>
      <c r="C1867">
        <v>1546</v>
      </c>
      <c r="D1867">
        <v>0</v>
      </c>
      <c r="E1867" s="123"/>
      <c r="F1867" s="123"/>
      <c r="G1867" s="123"/>
      <c r="H1867" s="95">
        <v>45996</v>
      </c>
      <c r="I1867">
        <v>18554</v>
      </c>
      <c r="J1867" s="123" t="s">
        <v>550</v>
      </c>
      <c r="K1867" s="123" t="s">
        <v>1394</v>
      </c>
      <c r="L1867" s="123" t="e">
        <f>VLOOKUP(Fact_AUM_FyoCapital[[#This Row],[Dim_Empresas.CUIT]],'clientes SQL'!C:D,2,0)</f>
        <v>#N/A</v>
      </c>
    </row>
    <row r="1868" spans="1:12" hidden="1" x14ac:dyDescent="0.3">
      <c r="A1868">
        <v>1857097</v>
      </c>
      <c r="B1868">
        <v>20251205</v>
      </c>
      <c r="C1868">
        <v>1191</v>
      </c>
      <c r="D1868">
        <v>0</v>
      </c>
      <c r="E1868" s="123"/>
      <c r="F1868" s="123"/>
      <c r="G1868" s="123"/>
      <c r="H1868" s="95">
        <v>45996</v>
      </c>
      <c r="I1868">
        <v>18954</v>
      </c>
      <c r="J1868" s="123" t="s">
        <v>1247</v>
      </c>
      <c r="K1868" s="123" t="s">
        <v>1248</v>
      </c>
      <c r="L1868" s="123" t="e">
        <f>VLOOKUP(Fact_AUM_FyoCapital[[#This Row],[Dim_Empresas.CUIT]],'clientes SQL'!C:D,2,0)</f>
        <v>#N/A</v>
      </c>
    </row>
    <row r="1869" spans="1:12" hidden="1" x14ac:dyDescent="0.3">
      <c r="A1869">
        <v>1902397</v>
      </c>
      <c r="B1869">
        <v>20251205</v>
      </c>
      <c r="C1869">
        <v>14873</v>
      </c>
      <c r="D1869">
        <v>3161.9947405329594</v>
      </c>
      <c r="E1869" s="123" t="s">
        <v>1566</v>
      </c>
      <c r="F1869" s="123" t="s">
        <v>1571</v>
      </c>
      <c r="G1869" s="123"/>
      <c r="H1869" s="95">
        <v>45996</v>
      </c>
      <c r="I1869">
        <v>37088</v>
      </c>
      <c r="J1869" s="123" t="s">
        <v>571</v>
      </c>
      <c r="K1869" s="123" t="s">
        <v>1269</v>
      </c>
      <c r="L1869" s="123" t="e">
        <f>VLOOKUP(Fact_AUM_FyoCapital[[#This Row],[Dim_Empresas.CUIT]],'clientes SQL'!C:D,2,0)</f>
        <v>#N/A</v>
      </c>
    </row>
    <row r="1870" spans="1:12" hidden="1" x14ac:dyDescent="0.3">
      <c r="A1870">
        <v>2645069</v>
      </c>
      <c r="B1870">
        <v>20251205</v>
      </c>
      <c r="C1870">
        <v>12993</v>
      </c>
      <c r="D1870">
        <v>-39.052503506311361</v>
      </c>
      <c r="E1870" s="123" t="s">
        <v>1563</v>
      </c>
      <c r="F1870" s="123" t="s">
        <v>185</v>
      </c>
      <c r="G1870" s="123"/>
      <c r="H1870" s="95">
        <v>45996</v>
      </c>
      <c r="I1870">
        <v>36201</v>
      </c>
      <c r="J1870" s="123" t="s">
        <v>617</v>
      </c>
      <c r="K1870" s="123" t="s">
        <v>1515</v>
      </c>
      <c r="L1870" s="123" t="e">
        <f>VLOOKUP(Fact_AUM_FyoCapital[[#This Row],[Dim_Empresas.CUIT]],'clientes SQL'!C:D,2,0)</f>
        <v>#N/A</v>
      </c>
    </row>
    <row r="1871" spans="1:12" hidden="1" x14ac:dyDescent="0.3">
      <c r="A1871">
        <v>2636609</v>
      </c>
      <c r="B1871">
        <v>20251205</v>
      </c>
      <c r="C1871">
        <v>1065</v>
      </c>
      <c r="D1871">
        <v>-133.06626928471249</v>
      </c>
      <c r="E1871" s="123" t="s">
        <v>1563</v>
      </c>
      <c r="F1871" s="123" t="s">
        <v>185</v>
      </c>
      <c r="G1871" s="123"/>
      <c r="H1871" s="95">
        <v>45996</v>
      </c>
      <c r="I1871">
        <v>18751</v>
      </c>
      <c r="J1871" s="123" t="s">
        <v>370</v>
      </c>
      <c r="K1871" s="123" t="s">
        <v>1321</v>
      </c>
      <c r="L1871" s="123" t="e">
        <f>VLOOKUP(Fact_AUM_FyoCapital[[#This Row],[Dim_Empresas.CUIT]],'clientes SQL'!C:D,2,0)</f>
        <v>#N/A</v>
      </c>
    </row>
    <row r="1872" spans="1:12" hidden="1" x14ac:dyDescent="0.3">
      <c r="A1872">
        <v>1841077</v>
      </c>
      <c r="B1872">
        <v>20251205</v>
      </c>
      <c r="C1872">
        <v>5251</v>
      </c>
      <c r="D1872">
        <v>0</v>
      </c>
      <c r="E1872" s="123"/>
      <c r="F1872" s="123"/>
      <c r="G1872" s="123"/>
      <c r="H1872" s="95">
        <v>45996</v>
      </c>
      <c r="I1872">
        <v>33173</v>
      </c>
      <c r="J1872" s="123" t="s">
        <v>341</v>
      </c>
      <c r="K1872" s="123" t="s">
        <v>1318</v>
      </c>
      <c r="L1872" s="123" t="e">
        <f>VLOOKUP(Fact_AUM_FyoCapital[[#This Row],[Dim_Empresas.CUIT]],'clientes SQL'!C:D,2,0)</f>
        <v>#N/A</v>
      </c>
    </row>
    <row r="1873" spans="1:12" hidden="1" x14ac:dyDescent="0.3">
      <c r="A1873">
        <v>2608649</v>
      </c>
      <c r="B1873">
        <v>20251205</v>
      </c>
      <c r="C1873">
        <v>1244</v>
      </c>
      <c r="D1873">
        <v>1.0422370266479664</v>
      </c>
      <c r="E1873" s="123" t="s">
        <v>1563</v>
      </c>
      <c r="F1873" s="123" t="s">
        <v>185</v>
      </c>
      <c r="G1873" s="123"/>
      <c r="H1873" s="95">
        <v>45996</v>
      </c>
      <c r="I1873">
        <v>19327</v>
      </c>
      <c r="J1873" s="123" t="s">
        <v>194</v>
      </c>
      <c r="K1873" s="123" t="s">
        <v>1347</v>
      </c>
      <c r="L1873" s="123" t="e">
        <f>VLOOKUP(Fact_AUM_FyoCapital[[#This Row],[Dim_Empresas.CUIT]],'clientes SQL'!C:D,2,0)</f>
        <v>#N/A</v>
      </c>
    </row>
    <row r="1874" spans="1:12" hidden="1" x14ac:dyDescent="0.3">
      <c r="A1874">
        <v>1902277</v>
      </c>
      <c r="B1874">
        <v>20251205</v>
      </c>
      <c r="C1874">
        <v>14873</v>
      </c>
      <c r="D1874">
        <v>3687.5623632538568</v>
      </c>
      <c r="E1874" s="123" t="s">
        <v>1566</v>
      </c>
      <c r="F1874" s="123" t="s">
        <v>1571</v>
      </c>
      <c r="G1874" s="123"/>
      <c r="H1874" s="95">
        <v>45996</v>
      </c>
      <c r="I1874">
        <v>37088</v>
      </c>
      <c r="J1874" s="123" t="s">
        <v>571</v>
      </c>
      <c r="K1874" s="123" t="s">
        <v>1269</v>
      </c>
      <c r="L1874" s="123" t="e">
        <f>VLOOKUP(Fact_AUM_FyoCapital[[#This Row],[Dim_Empresas.CUIT]],'clientes SQL'!C:D,2,0)</f>
        <v>#N/A</v>
      </c>
    </row>
    <row r="1875" spans="1:12" hidden="1" x14ac:dyDescent="0.3">
      <c r="A1875">
        <v>1839337</v>
      </c>
      <c r="B1875">
        <v>20251205</v>
      </c>
      <c r="C1875">
        <v>5868</v>
      </c>
      <c r="D1875">
        <v>67.300140252454412</v>
      </c>
      <c r="E1875" s="123" t="s">
        <v>1566</v>
      </c>
      <c r="F1875" s="123" t="s">
        <v>1573</v>
      </c>
      <c r="G1875" s="123"/>
      <c r="H1875" s="95">
        <v>45996</v>
      </c>
      <c r="I1875">
        <v>33580</v>
      </c>
      <c r="J1875" s="123" t="s">
        <v>348</v>
      </c>
      <c r="K1875" s="123" t="s">
        <v>1277</v>
      </c>
      <c r="L1875" s="123" t="e">
        <f>VLOOKUP(Fact_AUM_FyoCapital[[#This Row],[Dim_Empresas.CUIT]],'clientes SQL'!C:D,2,0)</f>
        <v>#N/A</v>
      </c>
    </row>
    <row r="1876" spans="1:12" hidden="1" x14ac:dyDescent="0.3">
      <c r="A1876">
        <v>1887037</v>
      </c>
      <c r="B1876">
        <v>20251205</v>
      </c>
      <c r="C1876">
        <v>1417</v>
      </c>
      <c r="D1876">
        <v>11359.956255259467</v>
      </c>
      <c r="E1876" s="123" t="s">
        <v>1568</v>
      </c>
      <c r="F1876" s="123" t="s">
        <v>1572</v>
      </c>
      <c r="G1876" s="123" t="s">
        <v>1583</v>
      </c>
      <c r="H1876" s="95">
        <v>45996</v>
      </c>
      <c r="I1876">
        <v>9611</v>
      </c>
      <c r="J1876" s="123" t="s">
        <v>709</v>
      </c>
      <c r="K1876" s="123" t="s">
        <v>1436</v>
      </c>
      <c r="L1876" s="123" t="e">
        <f>VLOOKUP(Fact_AUM_FyoCapital[[#This Row],[Dim_Empresas.CUIT]],'clientes SQL'!C:D,2,0)</f>
        <v>#N/A</v>
      </c>
    </row>
    <row r="1877" spans="1:12" hidden="1" x14ac:dyDescent="0.3">
      <c r="A1877">
        <v>1840477</v>
      </c>
      <c r="B1877">
        <v>20251205</v>
      </c>
      <c r="C1877">
        <v>5251</v>
      </c>
      <c r="D1877">
        <v>0</v>
      </c>
      <c r="E1877" s="123"/>
      <c r="F1877" s="123"/>
      <c r="G1877" s="123"/>
      <c r="H1877" s="95">
        <v>45996</v>
      </c>
      <c r="I1877">
        <v>33173</v>
      </c>
      <c r="J1877" s="123" t="s">
        <v>341</v>
      </c>
      <c r="K1877" s="123" t="s">
        <v>1318</v>
      </c>
      <c r="L1877" s="123" t="e">
        <f>VLOOKUP(Fact_AUM_FyoCapital[[#This Row],[Dim_Empresas.CUIT]],'clientes SQL'!C:D,2,0)</f>
        <v>#N/A</v>
      </c>
    </row>
    <row r="1878" spans="1:12" hidden="1" x14ac:dyDescent="0.3">
      <c r="A1878">
        <v>1860997</v>
      </c>
      <c r="B1878">
        <v>20251205</v>
      </c>
      <c r="C1878">
        <v>682</v>
      </c>
      <c r="D1878">
        <v>0</v>
      </c>
      <c r="E1878" s="123"/>
      <c r="F1878" s="123"/>
      <c r="G1878" s="123"/>
      <c r="H1878" s="95">
        <v>45996</v>
      </c>
      <c r="I1878">
        <v>9775</v>
      </c>
      <c r="J1878" s="123" t="s">
        <v>287</v>
      </c>
      <c r="K1878" s="123" t="s">
        <v>1320</v>
      </c>
      <c r="L1878" s="123" t="e">
        <f>VLOOKUP(Fact_AUM_FyoCapital[[#This Row],[Dim_Empresas.CUIT]],'clientes SQL'!C:D,2,0)</f>
        <v>#N/A</v>
      </c>
    </row>
    <row r="1879" spans="1:12" hidden="1" x14ac:dyDescent="0.3">
      <c r="A1879">
        <v>2637449</v>
      </c>
      <c r="B1879">
        <v>20251205</v>
      </c>
      <c r="C1879">
        <v>1456</v>
      </c>
      <c r="D1879">
        <v>-2.2334011220196355</v>
      </c>
      <c r="E1879" s="123" t="s">
        <v>1563</v>
      </c>
      <c r="F1879" s="123" t="s">
        <v>185</v>
      </c>
      <c r="G1879" s="123"/>
      <c r="H1879" s="95">
        <v>45996</v>
      </c>
      <c r="I1879">
        <v>19844</v>
      </c>
      <c r="J1879" s="123" t="s">
        <v>535</v>
      </c>
      <c r="K1879" s="123" t="s">
        <v>1420</v>
      </c>
      <c r="L1879" s="123" t="e">
        <f>VLOOKUP(Fact_AUM_FyoCapital[[#This Row],[Dim_Empresas.CUIT]],'clientes SQL'!C:D,2,0)</f>
        <v>#N/A</v>
      </c>
    </row>
    <row r="1880" spans="1:12" hidden="1" x14ac:dyDescent="0.3">
      <c r="A1880">
        <v>2626709</v>
      </c>
      <c r="B1880">
        <v>20251205</v>
      </c>
      <c r="C1880">
        <v>1473</v>
      </c>
      <c r="D1880">
        <v>2.3583309957924263</v>
      </c>
      <c r="E1880" s="123" t="s">
        <v>1563</v>
      </c>
      <c r="F1880" s="123" t="s">
        <v>185</v>
      </c>
      <c r="G1880" s="123"/>
      <c r="H1880" s="95">
        <v>45996</v>
      </c>
      <c r="I1880">
        <v>19620</v>
      </c>
      <c r="J1880" s="123" t="s">
        <v>443</v>
      </c>
      <c r="K1880" s="123" t="s">
        <v>1333</v>
      </c>
      <c r="L1880" s="123" t="e">
        <f>VLOOKUP(Fact_AUM_FyoCapital[[#This Row],[Dim_Empresas.CUIT]],'clientes SQL'!C:D,2,0)</f>
        <v>#N/A</v>
      </c>
    </row>
    <row r="1881" spans="1:12" hidden="1" x14ac:dyDescent="0.3">
      <c r="A1881">
        <v>1840117</v>
      </c>
      <c r="B1881">
        <v>20251205</v>
      </c>
      <c r="C1881">
        <v>5251</v>
      </c>
      <c r="D1881">
        <v>133639.29130434783</v>
      </c>
      <c r="E1881" s="123" t="s">
        <v>1566</v>
      </c>
      <c r="F1881" s="123" t="s">
        <v>1578</v>
      </c>
      <c r="G1881" s="123"/>
      <c r="H1881" s="95">
        <v>45996</v>
      </c>
      <c r="I1881">
        <v>33173</v>
      </c>
      <c r="J1881" s="123" t="s">
        <v>341</v>
      </c>
      <c r="K1881" s="123" t="s">
        <v>1318</v>
      </c>
      <c r="L1881" s="123" t="e">
        <f>VLOOKUP(Fact_AUM_FyoCapital[[#This Row],[Dim_Empresas.CUIT]],'clientes SQL'!C:D,2,0)</f>
        <v>#N/A</v>
      </c>
    </row>
    <row r="1882" spans="1:12" hidden="1" x14ac:dyDescent="0.3">
      <c r="A1882">
        <v>1879777</v>
      </c>
      <c r="B1882">
        <v>20251205</v>
      </c>
      <c r="C1882">
        <v>1546</v>
      </c>
      <c r="D1882">
        <v>0</v>
      </c>
      <c r="E1882" s="123"/>
      <c r="F1882" s="123"/>
      <c r="G1882" s="123"/>
      <c r="H1882" s="95">
        <v>45996</v>
      </c>
      <c r="I1882">
        <v>18554</v>
      </c>
      <c r="J1882" s="123" t="s">
        <v>550</v>
      </c>
      <c r="K1882" s="123" t="s">
        <v>1394</v>
      </c>
      <c r="L1882" s="123" t="e">
        <f>VLOOKUP(Fact_AUM_FyoCapital[[#This Row],[Dim_Empresas.CUIT]],'clientes SQL'!C:D,2,0)</f>
        <v>#N/A</v>
      </c>
    </row>
    <row r="1883" spans="1:12" hidden="1" x14ac:dyDescent="0.3">
      <c r="A1883">
        <v>1850017</v>
      </c>
      <c r="B1883">
        <v>20251205</v>
      </c>
      <c r="C1883">
        <v>2298</v>
      </c>
      <c r="D1883">
        <v>693774.99929172511</v>
      </c>
      <c r="E1883" s="123" t="s">
        <v>1566</v>
      </c>
      <c r="F1883" s="123" t="s">
        <v>1571</v>
      </c>
      <c r="G1883" s="123"/>
      <c r="H1883" s="95">
        <v>45996</v>
      </c>
      <c r="I1883">
        <v>30387</v>
      </c>
      <c r="J1883" s="123" t="s">
        <v>1532</v>
      </c>
      <c r="K1883" s="123" t="s">
        <v>1291</v>
      </c>
      <c r="L1883" s="123" t="e">
        <f>VLOOKUP(Fact_AUM_FyoCapital[[#This Row],[Dim_Empresas.CUIT]],'clientes SQL'!C:D,2,0)</f>
        <v>#N/A</v>
      </c>
    </row>
    <row r="1884" spans="1:12" hidden="1" x14ac:dyDescent="0.3">
      <c r="A1884">
        <v>1880077</v>
      </c>
      <c r="B1884">
        <v>20251205</v>
      </c>
      <c r="C1884">
        <v>1546</v>
      </c>
      <c r="D1884">
        <v>0</v>
      </c>
      <c r="E1884" s="123"/>
      <c r="F1884" s="123"/>
      <c r="G1884" s="123"/>
      <c r="H1884" s="95">
        <v>45996</v>
      </c>
      <c r="I1884">
        <v>18554</v>
      </c>
      <c r="J1884" s="123" t="s">
        <v>550</v>
      </c>
      <c r="K1884" s="123" t="s">
        <v>1394</v>
      </c>
      <c r="L1884" s="123" t="e">
        <f>VLOOKUP(Fact_AUM_FyoCapital[[#This Row],[Dim_Empresas.CUIT]],'clientes SQL'!C:D,2,0)</f>
        <v>#N/A</v>
      </c>
    </row>
    <row r="1885" spans="1:12" hidden="1" x14ac:dyDescent="0.3">
      <c r="A1885">
        <v>1902997</v>
      </c>
      <c r="B1885">
        <v>20251205</v>
      </c>
      <c r="C1885">
        <v>14876</v>
      </c>
      <c r="D1885">
        <v>1163.3099579242637</v>
      </c>
      <c r="E1885" s="123" t="s">
        <v>1566</v>
      </c>
      <c r="F1885" s="123" t="s">
        <v>1573</v>
      </c>
      <c r="G1885" s="123"/>
      <c r="H1885" s="95">
        <v>45996</v>
      </c>
      <c r="I1885">
        <v>37091</v>
      </c>
      <c r="J1885" s="123" t="s">
        <v>604</v>
      </c>
      <c r="K1885" s="123" t="s">
        <v>1293</v>
      </c>
      <c r="L1885" s="123" t="e">
        <f>VLOOKUP(Fact_AUM_FyoCapital[[#This Row],[Dim_Empresas.CUIT]],'clientes SQL'!C:D,2,0)</f>
        <v>#N/A</v>
      </c>
    </row>
    <row r="1886" spans="1:12" hidden="1" x14ac:dyDescent="0.3">
      <c r="A1886">
        <v>1885057</v>
      </c>
      <c r="B1886">
        <v>20251205</v>
      </c>
      <c r="C1886">
        <v>3288</v>
      </c>
      <c r="D1886">
        <v>25893.760659186537</v>
      </c>
      <c r="E1886" s="123" t="s">
        <v>1566</v>
      </c>
      <c r="F1886" s="123" t="s">
        <v>1571</v>
      </c>
      <c r="G1886" s="123"/>
      <c r="H1886" s="95">
        <v>45996</v>
      </c>
      <c r="I1886">
        <v>31716</v>
      </c>
      <c r="J1886" s="123" t="s">
        <v>544</v>
      </c>
      <c r="K1886" s="123" t="s">
        <v>1353</v>
      </c>
      <c r="L1886" s="123" t="e">
        <f>VLOOKUP(Fact_AUM_FyoCapital[[#This Row],[Dim_Empresas.CUIT]],'clientes SQL'!C:D,2,0)</f>
        <v>#N/A</v>
      </c>
    </row>
    <row r="1887" spans="1:12" hidden="1" x14ac:dyDescent="0.3">
      <c r="A1887">
        <v>1844617</v>
      </c>
      <c r="B1887">
        <v>20251205</v>
      </c>
      <c r="C1887">
        <v>12979</v>
      </c>
      <c r="D1887">
        <v>0</v>
      </c>
      <c r="E1887" s="123"/>
      <c r="F1887" s="123"/>
      <c r="G1887" s="123"/>
      <c r="H1887" s="95">
        <v>45996</v>
      </c>
      <c r="I1887">
        <v>36187</v>
      </c>
      <c r="J1887" s="123" t="s">
        <v>311</v>
      </c>
      <c r="K1887" s="123" t="s">
        <v>1319</v>
      </c>
      <c r="L1887" s="123" t="e">
        <f>VLOOKUP(Fact_AUM_FyoCapital[[#This Row],[Dim_Empresas.CUIT]],'clientes SQL'!C:D,2,0)</f>
        <v>#N/A</v>
      </c>
    </row>
    <row r="1888" spans="1:12" hidden="1" x14ac:dyDescent="0.3">
      <c r="A1888">
        <v>1867837</v>
      </c>
      <c r="B1888">
        <v>20251205</v>
      </c>
      <c r="C1888">
        <v>2346</v>
      </c>
      <c r="D1888">
        <v>38037.034607293128</v>
      </c>
      <c r="E1888" s="123" t="s">
        <v>1566</v>
      </c>
      <c r="F1888" s="123" t="s">
        <v>1571</v>
      </c>
      <c r="G1888" s="123"/>
      <c r="H1888" s="95">
        <v>45996</v>
      </c>
      <c r="I1888">
        <v>30471</v>
      </c>
      <c r="J1888" s="123" t="s">
        <v>469</v>
      </c>
      <c r="K1888" s="123" t="s">
        <v>1316</v>
      </c>
      <c r="L1888" s="123" t="e">
        <f>VLOOKUP(Fact_AUM_FyoCapital[[#This Row],[Dim_Empresas.CUIT]],'clientes SQL'!C:D,2,0)</f>
        <v>#N/A</v>
      </c>
    </row>
    <row r="1889" spans="1:12" hidden="1" x14ac:dyDescent="0.3">
      <c r="A1889">
        <v>2627129</v>
      </c>
      <c r="B1889">
        <v>20251205</v>
      </c>
      <c r="C1889">
        <v>1361</v>
      </c>
      <c r="D1889">
        <v>5.0701262272089768E-3</v>
      </c>
      <c r="E1889" s="123" t="s">
        <v>1563</v>
      </c>
      <c r="F1889" s="123" t="s">
        <v>185</v>
      </c>
      <c r="G1889" s="123"/>
      <c r="H1889" s="95">
        <v>45996</v>
      </c>
      <c r="I1889">
        <v>19517</v>
      </c>
      <c r="J1889" s="123" t="s">
        <v>647</v>
      </c>
      <c r="K1889" s="123" t="s">
        <v>1399</v>
      </c>
      <c r="L1889" s="123" t="e">
        <f>VLOOKUP(Fact_AUM_FyoCapital[[#This Row],[Dim_Empresas.CUIT]],'clientes SQL'!C:D,2,0)</f>
        <v>#N/A</v>
      </c>
    </row>
    <row r="1890" spans="1:12" hidden="1" x14ac:dyDescent="0.3">
      <c r="A1890">
        <v>2640089</v>
      </c>
      <c r="B1890">
        <v>20251205</v>
      </c>
      <c r="C1890">
        <v>14873</v>
      </c>
      <c r="D1890">
        <v>1886.88</v>
      </c>
      <c r="E1890" s="123" t="s">
        <v>1563</v>
      </c>
      <c r="F1890" s="123" t="s">
        <v>950</v>
      </c>
      <c r="G1890" s="123"/>
      <c r="H1890" s="95">
        <v>45996</v>
      </c>
      <c r="I1890">
        <v>37088</v>
      </c>
      <c r="J1890" s="123" t="s">
        <v>571</v>
      </c>
      <c r="K1890" s="123" t="s">
        <v>1269</v>
      </c>
      <c r="L1890" s="123" t="e">
        <f>VLOOKUP(Fact_AUM_FyoCapital[[#This Row],[Dim_Empresas.CUIT]],'clientes SQL'!C:D,2,0)</f>
        <v>#N/A</v>
      </c>
    </row>
    <row r="1891" spans="1:12" hidden="1" x14ac:dyDescent="0.3">
      <c r="A1891">
        <v>2640209</v>
      </c>
      <c r="B1891">
        <v>20251205</v>
      </c>
      <c r="C1891">
        <v>14876</v>
      </c>
      <c r="D1891">
        <v>20.151647966339411</v>
      </c>
      <c r="E1891" s="123" t="s">
        <v>1563</v>
      </c>
      <c r="F1891" s="123" t="s">
        <v>185</v>
      </c>
      <c r="G1891" s="123"/>
      <c r="H1891" s="95">
        <v>45996</v>
      </c>
      <c r="I1891">
        <v>37091</v>
      </c>
      <c r="J1891" s="123" t="s">
        <v>604</v>
      </c>
      <c r="K1891" s="123" t="s">
        <v>1293</v>
      </c>
      <c r="L1891" s="123" t="e">
        <f>VLOOKUP(Fact_AUM_FyoCapital[[#This Row],[Dim_Empresas.CUIT]],'clientes SQL'!C:D,2,0)</f>
        <v>#N/A</v>
      </c>
    </row>
    <row r="1892" spans="1:12" hidden="1" x14ac:dyDescent="0.3">
      <c r="A1892">
        <v>1896457</v>
      </c>
      <c r="B1892">
        <v>20251205</v>
      </c>
      <c r="C1892">
        <v>10253</v>
      </c>
      <c r="D1892">
        <v>37830.294530154279</v>
      </c>
      <c r="E1892" s="123" t="s">
        <v>1566</v>
      </c>
      <c r="F1892" s="123" t="s">
        <v>1580</v>
      </c>
      <c r="G1892" s="123"/>
      <c r="H1892" s="95">
        <v>45996</v>
      </c>
      <c r="I1892">
        <v>35643</v>
      </c>
      <c r="J1892" s="123" t="s">
        <v>603</v>
      </c>
      <c r="K1892" s="123" t="s">
        <v>1220</v>
      </c>
      <c r="L1892" s="123" t="e">
        <f>VLOOKUP(Fact_AUM_FyoCapital[[#This Row],[Dim_Empresas.CUIT]],'clientes SQL'!C:D,2,0)</f>
        <v>#N/A</v>
      </c>
    </row>
    <row r="1893" spans="1:12" hidden="1" x14ac:dyDescent="0.3">
      <c r="A1893">
        <v>2623289</v>
      </c>
      <c r="B1893">
        <v>20251205</v>
      </c>
      <c r="C1893">
        <v>12829</v>
      </c>
      <c r="D1893">
        <v>119.21948807854137</v>
      </c>
      <c r="E1893" s="123" t="s">
        <v>1563</v>
      </c>
      <c r="F1893" s="123" t="s">
        <v>185</v>
      </c>
      <c r="G1893" s="123"/>
      <c r="H1893" s="95">
        <v>45996</v>
      </c>
      <c r="I1893">
        <v>36053</v>
      </c>
      <c r="J1893" s="123" t="s">
        <v>369</v>
      </c>
      <c r="K1893" s="123" t="s">
        <v>1382</v>
      </c>
      <c r="L1893" s="123" t="e">
        <f>VLOOKUP(Fact_AUM_FyoCapital[[#This Row],[Dim_Empresas.CUIT]],'clientes SQL'!C:D,2,0)</f>
        <v>#N/A</v>
      </c>
    </row>
    <row r="1894" spans="1:12" hidden="1" x14ac:dyDescent="0.3">
      <c r="A1894">
        <v>1896037</v>
      </c>
      <c r="B1894">
        <v>20251205</v>
      </c>
      <c r="C1894">
        <v>10253</v>
      </c>
      <c r="D1894">
        <v>40352.5</v>
      </c>
      <c r="E1894" s="123" t="s">
        <v>1566</v>
      </c>
      <c r="F1894" s="123" t="s">
        <v>1573</v>
      </c>
      <c r="G1894" s="123"/>
      <c r="H1894" s="95">
        <v>45996</v>
      </c>
      <c r="I1894">
        <v>35643</v>
      </c>
      <c r="J1894" s="123" t="s">
        <v>603</v>
      </c>
      <c r="K1894" s="123" t="s">
        <v>1220</v>
      </c>
      <c r="L1894" s="123" t="e">
        <f>VLOOKUP(Fact_AUM_FyoCapital[[#This Row],[Dim_Empresas.CUIT]],'clientes SQL'!C:D,2,0)</f>
        <v>#N/A</v>
      </c>
    </row>
    <row r="1895" spans="1:12" hidden="1" x14ac:dyDescent="0.3">
      <c r="A1895">
        <v>1849597</v>
      </c>
      <c r="B1895">
        <v>20251205</v>
      </c>
      <c r="C1895">
        <v>2298</v>
      </c>
      <c r="D1895">
        <v>6650.26</v>
      </c>
      <c r="E1895" s="123" t="s">
        <v>1566</v>
      </c>
      <c r="F1895" s="123" t="s">
        <v>1571</v>
      </c>
      <c r="G1895" s="123"/>
      <c r="H1895" s="95">
        <v>45996</v>
      </c>
      <c r="I1895">
        <v>30387</v>
      </c>
      <c r="J1895" s="123" t="s">
        <v>1532</v>
      </c>
      <c r="K1895" s="123" t="s">
        <v>1291</v>
      </c>
      <c r="L1895" s="123" t="e">
        <f>VLOOKUP(Fact_AUM_FyoCapital[[#This Row],[Dim_Empresas.CUIT]],'clientes SQL'!C:D,2,0)</f>
        <v>#N/A</v>
      </c>
    </row>
    <row r="1896" spans="1:12" hidden="1" x14ac:dyDescent="0.3">
      <c r="A1896">
        <v>1874077</v>
      </c>
      <c r="B1896">
        <v>20251205</v>
      </c>
      <c r="C1896">
        <v>2109</v>
      </c>
      <c r="D1896">
        <v>104462.6444740533</v>
      </c>
      <c r="E1896" s="123" t="s">
        <v>1568</v>
      </c>
      <c r="F1896" s="123" t="s">
        <v>1572</v>
      </c>
      <c r="G1896" s="123" t="s">
        <v>1574</v>
      </c>
      <c r="H1896" s="95">
        <v>45996</v>
      </c>
      <c r="I1896">
        <v>20716</v>
      </c>
      <c r="J1896" s="123" t="s">
        <v>323</v>
      </c>
      <c r="K1896" s="123" t="s">
        <v>1388</v>
      </c>
      <c r="L1896" s="123" t="e">
        <f>VLOOKUP(Fact_AUM_FyoCapital[[#This Row],[Dim_Empresas.CUIT]],'clientes SQL'!C:D,2,0)</f>
        <v>#N/A</v>
      </c>
    </row>
    <row r="1897" spans="1:12" hidden="1" x14ac:dyDescent="0.3">
      <c r="A1897">
        <v>1843957</v>
      </c>
      <c r="B1897">
        <v>20251205</v>
      </c>
      <c r="C1897">
        <v>12519</v>
      </c>
      <c r="D1897">
        <v>1529.37</v>
      </c>
      <c r="E1897" s="123" t="s">
        <v>1566</v>
      </c>
      <c r="F1897" s="123" t="s">
        <v>1571</v>
      </c>
      <c r="G1897" s="123"/>
      <c r="H1897" s="95">
        <v>45996</v>
      </c>
      <c r="I1897">
        <v>35782</v>
      </c>
      <c r="J1897" s="123" t="s">
        <v>297</v>
      </c>
      <c r="K1897" s="123" t="s">
        <v>1367</v>
      </c>
      <c r="L1897" s="123" t="e">
        <f>VLOOKUP(Fact_AUM_FyoCapital[[#This Row],[Dim_Empresas.CUIT]],'clientes SQL'!C:D,2,0)</f>
        <v>#N/A</v>
      </c>
    </row>
    <row r="1898" spans="1:12" hidden="1" x14ac:dyDescent="0.3">
      <c r="A1898">
        <v>2632949</v>
      </c>
      <c r="B1898">
        <v>20251205</v>
      </c>
      <c r="C1898">
        <v>2774</v>
      </c>
      <c r="D1898">
        <v>5.8906030855539974E-4</v>
      </c>
      <c r="E1898" s="123" t="s">
        <v>1563</v>
      </c>
      <c r="F1898" s="123" t="s">
        <v>185</v>
      </c>
      <c r="G1898" s="123"/>
      <c r="H1898" s="95">
        <v>45996</v>
      </c>
      <c r="I1898">
        <v>31060</v>
      </c>
      <c r="J1898" s="123" t="s">
        <v>1384</v>
      </c>
      <c r="K1898" s="123" t="s">
        <v>1385</v>
      </c>
      <c r="L1898" s="123" t="e">
        <f>VLOOKUP(Fact_AUM_FyoCapital[[#This Row],[Dim_Empresas.CUIT]],'clientes SQL'!C:D,2,0)</f>
        <v>#N/A</v>
      </c>
    </row>
    <row r="1899" spans="1:12" hidden="1" x14ac:dyDescent="0.3">
      <c r="A1899">
        <v>1834237</v>
      </c>
      <c r="B1899">
        <v>20251205</v>
      </c>
      <c r="C1899">
        <v>6247</v>
      </c>
      <c r="D1899">
        <v>165299.90224403926</v>
      </c>
      <c r="E1899" s="123" t="s">
        <v>1566</v>
      </c>
      <c r="F1899" s="123" t="s">
        <v>1571</v>
      </c>
      <c r="G1899" s="123"/>
      <c r="H1899" s="95">
        <v>45996</v>
      </c>
      <c r="I1899">
        <v>34358</v>
      </c>
      <c r="J1899" s="123" t="s">
        <v>1373</v>
      </c>
      <c r="K1899" s="123" t="s">
        <v>1374</v>
      </c>
      <c r="L1899" s="123" t="e">
        <f>VLOOKUP(Fact_AUM_FyoCapital[[#This Row],[Dim_Empresas.CUIT]],'clientes SQL'!C:D,2,0)</f>
        <v>#N/A</v>
      </c>
    </row>
    <row r="1900" spans="1:12" hidden="1" x14ac:dyDescent="0.3">
      <c r="A1900">
        <v>1890277</v>
      </c>
      <c r="B1900">
        <v>20251205</v>
      </c>
      <c r="C1900">
        <v>1065</v>
      </c>
      <c r="D1900">
        <v>13565.217391304348</v>
      </c>
      <c r="E1900" s="123" t="s">
        <v>1566</v>
      </c>
      <c r="F1900" s="123" t="s">
        <v>1580</v>
      </c>
      <c r="G1900" s="123"/>
      <c r="H1900" s="95">
        <v>45996</v>
      </c>
      <c r="I1900">
        <v>18751</v>
      </c>
      <c r="J1900" s="123" t="s">
        <v>370</v>
      </c>
      <c r="K1900" s="123" t="s">
        <v>1321</v>
      </c>
      <c r="L1900" s="123" t="e">
        <f>VLOOKUP(Fact_AUM_FyoCapital[[#This Row],[Dim_Empresas.CUIT]],'clientes SQL'!C:D,2,0)</f>
        <v>#N/A</v>
      </c>
    </row>
    <row r="1901" spans="1:12" hidden="1" x14ac:dyDescent="0.3">
      <c r="A1901">
        <v>1897477</v>
      </c>
      <c r="B1901">
        <v>20251205</v>
      </c>
      <c r="C1901">
        <v>3044</v>
      </c>
      <c r="D1901">
        <v>43450.713330995794</v>
      </c>
      <c r="E1901" s="123" t="s">
        <v>1568</v>
      </c>
      <c r="F1901" s="123" t="s">
        <v>1572</v>
      </c>
      <c r="G1901" s="123" t="s">
        <v>1584</v>
      </c>
      <c r="H1901" s="95">
        <v>45996</v>
      </c>
      <c r="I1901">
        <v>31437</v>
      </c>
      <c r="J1901" s="123" t="s">
        <v>588</v>
      </c>
      <c r="K1901" s="123" t="s">
        <v>1409</v>
      </c>
      <c r="L1901" s="123" t="e">
        <f>VLOOKUP(Fact_AUM_FyoCapital[[#This Row],[Dim_Empresas.CUIT]],'clientes SQL'!C:D,2,0)</f>
        <v>#N/A</v>
      </c>
    </row>
    <row r="1902" spans="1:12" hidden="1" x14ac:dyDescent="0.3">
      <c r="A1902">
        <v>1853917</v>
      </c>
      <c r="B1902">
        <v>20251205</v>
      </c>
      <c r="C1902">
        <v>315</v>
      </c>
      <c r="D1902">
        <v>387135.09</v>
      </c>
      <c r="E1902" s="123" t="s">
        <v>1566</v>
      </c>
      <c r="F1902" s="123" t="s">
        <v>1571</v>
      </c>
      <c r="G1902" s="123"/>
      <c r="H1902" s="95">
        <v>45996</v>
      </c>
      <c r="I1902">
        <v>736</v>
      </c>
      <c r="J1902" s="123" t="s">
        <v>404</v>
      </c>
      <c r="K1902" s="123" t="s">
        <v>1408</v>
      </c>
      <c r="L1902" s="123" t="e">
        <f>VLOOKUP(Fact_AUM_FyoCapital[[#This Row],[Dim_Empresas.CUIT]],'clientes SQL'!C:D,2,0)</f>
        <v>#N/A</v>
      </c>
    </row>
    <row r="1903" spans="1:12" hidden="1" x14ac:dyDescent="0.3">
      <c r="A1903">
        <v>1884997</v>
      </c>
      <c r="B1903">
        <v>20251205</v>
      </c>
      <c r="C1903">
        <v>3288</v>
      </c>
      <c r="D1903">
        <v>11264.274193548386</v>
      </c>
      <c r="E1903" s="123" t="s">
        <v>1566</v>
      </c>
      <c r="F1903" s="123" t="s">
        <v>1582</v>
      </c>
      <c r="G1903" s="123"/>
      <c r="H1903" s="95">
        <v>45996</v>
      </c>
      <c r="I1903">
        <v>31716</v>
      </c>
      <c r="J1903" s="123" t="s">
        <v>544</v>
      </c>
      <c r="K1903" s="123" t="s">
        <v>1353</v>
      </c>
      <c r="L1903" s="123" t="e">
        <f>VLOOKUP(Fact_AUM_FyoCapital[[#This Row],[Dim_Empresas.CUIT]],'clientes SQL'!C:D,2,0)</f>
        <v>#N/A</v>
      </c>
    </row>
    <row r="1904" spans="1:12" hidden="1" x14ac:dyDescent="0.3">
      <c r="A1904">
        <v>1830157</v>
      </c>
      <c r="B1904">
        <v>20251205</v>
      </c>
      <c r="C1904">
        <v>4213</v>
      </c>
      <c r="D1904">
        <v>76163.259999999995</v>
      </c>
      <c r="E1904" s="123" t="s">
        <v>1566</v>
      </c>
      <c r="F1904" s="123" t="s">
        <v>1579</v>
      </c>
      <c r="G1904" s="123"/>
      <c r="H1904" s="95">
        <v>45996</v>
      </c>
      <c r="I1904">
        <v>32849</v>
      </c>
      <c r="J1904" s="123" t="s">
        <v>190</v>
      </c>
      <c r="K1904" s="123" t="s">
        <v>1302</v>
      </c>
      <c r="L1904" s="123" t="e">
        <f>VLOOKUP(Fact_AUM_FyoCapital[[#This Row],[Dim_Empresas.CUIT]],'clientes SQL'!C:D,2,0)</f>
        <v>#N/A</v>
      </c>
    </row>
    <row r="1905" spans="1:12" hidden="1" x14ac:dyDescent="0.3">
      <c r="A1905">
        <v>2628209</v>
      </c>
      <c r="B1905">
        <v>20251205</v>
      </c>
      <c r="C1905">
        <v>12432</v>
      </c>
      <c r="D1905">
        <v>2.7349228611500703E-4</v>
      </c>
      <c r="E1905" s="123" t="s">
        <v>1563</v>
      </c>
      <c r="F1905" s="123" t="s">
        <v>185</v>
      </c>
      <c r="G1905" s="123"/>
      <c r="H1905" s="95">
        <v>45996</v>
      </c>
      <c r="I1905">
        <v>35714</v>
      </c>
      <c r="J1905" s="123" t="s">
        <v>479</v>
      </c>
      <c r="K1905" s="123" t="s">
        <v>1204</v>
      </c>
      <c r="L1905" s="123" t="e">
        <f>VLOOKUP(Fact_AUM_FyoCapital[[#This Row],[Dim_Empresas.CUIT]],'clientes SQL'!C:D,2,0)</f>
        <v>#N/A</v>
      </c>
    </row>
    <row r="1906" spans="1:12" hidden="1" x14ac:dyDescent="0.3">
      <c r="A1906">
        <v>2615009</v>
      </c>
      <c r="B1906">
        <v>20251205</v>
      </c>
      <c r="C1906">
        <v>5875</v>
      </c>
      <c r="D1906">
        <v>4835.66</v>
      </c>
      <c r="E1906" s="123" t="s">
        <v>1563</v>
      </c>
      <c r="F1906" s="123" t="s">
        <v>950</v>
      </c>
      <c r="G1906" s="123"/>
      <c r="H1906" s="95">
        <v>45996</v>
      </c>
      <c r="I1906">
        <v>33579</v>
      </c>
      <c r="J1906" s="123" t="s">
        <v>344</v>
      </c>
      <c r="K1906" s="123" t="s">
        <v>1395</v>
      </c>
      <c r="L1906" s="123" t="e">
        <f>VLOOKUP(Fact_AUM_FyoCapital[[#This Row],[Dim_Empresas.CUIT]],'clientes SQL'!C:D,2,0)</f>
        <v>#N/A</v>
      </c>
    </row>
    <row r="1907" spans="1:12" hidden="1" x14ac:dyDescent="0.3">
      <c r="A1907">
        <v>1893757</v>
      </c>
      <c r="B1907">
        <v>20251205</v>
      </c>
      <c r="C1907">
        <v>1456</v>
      </c>
      <c r="D1907">
        <v>18.596213183730715</v>
      </c>
      <c r="E1907" s="123" t="s">
        <v>1568</v>
      </c>
      <c r="F1907" s="123" t="s">
        <v>1572</v>
      </c>
      <c r="G1907" s="123" t="s">
        <v>1570</v>
      </c>
      <c r="H1907" s="95">
        <v>45996</v>
      </c>
      <c r="I1907">
        <v>19844</v>
      </c>
      <c r="J1907" s="123" t="s">
        <v>535</v>
      </c>
      <c r="K1907" s="123" t="s">
        <v>1420</v>
      </c>
      <c r="L1907" s="123" t="e">
        <f>VLOOKUP(Fact_AUM_FyoCapital[[#This Row],[Dim_Empresas.CUIT]],'clientes SQL'!C:D,2,0)</f>
        <v>#N/A</v>
      </c>
    </row>
    <row r="1908" spans="1:12" hidden="1" x14ac:dyDescent="0.3">
      <c r="A1908">
        <v>1825477</v>
      </c>
      <c r="B1908">
        <v>20251205</v>
      </c>
      <c r="C1908">
        <v>920</v>
      </c>
      <c r="D1908">
        <v>49076.560308555403</v>
      </c>
      <c r="E1908" s="123" t="s">
        <v>1566</v>
      </c>
      <c r="F1908" s="123" t="s">
        <v>1573</v>
      </c>
      <c r="G1908" s="123"/>
      <c r="H1908" s="95">
        <v>45996</v>
      </c>
      <c r="I1908">
        <v>18292</v>
      </c>
      <c r="J1908" s="123" t="s">
        <v>243</v>
      </c>
      <c r="K1908" s="123" t="s">
        <v>1315</v>
      </c>
      <c r="L1908" s="123" t="e">
        <f>VLOOKUP(Fact_AUM_FyoCapital[[#This Row],[Dim_Empresas.CUIT]],'clientes SQL'!C:D,2,0)</f>
        <v>#N/A</v>
      </c>
    </row>
    <row r="1909" spans="1:12" hidden="1" x14ac:dyDescent="0.3">
      <c r="A1909">
        <v>1830337</v>
      </c>
      <c r="B1909">
        <v>20251205</v>
      </c>
      <c r="C1909">
        <v>6995</v>
      </c>
      <c r="D1909">
        <v>127.35207573632539</v>
      </c>
      <c r="E1909" s="123" t="s">
        <v>1568</v>
      </c>
      <c r="F1909" s="123" t="s">
        <v>1572</v>
      </c>
      <c r="G1909" s="123" t="s">
        <v>1574</v>
      </c>
      <c r="H1909" s="95">
        <v>45996</v>
      </c>
      <c r="I1909">
        <v>34691</v>
      </c>
      <c r="J1909" s="123" t="s">
        <v>218</v>
      </c>
      <c r="K1909" s="123" t="s">
        <v>1335</v>
      </c>
      <c r="L1909" s="123" t="e">
        <f>VLOOKUP(Fact_AUM_FyoCapital[[#This Row],[Dim_Empresas.CUIT]],'clientes SQL'!C:D,2,0)</f>
        <v>#N/A</v>
      </c>
    </row>
    <row r="1910" spans="1:12" hidden="1" x14ac:dyDescent="0.3">
      <c r="A1910">
        <v>2622389</v>
      </c>
      <c r="B1910">
        <v>20251205</v>
      </c>
      <c r="C1910">
        <v>315</v>
      </c>
      <c r="D1910">
        <v>0.37</v>
      </c>
      <c r="E1910" s="123" t="s">
        <v>1563</v>
      </c>
      <c r="F1910" s="123" t="s">
        <v>950</v>
      </c>
      <c r="G1910" s="123"/>
      <c r="H1910" s="95">
        <v>45996</v>
      </c>
      <c r="I1910">
        <v>736</v>
      </c>
      <c r="J1910" s="123" t="s">
        <v>404</v>
      </c>
      <c r="K1910" s="123" t="s">
        <v>1408</v>
      </c>
      <c r="L1910" s="123" t="e">
        <f>VLOOKUP(Fact_AUM_FyoCapital[[#This Row],[Dim_Empresas.CUIT]],'clientes SQL'!C:D,2,0)</f>
        <v>#N/A</v>
      </c>
    </row>
    <row r="1911" spans="1:12" hidden="1" x14ac:dyDescent="0.3">
      <c r="A1911">
        <v>2613029</v>
      </c>
      <c r="B1911">
        <v>20251205</v>
      </c>
      <c r="C1911">
        <v>2145</v>
      </c>
      <c r="D1911">
        <v>-20355.388730715287</v>
      </c>
      <c r="E1911" s="123" t="s">
        <v>1563</v>
      </c>
      <c r="F1911" s="123" t="s">
        <v>185</v>
      </c>
      <c r="G1911" s="123"/>
      <c r="H1911" s="95">
        <v>45996</v>
      </c>
      <c r="I1911">
        <v>30078</v>
      </c>
      <c r="J1911" s="123" t="s">
        <v>342</v>
      </c>
      <c r="K1911" s="123" t="s">
        <v>1276</v>
      </c>
      <c r="L1911" s="123" t="e">
        <f>VLOOKUP(Fact_AUM_FyoCapital[[#This Row],[Dim_Empresas.CUIT]],'clientes SQL'!C:D,2,0)</f>
        <v>#N/A</v>
      </c>
    </row>
    <row r="1912" spans="1:12" hidden="1" x14ac:dyDescent="0.3">
      <c r="A1912">
        <v>1873357</v>
      </c>
      <c r="B1912">
        <v>20251205</v>
      </c>
      <c r="C1912">
        <v>2810</v>
      </c>
      <c r="D1912">
        <v>119450.64</v>
      </c>
      <c r="E1912" s="123" t="s">
        <v>1566</v>
      </c>
      <c r="F1912" s="123" t="s">
        <v>1571</v>
      </c>
      <c r="G1912" s="123"/>
      <c r="H1912" s="95">
        <v>45996</v>
      </c>
      <c r="I1912">
        <v>31130</v>
      </c>
      <c r="J1912" s="123" t="s">
        <v>1605</v>
      </c>
      <c r="K1912" s="123" t="s">
        <v>1606</v>
      </c>
      <c r="L1912" s="123" t="e">
        <f>VLOOKUP(Fact_AUM_FyoCapital[[#This Row],[Dim_Empresas.CUIT]],'clientes SQL'!C:D,2,0)</f>
        <v>#N/A</v>
      </c>
    </row>
    <row r="1913" spans="1:12" hidden="1" x14ac:dyDescent="0.3">
      <c r="A1913">
        <v>1838917</v>
      </c>
      <c r="B1913">
        <v>20251205</v>
      </c>
      <c r="C1913">
        <v>5875</v>
      </c>
      <c r="D1913">
        <v>77723.95</v>
      </c>
      <c r="E1913" s="123" t="s">
        <v>1566</v>
      </c>
      <c r="F1913" s="123" t="s">
        <v>1579</v>
      </c>
      <c r="G1913" s="123"/>
      <c r="H1913" s="95">
        <v>45996</v>
      </c>
      <c r="I1913">
        <v>33579</v>
      </c>
      <c r="J1913" s="123" t="s">
        <v>344</v>
      </c>
      <c r="K1913" s="123" t="s">
        <v>1395</v>
      </c>
      <c r="L1913" s="123" t="e">
        <f>VLOOKUP(Fact_AUM_FyoCapital[[#This Row],[Dim_Empresas.CUIT]],'clientes SQL'!C:D,2,0)</f>
        <v>#N/A</v>
      </c>
    </row>
    <row r="1914" spans="1:12" hidden="1" x14ac:dyDescent="0.3">
      <c r="A1914">
        <v>1879717</v>
      </c>
      <c r="B1914">
        <v>20251205</v>
      </c>
      <c r="C1914">
        <v>1546</v>
      </c>
      <c r="D1914">
        <v>0</v>
      </c>
      <c r="E1914" s="123"/>
      <c r="F1914" s="123"/>
      <c r="G1914" s="123"/>
      <c r="H1914" s="95">
        <v>45996</v>
      </c>
      <c r="I1914">
        <v>18554</v>
      </c>
      <c r="J1914" s="123" t="s">
        <v>550</v>
      </c>
      <c r="K1914" s="123" t="s">
        <v>1394</v>
      </c>
      <c r="L1914" s="123" t="e">
        <f>VLOOKUP(Fact_AUM_FyoCapital[[#This Row],[Dim_Empresas.CUIT]],'clientes SQL'!C:D,2,0)</f>
        <v>#N/A</v>
      </c>
    </row>
    <row r="1915" spans="1:12" hidden="1" x14ac:dyDescent="0.3">
      <c r="A1915">
        <v>2630729</v>
      </c>
      <c r="B1915">
        <v>20251205</v>
      </c>
      <c r="C1915">
        <v>2447</v>
      </c>
      <c r="D1915">
        <v>9.7755960729312766E-3</v>
      </c>
      <c r="E1915" s="123" t="s">
        <v>1563</v>
      </c>
      <c r="F1915" s="123" t="s">
        <v>185</v>
      </c>
      <c r="G1915" s="123"/>
      <c r="H1915" s="95">
        <v>45996</v>
      </c>
      <c r="I1915">
        <v>30642</v>
      </c>
      <c r="J1915" s="123" t="s">
        <v>399</v>
      </c>
      <c r="K1915" s="123" t="s">
        <v>1358</v>
      </c>
      <c r="L1915" s="123" t="e">
        <f>VLOOKUP(Fact_AUM_FyoCapital[[#This Row],[Dim_Empresas.CUIT]],'clientes SQL'!C:D,2,0)</f>
        <v>#N/A</v>
      </c>
    </row>
    <row r="1916" spans="1:12" hidden="1" x14ac:dyDescent="0.3">
      <c r="A1916">
        <v>1874017</v>
      </c>
      <c r="B1916">
        <v>20251205</v>
      </c>
      <c r="C1916">
        <v>2109</v>
      </c>
      <c r="D1916">
        <v>54325.899249649367</v>
      </c>
      <c r="E1916" s="123" t="s">
        <v>1568</v>
      </c>
      <c r="F1916" s="123" t="s">
        <v>1572</v>
      </c>
      <c r="G1916" s="123" t="s">
        <v>1583</v>
      </c>
      <c r="H1916" s="95">
        <v>45996</v>
      </c>
      <c r="I1916">
        <v>20716</v>
      </c>
      <c r="J1916" s="123" t="s">
        <v>323</v>
      </c>
      <c r="K1916" s="123" t="s">
        <v>1388</v>
      </c>
      <c r="L1916" s="123" t="e">
        <f>VLOOKUP(Fact_AUM_FyoCapital[[#This Row],[Dim_Empresas.CUIT]],'clientes SQL'!C:D,2,0)</f>
        <v>#N/A</v>
      </c>
    </row>
    <row r="1917" spans="1:12" hidden="1" x14ac:dyDescent="0.3">
      <c r="A1917">
        <v>1881337</v>
      </c>
      <c r="B1917">
        <v>20251205</v>
      </c>
      <c r="C1917">
        <v>1546</v>
      </c>
      <c r="D1917">
        <v>0</v>
      </c>
      <c r="E1917" s="123"/>
      <c r="F1917" s="123"/>
      <c r="G1917" s="123"/>
      <c r="H1917" s="95">
        <v>45996</v>
      </c>
      <c r="I1917">
        <v>18554</v>
      </c>
      <c r="J1917" s="123" t="s">
        <v>550</v>
      </c>
      <c r="K1917" s="123" t="s">
        <v>1394</v>
      </c>
      <c r="L1917" s="123" t="e">
        <f>VLOOKUP(Fact_AUM_FyoCapital[[#This Row],[Dim_Empresas.CUIT]],'clientes SQL'!C:D,2,0)</f>
        <v>#N/A</v>
      </c>
    </row>
    <row r="1918" spans="1:12" hidden="1" x14ac:dyDescent="0.3">
      <c r="A1918">
        <v>1853077</v>
      </c>
      <c r="B1918">
        <v>20251205</v>
      </c>
      <c r="C1918">
        <v>5880</v>
      </c>
      <c r="D1918">
        <v>111181.32772791025</v>
      </c>
      <c r="E1918" s="123" t="s">
        <v>1568</v>
      </c>
      <c r="F1918" s="123" t="s">
        <v>1572</v>
      </c>
      <c r="G1918" s="123" t="s">
        <v>1583</v>
      </c>
      <c r="H1918" s="95">
        <v>45996</v>
      </c>
      <c r="I1918">
        <v>33073</v>
      </c>
      <c r="J1918" s="123" t="s">
        <v>383</v>
      </c>
      <c r="K1918" s="123" t="s">
        <v>1329</v>
      </c>
      <c r="L1918" s="123" t="e">
        <f>VLOOKUP(Fact_AUM_FyoCapital[[#This Row],[Dim_Empresas.CUIT]],'clientes SQL'!C:D,2,0)</f>
        <v>#N/A</v>
      </c>
    </row>
    <row r="1919" spans="1:12" hidden="1" x14ac:dyDescent="0.3">
      <c r="A1919">
        <v>2645189</v>
      </c>
      <c r="B1919">
        <v>20251205</v>
      </c>
      <c r="C1919">
        <v>7742</v>
      </c>
      <c r="D1919">
        <v>-12.520455820476856</v>
      </c>
      <c r="E1919" s="123" t="s">
        <v>1563</v>
      </c>
      <c r="F1919" s="123" t="s">
        <v>185</v>
      </c>
      <c r="G1919" s="123"/>
      <c r="H1919" s="95">
        <v>45996</v>
      </c>
      <c r="I1919">
        <v>35045</v>
      </c>
      <c r="J1919" s="123" t="s">
        <v>1272</v>
      </c>
      <c r="K1919" s="123" t="s">
        <v>1273</v>
      </c>
      <c r="L1919" s="123" t="e">
        <f>VLOOKUP(Fact_AUM_FyoCapital[[#This Row],[Dim_Empresas.CUIT]],'clientes SQL'!C:D,2,0)</f>
        <v>#N/A</v>
      </c>
    </row>
    <row r="1920" spans="1:12" hidden="1" x14ac:dyDescent="0.3">
      <c r="A1920">
        <v>1839517</v>
      </c>
      <c r="B1920">
        <v>20251205</v>
      </c>
      <c r="C1920">
        <v>5868</v>
      </c>
      <c r="D1920">
        <v>52233.5</v>
      </c>
      <c r="E1920" s="123" t="s">
        <v>1566</v>
      </c>
      <c r="F1920" s="123" t="s">
        <v>1590</v>
      </c>
      <c r="G1920" s="123"/>
      <c r="H1920" s="95">
        <v>45996</v>
      </c>
      <c r="I1920">
        <v>33580</v>
      </c>
      <c r="J1920" s="123" t="s">
        <v>348</v>
      </c>
      <c r="K1920" s="123" t="s">
        <v>1277</v>
      </c>
      <c r="L1920" s="123" t="e">
        <f>VLOOKUP(Fact_AUM_FyoCapital[[#This Row],[Dim_Empresas.CUIT]],'clientes SQL'!C:D,2,0)</f>
        <v>#N/A</v>
      </c>
    </row>
    <row r="1921" spans="1:12" hidden="1" x14ac:dyDescent="0.3">
      <c r="A1921">
        <v>2607869</v>
      </c>
      <c r="B1921">
        <v>20251205</v>
      </c>
      <c r="C1921">
        <v>770</v>
      </c>
      <c r="D1921">
        <v>1567.73</v>
      </c>
      <c r="E1921" s="123" t="s">
        <v>1563</v>
      </c>
      <c r="F1921" s="123" t="s">
        <v>188</v>
      </c>
      <c r="G1921" s="123"/>
      <c r="H1921" s="95">
        <v>45996</v>
      </c>
      <c r="I1921">
        <v>16903</v>
      </c>
      <c r="J1921" s="123" t="s">
        <v>204</v>
      </c>
      <c r="K1921" s="123" t="s">
        <v>1439</v>
      </c>
      <c r="L1921" s="123" t="e">
        <f>VLOOKUP(Fact_AUM_FyoCapital[[#This Row],[Dim_Empresas.CUIT]],'clientes SQL'!C:D,2,0)</f>
        <v>#N/A</v>
      </c>
    </row>
    <row r="1922" spans="1:12" hidden="1" x14ac:dyDescent="0.3">
      <c r="A1922">
        <v>1862137</v>
      </c>
      <c r="B1922">
        <v>20251205</v>
      </c>
      <c r="C1922">
        <v>682</v>
      </c>
      <c r="D1922">
        <v>0</v>
      </c>
      <c r="E1922" s="123"/>
      <c r="F1922" s="123"/>
      <c r="G1922" s="123"/>
      <c r="H1922" s="95">
        <v>45996</v>
      </c>
      <c r="I1922">
        <v>9775</v>
      </c>
      <c r="J1922" s="123" t="s">
        <v>287</v>
      </c>
      <c r="K1922" s="123" t="s">
        <v>1320</v>
      </c>
      <c r="L1922" s="123" t="e">
        <f>VLOOKUP(Fact_AUM_FyoCapital[[#This Row],[Dim_Empresas.CUIT]],'clientes SQL'!C:D,2,0)</f>
        <v>#N/A</v>
      </c>
    </row>
    <row r="1923" spans="1:12" hidden="1" x14ac:dyDescent="0.3">
      <c r="A1923">
        <v>1888717</v>
      </c>
      <c r="B1923">
        <v>20251205</v>
      </c>
      <c r="C1923">
        <v>16751</v>
      </c>
      <c r="D1923">
        <v>51877.657784011222</v>
      </c>
      <c r="E1923" s="123" t="s">
        <v>1566</v>
      </c>
      <c r="F1923" s="123" t="s">
        <v>1571</v>
      </c>
      <c r="G1923" s="123"/>
      <c r="H1923" s="95">
        <v>45996</v>
      </c>
      <c r="I1923">
        <v>38048</v>
      </c>
      <c r="J1923" s="123" t="s">
        <v>858</v>
      </c>
      <c r="K1923" s="123" t="s">
        <v>1372</v>
      </c>
      <c r="L1923" s="123" t="e">
        <f>VLOOKUP(Fact_AUM_FyoCapital[[#This Row],[Dim_Empresas.CUIT]],'clientes SQL'!C:D,2,0)</f>
        <v>#N/A</v>
      </c>
    </row>
    <row r="1924" spans="1:12" hidden="1" x14ac:dyDescent="0.3">
      <c r="A1924">
        <v>2630909</v>
      </c>
      <c r="B1924">
        <v>20251205</v>
      </c>
      <c r="C1924">
        <v>1566</v>
      </c>
      <c r="D1924">
        <v>44.14</v>
      </c>
      <c r="E1924" s="123" t="s">
        <v>1563</v>
      </c>
      <c r="F1924" s="123" t="s">
        <v>950</v>
      </c>
      <c r="G1924" s="123"/>
      <c r="H1924" s="95">
        <v>45996</v>
      </c>
      <c r="I1924">
        <v>20248</v>
      </c>
      <c r="J1924" s="123" t="s">
        <v>1249</v>
      </c>
      <c r="K1924" s="123" t="s">
        <v>1250</v>
      </c>
      <c r="L1924" s="123" t="e">
        <f>VLOOKUP(Fact_AUM_FyoCapital[[#This Row],[Dim_Empresas.CUIT]],'clientes SQL'!C:D,2,0)</f>
        <v>#N/A</v>
      </c>
    </row>
    <row r="1925" spans="1:12" hidden="1" x14ac:dyDescent="0.3">
      <c r="A1925">
        <v>1888297</v>
      </c>
      <c r="B1925">
        <v>20251205</v>
      </c>
      <c r="C1925">
        <v>1605</v>
      </c>
      <c r="D1925">
        <v>578.0190322580645</v>
      </c>
      <c r="E1925" s="123" t="s">
        <v>1568</v>
      </c>
      <c r="F1925" s="123" t="s">
        <v>1572</v>
      </c>
      <c r="G1925" s="123" t="s">
        <v>1583</v>
      </c>
      <c r="H1925" s="95">
        <v>45996</v>
      </c>
      <c r="I1925">
        <v>20317</v>
      </c>
      <c r="J1925" s="123" t="s">
        <v>721</v>
      </c>
      <c r="K1925" s="123" t="s">
        <v>1430</v>
      </c>
      <c r="L1925" s="123" t="e">
        <f>VLOOKUP(Fact_AUM_FyoCapital[[#This Row],[Dim_Empresas.CUIT]],'clientes SQL'!C:D,2,0)</f>
        <v>#N/A</v>
      </c>
    </row>
    <row r="1926" spans="1:12" hidden="1" x14ac:dyDescent="0.3">
      <c r="A1926">
        <v>1881517</v>
      </c>
      <c r="B1926">
        <v>20251205</v>
      </c>
      <c r="C1926">
        <v>1546</v>
      </c>
      <c r="D1926">
        <v>0</v>
      </c>
      <c r="E1926" s="123"/>
      <c r="F1926" s="123"/>
      <c r="G1926" s="123"/>
      <c r="H1926" s="95">
        <v>45996</v>
      </c>
      <c r="I1926">
        <v>18554</v>
      </c>
      <c r="J1926" s="123" t="s">
        <v>550</v>
      </c>
      <c r="K1926" s="123" t="s">
        <v>1394</v>
      </c>
      <c r="L1926" s="123" t="e">
        <f>VLOOKUP(Fact_AUM_FyoCapital[[#This Row],[Dim_Empresas.CUIT]],'clientes SQL'!C:D,2,0)</f>
        <v>#N/A</v>
      </c>
    </row>
    <row r="1927" spans="1:12" hidden="1" x14ac:dyDescent="0.3">
      <c r="A1927">
        <v>1870237</v>
      </c>
      <c r="B1927">
        <v>20251205</v>
      </c>
      <c r="C1927">
        <v>13361</v>
      </c>
      <c r="D1927">
        <v>2024.22</v>
      </c>
      <c r="E1927" s="123" t="s">
        <v>1566</v>
      </c>
      <c r="F1927" s="123" t="s">
        <v>1579</v>
      </c>
      <c r="G1927" s="123"/>
      <c r="H1927" s="95">
        <v>45996</v>
      </c>
      <c r="I1927">
        <v>36541</v>
      </c>
      <c r="J1927" s="123" t="s">
        <v>454</v>
      </c>
      <c r="K1927" s="123" t="s">
        <v>1322</v>
      </c>
      <c r="L1927" s="123" t="e">
        <f>VLOOKUP(Fact_AUM_FyoCapital[[#This Row],[Dim_Empresas.CUIT]],'clientes SQL'!C:D,2,0)</f>
        <v>#N/A</v>
      </c>
    </row>
    <row r="1928" spans="1:12" hidden="1" x14ac:dyDescent="0.3">
      <c r="A1928">
        <v>1880197</v>
      </c>
      <c r="B1928">
        <v>20251205</v>
      </c>
      <c r="C1928">
        <v>1546</v>
      </c>
      <c r="D1928">
        <v>0</v>
      </c>
      <c r="E1928" s="123"/>
      <c r="F1928" s="123"/>
      <c r="G1928" s="123"/>
      <c r="H1928" s="95">
        <v>45996</v>
      </c>
      <c r="I1928">
        <v>18554</v>
      </c>
      <c r="J1928" s="123" t="s">
        <v>550</v>
      </c>
      <c r="K1928" s="123" t="s">
        <v>1394</v>
      </c>
      <c r="L1928" s="123" t="e">
        <f>VLOOKUP(Fact_AUM_FyoCapital[[#This Row],[Dim_Empresas.CUIT]],'clientes SQL'!C:D,2,0)</f>
        <v>#N/A</v>
      </c>
    </row>
    <row r="1929" spans="1:12" hidden="1" x14ac:dyDescent="0.3">
      <c r="A1929">
        <v>2641229</v>
      </c>
      <c r="B1929">
        <v>20251205</v>
      </c>
      <c r="C1929">
        <v>15122</v>
      </c>
      <c r="D1929">
        <v>-47.213359046283308</v>
      </c>
      <c r="E1929" s="123" t="s">
        <v>1563</v>
      </c>
      <c r="F1929" s="123" t="s">
        <v>185</v>
      </c>
      <c r="G1929" s="123"/>
      <c r="H1929" s="95">
        <v>45996</v>
      </c>
      <c r="I1929">
        <v>37263</v>
      </c>
      <c r="J1929" s="123" t="s">
        <v>1342</v>
      </c>
      <c r="K1929" s="123" t="s">
        <v>1343</v>
      </c>
      <c r="L1929" s="123" t="e">
        <f>VLOOKUP(Fact_AUM_FyoCapital[[#This Row],[Dim_Empresas.CUIT]],'clientes SQL'!C:D,2,0)</f>
        <v>#N/A</v>
      </c>
    </row>
    <row r="1930" spans="1:12" hidden="1" x14ac:dyDescent="0.3">
      <c r="A1930">
        <v>1875277</v>
      </c>
      <c r="B1930">
        <v>20251205</v>
      </c>
      <c r="C1930">
        <v>2447</v>
      </c>
      <c r="D1930">
        <v>114.78615007012623</v>
      </c>
      <c r="E1930" s="123" t="s">
        <v>1568</v>
      </c>
      <c r="F1930" s="123" t="s">
        <v>1572</v>
      </c>
      <c r="G1930" s="123" t="s">
        <v>1574</v>
      </c>
      <c r="H1930" s="95">
        <v>45996</v>
      </c>
      <c r="I1930">
        <v>30642</v>
      </c>
      <c r="J1930" s="123" t="s">
        <v>399</v>
      </c>
      <c r="K1930" s="123" t="s">
        <v>1358</v>
      </c>
      <c r="L1930" s="123" t="e">
        <f>VLOOKUP(Fact_AUM_FyoCapital[[#This Row],[Dim_Empresas.CUIT]],'clientes SQL'!C:D,2,0)</f>
        <v>#N/A</v>
      </c>
    </row>
    <row r="1931" spans="1:12" hidden="1" x14ac:dyDescent="0.3">
      <c r="A1931">
        <v>1830397</v>
      </c>
      <c r="B1931">
        <v>20251205</v>
      </c>
      <c r="C1931">
        <v>5410</v>
      </c>
      <c r="D1931">
        <v>1258.3552594670407</v>
      </c>
      <c r="E1931" s="123" t="s">
        <v>1568</v>
      </c>
      <c r="F1931" s="123" t="s">
        <v>1572</v>
      </c>
      <c r="G1931" s="123" t="s">
        <v>1570</v>
      </c>
      <c r="H1931" s="95">
        <v>45996</v>
      </c>
      <c r="I1931">
        <v>33533</v>
      </c>
      <c r="J1931" s="123" t="s">
        <v>199</v>
      </c>
      <c r="K1931" s="123" t="s">
        <v>1359</v>
      </c>
      <c r="L1931" s="123" t="e">
        <f>VLOOKUP(Fact_AUM_FyoCapital[[#This Row],[Dim_Empresas.CUIT]],'clientes SQL'!C:D,2,0)</f>
        <v>#N/A</v>
      </c>
    </row>
    <row r="1932" spans="1:12" hidden="1" x14ac:dyDescent="0.3">
      <c r="A1932">
        <v>1832857</v>
      </c>
      <c r="B1932">
        <v>20251205</v>
      </c>
      <c r="C1932">
        <v>11</v>
      </c>
      <c r="D1932">
        <v>193.77867461430577</v>
      </c>
      <c r="E1932" s="123" t="s">
        <v>1568</v>
      </c>
      <c r="F1932" s="123" t="s">
        <v>1572</v>
      </c>
      <c r="G1932" s="123" t="s">
        <v>1574</v>
      </c>
      <c r="H1932" s="95">
        <v>45996</v>
      </c>
      <c r="I1932">
        <v>4671</v>
      </c>
      <c r="J1932" s="123" t="s">
        <v>1423</v>
      </c>
      <c r="K1932" s="123" t="s">
        <v>1424</v>
      </c>
      <c r="L1932" s="123" t="e">
        <f>VLOOKUP(Fact_AUM_FyoCapital[[#This Row],[Dim_Empresas.CUIT]],'clientes SQL'!C:D,2,0)</f>
        <v>#N/A</v>
      </c>
    </row>
    <row r="1933" spans="1:12" hidden="1" x14ac:dyDescent="0.3">
      <c r="A1933">
        <v>1859257</v>
      </c>
      <c r="B1933">
        <v>20251205</v>
      </c>
      <c r="C1933">
        <v>3713</v>
      </c>
      <c r="D1933">
        <v>26814.930743338009</v>
      </c>
      <c r="E1933" s="123" t="s">
        <v>1566</v>
      </c>
      <c r="F1933" s="123" t="s">
        <v>1571</v>
      </c>
      <c r="G1933" s="123"/>
      <c r="H1933" s="95">
        <v>45996</v>
      </c>
      <c r="I1933">
        <v>32219</v>
      </c>
      <c r="J1933" s="123" t="s">
        <v>804</v>
      </c>
      <c r="K1933" s="123" t="s">
        <v>1429</v>
      </c>
      <c r="L1933" s="123" t="e">
        <f>VLOOKUP(Fact_AUM_FyoCapital[[#This Row],[Dim_Empresas.CUIT]],'clientes SQL'!C:D,2,0)</f>
        <v>#N/A</v>
      </c>
    </row>
    <row r="1934" spans="1:12" hidden="1" x14ac:dyDescent="0.3">
      <c r="A1934">
        <v>1503844</v>
      </c>
      <c r="B1934">
        <v>20251205</v>
      </c>
      <c r="C1934">
        <v>7742</v>
      </c>
      <c r="D1934">
        <v>710404.67565918656</v>
      </c>
      <c r="E1934" s="123" t="s">
        <v>1564</v>
      </c>
      <c r="F1934" s="123" t="s">
        <v>1581</v>
      </c>
      <c r="G1934" s="123"/>
      <c r="H1934" s="95">
        <v>45996</v>
      </c>
      <c r="I1934">
        <v>35045</v>
      </c>
      <c r="J1934" s="123" t="s">
        <v>1272</v>
      </c>
      <c r="K1934" s="123" t="s">
        <v>1273</v>
      </c>
      <c r="L1934" s="123" t="e">
        <f>VLOOKUP(Fact_AUM_FyoCapital[[#This Row],[Dim_Empresas.CUIT]],'clientes SQL'!C:D,2,0)</f>
        <v>#N/A</v>
      </c>
    </row>
    <row r="1935" spans="1:12" hidden="1" x14ac:dyDescent="0.3">
      <c r="A1935">
        <v>1856137</v>
      </c>
      <c r="B1935">
        <v>20251205</v>
      </c>
      <c r="C1935">
        <v>12829</v>
      </c>
      <c r="D1935">
        <v>10024.64</v>
      </c>
      <c r="E1935" s="123" t="s">
        <v>1568</v>
      </c>
      <c r="F1935" s="123" t="s">
        <v>1572</v>
      </c>
      <c r="G1935" s="123" t="s">
        <v>1574</v>
      </c>
      <c r="H1935" s="95">
        <v>45996</v>
      </c>
      <c r="I1935">
        <v>36053</v>
      </c>
      <c r="J1935" s="123" t="s">
        <v>369</v>
      </c>
      <c r="K1935" s="123" t="s">
        <v>1382</v>
      </c>
      <c r="L1935" s="123" t="e">
        <f>VLOOKUP(Fact_AUM_FyoCapital[[#This Row],[Dim_Empresas.CUIT]],'clientes SQL'!C:D,2,0)</f>
        <v>#N/A</v>
      </c>
    </row>
    <row r="1936" spans="1:12" hidden="1" x14ac:dyDescent="0.3">
      <c r="A1936">
        <v>1885117</v>
      </c>
      <c r="B1936">
        <v>20251205</v>
      </c>
      <c r="C1936">
        <v>3288</v>
      </c>
      <c r="D1936">
        <v>25040.066472650771</v>
      </c>
      <c r="E1936" s="123" t="s">
        <v>1566</v>
      </c>
      <c r="F1936" s="123" t="s">
        <v>1571</v>
      </c>
      <c r="G1936" s="123"/>
      <c r="H1936" s="95">
        <v>45996</v>
      </c>
      <c r="I1936">
        <v>31716</v>
      </c>
      <c r="J1936" s="123" t="s">
        <v>544</v>
      </c>
      <c r="K1936" s="123" t="s">
        <v>1353</v>
      </c>
      <c r="L1936" s="123" t="e">
        <f>VLOOKUP(Fact_AUM_FyoCapital[[#This Row],[Dim_Empresas.CUIT]],'clientes SQL'!C:D,2,0)</f>
        <v>#N/A</v>
      </c>
    </row>
    <row r="1937" spans="1:12" hidden="1" x14ac:dyDescent="0.3">
      <c r="A1937">
        <v>2616809</v>
      </c>
      <c r="B1937">
        <v>20251205</v>
      </c>
      <c r="C1937">
        <v>12519</v>
      </c>
      <c r="D1937">
        <v>6.9617601683029449</v>
      </c>
      <c r="E1937" s="123" t="s">
        <v>1563</v>
      </c>
      <c r="F1937" s="123" t="s">
        <v>185</v>
      </c>
      <c r="G1937" s="123"/>
      <c r="H1937" s="95">
        <v>45996</v>
      </c>
      <c r="I1937">
        <v>35782</v>
      </c>
      <c r="J1937" s="123" t="s">
        <v>297</v>
      </c>
      <c r="K1937" s="123" t="s">
        <v>1367</v>
      </c>
      <c r="L1937" s="123" t="e">
        <f>VLOOKUP(Fact_AUM_FyoCapital[[#This Row],[Dim_Empresas.CUIT]],'clientes SQL'!C:D,2,0)</f>
        <v>#N/A</v>
      </c>
    </row>
    <row r="1938" spans="1:12" hidden="1" x14ac:dyDescent="0.3">
      <c r="A1938">
        <v>1870357</v>
      </c>
      <c r="B1938">
        <v>20251205</v>
      </c>
      <c r="C1938">
        <v>13361</v>
      </c>
      <c r="D1938">
        <v>3045</v>
      </c>
      <c r="E1938" s="123" t="s">
        <v>1566</v>
      </c>
      <c r="F1938" s="123" t="s">
        <v>1579</v>
      </c>
      <c r="G1938" s="123"/>
      <c r="H1938" s="95">
        <v>45996</v>
      </c>
      <c r="I1938">
        <v>36541</v>
      </c>
      <c r="J1938" s="123" t="s">
        <v>454</v>
      </c>
      <c r="K1938" s="123" t="s">
        <v>1322</v>
      </c>
      <c r="L1938" s="123" t="e">
        <f>VLOOKUP(Fact_AUM_FyoCapital[[#This Row],[Dim_Empresas.CUIT]],'clientes SQL'!C:D,2,0)</f>
        <v>#N/A</v>
      </c>
    </row>
    <row r="1939" spans="1:12" hidden="1" x14ac:dyDescent="0.3">
      <c r="A1939">
        <v>1872817</v>
      </c>
      <c r="B1939">
        <v>20251205</v>
      </c>
      <c r="C1939">
        <v>16273</v>
      </c>
      <c r="D1939">
        <v>3624.5844880785417</v>
      </c>
      <c r="E1939" s="123" t="s">
        <v>1566</v>
      </c>
      <c r="F1939" s="123" t="s">
        <v>1571</v>
      </c>
      <c r="G1939" s="123"/>
      <c r="H1939" s="95">
        <v>45996</v>
      </c>
      <c r="I1939">
        <v>37760</v>
      </c>
      <c r="J1939" s="123" t="s">
        <v>1349</v>
      </c>
      <c r="K1939" s="123" t="s">
        <v>1350</v>
      </c>
      <c r="L1939" s="123" t="e">
        <f>VLOOKUP(Fact_AUM_FyoCapital[[#This Row],[Dim_Empresas.CUIT]],'clientes SQL'!C:D,2,0)</f>
        <v>#N/A</v>
      </c>
    </row>
    <row r="1940" spans="1:12" hidden="1" x14ac:dyDescent="0.3">
      <c r="A1940">
        <v>1855897</v>
      </c>
      <c r="B1940">
        <v>20251205</v>
      </c>
      <c r="C1940">
        <v>12829</v>
      </c>
      <c r="D1940">
        <v>10057.49</v>
      </c>
      <c r="E1940" s="123" t="s">
        <v>1568</v>
      </c>
      <c r="F1940" s="123" t="s">
        <v>1575</v>
      </c>
      <c r="G1940" s="123" t="s">
        <v>1576</v>
      </c>
      <c r="H1940" s="95">
        <v>45996</v>
      </c>
      <c r="I1940">
        <v>36053</v>
      </c>
      <c r="J1940" s="123" t="s">
        <v>369</v>
      </c>
      <c r="K1940" s="123" t="s">
        <v>1382</v>
      </c>
      <c r="L1940" s="123" t="e">
        <f>VLOOKUP(Fact_AUM_FyoCapital[[#This Row],[Dim_Empresas.CUIT]],'clientes SQL'!C:D,2,0)</f>
        <v>#N/A</v>
      </c>
    </row>
    <row r="1941" spans="1:12" hidden="1" x14ac:dyDescent="0.3">
      <c r="A1941">
        <v>2605589</v>
      </c>
      <c r="B1941">
        <v>20251205</v>
      </c>
      <c r="C1941">
        <v>12632</v>
      </c>
      <c r="D1941">
        <v>15.136921458625526</v>
      </c>
      <c r="E1941" s="123" t="s">
        <v>1568</v>
      </c>
      <c r="F1941" s="123" t="s">
        <v>1572</v>
      </c>
      <c r="G1941" s="123" t="s">
        <v>1570</v>
      </c>
      <c r="H1941" s="95">
        <v>45996</v>
      </c>
      <c r="I1941">
        <v>35890</v>
      </c>
      <c r="J1941" s="123" t="s">
        <v>1351</v>
      </c>
      <c r="K1941" s="123" t="s">
        <v>1352</v>
      </c>
      <c r="L1941" s="123" t="e">
        <f>VLOOKUP(Fact_AUM_FyoCapital[[#This Row],[Dim_Empresas.CUIT]],'clientes SQL'!C:D,2,0)</f>
        <v>#N/A</v>
      </c>
    </row>
    <row r="1942" spans="1:12" hidden="1" x14ac:dyDescent="0.3">
      <c r="A1942">
        <v>1887517</v>
      </c>
      <c r="B1942">
        <v>20251205</v>
      </c>
      <c r="C1942">
        <v>1080</v>
      </c>
      <c r="D1942">
        <v>158275.72298737726</v>
      </c>
      <c r="E1942" s="123" t="s">
        <v>1566</v>
      </c>
      <c r="F1942" s="123" t="s">
        <v>1571</v>
      </c>
      <c r="G1942" s="123"/>
      <c r="H1942" s="95">
        <v>45996</v>
      </c>
      <c r="I1942">
        <v>15206</v>
      </c>
      <c r="J1942" s="123" t="s">
        <v>537</v>
      </c>
      <c r="K1942" s="123" t="s">
        <v>1398</v>
      </c>
      <c r="L1942" s="123" t="e">
        <f>VLOOKUP(Fact_AUM_FyoCapital[[#This Row],[Dim_Empresas.CUIT]],'clientes SQL'!C:D,2,0)</f>
        <v>#N/A</v>
      </c>
    </row>
    <row r="1943" spans="1:12" hidden="1" x14ac:dyDescent="0.3">
      <c r="A1943">
        <v>1858297</v>
      </c>
      <c r="B1943">
        <v>20251205</v>
      </c>
      <c r="C1943">
        <v>1191</v>
      </c>
      <c r="D1943">
        <v>177186.39</v>
      </c>
      <c r="E1943" s="123" t="s">
        <v>1566</v>
      </c>
      <c r="F1943" s="123" t="s">
        <v>1579</v>
      </c>
      <c r="G1943" s="123"/>
      <c r="H1943" s="95">
        <v>45996</v>
      </c>
      <c r="I1943">
        <v>18954</v>
      </c>
      <c r="J1943" s="123" t="s">
        <v>1247</v>
      </c>
      <c r="K1943" s="123" t="s">
        <v>1248</v>
      </c>
      <c r="L1943" s="123" t="e">
        <f>VLOOKUP(Fact_AUM_FyoCapital[[#This Row],[Dim_Empresas.CUIT]],'clientes SQL'!C:D,2,0)</f>
        <v>#N/A</v>
      </c>
    </row>
    <row r="1944" spans="1:12" hidden="1" x14ac:dyDescent="0.3">
      <c r="A1944">
        <v>1833817</v>
      </c>
      <c r="B1944">
        <v>20251205</v>
      </c>
      <c r="C1944">
        <v>6247</v>
      </c>
      <c r="D1944">
        <v>46803.53</v>
      </c>
      <c r="E1944" s="123" t="s">
        <v>1566</v>
      </c>
      <c r="F1944" s="123" t="s">
        <v>1578</v>
      </c>
      <c r="G1944" s="123"/>
      <c r="H1944" s="95">
        <v>45996</v>
      </c>
      <c r="I1944">
        <v>34358</v>
      </c>
      <c r="J1944" s="123" t="s">
        <v>1373</v>
      </c>
      <c r="K1944" s="123" t="s">
        <v>1374</v>
      </c>
      <c r="L1944" s="123" t="e">
        <f>VLOOKUP(Fact_AUM_FyoCapital[[#This Row],[Dim_Empresas.CUIT]],'clientes SQL'!C:D,2,0)</f>
        <v>#N/A</v>
      </c>
    </row>
    <row r="1945" spans="1:12" hidden="1" x14ac:dyDescent="0.3">
      <c r="A1945">
        <v>1879357</v>
      </c>
      <c r="B1945">
        <v>20251205</v>
      </c>
      <c r="C1945">
        <v>1651</v>
      </c>
      <c r="D1945">
        <v>83.497720897615707</v>
      </c>
      <c r="E1945" s="123" t="s">
        <v>1568</v>
      </c>
      <c r="F1945" s="123" t="s">
        <v>1572</v>
      </c>
      <c r="G1945" s="123" t="s">
        <v>1570</v>
      </c>
      <c r="H1945" s="95">
        <v>45996</v>
      </c>
      <c r="I1945">
        <v>20399</v>
      </c>
      <c r="J1945" s="123" t="s">
        <v>1431</v>
      </c>
      <c r="K1945" s="123" t="s">
        <v>1432</v>
      </c>
      <c r="L1945" s="123" t="e">
        <f>VLOOKUP(Fact_AUM_FyoCapital[[#This Row],[Dim_Empresas.CUIT]],'clientes SQL'!C:D,2,0)</f>
        <v>#N/A</v>
      </c>
    </row>
    <row r="1946" spans="1:12" hidden="1" x14ac:dyDescent="0.3">
      <c r="A1946">
        <v>1869397</v>
      </c>
      <c r="B1946">
        <v>20251205</v>
      </c>
      <c r="C1946">
        <v>13361</v>
      </c>
      <c r="D1946">
        <v>798.70967741935488</v>
      </c>
      <c r="E1946" s="123" t="s">
        <v>1566</v>
      </c>
      <c r="F1946" s="123" t="s">
        <v>1580</v>
      </c>
      <c r="G1946" s="123"/>
      <c r="H1946" s="95">
        <v>45996</v>
      </c>
      <c r="I1946">
        <v>36541</v>
      </c>
      <c r="J1946" s="123" t="s">
        <v>454</v>
      </c>
      <c r="K1946" s="123" t="s">
        <v>1322</v>
      </c>
      <c r="L1946" s="123" t="e">
        <f>VLOOKUP(Fact_AUM_FyoCapital[[#This Row],[Dim_Empresas.CUIT]],'clientes SQL'!C:D,2,0)</f>
        <v>#N/A</v>
      </c>
    </row>
    <row r="1947" spans="1:12" hidden="1" x14ac:dyDescent="0.3">
      <c r="A1947">
        <v>2640149</v>
      </c>
      <c r="B1947">
        <v>20251205</v>
      </c>
      <c r="C1947">
        <v>14873</v>
      </c>
      <c r="D1947">
        <v>237.43</v>
      </c>
      <c r="E1947" s="123" t="s">
        <v>1563</v>
      </c>
      <c r="F1947" s="123" t="s">
        <v>188</v>
      </c>
      <c r="G1947" s="123"/>
      <c r="H1947" s="95">
        <v>45996</v>
      </c>
      <c r="I1947">
        <v>37088</v>
      </c>
      <c r="J1947" s="123" t="s">
        <v>571</v>
      </c>
      <c r="K1947" s="123" t="s">
        <v>1269</v>
      </c>
      <c r="L1947" s="123" t="e">
        <f>VLOOKUP(Fact_AUM_FyoCapital[[#This Row],[Dim_Empresas.CUIT]],'clientes SQL'!C:D,2,0)</f>
        <v>#N/A</v>
      </c>
    </row>
    <row r="1948" spans="1:12" hidden="1" x14ac:dyDescent="0.3">
      <c r="A1948">
        <v>1878637</v>
      </c>
      <c r="B1948">
        <v>20251205</v>
      </c>
      <c r="C1948">
        <v>1444</v>
      </c>
      <c r="D1948">
        <v>7.0126227208976159E-6</v>
      </c>
      <c r="E1948" s="123" t="s">
        <v>1568</v>
      </c>
      <c r="F1948" s="123" t="s">
        <v>1572</v>
      </c>
      <c r="G1948" s="123" t="s">
        <v>1574</v>
      </c>
      <c r="H1948" s="95">
        <v>45996</v>
      </c>
      <c r="I1948">
        <v>19813</v>
      </c>
      <c r="J1948" s="123" t="s">
        <v>510</v>
      </c>
      <c r="K1948" s="123" t="s">
        <v>1304</v>
      </c>
      <c r="L1948" s="123" t="e">
        <f>VLOOKUP(Fact_AUM_FyoCapital[[#This Row],[Dim_Empresas.CUIT]],'clientes SQL'!C:D,2,0)</f>
        <v>#N/A</v>
      </c>
    </row>
    <row r="1949" spans="1:12" hidden="1" x14ac:dyDescent="0.3">
      <c r="A1949">
        <v>1854697</v>
      </c>
      <c r="B1949">
        <v>20251205</v>
      </c>
      <c r="C1949">
        <v>1088</v>
      </c>
      <c r="D1949">
        <v>556416.51801542786</v>
      </c>
      <c r="E1949" s="123" t="s">
        <v>1568</v>
      </c>
      <c r="F1949" s="123" t="s">
        <v>1572</v>
      </c>
      <c r="G1949" s="123" t="s">
        <v>1584</v>
      </c>
      <c r="H1949" s="95">
        <v>45996</v>
      </c>
      <c r="I1949">
        <v>18812</v>
      </c>
      <c r="J1949" s="123" t="s">
        <v>415</v>
      </c>
      <c r="K1949" s="123" t="s">
        <v>1433</v>
      </c>
      <c r="L1949" s="123" t="e">
        <f>VLOOKUP(Fact_AUM_FyoCapital[[#This Row],[Dim_Empresas.CUIT]],'clientes SQL'!C:D,2,0)</f>
        <v>#N/A</v>
      </c>
    </row>
    <row r="1950" spans="1:12" hidden="1" x14ac:dyDescent="0.3">
      <c r="A1950">
        <v>1897417</v>
      </c>
      <c r="B1950">
        <v>20251205</v>
      </c>
      <c r="C1950">
        <v>3044</v>
      </c>
      <c r="D1950">
        <v>85.803632538569417</v>
      </c>
      <c r="E1950" s="123" t="s">
        <v>1568</v>
      </c>
      <c r="F1950" s="123" t="s">
        <v>1572</v>
      </c>
      <c r="G1950" s="123" t="s">
        <v>1570</v>
      </c>
      <c r="H1950" s="95">
        <v>45996</v>
      </c>
      <c r="I1950">
        <v>31437</v>
      </c>
      <c r="J1950" s="123" t="s">
        <v>588</v>
      </c>
      <c r="K1950" s="123" t="s">
        <v>1409</v>
      </c>
      <c r="L1950" s="123" t="e">
        <f>VLOOKUP(Fact_AUM_FyoCapital[[#This Row],[Dim_Empresas.CUIT]],'clientes SQL'!C:D,2,0)</f>
        <v>#N/A</v>
      </c>
    </row>
    <row r="1951" spans="1:12" hidden="1" x14ac:dyDescent="0.3">
      <c r="A1951">
        <v>1884937</v>
      </c>
      <c r="B1951">
        <v>20251205</v>
      </c>
      <c r="C1951">
        <v>3288</v>
      </c>
      <c r="D1951">
        <v>56678.57</v>
      </c>
      <c r="E1951" s="123" t="s">
        <v>1566</v>
      </c>
      <c r="F1951" s="123" t="s">
        <v>1571</v>
      </c>
      <c r="G1951" s="123"/>
      <c r="H1951" s="95">
        <v>45996</v>
      </c>
      <c r="I1951">
        <v>31716</v>
      </c>
      <c r="J1951" s="123" t="s">
        <v>544</v>
      </c>
      <c r="K1951" s="123" t="s">
        <v>1353</v>
      </c>
      <c r="L1951" s="123" t="e">
        <f>VLOOKUP(Fact_AUM_FyoCapital[[#This Row],[Dim_Empresas.CUIT]],'clientes SQL'!C:D,2,0)</f>
        <v>#N/A</v>
      </c>
    </row>
    <row r="1952" spans="1:12" hidden="1" x14ac:dyDescent="0.3">
      <c r="A1952">
        <v>1888657</v>
      </c>
      <c r="B1952">
        <v>20251205</v>
      </c>
      <c r="C1952">
        <v>16751</v>
      </c>
      <c r="D1952">
        <v>3674.45</v>
      </c>
      <c r="E1952" s="123" t="s">
        <v>1566</v>
      </c>
      <c r="F1952" s="123" t="s">
        <v>1571</v>
      </c>
      <c r="G1952" s="123"/>
      <c r="H1952" s="95">
        <v>45996</v>
      </c>
      <c r="I1952">
        <v>38048</v>
      </c>
      <c r="J1952" s="123" t="s">
        <v>858</v>
      </c>
      <c r="K1952" s="123" t="s">
        <v>1372</v>
      </c>
      <c r="L1952" s="123" t="e">
        <f>VLOOKUP(Fact_AUM_FyoCapital[[#This Row],[Dim_Empresas.CUIT]],'clientes SQL'!C:D,2,0)</f>
        <v>#N/A</v>
      </c>
    </row>
    <row r="1953" spans="1:12" hidden="1" x14ac:dyDescent="0.3">
      <c r="A1953">
        <v>1902097</v>
      </c>
      <c r="B1953">
        <v>20251205</v>
      </c>
      <c r="C1953">
        <v>14873</v>
      </c>
      <c r="D1953">
        <v>3778.57</v>
      </c>
      <c r="E1953" s="123" t="s">
        <v>1566</v>
      </c>
      <c r="F1953" s="123" t="s">
        <v>1571</v>
      </c>
      <c r="G1953" s="123"/>
      <c r="H1953" s="95">
        <v>45996</v>
      </c>
      <c r="I1953">
        <v>37088</v>
      </c>
      <c r="J1953" s="123" t="s">
        <v>571</v>
      </c>
      <c r="K1953" s="123" t="s">
        <v>1269</v>
      </c>
      <c r="L1953" s="123" t="e">
        <f>VLOOKUP(Fact_AUM_FyoCapital[[#This Row],[Dim_Empresas.CUIT]],'clientes SQL'!C:D,2,0)</f>
        <v>#N/A</v>
      </c>
    </row>
    <row r="1954" spans="1:12" hidden="1" x14ac:dyDescent="0.3">
      <c r="A1954">
        <v>1873417</v>
      </c>
      <c r="B1954">
        <v>20251205</v>
      </c>
      <c r="C1954">
        <v>2810</v>
      </c>
      <c r="D1954">
        <v>40559.832230014021</v>
      </c>
      <c r="E1954" s="123" t="s">
        <v>1566</v>
      </c>
      <c r="F1954" s="123" t="s">
        <v>1582</v>
      </c>
      <c r="G1954" s="123"/>
      <c r="H1954" s="95">
        <v>45996</v>
      </c>
      <c r="I1954">
        <v>31130</v>
      </c>
      <c r="J1954" s="123" t="s">
        <v>1605</v>
      </c>
      <c r="K1954" s="123" t="s">
        <v>1606</v>
      </c>
      <c r="L1954" s="123" t="e">
        <f>VLOOKUP(Fact_AUM_FyoCapital[[#This Row],[Dim_Empresas.CUIT]],'clientes SQL'!C:D,2,0)</f>
        <v>#N/A</v>
      </c>
    </row>
    <row r="1955" spans="1:12" hidden="1" x14ac:dyDescent="0.3">
      <c r="A1955">
        <v>1830277</v>
      </c>
      <c r="B1955">
        <v>20251205</v>
      </c>
      <c r="C1955">
        <v>6313</v>
      </c>
      <c r="D1955">
        <v>110.68</v>
      </c>
      <c r="E1955" s="123" t="s">
        <v>1568</v>
      </c>
      <c r="F1955" s="123" t="s">
        <v>1572</v>
      </c>
      <c r="G1955" s="123" t="s">
        <v>1574</v>
      </c>
      <c r="H1955" s="95">
        <v>45996</v>
      </c>
      <c r="I1955">
        <v>34424</v>
      </c>
      <c r="J1955" s="123" t="s">
        <v>209</v>
      </c>
      <c r="K1955" s="123" t="s">
        <v>1334</v>
      </c>
      <c r="L1955" s="123" t="e">
        <f>VLOOKUP(Fact_AUM_FyoCapital[[#This Row],[Dim_Empresas.CUIT]],'clientes SQL'!C:D,2,0)</f>
        <v>#N/A</v>
      </c>
    </row>
    <row r="1956" spans="1:12" hidden="1" x14ac:dyDescent="0.3">
      <c r="A1956">
        <v>1858597</v>
      </c>
      <c r="B1956">
        <v>20251205</v>
      </c>
      <c r="C1956">
        <v>1191</v>
      </c>
      <c r="D1956">
        <v>226086.14347124822</v>
      </c>
      <c r="E1956" s="123" t="s">
        <v>1568</v>
      </c>
      <c r="F1956" s="123" t="s">
        <v>1572</v>
      </c>
      <c r="G1956" s="123" t="s">
        <v>1583</v>
      </c>
      <c r="H1956" s="95">
        <v>45996</v>
      </c>
      <c r="I1956">
        <v>18954</v>
      </c>
      <c r="J1956" s="123" t="s">
        <v>1247</v>
      </c>
      <c r="K1956" s="123" t="s">
        <v>1248</v>
      </c>
      <c r="L1956" s="123" t="e">
        <f>VLOOKUP(Fact_AUM_FyoCapital[[#This Row],[Dim_Empresas.CUIT]],'clientes SQL'!C:D,2,0)</f>
        <v>#N/A</v>
      </c>
    </row>
    <row r="1957" spans="1:12" hidden="1" x14ac:dyDescent="0.3">
      <c r="A1957">
        <v>2616869</v>
      </c>
      <c r="B1957">
        <v>20251205</v>
      </c>
      <c r="C1957">
        <v>12519</v>
      </c>
      <c r="D1957">
        <v>47.2</v>
      </c>
      <c r="E1957" s="123" t="s">
        <v>1563</v>
      </c>
      <c r="F1957" s="123" t="s">
        <v>950</v>
      </c>
      <c r="G1957" s="123"/>
      <c r="H1957" s="95">
        <v>45996</v>
      </c>
      <c r="I1957">
        <v>35782</v>
      </c>
      <c r="J1957" s="123" t="s">
        <v>297</v>
      </c>
      <c r="K1957" s="123" t="s">
        <v>1367</v>
      </c>
      <c r="L1957" s="123" t="e">
        <f>VLOOKUP(Fact_AUM_FyoCapital[[#This Row],[Dim_Empresas.CUIT]],'clientes SQL'!C:D,2,0)</f>
        <v>#N/A</v>
      </c>
    </row>
    <row r="1958" spans="1:12" hidden="1" x14ac:dyDescent="0.3">
      <c r="A1958">
        <v>2612009</v>
      </c>
      <c r="B1958">
        <v>20251205</v>
      </c>
      <c r="C1958">
        <v>6247</v>
      </c>
      <c r="D1958">
        <v>9712.0400000000009</v>
      </c>
      <c r="E1958" s="123" t="s">
        <v>1563</v>
      </c>
      <c r="F1958" s="123" t="s">
        <v>950</v>
      </c>
      <c r="G1958" s="123"/>
      <c r="H1958" s="95">
        <v>45996</v>
      </c>
      <c r="I1958">
        <v>34358</v>
      </c>
      <c r="J1958" s="123" t="s">
        <v>1373</v>
      </c>
      <c r="K1958" s="123" t="s">
        <v>1374</v>
      </c>
      <c r="L1958" s="123" t="e">
        <f>VLOOKUP(Fact_AUM_FyoCapital[[#This Row],[Dim_Empresas.CUIT]],'clientes SQL'!C:D,2,0)</f>
        <v>#N/A</v>
      </c>
    </row>
    <row r="1959" spans="1:12" hidden="1" x14ac:dyDescent="0.3">
      <c r="A1959">
        <v>1870717</v>
      </c>
      <c r="B1959">
        <v>20251205</v>
      </c>
      <c r="C1959">
        <v>13361</v>
      </c>
      <c r="D1959">
        <v>3126.77</v>
      </c>
      <c r="E1959" s="123" t="s">
        <v>1566</v>
      </c>
      <c r="F1959" s="123" t="s">
        <v>1579</v>
      </c>
      <c r="G1959" s="123"/>
      <c r="H1959" s="95">
        <v>45996</v>
      </c>
      <c r="I1959">
        <v>36541</v>
      </c>
      <c r="J1959" s="123" t="s">
        <v>454</v>
      </c>
      <c r="K1959" s="123" t="s">
        <v>1322</v>
      </c>
      <c r="L1959" s="123" t="e">
        <f>VLOOKUP(Fact_AUM_FyoCapital[[#This Row],[Dim_Empresas.CUIT]],'clientes SQL'!C:D,2,0)</f>
        <v>#N/A</v>
      </c>
    </row>
    <row r="1960" spans="1:12" hidden="1" x14ac:dyDescent="0.3">
      <c r="A1960">
        <v>2644589</v>
      </c>
      <c r="B1960">
        <v>20251205</v>
      </c>
      <c r="C1960">
        <v>7742</v>
      </c>
      <c r="D1960">
        <v>-0.01</v>
      </c>
      <c r="E1960" s="123" t="s">
        <v>1563</v>
      </c>
      <c r="F1960" s="123" t="s">
        <v>801</v>
      </c>
      <c r="G1960" s="123"/>
      <c r="H1960" s="95">
        <v>45996</v>
      </c>
      <c r="I1960">
        <v>35045</v>
      </c>
      <c r="J1960" s="123" t="s">
        <v>1272</v>
      </c>
      <c r="K1960" s="123" t="s">
        <v>1273</v>
      </c>
      <c r="L1960" s="123" t="e">
        <f>VLOOKUP(Fact_AUM_FyoCapital[[#This Row],[Dim_Empresas.CUIT]],'clientes SQL'!C:D,2,0)</f>
        <v>#N/A</v>
      </c>
    </row>
    <row r="1961" spans="1:12" hidden="1" x14ac:dyDescent="0.3">
      <c r="A1961">
        <v>1865377</v>
      </c>
      <c r="B1961">
        <v>20251205</v>
      </c>
      <c r="C1961">
        <v>4531</v>
      </c>
      <c r="D1961">
        <v>1366122.43</v>
      </c>
      <c r="E1961" s="123" t="s">
        <v>1566</v>
      </c>
      <c r="F1961" s="123" t="s">
        <v>1571</v>
      </c>
      <c r="G1961" s="123"/>
      <c r="H1961" s="95">
        <v>45996</v>
      </c>
      <c r="I1961">
        <v>3422</v>
      </c>
      <c r="J1961" s="123" t="s">
        <v>498</v>
      </c>
      <c r="K1961" s="123" t="s">
        <v>1231</v>
      </c>
      <c r="L1961" s="123" t="e">
        <f>VLOOKUP(Fact_AUM_FyoCapital[[#This Row],[Dim_Empresas.CUIT]],'clientes SQL'!C:D,2,0)</f>
        <v>#N/A</v>
      </c>
    </row>
    <row r="1962" spans="1:12" hidden="1" x14ac:dyDescent="0.3">
      <c r="A1962">
        <v>1862437</v>
      </c>
      <c r="B1962">
        <v>20251205</v>
      </c>
      <c r="C1962">
        <v>682</v>
      </c>
      <c r="D1962">
        <v>0</v>
      </c>
      <c r="E1962" s="123"/>
      <c r="F1962" s="123"/>
      <c r="G1962" s="123"/>
      <c r="H1962" s="95">
        <v>45996</v>
      </c>
      <c r="I1962">
        <v>9775</v>
      </c>
      <c r="J1962" s="123" t="s">
        <v>287</v>
      </c>
      <c r="K1962" s="123" t="s">
        <v>1320</v>
      </c>
      <c r="L1962" s="123" t="e">
        <f>VLOOKUP(Fact_AUM_FyoCapital[[#This Row],[Dim_Empresas.CUIT]],'clientes SQL'!C:D,2,0)</f>
        <v>#N/A</v>
      </c>
    </row>
    <row r="1963" spans="1:12" hidden="1" x14ac:dyDescent="0.3">
      <c r="A1963">
        <v>1839097</v>
      </c>
      <c r="B1963">
        <v>20251205</v>
      </c>
      <c r="C1963">
        <v>5868</v>
      </c>
      <c r="D1963">
        <v>2561.9046283309958</v>
      </c>
      <c r="E1963" s="123" t="s">
        <v>1566</v>
      </c>
      <c r="F1963" s="123" t="s">
        <v>1573</v>
      </c>
      <c r="G1963" s="123"/>
      <c r="H1963" s="95">
        <v>45996</v>
      </c>
      <c r="I1963">
        <v>33580</v>
      </c>
      <c r="J1963" s="123" t="s">
        <v>348</v>
      </c>
      <c r="K1963" s="123" t="s">
        <v>1277</v>
      </c>
      <c r="L1963" s="123" t="e">
        <f>VLOOKUP(Fact_AUM_FyoCapital[[#This Row],[Dim_Empresas.CUIT]],'clientes SQL'!C:D,2,0)</f>
        <v>#N/A</v>
      </c>
    </row>
    <row r="1964" spans="1:12" hidden="1" x14ac:dyDescent="0.3">
      <c r="A1964">
        <v>1880677</v>
      </c>
      <c r="B1964">
        <v>20251205</v>
      </c>
      <c r="C1964">
        <v>1546</v>
      </c>
      <c r="D1964">
        <v>0</v>
      </c>
      <c r="E1964" s="123"/>
      <c r="F1964" s="123"/>
      <c r="G1964" s="123"/>
      <c r="H1964" s="95">
        <v>45996</v>
      </c>
      <c r="I1964">
        <v>18554</v>
      </c>
      <c r="J1964" s="123" t="s">
        <v>550</v>
      </c>
      <c r="K1964" s="123" t="s">
        <v>1394</v>
      </c>
      <c r="L1964" s="123" t="e">
        <f>VLOOKUP(Fact_AUM_FyoCapital[[#This Row],[Dim_Empresas.CUIT]],'clientes SQL'!C:D,2,0)</f>
        <v>#N/A</v>
      </c>
    </row>
    <row r="1965" spans="1:12" hidden="1" x14ac:dyDescent="0.3">
      <c r="A1965">
        <v>1856077</v>
      </c>
      <c r="B1965">
        <v>20251205</v>
      </c>
      <c r="C1965">
        <v>12829</v>
      </c>
      <c r="D1965">
        <v>9879.86</v>
      </c>
      <c r="E1965" s="123" t="s">
        <v>1568</v>
      </c>
      <c r="F1965" s="123" t="s">
        <v>1572</v>
      </c>
      <c r="G1965" s="123" t="s">
        <v>1570</v>
      </c>
      <c r="H1965" s="95">
        <v>45996</v>
      </c>
      <c r="I1965">
        <v>36053</v>
      </c>
      <c r="J1965" s="123" t="s">
        <v>369</v>
      </c>
      <c r="K1965" s="123" t="s">
        <v>1382</v>
      </c>
      <c r="L1965" s="123" t="e">
        <f>VLOOKUP(Fact_AUM_FyoCapital[[#This Row],[Dim_Empresas.CUIT]],'clientes SQL'!C:D,2,0)</f>
        <v>#N/A</v>
      </c>
    </row>
    <row r="1966" spans="1:12" hidden="1" x14ac:dyDescent="0.3">
      <c r="A1966">
        <v>1829257</v>
      </c>
      <c r="B1966">
        <v>20251205</v>
      </c>
      <c r="C1966">
        <v>923</v>
      </c>
      <c r="D1966">
        <v>36481.215301542776</v>
      </c>
      <c r="E1966" s="123" t="s">
        <v>1568</v>
      </c>
      <c r="F1966" s="123" t="s">
        <v>1572</v>
      </c>
      <c r="G1966" s="123" t="s">
        <v>1570</v>
      </c>
      <c r="H1966" s="95">
        <v>45996</v>
      </c>
      <c r="I1966">
        <v>5246</v>
      </c>
      <c r="J1966" s="123" t="s">
        <v>240</v>
      </c>
      <c r="K1966" s="123" t="s">
        <v>1497</v>
      </c>
      <c r="L1966" s="123" t="e">
        <f>VLOOKUP(Fact_AUM_FyoCapital[[#This Row],[Dim_Empresas.CUIT]],'clientes SQL'!C:D,2,0)</f>
        <v>#N/A</v>
      </c>
    </row>
    <row r="1967" spans="1:12" hidden="1" x14ac:dyDescent="0.3">
      <c r="A1967">
        <v>1871617</v>
      </c>
      <c r="B1967">
        <v>20251205</v>
      </c>
      <c r="C1967">
        <v>13719</v>
      </c>
      <c r="D1967">
        <v>0</v>
      </c>
      <c r="E1967" s="123"/>
      <c r="F1967" s="123"/>
      <c r="G1967" s="123"/>
      <c r="H1967" s="95">
        <v>45996</v>
      </c>
      <c r="I1967">
        <v>36879</v>
      </c>
      <c r="J1967" s="123" t="s">
        <v>1340</v>
      </c>
      <c r="K1967" s="123" t="s">
        <v>1341</v>
      </c>
      <c r="L1967" s="123" t="e">
        <f>VLOOKUP(Fact_AUM_FyoCapital[[#This Row],[Dim_Empresas.CUIT]],'clientes SQL'!C:D,2,0)</f>
        <v>#N/A</v>
      </c>
    </row>
    <row r="1968" spans="1:12" hidden="1" x14ac:dyDescent="0.3">
      <c r="A1968">
        <v>1870117</v>
      </c>
      <c r="B1968">
        <v>20251205</v>
      </c>
      <c r="C1968">
        <v>13361</v>
      </c>
      <c r="D1968">
        <v>4176.4132889200555</v>
      </c>
      <c r="E1968" s="123" t="s">
        <v>1566</v>
      </c>
      <c r="F1968" s="123" t="s">
        <v>1571</v>
      </c>
      <c r="G1968" s="123"/>
      <c r="H1968" s="95">
        <v>45996</v>
      </c>
      <c r="I1968">
        <v>36541</v>
      </c>
      <c r="J1968" s="123" t="s">
        <v>454</v>
      </c>
      <c r="K1968" s="123" t="s">
        <v>1322</v>
      </c>
      <c r="L1968" s="123" t="e">
        <f>VLOOKUP(Fact_AUM_FyoCapital[[#This Row],[Dim_Empresas.CUIT]],'clientes SQL'!C:D,2,0)</f>
        <v>#N/A</v>
      </c>
    </row>
    <row r="1969" spans="1:12" hidden="1" x14ac:dyDescent="0.3">
      <c r="A1969">
        <v>1875337</v>
      </c>
      <c r="B1969">
        <v>20251205</v>
      </c>
      <c r="C1969">
        <v>1566</v>
      </c>
      <c r="D1969">
        <v>3.2608695652173916E-3</v>
      </c>
      <c r="E1969" s="123" t="s">
        <v>1568</v>
      </c>
      <c r="F1969" s="123" t="s">
        <v>1572</v>
      </c>
      <c r="G1969" s="123" t="s">
        <v>1570</v>
      </c>
      <c r="H1969" s="95">
        <v>45996</v>
      </c>
      <c r="I1969">
        <v>20248</v>
      </c>
      <c r="J1969" s="123" t="s">
        <v>1249</v>
      </c>
      <c r="K1969" s="123" t="s">
        <v>1250</v>
      </c>
      <c r="L1969" s="123" t="e">
        <f>VLOOKUP(Fact_AUM_FyoCapital[[#This Row],[Dim_Empresas.CUIT]],'clientes SQL'!C:D,2,0)</f>
        <v>#N/A</v>
      </c>
    </row>
    <row r="1970" spans="1:12" hidden="1" x14ac:dyDescent="0.3">
      <c r="A1970">
        <v>2635529</v>
      </c>
      <c r="B1970">
        <v>20251205</v>
      </c>
      <c r="C1970">
        <v>16751</v>
      </c>
      <c r="D1970">
        <v>2.0336605890603084E-4</v>
      </c>
      <c r="E1970" s="123" t="s">
        <v>1563</v>
      </c>
      <c r="F1970" s="123" t="s">
        <v>185</v>
      </c>
      <c r="G1970" s="123"/>
      <c r="H1970" s="95">
        <v>45996</v>
      </c>
      <c r="I1970">
        <v>38048</v>
      </c>
      <c r="J1970" s="123" t="s">
        <v>858</v>
      </c>
      <c r="K1970" s="123" t="s">
        <v>1372</v>
      </c>
      <c r="L1970" s="123" t="e">
        <f>VLOOKUP(Fact_AUM_FyoCapital[[#This Row],[Dim_Empresas.CUIT]],'clientes SQL'!C:D,2,0)</f>
        <v>#N/A</v>
      </c>
    </row>
    <row r="1971" spans="1:12" hidden="1" x14ac:dyDescent="0.3">
      <c r="A1971">
        <v>2617409</v>
      </c>
      <c r="B1971">
        <v>20251205</v>
      </c>
      <c r="C1971">
        <v>12764</v>
      </c>
      <c r="D1971">
        <v>0.34035063113604486</v>
      </c>
      <c r="E1971" s="123" t="s">
        <v>1563</v>
      </c>
      <c r="F1971" s="123" t="s">
        <v>185</v>
      </c>
      <c r="G1971" s="123"/>
      <c r="H1971" s="95">
        <v>45996</v>
      </c>
      <c r="I1971">
        <v>35992</v>
      </c>
      <c r="J1971" s="123" t="s">
        <v>340</v>
      </c>
      <c r="K1971" s="123" t="s">
        <v>1428</v>
      </c>
      <c r="L1971" s="123" t="e">
        <f>VLOOKUP(Fact_AUM_FyoCapital[[#This Row],[Dim_Empresas.CUIT]],'clientes SQL'!C:D,2,0)</f>
        <v>#N/A</v>
      </c>
    </row>
    <row r="1972" spans="1:12" hidden="1" x14ac:dyDescent="0.3">
      <c r="A1972">
        <v>1841497</v>
      </c>
      <c r="B1972">
        <v>20251205</v>
      </c>
      <c r="C1972">
        <v>5251</v>
      </c>
      <c r="D1972">
        <v>225329.59326788218</v>
      </c>
      <c r="E1972" s="123" t="s">
        <v>1566</v>
      </c>
      <c r="F1972" s="123" t="s">
        <v>1571</v>
      </c>
      <c r="G1972" s="123"/>
      <c r="H1972" s="95">
        <v>45996</v>
      </c>
      <c r="I1972">
        <v>33173</v>
      </c>
      <c r="J1972" s="123" t="s">
        <v>341</v>
      </c>
      <c r="K1972" s="123" t="s">
        <v>1318</v>
      </c>
      <c r="L1972" s="123" t="e">
        <f>VLOOKUP(Fact_AUM_FyoCapital[[#This Row],[Dim_Empresas.CUIT]],'clientes SQL'!C:D,2,0)</f>
        <v>#N/A</v>
      </c>
    </row>
    <row r="1973" spans="1:12" hidden="1" x14ac:dyDescent="0.3">
      <c r="A1973">
        <v>2630309</v>
      </c>
      <c r="B1973">
        <v>20251205</v>
      </c>
      <c r="C1973">
        <v>2109</v>
      </c>
      <c r="D1973">
        <v>7.0000000000000007E-2</v>
      </c>
      <c r="E1973" s="123" t="s">
        <v>1563</v>
      </c>
      <c r="F1973" s="123" t="s">
        <v>188</v>
      </c>
      <c r="G1973" s="123"/>
      <c r="H1973" s="95">
        <v>45996</v>
      </c>
      <c r="I1973">
        <v>20716</v>
      </c>
      <c r="J1973" s="123" t="s">
        <v>323</v>
      </c>
      <c r="K1973" s="123" t="s">
        <v>1388</v>
      </c>
      <c r="L1973" s="123" t="e">
        <f>VLOOKUP(Fact_AUM_FyoCapital[[#This Row],[Dim_Empresas.CUIT]],'clientes SQL'!C:D,2,0)</f>
        <v>#N/A</v>
      </c>
    </row>
    <row r="1974" spans="1:12" hidden="1" x14ac:dyDescent="0.3">
      <c r="A1974">
        <v>1880917</v>
      </c>
      <c r="B1974">
        <v>20251205</v>
      </c>
      <c r="C1974">
        <v>1546</v>
      </c>
      <c r="D1974">
        <v>0</v>
      </c>
      <c r="E1974" s="123"/>
      <c r="F1974" s="123"/>
      <c r="G1974" s="123"/>
      <c r="H1974" s="95">
        <v>45996</v>
      </c>
      <c r="I1974">
        <v>18554</v>
      </c>
      <c r="J1974" s="123" t="s">
        <v>550</v>
      </c>
      <c r="K1974" s="123" t="s">
        <v>1394</v>
      </c>
      <c r="L1974" s="123" t="e">
        <f>VLOOKUP(Fact_AUM_FyoCapital[[#This Row],[Dim_Empresas.CUIT]],'clientes SQL'!C:D,2,0)</f>
        <v>#N/A</v>
      </c>
    </row>
    <row r="1975" spans="1:12" hidden="1" x14ac:dyDescent="0.3">
      <c r="A1975">
        <v>1869277</v>
      </c>
      <c r="B1975">
        <v>20251205</v>
      </c>
      <c r="C1975">
        <v>13361</v>
      </c>
      <c r="D1975">
        <v>2876.19</v>
      </c>
      <c r="E1975" s="123" t="s">
        <v>1566</v>
      </c>
      <c r="F1975" s="123" t="s">
        <v>1579</v>
      </c>
      <c r="G1975" s="123"/>
      <c r="H1975" s="95">
        <v>45996</v>
      </c>
      <c r="I1975">
        <v>36541</v>
      </c>
      <c r="J1975" s="123" t="s">
        <v>454</v>
      </c>
      <c r="K1975" s="123" t="s">
        <v>1322</v>
      </c>
      <c r="L1975" s="123" t="e">
        <f>VLOOKUP(Fact_AUM_FyoCapital[[#This Row],[Dim_Empresas.CUIT]],'clientes SQL'!C:D,2,0)</f>
        <v>#N/A</v>
      </c>
    </row>
    <row r="1976" spans="1:12" hidden="1" x14ac:dyDescent="0.3">
      <c r="A1976">
        <v>1857457</v>
      </c>
      <c r="B1976">
        <v>20251205</v>
      </c>
      <c r="C1976">
        <v>1191</v>
      </c>
      <c r="D1976">
        <v>0</v>
      </c>
      <c r="E1976" s="123"/>
      <c r="F1976" s="123"/>
      <c r="G1976" s="123"/>
      <c r="H1976" s="95">
        <v>45996</v>
      </c>
      <c r="I1976">
        <v>18954</v>
      </c>
      <c r="J1976" s="123" t="s">
        <v>1247</v>
      </c>
      <c r="K1976" s="123" t="s">
        <v>1248</v>
      </c>
      <c r="L1976" s="123" t="e">
        <f>VLOOKUP(Fact_AUM_FyoCapital[[#This Row],[Dim_Empresas.CUIT]],'clientes SQL'!C:D,2,0)</f>
        <v>#N/A</v>
      </c>
    </row>
    <row r="1977" spans="1:12" hidden="1" x14ac:dyDescent="0.3">
      <c r="A1977">
        <v>1841437</v>
      </c>
      <c r="B1977">
        <v>20251205</v>
      </c>
      <c r="C1977">
        <v>5251</v>
      </c>
      <c r="D1977">
        <v>183263.60161290324</v>
      </c>
      <c r="E1977" s="123" t="s">
        <v>1566</v>
      </c>
      <c r="F1977" s="123" t="s">
        <v>1571</v>
      </c>
      <c r="G1977" s="123"/>
      <c r="H1977" s="95">
        <v>45996</v>
      </c>
      <c r="I1977">
        <v>33173</v>
      </c>
      <c r="J1977" s="123" t="s">
        <v>341</v>
      </c>
      <c r="K1977" s="123" t="s">
        <v>1318</v>
      </c>
      <c r="L1977" s="123" t="e">
        <f>VLOOKUP(Fact_AUM_FyoCapital[[#This Row],[Dim_Empresas.CUIT]],'clientes SQL'!C:D,2,0)</f>
        <v>#N/A</v>
      </c>
    </row>
    <row r="1978" spans="1:12" hidden="1" x14ac:dyDescent="0.3">
      <c r="A1978">
        <v>1879657</v>
      </c>
      <c r="B1978">
        <v>20251205</v>
      </c>
      <c r="C1978">
        <v>1546</v>
      </c>
      <c r="D1978">
        <v>0</v>
      </c>
      <c r="E1978" s="123"/>
      <c r="F1978" s="123"/>
      <c r="G1978" s="123"/>
      <c r="H1978" s="95">
        <v>45996</v>
      </c>
      <c r="I1978">
        <v>18554</v>
      </c>
      <c r="J1978" s="123" t="s">
        <v>550</v>
      </c>
      <c r="K1978" s="123" t="s">
        <v>1394</v>
      </c>
      <c r="L1978" s="123" t="e">
        <f>VLOOKUP(Fact_AUM_FyoCapital[[#This Row],[Dim_Empresas.CUIT]],'clientes SQL'!C:D,2,0)</f>
        <v>#N/A</v>
      </c>
    </row>
    <row r="1979" spans="1:12" hidden="1" x14ac:dyDescent="0.3">
      <c r="A1979">
        <v>1839457</v>
      </c>
      <c r="B1979">
        <v>20251205</v>
      </c>
      <c r="C1979">
        <v>5868</v>
      </c>
      <c r="D1979">
        <v>2842.6178471248245</v>
      </c>
      <c r="E1979" s="123" t="s">
        <v>1566</v>
      </c>
      <c r="F1979" s="123" t="s">
        <v>1571</v>
      </c>
      <c r="G1979" s="123"/>
      <c r="H1979" s="95">
        <v>45996</v>
      </c>
      <c r="I1979">
        <v>33580</v>
      </c>
      <c r="J1979" s="123" t="s">
        <v>348</v>
      </c>
      <c r="K1979" s="123" t="s">
        <v>1277</v>
      </c>
      <c r="L1979" s="123" t="e">
        <f>VLOOKUP(Fact_AUM_FyoCapital[[#This Row],[Dim_Empresas.CUIT]],'clientes SQL'!C:D,2,0)</f>
        <v>#N/A</v>
      </c>
    </row>
    <row r="1980" spans="1:12" hidden="1" x14ac:dyDescent="0.3">
      <c r="A1980">
        <v>1880137</v>
      </c>
      <c r="B1980">
        <v>20251205</v>
      </c>
      <c r="C1980">
        <v>1546</v>
      </c>
      <c r="D1980">
        <v>0</v>
      </c>
      <c r="E1980" s="123"/>
      <c r="F1980" s="123"/>
      <c r="G1980" s="123"/>
      <c r="H1980" s="95">
        <v>45996</v>
      </c>
      <c r="I1980">
        <v>18554</v>
      </c>
      <c r="J1980" s="123" t="s">
        <v>550</v>
      </c>
      <c r="K1980" s="123" t="s">
        <v>1394</v>
      </c>
      <c r="L1980" s="123" t="e">
        <f>VLOOKUP(Fact_AUM_FyoCapital[[#This Row],[Dim_Empresas.CUIT]],'clientes SQL'!C:D,2,0)</f>
        <v>#N/A</v>
      </c>
    </row>
    <row r="1981" spans="1:12" hidden="1" x14ac:dyDescent="0.3">
      <c r="A1981">
        <v>2615189</v>
      </c>
      <c r="B1981">
        <v>20251205</v>
      </c>
      <c r="C1981">
        <v>5868</v>
      </c>
      <c r="D1981">
        <v>20.23</v>
      </c>
      <c r="E1981" s="123" t="s">
        <v>1563</v>
      </c>
      <c r="F1981" s="123" t="s">
        <v>188</v>
      </c>
      <c r="G1981" s="123"/>
      <c r="H1981" s="95">
        <v>45996</v>
      </c>
      <c r="I1981">
        <v>33580</v>
      </c>
      <c r="J1981" s="123" t="s">
        <v>348</v>
      </c>
      <c r="K1981" s="123" t="s">
        <v>1277</v>
      </c>
      <c r="L1981" s="123" t="e">
        <f>VLOOKUP(Fact_AUM_FyoCapital[[#This Row],[Dim_Empresas.CUIT]],'clientes SQL'!C:D,2,0)</f>
        <v>#N/A</v>
      </c>
    </row>
    <row r="1982" spans="1:12" hidden="1" x14ac:dyDescent="0.3">
      <c r="A1982">
        <v>1858657</v>
      </c>
      <c r="B1982">
        <v>20251205</v>
      </c>
      <c r="C1982">
        <v>1191</v>
      </c>
      <c r="D1982">
        <v>-2.0336605890603084E-4</v>
      </c>
      <c r="E1982" s="123" t="s">
        <v>1568</v>
      </c>
      <c r="F1982" s="123" t="s">
        <v>1572</v>
      </c>
      <c r="G1982" s="123" t="s">
        <v>1574</v>
      </c>
      <c r="H1982" s="95">
        <v>45996</v>
      </c>
      <c r="I1982">
        <v>18954</v>
      </c>
      <c r="J1982" s="123" t="s">
        <v>1247</v>
      </c>
      <c r="K1982" s="123" t="s">
        <v>1248</v>
      </c>
      <c r="L1982" s="123" t="e">
        <f>VLOOKUP(Fact_AUM_FyoCapital[[#This Row],[Dim_Empresas.CUIT]],'clientes SQL'!C:D,2,0)</f>
        <v>#N/A</v>
      </c>
    </row>
    <row r="1983" spans="1:12" hidden="1" x14ac:dyDescent="0.3">
      <c r="A1983">
        <v>2644529</v>
      </c>
      <c r="B1983">
        <v>20251205</v>
      </c>
      <c r="C1983">
        <v>7742</v>
      </c>
      <c r="D1983">
        <v>1.0049088359046283E-2</v>
      </c>
      <c r="E1983" s="123" t="s">
        <v>1563</v>
      </c>
      <c r="F1983" s="123" t="s">
        <v>185</v>
      </c>
      <c r="G1983" s="123"/>
      <c r="H1983" s="95">
        <v>45996</v>
      </c>
      <c r="I1983">
        <v>35045</v>
      </c>
      <c r="J1983" s="123" t="s">
        <v>1272</v>
      </c>
      <c r="K1983" s="123" t="s">
        <v>1273</v>
      </c>
      <c r="L1983" s="123" t="e">
        <f>VLOOKUP(Fact_AUM_FyoCapital[[#This Row],[Dim_Empresas.CUIT]],'clientes SQL'!C:D,2,0)</f>
        <v>#N/A</v>
      </c>
    </row>
    <row r="1984" spans="1:12" hidden="1" x14ac:dyDescent="0.3">
      <c r="A1984">
        <v>1896337</v>
      </c>
      <c r="B1984">
        <v>20251205</v>
      </c>
      <c r="C1984">
        <v>10253</v>
      </c>
      <c r="D1984">
        <v>8029.46</v>
      </c>
      <c r="E1984" s="123" t="s">
        <v>1566</v>
      </c>
      <c r="F1984" s="123" t="s">
        <v>1571</v>
      </c>
      <c r="G1984" s="123"/>
      <c r="H1984" s="95">
        <v>45996</v>
      </c>
      <c r="I1984">
        <v>35643</v>
      </c>
      <c r="J1984" s="123" t="s">
        <v>603</v>
      </c>
      <c r="K1984" s="123" t="s">
        <v>1220</v>
      </c>
      <c r="L1984" s="123" t="e">
        <f>VLOOKUP(Fact_AUM_FyoCapital[[#This Row],[Dim_Empresas.CUIT]],'clientes SQL'!C:D,2,0)</f>
        <v>#N/A</v>
      </c>
    </row>
    <row r="1985" spans="1:12" hidden="1" x14ac:dyDescent="0.3">
      <c r="A1985">
        <v>1880617</v>
      </c>
      <c r="B1985">
        <v>20251205</v>
      </c>
      <c r="C1985">
        <v>1546</v>
      </c>
      <c r="D1985">
        <v>0</v>
      </c>
      <c r="E1985" s="123"/>
      <c r="F1985" s="123"/>
      <c r="G1985" s="123"/>
      <c r="H1985" s="95">
        <v>45996</v>
      </c>
      <c r="I1985">
        <v>18554</v>
      </c>
      <c r="J1985" s="123" t="s">
        <v>550</v>
      </c>
      <c r="K1985" s="123" t="s">
        <v>1394</v>
      </c>
      <c r="L1985" s="123" t="e">
        <f>VLOOKUP(Fact_AUM_FyoCapital[[#This Row],[Dim_Empresas.CUIT]],'clientes SQL'!C:D,2,0)</f>
        <v>#N/A</v>
      </c>
    </row>
    <row r="1986" spans="1:12" hidden="1" x14ac:dyDescent="0.3">
      <c r="A1986">
        <v>1867297</v>
      </c>
      <c r="B1986">
        <v>20251205</v>
      </c>
      <c r="C1986">
        <v>1361</v>
      </c>
      <c r="D1986">
        <v>0</v>
      </c>
      <c r="E1986" s="123"/>
      <c r="F1986" s="123"/>
      <c r="G1986" s="123"/>
      <c r="H1986" s="95">
        <v>45996</v>
      </c>
      <c r="I1986">
        <v>19517</v>
      </c>
      <c r="J1986" s="123" t="s">
        <v>647</v>
      </c>
      <c r="K1986" s="123" t="s">
        <v>1399</v>
      </c>
      <c r="L1986" s="123" t="e">
        <f>VLOOKUP(Fact_AUM_FyoCapital[[#This Row],[Dim_Empresas.CUIT]],'clientes SQL'!C:D,2,0)</f>
        <v>#N/A</v>
      </c>
    </row>
    <row r="1987" spans="1:12" hidden="1" x14ac:dyDescent="0.3">
      <c r="A1987">
        <v>2621729</v>
      </c>
      <c r="B1987">
        <v>20251205</v>
      </c>
      <c r="C1987">
        <v>3661</v>
      </c>
      <c r="D1987">
        <v>2691.66</v>
      </c>
      <c r="E1987" s="123" t="s">
        <v>1563</v>
      </c>
      <c r="F1987" s="123" t="s">
        <v>801</v>
      </c>
      <c r="G1987" s="123"/>
      <c r="H1987" s="95">
        <v>45996</v>
      </c>
      <c r="I1987">
        <v>32155</v>
      </c>
      <c r="J1987" s="123" t="s">
        <v>1313</v>
      </c>
      <c r="K1987" s="123" t="s">
        <v>1314</v>
      </c>
      <c r="L1987" s="123" t="e">
        <f>VLOOKUP(Fact_AUM_FyoCapital[[#This Row],[Dim_Empresas.CUIT]],'clientes SQL'!C:D,2,0)</f>
        <v>#N/A</v>
      </c>
    </row>
    <row r="1988" spans="1:12" hidden="1" x14ac:dyDescent="0.3">
      <c r="A1988">
        <v>1834117</v>
      </c>
      <c r="B1988">
        <v>20251205</v>
      </c>
      <c r="C1988">
        <v>6247</v>
      </c>
      <c r="D1988">
        <v>384208.7</v>
      </c>
      <c r="E1988" s="123" t="s">
        <v>1566</v>
      </c>
      <c r="F1988" s="123" t="s">
        <v>1571</v>
      </c>
      <c r="G1988" s="123"/>
      <c r="H1988" s="95">
        <v>45996</v>
      </c>
      <c r="I1988">
        <v>34358</v>
      </c>
      <c r="J1988" s="123" t="s">
        <v>1373</v>
      </c>
      <c r="K1988" s="123" t="s">
        <v>1374</v>
      </c>
      <c r="L1988" s="123" t="e">
        <f>VLOOKUP(Fact_AUM_FyoCapital[[#This Row],[Dim_Empresas.CUIT]],'clientes SQL'!C:D,2,0)</f>
        <v>#N/A</v>
      </c>
    </row>
    <row r="1989" spans="1:12" hidden="1" x14ac:dyDescent="0.3">
      <c r="A1989">
        <v>2600789</v>
      </c>
      <c r="B1989">
        <v>20251205</v>
      </c>
      <c r="C1989">
        <v>16949</v>
      </c>
      <c r="D1989">
        <v>73.109943899018234</v>
      </c>
      <c r="E1989" s="123" t="s">
        <v>1568</v>
      </c>
      <c r="F1989" s="123" t="s">
        <v>1572</v>
      </c>
      <c r="G1989" s="123" t="s">
        <v>1570</v>
      </c>
      <c r="H1989" s="95">
        <v>45996</v>
      </c>
      <c r="I1989">
        <v>38119</v>
      </c>
      <c r="J1989" s="123" t="s">
        <v>1507</v>
      </c>
      <c r="K1989" s="123" t="s">
        <v>1508</v>
      </c>
      <c r="L1989" s="123" t="e">
        <f>VLOOKUP(Fact_AUM_FyoCapital[[#This Row],[Dim_Empresas.CUIT]],'clientes SQL'!C:D,2,0)</f>
        <v>#N/A</v>
      </c>
    </row>
    <row r="1990" spans="1:12" hidden="1" x14ac:dyDescent="0.3">
      <c r="A1990">
        <v>1873537</v>
      </c>
      <c r="B1990">
        <v>20251205</v>
      </c>
      <c r="C1990">
        <v>2810</v>
      </c>
      <c r="D1990">
        <v>537.41</v>
      </c>
      <c r="E1990" s="123" t="s">
        <v>1568</v>
      </c>
      <c r="F1990" s="123" t="s">
        <v>1572</v>
      </c>
      <c r="G1990" s="123" t="s">
        <v>1570</v>
      </c>
      <c r="H1990" s="95">
        <v>45996</v>
      </c>
      <c r="I1990">
        <v>31130</v>
      </c>
      <c r="J1990" s="123" t="s">
        <v>1605</v>
      </c>
      <c r="K1990" s="123" t="s">
        <v>1606</v>
      </c>
      <c r="L1990" s="123" t="e">
        <f>VLOOKUP(Fact_AUM_FyoCapital[[#This Row],[Dim_Empresas.CUIT]],'clientes SQL'!C:D,2,0)</f>
        <v>#N/A</v>
      </c>
    </row>
    <row r="1991" spans="1:12" hidden="1" x14ac:dyDescent="0.3">
      <c r="A1991">
        <v>1881697</v>
      </c>
      <c r="B1991">
        <v>20251205</v>
      </c>
      <c r="C1991">
        <v>1546</v>
      </c>
      <c r="D1991">
        <v>0</v>
      </c>
      <c r="E1991" s="123"/>
      <c r="F1991" s="123"/>
      <c r="G1991" s="123"/>
      <c r="H1991" s="95">
        <v>45996</v>
      </c>
      <c r="I1991">
        <v>18554</v>
      </c>
      <c r="J1991" s="123" t="s">
        <v>550</v>
      </c>
      <c r="K1991" s="123" t="s">
        <v>1394</v>
      </c>
      <c r="L1991" s="123" t="e">
        <f>VLOOKUP(Fact_AUM_FyoCapital[[#This Row],[Dim_Empresas.CUIT]],'clientes SQL'!C:D,2,0)</f>
        <v>#N/A</v>
      </c>
    </row>
    <row r="1992" spans="1:12" hidden="1" x14ac:dyDescent="0.3">
      <c r="A1992">
        <v>1844137</v>
      </c>
      <c r="B1992">
        <v>20251205</v>
      </c>
      <c r="C1992">
        <v>12519</v>
      </c>
      <c r="D1992">
        <v>8920.7900000000009</v>
      </c>
      <c r="E1992" s="123" t="s">
        <v>1568</v>
      </c>
      <c r="F1992" s="123" t="s">
        <v>1575</v>
      </c>
      <c r="G1992" s="123" t="s">
        <v>1576</v>
      </c>
      <c r="H1992" s="95">
        <v>45996</v>
      </c>
      <c r="I1992">
        <v>35782</v>
      </c>
      <c r="J1992" s="123" t="s">
        <v>297</v>
      </c>
      <c r="K1992" s="123" t="s">
        <v>1367</v>
      </c>
      <c r="L1992" s="123" t="e">
        <f>VLOOKUP(Fact_AUM_FyoCapital[[#This Row],[Dim_Empresas.CUIT]],'clientes SQL'!C:D,2,0)</f>
        <v>#N/A</v>
      </c>
    </row>
    <row r="1993" spans="1:12" hidden="1" x14ac:dyDescent="0.3">
      <c r="A1993">
        <v>2634449</v>
      </c>
      <c r="B1993">
        <v>20251205</v>
      </c>
      <c r="C1993">
        <v>1417</v>
      </c>
      <c r="D1993">
        <v>-1.0518934081346423E-4</v>
      </c>
      <c r="E1993" s="123" t="s">
        <v>1563</v>
      </c>
      <c r="F1993" s="123" t="s">
        <v>185</v>
      </c>
      <c r="G1993" s="123"/>
      <c r="H1993" s="95">
        <v>45996</v>
      </c>
      <c r="I1993">
        <v>9611</v>
      </c>
      <c r="J1993" s="123" t="s">
        <v>709</v>
      </c>
      <c r="K1993" s="123" t="s">
        <v>1436</v>
      </c>
      <c r="L1993" s="123" t="e">
        <f>VLOOKUP(Fact_AUM_FyoCapital[[#This Row],[Dim_Empresas.CUIT]],'clientes SQL'!C:D,2,0)</f>
        <v>#N/A</v>
      </c>
    </row>
    <row r="1994" spans="1:12" hidden="1" x14ac:dyDescent="0.3">
      <c r="A1994">
        <v>1869997</v>
      </c>
      <c r="B1994">
        <v>20251205</v>
      </c>
      <c r="C1994">
        <v>13361</v>
      </c>
      <c r="D1994">
        <v>2040.82</v>
      </c>
      <c r="E1994" s="123" t="s">
        <v>1566</v>
      </c>
      <c r="F1994" s="123" t="s">
        <v>1579</v>
      </c>
      <c r="G1994" s="123"/>
      <c r="H1994" s="95">
        <v>45996</v>
      </c>
      <c r="I1994">
        <v>36541</v>
      </c>
      <c r="J1994" s="123" t="s">
        <v>454</v>
      </c>
      <c r="K1994" s="123" t="s">
        <v>1322</v>
      </c>
      <c r="L1994" s="123" t="e">
        <f>VLOOKUP(Fact_AUM_FyoCapital[[#This Row],[Dim_Empresas.CUIT]],'clientes SQL'!C:D,2,0)</f>
        <v>#N/A</v>
      </c>
    </row>
    <row r="1995" spans="1:12" hidden="1" x14ac:dyDescent="0.3">
      <c r="A1995">
        <v>2636789</v>
      </c>
      <c r="B1995">
        <v>20251205</v>
      </c>
      <c r="C1995">
        <v>1853</v>
      </c>
      <c r="D1995">
        <v>-4158.4173842917253</v>
      </c>
      <c r="E1995" s="123" t="s">
        <v>1563</v>
      </c>
      <c r="F1995" s="123" t="s">
        <v>185</v>
      </c>
      <c r="G1995" s="123"/>
      <c r="H1995" s="95">
        <v>45996</v>
      </c>
      <c r="I1995">
        <v>19392</v>
      </c>
      <c r="J1995" s="123" t="s">
        <v>1309</v>
      </c>
      <c r="K1995" s="123" t="s">
        <v>1310</v>
      </c>
      <c r="L1995" s="123" t="e">
        <f>VLOOKUP(Fact_AUM_FyoCapital[[#This Row],[Dim_Empresas.CUIT]],'clientes SQL'!C:D,2,0)</f>
        <v>#N/A</v>
      </c>
    </row>
    <row r="1996" spans="1:12" hidden="1" x14ac:dyDescent="0.3">
      <c r="A1996">
        <v>1896397</v>
      </c>
      <c r="B1996">
        <v>20251205</v>
      </c>
      <c r="C1996">
        <v>10253</v>
      </c>
      <c r="D1996">
        <v>207793.54</v>
      </c>
      <c r="E1996" s="123" t="s">
        <v>1566</v>
      </c>
      <c r="F1996" s="123" t="s">
        <v>1571</v>
      </c>
      <c r="G1996" s="123"/>
      <c r="H1996" s="95">
        <v>45996</v>
      </c>
      <c r="I1996">
        <v>35643</v>
      </c>
      <c r="J1996" s="123" t="s">
        <v>603</v>
      </c>
      <c r="K1996" s="123" t="s">
        <v>1220</v>
      </c>
      <c r="L1996" s="123" t="e">
        <f>VLOOKUP(Fact_AUM_FyoCapital[[#This Row],[Dim_Empresas.CUIT]],'clientes SQL'!C:D,2,0)</f>
        <v>#N/A</v>
      </c>
    </row>
    <row r="1997" spans="1:12" hidden="1" x14ac:dyDescent="0.3">
      <c r="A1997">
        <v>2628749</v>
      </c>
      <c r="B1997">
        <v>20251205</v>
      </c>
      <c r="C1997">
        <v>800</v>
      </c>
      <c r="D1997">
        <v>11.484081346423562</v>
      </c>
      <c r="E1997" s="123" t="s">
        <v>1563</v>
      </c>
      <c r="F1997" s="123" t="s">
        <v>185</v>
      </c>
      <c r="G1997" s="123"/>
      <c r="H1997" s="95">
        <v>45996</v>
      </c>
      <c r="I1997">
        <v>17065</v>
      </c>
      <c r="J1997" s="123" t="s">
        <v>478</v>
      </c>
      <c r="K1997" s="123" t="s">
        <v>1270</v>
      </c>
      <c r="L1997" s="123" t="e">
        <f>VLOOKUP(Fact_AUM_FyoCapital[[#This Row],[Dim_Empresas.CUIT]],'clientes SQL'!C:D,2,0)</f>
        <v>#N/A</v>
      </c>
    </row>
    <row r="1998" spans="1:12" hidden="1" x14ac:dyDescent="0.3">
      <c r="A1998">
        <v>1825537</v>
      </c>
      <c r="B1998">
        <v>20251205</v>
      </c>
      <c r="C1998">
        <v>920</v>
      </c>
      <c r="D1998">
        <v>2408.6945301542778</v>
      </c>
      <c r="E1998" s="123" t="s">
        <v>1568</v>
      </c>
      <c r="F1998" s="123" t="s">
        <v>1572</v>
      </c>
      <c r="G1998" s="123" t="s">
        <v>1570</v>
      </c>
      <c r="H1998" s="95">
        <v>45996</v>
      </c>
      <c r="I1998">
        <v>18292</v>
      </c>
      <c r="J1998" s="123" t="s">
        <v>243</v>
      </c>
      <c r="K1998" s="123" t="s">
        <v>1315</v>
      </c>
      <c r="L1998" s="123" t="e">
        <f>VLOOKUP(Fact_AUM_FyoCapital[[#This Row],[Dim_Empresas.CUIT]],'clientes SQL'!C:D,2,0)</f>
        <v>#N/A</v>
      </c>
    </row>
    <row r="1999" spans="1:12" hidden="1" x14ac:dyDescent="0.3">
      <c r="A1999">
        <v>1857337</v>
      </c>
      <c r="B1999">
        <v>20251205</v>
      </c>
      <c r="C1999">
        <v>1191</v>
      </c>
      <c r="D1999">
        <v>0</v>
      </c>
      <c r="E1999" s="123"/>
      <c r="F1999" s="123"/>
      <c r="G1999" s="123"/>
      <c r="H1999" s="95">
        <v>45996</v>
      </c>
      <c r="I1999">
        <v>18954</v>
      </c>
      <c r="J1999" s="123" t="s">
        <v>1247</v>
      </c>
      <c r="K1999" s="123" t="s">
        <v>1248</v>
      </c>
      <c r="L1999" s="123" t="e">
        <f>VLOOKUP(Fact_AUM_FyoCapital[[#This Row],[Dim_Empresas.CUIT]],'clientes SQL'!C:D,2,0)</f>
        <v>#N/A</v>
      </c>
    </row>
    <row r="2000" spans="1:12" hidden="1" x14ac:dyDescent="0.3">
      <c r="A2000">
        <v>2618549</v>
      </c>
      <c r="B2000">
        <v>20251205</v>
      </c>
      <c r="C2000">
        <v>13260</v>
      </c>
      <c r="D2000">
        <v>34.619999999999997</v>
      </c>
      <c r="E2000" s="123" t="s">
        <v>1563</v>
      </c>
      <c r="F2000" s="123" t="s">
        <v>950</v>
      </c>
      <c r="G2000" s="123"/>
      <c r="H2000" s="95">
        <v>45996</v>
      </c>
      <c r="I2000">
        <v>36446</v>
      </c>
      <c r="J2000" s="123" t="s">
        <v>1370</v>
      </c>
      <c r="K2000" s="123" t="s">
        <v>1371</v>
      </c>
      <c r="L2000" s="123" t="e">
        <f>VLOOKUP(Fact_AUM_FyoCapital[[#This Row],[Dim_Empresas.CUIT]],'clientes SQL'!C:D,2,0)</f>
        <v>#N/A</v>
      </c>
    </row>
    <row r="2001" spans="1:12" hidden="1" x14ac:dyDescent="0.3">
      <c r="A2001">
        <v>1899997</v>
      </c>
      <c r="B2001">
        <v>20251205</v>
      </c>
      <c r="C2001">
        <v>13188</v>
      </c>
      <c r="D2001">
        <v>-861256.58</v>
      </c>
      <c r="E2001" s="123" t="s">
        <v>1566</v>
      </c>
      <c r="F2001" s="123" t="s">
        <v>1578</v>
      </c>
      <c r="G2001" s="123"/>
      <c r="H2001" s="95">
        <v>45996</v>
      </c>
      <c r="I2001">
        <v>36372</v>
      </c>
      <c r="J2001" s="123" t="s">
        <v>573</v>
      </c>
      <c r="K2001" s="123" t="s">
        <v>1303</v>
      </c>
      <c r="L2001" s="123" t="e">
        <f>VLOOKUP(Fact_AUM_FyoCapital[[#This Row],[Dim_Empresas.CUIT]],'clientes SQL'!C:D,2,0)</f>
        <v>#N/A</v>
      </c>
    </row>
    <row r="2002" spans="1:12" hidden="1" x14ac:dyDescent="0.3">
      <c r="A2002">
        <v>1862317</v>
      </c>
      <c r="B2002">
        <v>20251205</v>
      </c>
      <c r="C2002">
        <v>682</v>
      </c>
      <c r="D2002">
        <v>0</v>
      </c>
      <c r="E2002" s="123"/>
      <c r="F2002" s="123"/>
      <c r="G2002" s="123"/>
      <c r="H2002" s="95">
        <v>45996</v>
      </c>
      <c r="I2002">
        <v>9775</v>
      </c>
      <c r="J2002" s="123" t="s">
        <v>287</v>
      </c>
      <c r="K2002" s="123" t="s">
        <v>1320</v>
      </c>
      <c r="L2002" s="123" t="e">
        <f>VLOOKUP(Fact_AUM_FyoCapital[[#This Row],[Dim_Empresas.CUIT]],'clientes SQL'!C:D,2,0)</f>
        <v>#N/A</v>
      </c>
    </row>
    <row r="2003" spans="1:12" hidden="1" x14ac:dyDescent="0.3">
      <c r="A2003">
        <v>2611169</v>
      </c>
      <c r="B2003">
        <v>20251205</v>
      </c>
      <c r="C2003">
        <v>6921</v>
      </c>
      <c r="D2003">
        <v>-39.631872370266478</v>
      </c>
      <c r="E2003" s="123" t="s">
        <v>1563</v>
      </c>
      <c r="F2003" s="123" t="s">
        <v>185</v>
      </c>
      <c r="G2003" s="123"/>
      <c r="H2003" s="95">
        <v>45996</v>
      </c>
      <c r="I2003">
        <v>34623</v>
      </c>
      <c r="J2003" s="123" t="s">
        <v>1364</v>
      </c>
      <c r="K2003" s="123" t="s">
        <v>1365</v>
      </c>
      <c r="L2003" s="123" t="e">
        <f>VLOOKUP(Fact_AUM_FyoCapital[[#This Row],[Dim_Empresas.CUIT]],'clientes SQL'!C:D,2,0)</f>
        <v>#N/A</v>
      </c>
    </row>
    <row r="2004" spans="1:12" hidden="1" x14ac:dyDescent="0.3">
      <c r="A2004">
        <v>1844077</v>
      </c>
      <c r="B2004">
        <v>20251205</v>
      </c>
      <c r="C2004">
        <v>12519</v>
      </c>
      <c r="D2004">
        <v>2854.08</v>
      </c>
      <c r="E2004" s="123" t="s">
        <v>1566</v>
      </c>
      <c r="F2004" s="123" t="s">
        <v>1579</v>
      </c>
      <c r="G2004" s="123"/>
      <c r="H2004" s="95">
        <v>45996</v>
      </c>
      <c r="I2004">
        <v>35782</v>
      </c>
      <c r="J2004" s="123" t="s">
        <v>297</v>
      </c>
      <c r="K2004" s="123" t="s">
        <v>1367</v>
      </c>
      <c r="L2004" s="123" t="e">
        <f>VLOOKUP(Fact_AUM_FyoCapital[[#This Row],[Dim_Empresas.CUIT]],'clientes SQL'!C:D,2,0)</f>
        <v>#N/A</v>
      </c>
    </row>
    <row r="2005" spans="1:12" hidden="1" x14ac:dyDescent="0.3">
      <c r="A2005">
        <v>2611349</v>
      </c>
      <c r="B2005">
        <v>20251205</v>
      </c>
      <c r="C2005">
        <v>10023</v>
      </c>
      <c r="D2005">
        <v>0.42883590462833099</v>
      </c>
      <c r="E2005" s="123" t="s">
        <v>1563</v>
      </c>
      <c r="F2005" s="123" t="s">
        <v>185</v>
      </c>
      <c r="G2005" s="123"/>
      <c r="H2005" s="95">
        <v>45996</v>
      </c>
      <c r="J2005" s="123" t="s">
        <v>276</v>
      </c>
      <c r="K2005" s="123" t="s">
        <v>1381</v>
      </c>
      <c r="L2005" s="123" t="e">
        <f>VLOOKUP(Fact_AUM_FyoCapital[[#This Row],[Dim_Empresas.CUIT]],'clientes SQL'!C:D,2,0)</f>
        <v>#N/A</v>
      </c>
    </row>
    <row r="2006" spans="1:12" hidden="1" x14ac:dyDescent="0.3">
      <c r="A2006">
        <v>1880437</v>
      </c>
      <c r="B2006">
        <v>20251205</v>
      </c>
      <c r="C2006">
        <v>1546</v>
      </c>
      <c r="D2006">
        <v>0</v>
      </c>
      <c r="E2006" s="123"/>
      <c r="F2006" s="123"/>
      <c r="G2006" s="123"/>
      <c r="H2006" s="95">
        <v>45996</v>
      </c>
      <c r="I2006">
        <v>18554</v>
      </c>
      <c r="J2006" s="123" t="s">
        <v>550</v>
      </c>
      <c r="K2006" s="123" t="s">
        <v>1394</v>
      </c>
      <c r="L2006" s="123" t="e">
        <f>VLOOKUP(Fact_AUM_FyoCapital[[#This Row],[Dim_Empresas.CUIT]],'clientes SQL'!C:D,2,0)</f>
        <v>#N/A</v>
      </c>
    </row>
    <row r="2007" spans="1:12" hidden="1" x14ac:dyDescent="0.3">
      <c r="A2007">
        <v>1873897</v>
      </c>
      <c r="B2007">
        <v>20251205</v>
      </c>
      <c r="C2007">
        <v>2109</v>
      </c>
      <c r="D2007">
        <v>0</v>
      </c>
      <c r="E2007" s="123"/>
      <c r="F2007" s="123"/>
      <c r="G2007" s="123"/>
      <c r="H2007" s="95">
        <v>45996</v>
      </c>
      <c r="I2007">
        <v>20716</v>
      </c>
      <c r="J2007" s="123" t="s">
        <v>323</v>
      </c>
      <c r="K2007" s="123" t="s">
        <v>1388</v>
      </c>
      <c r="L2007" s="123" t="e">
        <f>VLOOKUP(Fact_AUM_FyoCapital[[#This Row],[Dim_Empresas.CUIT]],'clientes SQL'!C:D,2,0)</f>
        <v>#N/A</v>
      </c>
    </row>
    <row r="2008" spans="1:12" hidden="1" x14ac:dyDescent="0.3">
      <c r="A2008">
        <v>1881637</v>
      </c>
      <c r="B2008">
        <v>20251205</v>
      </c>
      <c r="C2008">
        <v>1546</v>
      </c>
      <c r="D2008">
        <v>0</v>
      </c>
      <c r="E2008" s="123"/>
      <c r="F2008" s="123"/>
      <c r="G2008" s="123"/>
      <c r="H2008" s="95">
        <v>45996</v>
      </c>
      <c r="I2008">
        <v>18554</v>
      </c>
      <c r="J2008" s="123" t="s">
        <v>550</v>
      </c>
      <c r="K2008" s="123" t="s">
        <v>1394</v>
      </c>
      <c r="L2008" s="123" t="e">
        <f>VLOOKUP(Fact_AUM_FyoCapital[[#This Row],[Dim_Empresas.CUIT]],'clientes SQL'!C:D,2,0)</f>
        <v>#N/A</v>
      </c>
    </row>
    <row r="2009" spans="1:12" hidden="1" x14ac:dyDescent="0.3">
      <c r="A2009">
        <v>1841257</v>
      </c>
      <c r="B2009">
        <v>20251205</v>
      </c>
      <c r="C2009">
        <v>5251</v>
      </c>
      <c r="D2009">
        <v>132653.06</v>
      </c>
      <c r="E2009" s="123" t="s">
        <v>1566</v>
      </c>
      <c r="F2009" s="123" t="s">
        <v>1579</v>
      </c>
      <c r="G2009" s="123"/>
      <c r="H2009" s="95">
        <v>45996</v>
      </c>
      <c r="I2009">
        <v>33173</v>
      </c>
      <c r="J2009" s="123" t="s">
        <v>341</v>
      </c>
      <c r="K2009" s="123" t="s">
        <v>1318</v>
      </c>
      <c r="L2009" s="123" t="e">
        <f>VLOOKUP(Fact_AUM_FyoCapital[[#This Row],[Dim_Empresas.CUIT]],'clientes SQL'!C:D,2,0)</f>
        <v>#N/A</v>
      </c>
    </row>
    <row r="2010" spans="1:12" hidden="1" x14ac:dyDescent="0.3">
      <c r="A2010">
        <v>1834297</v>
      </c>
      <c r="B2010">
        <v>20251205</v>
      </c>
      <c r="C2010">
        <v>6247</v>
      </c>
      <c r="D2010">
        <v>45804.226886395511</v>
      </c>
      <c r="E2010" s="123" t="s">
        <v>1568</v>
      </c>
      <c r="F2010" s="123" t="s">
        <v>1572</v>
      </c>
      <c r="G2010" s="123" t="s">
        <v>1574</v>
      </c>
      <c r="H2010" s="95">
        <v>45996</v>
      </c>
      <c r="I2010">
        <v>34358</v>
      </c>
      <c r="J2010" s="123" t="s">
        <v>1373</v>
      </c>
      <c r="K2010" s="123" t="s">
        <v>1374</v>
      </c>
      <c r="L2010" s="123" t="e">
        <f>VLOOKUP(Fact_AUM_FyoCapital[[#This Row],[Dim_Empresas.CUIT]],'clientes SQL'!C:D,2,0)</f>
        <v>#N/A</v>
      </c>
    </row>
    <row r="2011" spans="1:12" hidden="1" x14ac:dyDescent="0.3">
      <c r="A2011">
        <v>2611949</v>
      </c>
      <c r="B2011">
        <v>20251205</v>
      </c>
      <c r="C2011">
        <v>6247</v>
      </c>
      <c r="D2011">
        <v>6.8022440392706866E-4</v>
      </c>
      <c r="E2011" s="123" t="s">
        <v>1563</v>
      </c>
      <c r="F2011" s="123" t="s">
        <v>185</v>
      </c>
      <c r="G2011" s="123"/>
      <c r="H2011" s="95">
        <v>45996</v>
      </c>
      <c r="I2011">
        <v>34358</v>
      </c>
      <c r="J2011" s="123" t="s">
        <v>1373</v>
      </c>
      <c r="K2011" s="123" t="s">
        <v>1374</v>
      </c>
      <c r="L2011" s="123" t="e">
        <f>VLOOKUP(Fact_AUM_FyoCapital[[#This Row],[Dim_Empresas.CUIT]],'clientes SQL'!C:D,2,0)</f>
        <v>#N/A</v>
      </c>
    </row>
    <row r="2012" spans="1:12" hidden="1" x14ac:dyDescent="0.3">
      <c r="A2012">
        <v>1825177</v>
      </c>
      <c r="B2012">
        <v>20251205</v>
      </c>
      <c r="C2012">
        <v>920</v>
      </c>
      <c r="D2012">
        <v>139892.54</v>
      </c>
      <c r="E2012" s="123" t="s">
        <v>1566</v>
      </c>
      <c r="F2012" s="123" t="s">
        <v>1571</v>
      </c>
      <c r="G2012" s="123"/>
      <c r="H2012" s="95">
        <v>45996</v>
      </c>
      <c r="I2012">
        <v>18292</v>
      </c>
      <c r="J2012" s="123" t="s">
        <v>243</v>
      </c>
      <c r="K2012" s="123" t="s">
        <v>1315</v>
      </c>
      <c r="L2012" s="123" t="e">
        <f>VLOOKUP(Fact_AUM_FyoCapital[[#This Row],[Dim_Empresas.CUIT]],'clientes SQL'!C:D,2,0)</f>
        <v>#N/A</v>
      </c>
    </row>
    <row r="2013" spans="1:12" hidden="1" x14ac:dyDescent="0.3">
      <c r="A2013">
        <v>1848997</v>
      </c>
      <c r="B2013">
        <v>20251205</v>
      </c>
      <c r="C2013">
        <v>14750</v>
      </c>
      <c r="D2013">
        <v>3.2871949509116409</v>
      </c>
      <c r="E2013" s="123" t="s">
        <v>1568</v>
      </c>
      <c r="F2013" s="123" t="s">
        <v>1572</v>
      </c>
      <c r="G2013" s="123" t="s">
        <v>1570</v>
      </c>
      <c r="H2013" s="95">
        <v>45996</v>
      </c>
      <c r="I2013">
        <v>36994</v>
      </c>
      <c r="J2013" s="123" t="s">
        <v>1402</v>
      </c>
      <c r="K2013" s="123" t="s">
        <v>1403</v>
      </c>
      <c r="L2013" s="123" t="e">
        <f>VLOOKUP(Fact_AUM_FyoCapital[[#This Row],[Dim_Empresas.CUIT]],'clientes SQL'!C:D,2,0)</f>
        <v>#N/A</v>
      </c>
    </row>
    <row r="2014" spans="1:12" hidden="1" x14ac:dyDescent="0.3">
      <c r="A2014">
        <v>2635049</v>
      </c>
      <c r="B2014">
        <v>20251205</v>
      </c>
      <c r="C2014">
        <v>15937</v>
      </c>
      <c r="D2014">
        <v>-95.864600280504916</v>
      </c>
      <c r="E2014" s="123" t="s">
        <v>1563</v>
      </c>
      <c r="F2014" s="123" t="s">
        <v>185</v>
      </c>
      <c r="G2014" s="123"/>
      <c r="H2014" s="95">
        <v>45996</v>
      </c>
      <c r="I2014">
        <v>37489</v>
      </c>
      <c r="J2014" s="123" t="s">
        <v>688</v>
      </c>
      <c r="K2014" s="123" t="s">
        <v>1290</v>
      </c>
      <c r="L2014" s="123" t="e">
        <f>VLOOKUP(Fact_AUM_FyoCapital[[#This Row],[Dim_Empresas.CUIT]],'clientes SQL'!C:D,2,0)</f>
        <v>#N/A</v>
      </c>
    </row>
    <row r="2015" spans="1:12" hidden="1" x14ac:dyDescent="0.3">
      <c r="A2015">
        <v>1838797</v>
      </c>
      <c r="B2015">
        <v>20251205</v>
      </c>
      <c r="C2015">
        <v>5875</v>
      </c>
      <c r="D2015">
        <v>65383.199999999997</v>
      </c>
      <c r="E2015" s="123" t="s">
        <v>1566</v>
      </c>
      <c r="F2015" s="123" t="s">
        <v>1579</v>
      </c>
      <c r="G2015" s="123"/>
      <c r="H2015" s="95">
        <v>45996</v>
      </c>
      <c r="I2015">
        <v>33579</v>
      </c>
      <c r="J2015" s="123" t="s">
        <v>344</v>
      </c>
      <c r="K2015" s="123" t="s">
        <v>1395</v>
      </c>
      <c r="L2015" s="123" t="e">
        <f>VLOOKUP(Fact_AUM_FyoCapital[[#This Row],[Dim_Empresas.CUIT]],'clientes SQL'!C:D,2,0)</f>
        <v>#N/A</v>
      </c>
    </row>
    <row r="2016" spans="1:12" hidden="1" x14ac:dyDescent="0.3">
      <c r="A2016">
        <v>1872397</v>
      </c>
      <c r="B2016">
        <v>20251205</v>
      </c>
      <c r="C2016">
        <v>13719</v>
      </c>
      <c r="D2016">
        <v>30813.464235624124</v>
      </c>
      <c r="E2016" s="123" t="s">
        <v>1566</v>
      </c>
      <c r="F2016" s="123" t="s">
        <v>1580</v>
      </c>
      <c r="G2016" s="123"/>
      <c r="H2016" s="95">
        <v>45996</v>
      </c>
      <c r="I2016">
        <v>36879</v>
      </c>
      <c r="J2016" s="123" t="s">
        <v>1340</v>
      </c>
      <c r="K2016" s="123" t="s">
        <v>1341</v>
      </c>
      <c r="L2016" s="123" t="e">
        <f>VLOOKUP(Fact_AUM_FyoCapital[[#This Row],[Dim_Empresas.CUIT]],'clientes SQL'!C:D,2,0)</f>
        <v>#N/A</v>
      </c>
    </row>
    <row r="2017" spans="1:12" hidden="1" x14ac:dyDescent="0.3">
      <c r="A2017">
        <v>2608709</v>
      </c>
      <c r="B2017">
        <v>20251205</v>
      </c>
      <c r="C2017">
        <v>1244</v>
      </c>
      <c r="D2017">
        <v>48597.89</v>
      </c>
      <c r="E2017" s="123" t="s">
        <v>1563</v>
      </c>
      <c r="F2017" s="123" t="s">
        <v>801</v>
      </c>
      <c r="G2017" s="123"/>
      <c r="H2017" s="95">
        <v>45996</v>
      </c>
      <c r="I2017">
        <v>19327</v>
      </c>
      <c r="J2017" s="123" t="s">
        <v>194</v>
      </c>
      <c r="K2017" s="123" t="s">
        <v>1347</v>
      </c>
      <c r="L2017" s="123" t="e">
        <f>VLOOKUP(Fact_AUM_FyoCapital[[#This Row],[Dim_Empresas.CUIT]],'clientes SQL'!C:D,2,0)</f>
        <v>#N/A</v>
      </c>
    </row>
    <row r="2018" spans="1:12" hidden="1" x14ac:dyDescent="0.3">
      <c r="A2018">
        <v>2643809</v>
      </c>
      <c r="B2018">
        <v>20251205</v>
      </c>
      <c r="C2018">
        <v>10061</v>
      </c>
      <c r="D2018">
        <v>-3.2145862552594676E-2</v>
      </c>
      <c r="E2018" s="123" t="s">
        <v>1563</v>
      </c>
      <c r="F2018" s="123" t="s">
        <v>185</v>
      </c>
      <c r="G2018" s="123"/>
      <c r="H2018" s="95">
        <v>45996</v>
      </c>
      <c r="I2018">
        <v>35528</v>
      </c>
      <c r="J2018" s="123" t="s">
        <v>616</v>
      </c>
      <c r="K2018" s="123" t="s">
        <v>1237</v>
      </c>
      <c r="L2018" s="123" t="e">
        <f>VLOOKUP(Fact_AUM_FyoCapital[[#This Row],[Dim_Empresas.CUIT]],'clientes SQL'!C:D,2,0)</f>
        <v>#N/A</v>
      </c>
    </row>
    <row r="2019" spans="1:12" hidden="1" x14ac:dyDescent="0.3">
      <c r="A2019">
        <v>1839277</v>
      </c>
      <c r="B2019">
        <v>20251205</v>
      </c>
      <c r="C2019">
        <v>5868</v>
      </c>
      <c r="D2019">
        <v>146000000</v>
      </c>
      <c r="E2019" s="123" t="s">
        <v>1566</v>
      </c>
      <c r="F2019" s="123" t="s">
        <v>1579</v>
      </c>
      <c r="G2019" s="123"/>
      <c r="H2019" s="95">
        <v>45996</v>
      </c>
      <c r="I2019">
        <v>33580</v>
      </c>
      <c r="J2019" s="123" t="s">
        <v>348</v>
      </c>
      <c r="K2019" s="123" t="s">
        <v>1277</v>
      </c>
      <c r="L2019" s="123" t="e">
        <f>VLOOKUP(Fact_AUM_FyoCapital[[#This Row],[Dim_Empresas.CUIT]],'clientes SQL'!C:D,2,0)</f>
        <v>#N/A</v>
      </c>
    </row>
    <row r="2020" spans="1:12" hidden="1" x14ac:dyDescent="0.3">
      <c r="A2020">
        <v>2608409</v>
      </c>
      <c r="B2020">
        <v>20251205</v>
      </c>
      <c r="C2020">
        <v>920</v>
      </c>
      <c r="D2020">
        <v>451050</v>
      </c>
      <c r="E2020" s="123" t="s">
        <v>1563</v>
      </c>
      <c r="F2020" s="123" t="s">
        <v>801</v>
      </c>
      <c r="G2020" s="123"/>
      <c r="H2020" s="95">
        <v>45996</v>
      </c>
      <c r="I2020">
        <v>18292</v>
      </c>
      <c r="J2020" s="123" t="s">
        <v>243</v>
      </c>
      <c r="K2020" s="123" t="s">
        <v>1315</v>
      </c>
      <c r="L2020" s="123" t="e">
        <f>VLOOKUP(Fact_AUM_FyoCapital[[#This Row],[Dim_Empresas.CUIT]],'clientes SQL'!C:D,2,0)</f>
        <v>#N/A</v>
      </c>
    </row>
    <row r="2021" spans="1:12" hidden="1" x14ac:dyDescent="0.3">
      <c r="A2021">
        <v>2619269</v>
      </c>
      <c r="B2021">
        <v>20251205</v>
      </c>
      <c r="C2021">
        <v>851</v>
      </c>
      <c r="D2021">
        <v>-0.08</v>
      </c>
      <c r="E2021" s="123" t="s">
        <v>1563</v>
      </c>
      <c r="F2021" s="123" t="s">
        <v>950</v>
      </c>
      <c r="G2021" s="123"/>
      <c r="H2021" s="95">
        <v>45996</v>
      </c>
      <c r="I2021">
        <v>17729</v>
      </c>
      <c r="J2021" s="123" t="s">
        <v>241</v>
      </c>
      <c r="K2021" s="123" t="s">
        <v>1422</v>
      </c>
      <c r="L2021" s="123" t="e">
        <f>VLOOKUP(Fact_AUM_FyoCapital[[#This Row],[Dim_Empresas.CUIT]],'clientes SQL'!C:D,2,0)</f>
        <v>#N/A</v>
      </c>
    </row>
    <row r="2022" spans="1:12" hidden="1" x14ac:dyDescent="0.3">
      <c r="A2022">
        <v>1841017</v>
      </c>
      <c r="B2022">
        <v>20251205</v>
      </c>
      <c r="C2022">
        <v>5251</v>
      </c>
      <c r="D2022">
        <v>0</v>
      </c>
      <c r="E2022" s="123"/>
      <c r="F2022" s="123"/>
      <c r="G2022" s="123"/>
      <c r="H2022" s="95">
        <v>45996</v>
      </c>
      <c r="I2022">
        <v>33173</v>
      </c>
      <c r="J2022" s="123" t="s">
        <v>341</v>
      </c>
      <c r="K2022" s="123" t="s">
        <v>1318</v>
      </c>
      <c r="L2022" s="123" t="e">
        <f>VLOOKUP(Fact_AUM_FyoCapital[[#This Row],[Dim_Empresas.CUIT]],'clientes SQL'!C:D,2,0)</f>
        <v>#N/A</v>
      </c>
    </row>
    <row r="2023" spans="1:12" hidden="1" x14ac:dyDescent="0.3">
      <c r="A2023">
        <v>1896097</v>
      </c>
      <c r="B2023">
        <v>20251205</v>
      </c>
      <c r="C2023">
        <v>10253</v>
      </c>
      <c r="D2023">
        <v>51652.889200561011</v>
      </c>
      <c r="E2023" s="123" t="s">
        <v>1566</v>
      </c>
      <c r="F2023" s="123" t="s">
        <v>1573</v>
      </c>
      <c r="G2023" s="123"/>
      <c r="H2023" s="95">
        <v>45996</v>
      </c>
      <c r="I2023">
        <v>35643</v>
      </c>
      <c r="J2023" s="123" t="s">
        <v>603</v>
      </c>
      <c r="K2023" s="123" t="s">
        <v>1220</v>
      </c>
      <c r="L2023" s="123" t="e">
        <f>VLOOKUP(Fact_AUM_FyoCapital[[#This Row],[Dim_Empresas.CUIT]],'clientes SQL'!C:D,2,0)</f>
        <v>#N/A</v>
      </c>
    </row>
    <row r="2024" spans="1:12" hidden="1" x14ac:dyDescent="0.3">
      <c r="A2024">
        <v>1829677</v>
      </c>
      <c r="B2024">
        <v>20251205</v>
      </c>
      <c r="C2024">
        <v>4213</v>
      </c>
      <c r="D2024">
        <v>9692.52</v>
      </c>
      <c r="E2024" s="123" t="s">
        <v>1566</v>
      </c>
      <c r="F2024" s="123" t="s">
        <v>1578</v>
      </c>
      <c r="G2024" s="123"/>
      <c r="H2024" s="95">
        <v>45996</v>
      </c>
      <c r="I2024">
        <v>32849</v>
      </c>
      <c r="J2024" s="123" t="s">
        <v>190</v>
      </c>
      <c r="K2024" s="123" t="s">
        <v>1302</v>
      </c>
      <c r="L2024" s="123" t="e">
        <f>VLOOKUP(Fact_AUM_FyoCapital[[#This Row],[Dim_Empresas.CUIT]],'clientes SQL'!C:D,2,0)</f>
        <v>#N/A</v>
      </c>
    </row>
    <row r="2025" spans="1:12" hidden="1" x14ac:dyDescent="0.3">
      <c r="A2025">
        <v>1830217</v>
      </c>
      <c r="B2025">
        <v>20251205</v>
      </c>
      <c r="C2025">
        <v>6313</v>
      </c>
      <c r="D2025">
        <v>38996.1</v>
      </c>
      <c r="E2025" s="123" t="s">
        <v>1566</v>
      </c>
      <c r="F2025" s="123" t="s">
        <v>1579</v>
      </c>
      <c r="G2025" s="123"/>
      <c r="H2025" s="95">
        <v>45996</v>
      </c>
      <c r="I2025">
        <v>34424</v>
      </c>
      <c r="J2025" s="123" t="s">
        <v>209</v>
      </c>
      <c r="K2025" s="123" t="s">
        <v>1334</v>
      </c>
      <c r="L2025" s="123" t="e">
        <f>VLOOKUP(Fact_AUM_FyoCapital[[#This Row],[Dim_Empresas.CUIT]],'clientes SQL'!C:D,2,0)</f>
        <v>#N/A</v>
      </c>
    </row>
    <row r="2026" spans="1:12" hidden="1" x14ac:dyDescent="0.3">
      <c r="A2026">
        <v>1873777</v>
      </c>
      <c r="B2026">
        <v>20251205</v>
      </c>
      <c r="C2026">
        <v>2109</v>
      </c>
      <c r="D2026">
        <v>0</v>
      </c>
      <c r="E2026" s="123"/>
      <c r="F2026" s="123"/>
      <c r="G2026" s="123"/>
      <c r="H2026" s="95">
        <v>45996</v>
      </c>
      <c r="I2026">
        <v>20716</v>
      </c>
      <c r="J2026" s="123" t="s">
        <v>323</v>
      </c>
      <c r="K2026" s="123" t="s">
        <v>1388</v>
      </c>
      <c r="L2026" s="123" t="e">
        <f>VLOOKUP(Fact_AUM_FyoCapital[[#This Row],[Dim_Empresas.CUIT]],'clientes SQL'!C:D,2,0)</f>
        <v>#N/A</v>
      </c>
    </row>
    <row r="2027" spans="1:12" hidden="1" x14ac:dyDescent="0.3">
      <c r="A2027">
        <v>1825117</v>
      </c>
      <c r="B2027">
        <v>20251205</v>
      </c>
      <c r="C2027">
        <v>920</v>
      </c>
      <c r="D2027">
        <v>175080</v>
      </c>
      <c r="E2027" s="123" t="s">
        <v>1566</v>
      </c>
      <c r="F2027" s="123" t="s">
        <v>1579</v>
      </c>
      <c r="G2027" s="123"/>
      <c r="H2027" s="95">
        <v>45996</v>
      </c>
      <c r="I2027">
        <v>18292</v>
      </c>
      <c r="J2027" s="123" t="s">
        <v>243</v>
      </c>
      <c r="K2027" s="123" t="s">
        <v>1315</v>
      </c>
      <c r="L2027" s="123" t="e">
        <f>VLOOKUP(Fact_AUM_FyoCapital[[#This Row],[Dim_Empresas.CUIT]],'clientes SQL'!C:D,2,0)</f>
        <v>#N/A</v>
      </c>
    </row>
    <row r="2028" spans="1:12" hidden="1" x14ac:dyDescent="0.3">
      <c r="A2028">
        <v>1896157</v>
      </c>
      <c r="B2028">
        <v>20251205</v>
      </c>
      <c r="C2028">
        <v>10253</v>
      </c>
      <c r="D2028">
        <v>50926.423562412339</v>
      </c>
      <c r="E2028" s="123" t="s">
        <v>1566</v>
      </c>
      <c r="F2028" s="123" t="s">
        <v>1580</v>
      </c>
      <c r="G2028" s="123"/>
      <c r="H2028" s="95">
        <v>45996</v>
      </c>
      <c r="I2028">
        <v>35643</v>
      </c>
      <c r="J2028" s="123" t="s">
        <v>603</v>
      </c>
      <c r="K2028" s="123" t="s">
        <v>1220</v>
      </c>
      <c r="L2028" s="123" t="e">
        <f>VLOOKUP(Fact_AUM_FyoCapital[[#This Row],[Dim_Empresas.CUIT]],'clientes SQL'!C:D,2,0)</f>
        <v>#N/A</v>
      </c>
    </row>
    <row r="2029" spans="1:12" hidden="1" x14ac:dyDescent="0.3">
      <c r="A2029">
        <v>1872877</v>
      </c>
      <c r="B2029">
        <v>20251205</v>
      </c>
      <c r="C2029">
        <v>16273</v>
      </c>
      <c r="D2029">
        <v>1487.0827489481067</v>
      </c>
      <c r="E2029" s="123" t="s">
        <v>1566</v>
      </c>
      <c r="F2029" s="123" t="s">
        <v>1571</v>
      </c>
      <c r="G2029" s="123"/>
      <c r="H2029" s="95">
        <v>45996</v>
      </c>
      <c r="I2029">
        <v>37760</v>
      </c>
      <c r="J2029" s="123" t="s">
        <v>1349</v>
      </c>
      <c r="K2029" s="123" t="s">
        <v>1350</v>
      </c>
      <c r="L2029" s="123" t="e">
        <f>VLOOKUP(Fact_AUM_FyoCapital[[#This Row],[Dim_Empresas.CUIT]],'clientes SQL'!C:D,2,0)</f>
        <v>#N/A</v>
      </c>
    </row>
    <row r="2030" spans="1:12" hidden="1" x14ac:dyDescent="0.3">
      <c r="A2030">
        <v>1881757</v>
      </c>
      <c r="B2030">
        <v>20251205</v>
      </c>
      <c r="C2030">
        <v>1546</v>
      </c>
      <c r="D2030">
        <v>95850.47685834502</v>
      </c>
      <c r="E2030" s="123" t="s">
        <v>1566</v>
      </c>
      <c r="F2030" s="123" t="s">
        <v>1571</v>
      </c>
      <c r="G2030" s="123"/>
      <c r="H2030" s="95">
        <v>45996</v>
      </c>
      <c r="I2030">
        <v>18554</v>
      </c>
      <c r="J2030" s="123" t="s">
        <v>550</v>
      </c>
      <c r="K2030" s="123" t="s">
        <v>1394</v>
      </c>
      <c r="L2030" s="123" t="e">
        <f>VLOOKUP(Fact_AUM_FyoCapital[[#This Row],[Dim_Empresas.CUIT]],'clientes SQL'!C:D,2,0)</f>
        <v>#N/A</v>
      </c>
    </row>
    <row r="2031" spans="1:12" hidden="1" x14ac:dyDescent="0.3">
      <c r="A2031">
        <v>1867477</v>
      </c>
      <c r="B2031">
        <v>20251205</v>
      </c>
      <c r="C2031">
        <v>1361</v>
      </c>
      <c r="D2031">
        <v>3248.7727910238427</v>
      </c>
      <c r="E2031" s="123" t="s">
        <v>1566</v>
      </c>
      <c r="F2031" s="123" t="s">
        <v>1571</v>
      </c>
      <c r="G2031" s="123"/>
      <c r="H2031" s="95">
        <v>45996</v>
      </c>
      <c r="I2031">
        <v>19517</v>
      </c>
      <c r="J2031" s="123" t="s">
        <v>647</v>
      </c>
      <c r="K2031" s="123" t="s">
        <v>1399</v>
      </c>
      <c r="L2031" s="123" t="e">
        <f>VLOOKUP(Fact_AUM_FyoCapital[[#This Row],[Dim_Empresas.CUIT]],'clientes SQL'!C:D,2,0)</f>
        <v>#N/A</v>
      </c>
    </row>
    <row r="2032" spans="1:12" hidden="1" x14ac:dyDescent="0.3">
      <c r="A2032">
        <v>1879837</v>
      </c>
      <c r="B2032">
        <v>20251205</v>
      </c>
      <c r="C2032">
        <v>1546</v>
      </c>
      <c r="D2032">
        <v>0</v>
      </c>
      <c r="E2032" s="123"/>
      <c r="F2032" s="123"/>
      <c r="G2032" s="123"/>
      <c r="H2032" s="95">
        <v>45996</v>
      </c>
      <c r="I2032">
        <v>18554</v>
      </c>
      <c r="J2032" s="123" t="s">
        <v>550</v>
      </c>
      <c r="K2032" s="123" t="s">
        <v>1394</v>
      </c>
      <c r="L2032" s="123" t="e">
        <f>VLOOKUP(Fact_AUM_FyoCapital[[#This Row],[Dim_Empresas.CUIT]],'clientes SQL'!C:D,2,0)</f>
        <v>#N/A</v>
      </c>
    </row>
    <row r="2033" spans="1:12" hidden="1" x14ac:dyDescent="0.3">
      <c r="A2033">
        <v>1839037</v>
      </c>
      <c r="B2033">
        <v>20251205</v>
      </c>
      <c r="C2033">
        <v>5868</v>
      </c>
      <c r="D2033">
        <v>46590.54</v>
      </c>
      <c r="E2033" s="123" t="s">
        <v>1566</v>
      </c>
      <c r="F2033" s="123" t="s">
        <v>1571</v>
      </c>
      <c r="G2033" s="123"/>
      <c r="H2033" s="95">
        <v>45996</v>
      </c>
      <c r="I2033">
        <v>33580</v>
      </c>
      <c r="J2033" s="123" t="s">
        <v>348</v>
      </c>
      <c r="K2033" s="123" t="s">
        <v>1277</v>
      </c>
      <c r="L2033" s="123" t="e">
        <f>VLOOKUP(Fact_AUM_FyoCapital[[#This Row],[Dim_Empresas.CUIT]],'clientes SQL'!C:D,2,0)</f>
        <v>#N/A</v>
      </c>
    </row>
    <row r="2034" spans="1:12" hidden="1" x14ac:dyDescent="0.3">
      <c r="A2034">
        <v>2609549</v>
      </c>
      <c r="B2034">
        <v>20251205</v>
      </c>
      <c r="C2034">
        <v>744</v>
      </c>
      <c r="D2034">
        <v>517.5</v>
      </c>
      <c r="E2034" s="123" t="s">
        <v>1563</v>
      </c>
      <c r="F2034" s="123" t="s">
        <v>950</v>
      </c>
      <c r="G2034" s="123"/>
      <c r="H2034" s="95">
        <v>45996</v>
      </c>
      <c r="I2034">
        <v>446</v>
      </c>
      <c r="J2034" s="123" t="s">
        <v>1396</v>
      </c>
      <c r="K2034" s="123" t="s">
        <v>1397</v>
      </c>
      <c r="L2034" s="123" t="e">
        <f>VLOOKUP(Fact_AUM_FyoCapital[[#This Row],[Dim_Empresas.CUIT]],'clientes SQL'!C:D,2,0)</f>
        <v>#N/A</v>
      </c>
    </row>
    <row r="2035" spans="1:12" hidden="1" x14ac:dyDescent="0.3">
      <c r="A2035">
        <v>1887577</v>
      </c>
      <c r="B2035">
        <v>20251205</v>
      </c>
      <c r="C2035">
        <v>1080</v>
      </c>
      <c r="D2035">
        <v>12601.711661991583</v>
      </c>
      <c r="E2035" s="123" t="s">
        <v>1568</v>
      </c>
      <c r="F2035" s="123" t="s">
        <v>1572</v>
      </c>
      <c r="G2035" s="123" t="s">
        <v>1570</v>
      </c>
      <c r="H2035" s="95">
        <v>45996</v>
      </c>
      <c r="I2035">
        <v>15206</v>
      </c>
      <c r="J2035" s="123" t="s">
        <v>537</v>
      </c>
      <c r="K2035" s="123" t="s">
        <v>1398</v>
      </c>
      <c r="L2035" s="123" t="e">
        <f>VLOOKUP(Fact_AUM_FyoCapital[[#This Row],[Dim_Empresas.CUIT]],'clientes SQL'!C:D,2,0)</f>
        <v>#N/A</v>
      </c>
    </row>
    <row r="2036" spans="1:12" hidden="1" x14ac:dyDescent="0.3">
      <c r="A2036">
        <v>1886917</v>
      </c>
      <c r="B2036">
        <v>20251205</v>
      </c>
      <c r="C2036">
        <v>1417</v>
      </c>
      <c r="D2036">
        <v>7432.4357854137443</v>
      </c>
      <c r="E2036" s="123" t="s">
        <v>1568</v>
      </c>
      <c r="F2036" s="123" t="s">
        <v>1572</v>
      </c>
      <c r="G2036" s="123" t="s">
        <v>1577</v>
      </c>
      <c r="H2036" s="95">
        <v>45996</v>
      </c>
      <c r="I2036">
        <v>9611</v>
      </c>
      <c r="J2036" s="123" t="s">
        <v>709</v>
      </c>
      <c r="K2036" s="123" t="s">
        <v>1436</v>
      </c>
      <c r="L2036" s="123" t="e">
        <f>VLOOKUP(Fact_AUM_FyoCapital[[#This Row],[Dim_Empresas.CUIT]],'clientes SQL'!C:D,2,0)</f>
        <v>#N/A</v>
      </c>
    </row>
    <row r="2037" spans="1:12" hidden="1" x14ac:dyDescent="0.3">
      <c r="A2037">
        <v>1847077</v>
      </c>
      <c r="B2037">
        <v>20251205</v>
      </c>
      <c r="C2037">
        <v>13685</v>
      </c>
      <c r="D2037">
        <v>11.698183730715288</v>
      </c>
      <c r="E2037" s="123" t="s">
        <v>1568</v>
      </c>
      <c r="F2037" s="123" t="s">
        <v>1572</v>
      </c>
      <c r="G2037" s="123" t="s">
        <v>1570</v>
      </c>
      <c r="H2037" s="95">
        <v>45996</v>
      </c>
      <c r="I2037">
        <v>36847</v>
      </c>
      <c r="J2037" s="123" t="s">
        <v>292</v>
      </c>
      <c r="K2037" s="123" t="s">
        <v>1391</v>
      </c>
      <c r="L2037" s="123" t="e">
        <f>VLOOKUP(Fact_AUM_FyoCapital[[#This Row],[Dim_Empresas.CUIT]],'clientes SQL'!C:D,2,0)</f>
        <v>#N/A</v>
      </c>
    </row>
    <row r="2038" spans="1:12" hidden="1" x14ac:dyDescent="0.3">
      <c r="A2038">
        <v>1902697</v>
      </c>
      <c r="B2038">
        <v>20251205</v>
      </c>
      <c r="C2038">
        <v>14873</v>
      </c>
      <c r="D2038">
        <v>10892.202482468443</v>
      </c>
      <c r="E2038" s="123" t="s">
        <v>1568</v>
      </c>
      <c r="F2038" s="123" t="s">
        <v>1572</v>
      </c>
      <c r="G2038" s="123" t="s">
        <v>1574</v>
      </c>
      <c r="H2038" s="95">
        <v>45996</v>
      </c>
      <c r="I2038">
        <v>37088</v>
      </c>
      <c r="J2038" s="123" t="s">
        <v>571</v>
      </c>
      <c r="K2038" s="123" t="s">
        <v>1269</v>
      </c>
      <c r="L2038" s="123" t="e">
        <f>VLOOKUP(Fact_AUM_FyoCapital[[#This Row],[Dim_Empresas.CUIT]],'clientes SQL'!C:D,2,0)</f>
        <v>#N/A</v>
      </c>
    </row>
    <row r="2039" spans="1:12" hidden="1" x14ac:dyDescent="0.3">
      <c r="A2039">
        <v>1869457</v>
      </c>
      <c r="B2039">
        <v>20251205</v>
      </c>
      <c r="C2039">
        <v>13361</v>
      </c>
      <c r="D2039">
        <v>0.68</v>
      </c>
      <c r="E2039" s="123" t="s">
        <v>1566</v>
      </c>
      <c r="F2039" s="123" t="s">
        <v>1571</v>
      </c>
      <c r="G2039" s="123"/>
      <c r="H2039" s="95">
        <v>45996</v>
      </c>
      <c r="I2039">
        <v>36541</v>
      </c>
      <c r="J2039" s="123" t="s">
        <v>454</v>
      </c>
      <c r="K2039" s="123" t="s">
        <v>1322</v>
      </c>
      <c r="L2039" s="123" t="e">
        <f>VLOOKUP(Fact_AUM_FyoCapital[[#This Row],[Dim_Empresas.CUIT]],'clientes SQL'!C:D,2,0)</f>
        <v>#N/A</v>
      </c>
    </row>
    <row r="2040" spans="1:12" hidden="1" x14ac:dyDescent="0.3">
      <c r="A2040">
        <v>2598569</v>
      </c>
      <c r="B2040">
        <v>20251205</v>
      </c>
      <c r="C2040">
        <v>14905</v>
      </c>
      <c r="D2040">
        <v>22823.35</v>
      </c>
      <c r="E2040" s="123" t="s">
        <v>1566</v>
      </c>
      <c r="F2040" s="123" t="s">
        <v>1578</v>
      </c>
      <c r="G2040" s="123"/>
      <c r="H2040" s="95">
        <v>45996</v>
      </c>
      <c r="I2040">
        <v>37115</v>
      </c>
      <c r="J2040" s="123" t="s">
        <v>701</v>
      </c>
      <c r="K2040" s="123" t="s">
        <v>1330</v>
      </c>
      <c r="L2040" s="123" t="e">
        <f>VLOOKUP(Fact_AUM_FyoCapital[[#This Row],[Dim_Empresas.CUIT]],'clientes SQL'!C:D,2,0)</f>
        <v>#N/A</v>
      </c>
    </row>
    <row r="2041" spans="1:12" hidden="1" x14ac:dyDescent="0.3">
      <c r="A2041">
        <v>2605229</v>
      </c>
      <c r="B2041">
        <v>20251205</v>
      </c>
      <c r="C2041">
        <v>10061</v>
      </c>
      <c r="D2041">
        <v>1343.83</v>
      </c>
      <c r="E2041" s="123" t="s">
        <v>1568</v>
      </c>
      <c r="F2041" s="123" t="s">
        <v>1575</v>
      </c>
      <c r="G2041" s="123" t="s">
        <v>1576</v>
      </c>
      <c r="H2041" s="95">
        <v>45996</v>
      </c>
      <c r="I2041">
        <v>35528</v>
      </c>
      <c r="J2041" s="123" t="s">
        <v>616</v>
      </c>
      <c r="K2041" s="123" t="s">
        <v>1237</v>
      </c>
      <c r="L2041" s="123" t="e">
        <f>VLOOKUP(Fact_AUM_FyoCapital[[#This Row],[Dim_Empresas.CUIT]],'clientes SQL'!C:D,2,0)</f>
        <v>#N/A</v>
      </c>
    </row>
    <row r="2042" spans="1:12" hidden="1" x14ac:dyDescent="0.3">
      <c r="A2042">
        <v>1838677</v>
      </c>
      <c r="B2042">
        <v>20251205</v>
      </c>
      <c r="C2042">
        <v>5875</v>
      </c>
      <c r="D2042">
        <v>28688.34</v>
      </c>
      <c r="E2042" s="123" t="s">
        <v>1566</v>
      </c>
      <c r="F2042" s="123" t="s">
        <v>1567</v>
      </c>
      <c r="G2042" s="123"/>
      <c r="H2042" s="95">
        <v>45996</v>
      </c>
      <c r="I2042">
        <v>33579</v>
      </c>
      <c r="J2042" s="123" t="s">
        <v>344</v>
      </c>
      <c r="K2042" s="123" t="s">
        <v>1395</v>
      </c>
      <c r="L2042" s="123" t="e">
        <f>VLOOKUP(Fact_AUM_FyoCapital[[#This Row],[Dim_Empresas.CUIT]],'clientes SQL'!C:D,2,0)</f>
        <v>#N/A</v>
      </c>
    </row>
    <row r="2043" spans="1:12" hidden="1" x14ac:dyDescent="0.3">
      <c r="A2043">
        <v>2615729</v>
      </c>
      <c r="B2043">
        <v>20251205</v>
      </c>
      <c r="C2043">
        <v>6999</v>
      </c>
      <c r="D2043">
        <v>13.283976157082749</v>
      </c>
      <c r="E2043" s="123" t="s">
        <v>1563</v>
      </c>
      <c r="F2043" s="123" t="s">
        <v>185</v>
      </c>
      <c r="G2043" s="123"/>
      <c r="H2043" s="95">
        <v>45996</v>
      </c>
      <c r="I2043">
        <v>34695</v>
      </c>
      <c r="J2043" s="123" t="s">
        <v>325</v>
      </c>
      <c r="K2043" s="123" t="s">
        <v>1267</v>
      </c>
      <c r="L2043" s="123" t="e">
        <f>VLOOKUP(Fact_AUM_FyoCapital[[#This Row],[Dim_Empresas.CUIT]],'clientes SQL'!C:D,2,0)</f>
        <v>#N/A</v>
      </c>
    </row>
    <row r="2044" spans="1:12" hidden="1" x14ac:dyDescent="0.3">
      <c r="A2044">
        <v>1841197</v>
      </c>
      <c r="B2044">
        <v>20251205</v>
      </c>
      <c r="C2044">
        <v>5251</v>
      </c>
      <c r="D2044">
        <v>1270102.48</v>
      </c>
      <c r="E2044" s="123" t="s">
        <v>1566</v>
      </c>
      <c r="F2044" s="123" t="s">
        <v>1571</v>
      </c>
      <c r="G2044" s="123"/>
      <c r="H2044" s="95">
        <v>45996</v>
      </c>
      <c r="I2044">
        <v>33173</v>
      </c>
      <c r="J2044" s="123" t="s">
        <v>341</v>
      </c>
      <c r="K2044" s="123" t="s">
        <v>1318</v>
      </c>
      <c r="L2044" s="123" t="e">
        <f>VLOOKUP(Fact_AUM_FyoCapital[[#This Row],[Dim_Empresas.CUIT]],'clientes SQL'!C:D,2,0)</f>
        <v>#N/A</v>
      </c>
    </row>
    <row r="2045" spans="1:12" hidden="1" x14ac:dyDescent="0.3">
      <c r="A2045">
        <v>1902937</v>
      </c>
      <c r="B2045">
        <v>20251205</v>
      </c>
      <c r="C2045">
        <v>14876</v>
      </c>
      <c r="D2045">
        <v>3778.57</v>
      </c>
      <c r="E2045" s="123" t="s">
        <v>1566</v>
      </c>
      <c r="F2045" s="123" t="s">
        <v>1571</v>
      </c>
      <c r="G2045" s="123"/>
      <c r="H2045" s="95">
        <v>45996</v>
      </c>
      <c r="I2045">
        <v>37091</v>
      </c>
      <c r="J2045" s="123" t="s">
        <v>604</v>
      </c>
      <c r="K2045" s="123" t="s">
        <v>1293</v>
      </c>
      <c r="L2045" s="123" t="e">
        <f>VLOOKUP(Fact_AUM_FyoCapital[[#This Row],[Dim_Empresas.CUIT]],'clientes SQL'!C:D,2,0)</f>
        <v>#N/A</v>
      </c>
    </row>
    <row r="2046" spans="1:12" hidden="1" x14ac:dyDescent="0.3">
      <c r="A2046">
        <v>1879417</v>
      </c>
      <c r="B2046">
        <v>20251205</v>
      </c>
      <c r="C2046">
        <v>1241</v>
      </c>
      <c r="D2046">
        <v>20674.142145862552</v>
      </c>
      <c r="E2046" s="123" t="s">
        <v>1566</v>
      </c>
      <c r="F2046" s="123" t="s">
        <v>1579</v>
      </c>
      <c r="G2046" s="123"/>
      <c r="H2046" s="95">
        <v>45996</v>
      </c>
      <c r="I2046">
        <v>9793</v>
      </c>
      <c r="J2046" s="123" t="s">
        <v>506</v>
      </c>
      <c r="K2046" s="123" t="s">
        <v>1271</v>
      </c>
      <c r="L2046" s="123" t="e">
        <f>VLOOKUP(Fact_AUM_FyoCapital[[#This Row],[Dim_Empresas.CUIT]],'clientes SQL'!C:D,2,0)</f>
        <v>#N/A</v>
      </c>
    </row>
    <row r="2047" spans="1:12" hidden="1" x14ac:dyDescent="0.3">
      <c r="A2047">
        <v>2623349</v>
      </c>
      <c r="B2047">
        <v>20251205</v>
      </c>
      <c r="C2047">
        <v>12829</v>
      </c>
      <c r="D2047">
        <v>0.8</v>
      </c>
      <c r="E2047" s="123" t="s">
        <v>1563</v>
      </c>
      <c r="F2047" s="123" t="s">
        <v>950</v>
      </c>
      <c r="G2047" s="123"/>
      <c r="H2047" s="95">
        <v>45996</v>
      </c>
      <c r="I2047">
        <v>36053</v>
      </c>
      <c r="J2047" s="123" t="s">
        <v>369</v>
      </c>
      <c r="K2047" s="123" t="s">
        <v>1382</v>
      </c>
      <c r="L2047" s="123" t="e">
        <f>VLOOKUP(Fact_AUM_FyoCapital[[#This Row],[Dim_Empresas.CUIT]],'clientes SQL'!C:D,2,0)</f>
        <v>#N/A</v>
      </c>
    </row>
    <row r="2048" spans="1:12" hidden="1" x14ac:dyDescent="0.3">
      <c r="A2048">
        <v>1895917</v>
      </c>
      <c r="B2048">
        <v>20251205</v>
      </c>
      <c r="C2048">
        <v>10253</v>
      </c>
      <c r="D2048">
        <v>193522.40532959325</v>
      </c>
      <c r="E2048" s="123" t="s">
        <v>1566</v>
      </c>
      <c r="F2048" s="123" t="s">
        <v>1573</v>
      </c>
      <c r="G2048" s="123"/>
      <c r="H2048" s="95">
        <v>45996</v>
      </c>
      <c r="I2048">
        <v>35643</v>
      </c>
      <c r="J2048" s="123" t="s">
        <v>603</v>
      </c>
      <c r="K2048" s="123" t="s">
        <v>1220</v>
      </c>
      <c r="L2048" s="123" t="e">
        <f>VLOOKUP(Fact_AUM_FyoCapital[[#This Row],[Dim_Empresas.CUIT]],'clientes SQL'!C:D,2,0)</f>
        <v>#N/A</v>
      </c>
    </row>
    <row r="2049" spans="1:12" hidden="1" x14ac:dyDescent="0.3">
      <c r="A2049">
        <v>1857277</v>
      </c>
      <c r="B2049">
        <v>20251205</v>
      </c>
      <c r="C2049">
        <v>1191</v>
      </c>
      <c r="D2049">
        <v>0</v>
      </c>
      <c r="E2049" s="123"/>
      <c r="F2049" s="123"/>
      <c r="G2049" s="123"/>
      <c r="H2049" s="95">
        <v>45996</v>
      </c>
      <c r="I2049">
        <v>18954</v>
      </c>
      <c r="J2049" s="123" t="s">
        <v>1247</v>
      </c>
      <c r="K2049" s="123" t="s">
        <v>1248</v>
      </c>
      <c r="L2049" s="123" t="e">
        <f>VLOOKUP(Fact_AUM_FyoCapital[[#This Row],[Dim_Empresas.CUIT]],'clientes SQL'!C:D,2,0)</f>
        <v>#N/A</v>
      </c>
    </row>
    <row r="2050" spans="1:12" hidden="1" x14ac:dyDescent="0.3">
      <c r="A2050">
        <v>1880257</v>
      </c>
      <c r="B2050">
        <v>20251205</v>
      </c>
      <c r="C2050">
        <v>1546</v>
      </c>
      <c r="D2050">
        <v>0</v>
      </c>
      <c r="E2050" s="123"/>
      <c r="F2050" s="123"/>
      <c r="G2050" s="123"/>
      <c r="H2050" s="95">
        <v>45996</v>
      </c>
      <c r="I2050">
        <v>18554</v>
      </c>
      <c r="J2050" s="123" t="s">
        <v>550</v>
      </c>
      <c r="K2050" s="123" t="s">
        <v>1394</v>
      </c>
      <c r="L2050" s="123" t="e">
        <f>VLOOKUP(Fact_AUM_FyoCapital[[#This Row],[Dim_Empresas.CUIT]],'clientes SQL'!C:D,2,0)</f>
        <v>#N/A</v>
      </c>
    </row>
    <row r="2051" spans="1:12" hidden="1" x14ac:dyDescent="0.3">
      <c r="A2051">
        <v>2614949</v>
      </c>
      <c r="B2051">
        <v>20251205</v>
      </c>
      <c r="C2051">
        <v>5875</v>
      </c>
      <c r="D2051">
        <v>-17.392054698457223</v>
      </c>
      <c r="E2051" s="123" t="s">
        <v>1563</v>
      </c>
      <c r="F2051" s="123" t="s">
        <v>185</v>
      </c>
      <c r="G2051" s="123"/>
      <c r="H2051" s="95">
        <v>45996</v>
      </c>
      <c r="I2051">
        <v>33579</v>
      </c>
      <c r="J2051" s="123" t="s">
        <v>344</v>
      </c>
      <c r="K2051" s="123" t="s">
        <v>1395</v>
      </c>
      <c r="L2051" s="123" t="e">
        <f>VLOOKUP(Fact_AUM_FyoCapital[[#This Row],[Dim_Empresas.CUIT]],'clientes SQL'!C:D,2,0)</f>
        <v>#N/A</v>
      </c>
    </row>
    <row r="2052" spans="1:12" hidden="1" x14ac:dyDescent="0.3">
      <c r="A2052">
        <v>1871977</v>
      </c>
      <c r="B2052">
        <v>20251205</v>
      </c>
      <c r="C2052">
        <v>13719</v>
      </c>
      <c r="D2052">
        <v>0</v>
      </c>
      <c r="E2052" s="123"/>
      <c r="F2052" s="123"/>
      <c r="G2052" s="123"/>
      <c r="H2052" s="95">
        <v>45996</v>
      </c>
      <c r="I2052">
        <v>36879</v>
      </c>
      <c r="J2052" s="123" t="s">
        <v>1340</v>
      </c>
      <c r="K2052" s="123" t="s">
        <v>1341</v>
      </c>
      <c r="L2052" s="123" t="e">
        <f>VLOOKUP(Fact_AUM_FyoCapital[[#This Row],[Dim_Empresas.CUIT]],'clientes SQL'!C:D,2,0)</f>
        <v>#N/A</v>
      </c>
    </row>
    <row r="2053" spans="1:12" hidden="1" x14ac:dyDescent="0.3">
      <c r="A2053">
        <v>2640329</v>
      </c>
      <c r="B2053">
        <v>20251205</v>
      </c>
      <c r="C2053">
        <v>14876</v>
      </c>
      <c r="D2053">
        <v>237.43</v>
      </c>
      <c r="E2053" s="123" t="s">
        <v>1563</v>
      </c>
      <c r="F2053" s="123" t="s">
        <v>188</v>
      </c>
      <c r="G2053" s="123"/>
      <c r="H2053" s="95">
        <v>45996</v>
      </c>
      <c r="I2053">
        <v>37091</v>
      </c>
      <c r="J2053" s="123" t="s">
        <v>604</v>
      </c>
      <c r="K2053" s="123" t="s">
        <v>1293</v>
      </c>
      <c r="L2053" s="123" t="e">
        <f>VLOOKUP(Fact_AUM_FyoCapital[[#This Row],[Dim_Empresas.CUIT]],'clientes SQL'!C:D,2,0)</f>
        <v>#N/A</v>
      </c>
    </row>
    <row r="2054" spans="1:12" hidden="1" x14ac:dyDescent="0.3">
      <c r="A2054">
        <v>1841137</v>
      </c>
      <c r="B2054">
        <v>20251205</v>
      </c>
      <c r="C2054">
        <v>5251</v>
      </c>
      <c r="D2054">
        <v>0</v>
      </c>
      <c r="E2054" s="123"/>
      <c r="F2054" s="123"/>
      <c r="G2054" s="123"/>
      <c r="H2054" s="95">
        <v>45996</v>
      </c>
      <c r="I2054">
        <v>33173</v>
      </c>
      <c r="J2054" s="123" t="s">
        <v>341</v>
      </c>
      <c r="K2054" s="123" t="s">
        <v>1318</v>
      </c>
      <c r="L2054" s="123" t="e">
        <f>VLOOKUP(Fact_AUM_FyoCapital[[#This Row],[Dim_Empresas.CUIT]],'clientes SQL'!C:D,2,0)</f>
        <v>#N/A</v>
      </c>
    </row>
    <row r="2055" spans="1:12" hidden="1" x14ac:dyDescent="0.3">
      <c r="A2055">
        <v>1848817</v>
      </c>
      <c r="B2055">
        <v>20251205</v>
      </c>
      <c r="C2055">
        <v>15233</v>
      </c>
      <c r="D2055">
        <v>2251.69</v>
      </c>
      <c r="E2055" s="123" t="s">
        <v>1568</v>
      </c>
      <c r="F2055" s="123" t="s">
        <v>1572</v>
      </c>
      <c r="G2055" s="123" t="s">
        <v>1576</v>
      </c>
      <c r="H2055" s="95">
        <v>45996</v>
      </c>
      <c r="I2055">
        <v>37359</v>
      </c>
      <c r="J2055" s="123" t="s">
        <v>710</v>
      </c>
      <c r="K2055" s="123" t="s">
        <v>1232</v>
      </c>
      <c r="L2055" s="123" t="e">
        <f>VLOOKUP(Fact_AUM_FyoCapital[[#This Row],[Dim_Empresas.CUIT]],'clientes SQL'!C:D,2,0)</f>
        <v>#N/A</v>
      </c>
    </row>
    <row r="2056" spans="1:12" hidden="1" x14ac:dyDescent="0.3">
      <c r="A2056">
        <v>1834597</v>
      </c>
      <c r="B2056">
        <v>20251205</v>
      </c>
      <c r="C2056">
        <v>12600</v>
      </c>
      <c r="D2056">
        <v>16097.463281907434</v>
      </c>
      <c r="E2056" s="123" t="s">
        <v>1568</v>
      </c>
      <c r="F2056" s="123" t="s">
        <v>1572</v>
      </c>
      <c r="G2056" s="123" t="s">
        <v>1577</v>
      </c>
      <c r="H2056" s="95">
        <v>45996</v>
      </c>
      <c r="I2056">
        <v>35861</v>
      </c>
      <c r="J2056" s="123" t="s">
        <v>874</v>
      </c>
      <c r="K2056" s="123" t="s">
        <v>1471</v>
      </c>
      <c r="L2056" s="123" t="e">
        <f>VLOOKUP(Fact_AUM_FyoCapital[[#This Row],[Dim_Empresas.CUIT]],'clientes SQL'!C:D,2,0)</f>
        <v>#N/A</v>
      </c>
    </row>
    <row r="2057" spans="1:12" hidden="1" x14ac:dyDescent="0.3">
      <c r="A2057">
        <v>2611409</v>
      </c>
      <c r="B2057">
        <v>20251205</v>
      </c>
      <c r="C2057">
        <v>11</v>
      </c>
      <c r="D2057">
        <v>-4.5582047685834503E-4</v>
      </c>
      <c r="E2057" s="123" t="s">
        <v>1563</v>
      </c>
      <c r="F2057" s="123" t="s">
        <v>185</v>
      </c>
      <c r="G2057" s="123"/>
      <c r="H2057" s="95">
        <v>45996</v>
      </c>
      <c r="I2057">
        <v>4671</v>
      </c>
      <c r="J2057" s="123" t="s">
        <v>1423</v>
      </c>
      <c r="K2057" s="123" t="s">
        <v>1424</v>
      </c>
      <c r="L2057" s="123" t="e">
        <f>VLOOKUP(Fact_AUM_FyoCapital[[#This Row],[Dim_Empresas.CUIT]],'clientes SQL'!C:D,2,0)</f>
        <v>#N/A</v>
      </c>
    </row>
    <row r="2058" spans="1:12" hidden="1" x14ac:dyDescent="0.3">
      <c r="A2058">
        <v>1881157</v>
      </c>
      <c r="B2058">
        <v>20251205</v>
      </c>
      <c r="C2058">
        <v>1546</v>
      </c>
      <c r="D2058">
        <v>0</v>
      </c>
      <c r="E2058" s="123"/>
      <c r="F2058" s="123"/>
      <c r="G2058" s="123"/>
      <c r="H2058" s="95">
        <v>45996</v>
      </c>
      <c r="I2058">
        <v>18554</v>
      </c>
      <c r="J2058" s="123" t="s">
        <v>550</v>
      </c>
      <c r="K2058" s="123" t="s">
        <v>1394</v>
      </c>
      <c r="L2058" s="123" t="e">
        <f>VLOOKUP(Fact_AUM_FyoCapital[[#This Row],[Dim_Empresas.CUIT]],'clientes SQL'!C:D,2,0)</f>
        <v>#N/A</v>
      </c>
    </row>
    <row r="2059" spans="1:12" hidden="1" x14ac:dyDescent="0.3">
      <c r="A2059">
        <v>1890697</v>
      </c>
      <c r="B2059">
        <v>20251205</v>
      </c>
      <c r="C2059">
        <v>1853</v>
      </c>
      <c r="D2059">
        <v>386165.2</v>
      </c>
      <c r="E2059" s="123" t="s">
        <v>1566</v>
      </c>
      <c r="F2059" s="123" t="s">
        <v>1578</v>
      </c>
      <c r="G2059" s="123"/>
      <c r="H2059" s="95">
        <v>45996</v>
      </c>
      <c r="I2059">
        <v>19392</v>
      </c>
      <c r="J2059" s="123" t="s">
        <v>1309</v>
      </c>
      <c r="K2059" s="123" t="s">
        <v>1310</v>
      </c>
      <c r="L2059" s="123" t="e">
        <f>VLOOKUP(Fact_AUM_FyoCapital[[#This Row],[Dim_Empresas.CUIT]],'clientes SQL'!C:D,2,0)</f>
        <v>#N/A</v>
      </c>
    </row>
    <row r="2060" spans="1:12" hidden="1" x14ac:dyDescent="0.3">
      <c r="A2060">
        <v>1503784</v>
      </c>
      <c r="B2060">
        <v>20251205</v>
      </c>
      <c r="C2060">
        <v>13719</v>
      </c>
      <c r="D2060">
        <v>186507.46873071528</v>
      </c>
      <c r="E2060" s="123" t="s">
        <v>1564</v>
      </c>
      <c r="F2060" s="123" t="s">
        <v>1581</v>
      </c>
      <c r="G2060" s="123"/>
      <c r="H2060" s="95">
        <v>45996</v>
      </c>
      <c r="I2060">
        <v>36879</v>
      </c>
      <c r="J2060" s="123" t="s">
        <v>1340</v>
      </c>
      <c r="K2060" s="123" t="s">
        <v>1341</v>
      </c>
      <c r="L2060" s="123" t="e">
        <f>VLOOKUP(Fact_AUM_FyoCapital[[#This Row],[Dim_Empresas.CUIT]],'clientes SQL'!C:D,2,0)</f>
        <v>#N/A</v>
      </c>
    </row>
    <row r="2061" spans="1:12" hidden="1" x14ac:dyDescent="0.3">
      <c r="A2061">
        <v>1857697</v>
      </c>
      <c r="B2061">
        <v>20251205</v>
      </c>
      <c r="C2061">
        <v>1191</v>
      </c>
      <c r="D2061">
        <v>0</v>
      </c>
      <c r="E2061" s="123"/>
      <c r="F2061" s="123"/>
      <c r="G2061" s="123"/>
      <c r="H2061" s="95">
        <v>45996</v>
      </c>
      <c r="I2061">
        <v>18954</v>
      </c>
      <c r="J2061" s="123" t="s">
        <v>1247</v>
      </c>
      <c r="K2061" s="123" t="s">
        <v>1248</v>
      </c>
      <c r="L2061" s="123" t="e">
        <f>VLOOKUP(Fact_AUM_FyoCapital[[#This Row],[Dim_Empresas.CUIT]],'clientes SQL'!C:D,2,0)</f>
        <v>#N/A</v>
      </c>
    </row>
    <row r="2062" spans="1:12" hidden="1" x14ac:dyDescent="0.3">
      <c r="A2062">
        <v>1868257</v>
      </c>
      <c r="B2062">
        <v>20251205</v>
      </c>
      <c r="C2062">
        <v>10256</v>
      </c>
      <c r="D2062">
        <v>57304.236051893407</v>
      </c>
      <c r="E2062" s="123" t="s">
        <v>1566</v>
      </c>
      <c r="F2062" s="123" t="s">
        <v>1578</v>
      </c>
      <c r="G2062" s="123"/>
      <c r="H2062" s="95">
        <v>45996</v>
      </c>
      <c r="I2062">
        <v>35646</v>
      </c>
      <c r="J2062" s="123" t="s">
        <v>1375</v>
      </c>
      <c r="K2062" s="123" t="s">
        <v>1376</v>
      </c>
      <c r="L2062" s="123" t="e">
        <f>VLOOKUP(Fact_AUM_FyoCapital[[#This Row],[Dim_Empresas.CUIT]],'clientes SQL'!C:D,2,0)</f>
        <v>#N/A</v>
      </c>
    </row>
    <row r="2063" spans="1:12" hidden="1" x14ac:dyDescent="0.3">
      <c r="A2063">
        <v>1840177</v>
      </c>
      <c r="B2063">
        <v>20251205</v>
      </c>
      <c r="C2063">
        <v>5251</v>
      </c>
      <c r="D2063">
        <v>0</v>
      </c>
      <c r="E2063" s="123"/>
      <c r="F2063" s="123"/>
      <c r="G2063" s="123"/>
      <c r="H2063" s="95">
        <v>45996</v>
      </c>
      <c r="I2063">
        <v>33173</v>
      </c>
      <c r="J2063" s="123" t="s">
        <v>341</v>
      </c>
      <c r="K2063" s="123" t="s">
        <v>1318</v>
      </c>
      <c r="L2063" s="123" t="e">
        <f>VLOOKUP(Fact_AUM_FyoCapital[[#This Row],[Dim_Empresas.CUIT]],'clientes SQL'!C:D,2,0)</f>
        <v>#N/A</v>
      </c>
    </row>
    <row r="2064" spans="1:12" hidden="1" x14ac:dyDescent="0.3">
      <c r="A2064">
        <v>1825057</v>
      </c>
      <c r="B2064">
        <v>20251205</v>
      </c>
      <c r="C2064">
        <v>920</v>
      </c>
      <c r="D2064">
        <v>73913.47</v>
      </c>
      <c r="E2064" s="123" t="s">
        <v>1566</v>
      </c>
      <c r="F2064" s="123" t="s">
        <v>1571</v>
      </c>
      <c r="G2064" s="123"/>
      <c r="H2064" s="95">
        <v>45996</v>
      </c>
      <c r="I2064">
        <v>18292</v>
      </c>
      <c r="J2064" s="123" t="s">
        <v>243</v>
      </c>
      <c r="K2064" s="123" t="s">
        <v>1315</v>
      </c>
      <c r="L2064" s="123" t="e">
        <f>VLOOKUP(Fact_AUM_FyoCapital[[#This Row],[Dim_Empresas.CUIT]],'clientes SQL'!C:D,2,0)</f>
        <v>#N/A</v>
      </c>
    </row>
    <row r="2065" spans="1:12" hidden="1" x14ac:dyDescent="0.3">
      <c r="A2065">
        <v>1870417</v>
      </c>
      <c r="B2065">
        <v>20251205</v>
      </c>
      <c r="C2065">
        <v>13361</v>
      </c>
      <c r="D2065">
        <v>4367.1235343618519</v>
      </c>
      <c r="E2065" s="123" t="s">
        <v>1566</v>
      </c>
      <c r="F2065" s="123" t="s">
        <v>1571</v>
      </c>
      <c r="G2065" s="123"/>
      <c r="H2065" s="95">
        <v>45996</v>
      </c>
      <c r="I2065">
        <v>36541</v>
      </c>
      <c r="J2065" s="123" t="s">
        <v>454</v>
      </c>
      <c r="K2065" s="123" t="s">
        <v>1322</v>
      </c>
      <c r="L2065" s="123" t="e">
        <f>VLOOKUP(Fact_AUM_FyoCapital[[#This Row],[Dim_Empresas.CUIT]],'clientes SQL'!C:D,2,0)</f>
        <v>#N/A</v>
      </c>
    </row>
    <row r="2066" spans="1:12" hidden="1" x14ac:dyDescent="0.3">
      <c r="A2066">
        <v>1890937</v>
      </c>
      <c r="B2066">
        <v>20251205</v>
      </c>
      <c r="C2066">
        <v>1853</v>
      </c>
      <c r="D2066">
        <v>0</v>
      </c>
      <c r="E2066" s="123"/>
      <c r="F2066" s="123"/>
      <c r="G2066" s="123"/>
      <c r="H2066" s="95">
        <v>45996</v>
      </c>
      <c r="I2066">
        <v>19392</v>
      </c>
      <c r="J2066" s="123" t="s">
        <v>1309</v>
      </c>
      <c r="K2066" s="123" t="s">
        <v>1310</v>
      </c>
      <c r="L2066" s="123" t="e">
        <f>VLOOKUP(Fact_AUM_FyoCapital[[#This Row],[Dim_Empresas.CUIT]],'clientes SQL'!C:D,2,0)</f>
        <v>#N/A</v>
      </c>
    </row>
    <row r="2067" spans="1:12" hidden="1" x14ac:dyDescent="0.3">
      <c r="A2067">
        <v>1850557</v>
      </c>
      <c r="B2067">
        <v>20251205</v>
      </c>
      <c r="C2067">
        <v>851</v>
      </c>
      <c r="D2067">
        <v>4445.7164235624123</v>
      </c>
      <c r="E2067" s="123" t="s">
        <v>1568</v>
      </c>
      <c r="F2067" s="123" t="s">
        <v>1572</v>
      </c>
      <c r="G2067" s="123" t="s">
        <v>1570</v>
      </c>
      <c r="H2067" s="95">
        <v>45996</v>
      </c>
      <c r="I2067">
        <v>17729</v>
      </c>
      <c r="J2067" s="123" t="s">
        <v>241</v>
      </c>
      <c r="K2067" s="123" t="s">
        <v>1422</v>
      </c>
      <c r="L2067" s="123" t="e">
        <f>VLOOKUP(Fact_AUM_FyoCapital[[#This Row],[Dim_Empresas.CUIT]],'clientes SQL'!C:D,2,0)</f>
        <v>#N/A</v>
      </c>
    </row>
    <row r="2068" spans="1:12" hidden="1" x14ac:dyDescent="0.3">
      <c r="A2068">
        <v>1881817</v>
      </c>
      <c r="B2068">
        <v>20251205</v>
      </c>
      <c r="C2068">
        <v>1546</v>
      </c>
      <c r="D2068">
        <v>434836.77441795234</v>
      </c>
      <c r="E2068" s="123" t="s">
        <v>1568</v>
      </c>
      <c r="F2068" s="123" t="s">
        <v>1569</v>
      </c>
      <c r="G2068" s="123" t="s">
        <v>1570</v>
      </c>
      <c r="H2068" s="95">
        <v>45996</v>
      </c>
      <c r="I2068">
        <v>18554</v>
      </c>
      <c r="J2068" s="123" t="s">
        <v>550</v>
      </c>
      <c r="K2068" s="123" t="s">
        <v>1394</v>
      </c>
      <c r="L2068" s="123" t="e">
        <f>VLOOKUP(Fact_AUM_FyoCapital[[#This Row],[Dim_Empresas.CUIT]],'clientes SQL'!C:D,2,0)</f>
        <v>#N/A</v>
      </c>
    </row>
    <row r="2069" spans="1:12" hidden="1" x14ac:dyDescent="0.3">
      <c r="A2069">
        <v>1831537</v>
      </c>
      <c r="B2069">
        <v>20251205</v>
      </c>
      <c r="C2069">
        <v>2309</v>
      </c>
      <c r="D2069">
        <v>19.878702664796634</v>
      </c>
      <c r="E2069" s="123" t="s">
        <v>1568</v>
      </c>
      <c r="F2069" s="123" t="s">
        <v>1572</v>
      </c>
      <c r="G2069" s="123" t="s">
        <v>1574</v>
      </c>
      <c r="H2069" s="95">
        <v>45996</v>
      </c>
      <c r="I2069">
        <v>30408</v>
      </c>
      <c r="J2069" s="123" t="s">
        <v>197</v>
      </c>
      <c r="K2069" s="123" t="s">
        <v>1229</v>
      </c>
      <c r="L2069" s="123" t="e">
        <f>VLOOKUP(Fact_AUM_FyoCapital[[#This Row],[Dim_Empresas.CUIT]],'clientes SQL'!C:D,2,0)</f>
        <v>#N/A</v>
      </c>
    </row>
    <row r="2070" spans="1:12" hidden="1" x14ac:dyDescent="0.3">
      <c r="A2070">
        <v>1834057</v>
      </c>
      <c r="B2070">
        <v>20251205</v>
      </c>
      <c r="C2070">
        <v>6247</v>
      </c>
      <c r="D2070">
        <v>0</v>
      </c>
      <c r="E2070" s="123"/>
      <c r="F2070" s="123"/>
      <c r="G2070" s="123"/>
      <c r="H2070" s="95">
        <v>45996</v>
      </c>
      <c r="I2070">
        <v>34358</v>
      </c>
      <c r="J2070" s="123" t="s">
        <v>1373</v>
      </c>
      <c r="K2070" s="123" t="s">
        <v>1374</v>
      </c>
      <c r="L2070" s="123" t="e">
        <f>VLOOKUP(Fact_AUM_FyoCapital[[#This Row],[Dim_Empresas.CUIT]],'clientes SQL'!C:D,2,0)</f>
        <v>#N/A</v>
      </c>
    </row>
    <row r="2071" spans="1:12" hidden="1" x14ac:dyDescent="0.3">
      <c r="A2071">
        <v>2638589</v>
      </c>
      <c r="B2071">
        <v>20251205</v>
      </c>
      <c r="C2071">
        <v>3044</v>
      </c>
      <c r="D2071">
        <v>-0.38701262272089759</v>
      </c>
      <c r="E2071" s="123" t="s">
        <v>1563</v>
      </c>
      <c r="F2071" s="123" t="s">
        <v>185</v>
      </c>
      <c r="G2071" s="123"/>
      <c r="H2071" s="95">
        <v>45996</v>
      </c>
      <c r="I2071">
        <v>31437</v>
      </c>
      <c r="J2071" s="123" t="s">
        <v>588</v>
      </c>
      <c r="K2071" s="123" t="s">
        <v>1409</v>
      </c>
      <c r="L2071" s="123" t="e">
        <f>VLOOKUP(Fact_AUM_FyoCapital[[#This Row],[Dim_Empresas.CUIT]],'clientes SQL'!C:D,2,0)</f>
        <v>#N/A</v>
      </c>
    </row>
    <row r="2072" spans="1:12" hidden="1" x14ac:dyDescent="0.3">
      <c r="A2072">
        <v>1853257</v>
      </c>
      <c r="B2072">
        <v>20251205</v>
      </c>
      <c r="C2072">
        <v>3661</v>
      </c>
      <c r="D2072">
        <v>17591.18275596073</v>
      </c>
      <c r="E2072" s="123" t="s">
        <v>1568</v>
      </c>
      <c r="F2072" s="123" t="s">
        <v>1572</v>
      </c>
      <c r="G2072" s="123" t="s">
        <v>1583</v>
      </c>
      <c r="H2072" s="95">
        <v>45996</v>
      </c>
      <c r="I2072">
        <v>32155</v>
      </c>
      <c r="J2072" s="123" t="s">
        <v>1313</v>
      </c>
      <c r="K2072" s="123" t="s">
        <v>1314</v>
      </c>
      <c r="L2072" s="123" t="e">
        <f>VLOOKUP(Fact_AUM_FyoCapital[[#This Row],[Dim_Empresas.CUIT]],'clientes SQL'!C:D,2,0)</f>
        <v>#N/A</v>
      </c>
    </row>
    <row r="2073" spans="1:12" hidden="1" x14ac:dyDescent="0.3">
      <c r="A2073">
        <v>1872277</v>
      </c>
      <c r="B2073">
        <v>20251205</v>
      </c>
      <c r="C2073">
        <v>13719</v>
      </c>
      <c r="D2073">
        <v>0</v>
      </c>
      <c r="E2073" s="123"/>
      <c r="F2073" s="123"/>
      <c r="G2073" s="123"/>
      <c r="H2073" s="95">
        <v>45996</v>
      </c>
      <c r="I2073">
        <v>36879</v>
      </c>
      <c r="J2073" s="123" t="s">
        <v>1340</v>
      </c>
      <c r="K2073" s="123" t="s">
        <v>1341</v>
      </c>
      <c r="L2073" s="123" t="e">
        <f>VLOOKUP(Fact_AUM_FyoCapital[[#This Row],[Dim_Empresas.CUIT]],'clientes SQL'!C:D,2,0)</f>
        <v>#N/A</v>
      </c>
    </row>
    <row r="2074" spans="1:12" hidden="1" x14ac:dyDescent="0.3">
      <c r="A2074">
        <v>1841917</v>
      </c>
      <c r="B2074">
        <v>20251205</v>
      </c>
      <c r="C2074">
        <v>6999</v>
      </c>
      <c r="D2074">
        <v>6185.3308976157077</v>
      </c>
      <c r="E2074" s="123" t="s">
        <v>1568</v>
      </c>
      <c r="F2074" s="123" t="s">
        <v>1572</v>
      </c>
      <c r="G2074" s="123" t="s">
        <v>1583</v>
      </c>
      <c r="H2074" s="95">
        <v>45996</v>
      </c>
      <c r="I2074">
        <v>34695</v>
      </c>
      <c r="J2074" s="123" t="s">
        <v>325</v>
      </c>
      <c r="K2074" s="123" t="s">
        <v>1267</v>
      </c>
      <c r="L2074" s="123" t="e">
        <f>VLOOKUP(Fact_AUM_FyoCapital[[#This Row],[Dim_Empresas.CUIT]],'clientes SQL'!C:D,2,0)</f>
        <v>#N/A</v>
      </c>
    </row>
    <row r="2075" spans="1:12" hidden="1" x14ac:dyDescent="0.3">
      <c r="A2075">
        <v>2598449</v>
      </c>
      <c r="B2075">
        <v>20251205</v>
      </c>
      <c r="C2075">
        <v>14876</v>
      </c>
      <c r="D2075">
        <v>121.34867461430575</v>
      </c>
      <c r="E2075" s="123" t="s">
        <v>1568</v>
      </c>
      <c r="F2075" s="123" t="s">
        <v>1572</v>
      </c>
      <c r="G2075" s="123" t="s">
        <v>1574</v>
      </c>
      <c r="H2075" s="95">
        <v>45996</v>
      </c>
      <c r="I2075">
        <v>37091</v>
      </c>
      <c r="J2075" s="123" t="s">
        <v>604</v>
      </c>
      <c r="K2075" s="123" t="s">
        <v>1293</v>
      </c>
      <c r="L2075" s="123" t="e">
        <f>VLOOKUP(Fact_AUM_FyoCapital[[#This Row],[Dim_Empresas.CUIT]],'clientes SQL'!C:D,2,0)</f>
        <v>#N/A</v>
      </c>
    </row>
    <row r="2076" spans="1:12" hidden="1" x14ac:dyDescent="0.3">
      <c r="A2076">
        <v>1880857</v>
      </c>
      <c r="B2076">
        <v>20251205</v>
      </c>
      <c r="C2076">
        <v>1546</v>
      </c>
      <c r="D2076">
        <v>0</v>
      </c>
      <c r="E2076" s="123"/>
      <c r="F2076" s="123"/>
      <c r="G2076" s="123"/>
      <c r="H2076" s="95">
        <v>45996</v>
      </c>
      <c r="I2076">
        <v>18554</v>
      </c>
      <c r="J2076" s="123" t="s">
        <v>550</v>
      </c>
      <c r="K2076" s="123" t="s">
        <v>1394</v>
      </c>
      <c r="L2076" s="123" t="e">
        <f>VLOOKUP(Fact_AUM_FyoCapital[[#This Row],[Dim_Empresas.CUIT]],'clientes SQL'!C:D,2,0)</f>
        <v>#N/A</v>
      </c>
    </row>
    <row r="2077" spans="1:12" hidden="1" x14ac:dyDescent="0.3">
      <c r="A2077">
        <v>1838737</v>
      </c>
      <c r="B2077">
        <v>20251205</v>
      </c>
      <c r="C2077">
        <v>5875</v>
      </c>
      <c r="D2077">
        <v>186734000</v>
      </c>
      <c r="E2077" s="123" t="s">
        <v>1566</v>
      </c>
      <c r="F2077" s="123" t="s">
        <v>1579</v>
      </c>
      <c r="G2077" s="123"/>
      <c r="H2077" s="95">
        <v>45996</v>
      </c>
      <c r="I2077">
        <v>33579</v>
      </c>
      <c r="J2077" s="123" t="s">
        <v>344</v>
      </c>
      <c r="K2077" s="123" t="s">
        <v>1395</v>
      </c>
      <c r="L2077" s="123" t="e">
        <f>VLOOKUP(Fact_AUM_FyoCapital[[#This Row],[Dim_Empresas.CUIT]],'clientes SQL'!C:D,2,0)</f>
        <v>#N/A</v>
      </c>
    </row>
    <row r="2078" spans="1:12" hidden="1" x14ac:dyDescent="0.3">
      <c r="A2078">
        <v>1857637</v>
      </c>
      <c r="B2078">
        <v>20251205</v>
      </c>
      <c r="C2078">
        <v>1191</v>
      </c>
      <c r="D2078">
        <v>0</v>
      </c>
      <c r="E2078" s="123"/>
      <c r="F2078" s="123"/>
      <c r="G2078" s="123"/>
      <c r="H2078" s="95">
        <v>45996</v>
      </c>
      <c r="I2078">
        <v>18954</v>
      </c>
      <c r="J2078" s="123" t="s">
        <v>1247</v>
      </c>
      <c r="K2078" s="123" t="s">
        <v>1248</v>
      </c>
      <c r="L2078" s="123" t="e">
        <f>VLOOKUP(Fact_AUM_FyoCapital[[#This Row],[Dim_Empresas.CUIT]],'clientes SQL'!C:D,2,0)</f>
        <v>#N/A</v>
      </c>
    </row>
    <row r="2079" spans="1:12" hidden="1" x14ac:dyDescent="0.3">
      <c r="A2079">
        <v>1885177</v>
      </c>
      <c r="B2079">
        <v>20251205</v>
      </c>
      <c r="C2079">
        <v>3288</v>
      </c>
      <c r="D2079">
        <v>25876.78897615708</v>
      </c>
      <c r="E2079" s="123" t="s">
        <v>1566</v>
      </c>
      <c r="F2079" s="123" t="s">
        <v>1571</v>
      </c>
      <c r="G2079" s="123"/>
      <c r="H2079" s="95">
        <v>45996</v>
      </c>
      <c r="I2079">
        <v>31716</v>
      </c>
      <c r="J2079" s="123" t="s">
        <v>544</v>
      </c>
      <c r="K2079" s="123" t="s">
        <v>1353</v>
      </c>
      <c r="L2079" s="123" t="e">
        <f>VLOOKUP(Fact_AUM_FyoCapital[[#This Row],[Dim_Empresas.CUIT]],'clientes SQL'!C:D,2,0)</f>
        <v>#N/A</v>
      </c>
    </row>
    <row r="2080" spans="1:12" hidden="1" x14ac:dyDescent="0.3">
      <c r="A2080">
        <v>1841677</v>
      </c>
      <c r="B2080">
        <v>20251205</v>
      </c>
      <c r="C2080">
        <v>6999</v>
      </c>
      <c r="D2080">
        <v>8859.32</v>
      </c>
      <c r="E2080" s="123" t="s">
        <v>1566</v>
      </c>
      <c r="F2080" s="123" t="s">
        <v>1579</v>
      </c>
      <c r="G2080" s="123"/>
      <c r="H2080" s="95">
        <v>45996</v>
      </c>
      <c r="I2080">
        <v>34695</v>
      </c>
      <c r="J2080" s="123" t="s">
        <v>325</v>
      </c>
      <c r="K2080" s="123" t="s">
        <v>1267</v>
      </c>
      <c r="L2080" s="123" t="e">
        <f>VLOOKUP(Fact_AUM_FyoCapital[[#This Row],[Dim_Empresas.CUIT]],'clientes SQL'!C:D,2,0)</f>
        <v>#N/A</v>
      </c>
    </row>
    <row r="2081" spans="1:12" hidden="1" x14ac:dyDescent="0.3">
      <c r="A2081">
        <v>2615129</v>
      </c>
      <c r="B2081">
        <v>20251205</v>
      </c>
      <c r="C2081">
        <v>5868</v>
      </c>
      <c r="D2081">
        <v>-19.856311360448807</v>
      </c>
      <c r="E2081" s="123" t="s">
        <v>1563</v>
      </c>
      <c r="F2081" s="123" t="s">
        <v>185</v>
      </c>
      <c r="G2081" s="123"/>
      <c r="H2081" s="95">
        <v>45996</v>
      </c>
      <c r="I2081">
        <v>33580</v>
      </c>
      <c r="J2081" s="123" t="s">
        <v>348</v>
      </c>
      <c r="K2081" s="123" t="s">
        <v>1277</v>
      </c>
      <c r="L2081" s="123" t="e">
        <f>VLOOKUP(Fact_AUM_FyoCapital[[#This Row],[Dim_Empresas.CUIT]],'clientes SQL'!C:D,2,0)</f>
        <v>#N/A</v>
      </c>
    </row>
    <row r="2082" spans="1:12" hidden="1" x14ac:dyDescent="0.3">
      <c r="A2082">
        <v>2626049</v>
      </c>
      <c r="B2082">
        <v>20251205</v>
      </c>
      <c r="C2082">
        <v>1437</v>
      </c>
      <c r="D2082">
        <v>-17290115.079999998</v>
      </c>
      <c r="E2082" s="123" t="s">
        <v>1563</v>
      </c>
      <c r="F2082" s="123" t="s">
        <v>801</v>
      </c>
      <c r="G2082" s="123"/>
      <c r="H2082" s="95">
        <v>45996</v>
      </c>
      <c r="I2082">
        <v>19791</v>
      </c>
      <c r="J2082" s="123" t="s">
        <v>172</v>
      </c>
      <c r="K2082" s="123" t="s">
        <v>1223</v>
      </c>
      <c r="L2082" s="123">
        <f>VLOOKUP(Fact_AUM_FyoCapital[[#This Row],[Dim_Empresas.CUIT]],'clientes SQL'!C:D,2,0)</f>
        <v>20176</v>
      </c>
    </row>
    <row r="2083" spans="1:12" hidden="1" x14ac:dyDescent="0.3">
      <c r="A2083">
        <v>1839757</v>
      </c>
      <c r="B2083">
        <v>20251205</v>
      </c>
      <c r="C2083">
        <v>5868</v>
      </c>
      <c r="D2083">
        <v>131.29382889200562</v>
      </c>
      <c r="E2083" s="123" t="s">
        <v>1568</v>
      </c>
      <c r="F2083" s="123" t="s">
        <v>1572</v>
      </c>
      <c r="G2083" s="123" t="s">
        <v>1570</v>
      </c>
      <c r="H2083" s="95">
        <v>45996</v>
      </c>
      <c r="I2083">
        <v>33580</v>
      </c>
      <c r="J2083" s="123" t="s">
        <v>348</v>
      </c>
      <c r="K2083" s="123" t="s">
        <v>1277</v>
      </c>
      <c r="L2083" s="123" t="e">
        <f>VLOOKUP(Fact_AUM_FyoCapital[[#This Row],[Dim_Empresas.CUIT]],'clientes SQL'!C:D,2,0)</f>
        <v>#N/A</v>
      </c>
    </row>
    <row r="2084" spans="1:12" hidden="1" x14ac:dyDescent="0.3">
      <c r="A2084">
        <v>2624009</v>
      </c>
      <c r="B2084">
        <v>20251205</v>
      </c>
      <c r="C2084">
        <v>3713</v>
      </c>
      <c r="D2084">
        <v>5.6100981767180928E-4</v>
      </c>
      <c r="E2084" s="123" t="s">
        <v>1563</v>
      </c>
      <c r="F2084" s="123" t="s">
        <v>185</v>
      </c>
      <c r="G2084" s="123"/>
      <c r="H2084" s="95">
        <v>45996</v>
      </c>
      <c r="I2084">
        <v>32219</v>
      </c>
      <c r="J2084" s="123" t="s">
        <v>804</v>
      </c>
      <c r="K2084" s="123" t="s">
        <v>1429</v>
      </c>
      <c r="L2084" s="123" t="e">
        <f>VLOOKUP(Fact_AUM_FyoCapital[[#This Row],[Dim_Empresas.CUIT]],'clientes SQL'!C:D,2,0)</f>
        <v>#N/A</v>
      </c>
    </row>
    <row r="2085" spans="1:12" hidden="1" x14ac:dyDescent="0.3">
      <c r="A2085">
        <v>2632409</v>
      </c>
      <c r="B2085">
        <v>20251205</v>
      </c>
      <c r="C2085">
        <v>737</v>
      </c>
      <c r="D2085">
        <v>0</v>
      </c>
      <c r="E2085" s="123"/>
      <c r="F2085" s="123"/>
      <c r="G2085" s="123"/>
      <c r="H2085" s="95">
        <v>45996</v>
      </c>
      <c r="I2085">
        <v>16298</v>
      </c>
      <c r="J2085" s="123" t="s">
        <v>521</v>
      </c>
      <c r="K2085" s="123" t="s">
        <v>1400</v>
      </c>
      <c r="L2085" s="123" t="e">
        <f>VLOOKUP(Fact_AUM_FyoCapital[[#This Row],[Dim_Empresas.CUIT]],'clientes SQL'!C:D,2,0)</f>
        <v>#N/A</v>
      </c>
    </row>
    <row r="2086" spans="1:12" hidden="1" x14ac:dyDescent="0.3">
      <c r="A2086">
        <v>1849717</v>
      </c>
      <c r="B2086">
        <v>20251205</v>
      </c>
      <c r="C2086">
        <v>2298</v>
      </c>
      <c r="D2086">
        <v>12772.39</v>
      </c>
      <c r="E2086" s="123" t="s">
        <v>1566</v>
      </c>
      <c r="F2086" s="123" t="s">
        <v>1571</v>
      </c>
      <c r="G2086" s="123"/>
      <c r="H2086" s="95">
        <v>45996</v>
      </c>
      <c r="I2086">
        <v>30387</v>
      </c>
      <c r="J2086" s="123" t="s">
        <v>1532</v>
      </c>
      <c r="K2086" s="123" t="s">
        <v>1291</v>
      </c>
      <c r="L2086" s="123" t="e">
        <f>VLOOKUP(Fact_AUM_FyoCapital[[#This Row],[Dim_Empresas.CUIT]],'clientes SQL'!C:D,2,0)</f>
        <v>#N/A</v>
      </c>
    </row>
    <row r="2087" spans="1:12" hidden="1" x14ac:dyDescent="0.3">
      <c r="A2087">
        <v>1867417</v>
      </c>
      <c r="B2087">
        <v>20251205</v>
      </c>
      <c r="C2087">
        <v>1361</v>
      </c>
      <c r="D2087">
        <v>70818.2</v>
      </c>
      <c r="E2087" s="123" t="s">
        <v>1566</v>
      </c>
      <c r="F2087" s="123" t="s">
        <v>1571</v>
      </c>
      <c r="G2087" s="123"/>
      <c r="H2087" s="95">
        <v>45996</v>
      </c>
      <c r="I2087">
        <v>19517</v>
      </c>
      <c r="J2087" s="123" t="s">
        <v>647</v>
      </c>
      <c r="K2087" s="123" t="s">
        <v>1399</v>
      </c>
      <c r="L2087" s="123" t="e">
        <f>VLOOKUP(Fact_AUM_FyoCapital[[#This Row],[Dim_Empresas.CUIT]],'clientes SQL'!C:D,2,0)</f>
        <v>#N/A</v>
      </c>
    </row>
    <row r="2088" spans="1:12" hidden="1" x14ac:dyDescent="0.3">
      <c r="A2088">
        <v>2630789</v>
      </c>
      <c r="B2088">
        <v>20251205</v>
      </c>
      <c r="C2088">
        <v>2447</v>
      </c>
      <c r="D2088">
        <v>-0.01</v>
      </c>
      <c r="E2088" s="123" t="s">
        <v>1563</v>
      </c>
      <c r="F2088" s="123" t="s">
        <v>801</v>
      </c>
      <c r="G2088" s="123"/>
      <c r="H2088" s="95">
        <v>45996</v>
      </c>
      <c r="I2088">
        <v>30642</v>
      </c>
      <c r="J2088" s="123" t="s">
        <v>399</v>
      </c>
      <c r="K2088" s="123" t="s">
        <v>1358</v>
      </c>
      <c r="L2088" s="123" t="e">
        <f>VLOOKUP(Fact_AUM_FyoCapital[[#This Row],[Dim_Empresas.CUIT]],'clientes SQL'!C:D,2,0)</f>
        <v>#N/A</v>
      </c>
    </row>
    <row r="2089" spans="1:12" hidden="1" x14ac:dyDescent="0.3">
      <c r="A2089">
        <v>1825417</v>
      </c>
      <c r="B2089">
        <v>20251205</v>
      </c>
      <c r="C2089">
        <v>920</v>
      </c>
      <c r="D2089">
        <v>30457.720897615709</v>
      </c>
      <c r="E2089" s="123" t="s">
        <v>1566</v>
      </c>
      <c r="F2089" s="123" t="s">
        <v>1573</v>
      </c>
      <c r="G2089" s="123"/>
      <c r="H2089" s="95">
        <v>45996</v>
      </c>
      <c r="I2089">
        <v>18292</v>
      </c>
      <c r="J2089" s="123" t="s">
        <v>243</v>
      </c>
      <c r="K2089" s="123" t="s">
        <v>1315</v>
      </c>
      <c r="L2089" s="123" t="e">
        <f>VLOOKUP(Fact_AUM_FyoCapital[[#This Row],[Dim_Empresas.CUIT]],'clientes SQL'!C:D,2,0)</f>
        <v>#N/A</v>
      </c>
    </row>
    <row r="2090" spans="1:12" hidden="1" x14ac:dyDescent="0.3">
      <c r="A2090">
        <v>1840057</v>
      </c>
      <c r="B2090">
        <v>20251205</v>
      </c>
      <c r="C2090">
        <v>5251</v>
      </c>
      <c r="D2090">
        <v>136478.18050490884</v>
      </c>
      <c r="E2090" s="123" t="s">
        <v>1566</v>
      </c>
      <c r="F2090" s="123" t="s">
        <v>1578</v>
      </c>
      <c r="G2090" s="123"/>
      <c r="H2090" s="95">
        <v>45996</v>
      </c>
      <c r="I2090">
        <v>33173</v>
      </c>
      <c r="J2090" s="123" t="s">
        <v>341</v>
      </c>
      <c r="K2090" s="123" t="s">
        <v>1318</v>
      </c>
      <c r="L2090" s="123" t="e">
        <f>VLOOKUP(Fact_AUM_FyoCapital[[#This Row],[Dim_Empresas.CUIT]],'clientes SQL'!C:D,2,0)</f>
        <v>#N/A</v>
      </c>
    </row>
    <row r="2091" spans="1:12" hidden="1" x14ac:dyDescent="0.3">
      <c r="A2091">
        <v>2619149</v>
      </c>
      <c r="B2091">
        <v>20251205</v>
      </c>
      <c r="C2091">
        <v>2298</v>
      </c>
      <c r="D2091">
        <v>3613.43</v>
      </c>
      <c r="E2091" s="123" t="s">
        <v>1563</v>
      </c>
      <c r="F2091" s="123" t="s">
        <v>950</v>
      </c>
      <c r="G2091" s="123"/>
      <c r="H2091" s="95">
        <v>45996</v>
      </c>
      <c r="I2091">
        <v>30387</v>
      </c>
      <c r="J2091" s="123" t="s">
        <v>1532</v>
      </c>
      <c r="K2091" s="123" t="s">
        <v>1291</v>
      </c>
      <c r="L2091" s="123" t="e">
        <f>VLOOKUP(Fact_AUM_FyoCapital[[#This Row],[Dim_Empresas.CUIT]],'clientes SQL'!C:D,2,0)</f>
        <v>#N/A</v>
      </c>
    </row>
    <row r="2092" spans="1:12" hidden="1" x14ac:dyDescent="0.3">
      <c r="A2092">
        <v>2610209</v>
      </c>
      <c r="B2092">
        <v>20251205</v>
      </c>
      <c r="C2092">
        <v>6313</v>
      </c>
      <c r="D2092">
        <v>8.983821879382889</v>
      </c>
      <c r="E2092" s="123" t="s">
        <v>1563</v>
      </c>
      <c r="F2092" s="123" t="s">
        <v>185</v>
      </c>
      <c r="G2092" s="123"/>
      <c r="H2092" s="95">
        <v>45996</v>
      </c>
      <c r="I2092">
        <v>34424</v>
      </c>
      <c r="J2092" s="123" t="s">
        <v>209</v>
      </c>
      <c r="K2092" s="123" t="s">
        <v>1334</v>
      </c>
      <c r="L2092" s="123" t="e">
        <f>VLOOKUP(Fact_AUM_FyoCapital[[#This Row],[Dim_Empresas.CUIT]],'clientes SQL'!C:D,2,0)</f>
        <v>#N/A</v>
      </c>
    </row>
    <row r="2093" spans="1:12" hidden="1" x14ac:dyDescent="0.3">
      <c r="A2093">
        <v>1839697</v>
      </c>
      <c r="B2093">
        <v>20251205</v>
      </c>
      <c r="C2093">
        <v>5868</v>
      </c>
      <c r="D2093">
        <v>33116.076437587661</v>
      </c>
      <c r="E2093" s="123" t="s">
        <v>1566</v>
      </c>
      <c r="F2093" s="123" t="s">
        <v>1573</v>
      </c>
      <c r="G2093" s="123"/>
      <c r="H2093" s="95">
        <v>45996</v>
      </c>
      <c r="I2093">
        <v>33580</v>
      </c>
      <c r="J2093" s="123" t="s">
        <v>348</v>
      </c>
      <c r="K2093" s="123" t="s">
        <v>1277</v>
      </c>
      <c r="L2093" s="123" t="e">
        <f>VLOOKUP(Fact_AUM_FyoCapital[[#This Row],[Dim_Empresas.CUIT]],'clientes SQL'!C:D,2,0)</f>
        <v>#N/A</v>
      </c>
    </row>
    <row r="2094" spans="1:12" hidden="1" x14ac:dyDescent="0.3">
      <c r="A2094">
        <v>1861057</v>
      </c>
      <c r="B2094">
        <v>20251205</v>
      </c>
      <c r="C2094">
        <v>682</v>
      </c>
      <c r="D2094">
        <v>0</v>
      </c>
      <c r="E2094" s="123"/>
      <c r="F2094" s="123"/>
      <c r="G2094" s="123"/>
      <c r="H2094" s="95">
        <v>45996</v>
      </c>
      <c r="I2094">
        <v>9775</v>
      </c>
      <c r="J2094" s="123" t="s">
        <v>287</v>
      </c>
      <c r="K2094" s="123" t="s">
        <v>1320</v>
      </c>
      <c r="L2094" s="123" t="e">
        <f>VLOOKUP(Fact_AUM_FyoCapital[[#This Row],[Dim_Empresas.CUIT]],'clientes SQL'!C:D,2,0)</f>
        <v>#N/A</v>
      </c>
    </row>
    <row r="2095" spans="1:12" hidden="1" x14ac:dyDescent="0.3">
      <c r="A2095">
        <v>2607749</v>
      </c>
      <c r="B2095">
        <v>20251205</v>
      </c>
      <c r="C2095">
        <v>12993</v>
      </c>
      <c r="D2095">
        <v>0</v>
      </c>
      <c r="E2095" s="123"/>
      <c r="F2095" s="123"/>
      <c r="G2095" s="123"/>
      <c r="H2095" s="95">
        <v>45996</v>
      </c>
      <c r="I2095">
        <v>36201</v>
      </c>
      <c r="J2095" s="123" t="s">
        <v>617</v>
      </c>
      <c r="K2095" s="123" t="s">
        <v>1515</v>
      </c>
      <c r="L2095" s="123" t="e">
        <f>VLOOKUP(Fact_AUM_FyoCapital[[#This Row],[Dim_Empresas.CUIT]],'clientes SQL'!C:D,2,0)</f>
        <v>#N/A</v>
      </c>
    </row>
    <row r="2096" spans="1:12" hidden="1" x14ac:dyDescent="0.3">
      <c r="A2096">
        <v>1850077</v>
      </c>
      <c r="B2096">
        <v>20251205</v>
      </c>
      <c r="C2096">
        <v>2298</v>
      </c>
      <c r="D2096">
        <v>351954.93408134644</v>
      </c>
      <c r="E2096" s="123" t="s">
        <v>1566</v>
      </c>
      <c r="F2096" s="123" t="s">
        <v>1571</v>
      </c>
      <c r="G2096" s="123"/>
      <c r="H2096" s="95">
        <v>45996</v>
      </c>
      <c r="I2096">
        <v>30387</v>
      </c>
      <c r="J2096" s="123" t="s">
        <v>1532</v>
      </c>
      <c r="K2096" s="123" t="s">
        <v>1291</v>
      </c>
      <c r="L2096" s="123" t="e">
        <f>VLOOKUP(Fact_AUM_FyoCapital[[#This Row],[Dim_Empresas.CUIT]],'clientes SQL'!C:D,2,0)</f>
        <v>#N/A</v>
      </c>
    </row>
    <row r="2097" spans="1:12" hidden="1" x14ac:dyDescent="0.3">
      <c r="A2097">
        <v>2629649</v>
      </c>
      <c r="B2097">
        <v>20251205</v>
      </c>
      <c r="C2097">
        <v>16273</v>
      </c>
      <c r="D2097">
        <v>347.47068723702665</v>
      </c>
      <c r="E2097" s="123" t="s">
        <v>1563</v>
      </c>
      <c r="F2097" s="123" t="s">
        <v>185</v>
      </c>
      <c r="G2097" s="123"/>
      <c r="H2097" s="95">
        <v>45996</v>
      </c>
      <c r="I2097">
        <v>37760</v>
      </c>
      <c r="J2097" s="123" t="s">
        <v>1349</v>
      </c>
      <c r="K2097" s="123" t="s">
        <v>1350</v>
      </c>
      <c r="L2097" s="123" t="e">
        <f>VLOOKUP(Fact_AUM_FyoCapital[[#This Row],[Dim_Empresas.CUIT]],'clientes SQL'!C:D,2,0)</f>
        <v>#N/A</v>
      </c>
    </row>
    <row r="2098" spans="1:12" hidden="1" x14ac:dyDescent="0.3">
      <c r="A2098">
        <v>1839997</v>
      </c>
      <c r="B2098">
        <v>20251205</v>
      </c>
      <c r="C2098">
        <v>2390</v>
      </c>
      <c r="D2098">
        <v>7012.8384712482466</v>
      </c>
      <c r="E2098" s="123" t="s">
        <v>1568</v>
      </c>
      <c r="F2098" s="123" t="s">
        <v>1572</v>
      </c>
      <c r="G2098" s="123" t="s">
        <v>1570</v>
      </c>
      <c r="H2098" s="95">
        <v>45996</v>
      </c>
      <c r="I2098">
        <v>30567</v>
      </c>
      <c r="J2098" s="123" t="s">
        <v>363</v>
      </c>
      <c r="K2098" s="123" t="s">
        <v>1434</v>
      </c>
      <c r="L2098" s="123" t="e">
        <f>VLOOKUP(Fact_AUM_FyoCapital[[#This Row],[Dim_Empresas.CUIT]],'clientes SQL'!C:D,2,0)</f>
        <v>#N/A</v>
      </c>
    </row>
    <row r="2099" spans="1:12" hidden="1" x14ac:dyDescent="0.3">
      <c r="A2099">
        <v>1853137</v>
      </c>
      <c r="B2099">
        <v>20251205</v>
      </c>
      <c r="C2099">
        <v>3661</v>
      </c>
      <c r="D2099">
        <v>82605.591661991581</v>
      </c>
      <c r="E2099" s="123" t="s">
        <v>1568</v>
      </c>
      <c r="F2099" s="123" t="s">
        <v>1572</v>
      </c>
      <c r="G2099" s="123" t="s">
        <v>1570</v>
      </c>
      <c r="H2099" s="95">
        <v>45996</v>
      </c>
      <c r="I2099">
        <v>32155</v>
      </c>
      <c r="J2099" s="123" t="s">
        <v>1313</v>
      </c>
      <c r="K2099" s="123" t="s">
        <v>1314</v>
      </c>
      <c r="L2099" s="123" t="e">
        <f>VLOOKUP(Fact_AUM_FyoCapital[[#This Row],[Dim_Empresas.CUIT]],'clientes SQL'!C:D,2,0)</f>
        <v>#N/A</v>
      </c>
    </row>
    <row r="2100" spans="1:12" hidden="1" x14ac:dyDescent="0.3">
      <c r="A2100">
        <v>1860817</v>
      </c>
      <c r="B2100">
        <v>20251205</v>
      </c>
      <c r="C2100">
        <v>997</v>
      </c>
      <c r="D2100">
        <v>10287.930525946704</v>
      </c>
      <c r="E2100" s="123" t="s">
        <v>1568</v>
      </c>
      <c r="F2100" s="123" t="s">
        <v>1572</v>
      </c>
      <c r="G2100" s="123" t="s">
        <v>1570</v>
      </c>
      <c r="H2100" s="95">
        <v>45996</v>
      </c>
      <c r="I2100">
        <v>17024</v>
      </c>
      <c r="J2100" s="123" t="s">
        <v>1425</v>
      </c>
      <c r="K2100" s="123" t="s">
        <v>1426</v>
      </c>
      <c r="L2100" s="123" t="e">
        <f>VLOOKUP(Fact_AUM_FyoCapital[[#This Row],[Dim_Empresas.CUIT]],'clientes SQL'!C:D,2,0)</f>
        <v>#N/A</v>
      </c>
    </row>
    <row r="2101" spans="1:12" hidden="1" x14ac:dyDescent="0.3">
      <c r="A2101">
        <v>1824997</v>
      </c>
      <c r="B2101">
        <v>20251205</v>
      </c>
      <c r="C2101">
        <v>920</v>
      </c>
      <c r="D2101">
        <v>33031.120000000003</v>
      </c>
      <c r="E2101" s="123" t="s">
        <v>1566</v>
      </c>
      <c r="F2101" s="123" t="s">
        <v>1571</v>
      </c>
      <c r="G2101" s="123"/>
      <c r="H2101" s="95">
        <v>45996</v>
      </c>
      <c r="I2101">
        <v>18292</v>
      </c>
      <c r="J2101" s="123" t="s">
        <v>243</v>
      </c>
      <c r="K2101" s="123" t="s">
        <v>1315</v>
      </c>
      <c r="L2101" s="123" t="e">
        <f>VLOOKUP(Fact_AUM_FyoCapital[[#This Row],[Dim_Empresas.CUIT]],'clientes SQL'!C:D,2,0)</f>
        <v>#N/A</v>
      </c>
    </row>
    <row r="2102" spans="1:12" hidden="1" x14ac:dyDescent="0.3">
      <c r="A2102">
        <v>1850257</v>
      </c>
      <c r="B2102">
        <v>20251205</v>
      </c>
      <c r="C2102">
        <v>2298</v>
      </c>
      <c r="D2102">
        <v>854.83494389901819</v>
      </c>
      <c r="E2102" s="123" t="s">
        <v>1568</v>
      </c>
      <c r="F2102" s="123" t="s">
        <v>1572</v>
      </c>
      <c r="G2102" s="123" t="s">
        <v>1570</v>
      </c>
      <c r="H2102" s="95">
        <v>45996</v>
      </c>
      <c r="I2102">
        <v>30387</v>
      </c>
      <c r="J2102" s="123" t="s">
        <v>1532</v>
      </c>
      <c r="K2102" s="123" t="s">
        <v>1291</v>
      </c>
      <c r="L2102" s="123" t="e">
        <f>VLOOKUP(Fact_AUM_FyoCapital[[#This Row],[Dim_Empresas.CUIT]],'clientes SQL'!C:D,2,0)</f>
        <v>#N/A</v>
      </c>
    </row>
    <row r="2103" spans="1:12" hidden="1" x14ac:dyDescent="0.3">
      <c r="A2103">
        <v>1838977</v>
      </c>
      <c r="B2103">
        <v>20251205</v>
      </c>
      <c r="C2103">
        <v>5868</v>
      </c>
      <c r="D2103">
        <v>11568.56</v>
      </c>
      <c r="E2103" s="123" t="s">
        <v>1566</v>
      </c>
      <c r="F2103" s="123" t="s">
        <v>1571</v>
      </c>
      <c r="G2103" s="123"/>
      <c r="H2103" s="95">
        <v>45996</v>
      </c>
      <c r="I2103">
        <v>33580</v>
      </c>
      <c r="J2103" s="123" t="s">
        <v>348</v>
      </c>
      <c r="K2103" s="123" t="s">
        <v>1277</v>
      </c>
      <c r="L2103" s="123" t="e">
        <f>VLOOKUP(Fact_AUM_FyoCapital[[#This Row],[Dim_Empresas.CUIT]],'clientes SQL'!C:D,2,0)</f>
        <v>#N/A</v>
      </c>
    </row>
    <row r="2104" spans="1:12" hidden="1" x14ac:dyDescent="0.3">
      <c r="A2104">
        <v>2600849</v>
      </c>
      <c r="B2104">
        <v>20251205</v>
      </c>
      <c r="C2104">
        <v>15122</v>
      </c>
      <c r="D2104">
        <v>6273.96</v>
      </c>
      <c r="E2104" s="123" t="s">
        <v>1566</v>
      </c>
      <c r="F2104" s="123" t="s">
        <v>1571</v>
      </c>
      <c r="G2104" s="123"/>
      <c r="H2104" s="95">
        <v>45996</v>
      </c>
      <c r="I2104">
        <v>37263</v>
      </c>
      <c r="J2104" s="123" t="s">
        <v>1342</v>
      </c>
      <c r="K2104" s="123" t="s">
        <v>1343</v>
      </c>
      <c r="L2104" s="123" t="e">
        <f>VLOOKUP(Fact_AUM_FyoCapital[[#This Row],[Dim_Empresas.CUIT]],'clientes SQL'!C:D,2,0)</f>
        <v>#N/A</v>
      </c>
    </row>
    <row r="2105" spans="1:12" hidden="1" x14ac:dyDescent="0.3">
      <c r="A2105">
        <v>1890217</v>
      </c>
      <c r="B2105">
        <v>20251205</v>
      </c>
      <c r="C2105">
        <v>1065</v>
      </c>
      <c r="D2105">
        <v>17123.478260869564</v>
      </c>
      <c r="E2105" s="123" t="s">
        <v>1566</v>
      </c>
      <c r="F2105" s="123" t="s">
        <v>1573</v>
      </c>
      <c r="G2105" s="123"/>
      <c r="H2105" s="95">
        <v>45996</v>
      </c>
      <c r="I2105">
        <v>18751</v>
      </c>
      <c r="J2105" s="123" t="s">
        <v>370</v>
      </c>
      <c r="K2105" s="123" t="s">
        <v>1321</v>
      </c>
      <c r="L2105" s="123" t="e">
        <f>VLOOKUP(Fact_AUM_FyoCapital[[#This Row],[Dim_Empresas.CUIT]],'clientes SQL'!C:D,2,0)</f>
        <v>#N/A</v>
      </c>
    </row>
    <row r="2106" spans="1:12" hidden="1" x14ac:dyDescent="0.3">
      <c r="A2106">
        <v>1870177</v>
      </c>
      <c r="B2106">
        <v>20251205</v>
      </c>
      <c r="C2106">
        <v>13361</v>
      </c>
      <c r="D2106">
        <v>4168.2779663394113</v>
      </c>
      <c r="E2106" s="123" t="s">
        <v>1566</v>
      </c>
      <c r="F2106" s="123" t="s">
        <v>1571</v>
      </c>
      <c r="G2106" s="123"/>
      <c r="H2106" s="95">
        <v>45996</v>
      </c>
      <c r="I2106">
        <v>36541</v>
      </c>
      <c r="J2106" s="123" t="s">
        <v>454</v>
      </c>
      <c r="K2106" s="123" t="s">
        <v>1322</v>
      </c>
      <c r="L2106" s="123" t="e">
        <f>VLOOKUP(Fact_AUM_FyoCapital[[#This Row],[Dim_Empresas.CUIT]],'clientes SQL'!C:D,2,0)</f>
        <v>#N/A</v>
      </c>
    </row>
    <row r="2107" spans="1:12" hidden="1" x14ac:dyDescent="0.3">
      <c r="A2107">
        <v>2612069</v>
      </c>
      <c r="B2107">
        <v>20251205</v>
      </c>
      <c r="C2107">
        <v>6247</v>
      </c>
      <c r="D2107">
        <v>2860</v>
      </c>
      <c r="E2107" s="123" t="s">
        <v>1563</v>
      </c>
      <c r="F2107" s="123" t="s">
        <v>801</v>
      </c>
      <c r="G2107" s="123"/>
      <c r="H2107" s="95">
        <v>45996</v>
      </c>
      <c r="I2107">
        <v>34358</v>
      </c>
      <c r="J2107" s="123" t="s">
        <v>1373</v>
      </c>
      <c r="K2107" s="123" t="s">
        <v>1374</v>
      </c>
      <c r="L2107" s="123" t="e">
        <f>VLOOKUP(Fact_AUM_FyoCapital[[#This Row],[Dim_Empresas.CUIT]],'clientes SQL'!C:D,2,0)</f>
        <v>#N/A</v>
      </c>
    </row>
    <row r="2108" spans="1:12" hidden="1" x14ac:dyDescent="0.3">
      <c r="A2108">
        <v>2630189</v>
      </c>
      <c r="B2108">
        <v>20251205</v>
      </c>
      <c r="C2108">
        <v>2109</v>
      </c>
      <c r="D2108">
        <v>82359.649999999994</v>
      </c>
      <c r="E2108" s="123" t="s">
        <v>1563</v>
      </c>
      <c r="F2108" s="123" t="s">
        <v>950</v>
      </c>
      <c r="G2108" s="123"/>
      <c r="H2108" s="95">
        <v>45996</v>
      </c>
      <c r="I2108">
        <v>20716</v>
      </c>
      <c r="J2108" s="123" t="s">
        <v>323</v>
      </c>
      <c r="K2108" s="123" t="s">
        <v>1388</v>
      </c>
      <c r="L2108" s="123" t="e">
        <f>VLOOKUP(Fact_AUM_FyoCapital[[#This Row],[Dim_Empresas.CUIT]],'clientes SQL'!C:D,2,0)</f>
        <v>#N/A</v>
      </c>
    </row>
    <row r="2109" spans="1:12" hidden="1" x14ac:dyDescent="0.3">
      <c r="A2109">
        <v>1825357</v>
      </c>
      <c r="B2109">
        <v>20251205</v>
      </c>
      <c r="C2109">
        <v>920</v>
      </c>
      <c r="D2109">
        <v>32538.260869565216</v>
      </c>
      <c r="E2109" s="123" t="s">
        <v>1566</v>
      </c>
      <c r="F2109" s="123" t="s">
        <v>1573</v>
      </c>
      <c r="G2109" s="123"/>
      <c r="H2109" s="95">
        <v>45996</v>
      </c>
      <c r="I2109">
        <v>18292</v>
      </c>
      <c r="J2109" s="123" t="s">
        <v>243</v>
      </c>
      <c r="K2109" s="123" t="s">
        <v>1315</v>
      </c>
      <c r="L2109" s="123" t="e">
        <f>VLOOKUP(Fact_AUM_FyoCapital[[#This Row],[Dim_Empresas.CUIT]],'clientes SQL'!C:D,2,0)</f>
        <v>#N/A</v>
      </c>
    </row>
    <row r="2110" spans="1:12" hidden="1" x14ac:dyDescent="0.3">
      <c r="A2110">
        <v>2622089</v>
      </c>
      <c r="B2110">
        <v>20251205</v>
      </c>
      <c r="C2110">
        <v>5747</v>
      </c>
      <c r="D2110">
        <v>-3.085553997194951E-4</v>
      </c>
      <c r="E2110" s="123" t="s">
        <v>1563</v>
      </c>
      <c r="F2110" s="123" t="s">
        <v>185</v>
      </c>
      <c r="G2110" s="123"/>
      <c r="H2110" s="95">
        <v>45996</v>
      </c>
      <c r="I2110">
        <v>33986</v>
      </c>
      <c r="J2110" s="123" t="s">
        <v>1417</v>
      </c>
      <c r="K2110" s="123" t="s">
        <v>1418</v>
      </c>
      <c r="L2110" s="123" t="e">
        <f>VLOOKUP(Fact_AUM_FyoCapital[[#This Row],[Dim_Empresas.CUIT]],'clientes SQL'!C:D,2,0)</f>
        <v>#N/A</v>
      </c>
    </row>
    <row r="2111" spans="1:12" hidden="1" x14ac:dyDescent="0.3">
      <c r="A2111">
        <v>1871377</v>
      </c>
      <c r="B2111">
        <v>20251205</v>
      </c>
      <c r="C2111">
        <v>13719</v>
      </c>
      <c r="D2111">
        <v>0</v>
      </c>
      <c r="E2111" s="123"/>
      <c r="F2111" s="123"/>
      <c r="G2111" s="123"/>
      <c r="H2111" s="95">
        <v>45996</v>
      </c>
      <c r="I2111">
        <v>36879</v>
      </c>
      <c r="J2111" s="123" t="s">
        <v>1340</v>
      </c>
      <c r="K2111" s="123" t="s">
        <v>1341</v>
      </c>
      <c r="L2111" s="123" t="e">
        <f>VLOOKUP(Fact_AUM_FyoCapital[[#This Row],[Dim_Empresas.CUIT]],'clientes SQL'!C:D,2,0)</f>
        <v>#N/A</v>
      </c>
    </row>
    <row r="2112" spans="1:12" hidden="1" x14ac:dyDescent="0.3">
      <c r="A2112">
        <v>1870957</v>
      </c>
      <c r="B2112">
        <v>20251205</v>
      </c>
      <c r="C2112">
        <v>13361</v>
      </c>
      <c r="D2112">
        <v>3576.4375876577842</v>
      </c>
      <c r="E2112" s="123" t="s">
        <v>1568</v>
      </c>
      <c r="F2112" s="123" t="s">
        <v>1572</v>
      </c>
      <c r="G2112" s="123" t="s">
        <v>1574</v>
      </c>
      <c r="H2112" s="95">
        <v>45996</v>
      </c>
      <c r="I2112">
        <v>36541</v>
      </c>
      <c r="J2112" s="123" t="s">
        <v>454</v>
      </c>
      <c r="K2112" s="123" t="s">
        <v>1322</v>
      </c>
      <c r="L2112" s="123" t="e">
        <f>VLOOKUP(Fact_AUM_FyoCapital[[#This Row],[Dim_Empresas.CUIT]],'clientes SQL'!C:D,2,0)</f>
        <v>#N/A</v>
      </c>
    </row>
    <row r="2113" spans="1:12" hidden="1" x14ac:dyDescent="0.3">
      <c r="A2113">
        <v>2623889</v>
      </c>
      <c r="B2113">
        <v>20251205</v>
      </c>
      <c r="C2113">
        <v>1191</v>
      </c>
      <c r="D2113">
        <v>200.33</v>
      </c>
      <c r="E2113" s="123" t="s">
        <v>1563</v>
      </c>
      <c r="F2113" s="123" t="s">
        <v>950</v>
      </c>
      <c r="G2113" s="123"/>
      <c r="H2113" s="95">
        <v>45996</v>
      </c>
      <c r="I2113">
        <v>18954</v>
      </c>
      <c r="J2113" s="123" t="s">
        <v>1247</v>
      </c>
      <c r="K2113" s="123" t="s">
        <v>1248</v>
      </c>
      <c r="L2113" s="123" t="e">
        <f>VLOOKUP(Fact_AUM_FyoCapital[[#This Row],[Dim_Empresas.CUIT]],'clientes SQL'!C:D,2,0)</f>
        <v>#N/A</v>
      </c>
    </row>
    <row r="2114" spans="1:12" hidden="1" x14ac:dyDescent="0.3">
      <c r="A2114">
        <v>1834177</v>
      </c>
      <c r="B2114">
        <v>20251205</v>
      </c>
      <c r="C2114">
        <v>6247</v>
      </c>
      <c r="D2114">
        <v>499730.61</v>
      </c>
      <c r="E2114" s="123" t="s">
        <v>1566</v>
      </c>
      <c r="F2114" s="123" t="s">
        <v>1579</v>
      </c>
      <c r="G2114" s="123"/>
      <c r="H2114" s="95">
        <v>45996</v>
      </c>
      <c r="I2114">
        <v>34358</v>
      </c>
      <c r="J2114" s="123" t="s">
        <v>1373</v>
      </c>
      <c r="K2114" s="123" t="s">
        <v>1374</v>
      </c>
      <c r="L2114" s="123" t="e">
        <f>VLOOKUP(Fact_AUM_FyoCapital[[#This Row],[Dim_Empresas.CUIT]],'clientes SQL'!C:D,2,0)</f>
        <v>#N/A</v>
      </c>
    </row>
    <row r="2115" spans="1:12" hidden="1" x14ac:dyDescent="0.3">
      <c r="A2115">
        <v>1840837</v>
      </c>
      <c r="B2115">
        <v>20251205</v>
      </c>
      <c r="C2115">
        <v>5251</v>
      </c>
      <c r="D2115">
        <v>0</v>
      </c>
      <c r="E2115" s="123"/>
      <c r="F2115" s="123"/>
      <c r="G2115" s="123"/>
      <c r="H2115" s="95">
        <v>45996</v>
      </c>
      <c r="I2115">
        <v>33173</v>
      </c>
      <c r="J2115" s="123" t="s">
        <v>341</v>
      </c>
      <c r="K2115" s="123" t="s">
        <v>1318</v>
      </c>
      <c r="L2115" s="123" t="e">
        <f>VLOOKUP(Fact_AUM_FyoCapital[[#This Row],[Dim_Empresas.CUIT]],'clientes SQL'!C:D,2,0)</f>
        <v>#N/A</v>
      </c>
    </row>
    <row r="2116" spans="1:12" hidden="1" x14ac:dyDescent="0.3">
      <c r="A2116">
        <v>2623409</v>
      </c>
      <c r="B2116">
        <v>20251205</v>
      </c>
      <c r="C2116">
        <v>12527</v>
      </c>
      <c r="D2116">
        <v>-5.3989340813464235</v>
      </c>
      <c r="E2116" s="123" t="s">
        <v>1563</v>
      </c>
      <c r="F2116" s="123" t="s">
        <v>185</v>
      </c>
      <c r="G2116" s="123"/>
      <c r="H2116" s="95">
        <v>45996</v>
      </c>
      <c r="I2116">
        <v>35790</v>
      </c>
      <c r="J2116" s="123" t="s">
        <v>376</v>
      </c>
      <c r="K2116" s="123" t="s">
        <v>1407</v>
      </c>
      <c r="L2116" s="123" t="e">
        <f>VLOOKUP(Fact_AUM_FyoCapital[[#This Row],[Dim_Empresas.CUIT]],'clientes SQL'!C:D,2,0)</f>
        <v>#N/A</v>
      </c>
    </row>
    <row r="2117" spans="1:12" hidden="1" x14ac:dyDescent="0.3">
      <c r="A2117">
        <v>1870837</v>
      </c>
      <c r="B2117">
        <v>20251205</v>
      </c>
      <c r="C2117">
        <v>13361</v>
      </c>
      <c r="D2117">
        <v>13465.494284712484</v>
      </c>
      <c r="E2117" s="123" t="s">
        <v>1568</v>
      </c>
      <c r="F2117" s="123" t="s">
        <v>1572</v>
      </c>
      <c r="G2117" s="123" t="s">
        <v>1570</v>
      </c>
      <c r="H2117" s="95">
        <v>45996</v>
      </c>
      <c r="I2117">
        <v>36541</v>
      </c>
      <c r="J2117" s="123" t="s">
        <v>454</v>
      </c>
      <c r="K2117" s="123" t="s">
        <v>1322</v>
      </c>
      <c r="L2117" s="123" t="e">
        <f>VLOOKUP(Fact_AUM_FyoCapital[[#This Row],[Dim_Empresas.CUIT]],'clientes SQL'!C:D,2,0)</f>
        <v>#N/A</v>
      </c>
    </row>
    <row r="2118" spans="1:12" hidden="1" x14ac:dyDescent="0.3">
      <c r="A2118">
        <v>2640989</v>
      </c>
      <c r="B2118">
        <v>20251205</v>
      </c>
      <c r="C2118">
        <v>91</v>
      </c>
      <c r="D2118">
        <v>-653.0131907433381</v>
      </c>
      <c r="E2118" s="123" t="s">
        <v>1563</v>
      </c>
      <c r="F2118" s="123" t="s">
        <v>185</v>
      </c>
      <c r="G2118" s="123"/>
      <c r="H2118" s="95">
        <v>45996</v>
      </c>
      <c r="I2118">
        <v>6122</v>
      </c>
      <c r="J2118" s="123" t="s">
        <v>1300</v>
      </c>
      <c r="K2118" s="123" t="s">
        <v>1301</v>
      </c>
      <c r="L2118" s="123" t="e">
        <f>VLOOKUP(Fact_AUM_FyoCapital[[#This Row],[Dim_Empresas.CUIT]],'clientes SQL'!C:D,2,0)</f>
        <v>#N/A</v>
      </c>
    </row>
    <row r="2119" spans="1:12" hidden="1" x14ac:dyDescent="0.3">
      <c r="A2119">
        <v>1880797</v>
      </c>
      <c r="B2119">
        <v>20251205</v>
      </c>
      <c r="C2119">
        <v>1546</v>
      </c>
      <c r="D2119">
        <v>0</v>
      </c>
      <c r="E2119" s="123"/>
      <c r="F2119" s="123"/>
      <c r="G2119" s="123"/>
      <c r="H2119" s="95">
        <v>45996</v>
      </c>
      <c r="I2119">
        <v>18554</v>
      </c>
      <c r="J2119" s="123" t="s">
        <v>550</v>
      </c>
      <c r="K2119" s="123" t="s">
        <v>1394</v>
      </c>
      <c r="L2119" s="123" t="e">
        <f>VLOOKUP(Fact_AUM_FyoCapital[[#This Row],[Dim_Empresas.CUIT]],'clientes SQL'!C:D,2,0)</f>
        <v>#N/A</v>
      </c>
    </row>
    <row r="2120" spans="1:12" hidden="1" x14ac:dyDescent="0.3">
      <c r="A2120">
        <v>1841377</v>
      </c>
      <c r="B2120">
        <v>20251205</v>
      </c>
      <c r="C2120">
        <v>5251</v>
      </c>
      <c r="D2120">
        <v>242914.28</v>
      </c>
      <c r="E2120" s="123" t="s">
        <v>1566</v>
      </c>
      <c r="F2120" s="123" t="s">
        <v>1579</v>
      </c>
      <c r="G2120" s="123"/>
      <c r="H2120" s="95">
        <v>45996</v>
      </c>
      <c r="I2120">
        <v>33173</v>
      </c>
      <c r="J2120" s="123" t="s">
        <v>341</v>
      </c>
      <c r="K2120" s="123" t="s">
        <v>1318</v>
      </c>
      <c r="L2120" s="123" t="e">
        <f>VLOOKUP(Fact_AUM_FyoCapital[[#This Row],[Dim_Empresas.CUIT]],'clientes SQL'!C:D,2,0)</f>
        <v>#N/A</v>
      </c>
    </row>
    <row r="2121" spans="1:12" hidden="1" x14ac:dyDescent="0.3">
      <c r="A2121">
        <v>1881037</v>
      </c>
      <c r="B2121">
        <v>20251205</v>
      </c>
      <c r="C2121">
        <v>1546</v>
      </c>
      <c r="D2121">
        <v>0</v>
      </c>
      <c r="E2121" s="123"/>
      <c r="F2121" s="123"/>
      <c r="G2121" s="123"/>
      <c r="H2121" s="95">
        <v>45996</v>
      </c>
      <c r="I2121">
        <v>18554</v>
      </c>
      <c r="J2121" s="123" t="s">
        <v>550</v>
      </c>
      <c r="K2121" s="123" t="s">
        <v>1394</v>
      </c>
      <c r="L2121" s="123" t="e">
        <f>VLOOKUP(Fact_AUM_FyoCapital[[#This Row],[Dim_Empresas.CUIT]],'clientes SQL'!C:D,2,0)</f>
        <v>#N/A</v>
      </c>
    </row>
    <row r="2122" spans="1:12" hidden="1" x14ac:dyDescent="0.3">
      <c r="A2122">
        <v>1870297</v>
      </c>
      <c r="B2122">
        <v>20251205</v>
      </c>
      <c r="C2122">
        <v>13361</v>
      </c>
      <c r="D2122">
        <v>2040.82</v>
      </c>
      <c r="E2122" s="123" t="s">
        <v>1566</v>
      </c>
      <c r="F2122" s="123" t="s">
        <v>1579</v>
      </c>
      <c r="G2122" s="123"/>
      <c r="H2122" s="95">
        <v>45996</v>
      </c>
      <c r="I2122">
        <v>36541</v>
      </c>
      <c r="J2122" s="123" t="s">
        <v>454</v>
      </c>
      <c r="K2122" s="123" t="s">
        <v>1322</v>
      </c>
      <c r="L2122" s="123" t="e">
        <f>VLOOKUP(Fact_AUM_FyoCapital[[#This Row],[Dim_Empresas.CUIT]],'clientes SQL'!C:D,2,0)</f>
        <v>#N/A</v>
      </c>
    </row>
    <row r="2123" spans="1:12" hidden="1" x14ac:dyDescent="0.3">
      <c r="A2123">
        <v>1888237</v>
      </c>
      <c r="B2123">
        <v>20251205</v>
      </c>
      <c r="C2123">
        <v>1605</v>
      </c>
      <c r="D2123">
        <v>17046.669943899018</v>
      </c>
      <c r="E2123" s="123" t="s">
        <v>1568</v>
      </c>
      <c r="F2123" s="123" t="s">
        <v>1572</v>
      </c>
      <c r="G2123" s="123" t="s">
        <v>1570</v>
      </c>
      <c r="H2123" s="95">
        <v>45996</v>
      </c>
      <c r="I2123">
        <v>20317</v>
      </c>
      <c r="J2123" s="123" t="s">
        <v>721</v>
      </c>
      <c r="K2123" s="123" t="s">
        <v>1430</v>
      </c>
      <c r="L2123" s="123" t="e">
        <f>VLOOKUP(Fact_AUM_FyoCapital[[#This Row],[Dim_Empresas.CUIT]],'clientes SQL'!C:D,2,0)</f>
        <v>#N/A</v>
      </c>
    </row>
    <row r="2124" spans="1:12" hidden="1" x14ac:dyDescent="0.3">
      <c r="A2124">
        <v>1833937</v>
      </c>
      <c r="B2124">
        <v>20251205</v>
      </c>
      <c r="C2124">
        <v>6247</v>
      </c>
      <c r="D2124">
        <v>0</v>
      </c>
      <c r="E2124" s="123"/>
      <c r="F2124" s="123"/>
      <c r="G2124" s="123"/>
      <c r="H2124" s="95">
        <v>45996</v>
      </c>
      <c r="I2124">
        <v>34358</v>
      </c>
      <c r="J2124" s="123" t="s">
        <v>1373</v>
      </c>
      <c r="K2124" s="123" t="s">
        <v>1374</v>
      </c>
      <c r="L2124" s="123" t="e">
        <f>VLOOKUP(Fact_AUM_FyoCapital[[#This Row],[Dim_Empresas.CUIT]],'clientes SQL'!C:D,2,0)</f>
        <v>#N/A</v>
      </c>
    </row>
    <row r="2125" spans="1:12" hidden="1" x14ac:dyDescent="0.3">
      <c r="A2125">
        <v>1850617</v>
      </c>
      <c r="B2125">
        <v>20251205</v>
      </c>
      <c r="C2125">
        <v>851</v>
      </c>
      <c r="D2125">
        <v>226.01429172510518</v>
      </c>
      <c r="E2125" s="123" t="s">
        <v>1568</v>
      </c>
      <c r="F2125" s="123" t="s">
        <v>1572</v>
      </c>
      <c r="G2125" s="123" t="s">
        <v>1583</v>
      </c>
      <c r="H2125" s="95">
        <v>45996</v>
      </c>
      <c r="I2125">
        <v>17729</v>
      </c>
      <c r="J2125" s="123" t="s">
        <v>241</v>
      </c>
      <c r="K2125" s="123" t="s">
        <v>1422</v>
      </c>
      <c r="L2125" s="123" t="e">
        <f>VLOOKUP(Fact_AUM_FyoCapital[[#This Row],[Dim_Empresas.CUIT]],'clientes SQL'!C:D,2,0)</f>
        <v>#N/A</v>
      </c>
    </row>
    <row r="2126" spans="1:12" hidden="1" x14ac:dyDescent="0.3">
      <c r="A2126">
        <v>2609429</v>
      </c>
      <c r="B2126">
        <v>20251205</v>
      </c>
      <c r="C2126">
        <v>5874</v>
      </c>
      <c r="D2126">
        <v>-7.0126227208976159E-6</v>
      </c>
      <c r="E2126" s="123" t="s">
        <v>1563</v>
      </c>
      <c r="F2126" s="123" t="s">
        <v>185</v>
      </c>
      <c r="G2126" s="123"/>
      <c r="H2126" s="95">
        <v>45996</v>
      </c>
      <c r="I2126">
        <v>33645</v>
      </c>
      <c r="J2126" s="123" t="s">
        <v>1414</v>
      </c>
      <c r="K2126" s="123" t="s">
        <v>1415</v>
      </c>
      <c r="L2126" s="123" t="e">
        <f>VLOOKUP(Fact_AUM_FyoCapital[[#This Row],[Dim_Empresas.CUIT]],'clientes SQL'!C:D,2,0)</f>
        <v>#N/A</v>
      </c>
    </row>
    <row r="2127" spans="1:12" hidden="1" x14ac:dyDescent="0.3">
      <c r="A2127">
        <v>1502644</v>
      </c>
      <c r="B2127">
        <v>20251205</v>
      </c>
      <c r="C2127">
        <v>2109</v>
      </c>
      <c r="D2127">
        <v>54680.162903225806</v>
      </c>
      <c r="E2127" s="123" t="s">
        <v>1564</v>
      </c>
      <c r="F2127" s="123" t="s">
        <v>1581</v>
      </c>
      <c r="G2127" s="123"/>
      <c r="H2127" s="95">
        <v>45996</v>
      </c>
      <c r="I2127">
        <v>20716</v>
      </c>
      <c r="J2127" s="123" t="s">
        <v>323</v>
      </c>
      <c r="K2127" s="123" t="s">
        <v>1388</v>
      </c>
      <c r="L2127" s="123" t="e">
        <f>VLOOKUP(Fact_AUM_FyoCapital[[#This Row],[Dim_Empresas.CUIT]],'clientes SQL'!C:D,2,0)</f>
        <v>#N/A</v>
      </c>
    </row>
    <row r="2128" spans="1:12" hidden="1" x14ac:dyDescent="0.3">
      <c r="A2128">
        <v>1833877</v>
      </c>
      <c r="B2128">
        <v>20251205</v>
      </c>
      <c r="C2128">
        <v>6247</v>
      </c>
      <c r="D2128">
        <v>46730.26</v>
      </c>
      <c r="E2128" s="123" t="s">
        <v>1566</v>
      </c>
      <c r="F2128" s="123" t="s">
        <v>1578</v>
      </c>
      <c r="G2128" s="123"/>
      <c r="H2128" s="95">
        <v>45996</v>
      </c>
      <c r="I2128">
        <v>34358</v>
      </c>
      <c r="J2128" s="123" t="s">
        <v>1373</v>
      </c>
      <c r="K2128" s="123" t="s">
        <v>1374</v>
      </c>
      <c r="L2128" s="123" t="e">
        <f>VLOOKUP(Fact_AUM_FyoCapital[[#This Row],[Dim_Empresas.CUIT]],'clientes SQL'!C:D,2,0)</f>
        <v>#N/A</v>
      </c>
    </row>
    <row r="2129" spans="1:12" hidden="1" x14ac:dyDescent="0.3">
      <c r="A2129">
        <v>1853797</v>
      </c>
      <c r="B2129">
        <v>20251205</v>
      </c>
      <c r="C2129">
        <v>8016</v>
      </c>
      <c r="D2129">
        <v>807.25431276297331</v>
      </c>
      <c r="E2129" s="123" t="s">
        <v>1568</v>
      </c>
      <c r="F2129" s="123" t="s">
        <v>1572</v>
      </c>
      <c r="G2129" s="123" t="s">
        <v>1570</v>
      </c>
      <c r="H2129" s="95">
        <v>45996</v>
      </c>
      <c r="I2129">
        <v>35240</v>
      </c>
      <c r="J2129" s="123" t="s">
        <v>411</v>
      </c>
      <c r="K2129" s="123" t="s">
        <v>1411</v>
      </c>
      <c r="L2129" s="123" t="e">
        <f>VLOOKUP(Fact_AUM_FyoCapital[[#This Row],[Dim_Empresas.CUIT]],'clientes SQL'!C:D,2,0)</f>
        <v>#N/A</v>
      </c>
    </row>
    <row r="2130" spans="1:12" hidden="1" x14ac:dyDescent="0.3">
      <c r="A2130">
        <v>2623829</v>
      </c>
      <c r="B2130">
        <v>20251205</v>
      </c>
      <c r="C2130">
        <v>1191</v>
      </c>
      <c r="D2130">
        <v>-2.173913043478261E-4</v>
      </c>
      <c r="E2130" s="123" t="s">
        <v>1563</v>
      </c>
      <c r="F2130" s="123" t="s">
        <v>185</v>
      </c>
      <c r="G2130" s="123"/>
      <c r="H2130" s="95">
        <v>45996</v>
      </c>
      <c r="I2130">
        <v>18954</v>
      </c>
      <c r="J2130" s="123" t="s">
        <v>1247</v>
      </c>
      <c r="K2130" s="123" t="s">
        <v>1248</v>
      </c>
      <c r="L2130" s="123" t="e">
        <f>VLOOKUP(Fact_AUM_FyoCapital[[#This Row],[Dim_Empresas.CUIT]],'clientes SQL'!C:D,2,0)</f>
        <v>#N/A</v>
      </c>
    </row>
    <row r="2131" spans="1:12" hidden="1" x14ac:dyDescent="0.3">
      <c r="A2131">
        <v>1858177</v>
      </c>
      <c r="B2131">
        <v>20251205</v>
      </c>
      <c r="C2131">
        <v>1191</v>
      </c>
      <c r="D2131">
        <v>161540.91164095371</v>
      </c>
      <c r="E2131" s="123" t="s">
        <v>1566</v>
      </c>
      <c r="F2131" s="123" t="s">
        <v>1573</v>
      </c>
      <c r="G2131" s="123"/>
      <c r="H2131" s="95">
        <v>45996</v>
      </c>
      <c r="I2131">
        <v>18954</v>
      </c>
      <c r="J2131" s="123" t="s">
        <v>1247</v>
      </c>
      <c r="K2131" s="123" t="s">
        <v>1248</v>
      </c>
      <c r="L2131" s="123" t="e">
        <f>VLOOKUP(Fact_AUM_FyoCapital[[#This Row],[Dim_Empresas.CUIT]],'clientes SQL'!C:D,2,0)</f>
        <v>#N/A</v>
      </c>
    </row>
    <row r="2132" spans="1:12" hidden="1" x14ac:dyDescent="0.3">
      <c r="A2132">
        <v>1880377</v>
      </c>
      <c r="B2132">
        <v>20251205</v>
      </c>
      <c r="C2132">
        <v>1546</v>
      </c>
      <c r="D2132">
        <v>0</v>
      </c>
      <c r="E2132" s="123"/>
      <c r="F2132" s="123"/>
      <c r="G2132" s="123"/>
      <c r="H2132" s="95">
        <v>45996</v>
      </c>
      <c r="I2132">
        <v>18554</v>
      </c>
      <c r="J2132" s="123" t="s">
        <v>550</v>
      </c>
      <c r="K2132" s="123" t="s">
        <v>1394</v>
      </c>
      <c r="L2132" s="123" t="e">
        <f>VLOOKUP(Fact_AUM_FyoCapital[[#This Row],[Dim_Empresas.CUIT]],'clientes SQL'!C:D,2,0)</f>
        <v>#N/A</v>
      </c>
    </row>
  </sheetData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00B946-9372-4753-B808-9C5452CC61EA}">
  <sheetPr filterMode="1"/>
  <dimension ref="A1:D403"/>
  <sheetViews>
    <sheetView workbookViewId="0">
      <selection activeCell="E412" sqref="E412"/>
    </sheetView>
  </sheetViews>
  <sheetFormatPr baseColWidth="10" defaultRowHeight="14.4" x14ac:dyDescent="0.3"/>
  <cols>
    <col min="1" max="1" width="21" bestFit="1" customWidth="1"/>
    <col min="2" max="2" width="66" bestFit="1" customWidth="1"/>
    <col min="3" max="3" width="16.109375" customWidth="1"/>
    <col min="4" max="4" width="25.33203125" bestFit="1" customWidth="1"/>
  </cols>
  <sheetData>
    <row r="1" spans="1:4" x14ac:dyDescent="0.3">
      <c r="A1" t="s">
        <v>1442</v>
      </c>
      <c r="B1" t="s">
        <v>1441</v>
      </c>
      <c r="C1" t="s">
        <v>1443</v>
      </c>
      <c r="D1" t="s">
        <v>1444</v>
      </c>
    </row>
    <row r="2" spans="1:4" hidden="1" x14ac:dyDescent="0.3">
      <c r="A2" s="92">
        <v>6149</v>
      </c>
      <c r="B2" s="92" t="s">
        <v>554</v>
      </c>
      <c r="C2" s="96" t="s">
        <v>935</v>
      </c>
      <c r="D2" t="e">
        <f>VLOOKUP(B2,'Clientes CBOT'!D:E,2,0)</f>
        <v>#N/A</v>
      </c>
    </row>
    <row r="3" spans="1:4" hidden="1" x14ac:dyDescent="0.3">
      <c r="A3" s="93">
        <v>35995</v>
      </c>
      <c r="B3" s="93" t="s">
        <v>439</v>
      </c>
      <c r="C3" s="97" t="s">
        <v>936</v>
      </c>
      <c r="D3" t="e">
        <f>VLOOKUP(B3,'Clientes CBOT'!D:E,2,0)</f>
        <v>#N/A</v>
      </c>
    </row>
    <row r="4" spans="1:4" hidden="1" x14ac:dyDescent="0.3">
      <c r="A4" s="92">
        <v>33214</v>
      </c>
      <c r="B4" s="92" t="s">
        <v>846</v>
      </c>
      <c r="C4" s="96" t="s">
        <v>937</v>
      </c>
      <c r="D4" t="e">
        <f>VLOOKUP(B4,'Clientes CBOT'!D:E,2,0)</f>
        <v>#N/A</v>
      </c>
    </row>
    <row r="5" spans="1:4" hidden="1" x14ac:dyDescent="0.3">
      <c r="A5" s="93"/>
      <c r="B5" s="93"/>
      <c r="C5" s="97"/>
      <c r="D5" t="e">
        <f>VLOOKUP(B5,'Clientes CBOT'!D:E,2,0)</f>
        <v>#N/A</v>
      </c>
    </row>
    <row r="6" spans="1:4" x14ac:dyDescent="0.3">
      <c r="A6" s="92">
        <v>16699</v>
      </c>
      <c r="B6" s="92" t="s">
        <v>261</v>
      </c>
      <c r="C6" s="96" t="s">
        <v>938</v>
      </c>
      <c r="D6">
        <f>VLOOKUP(B6,'Clientes CBOT'!D:E,2,0)</f>
        <v>13008</v>
      </c>
    </row>
    <row r="7" spans="1:4" hidden="1" x14ac:dyDescent="0.3">
      <c r="A7" s="92">
        <v>10023</v>
      </c>
      <c r="B7" s="92" t="s">
        <v>939</v>
      </c>
      <c r="C7" s="96" t="s">
        <v>940</v>
      </c>
      <c r="D7" t="e">
        <f>VLOOKUP(B7,'Clientes CBOT'!D:E,2,0)</f>
        <v>#N/A</v>
      </c>
    </row>
    <row r="8" spans="1:4" hidden="1" x14ac:dyDescent="0.3">
      <c r="A8" s="93">
        <v>1169</v>
      </c>
      <c r="B8" s="93" t="s">
        <v>941</v>
      </c>
      <c r="C8" s="97" t="s">
        <v>942</v>
      </c>
      <c r="D8" t="e">
        <f>VLOOKUP(B8,'Clientes CBOT'!D:E,2,0)</f>
        <v>#N/A</v>
      </c>
    </row>
    <row r="9" spans="1:4" hidden="1" x14ac:dyDescent="0.3">
      <c r="A9" s="92">
        <v>5603</v>
      </c>
      <c r="B9" s="92" t="s">
        <v>943</v>
      </c>
      <c r="C9" s="96" t="s">
        <v>944</v>
      </c>
      <c r="D9" t="e">
        <f>VLOOKUP(B9,'Clientes CBOT'!D:E,2,0)</f>
        <v>#N/A</v>
      </c>
    </row>
    <row r="10" spans="1:4" hidden="1" x14ac:dyDescent="0.3">
      <c r="A10" s="93">
        <v>375</v>
      </c>
      <c r="B10" s="93" t="s">
        <v>945</v>
      </c>
      <c r="C10" s="97" t="s">
        <v>946</v>
      </c>
      <c r="D10" t="e">
        <f>VLOOKUP(B10,'Clientes CBOT'!D:E,2,0)</f>
        <v>#N/A</v>
      </c>
    </row>
    <row r="11" spans="1:4" x14ac:dyDescent="0.3">
      <c r="A11" s="92">
        <v>33774</v>
      </c>
      <c r="B11" s="92" t="s">
        <v>126</v>
      </c>
      <c r="C11" s="96" t="s">
        <v>947</v>
      </c>
      <c r="D11">
        <f>VLOOKUP(B11,'Clientes CBOT'!D:E,2,0)</f>
        <v>13035</v>
      </c>
    </row>
    <row r="12" spans="1:4" hidden="1" x14ac:dyDescent="0.3">
      <c r="A12" s="93">
        <v>19333</v>
      </c>
      <c r="B12" s="93" t="s">
        <v>570</v>
      </c>
      <c r="C12" s="97" t="s">
        <v>948</v>
      </c>
      <c r="D12" t="e">
        <f>VLOOKUP(B12,'Clientes CBOT'!D:E,2,0)</f>
        <v>#N/A</v>
      </c>
    </row>
    <row r="13" spans="1:4" hidden="1" x14ac:dyDescent="0.3">
      <c r="A13" s="92">
        <v>33225</v>
      </c>
      <c r="B13" s="92" t="s">
        <v>284</v>
      </c>
      <c r="C13" s="96" t="s">
        <v>949</v>
      </c>
      <c r="D13" t="e">
        <f>VLOOKUP(B13,'Clientes CBOT'!D:E,2,0)</f>
        <v>#N/A</v>
      </c>
    </row>
    <row r="14" spans="1:4" hidden="1" x14ac:dyDescent="0.3">
      <c r="A14" s="92">
        <v>34509</v>
      </c>
      <c r="B14" s="92" t="s">
        <v>436</v>
      </c>
      <c r="C14" s="96" t="s">
        <v>951</v>
      </c>
      <c r="D14" t="e">
        <f>VLOOKUP(B14,'Clientes CBOT'!D:E,2,0)</f>
        <v>#N/A</v>
      </c>
    </row>
    <row r="15" spans="1:4" hidden="1" x14ac:dyDescent="0.3">
      <c r="A15" s="92">
        <v>9195</v>
      </c>
      <c r="B15" s="92" t="s">
        <v>307</v>
      </c>
      <c r="C15" s="96" t="s">
        <v>952</v>
      </c>
      <c r="D15" t="e">
        <f>VLOOKUP(B15,'Clientes CBOT'!D:E,2,0)</f>
        <v>#N/A</v>
      </c>
    </row>
    <row r="16" spans="1:4" hidden="1" x14ac:dyDescent="0.3">
      <c r="A16" s="93">
        <v>31151</v>
      </c>
      <c r="B16" s="93" t="s">
        <v>579</v>
      </c>
      <c r="C16" s="97" t="s">
        <v>953</v>
      </c>
      <c r="D16" t="e">
        <f>VLOOKUP(B16,'Clientes CBOT'!D:E,2,0)</f>
        <v>#N/A</v>
      </c>
    </row>
    <row r="17" spans="1:4" hidden="1" x14ac:dyDescent="0.3">
      <c r="A17" s="92">
        <v>19409</v>
      </c>
      <c r="B17" s="92" t="s">
        <v>308</v>
      </c>
      <c r="C17" s="96" t="s">
        <v>954</v>
      </c>
      <c r="D17" t="e">
        <f>VLOOKUP(B17,'Clientes CBOT'!D:E,2,0)</f>
        <v>#N/A</v>
      </c>
    </row>
    <row r="18" spans="1:4" hidden="1" x14ac:dyDescent="0.3">
      <c r="A18" s="93">
        <v>31332</v>
      </c>
      <c r="B18" s="93" t="s">
        <v>541</v>
      </c>
      <c r="C18" s="97" t="s">
        <v>955</v>
      </c>
      <c r="D18" t="e">
        <f>VLOOKUP(B18,'Clientes CBOT'!D:E,2,0)</f>
        <v>#N/A</v>
      </c>
    </row>
    <row r="19" spans="1:4" hidden="1" x14ac:dyDescent="0.3">
      <c r="A19" s="92">
        <v>37055</v>
      </c>
      <c r="B19" s="92" t="s">
        <v>956</v>
      </c>
      <c r="C19" s="96" t="s">
        <v>957</v>
      </c>
      <c r="D19" t="e">
        <f>VLOOKUP(B19,'Clientes CBOT'!D:E,2,0)</f>
        <v>#N/A</v>
      </c>
    </row>
    <row r="20" spans="1:4" hidden="1" x14ac:dyDescent="0.3">
      <c r="A20" s="93">
        <v>33310</v>
      </c>
      <c r="B20" s="93" t="s">
        <v>540</v>
      </c>
      <c r="C20" s="97" t="s">
        <v>958</v>
      </c>
      <c r="D20" t="e">
        <f>VLOOKUP(B20,'Clientes CBOT'!D:E,2,0)</f>
        <v>#N/A</v>
      </c>
    </row>
    <row r="21" spans="1:4" hidden="1" x14ac:dyDescent="0.3">
      <c r="A21" s="92">
        <v>7691</v>
      </c>
      <c r="B21" s="92" t="s">
        <v>314</v>
      </c>
      <c r="C21" s="96" t="s">
        <v>959</v>
      </c>
      <c r="D21" t="e">
        <f>VLOOKUP(B21,'Clientes CBOT'!D:E,2,0)</f>
        <v>#N/A</v>
      </c>
    </row>
    <row r="22" spans="1:4" hidden="1" x14ac:dyDescent="0.3">
      <c r="A22" s="92">
        <v>8959</v>
      </c>
      <c r="B22" s="92" t="s">
        <v>330</v>
      </c>
      <c r="C22" s="96" t="s">
        <v>960</v>
      </c>
      <c r="D22" t="e">
        <f>VLOOKUP(B22,'Clientes CBOT'!D:E,2,0)</f>
        <v>#N/A</v>
      </c>
    </row>
    <row r="23" spans="1:4" hidden="1" x14ac:dyDescent="0.3">
      <c r="A23" s="92">
        <v>6929</v>
      </c>
      <c r="B23" s="92" t="s">
        <v>482</v>
      </c>
      <c r="C23" s="96" t="s">
        <v>961</v>
      </c>
      <c r="D23" t="e">
        <f>VLOOKUP(B23,'Clientes CBOT'!D:E,2,0)</f>
        <v>#N/A</v>
      </c>
    </row>
    <row r="24" spans="1:4" hidden="1" x14ac:dyDescent="0.3">
      <c r="A24" s="92">
        <v>36846</v>
      </c>
      <c r="B24" s="92" t="s">
        <v>962</v>
      </c>
      <c r="C24" s="96" t="s">
        <v>963</v>
      </c>
      <c r="D24" t="e">
        <f>VLOOKUP(B24,'Clientes CBOT'!D:E,2,0)</f>
        <v>#N/A</v>
      </c>
    </row>
    <row r="25" spans="1:4" hidden="1" x14ac:dyDescent="0.3">
      <c r="A25" s="92">
        <v>35339</v>
      </c>
      <c r="B25" s="92" t="s">
        <v>381</v>
      </c>
      <c r="C25" s="96" t="s">
        <v>964</v>
      </c>
      <c r="D25" t="e">
        <f>VLOOKUP(B25,'Clientes CBOT'!D:E,2,0)</f>
        <v>#N/A</v>
      </c>
    </row>
    <row r="26" spans="1:4" hidden="1" x14ac:dyDescent="0.3">
      <c r="A26" s="93">
        <v>5848</v>
      </c>
      <c r="B26" s="93" t="s">
        <v>446</v>
      </c>
      <c r="C26" s="97" t="s">
        <v>965</v>
      </c>
      <c r="D26" t="e">
        <f>VLOOKUP(B26,'Clientes CBOT'!D:E,2,0)</f>
        <v>#N/A</v>
      </c>
    </row>
    <row r="27" spans="1:4" x14ac:dyDescent="0.3">
      <c r="A27" s="92">
        <v>36141</v>
      </c>
      <c r="B27" s="92" t="s">
        <v>694</v>
      </c>
      <c r="C27" s="96" t="s">
        <v>966</v>
      </c>
      <c r="D27">
        <f>VLOOKUP(B27,'Clientes CBOT'!D:E,2,0)</f>
        <v>13007</v>
      </c>
    </row>
    <row r="28" spans="1:4" hidden="1" x14ac:dyDescent="0.3">
      <c r="A28" s="93">
        <v>35701</v>
      </c>
      <c r="B28" s="93" t="s">
        <v>967</v>
      </c>
      <c r="C28" s="97" t="s">
        <v>968</v>
      </c>
      <c r="D28" t="e">
        <f>VLOOKUP(B28,'Clientes CBOT'!D:E,2,0)</f>
        <v>#N/A</v>
      </c>
    </row>
    <row r="29" spans="1:4" hidden="1" x14ac:dyDescent="0.3">
      <c r="A29" s="92">
        <v>36077</v>
      </c>
      <c r="B29" s="92" t="s">
        <v>563</v>
      </c>
      <c r="C29" s="96" t="s">
        <v>969</v>
      </c>
      <c r="D29" t="e">
        <f>VLOOKUP(B29,'Clientes CBOT'!D:E,2,0)</f>
        <v>#N/A</v>
      </c>
    </row>
    <row r="30" spans="1:4" hidden="1" x14ac:dyDescent="0.3">
      <c r="A30" s="93">
        <v>19458</v>
      </c>
      <c r="B30" s="93" t="s">
        <v>397</v>
      </c>
      <c r="C30" s="97" t="s">
        <v>970</v>
      </c>
      <c r="D30" t="e">
        <f>VLOOKUP(B30,'Clientes CBOT'!D:E,2,0)</f>
        <v>#N/A</v>
      </c>
    </row>
    <row r="31" spans="1:4" hidden="1" x14ac:dyDescent="0.3">
      <c r="A31" s="92">
        <v>32357</v>
      </c>
      <c r="B31" s="92" t="s">
        <v>502</v>
      </c>
      <c r="C31" s="96" t="s">
        <v>971</v>
      </c>
      <c r="D31" t="e">
        <f>VLOOKUP(B31,'Clientes CBOT'!D:E,2,0)</f>
        <v>#N/A</v>
      </c>
    </row>
    <row r="32" spans="1:4" hidden="1" x14ac:dyDescent="0.3">
      <c r="A32" s="92">
        <v>19996</v>
      </c>
      <c r="B32" s="92" t="s">
        <v>602</v>
      </c>
      <c r="C32" s="96" t="s">
        <v>972</v>
      </c>
      <c r="D32" t="e">
        <f>VLOOKUP(B32,'Clientes CBOT'!D:E,2,0)</f>
        <v>#N/A</v>
      </c>
    </row>
    <row r="33" spans="1:4" hidden="1" x14ac:dyDescent="0.3">
      <c r="A33" s="93">
        <v>20554</v>
      </c>
      <c r="B33" s="93" t="s">
        <v>505</v>
      </c>
      <c r="C33" s="97" t="s">
        <v>973</v>
      </c>
      <c r="D33" t="e">
        <f>VLOOKUP(B33,'Clientes CBOT'!D:E,2,0)</f>
        <v>#N/A</v>
      </c>
    </row>
    <row r="34" spans="1:4" hidden="1" x14ac:dyDescent="0.3">
      <c r="A34" s="92">
        <v>19320</v>
      </c>
      <c r="B34" s="92" t="s">
        <v>388</v>
      </c>
      <c r="C34" s="96" t="s">
        <v>974</v>
      </c>
      <c r="D34" t="e">
        <f>VLOOKUP(B34,'Clientes CBOT'!D:E,2,0)</f>
        <v>#N/A</v>
      </c>
    </row>
    <row r="35" spans="1:4" hidden="1" x14ac:dyDescent="0.3">
      <c r="A35" s="92">
        <v>2458</v>
      </c>
      <c r="B35" s="92" t="s">
        <v>975</v>
      </c>
      <c r="C35" s="96" t="s">
        <v>976</v>
      </c>
      <c r="D35" t="e">
        <f>VLOOKUP(B35,'Clientes CBOT'!D:E,2,0)</f>
        <v>#N/A</v>
      </c>
    </row>
    <row r="36" spans="1:4" hidden="1" x14ac:dyDescent="0.3">
      <c r="A36" s="92">
        <v>18646</v>
      </c>
      <c r="B36" s="92" t="s">
        <v>334</v>
      </c>
      <c r="C36" s="96" t="s">
        <v>977</v>
      </c>
      <c r="D36" t="e">
        <f>VLOOKUP(B36,'Clientes CBOT'!D:E,2,0)</f>
        <v>#N/A</v>
      </c>
    </row>
    <row r="37" spans="1:4" hidden="1" x14ac:dyDescent="0.3">
      <c r="A37" s="92">
        <v>9645</v>
      </c>
      <c r="B37" s="92" t="s">
        <v>224</v>
      </c>
      <c r="C37" s="96" t="s">
        <v>978</v>
      </c>
      <c r="D37" t="e">
        <f>VLOOKUP(B37,'Clientes CBOT'!D:E,2,0)</f>
        <v>#N/A</v>
      </c>
    </row>
    <row r="38" spans="1:4" hidden="1" x14ac:dyDescent="0.3">
      <c r="A38" s="93">
        <v>6149</v>
      </c>
      <c r="B38" s="93" t="s">
        <v>554</v>
      </c>
      <c r="C38" s="97" t="s">
        <v>935</v>
      </c>
      <c r="D38" t="e">
        <f>VLOOKUP(B38,'Clientes CBOT'!D:E,2,0)</f>
        <v>#N/A</v>
      </c>
    </row>
    <row r="39" spans="1:4" hidden="1" x14ac:dyDescent="0.3">
      <c r="A39" s="92">
        <v>580</v>
      </c>
      <c r="B39" s="92" t="s">
        <v>345</v>
      </c>
      <c r="C39" s="96" t="s">
        <v>979</v>
      </c>
      <c r="D39" t="e">
        <f>VLOOKUP(B39,'Clientes CBOT'!D:E,2,0)</f>
        <v>#N/A</v>
      </c>
    </row>
    <row r="40" spans="1:4" hidden="1" x14ac:dyDescent="0.3">
      <c r="A40" s="93">
        <v>20896</v>
      </c>
      <c r="B40" s="93" t="s">
        <v>318</v>
      </c>
      <c r="C40" s="97" t="s">
        <v>980</v>
      </c>
      <c r="D40" t="e">
        <f>VLOOKUP(B40,'Clientes CBOT'!D:E,2,0)</f>
        <v>#N/A</v>
      </c>
    </row>
    <row r="41" spans="1:4" hidden="1" x14ac:dyDescent="0.3">
      <c r="A41" s="92">
        <v>32964</v>
      </c>
      <c r="B41" s="92" t="s">
        <v>527</v>
      </c>
      <c r="C41" s="96" t="s">
        <v>981</v>
      </c>
      <c r="D41" t="e">
        <f>VLOOKUP(B41,'Clientes CBOT'!D:E,2,0)</f>
        <v>#N/A</v>
      </c>
    </row>
    <row r="42" spans="1:4" hidden="1" x14ac:dyDescent="0.3">
      <c r="A42" s="93">
        <v>20362</v>
      </c>
      <c r="B42" s="93" t="s">
        <v>350</v>
      </c>
      <c r="C42" s="97" t="s">
        <v>982</v>
      </c>
      <c r="D42" t="e">
        <f>VLOOKUP(B42,'Clientes CBOT'!D:E,2,0)</f>
        <v>#N/A</v>
      </c>
    </row>
    <row r="43" spans="1:4" x14ac:dyDescent="0.3">
      <c r="A43" s="92">
        <v>18780</v>
      </c>
      <c r="B43" s="92" t="s">
        <v>120</v>
      </c>
      <c r="C43" s="96" t="s">
        <v>983</v>
      </c>
      <c r="D43">
        <f>VLOOKUP(B43,'Clientes CBOT'!D:E,2,0)</f>
        <v>13016</v>
      </c>
    </row>
    <row r="44" spans="1:4" hidden="1" x14ac:dyDescent="0.3">
      <c r="A44" s="92">
        <v>37174</v>
      </c>
      <c r="B44" s="92" t="s">
        <v>984</v>
      </c>
      <c r="C44" s="96" t="s">
        <v>985</v>
      </c>
      <c r="D44" t="e">
        <f>VLOOKUP(B44,'Clientes CBOT'!D:E,2,0)</f>
        <v>#N/A</v>
      </c>
    </row>
    <row r="45" spans="1:4" hidden="1" x14ac:dyDescent="0.3">
      <c r="A45" s="92">
        <v>36203</v>
      </c>
      <c r="B45" s="92" t="s">
        <v>295</v>
      </c>
      <c r="C45" s="96" t="s">
        <v>986</v>
      </c>
      <c r="D45" t="e">
        <f>VLOOKUP(B45,'Clientes CBOT'!D:E,2,0)</f>
        <v>#N/A</v>
      </c>
    </row>
    <row r="46" spans="1:4" hidden="1" x14ac:dyDescent="0.3">
      <c r="A46" s="93">
        <v>20093</v>
      </c>
      <c r="B46" s="93" t="s">
        <v>987</v>
      </c>
      <c r="C46" s="97" t="s">
        <v>988</v>
      </c>
      <c r="D46" t="e">
        <f>VLOOKUP(B46,'Clientes CBOT'!D:E,2,0)</f>
        <v>#N/A</v>
      </c>
    </row>
    <row r="47" spans="1:4" hidden="1" x14ac:dyDescent="0.3">
      <c r="A47" s="92">
        <v>3511</v>
      </c>
      <c r="B47" s="92" t="s">
        <v>989</v>
      </c>
      <c r="C47" s="96" t="s">
        <v>990</v>
      </c>
      <c r="D47" t="e">
        <f>VLOOKUP(B47,'Clientes CBOT'!D:E,2,0)</f>
        <v>#N/A</v>
      </c>
    </row>
    <row r="48" spans="1:4" hidden="1" x14ac:dyDescent="0.3">
      <c r="A48" s="92">
        <v>35455</v>
      </c>
      <c r="B48" s="92" t="s">
        <v>424</v>
      </c>
      <c r="C48" s="96" t="s">
        <v>991</v>
      </c>
      <c r="D48" t="e">
        <f>VLOOKUP(B48,'Clientes CBOT'!D:E,2,0)</f>
        <v>#N/A</v>
      </c>
    </row>
    <row r="49" spans="1:4" hidden="1" x14ac:dyDescent="0.3">
      <c r="A49" s="92">
        <v>33640</v>
      </c>
      <c r="B49" s="92" t="s">
        <v>379</v>
      </c>
      <c r="C49" s="96" t="s">
        <v>992</v>
      </c>
      <c r="D49" t="e">
        <f>VLOOKUP(B49,'Clientes CBOT'!D:E,2,0)</f>
        <v>#N/A</v>
      </c>
    </row>
    <row r="50" spans="1:4" hidden="1" x14ac:dyDescent="0.3">
      <c r="A50" s="92"/>
      <c r="B50" s="92" t="s">
        <v>211</v>
      </c>
      <c r="C50" s="96" t="s">
        <v>993</v>
      </c>
      <c r="D50" t="e">
        <f>VLOOKUP(B50,'Clientes CBOT'!D:E,2,0)</f>
        <v>#N/A</v>
      </c>
    </row>
    <row r="51" spans="1:4" hidden="1" x14ac:dyDescent="0.3">
      <c r="A51" s="92">
        <v>20694</v>
      </c>
      <c r="B51" s="92" t="s">
        <v>994</v>
      </c>
      <c r="C51" s="96" t="s">
        <v>995</v>
      </c>
      <c r="D51" t="e">
        <f>VLOOKUP(B51,'Clientes CBOT'!D:E,2,0)</f>
        <v>#N/A</v>
      </c>
    </row>
    <row r="52" spans="1:4" hidden="1" x14ac:dyDescent="0.3">
      <c r="A52" s="92">
        <v>33374</v>
      </c>
      <c r="B52" s="92" t="s">
        <v>356</v>
      </c>
      <c r="C52" s="96" t="s">
        <v>996</v>
      </c>
      <c r="D52" t="e">
        <f>VLOOKUP(B52,'Clientes CBOT'!D:E,2,0)</f>
        <v>#N/A</v>
      </c>
    </row>
    <row r="53" spans="1:4" hidden="1" x14ac:dyDescent="0.3">
      <c r="A53" s="92">
        <v>35359</v>
      </c>
      <c r="B53" s="92" t="s">
        <v>208</v>
      </c>
      <c r="C53" s="96" t="s">
        <v>997</v>
      </c>
      <c r="D53" t="e">
        <f>VLOOKUP(B53,'Clientes CBOT'!D:E,2,0)</f>
        <v>#N/A</v>
      </c>
    </row>
    <row r="54" spans="1:4" x14ac:dyDescent="0.3">
      <c r="A54" s="93">
        <v>15348</v>
      </c>
      <c r="B54" s="93" t="s">
        <v>384</v>
      </c>
      <c r="C54" s="97" t="s">
        <v>998</v>
      </c>
      <c r="D54">
        <f>VLOOKUP(B54,'Clientes CBOT'!D:E,2,0)</f>
        <v>13010</v>
      </c>
    </row>
    <row r="55" spans="1:4" hidden="1" x14ac:dyDescent="0.3">
      <c r="A55" s="93">
        <v>33531</v>
      </c>
      <c r="B55" s="93" t="s">
        <v>203</v>
      </c>
      <c r="C55" s="97" t="s">
        <v>999</v>
      </c>
      <c r="D55" t="e">
        <f>VLOOKUP(B55,'Clientes CBOT'!D:E,2,0)</f>
        <v>#N/A</v>
      </c>
    </row>
    <row r="56" spans="1:4" hidden="1" x14ac:dyDescent="0.3">
      <c r="A56" s="93">
        <v>35761</v>
      </c>
      <c r="B56" s="93" t="s">
        <v>338</v>
      </c>
      <c r="C56" s="97" t="s">
        <v>1000</v>
      </c>
      <c r="D56" t="e">
        <f>VLOOKUP(B56,'Clientes CBOT'!D:E,2,0)</f>
        <v>#N/A</v>
      </c>
    </row>
    <row r="57" spans="1:4" hidden="1" x14ac:dyDescent="0.3">
      <c r="A57" s="92">
        <v>13408</v>
      </c>
      <c r="B57" s="92" t="s">
        <v>274</v>
      </c>
      <c r="C57" s="96" t="s">
        <v>1001</v>
      </c>
      <c r="D57" t="e">
        <f>VLOOKUP(B57,'Clientes CBOT'!D:E,2,0)</f>
        <v>#N/A</v>
      </c>
    </row>
    <row r="58" spans="1:4" hidden="1" x14ac:dyDescent="0.3">
      <c r="A58" s="93">
        <v>9500</v>
      </c>
      <c r="B58" s="93" t="s">
        <v>1002</v>
      </c>
      <c r="C58" s="97" t="s">
        <v>1003</v>
      </c>
      <c r="D58" t="e">
        <f>VLOOKUP(B58,'Clientes CBOT'!D:E,2,0)</f>
        <v>#N/A</v>
      </c>
    </row>
    <row r="59" spans="1:4" hidden="1" x14ac:dyDescent="0.3">
      <c r="A59" s="93">
        <v>6980</v>
      </c>
      <c r="B59" s="93" t="s">
        <v>1004</v>
      </c>
      <c r="C59" s="97" t="s">
        <v>1005</v>
      </c>
      <c r="D59" t="e">
        <f>VLOOKUP(B59,'Clientes CBOT'!D:E,2,0)</f>
        <v>#N/A</v>
      </c>
    </row>
    <row r="60" spans="1:4" hidden="1" x14ac:dyDescent="0.3">
      <c r="A60" s="92">
        <v>36152</v>
      </c>
      <c r="B60" s="92" t="s">
        <v>624</v>
      </c>
      <c r="C60" s="96" t="s">
        <v>1006</v>
      </c>
      <c r="D60" t="e">
        <f>VLOOKUP(B60,'Clientes CBOT'!D:E,2,0)</f>
        <v>#N/A</v>
      </c>
    </row>
    <row r="61" spans="1:4" hidden="1" x14ac:dyDescent="0.3">
      <c r="A61" s="93">
        <v>36348</v>
      </c>
      <c r="B61" s="93" t="s">
        <v>536</v>
      </c>
      <c r="C61" s="97" t="s">
        <v>1007</v>
      </c>
      <c r="D61" t="e">
        <f>VLOOKUP(B61,'Clientes CBOT'!D:E,2,0)</f>
        <v>#N/A</v>
      </c>
    </row>
    <row r="62" spans="1:4" hidden="1" x14ac:dyDescent="0.3">
      <c r="A62" s="92"/>
      <c r="B62" s="92" t="s">
        <v>1008</v>
      </c>
      <c r="C62" s="96" t="s">
        <v>663</v>
      </c>
      <c r="D62" t="e">
        <f>VLOOKUP(B62,'Clientes CBOT'!D:E,2,0)</f>
        <v>#N/A</v>
      </c>
    </row>
    <row r="63" spans="1:4" hidden="1" x14ac:dyDescent="0.3">
      <c r="A63" s="92">
        <v>36965</v>
      </c>
      <c r="B63" s="92" t="s">
        <v>628</v>
      </c>
      <c r="C63" s="96" t="s">
        <v>1009</v>
      </c>
      <c r="D63" t="e">
        <f>VLOOKUP(B63,'Clientes CBOT'!D:E,2,0)</f>
        <v>#N/A</v>
      </c>
    </row>
    <row r="64" spans="1:4" hidden="1" x14ac:dyDescent="0.3">
      <c r="A64" s="92">
        <v>19052</v>
      </c>
      <c r="B64" s="92" t="s">
        <v>1010</v>
      </c>
      <c r="C64" s="96" t="s">
        <v>1011</v>
      </c>
      <c r="D64" t="e">
        <f>VLOOKUP(B64,'Clientes CBOT'!D:E,2,0)</f>
        <v>#N/A</v>
      </c>
    </row>
    <row r="65" spans="1:4" hidden="1" x14ac:dyDescent="0.3">
      <c r="A65" s="92">
        <v>30215</v>
      </c>
      <c r="B65" s="92" t="s">
        <v>324</v>
      </c>
      <c r="C65" s="96" t="s">
        <v>1012</v>
      </c>
      <c r="D65" t="e">
        <f>VLOOKUP(B65,'Clientes CBOT'!D:E,2,0)</f>
        <v>#N/A</v>
      </c>
    </row>
    <row r="66" spans="1:4" hidden="1" x14ac:dyDescent="0.3">
      <c r="A66" s="92">
        <v>3155</v>
      </c>
      <c r="B66" s="92" t="s">
        <v>328</v>
      </c>
      <c r="C66" s="96" t="s">
        <v>1013</v>
      </c>
      <c r="D66" t="e">
        <f>VLOOKUP(B66,'Clientes CBOT'!D:E,2,0)</f>
        <v>#N/A</v>
      </c>
    </row>
    <row r="67" spans="1:4" hidden="1" x14ac:dyDescent="0.3">
      <c r="A67" s="93">
        <v>30836</v>
      </c>
      <c r="B67" s="93" t="s">
        <v>452</v>
      </c>
      <c r="C67" s="97" t="s">
        <v>1014</v>
      </c>
      <c r="D67" t="e">
        <f>VLOOKUP(B67,'Clientes CBOT'!D:E,2,0)</f>
        <v>#N/A</v>
      </c>
    </row>
    <row r="68" spans="1:4" hidden="1" x14ac:dyDescent="0.3">
      <c r="A68" s="92">
        <v>36828</v>
      </c>
      <c r="B68" s="92" t="s">
        <v>559</v>
      </c>
      <c r="C68" s="96" t="s">
        <v>1015</v>
      </c>
      <c r="D68" t="e">
        <f>VLOOKUP(B68,'Clientes CBOT'!D:E,2,0)</f>
        <v>#N/A</v>
      </c>
    </row>
    <row r="69" spans="1:4" hidden="1" x14ac:dyDescent="0.3">
      <c r="A69" s="93">
        <v>7825</v>
      </c>
      <c r="B69" s="93" t="s">
        <v>239</v>
      </c>
      <c r="C69" s="97" t="s">
        <v>1016</v>
      </c>
      <c r="D69" t="e">
        <f>VLOOKUP(B69,'Clientes CBOT'!D:E,2,0)</f>
        <v>#N/A</v>
      </c>
    </row>
    <row r="70" spans="1:4" hidden="1" x14ac:dyDescent="0.3">
      <c r="A70" s="92">
        <v>35636</v>
      </c>
      <c r="B70" s="92" t="s">
        <v>564</v>
      </c>
      <c r="C70" s="96" t="s">
        <v>1017</v>
      </c>
      <c r="D70" t="e">
        <f>VLOOKUP(B70,'Clientes CBOT'!D:E,2,0)</f>
        <v>#N/A</v>
      </c>
    </row>
    <row r="71" spans="1:4" hidden="1" x14ac:dyDescent="0.3">
      <c r="A71" s="92">
        <v>32670</v>
      </c>
      <c r="B71" s="92" t="s">
        <v>648</v>
      </c>
      <c r="C71" s="96" t="s">
        <v>1018</v>
      </c>
      <c r="D71" t="e">
        <f>VLOOKUP(B71,'Clientes CBOT'!D:E,2,0)</f>
        <v>#N/A</v>
      </c>
    </row>
    <row r="72" spans="1:4" hidden="1" x14ac:dyDescent="0.3">
      <c r="A72" s="93">
        <v>33280</v>
      </c>
      <c r="B72" s="93" t="s">
        <v>495</v>
      </c>
      <c r="C72" s="97" t="s">
        <v>1019</v>
      </c>
      <c r="D72" t="e">
        <f>VLOOKUP(B72,'Clientes CBOT'!D:E,2,0)</f>
        <v>#N/A</v>
      </c>
    </row>
    <row r="73" spans="1:4" hidden="1" x14ac:dyDescent="0.3">
      <c r="A73" s="92">
        <v>35555</v>
      </c>
      <c r="B73" s="92" t="s">
        <v>618</v>
      </c>
      <c r="C73" s="96" t="s">
        <v>1020</v>
      </c>
      <c r="D73" t="e">
        <f>VLOOKUP(B73,'Clientes CBOT'!D:E,2,0)</f>
        <v>#N/A</v>
      </c>
    </row>
    <row r="74" spans="1:4" hidden="1" x14ac:dyDescent="0.3">
      <c r="A74" s="93">
        <v>17696</v>
      </c>
      <c r="B74" s="93" t="s">
        <v>725</v>
      </c>
      <c r="C74" s="97" t="s">
        <v>1021</v>
      </c>
      <c r="D74" t="e">
        <f>VLOOKUP(B74,'Clientes CBOT'!D:E,2,0)</f>
        <v>#N/A</v>
      </c>
    </row>
    <row r="75" spans="1:4" hidden="1" x14ac:dyDescent="0.3">
      <c r="A75" s="92">
        <v>33912</v>
      </c>
      <c r="B75" s="92" t="s">
        <v>248</v>
      </c>
      <c r="C75" s="96" t="s">
        <v>1022</v>
      </c>
      <c r="D75" t="e">
        <f>VLOOKUP(B75,'Clientes CBOT'!D:E,2,0)</f>
        <v>#N/A</v>
      </c>
    </row>
    <row r="76" spans="1:4" hidden="1" x14ac:dyDescent="0.3">
      <c r="A76" s="92">
        <v>4875</v>
      </c>
      <c r="B76" s="92" t="s">
        <v>546</v>
      </c>
      <c r="C76" s="96" t="s">
        <v>1023</v>
      </c>
      <c r="D76" t="e">
        <f>VLOOKUP(B76,'Clientes CBOT'!D:E,2,0)</f>
        <v>#N/A</v>
      </c>
    </row>
    <row r="77" spans="1:4" hidden="1" x14ac:dyDescent="0.3">
      <c r="A77" s="93">
        <v>30576</v>
      </c>
      <c r="B77" s="93" t="s">
        <v>1024</v>
      </c>
      <c r="C77" s="97" t="s">
        <v>1025</v>
      </c>
      <c r="D77" t="e">
        <f>VLOOKUP(B77,'Clientes CBOT'!D:E,2,0)</f>
        <v>#N/A</v>
      </c>
    </row>
    <row r="78" spans="1:4" hidden="1" x14ac:dyDescent="0.3">
      <c r="A78" s="93">
        <v>8634</v>
      </c>
      <c r="B78" s="93" t="s">
        <v>200</v>
      </c>
      <c r="C78" s="97" t="s">
        <v>1026</v>
      </c>
      <c r="D78" t="e">
        <f>VLOOKUP(B78,'Clientes CBOT'!D:E,2,0)</f>
        <v>#N/A</v>
      </c>
    </row>
    <row r="79" spans="1:4" hidden="1" x14ac:dyDescent="0.3">
      <c r="A79" s="92">
        <v>7247</v>
      </c>
      <c r="B79" s="92" t="s">
        <v>574</v>
      </c>
      <c r="C79" s="96" t="s">
        <v>1027</v>
      </c>
      <c r="D79" t="e">
        <f>VLOOKUP(B79,'Clientes CBOT'!D:E,2,0)</f>
        <v>#N/A</v>
      </c>
    </row>
    <row r="80" spans="1:4" x14ac:dyDescent="0.3">
      <c r="A80" s="92">
        <v>33662</v>
      </c>
      <c r="B80" s="92" t="s">
        <v>124</v>
      </c>
      <c r="C80" s="96" t="s">
        <v>1028</v>
      </c>
      <c r="D80">
        <f>VLOOKUP(B80,'Clientes CBOT'!D:E,2,0)</f>
        <v>13002</v>
      </c>
    </row>
    <row r="81" spans="1:4" hidden="1" x14ac:dyDescent="0.3">
      <c r="A81" s="92">
        <v>19332</v>
      </c>
      <c r="B81" s="92" t="s">
        <v>528</v>
      </c>
      <c r="C81" s="96" t="s">
        <v>1029</v>
      </c>
      <c r="D81" t="e">
        <f>VLOOKUP(B81,'Clientes CBOT'!D:E,2,0)</f>
        <v>#N/A</v>
      </c>
    </row>
    <row r="82" spans="1:4" hidden="1" x14ac:dyDescent="0.3">
      <c r="A82" s="93">
        <v>17742</v>
      </c>
      <c r="B82" s="93" t="s">
        <v>266</v>
      </c>
      <c r="C82" s="97" t="s">
        <v>1030</v>
      </c>
      <c r="D82" t="e">
        <f>VLOOKUP(B82,'Clientes CBOT'!D:E,2,0)</f>
        <v>#N/A</v>
      </c>
    </row>
    <row r="83" spans="1:4" hidden="1" x14ac:dyDescent="0.3">
      <c r="A83" s="93">
        <v>36062</v>
      </c>
      <c r="B83" s="93" t="s">
        <v>236</v>
      </c>
      <c r="C83" s="97" t="s">
        <v>1031</v>
      </c>
      <c r="D83" t="e">
        <f>VLOOKUP(B83,'Clientes CBOT'!D:E,2,0)</f>
        <v>#N/A</v>
      </c>
    </row>
    <row r="84" spans="1:4" hidden="1" x14ac:dyDescent="0.3">
      <c r="A84" s="92">
        <v>36849</v>
      </c>
      <c r="B84" s="92" t="s">
        <v>1032</v>
      </c>
      <c r="C84" s="96" t="s">
        <v>1033</v>
      </c>
      <c r="D84" t="e">
        <f>VLOOKUP(B84,'Clientes CBOT'!D:E,2,0)</f>
        <v>#N/A</v>
      </c>
    </row>
    <row r="85" spans="1:4" hidden="1" x14ac:dyDescent="0.3">
      <c r="A85" s="93">
        <v>34427</v>
      </c>
      <c r="B85" s="93" t="s">
        <v>487</v>
      </c>
      <c r="C85" s="97" t="s">
        <v>1034</v>
      </c>
      <c r="D85" t="e">
        <f>VLOOKUP(B85,'Clientes CBOT'!D:E,2,0)</f>
        <v>#N/A</v>
      </c>
    </row>
    <row r="86" spans="1:4" hidden="1" x14ac:dyDescent="0.3">
      <c r="A86" s="93">
        <v>31603</v>
      </c>
      <c r="B86" s="93" t="s">
        <v>1035</v>
      </c>
      <c r="C86" s="97" t="s">
        <v>1036</v>
      </c>
      <c r="D86" t="e">
        <f>VLOOKUP(B86,'Clientes CBOT'!D:E,2,0)</f>
        <v>#N/A</v>
      </c>
    </row>
    <row r="87" spans="1:4" hidden="1" x14ac:dyDescent="0.3">
      <c r="A87" s="92">
        <v>35436</v>
      </c>
      <c r="B87" s="92" t="s">
        <v>300</v>
      </c>
      <c r="C87" s="96" t="s">
        <v>1037</v>
      </c>
      <c r="D87" t="e">
        <f>VLOOKUP(B87,'Clientes CBOT'!D:E,2,0)</f>
        <v>#N/A</v>
      </c>
    </row>
    <row r="88" spans="1:4" hidden="1" x14ac:dyDescent="0.3">
      <c r="A88" s="92">
        <v>8656</v>
      </c>
      <c r="B88" s="92" t="s">
        <v>1038</v>
      </c>
      <c r="C88" s="96" t="s">
        <v>1039</v>
      </c>
      <c r="D88" t="e">
        <f>VLOOKUP(B88,'Clientes CBOT'!D:E,2,0)</f>
        <v>#N/A</v>
      </c>
    </row>
    <row r="89" spans="1:4" hidden="1" x14ac:dyDescent="0.3">
      <c r="A89" s="93"/>
      <c r="B89" s="93" t="s">
        <v>1040</v>
      </c>
      <c r="C89" s="97" t="s">
        <v>1041</v>
      </c>
      <c r="D89" t="e">
        <f>VLOOKUP(B89,'Clientes CBOT'!D:E,2,0)</f>
        <v>#N/A</v>
      </c>
    </row>
    <row r="90" spans="1:4" x14ac:dyDescent="0.3">
      <c r="A90" s="92">
        <v>36140</v>
      </c>
      <c r="B90" s="92" t="s">
        <v>128</v>
      </c>
      <c r="C90" s="96" t="s">
        <v>1042</v>
      </c>
      <c r="D90">
        <f>VLOOKUP(B90,'Clientes CBOT'!D:E,2,0)</f>
        <v>13006</v>
      </c>
    </row>
    <row r="91" spans="1:4" hidden="1" x14ac:dyDescent="0.3">
      <c r="A91" s="93">
        <v>8147</v>
      </c>
      <c r="B91" s="93" t="s">
        <v>613</v>
      </c>
      <c r="C91" s="97" t="s">
        <v>1043</v>
      </c>
      <c r="D91" t="e">
        <f>VLOOKUP(B91,'Clientes CBOT'!D:E,2,0)</f>
        <v>#N/A</v>
      </c>
    </row>
    <row r="92" spans="1:4" hidden="1" x14ac:dyDescent="0.3">
      <c r="A92" s="92">
        <v>31590</v>
      </c>
      <c r="B92" s="92" t="s">
        <v>1044</v>
      </c>
      <c r="C92" s="96" t="s">
        <v>1045</v>
      </c>
      <c r="D92" t="e">
        <f>VLOOKUP(B92,'Clientes CBOT'!D:E,2,0)</f>
        <v>#N/A</v>
      </c>
    </row>
    <row r="93" spans="1:4" hidden="1" x14ac:dyDescent="0.3">
      <c r="A93" s="92">
        <v>37439</v>
      </c>
      <c r="B93" s="92" t="s">
        <v>1046</v>
      </c>
      <c r="C93" s="96" t="s">
        <v>1047</v>
      </c>
      <c r="D93" t="e">
        <f>VLOOKUP(B93,'Clientes CBOT'!D:E,2,0)</f>
        <v>#N/A</v>
      </c>
    </row>
    <row r="94" spans="1:4" hidden="1" x14ac:dyDescent="0.3">
      <c r="A94" s="93">
        <v>35095</v>
      </c>
      <c r="B94" s="93" t="s">
        <v>1048</v>
      </c>
      <c r="C94" s="97" t="s">
        <v>1049</v>
      </c>
      <c r="D94" t="e">
        <f>VLOOKUP(B94,'Clientes CBOT'!D:E,2,0)</f>
        <v>#N/A</v>
      </c>
    </row>
    <row r="95" spans="1:4" hidden="1" x14ac:dyDescent="0.3">
      <c r="A95" s="93">
        <v>20094</v>
      </c>
      <c r="B95" s="93" t="s">
        <v>488</v>
      </c>
      <c r="C95" s="97" t="s">
        <v>1050</v>
      </c>
      <c r="D95" t="e">
        <f>VLOOKUP(B95,'Clientes CBOT'!D:E,2,0)</f>
        <v>#N/A</v>
      </c>
    </row>
    <row r="96" spans="1:4" hidden="1" x14ac:dyDescent="0.3">
      <c r="A96" s="93">
        <v>33266</v>
      </c>
      <c r="B96" s="93" t="s">
        <v>475</v>
      </c>
      <c r="C96" s="97" t="s">
        <v>1051</v>
      </c>
      <c r="D96" t="e">
        <f>VLOOKUP(B96,'Clientes CBOT'!D:E,2,0)</f>
        <v>#N/A</v>
      </c>
    </row>
    <row r="97" spans="1:4" hidden="1" x14ac:dyDescent="0.3">
      <c r="A97" s="92">
        <v>20674</v>
      </c>
      <c r="B97" s="92" t="s">
        <v>474</v>
      </c>
      <c r="C97" s="96" t="s">
        <v>1052</v>
      </c>
      <c r="D97" t="e">
        <f>VLOOKUP(B97,'Clientes CBOT'!D:E,2,0)</f>
        <v>#N/A</v>
      </c>
    </row>
    <row r="98" spans="1:4" hidden="1" x14ac:dyDescent="0.3">
      <c r="A98" s="93">
        <v>31505</v>
      </c>
      <c r="B98" s="93" t="s">
        <v>385</v>
      </c>
      <c r="C98" s="97" t="s">
        <v>1053</v>
      </c>
      <c r="D98" t="e">
        <f>VLOOKUP(B98,'Clientes CBOT'!D:E,2,0)</f>
        <v>#N/A</v>
      </c>
    </row>
    <row r="99" spans="1:4" hidden="1" x14ac:dyDescent="0.3">
      <c r="A99" s="93">
        <v>36904</v>
      </c>
      <c r="B99" s="93" t="s">
        <v>685</v>
      </c>
      <c r="C99" s="97" t="s">
        <v>1054</v>
      </c>
      <c r="D99" t="e">
        <f>VLOOKUP(B99,'Clientes CBOT'!D:E,2,0)</f>
        <v>#N/A</v>
      </c>
    </row>
    <row r="100" spans="1:4" hidden="1" x14ac:dyDescent="0.3">
      <c r="A100" s="92">
        <v>17691</v>
      </c>
      <c r="B100" s="92" t="s">
        <v>1055</v>
      </c>
      <c r="C100" s="96" t="s">
        <v>1056</v>
      </c>
      <c r="D100" t="e">
        <f>VLOOKUP(B100,'Clientes CBOT'!D:E,2,0)</f>
        <v>#N/A</v>
      </c>
    </row>
    <row r="101" spans="1:4" hidden="1" x14ac:dyDescent="0.3">
      <c r="A101" s="93">
        <v>20579</v>
      </c>
      <c r="B101" s="93" t="s">
        <v>429</v>
      </c>
      <c r="C101" s="97" t="s">
        <v>1057</v>
      </c>
      <c r="D101" t="e">
        <f>VLOOKUP(B101,'Clientes CBOT'!D:E,2,0)</f>
        <v>#N/A</v>
      </c>
    </row>
    <row r="102" spans="1:4" hidden="1" x14ac:dyDescent="0.3">
      <c r="A102" s="92">
        <v>3798</v>
      </c>
      <c r="B102" s="92" t="s">
        <v>1058</v>
      </c>
      <c r="C102" s="96" t="s">
        <v>1059</v>
      </c>
      <c r="D102" t="e">
        <f>VLOOKUP(B102,'Clientes CBOT'!D:E,2,0)</f>
        <v>#N/A</v>
      </c>
    </row>
    <row r="103" spans="1:4" x14ac:dyDescent="0.3">
      <c r="A103" s="92">
        <v>37357</v>
      </c>
      <c r="B103" s="92" t="s">
        <v>1060</v>
      </c>
      <c r="C103" s="96" t="s">
        <v>1061</v>
      </c>
      <c r="D103">
        <f>VLOOKUP(B103,'Clientes CBOT'!D:E,2,0)</f>
        <v>13009</v>
      </c>
    </row>
    <row r="104" spans="1:4" hidden="1" x14ac:dyDescent="0.3">
      <c r="A104" s="92">
        <v>18797</v>
      </c>
      <c r="B104" s="92" t="s">
        <v>298</v>
      </c>
      <c r="C104" s="96" t="s">
        <v>1062</v>
      </c>
      <c r="D104" t="e">
        <f>VLOOKUP(B104,'Clientes CBOT'!D:E,2,0)</f>
        <v>#N/A</v>
      </c>
    </row>
    <row r="105" spans="1:4" hidden="1" x14ac:dyDescent="0.3">
      <c r="A105" s="92">
        <v>30257</v>
      </c>
      <c r="B105" s="92" t="s">
        <v>611</v>
      </c>
      <c r="C105" s="96" t="s">
        <v>1063</v>
      </c>
      <c r="D105" t="e">
        <f>VLOOKUP(B105,'Clientes CBOT'!D:E,2,0)</f>
        <v>#N/A</v>
      </c>
    </row>
    <row r="106" spans="1:4" hidden="1" x14ac:dyDescent="0.3">
      <c r="A106" s="92">
        <v>30401</v>
      </c>
      <c r="B106" s="92" t="s">
        <v>366</v>
      </c>
      <c r="C106" s="96" t="s">
        <v>1064</v>
      </c>
      <c r="D106" t="e">
        <f>VLOOKUP(B106,'Clientes CBOT'!D:E,2,0)</f>
        <v>#N/A</v>
      </c>
    </row>
    <row r="107" spans="1:4" hidden="1" x14ac:dyDescent="0.3">
      <c r="A107" s="93">
        <v>9743</v>
      </c>
      <c r="B107" s="93" t="s">
        <v>1065</v>
      </c>
      <c r="C107" s="97" t="s">
        <v>1066</v>
      </c>
      <c r="D107" t="e">
        <f>VLOOKUP(B107,'Clientes CBOT'!D:E,2,0)</f>
        <v>#N/A</v>
      </c>
    </row>
    <row r="108" spans="1:4" hidden="1" x14ac:dyDescent="0.3">
      <c r="A108" s="92">
        <v>37627</v>
      </c>
      <c r="B108" s="92" t="s">
        <v>696</v>
      </c>
      <c r="C108" s="96" t="s">
        <v>1067</v>
      </c>
      <c r="D108" t="e">
        <f>VLOOKUP(B108,'Clientes CBOT'!D:E,2,0)</f>
        <v>#N/A</v>
      </c>
    </row>
    <row r="109" spans="1:4" hidden="1" x14ac:dyDescent="0.3">
      <c r="A109" s="93">
        <v>30090</v>
      </c>
      <c r="B109" s="93" t="s">
        <v>619</v>
      </c>
      <c r="C109" s="97" t="s">
        <v>1068</v>
      </c>
      <c r="D109" t="e">
        <f>VLOOKUP(B109,'Clientes CBOT'!D:E,2,0)</f>
        <v>#N/A</v>
      </c>
    </row>
    <row r="110" spans="1:4" hidden="1" x14ac:dyDescent="0.3">
      <c r="A110" s="93">
        <v>33777</v>
      </c>
      <c r="B110" s="93" t="s">
        <v>1069</v>
      </c>
      <c r="C110" s="97" t="s">
        <v>1070</v>
      </c>
      <c r="D110" t="e">
        <f>VLOOKUP(B110,'Clientes CBOT'!D:E,2,0)</f>
        <v>#N/A</v>
      </c>
    </row>
    <row r="111" spans="1:4" hidden="1" x14ac:dyDescent="0.3">
      <c r="A111" s="93">
        <v>3765</v>
      </c>
      <c r="B111" s="93" t="s">
        <v>1071</v>
      </c>
      <c r="C111" s="97" t="s">
        <v>1072</v>
      </c>
      <c r="D111" t="e">
        <f>VLOOKUP(B111,'Clientes CBOT'!D:E,2,0)</f>
        <v>#N/A</v>
      </c>
    </row>
    <row r="112" spans="1:4" hidden="1" x14ac:dyDescent="0.3">
      <c r="A112" s="93">
        <v>20868</v>
      </c>
      <c r="B112" s="93" t="s">
        <v>312</v>
      </c>
      <c r="C112" s="97" t="s">
        <v>1073</v>
      </c>
      <c r="D112" t="e">
        <f>VLOOKUP(B112,'Clientes CBOT'!D:E,2,0)</f>
        <v>#N/A</v>
      </c>
    </row>
    <row r="113" spans="1:4" hidden="1" x14ac:dyDescent="0.3">
      <c r="A113" s="92">
        <v>9831</v>
      </c>
      <c r="B113" s="92" t="s">
        <v>1074</v>
      </c>
      <c r="C113" s="96" t="s">
        <v>1075</v>
      </c>
      <c r="D113" t="e">
        <f>VLOOKUP(B113,'Clientes CBOT'!D:E,2,0)</f>
        <v>#N/A</v>
      </c>
    </row>
    <row r="114" spans="1:4" hidden="1" x14ac:dyDescent="0.3">
      <c r="A114" s="92">
        <v>33867</v>
      </c>
      <c r="B114" s="92" t="s">
        <v>578</v>
      </c>
      <c r="C114" s="96" t="s">
        <v>1076</v>
      </c>
      <c r="D114" t="e">
        <f>VLOOKUP(B114,'Clientes CBOT'!D:E,2,0)</f>
        <v>#N/A</v>
      </c>
    </row>
    <row r="115" spans="1:4" hidden="1" x14ac:dyDescent="0.3">
      <c r="A115" s="92">
        <v>20176</v>
      </c>
      <c r="B115" s="92" t="s">
        <v>448</v>
      </c>
      <c r="C115" s="96" t="s">
        <v>1077</v>
      </c>
      <c r="D115" t="e">
        <f>VLOOKUP(B115,'Clientes CBOT'!D:E,2,0)</f>
        <v>#N/A</v>
      </c>
    </row>
    <row r="116" spans="1:4" hidden="1" x14ac:dyDescent="0.3">
      <c r="A116" s="92">
        <v>7356</v>
      </c>
      <c r="B116" s="92" t="s">
        <v>245</v>
      </c>
      <c r="C116" s="96" t="s">
        <v>1078</v>
      </c>
      <c r="D116" t="e">
        <f>VLOOKUP(B116,'Clientes CBOT'!D:E,2,0)</f>
        <v>#N/A</v>
      </c>
    </row>
    <row r="117" spans="1:4" hidden="1" x14ac:dyDescent="0.3">
      <c r="A117" s="93">
        <v>275</v>
      </c>
      <c r="B117" s="93" t="s">
        <v>360</v>
      </c>
      <c r="C117" s="97" t="s">
        <v>1079</v>
      </c>
      <c r="D117" t="e">
        <f>VLOOKUP(B117,'Clientes CBOT'!D:E,2,0)</f>
        <v>#N/A</v>
      </c>
    </row>
    <row r="118" spans="1:4" hidden="1" x14ac:dyDescent="0.3">
      <c r="A118" s="93">
        <v>18482</v>
      </c>
      <c r="B118" s="93" t="s">
        <v>418</v>
      </c>
      <c r="C118" s="97" t="s">
        <v>1080</v>
      </c>
      <c r="D118" t="e">
        <f>VLOOKUP(B118,'Clientes CBOT'!D:E,2,0)</f>
        <v>#N/A</v>
      </c>
    </row>
    <row r="119" spans="1:4" hidden="1" x14ac:dyDescent="0.3">
      <c r="A119" s="93">
        <v>9449</v>
      </c>
      <c r="B119" s="93" t="s">
        <v>258</v>
      </c>
      <c r="C119" s="97" t="s">
        <v>1081</v>
      </c>
      <c r="D119" t="e">
        <f>VLOOKUP(B119,'Clientes CBOT'!D:E,2,0)</f>
        <v>#N/A</v>
      </c>
    </row>
    <row r="120" spans="1:4" hidden="1" x14ac:dyDescent="0.3">
      <c r="A120" s="92">
        <v>20235</v>
      </c>
      <c r="B120" s="92" t="s">
        <v>1082</v>
      </c>
      <c r="C120" s="96" t="s">
        <v>1083</v>
      </c>
      <c r="D120" t="e">
        <f>VLOOKUP(B120,'Clientes CBOT'!D:E,2,0)</f>
        <v>#N/A</v>
      </c>
    </row>
    <row r="121" spans="1:4" hidden="1" x14ac:dyDescent="0.3">
      <c r="A121" s="93">
        <v>37310</v>
      </c>
      <c r="B121" s="93" t="s">
        <v>1084</v>
      </c>
      <c r="C121" s="97" t="s">
        <v>1085</v>
      </c>
      <c r="D121" t="e">
        <f>VLOOKUP(B121,'Clientes CBOT'!D:E,2,0)</f>
        <v>#N/A</v>
      </c>
    </row>
    <row r="122" spans="1:4" hidden="1" x14ac:dyDescent="0.3">
      <c r="A122" s="93">
        <v>36089</v>
      </c>
      <c r="B122" s="93" t="s">
        <v>557</v>
      </c>
      <c r="C122" s="97" t="s">
        <v>1086</v>
      </c>
      <c r="D122" t="e">
        <f>VLOOKUP(B122,'Clientes CBOT'!D:E,2,0)</f>
        <v>#N/A</v>
      </c>
    </row>
    <row r="123" spans="1:4" hidden="1" x14ac:dyDescent="0.3">
      <c r="A123" s="93">
        <v>35551</v>
      </c>
      <c r="B123" s="93" t="s">
        <v>1087</v>
      </c>
      <c r="C123" s="97" t="s">
        <v>1088</v>
      </c>
      <c r="D123" t="e">
        <f>VLOOKUP(B123,'Clientes CBOT'!D:E,2,0)</f>
        <v>#N/A</v>
      </c>
    </row>
    <row r="124" spans="1:4" hidden="1" x14ac:dyDescent="0.3">
      <c r="A124" s="92">
        <v>9444</v>
      </c>
      <c r="B124" s="92" t="s">
        <v>1089</v>
      </c>
      <c r="C124" s="96" t="s">
        <v>1090</v>
      </c>
      <c r="D124" t="e">
        <f>VLOOKUP(B124,'Clientes CBOT'!D:E,2,0)</f>
        <v>#N/A</v>
      </c>
    </row>
    <row r="125" spans="1:4" hidden="1" x14ac:dyDescent="0.3">
      <c r="A125" s="92">
        <v>18212</v>
      </c>
      <c r="B125" s="92" t="s">
        <v>1091</v>
      </c>
      <c r="C125" s="96" t="s">
        <v>1092</v>
      </c>
      <c r="D125" t="e">
        <f>VLOOKUP(B125,'Clientes CBOT'!D:E,2,0)</f>
        <v>#N/A</v>
      </c>
    </row>
    <row r="126" spans="1:4" hidden="1" x14ac:dyDescent="0.3">
      <c r="A126" s="92">
        <v>35447</v>
      </c>
      <c r="B126" s="92" t="s">
        <v>352</v>
      </c>
      <c r="C126" s="96" t="s">
        <v>1093</v>
      </c>
      <c r="D126" t="e">
        <f>VLOOKUP(B126,'Clientes CBOT'!D:E,2,0)</f>
        <v>#N/A</v>
      </c>
    </row>
    <row r="127" spans="1:4" hidden="1" x14ac:dyDescent="0.3">
      <c r="A127" s="92">
        <v>37771</v>
      </c>
      <c r="B127" s="92" t="s">
        <v>1094</v>
      </c>
      <c r="C127" s="96" t="s">
        <v>1095</v>
      </c>
      <c r="D127" t="e">
        <f>VLOOKUP(B127,'Clientes CBOT'!D:E,2,0)</f>
        <v>#N/A</v>
      </c>
    </row>
    <row r="128" spans="1:4" hidden="1" x14ac:dyDescent="0.3">
      <c r="A128" s="92">
        <v>20263</v>
      </c>
      <c r="B128" s="92" t="s">
        <v>1096</v>
      </c>
      <c r="C128" s="96" t="s">
        <v>1097</v>
      </c>
      <c r="D128" t="e">
        <f>VLOOKUP(B128,'Clientes CBOT'!D:E,2,0)</f>
        <v>#N/A</v>
      </c>
    </row>
    <row r="129" spans="1:4" hidden="1" x14ac:dyDescent="0.3">
      <c r="A129" s="92">
        <v>8172</v>
      </c>
      <c r="B129" s="92" t="s">
        <v>492</v>
      </c>
      <c r="C129" s="96" t="s">
        <v>1098</v>
      </c>
      <c r="D129" t="e">
        <f>VLOOKUP(B129,'Clientes CBOT'!D:E,2,0)</f>
        <v>#N/A</v>
      </c>
    </row>
    <row r="130" spans="1:4" hidden="1" x14ac:dyDescent="0.3">
      <c r="A130" s="93">
        <v>33007</v>
      </c>
      <c r="B130" s="93" t="s">
        <v>256</v>
      </c>
      <c r="C130" s="97" t="s">
        <v>1099</v>
      </c>
      <c r="D130" t="e">
        <f>VLOOKUP(B130,'Clientes CBOT'!D:E,2,0)</f>
        <v>#N/A</v>
      </c>
    </row>
    <row r="131" spans="1:4" hidden="1" x14ac:dyDescent="0.3">
      <c r="A131" s="92">
        <v>35241</v>
      </c>
      <c r="B131" s="92" t="s">
        <v>294</v>
      </c>
      <c r="C131" s="96" t="s">
        <v>1100</v>
      </c>
      <c r="D131" t="e">
        <f>VLOOKUP(B131,'Clientes CBOT'!D:E,2,0)</f>
        <v>#N/A</v>
      </c>
    </row>
    <row r="132" spans="1:4" hidden="1" x14ac:dyDescent="0.3">
      <c r="A132" s="92">
        <v>35959</v>
      </c>
      <c r="B132" s="92" t="s">
        <v>1101</v>
      </c>
      <c r="C132" s="96" t="s">
        <v>1102</v>
      </c>
      <c r="D132" t="e">
        <f>VLOOKUP(B132,'Clientes CBOT'!D:E,2,0)</f>
        <v>#N/A</v>
      </c>
    </row>
    <row r="133" spans="1:4" hidden="1" x14ac:dyDescent="0.3">
      <c r="A133" s="93">
        <v>17933</v>
      </c>
      <c r="B133" s="93" t="s">
        <v>336</v>
      </c>
      <c r="C133" s="97" t="s">
        <v>1103</v>
      </c>
      <c r="D133" t="e">
        <f>VLOOKUP(B133,'Clientes CBOT'!D:E,2,0)</f>
        <v>#N/A</v>
      </c>
    </row>
    <row r="134" spans="1:4" hidden="1" x14ac:dyDescent="0.3">
      <c r="A134" s="92">
        <v>32301</v>
      </c>
      <c r="B134" s="92" t="s">
        <v>493</v>
      </c>
      <c r="C134" s="96" t="s">
        <v>1104</v>
      </c>
      <c r="D134" t="e">
        <f>VLOOKUP(B134,'Clientes CBOT'!D:E,2,0)</f>
        <v>#N/A</v>
      </c>
    </row>
    <row r="135" spans="1:4" hidden="1" x14ac:dyDescent="0.3">
      <c r="A135" s="92">
        <v>36227</v>
      </c>
      <c r="B135" s="92" t="s">
        <v>606</v>
      </c>
      <c r="C135" s="96" t="s">
        <v>1105</v>
      </c>
      <c r="D135" t="e">
        <f>VLOOKUP(B135,'Clientes CBOT'!D:E,2,0)</f>
        <v>#N/A</v>
      </c>
    </row>
    <row r="136" spans="1:4" hidden="1" x14ac:dyDescent="0.3">
      <c r="A136" s="92">
        <v>36914</v>
      </c>
      <c r="B136" s="92" t="s">
        <v>315</v>
      </c>
      <c r="C136" s="96" t="s">
        <v>1106</v>
      </c>
      <c r="D136" t="e">
        <f>VLOOKUP(B136,'Clientes CBOT'!D:E,2,0)</f>
        <v>#N/A</v>
      </c>
    </row>
    <row r="137" spans="1:4" hidden="1" x14ac:dyDescent="0.3">
      <c r="A137" s="93">
        <v>8545</v>
      </c>
      <c r="B137" s="93" t="s">
        <v>414</v>
      </c>
      <c r="C137" s="97" t="s">
        <v>1107</v>
      </c>
      <c r="D137" t="e">
        <f>VLOOKUP(B137,'Clientes CBOT'!D:E,2,0)</f>
        <v>#N/A</v>
      </c>
    </row>
    <row r="138" spans="1:4" hidden="1" x14ac:dyDescent="0.3">
      <c r="A138" s="93">
        <v>7548</v>
      </c>
      <c r="B138" s="93" t="s">
        <v>620</v>
      </c>
      <c r="C138" s="97" t="s">
        <v>1108</v>
      </c>
      <c r="D138" t="e">
        <f>VLOOKUP(B138,'Clientes CBOT'!D:E,2,0)</f>
        <v>#N/A</v>
      </c>
    </row>
    <row r="139" spans="1:4" hidden="1" x14ac:dyDescent="0.3">
      <c r="A139" s="92">
        <v>32413</v>
      </c>
      <c r="B139" s="92" t="s">
        <v>407</v>
      </c>
      <c r="C139" s="96" t="s">
        <v>1109</v>
      </c>
      <c r="D139" t="e">
        <f>VLOOKUP(B139,'Clientes CBOT'!D:E,2,0)</f>
        <v>#N/A</v>
      </c>
    </row>
    <row r="140" spans="1:4" hidden="1" x14ac:dyDescent="0.3">
      <c r="A140" s="93">
        <v>31192</v>
      </c>
      <c r="B140" s="93" t="s">
        <v>509</v>
      </c>
      <c r="C140" s="97" t="s">
        <v>1110</v>
      </c>
      <c r="D140" t="e">
        <f>VLOOKUP(B140,'Clientes CBOT'!D:E,2,0)</f>
        <v>#N/A</v>
      </c>
    </row>
    <row r="141" spans="1:4" hidden="1" x14ac:dyDescent="0.3">
      <c r="A141" s="93">
        <v>37326</v>
      </c>
      <c r="B141" s="93" t="s">
        <v>716</v>
      </c>
      <c r="C141" s="97" t="s">
        <v>1111</v>
      </c>
      <c r="D141" t="e">
        <f>VLOOKUP(B141,'Clientes CBOT'!D:E,2,0)</f>
        <v>#N/A</v>
      </c>
    </row>
    <row r="142" spans="1:4" hidden="1" x14ac:dyDescent="0.3">
      <c r="A142" s="93">
        <v>19442</v>
      </c>
      <c r="B142" s="93" t="s">
        <v>309</v>
      </c>
      <c r="C142" s="97" t="s">
        <v>1112</v>
      </c>
      <c r="D142" t="e">
        <f>VLOOKUP(B142,'Clientes CBOT'!D:E,2,0)</f>
        <v>#N/A</v>
      </c>
    </row>
    <row r="143" spans="1:4" hidden="1" x14ac:dyDescent="0.3">
      <c r="A143" s="92">
        <v>37208</v>
      </c>
      <c r="B143" s="92" t="s">
        <v>1113</v>
      </c>
      <c r="C143" s="96" t="s">
        <v>1114</v>
      </c>
      <c r="D143" t="e">
        <f>VLOOKUP(B143,'Clientes CBOT'!D:E,2,0)</f>
        <v>#N/A</v>
      </c>
    </row>
    <row r="144" spans="1:4" hidden="1" x14ac:dyDescent="0.3">
      <c r="A144" s="92">
        <v>33543</v>
      </c>
      <c r="B144" s="92" t="s">
        <v>458</v>
      </c>
      <c r="C144" s="96" t="s">
        <v>1115</v>
      </c>
      <c r="D144" t="e">
        <f>VLOOKUP(B144,'Clientes CBOT'!D:E,2,0)</f>
        <v>#N/A</v>
      </c>
    </row>
    <row r="145" spans="1:4" hidden="1" x14ac:dyDescent="0.3">
      <c r="A145" s="93">
        <v>18752</v>
      </c>
      <c r="B145" s="93" t="s">
        <v>494</v>
      </c>
      <c r="C145" s="97" t="s">
        <v>1116</v>
      </c>
      <c r="D145" t="e">
        <f>VLOOKUP(B145,'Clientes CBOT'!D:E,2,0)</f>
        <v>#N/A</v>
      </c>
    </row>
    <row r="146" spans="1:4" hidden="1" x14ac:dyDescent="0.3">
      <c r="A146" s="92">
        <v>13942</v>
      </c>
      <c r="B146" s="92" t="s">
        <v>507</v>
      </c>
      <c r="C146" s="96" t="s">
        <v>1117</v>
      </c>
      <c r="D146" t="e">
        <f>VLOOKUP(B146,'Clientes CBOT'!D:E,2,0)</f>
        <v>#N/A</v>
      </c>
    </row>
    <row r="147" spans="1:4" hidden="1" x14ac:dyDescent="0.3">
      <c r="A147" s="92">
        <v>33099</v>
      </c>
      <c r="B147" s="92" t="s">
        <v>346</v>
      </c>
      <c r="C147" s="96" t="s">
        <v>1118</v>
      </c>
      <c r="D147" t="e">
        <f>VLOOKUP(B147,'Clientes CBOT'!D:E,2,0)</f>
        <v>#N/A</v>
      </c>
    </row>
    <row r="148" spans="1:4" hidden="1" x14ac:dyDescent="0.3">
      <c r="A148" s="93">
        <v>31936</v>
      </c>
      <c r="B148" s="93" t="s">
        <v>456</v>
      </c>
      <c r="C148" s="97" t="s">
        <v>1119</v>
      </c>
      <c r="D148" t="e">
        <f>VLOOKUP(B148,'Clientes CBOT'!D:E,2,0)</f>
        <v>#N/A</v>
      </c>
    </row>
    <row r="149" spans="1:4" hidden="1" x14ac:dyDescent="0.3">
      <c r="A149" s="93">
        <v>9817</v>
      </c>
      <c r="B149" s="93" t="s">
        <v>396</v>
      </c>
      <c r="C149" s="97" t="s">
        <v>1120</v>
      </c>
      <c r="D149" t="e">
        <f>VLOOKUP(B149,'Clientes CBOT'!D:E,2,0)</f>
        <v>#N/A</v>
      </c>
    </row>
    <row r="150" spans="1:4" hidden="1" x14ac:dyDescent="0.3">
      <c r="A150" s="93">
        <v>18220</v>
      </c>
      <c r="B150" s="93" t="s">
        <v>531</v>
      </c>
      <c r="C150" s="97" t="s">
        <v>1121</v>
      </c>
      <c r="D150" t="e">
        <f>VLOOKUP(B150,'Clientes CBOT'!D:E,2,0)</f>
        <v>#N/A</v>
      </c>
    </row>
    <row r="151" spans="1:4" hidden="1" x14ac:dyDescent="0.3">
      <c r="A151" s="92">
        <v>36873</v>
      </c>
      <c r="B151" s="92" t="s">
        <v>1122</v>
      </c>
      <c r="C151" s="96" t="s">
        <v>1123</v>
      </c>
      <c r="D151" t="e">
        <f>VLOOKUP(B151,'Clientes CBOT'!D:E,2,0)</f>
        <v>#N/A</v>
      </c>
    </row>
    <row r="152" spans="1:4" hidden="1" x14ac:dyDescent="0.3">
      <c r="A152" s="92">
        <v>32623</v>
      </c>
      <c r="B152" s="92" t="s">
        <v>335</v>
      </c>
      <c r="C152" s="96" t="s">
        <v>1124</v>
      </c>
      <c r="D152" t="e">
        <f>VLOOKUP(B152,'Clientes CBOT'!D:E,2,0)</f>
        <v>#N/A</v>
      </c>
    </row>
    <row r="153" spans="1:4" hidden="1" x14ac:dyDescent="0.3">
      <c r="A153" s="93">
        <v>30123</v>
      </c>
      <c r="B153" s="93" t="s">
        <v>599</v>
      </c>
      <c r="C153" s="97" t="s">
        <v>1125</v>
      </c>
      <c r="D153" t="e">
        <f>VLOOKUP(B153,'Clientes CBOT'!D:E,2,0)</f>
        <v>#N/A</v>
      </c>
    </row>
    <row r="154" spans="1:4" hidden="1" x14ac:dyDescent="0.3">
      <c r="A154" s="92">
        <v>32828</v>
      </c>
      <c r="B154" s="92" t="s">
        <v>605</v>
      </c>
      <c r="C154" s="96" t="s">
        <v>1126</v>
      </c>
      <c r="D154" t="e">
        <f>VLOOKUP(B154,'Clientes CBOT'!D:E,2,0)</f>
        <v>#N/A</v>
      </c>
    </row>
    <row r="155" spans="1:4" hidden="1" x14ac:dyDescent="0.3">
      <c r="A155" s="93">
        <v>10057</v>
      </c>
      <c r="B155" s="93" t="s">
        <v>372</v>
      </c>
      <c r="C155" s="97" t="s">
        <v>1127</v>
      </c>
      <c r="D155" t="e">
        <f>VLOOKUP(B155,'Clientes CBOT'!D:E,2,0)</f>
        <v>#N/A</v>
      </c>
    </row>
    <row r="156" spans="1:4" hidden="1" x14ac:dyDescent="0.3">
      <c r="A156" s="92">
        <v>35127</v>
      </c>
      <c r="B156" s="92" t="s">
        <v>306</v>
      </c>
      <c r="C156" s="96" t="s">
        <v>1128</v>
      </c>
      <c r="D156" t="e">
        <f>VLOOKUP(B156,'Clientes CBOT'!D:E,2,0)</f>
        <v>#N/A</v>
      </c>
    </row>
    <row r="157" spans="1:4" hidden="1" x14ac:dyDescent="0.3">
      <c r="A157" s="92">
        <v>19501</v>
      </c>
      <c r="B157" s="92" t="s">
        <v>192</v>
      </c>
      <c r="C157" s="96" t="s">
        <v>1129</v>
      </c>
      <c r="D157" t="e">
        <f>VLOOKUP(B157,'Clientes CBOT'!D:E,2,0)</f>
        <v>#N/A</v>
      </c>
    </row>
    <row r="158" spans="1:4" hidden="1" x14ac:dyDescent="0.3">
      <c r="A158" s="92">
        <v>36902</v>
      </c>
      <c r="B158" s="92" t="s">
        <v>1130</v>
      </c>
      <c r="C158" s="96" t="s">
        <v>1131</v>
      </c>
      <c r="D158" t="e">
        <f>VLOOKUP(B158,'Clientes CBOT'!D:E,2,0)</f>
        <v>#N/A</v>
      </c>
    </row>
    <row r="159" spans="1:4" hidden="1" x14ac:dyDescent="0.3">
      <c r="A159" s="92">
        <v>17661</v>
      </c>
      <c r="B159" s="92" t="s">
        <v>255</v>
      </c>
      <c r="C159" s="96" t="s">
        <v>1132</v>
      </c>
      <c r="D159" t="e">
        <f>VLOOKUP(B159,'Clientes CBOT'!D:E,2,0)</f>
        <v>#N/A</v>
      </c>
    </row>
    <row r="160" spans="1:4" hidden="1" x14ac:dyDescent="0.3">
      <c r="A160" s="93">
        <v>34636</v>
      </c>
      <c r="B160" s="93" t="s">
        <v>503</v>
      </c>
      <c r="C160" s="97" t="s">
        <v>1133</v>
      </c>
      <c r="D160" t="e">
        <f>VLOOKUP(B160,'Clientes CBOT'!D:E,2,0)</f>
        <v>#N/A</v>
      </c>
    </row>
    <row r="161" spans="1:4" hidden="1" x14ac:dyDescent="0.3">
      <c r="A161" s="92">
        <v>20218</v>
      </c>
      <c r="B161" s="92" t="s">
        <v>533</v>
      </c>
      <c r="C161" s="96" t="s">
        <v>1134</v>
      </c>
      <c r="D161" t="e">
        <f>VLOOKUP(B161,'Clientes CBOT'!D:E,2,0)</f>
        <v>#N/A</v>
      </c>
    </row>
    <row r="162" spans="1:4" hidden="1" x14ac:dyDescent="0.3">
      <c r="A162" s="93">
        <v>4429</v>
      </c>
      <c r="B162" s="93" t="s">
        <v>210</v>
      </c>
      <c r="C162" s="97" t="s">
        <v>1135</v>
      </c>
      <c r="D162" t="e">
        <f>VLOOKUP(B162,'Clientes CBOT'!D:E,2,0)</f>
        <v>#N/A</v>
      </c>
    </row>
    <row r="163" spans="1:4" hidden="1" x14ac:dyDescent="0.3">
      <c r="A163" s="93">
        <v>37012</v>
      </c>
      <c r="B163" s="93" t="s">
        <v>1136</v>
      </c>
      <c r="C163" s="97" t="s">
        <v>1137</v>
      </c>
      <c r="D163" t="e">
        <f>VLOOKUP(B163,'Clientes CBOT'!D:E,2,0)</f>
        <v>#N/A</v>
      </c>
    </row>
    <row r="164" spans="1:4" hidden="1" x14ac:dyDescent="0.3">
      <c r="A164" s="92">
        <v>36459</v>
      </c>
      <c r="B164" s="92" t="s">
        <v>296</v>
      </c>
      <c r="C164" s="96" t="s">
        <v>1138</v>
      </c>
      <c r="D164" t="e">
        <f>VLOOKUP(B164,'Clientes CBOT'!D:E,2,0)</f>
        <v>#N/A</v>
      </c>
    </row>
    <row r="165" spans="1:4" hidden="1" x14ac:dyDescent="0.3">
      <c r="A165" s="93">
        <v>17832</v>
      </c>
      <c r="B165" s="93" t="s">
        <v>1139</v>
      </c>
      <c r="C165" s="97" t="s">
        <v>1140</v>
      </c>
      <c r="D165" t="e">
        <f>VLOOKUP(B165,'Clientes CBOT'!D:E,2,0)</f>
        <v>#N/A</v>
      </c>
    </row>
    <row r="166" spans="1:4" hidden="1" x14ac:dyDescent="0.3">
      <c r="A166" s="92">
        <v>34268</v>
      </c>
      <c r="B166" s="92" t="s">
        <v>1141</v>
      </c>
      <c r="C166" s="96" t="s">
        <v>1142</v>
      </c>
      <c r="D166" t="e">
        <f>VLOOKUP(B166,'Clientes CBOT'!D:E,2,0)</f>
        <v>#N/A</v>
      </c>
    </row>
    <row r="167" spans="1:4" hidden="1" x14ac:dyDescent="0.3">
      <c r="A167" s="93">
        <v>652</v>
      </c>
      <c r="B167" s="93" t="s">
        <v>447</v>
      </c>
      <c r="C167" s="97" t="s">
        <v>1143</v>
      </c>
      <c r="D167" t="e">
        <f>VLOOKUP(B167,'Clientes CBOT'!D:E,2,0)</f>
        <v>#N/A</v>
      </c>
    </row>
    <row r="168" spans="1:4" hidden="1" x14ac:dyDescent="0.3">
      <c r="A168" s="92">
        <v>34098</v>
      </c>
      <c r="B168" s="92" t="s">
        <v>393</v>
      </c>
      <c r="C168" s="96" t="s">
        <v>1144</v>
      </c>
      <c r="D168" t="e">
        <f>VLOOKUP(B168,'Clientes CBOT'!D:E,2,0)</f>
        <v>#N/A</v>
      </c>
    </row>
    <row r="169" spans="1:4" hidden="1" x14ac:dyDescent="0.3">
      <c r="A169" s="92">
        <v>31525</v>
      </c>
      <c r="B169" s="92" t="s">
        <v>432</v>
      </c>
      <c r="C169" s="96" t="s">
        <v>1145</v>
      </c>
      <c r="D169" t="e">
        <f>VLOOKUP(B169,'Clientes CBOT'!D:E,2,0)</f>
        <v>#N/A</v>
      </c>
    </row>
    <row r="170" spans="1:4" hidden="1" x14ac:dyDescent="0.3">
      <c r="A170" s="93">
        <v>19820</v>
      </c>
      <c r="B170" s="93" t="s">
        <v>216</v>
      </c>
      <c r="C170" s="97" t="s">
        <v>1146</v>
      </c>
      <c r="D170" t="e">
        <f>VLOOKUP(B170,'Clientes CBOT'!D:E,2,0)</f>
        <v>#N/A</v>
      </c>
    </row>
    <row r="171" spans="1:4" hidden="1" x14ac:dyDescent="0.3">
      <c r="A171" s="93">
        <v>8008</v>
      </c>
      <c r="B171" s="93" t="s">
        <v>1147</v>
      </c>
      <c r="C171" s="97" t="s">
        <v>1148</v>
      </c>
      <c r="D171" t="e">
        <f>VLOOKUP(B171,'Clientes CBOT'!D:E,2,0)</f>
        <v>#N/A</v>
      </c>
    </row>
    <row r="172" spans="1:4" hidden="1" x14ac:dyDescent="0.3">
      <c r="A172" s="93">
        <v>5486</v>
      </c>
      <c r="B172" s="93" t="s">
        <v>226</v>
      </c>
      <c r="C172" s="97" t="s">
        <v>1149</v>
      </c>
      <c r="D172" t="e">
        <f>VLOOKUP(B172,'Clientes CBOT'!D:E,2,0)</f>
        <v>#N/A</v>
      </c>
    </row>
    <row r="173" spans="1:4" hidden="1" x14ac:dyDescent="0.3">
      <c r="A173" s="92">
        <v>2217</v>
      </c>
      <c r="B173" s="92" t="s">
        <v>433</v>
      </c>
      <c r="C173" s="96" t="s">
        <v>1150</v>
      </c>
      <c r="D173" t="e">
        <f>VLOOKUP(B173,'Clientes CBOT'!D:E,2,0)</f>
        <v>#N/A</v>
      </c>
    </row>
    <row r="174" spans="1:4" hidden="1" x14ac:dyDescent="0.3">
      <c r="A174" s="92">
        <v>31666</v>
      </c>
      <c r="B174" s="92" t="s">
        <v>1151</v>
      </c>
      <c r="C174" s="96" t="s">
        <v>1152</v>
      </c>
      <c r="D174" t="e">
        <f>VLOOKUP(B174,'Clientes CBOT'!D:E,2,0)</f>
        <v>#N/A</v>
      </c>
    </row>
    <row r="175" spans="1:4" hidden="1" x14ac:dyDescent="0.3">
      <c r="A175" s="92">
        <v>5003</v>
      </c>
      <c r="B175" s="92" t="s">
        <v>1153</v>
      </c>
      <c r="C175" s="96" t="s">
        <v>1154</v>
      </c>
      <c r="D175" t="e">
        <f>VLOOKUP(B175,'Clientes CBOT'!D:E,2,0)</f>
        <v>#N/A</v>
      </c>
    </row>
    <row r="176" spans="1:4" hidden="1" x14ac:dyDescent="0.3">
      <c r="A176" s="93">
        <v>37337</v>
      </c>
      <c r="B176" s="93" t="s">
        <v>682</v>
      </c>
      <c r="C176" s="97" t="s">
        <v>1155</v>
      </c>
      <c r="D176" t="e">
        <f>VLOOKUP(B176,'Clientes CBOT'!D:E,2,0)</f>
        <v>#N/A</v>
      </c>
    </row>
    <row r="177" spans="1:4" hidden="1" x14ac:dyDescent="0.3">
      <c r="A177" s="92">
        <v>19639</v>
      </c>
      <c r="B177" s="92" t="s">
        <v>1156</v>
      </c>
      <c r="C177" s="96" t="s">
        <v>1157</v>
      </c>
      <c r="D177" t="e">
        <f>VLOOKUP(B177,'Clientes CBOT'!D:E,2,0)</f>
        <v>#N/A</v>
      </c>
    </row>
    <row r="178" spans="1:4" x14ac:dyDescent="0.3">
      <c r="A178" s="92">
        <v>32893</v>
      </c>
      <c r="B178" s="92" t="s">
        <v>125</v>
      </c>
      <c r="C178" s="96" t="s">
        <v>1158</v>
      </c>
      <c r="D178">
        <f>VLOOKUP(B178,'Clientes CBOT'!D:E,2,0)</f>
        <v>13036</v>
      </c>
    </row>
    <row r="179" spans="1:4" hidden="1" x14ac:dyDescent="0.3">
      <c r="A179" s="92">
        <v>17746</v>
      </c>
      <c r="B179" s="92" t="s">
        <v>229</v>
      </c>
      <c r="C179" s="96" t="s">
        <v>1159</v>
      </c>
      <c r="D179" t="e">
        <f>VLOOKUP(B179,'Clientes CBOT'!D:E,2,0)</f>
        <v>#N/A</v>
      </c>
    </row>
    <row r="180" spans="1:4" hidden="1" x14ac:dyDescent="0.3">
      <c r="A180" s="93">
        <v>30388</v>
      </c>
      <c r="B180" s="93" t="s">
        <v>290</v>
      </c>
      <c r="C180" s="97" t="s">
        <v>1160</v>
      </c>
      <c r="D180" t="e">
        <f>VLOOKUP(B180,'Clientes CBOT'!D:E,2,0)</f>
        <v>#N/A</v>
      </c>
    </row>
    <row r="181" spans="1:4" hidden="1" x14ac:dyDescent="0.3">
      <c r="A181" s="93">
        <v>32448</v>
      </c>
      <c r="B181" s="93" t="s">
        <v>1161</v>
      </c>
      <c r="C181" s="97" t="s">
        <v>1162</v>
      </c>
      <c r="D181" t="e">
        <f>VLOOKUP(B181,'Clientes CBOT'!D:E,2,0)</f>
        <v>#N/A</v>
      </c>
    </row>
    <row r="182" spans="1:4" hidden="1" x14ac:dyDescent="0.3">
      <c r="A182" s="92">
        <v>20351</v>
      </c>
      <c r="B182" s="92" t="s">
        <v>1163</v>
      </c>
      <c r="C182" s="96" t="s">
        <v>1164</v>
      </c>
      <c r="D182" t="e">
        <f>VLOOKUP(B182,'Clientes CBOT'!D:E,2,0)</f>
        <v>#N/A</v>
      </c>
    </row>
    <row r="183" spans="1:4" hidden="1" x14ac:dyDescent="0.3">
      <c r="A183" s="93">
        <v>7020</v>
      </c>
      <c r="B183" s="93" t="s">
        <v>223</v>
      </c>
      <c r="C183" s="97" t="s">
        <v>1165</v>
      </c>
      <c r="D183" t="e">
        <f>VLOOKUP(B183,'Clientes CBOT'!D:E,2,0)</f>
        <v>#N/A</v>
      </c>
    </row>
    <row r="184" spans="1:4" hidden="1" x14ac:dyDescent="0.3">
      <c r="A184" s="93">
        <v>19330</v>
      </c>
      <c r="B184" s="93" t="s">
        <v>293</v>
      </c>
      <c r="C184" s="97" t="s">
        <v>1166</v>
      </c>
      <c r="D184" t="e">
        <f>VLOOKUP(B184,'Clientes CBOT'!D:E,2,0)</f>
        <v>#N/A</v>
      </c>
    </row>
    <row r="185" spans="1:4" hidden="1" x14ac:dyDescent="0.3">
      <c r="A185" s="92">
        <v>33182</v>
      </c>
      <c r="B185" s="92" t="s">
        <v>238</v>
      </c>
      <c r="C185" s="96" t="s">
        <v>1167</v>
      </c>
      <c r="D185" t="e">
        <f>VLOOKUP(B185,'Clientes CBOT'!D:E,2,0)</f>
        <v>#N/A</v>
      </c>
    </row>
    <row r="186" spans="1:4" hidden="1" x14ac:dyDescent="0.3">
      <c r="A186" s="93">
        <v>4368</v>
      </c>
      <c r="B186" s="93" t="s">
        <v>1168</v>
      </c>
      <c r="C186" s="97" t="s">
        <v>1169</v>
      </c>
      <c r="D186" t="e">
        <f>VLOOKUP(B186,'Clientes CBOT'!D:E,2,0)</f>
        <v>#N/A</v>
      </c>
    </row>
    <row r="187" spans="1:4" hidden="1" x14ac:dyDescent="0.3">
      <c r="A187" s="92">
        <v>35830</v>
      </c>
      <c r="B187" s="92" t="s">
        <v>333</v>
      </c>
      <c r="C187" s="96" t="s">
        <v>1170</v>
      </c>
      <c r="D187" t="e">
        <f>VLOOKUP(B187,'Clientes CBOT'!D:E,2,0)</f>
        <v>#N/A</v>
      </c>
    </row>
    <row r="188" spans="1:4" hidden="1" x14ac:dyDescent="0.3">
      <c r="A188" s="92">
        <v>20565</v>
      </c>
      <c r="B188" s="92" t="s">
        <v>1171</v>
      </c>
      <c r="C188" s="96" t="s">
        <v>1172</v>
      </c>
      <c r="D188" t="e">
        <f>VLOOKUP(B188,'Clientes CBOT'!D:E,2,0)</f>
        <v>#N/A</v>
      </c>
    </row>
    <row r="189" spans="1:4" hidden="1" x14ac:dyDescent="0.3">
      <c r="A189" s="92">
        <v>35437</v>
      </c>
      <c r="B189" s="92" t="s">
        <v>332</v>
      </c>
      <c r="C189" s="96" t="s">
        <v>1173</v>
      </c>
      <c r="D189" t="e">
        <f>VLOOKUP(B189,'Clientes CBOT'!D:E,2,0)</f>
        <v>#N/A</v>
      </c>
    </row>
    <row r="190" spans="1:4" hidden="1" x14ac:dyDescent="0.3">
      <c r="A190" s="93">
        <v>36472</v>
      </c>
      <c r="B190" s="93" t="s">
        <v>467</v>
      </c>
      <c r="C190" s="97" t="s">
        <v>1174</v>
      </c>
      <c r="D190" t="e">
        <f>VLOOKUP(B190,'Clientes CBOT'!D:E,2,0)</f>
        <v>#N/A</v>
      </c>
    </row>
    <row r="191" spans="1:4" hidden="1" x14ac:dyDescent="0.3">
      <c r="A191" s="92">
        <v>36829</v>
      </c>
      <c r="B191" s="92" t="s">
        <v>516</v>
      </c>
      <c r="C191" s="96" t="s">
        <v>1175</v>
      </c>
      <c r="D191" t="e">
        <f>VLOOKUP(B191,'Clientes CBOT'!D:E,2,0)</f>
        <v>#N/A</v>
      </c>
    </row>
    <row r="192" spans="1:4" hidden="1" x14ac:dyDescent="0.3">
      <c r="A192" s="93">
        <v>32394</v>
      </c>
      <c r="B192" s="93" t="s">
        <v>720</v>
      </c>
      <c r="C192" s="97" t="s">
        <v>1176</v>
      </c>
      <c r="D192" t="e">
        <f>VLOOKUP(B192,'Clientes CBOT'!D:E,2,0)</f>
        <v>#N/A</v>
      </c>
    </row>
    <row r="193" spans="1:4" hidden="1" x14ac:dyDescent="0.3">
      <c r="A193" s="92">
        <v>2240</v>
      </c>
      <c r="B193" s="92" t="s">
        <v>1177</v>
      </c>
      <c r="C193" s="96" t="s">
        <v>1178</v>
      </c>
      <c r="D193" t="e">
        <f>VLOOKUP(B193,'Clientes CBOT'!D:E,2,0)</f>
        <v>#N/A</v>
      </c>
    </row>
    <row r="194" spans="1:4" hidden="1" x14ac:dyDescent="0.3">
      <c r="A194" s="93">
        <v>37202</v>
      </c>
      <c r="B194" s="93" t="s">
        <v>1179</v>
      </c>
      <c r="C194" s="97" t="s">
        <v>1180</v>
      </c>
      <c r="D194" t="e">
        <f>VLOOKUP(B194,'Clientes CBOT'!D:E,2,0)</f>
        <v>#N/A</v>
      </c>
    </row>
    <row r="195" spans="1:4" hidden="1" x14ac:dyDescent="0.3">
      <c r="A195" s="92">
        <v>17504</v>
      </c>
      <c r="B195" s="92" t="s">
        <v>1181</v>
      </c>
      <c r="C195" s="96" t="s">
        <v>1182</v>
      </c>
      <c r="D195" t="e">
        <f>VLOOKUP(B195,'Clientes CBOT'!D:E,2,0)</f>
        <v>#N/A</v>
      </c>
    </row>
    <row r="196" spans="1:4" hidden="1" x14ac:dyDescent="0.3">
      <c r="A196" s="93">
        <v>19363</v>
      </c>
      <c r="B196" s="93" t="s">
        <v>1183</v>
      </c>
      <c r="C196" s="97" t="s">
        <v>1184</v>
      </c>
      <c r="D196" t="e">
        <f>VLOOKUP(B196,'Clientes CBOT'!D:E,2,0)</f>
        <v>#N/A</v>
      </c>
    </row>
    <row r="197" spans="1:4" hidden="1" x14ac:dyDescent="0.3">
      <c r="A197" s="92">
        <v>30043</v>
      </c>
      <c r="B197" s="92" t="s">
        <v>196</v>
      </c>
      <c r="C197" s="96" t="s">
        <v>1185</v>
      </c>
      <c r="D197" t="e">
        <f>VLOOKUP(B197,'Clientes CBOT'!D:E,2,0)</f>
        <v>#N/A</v>
      </c>
    </row>
    <row r="198" spans="1:4" hidden="1" x14ac:dyDescent="0.3">
      <c r="A198" s="93">
        <v>33372</v>
      </c>
      <c r="B198" s="93" t="s">
        <v>416</v>
      </c>
      <c r="C198" s="97" t="s">
        <v>1186</v>
      </c>
      <c r="D198" t="e">
        <f>VLOOKUP(B198,'Clientes CBOT'!D:E,2,0)</f>
        <v>#N/A</v>
      </c>
    </row>
    <row r="199" spans="1:4" hidden="1" x14ac:dyDescent="0.3">
      <c r="A199" s="92">
        <v>18781</v>
      </c>
      <c r="B199" s="92" t="s">
        <v>242</v>
      </c>
      <c r="C199" s="96" t="s">
        <v>1187</v>
      </c>
      <c r="D199" t="e">
        <f>VLOOKUP(B199,'Clientes CBOT'!D:E,2,0)</f>
        <v>#N/A</v>
      </c>
    </row>
    <row r="200" spans="1:4" hidden="1" x14ac:dyDescent="0.3">
      <c r="A200" s="92">
        <v>8614</v>
      </c>
      <c r="B200" s="92" t="s">
        <v>530</v>
      </c>
      <c r="C200" s="96" t="s">
        <v>1188</v>
      </c>
      <c r="D200" t="e">
        <f>VLOOKUP(B200,'Clientes CBOT'!D:E,2,0)</f>
        <v>#N/A</v>
      </c>
    </row>
    <row r="201" spans="1:4" hidden="1" x14ac:dyDescent="0.3">
      <c r="A201" s="93">
        <v>30036</v>
      </c>
      <c r="B201" s="93" t="s">
        <v>445</v>
      </c>
      <c r="C201" s="97" t="s">
        <v>1189</v>
      </c>
      <c r="D201" t="e">
        <f>VLOOKUP(B201,'Clientes CBOT'!D:E,2,0)</f>
        <v>#N/A</v>
      </c>
    </row>
    <row r="202" spans="1:4" hidden="1" x14ac:dyDescent="0.3">
      <c r="A202" s="93">
        <v>20242</v>
      </c>
      <c r="B202" s="93" t="s">
        <v>631</v>
      </c>
      <c r="C202" s="97" t="s">
        <v>1190</v>
      </c>
      <c r="D202" t="e">
        <f>VLOOKUP(B202,'Clientes CBOT'!D:E,2,0)</f>
        <v>#N/A</v>
      </c>
    </row>
    <row r="203" spans="1:4" hidden="1" x14ac:dyDescent="0.3">
      <c r="A203" s="93">
        <v>19963</v>
      </c>
      <c r="B203" s="93" t="s">
        <v>461</v>
      </c>
      <c r="C203" s="97" t="s">
        <v>1191</v>
      </c>
      <c r="D203" t="e">
        <f>VLOOKUP(B203,'Clientes CBOT'!D:E,2,0)</f>
        <v>#N/A</v>
      </c>
    </row>
    <row r="204" spans="1:4" hidden="1" x14ac:dyDescent="0.3">
      <c r="A204" s="93">
        <v>8261</v>
      </c>
      <c r="B204" s="93" t="s">
        <v>431</v>
      </c>
      <c r="C204" s="97" t="s">
        <v>1192</v>
      </c>
      <c r="D204" t="e">
        <f>VLOOKUP(B204,'Clientes CBOT'!D:E,2,0)</f>
        <v>#N/A</v>
      </c>
    </row>
    <row r="205" spans="1:4" hidden="1" x14ac:dyDescent="0.3">
      <c r="A205" s="92">
        <v>36765</v>
      </c>
      <c r="B205" s="92" t="s">
        <v>450</v>
      </c>
      <c r="C205" s="96" t="s">
        <v>1193</v>
      </c>
      <c r="D205" t="e">
        <f>VLOOKUP(B205,'Clientes CBOT'!D:E,2,0)</f>
        <v>#N/A</v>
      </c>
    </row>
    <row r="206" spans="1:4" hidden="1" x14ac:dyDescent="0.3">
      <c r="A206" s="92">
        <v>30584</v>
      </c>
      <c r="B206" s="92" t="s">
        <v>1194</v>
      </c>
      <c r="C206" s="96" t="s">
        <v>1195</v>
      </c>
      <c r="D206" t="e">
        <f>VLOOKUP(B206,'Clientes CBOT'!D:E,2,0)</f>
        <v>#N/A</v>
      </c>
    </row>
    <row r="207" spans="1:4" hidden="1" x14ac:dyDescent="0.3">
      <c r="A207" s="93">
        <v>36030</v>
      </c>
      <c r="B207" s="93" t="s">
        <v>504</v>
      </c>
      <c r="C207" s="97" t="s">
        <v>1196</v>
      </c>
      <c r="D207" t="e">
        <f>VLOOKUP(B207,'Clientes CBOT'!D:E,2,0)</f>
        <v>#N/A</v>
      </c>
    </row>
    <row r="208" spans="1:4" hidden="1" x14ac:dyDescent="0.3">
      <c r="A208" s="93">
        <v>31142</v>
      </c>
      <c r="B208" s="93" t="s">
        <v>438</v>
      </c>
      <c r="C208" s="97" t="s">
        <v>1197</v>
      </c>
      <c r="D208" t="e">
        <f>VLOOKUP(B208,'Clientes CBOT'!D:E,2,0)</f>
        <v>#N/A</v>
      </c>
    </row>
    <row r="209" spans="1:4" hidden="1" x14ac:dyDescent="0.3">
      <c r="A209" s="93">
        <v>37816</v>
      </c>
      <c r="B209" s="93" t="s">
        <v>1198</v>
      </c>
      <c r="C209" s="97" t="s">
        <v>1199</v>
      </c>
      <c r="D209" t="e">
        <f>VLOOKUP(B209,'Clientes CBOT'!D:E,2,0)</f>
        <v>#N/A</v>
      </c>
    </row>
    <row r="210" spans="1:4" hidden="1" x14ac:dyDescent="0.3">
      <c r="A210" s="93">
        <v>19755</v>
      </c>
      <c r="B210" s="93" t="s">
        <v>374</v>
      </c>
      <c r="C210" s="97" t="s">
        <v>1200</v>
      </c>
      <c r="D210" t="e">
        <f>VLOOKUP(B210,'Clientes CBOT'!D:E,2,0)</f>
        <v>#N/A</v>
      </c>
    </row>
    <row r="211" spans="1:4" hidden="1" x14ac:dyDescent="0.3">
      <c r="A211" s="92">
        <v>34790</v>
      </c>
      <c r="B211" s="92" t="s">
        <v>598</v>
      </c>
      <c r="C211" s="96" t="s">
        <v>1201</v>
      </c>
      <c r="D211" t="e">
        <f>VLOOKUP(B211,'Clientes CBOT'!D:E,2,0)</f>
        <v>#N/A</v>
      </c>
    </row>
    <row r="212" spans="1:4" hidden="1" x14ac:dyDescent="0.3">
      <c r="A212" s="92">
        <v>35568</v>
      </c>
      <c r="B212" s="92" t="s">
        <v>299</v>
      </c>
      <c r="C212" s="96" t="s">
        <v>1202</v>
      </c>
      <c r="D212" t="e">
        <f>VLOOKUP(B212,'Clientes CBOT'!D:E,2,0)</f>
        <v>#N/A</v>
      </c>
    </row>
    <row r="213" spans="1:4" hidden="1" x14ac:dyDescent="0.3">
      <c r="A213" s="93">
        <v>34708</v>
      </c>
      <c r="B213" s="93" t="s">
        <v>626</v>
      </c>
      <c r="C213" s="97" t="s">
        <v>1203</v>
      </c>
      <c r="D213" t="e">
        <f>VLOOKUP(B213,'Clientes CBOT'!D:E,2,0)</f>
        <v>#N/A</v>
      </c>
    </row>
    <row r="214" spans="1:4" hidden="1" x14ac:dyDescent="0.3">
      <c r="A214" s="93">
        <v>35714</v>
      </c>
      <c r="B214" s="93" t="s">
        <v>479</v>
      </c>
      <c r="C214" s="97" t="s">
        <v>1204</v>
      </c>
      <c r="D214" t="e">
        <f>VLOOKUP(B214,'Clientes CBOT'!D:E,2,0)</f>
        <v>#N/A</v>
      </c>
    </row>
    <row r="215" spans="1:4" hidden="1" x14ac:dyDescent="0.3">
      <c r="A215" s="92">
        <v>36157</v>
      </c>
      <c r="B215" s="92" t="s">
        <v>313</v>
      </c>
      <c r="C215" s="96" t="s">
        <v>1205</v>
      </c>
      <c r="D215" t="e">
        <f>VLOOKUP(B215,'Clientes CBOT'!D:E,2,0)</f>
        <v>#N/A</v>
      </c>
    </row>
    <row r="216" spans="1:4" hidden="1" x14ac:dyDescent="0.3">
      <c r="A216" s="92">
        <v>2093</v>
      </c>
      <c r="B216" s="92" t="s">
        <v>365</v>
      </c>
      <c r="C216" s="96" t="s">
        <v>1206</v>
      </c>
      <c r="D216" t="e">
        <f>VLOOKUP(B216,'Clientes CBOT'!D:E,2,0)</f>
        <v>#N/A</v>
      </c>
    </row>
    <row r="217" spans="1:4" hidden="1" x14ac:dyDescent="0.3">
      <c r="A217" s="92">
        <v>18976</v>
      </c>
      <c r="B217" s="92" t="s">
        <v>305</v>
      </c>
      <c r="C217" s="96" t="s">
        <v>1207</v>
      </c>
      <c r="D217" t="e">
        <f>VLOOKUP(B217,'Clientes CBOT'!D:E,2,0)</f>
        <v>#N/A</v>
      </c>
    </row>
    <row r="218" spans="1:4" hidden="1" x14ac:dyDescent="0.3">
      <c r="A218" s="93">
        <v>35592</v>
      </c>
      <c r="B218" s="93" t="s">
        <v>526</v>
      </c>
      <c r="C218" s="97" t="s">
        <v>1208</v>
      </c>
      <c r="D218" t="e">
        <f>VLOOKUP(B218,'Clientes CBOT'!D:E,2,0)</f>
        <v>#N/A</v>
      </c>
    </row>
    <row r="219" spans="1:4" hidden="1" x14ac:dyDescent="0.3">
      <c r="A219" s="93">
        <v>17681</v>
      </c>
      <c r="B219" s="93" t="s">
        <v>1209</v>
      </c>
      <c r="C219" s="97" t="s">
        <v>1210</v>
      </c>
      <c r="D219" t="e">
        <f>VLOOKUP(B219,'Clientes CBOT'!D:E,2,0)</f>
        <v>#N/A</v>
      </c>
    </row>
    <row r="220" spans="1:4" hidden="1" x14ac:dyDescent="0.3">
      <c r="A220" s="93">
        <v>13900</v>
      </c>
      <c r="B220" s="93" t="s">
        <v>462</v>
      </c>
      <c r="C220" s="97" t="s">
        <v>1211</v>
      </c>
      <c r="D220" t="e">
        <f>VLOOKUP(B220,'Clientes CBOT'!D:E,2,0)</f>
        <v>#N/A</v>
      </c>
    </row>
    <row r="221" spans="1:4" hidden="1" x14ac:dyDescent="0.3">
      <c r="A221" s="93">
        <v>37264</v>
      </c>
      <c r="B221" s="93" t="s">
        <v>1212</v>
      </c>
      <c r="C221" s="97" t="s">
        <v>1213</v>
      </c>
      <c r="D221" t="e">
        <f>VLOOKUP(B221,'Clientes CBOT'!D:E,2,0)</f>
        <v>#N/A</v>
      </c>
    </row>
    <row r="222" spans="1:4" hidden="1" x14ac:dyDescent="0.3">
      <c r="A222" s="92">
        <v>37609</v>
      </c>
      <c r="B222" s="92" t="s">
        <v>1214</v>
      </c>
      <c r="C222" s="96" t="s">
        <v>1215</v>
      </c>
      <c r="D222" t="e">
        <f>VLOOKUP(B222,'Clientes CBOT'!D:E,2,0)</f>
        <v>#N/A</v>
      </c>
    </row>
    <row r="223" spans="1:4" hidden="1" x14ac:dyDescent="0.3">
      <c r="A223" s="93">
        <v>30101</v>
      </c>
      <c r="B223" s="93" t="s">
        <v>391</v>
      </c>
      <c r="C223" s="97" t="s">
        <v>1216</v>
      </c>
      <c r="D223" t="e">
        <f>VLOOKUP(B223,'Clientes CBOT'!D:E,2,0)</f>
        <v>#N/A</v>
      </c>
    </row>
    <row r="224" spans="1:4" hidden="1" x14ac:dyDescent="0.3">
      <c r="A224" s="92">
        <v>30253</v>
      </c>
      <c r="B224" s="92" t="s">
        <v>577</v>
      </c>
      <c r="C224" s="96" t="s">
        <v>1217</v>
      </c>
      <c r="D224" t="e">
        <f>VLOOKUP(B224,'Clientes CBOT'!D:E,2,0)</f>
        <v>#N/A</v>
      </c>
    </row>
    <row r="225" spans="1:4" hidden="1" x14ac:dyDescent="0.3">
      <c r="A225" s="92">
        <v>19318</v>
      </c>
      <c r="B225" s="92" t="s">
        <v>1218</v>
      </c>
      <c r="C225" s="96" t="s">
        <v>1219</v>
      </c>
      <c r="D225" t="e">
        <f>VLOOKUP(B225,'Clientes CBOT'!D:E,2,0)</f>
        <v>#N/A</v>
      </c>
    </row>
    <row r="226" spans="1:4" hidden="1" x14ac:dyDescent="0.3">
      <c r="A226" s="93">
        <v>35643</v>
      </c>
      <c r="B226" s="93" t="s">
        <v>603</v>
      </c>
      <c r="C226" s="97" t="s">
        <v>1220</v>
      </c>
      <c r="D226" t="e">
        <f>VLOOKUP(B226,'Clientes CBOT'!D:E,2,0)</f>
        <v>#N/A</v>
      </c>
    </row>
    <row r="227" spans="1:4" hidden="1" x14ac:dyDescent="0.3">
      <c r="A227" s="93">
        <v>15140</v>
      </c>
      <c r="B227" s="93" t="s">
        <v>409</v>
      </c>
      <c r="C227" s="97" t="s">
        <v>1221</v>
      </c>
      <c r="D227" t="e">
        <f>VLOOKUP(B227,'Clientes CBOT'!D:E,2,0)</f>
        <v>#N/A</v>
      </c>
    </row>
    <row r="228" spans="1:4" hidden="1" x14ac:dyDescent="0.3">
      <c r="A228" s="92">
        <v>35703</v>
      </c>
      <c r="B228" s="92" t="s">
        <v>459</v>
      </c>
      <c r="C228" s="96" t="s">
        <v>1222</v>
      </c>
      <c r="D228" t="e">
        <f>VLOOKUP(B228,'Clientes CBOT'!D:E,2,0)</f>
        <v>#N/A</v>
      </c>
    </row>
    <row r="229" spans="1:4" x14ac:dyDescent="0.3">
      <c r="A229" s="92">
        <v>19791</v>
      </c>
      <c r="B229" s="92" t="s">
        <v>172</v>
      </c>
      <c r="C229" s="96" t="s">
        <v>1223</v>
      </c>
      <c r="D229">
        <f>VLOOKUP(B229,'Clientes CBOT'!D:E,2,0)</f>
        <v>20176</v>
      </c>
    </row>
    <row r="230" spans="1:4" hidden="1" x14ac:dyDescent="0.3">
      <c r="A230" s="93">
        <v>19474</v>
      </c>
      <c r="B230" s="93" t="s">
        <v>704</v>
      </c>
      <c r="C230" s="97" t="s">
        <v>1224</v>
      </c>
      <c r="D230" t="e">
        <f>VLOOKUP(B230,'Clientes CBOT'!D:E,2,0)</f>
        <v>#N/A</v>
      </c>
    </row>
    <row r="231" spans="1:4" hidden="1" x14ac:dyDescent="0.3">
      <c r="A231" s="93">
        <v>20518</v>
      </c>
      <c r="B231" s="93" t="s">
        <v>270</v>
      </c>
      <c r="C231" s="97" t="s">
        <v>1225</v>
      </c>
      <c r="D231" t="e">
        <f>VLOOKUP(B231,'Clientes CBOT'!D:E,2,0)</f>
        <v>#N/A</v>
      </c>
    </row>
    <row r="232" spans="1:4" hidden="1" x14ac:dyDescent="0.3">
      <c r="A232" s="92">
        <v>9066</v>
      </c>
      <c r="B232" s="92" t="s">
        <v>301</v>
      </c>
      <c r="C232" s="96" t="s">
        <v>1226</v>
      </c>
      <c r="D232" t="e">
        <f>VLOOKUP(B232,'Clientes CBOT'!D:E,2,0)</f>
        <v>#N/A</v>
      </c>
    </row>
    <row r="233" spans="1:4" hidden="1" x14ac:dyDescent="0.3">
      <c r="A233" s="92">
        <v>35477</v>
      </c>
      <c r="B233" s="92" t="s">
        <v>484</v>
      </c>
      <c r="C233" s="96" t="s">
        <v>1227</v>
      </c>
      <c r="D233" t="e">
        <f>VLOOKUP(B233,'Clientes CBOT'!D:E,2,0)</f>
        <v>#N/A</v>
      </c>
    </row>
    <row r="234" spans="1:4" hidden="1" x14ac:dyDescent="0.3">
      <c r="A234" s="93">
        <v>35548</v>
      </c>
      <c r="B234" s="93" t="s">
        <v>400</v>
      </c>
      <c r="C234" s="97" t="s">
        <v>1228</v>
      </c>
      <c r="D234" t="e">
        <f>VLOOKUP(B234,'Clientes CBOT'!D:E,2,0)</f>
        <v>#N/A</v>
      </c>
    </row>
    <row r="235" spans="1:4" hidden="1" x14ac:dyDescent="0.3">
      <c r="A235" s="93">
        <v>30408</v>
      </c>
      <c r="B235" s="93" t="s">
        <v>197</v>
      </c>
      <c r="C235" s="97" t="s">
        <v>1229</v>
      </c>
      <c r="D235" t="e">
        <f>VLOOKUP(B235,'Clientes CBOT'!D:E,2,0)</f>
        <v>#N/A</v>
      </c>
    </row>
    <row r="236" spans="1:4" hidden="1" x14ac:dyDescent="0.3">
      <c r="A236" s="92">
        <v>4377</v>
      </c>
      <c r="B236" s="92" t="s">
        <v>621</v>
      </c>
      <c r="C236" s="96" t="s">
        <v>1230</v>
      </c>
      <c r="D236" t="e">
        <f>VLOOKUP(B236,'Clientes CBOT'!D:E,2,0)</f>
        <v>#N/A</v>
      </c>
    </row>
    <row r="237" spans="1:4" hidden="1" x14ac:dyDescent="0.3">
      <c r="A237" s="93">
        <v>3422</v>
      </c>
      <c r="B237" s="93" t="s">
        <v>498</v>
      </c>
      <c r="C237" s="97" t="s">
        <v>1231</v>
      </c>
      <c r="D237" t="e">
        <f>VLOOKUP(B237,'Clientes CBOT'!D:E,2,0)</f>
        <v>#N/A</v>
      </c>
    </row>
    <row r="238" spans="1:4" hidden="1" x14ac:dyDescent="0.3">
      <c r="A238" s="93">
        <v>37359</v>
      </c>
      <c r="B238" s="93" t="s">
        <v>710</v>
      </c>
      <c r="C238" s="97" t="s">
        <v>1232</v>
      </c>
      <c r="D238" t="e">
        <f>VLOOKUP(B238,'Clientes CBOT'!D:E,2,0)</f>
        <v>#N/A</v>
      </c>
    </row>
    <row r="239" spans="1:4" hidden="1" x14ac:dyDescent="0.3">
      <c r="A239" s="93">
        <v>33322</v>
      </c>
      <c r="B239" s="93" t="s">
        <v>500</v>
      </c>
      <c r="C239" s="97" t="s">
        <v>1233</v>
      </c>
      <c r="D239" t="e">
        <f>VLOOKUP(B239,'Clientes CBOT'!D:E,2,0)</f>
        <v>#N/A</v>
      </c>
    </row>
    <row r="240" spans="1:4" hidden="1" x14ac:dyDescent="0.3">
      <c r="A240" s="92">
        <v>31085</v>
      </c>
      <c r="B240" s="92" t="s">
        <v>1234</v>
      </c>
      <c r="C240" s="96" t="s">
        <v>1235</v>
      </c>
      <c r="D240" t="e">
        <f>VLOOKUP(B240,'Clientes CBOT'!D:E,2,0)</f>
        <v>#N/A</v>
      </c>
    </row>
    <row r="241" spans="1:4" hidden="1" x14ac:dyDescent="0.3">
      <c r="A241" s="92">
        <v>35598</v>
      </c>
      <c r="B241" s="92" t="s">
        <v>371</v>
      </c>
      <c r="C241" s="96" t="s">
        <v>1236</v>
      </c>
      <c r="D241" t="e">
        <f>VLOOKUP(B241,'Clientes CBOT'!D:E,2,0)</f>
        <v>#N/A</v>
      </c>
    </row>
    <row r="242" spans="1:4" hidden="1" x14ac:dyDescent="0.3">
      <c r="A242" s="93">
        <v>35528</v>
      </c>
      <c r="B242" s="93" t="s">
        <v>616</v>
      </c>
      <c r="C242" s="97" t="s">
        <v>1237</v>
      </c>
      <c r="D242" t="e">
        <f>VLOOKUP(B242,'Clientes CBOT'!D:E,2,0)</f>
        <v>#N/A</v>
      </c>
    </row>
    <row r="243" spans="1:4" hidden="1" x14ac:dyDescent="0.3">
      <c r="A243" s="93">
        <v>5181</v>
      </c>
      <c r="B243" s="93" t="s">
        <v>212</v>
      </c>
      <c r="C243" s="97" t="s">
        <v>1238</v>
      </c>
      <c r="D243" t="e">
        <f>VLOOKUP(B243,'Clientes CBOT'!D:E,2,0)</f>
        <v>#N/A</v>
      </c>
    </row>
    <row r="244" spans="1:4" hidden="1" x14ac:dyDescent="0.3">
      <c r="A244" s="92">
        <v>19316</v>
      </c>
      <c r="B244" s="92" t="s">
        <v>377</v>
      </c>
      <c r="C244" s="96" t="s">
        <v>1239</v>
      </c>
      <c r="D244" t="e">
        <f>VLOOKUP(B244,'Clientes CBOT'!D:E,2,0)</f>
        <v>#N/A</v>
      </c>
    </row>
    <row r="245" spans="1:4" hidden="1" x14ac:dyDescent="0.3">
      <c r="A245" s="92">
        <v>19100</v>
      </c>
      <c r="B245" s="92" t="s">
        <v>254</v>
      </c>
      <c r="C245" s="96" t="s">
        <v>1240</v>
      </c>
      <c r="D245" t="e">
        <f>VLOOKUP(B245,'Clientes CBOT'!D:E,2,0)</f>
        <v>#N/A</v>
      </c>
    </row>
    <row r="246" spans="1:4" hidden="1" x14ac:dyDescent="0.3">
      <c r="A246" s="93">
        <v>708</v>
      </c>
      <c r="B246" s="93" t="s">
        <v>1241</v>
      </c>
      <c r="C246" s="97" t="s">
        <v>1242</v>
      </c>
      <c r="D246" t="e">
        <f>VLOOKUP(B246,'Clientes CBOT'!D:E,2,0)</f>
        <v>#N/A</v>
      </c>
    </row>
    <row r="247" spans="1:4" hidden="1" x14ac:dyDescent="0.3">
      <c r="A247" s="93">
        <v>18614</v>
      </c>
      <c r="B247" s="93" t="s">
        <v>1243</v>
      </c>
      <c r="C247" s="97" t="s">
        <v>1244</v>
      </c>
      <c r="D247" t="e">
        <f>VLOOKUP(B247,'Clientes CBOT'!D:E,2,0)</f>
        <v>#N/A</v>
      </c>
    </row>
    <row r="248" spans="1:4" hidden="1" x14ac:dyDescent="0.3">
      <c r="A248" s="92">
        <v>33965</v>
      </c>
      <c r="B248" s="92" t="s">
        <v>515</v>
      </c>
      <c r="C248" s="96" t="s">
        <v>1245</v>
      </c>
      <c r="D248" t="e">
        <f>VLOOKUP(B248,'Clientes CBOT'!D:E,2,0)</f>
        <v>#N/A</v>
      </c>
    </row>
    <row r="249" spans="1:4" hidden="1" x14ac:dyDescent="0.3">
      <c r="A249" s="93">
        <v>33276</v>
      </c>
      <c r="B249" s="93" t="s">
        <v>622</v>
      </c>
      <c r="C249" s="97" t="s">
        <v>1246</v>
      </c>
      <c r="D249" t="e">
        <f>VLOOKUP(B249,'Clientes CBOT'!D:E,2,0)</f>
        <v>#N/A</v>
      </c>
    </row>
    <row r="250" spans="1:4" hidden="1" x14ac:dyDescent="0.3">
      <c r="A250" s="93">
        <v>18954</v>
      </c>
      <c r="B250" s="93" t="s">
        <v>1247</v>
      </c>
      <c r="C250" s="97" t="s">
        <v>1248</v>
      </c>
      <c r="D250" t="e">
        <f>VLOOKUP(B250,'Clientes CBOT'!D:E,2,0)</f>
        <v>#N/A</v>
      </c>
    </row>
    <row r="251" spans="1:4" hidden="1" x14ac:dyDescent="0.3">
      <c r="A251" s="92">
        <v>20248</v>
      </c>
      <c r="B251" s="92" t="s">
        <v>1249</v>
      </c>
      <c r="C251" s="96" t="s">
        <v>1250</v>
      </c>
      <c r="D251" t="e">
        <f>VLOOKUP(B251,'Clientes CBOT'!D:E,2,0)</f>
        <v>#N/A</v>
      </c>
    </row>
    <row r="252" spans="1:4" hidden="1" x14ac:dyDescent="0.3">
      <c r="A252" s="93">
        <v>36453</v>
      </c>
      <c r="B252" s="93" t="s">
        <v>234</v>
      </c>
      <c r="C252" s="97" t="s">
        <v>1251</v>
      </c>
      <c r="D252" t="e">
        <f>VLOOKUP(B252,'Clientes CBOT'!D:E,2,0)</f>
        <v>#N/A</v>
      </c>
    </row>
    <row r="253" spans="1:4" hidden="1" x14ac:dyDescent="0.3">
      <c r="A253" s="93">
        <v>18681</v>
      </c>
      <c r="B253" s="93" t="s">
        <v>491</v>
      </c>
      <c r="C253" s="97" t="s">
        <v>1252</v>
      </c>
      <c r="D253" t="e">
        <f>VLOOKUP(B253,'Clientes CBOT'!D:E,2,0)</f>
        <v>#N/A</v>
      </c>
    </row>
    <row r="254" spans="1:4" hidden="1" x14ac:dyDescent="0.3">
      <c r="A254" s="93">
        <v>33196</v>
      </c>
      <c r="B254" s="93" t="s">
        <v>719</v>
      </c>
      <c r="C254" s="97" t="s">
        <v>1253</v>
      </c>
      <c r="D254" t="e">
        <f>VLOOKUP(B254,'Clientes CBOT'!D:E,2,0)</f>
        <v>#N/A</v>
      </c>
    </row>
    <row r="255" spans="1:4" hidden="1" x14ac:dyDescent="0.3">
      <c r="A255" s="93">
        <v>4339</v>
      </c>
      <c r="B255" s="93" t="s">
        <v>337</v>
      </c>
      <c r="C255" s="97" t="s">
        <v>1254</v>
      </c>
      <c r="D255" t="e">
        <f>VLOOKUP(B255,'Clientes CBOT'!D:E,2,0)</f>
        <v>#N/A</v>
      </c>
    </row>
    <row r="256" spans="1:4" hidden="1" x14ac:dyDescent="0.3">
      <c r="A256" s="93">
        <v>31436</v>
      </c>
      <c r="B256" s="93" t="s">
        <v>1255</v>
      </c>
      <c r="C256" s="97" t="s">
        <v>1256</v>
      </c>
      <c r="D256" t="e">
        <f>VLOOKUP(B256,'Clientes CBOT'!D:E,2,0)</f>
        <v>#N/A</v>
      </c>
    </row>
    <row r="257" spans="1:4" hidden="1" x14ac:dyDescent="0.3">
      <c r="A257" s="92">
        <v>31910</v>
      </c>
      <c r="B257" s="92" t="s">
        <v>473</v>
      </c>
      <c r="C257" s="96" t="s">
        <v>1257</v>
      </c>
      <c r="D257" t="e">
        <f>VLOOKUP(B257,'Clientes CBOT'!D:E,2,0)</f>
        <v>#N/A</v>
      </c>
    </row>
    <row r="258" spans="1:4" hidden="1" x14ac:dyDescent="0.3">
      <c r="A258" s="93"/>
      <c r="B258" s="93" t="s">
        <v>1258</v>
      </c>
      <c r="C258" s="97" t="s">
        <v>1259</v>
      </c>
      <c r="D258" t="e">
        <f>VLOOKUP(B258,'Clientes CBOT'!D:E,2,0)</f>
        <v>#N/A</v>
      </c>
    </row>
    <row r="259" spans="1:4" hidden="1" x14ac:dyDescent="0.3">
      <c r="A259" s="92">
        <v>32749</v>
      </c>
      <c r="B259" s="92" t="s">
        <v>217</v>
      </c>
      <c r="C259" s="96" t="s">
        <v>1260</v>
      </c>
      <c r="D259" t="e">
        <f>VLOOKUP(B259,'Clientes CBOT'!D:E,2,0)</f>
        <v>#N/A</v>
      </c>
    </row>
    <row r="260" spans="1:4" hidden="1" x14ac:dyDescent="0.3">
      <c r="A260" s="92">
        <v>19092</v>
      </c>
      <c r="B260" s="92" t="s">
        <v>1261</v>
      </c>
      <c r="C260" s="96" t="s">
        <v>1262</v>
      </c>
      <c r="D260" t="e">
        <f>VLOOKUP(B260,'Clientes CBOT'!D:E,2,0)</f>
        <v>#N/A</v>
      </c>
    </row>
    <row r="261" spans="1:4" x14ac:dyDescent="0.3">
      <c r="A261" s="92">
        <v>34129</v>
      </c>
      <c r="B261" s="92" t="s">
        <v>127</v>
      </c>
      <c r="C261" s="96" t="s">
        <v>1263</v>
      </c>
      <c r="D261">
        <f>VLOOKUP(B261,'Clientes CBOT'!D:E,2,0)</f>
        <v>13005</v>
      </c>
    </row>
    <row r="262" spans="1:4" hidden="1" x14ac:dyDescent="0.3">
      <c r="A262" s="92">
        <v>32043</v>
      </c>
      <c r="B262" s="92" t="s">
        <v>1264</v>
      </c>
      <c r="C262" s="96" t="s">
        <v>1265</v>
      </c>
      <c r="D262" t="e">
        <f>VLOOKUP(B262,'Clientes CBOT'!D:E,2,0)</f>
        <v>#N/A</v>
      </c>
    </row>
    <row r="263" spans="1:4" hidden="1" x14ac:dyDescent="0.3">
      <c r="A263" s="92">
        <v>36739</v>
      </c>
      <c r="B263" s="92" t="s">
        <v>538</v>
      </c>
      <c r="C263" s="96" t="s">
        <v>1266</v>
      </c>
      <c r="D263" t="e">
        <f>VLOOKUP(B263,'Clientes CBOT'!D:E,2,0)</f>
        <v>#N/A</v>
      </c>
    </row>
    <row r="264" spans="1:4" hidden="1" x14ac:dyDescent="0.3">
      <c r="A264" s="93">
        <v>34695</v>
      </c>
      <c r="B264" s="93" t="s">
        <v>325</v>
      </c>
      <c r="C264" s="97" t="s">
        <v>1267</v>
      </c>
      <c r="D264" t="e">
        <f>VLOOKUP(B264,'Clientes CBOT'!D:E,2,0)</f>
        <v>#N/A</v>
      </c>
    </row>
    <row r="265" spans="1:4" hidden="1" x14ac:dyDescent="0.3">
      <c r="A265" s="92">
        <v>20888</v>
      </c>
      <c r="B265" s="92" t="s">
        <v>358</v>
      </c>
      <c r="C265" s="96" t="s">
        <v>1268</v>
      </c>
      <c r="D265" t="e">
        <f>VLOOKUP(B265,'Clientes CBOT'!D:E,2,0)</f>
        <v>#N/A</v>
      </c>
    </row>
    <row r="266" spans="1:4" hidden="1" x14ac:dyDescent="0.3">
      <c r="A266" s="92">
        <v>37088</v>
      </c>
      <c r="B266" s="92" t="s">
        <v>571</v>
      </c>
      <c r="C266" s="96" t="s">
        <v>1269</v>
      </c>
      <c r="D266" t="e">
        <f>VLOOKUP(B266,'Clientes CBOT'!D:E,2,0)</f>
        <v>#N/A</v>
      </c>
    </row>
    <row r="267" spans="1:4" hidden="1" x14ac:dyDescent="0.3">
      <c r="A267" s="93">
        <v>17065</v>
      </c>
      <c r="B267" s="93" t="s">
        <v>478</v>
      </c>
      <c r="C267" s="97" t="s">
        <v>1270</v>
      </c>
      <c r="D267" t="e">
        <f>VLOOKUP(B267,'Clientes CBOT'!D:E,2,0)</f>
        <v>#N/A</v>
      </c>
    </row>
    <row r="268" spans="1:4" hidden="1" x14ac:dyDescent="0.3">
      <c r="A268" s="93">
        <v>9793</v>
      </c>
      <c r="B268" s="93" t="s">
        <v>506</v>
      </c>
      <c r="C268" s="97" t="s">
        <v>1271</v>
      </c>
      <c r="D268" t="e">
        <f>VLOOKUP(B268,'Clientes CBOT'!D:E,2,0)</f>
        <v>#N/A</v>
      </c>
    </row>
    <row r="269" spans="1:4" hidden="1" x14ac:dyDescent="0.3">
      <c r="A269" s="92">
        <v>35045</v>
      </c>
      <c r="B269" s="92" t="s">
        <v>1272</v>
      </c>
      <c r="C269" s="96" t="s">
        <v>1273</v>
      </c>
      <c r="D269" t="e">
        <f>VLOOKUP(B269,'Clientes CBOT'!D:E,2,0)</f>
        <v>#N/A</v>
      </c>
    </row>
    <row r="270" spans="1:4" hidden="1" x14ac:dyDescent="0.3">
      <c r="A270" s="92">
        <v>33471</v>
      </c>
      <c r="B270" s="92" t="s">
        <v>549</v>
      </c>
      <c r="C270" s="96" t="s">
        <v>1274</v>
      </c>
      <c r="D270" t="e">
        <f>VLOOKUP(B270,'Clientes CBOT'!D:E,2,0)</f>
        <v>#N/A</v>
      </c>
    </row>
    <row r="271" spans="1:4" hidden="1" x14ac:dyDescent="0.3">
      <c r="A271" s="92">
        <v>34881</v>
      </c>
      <c r="B271" s="92" t="s">
        <v>394</v>
      </c>
      <c r="C271" s="96" t="s">
        <v>1275</v>
      </c>
      <c r="D271" t="e">
        <f>VLOOKUP(B271,'Clientes CBOT'!D:E,2,0)</f>
        <v>#N/A</v>
      </c>
    </row>
    <row r="272" spans="1:4" hidden="1" x14ac:dyDescent="0.3">
      <c r="A272" s="93">
        <v>30078</v>
      </c>
      <c r="B272" s="93" t="s">
        <v>342</v>
      </c>
      <c r="C272" s="97" t="s">
        <v>1276</v>
      </c>
      <c r="D272" t="e">
        <f>VLOOKUP(B272,'Clientes CBOT'!D:E,2,0)</f>
        <v>#N/A</v>
      </c>
    </row>
    <row r="273" spans="1:4" hidden="1" x14ac:dyDescent="0.3">
      <c r="A273" s="93">
        <v>33580</v>
      </c>
      <c r="B273" s="93" t="s">
        <v>348</v>
      </c>
      <c r="C273" s="97" t="s">
        <v>1277</v>
      </c>
      <c r="D273" t="e">
        <f>VLOOKUP(B273,'Clientes CBOT'!D:E,2,0)</f>
        <v>#N/A</v>
      </c>
    </row>
    <row r="274" spans="1:4" hidden="1" x14ac:dyDescent="0.3">
      <c r="A274" s="93">
        <v>19710</v>
      </c>
      <c r="B274" s="93" t="s">
        <v>351</v>
      </c>
      <c r="C274" s="97" t="s">
        <v>1278</v>
      </c>
      <c r="D274" t="e">
        <f>VLOOKUP(B274,'Clientes CBOT'!D:E,2,0)</f>
        <v>#N/A</v>
      </c>
    </row>
    <row r="275" spans="1:4" hidden="1" x14ac:dyDescent="0.3">
      <c r="A275" s="92">
        <v>36129</v>
      </c>
      <c r="B275" s="92" t="s">
        <v>435</v>
      </c>
      <c r="C275" s="96" t="s">
        <v>1279</v>
      </c>
      <c r="D275" t="e">
        <f>VLOOKUP(B275,'Clientes CBOT'!D:E,2,0)</f>
        <v>#N/A</v>
      </c>
    </row>
    <row r="276" spans="1:4" hidden="1" x14ac:dyDescent="0.3">
      <c r="A276" s="93">
        <v>18969</v>
      </c>
      <c r="B276" s="93" t="s">
        <v>395</v>
      </c>
      <c r="C276" s="97" t="s">
        <v>1280</v>
      </c>
      <c r="D276" t="e">
        <f>VLOOKUP(B276,'Clientes CBOT'!D:E,2,0)</f>
        <v>#N/A</v>
      </c>
    </row>
    <row r="277" spans="1:4" hidden="1" x14ac:dyDescent="0.3">
      <c r="A277" s="93">
        <v>36454</v>
      </c>
      <c r="B277" s="93" t="s">
        <v>683</v>
      </c>
      <c r="C277" s="97" t="s">
        <v>1281</v>
      </c>
      <c r="D277" t="e">
        <f>VLOOKUP(B277,'Clientes CBOT'!D:E,2,0)</f>
        <v>#N/A</v>
      </c>
    </row>
    <row r="278" spans="1:4" hidden="1" x14ac:dyDescent="0.3">
      <c r="A278" s="92">
        <v>34160</v>
      </c>
      <c r="B278" s="92" t="s">
        <v>572</v>
      </c>
      <c r="C278" s="96" t="s">
        <v>1282</v>
      </c>
      <c r="D278" t="e">
        <f>VLOOKUP(B278,'Clientes CBOT'!D:E,2,0)</f>
        <v>#N/A</v>
      </c>
    </row>
    <row r="279" spans="1:4" hidden="1" x14ac:dyDescent="0.3">
      <c r="A279" s="93">
        <v>30190</v>
      </c>
      <c r="B279" s="93" t="s">
        <v>691</v>
      </c>
      <c r="C279" s="97" t="s">
        <v>1283</v>
      </c>
      <c r="D279" t="e">
        <f>VLOOKUP(B279,'Clientes CBOT'!D:E,2,0)</f>
        <v>#N/A</v>
      </c>
    </row>
    <row r="280" spans="1:4" hidden="1" x14ac:dyDescent="0.3">
      <c r="A280" s="92">
        <v>19619</v>
      </c>
      <c r="B280" s="92" t="s">
        <v>476</v>
      </c>
      <c r="C280" s="96" t="s">
        <v>1284</v>
      </c>
      <c r="D280" t="e">
        <f>VLOOKUP(B280,'Clientes CBOT'!D:E,2,0)</f>
        <v>#N/A</v>
      </c>
    </row>
    <row r="281" spans="1:4" hidden="1" x14ac:dyDescent="0.3">
      <c r="A281" s="93">
        <v>19779</v>
      </c>
      <c r="B281" s="93" t="s">
        <v>215</v>
      </c>
      <c r="C281" s="97" t="s">
        <v>1285</v>
      </c>
      <c r="D281" t="e">
        <f>VLOOKUP(B281,'Clientes CBOT'!D:E,2,0)</f>
        <v>#N/A</v>
      </c>
    </row>
    <row r="282" spans="1:4" hidden="1" x14ac:dyDescent="0.3">
      <c r="A282" s="93">
        <v>35163</v>
      </c>
      <c r="B282" s="93" t="s">
        <v>389</v>
      </c>
      <c r="C282" s="97" t="s">
        <v>1286</v>
      </c>
      <c r="D282" t="e">
        <f>VLOOKUP(B282,'Clientes CBOT'!D:E,2,0)</f>
        <v>#N/A</v>
      </c>
    </row>
    <row r="283" spans="1:4" hidden="1" x14ac:dyDescent="0.3">
      <c r="A283" s="92">
        <v>18842</v>
      </c>
      <c r="B283" s="92" t="s">
        <v>250</v>
      </c>
      <c r="C283" s="96" t="s">
        <v>1287</v>
      </c>
      <c r="D283" t="e">
        <f>VLOOKUP(B283,'Clientes CBOT'!D:E,2,0)</f>
        <v>#N/A</v>
      </c>
    </row>
    <row r="284" spans="1:4" hidden="1" x14ac:dyDescent="0.3">
      <c r="A284" s="93">
        <v>32799</v>
      </c>
      <c r="B284" s="93" t="s">
        <v>262</v>
      </c>
      <c r="C284" s="97" t="s">
        <v>1288</v>
      </c>
      <c r="D284" t="e">
        <f>VLOOKUP(B284,'Clientes CBOT'!D:E,2,0)</f>
        <v>#N/A</v>
      </c>
    </row>
    <row r="285" spans="1:4" hidden="1" x14ac:dyDescent="0.3">
      <c r="A285" s="92">
        <v>20575</v>
      </c>
      <c r="B285" s="92" t="s">
        <v>263</v>
      </c>
      <c r="C285" s="96" t="s">
        <v>1289</v>
      </c>
      <c r="D285" t="e">
        <f>VLOOKUP(B285,'Clientes CBOT'!D:E,2,0)</f>
        <v>#N/A</v>
      </c>
    </row>
    <row r="286" spans="1:4" hidden="1" x14ac:dyDescent="0.3">
      <c r="A286" s="93">
        <v>37489</v>
      </c>
      <c r="B286" s="93" t="s">
        <v>688</v>
      </c>
      <c r="C286" s="97" t="s">
        <v>1290</v>
      </c>
      <c r="D286" t="e">
        <f>VLOOKUP(B286,'Clientes CBOT'!D:E,2,0)</f>
        <v>#N/A</v>
      </c>
    </row>
    <row r="287" spans="1:4" hidden="1" x14ac:dyDescent="0.3">
      <c r="A287" s="92">
        <v>30387</v>
      </c>
      <c r="B287" s="92" t="s">
        <v>233</v>
      </c>
      <c r="C287" s="96" t="s">
        <v>1291</v>
      </c>
      <c r="D287" t="e">
        <f>VLOOKUP(B287,'Clientes CBOT'!D:E,2,0)</f>
        <v>#N/A</v>
      </c>
    </row>
    <row r="288" spans="1:4" hidden="1" x14ac:dyDescent="0.3">
      <c r="A288" s="92">
        <v>20277</v>
      </c>
      <c r="B288" s="92" t="s">
        <v>609</v>
      </c>
      <c r="C288" s="96" t="s">
        <v>1292</v>
      </c>
      <c r="D288" t="e">
        <f>VLOOKUP(B288,'Clientes CBOT'!D:E,2,0)</f>
        <v>#N/A</v>
      </c>
    </row>
    <row r="289" spans="1:4" hidden="1" x14ac:dyDescent="0.3">
      <c r="A289" s="93">
        <v>37091</v>
      </c>
      <c r="B289" s="93" t="s">
        <v>604</v>
      </c>
      <c r="C289" s="97" t="s">
        <v>1293</v>
      </c>
      <c r="D289" t="e">
        <f>VLOOKUP(B289,'Clientes CBOT'!D:E,2,0)</f>
        <v>#N/A</v>
      </c>
    </row>
    <row r="290" spans="1:4" hidden="1" x14ac:dyDescent="0.3">
      <c r="A290" s="92">
        <v>37938</v>
      </c>
      <c r="B290" s="92" t="s">
        <v>845</v>
      </c>
      <c r="C290" s="96" t="s">
        <v>1294</v>
      </c>
      <c r="D290" t="e">
        <f>VLOOKUP(B290,'Clientes CBOT'!D:E,2,0)</f>
        <v>#N/A</v>
      </c>
    </row>
    <row r="291" spans="1:4" hidden="1" x14ac:dyDescent="0.3">
      <c r="A291" s="93">
        <v>35160</v>
      </c>
      <c r="B291" s="93" t="s">
        <v>552</v>
      </c>
      <c r="C291" s="97" t="s">
        <v>1295</v>
      </c>
      <c r="D291" t="e">
        <f>VLOOKUP(B291,'Clientes CBOT'!D:E,2,0)</f>
        <v>#N/A</v>
      </c>
    </row>
    <row r="292" spans="1:4" hidden="1" x14ac:dyDescent="0.3">
      <c r="A292" s="93">
        <v>35593</v>
      </c>
      <c r="B292" s="93" t="s">
        <v>525</v>
      </c>
      <c r="C292" s="97" t="s">
        <v>1296</v>
      </c>
      <c r="D292" t="e">
        <f>VLOOKUP(B292,'Clientes CBOT'!D:E,2,0)</f>
        <v>#N/A</v>
      </c>
    </row>
    <row r="293" spans="1:4" hidden="1" x14ac:dyDescent="0.3">
      <c r="A293" s="92">
        <v>19377</v>
      </c>
      <c r="B293" s="92" t="s">
        <v>390</v>
      </c>
      <c r="C293" s="96" t="s">
        <v>1297</v>
      </c>
      <c r="D293" t="e">
        <f>VLOOKUP(B293,'Clientes CBOT'!D:E,2,0)</f>
        <v>#N/A</v>
      </c>
    </row>
    <row r="294" spans="1:4" hidden="1" x14ac:dyDescent="0.3">
      <c r="A294" s="93">
        <v>32746</v>
      </c>
      <c r="B294" s="93" t="s">
        <v>230</v>
      </c>
      <c r="C294" s="97" t="s">
        <v>1298</v>
      </c>
      <c r="D294" t="e">
        <f>VLOOKUP(B294,'Clientes CBOT'!D:E,2,0)</f>
        <v>#N/A</v>
      </c>
    </row>
    <row r="295" spans="1:4" hidden="1" x14ac:dyDescent="0.3">
      <c r="A295" s="92">
        <v>35446</v>
      </c>
      <c r="B295" s="92" t="s">
        <v>354</v>
      </c>
      <c r="C295" s="96" t="s">
        <v>1299</v>
      </c>
      <c r="D295" t="e">
        <f>VLOOKUP(B295,'Clientes CBOT'!D:E,2,0)</f>
        <v>#N/A</v>
      </c>
    </row>
    <row r="296" spans="1:4" hidden="1" x14ac:dyDescent="0.3">
      <c r="A296" s="93">
        <v>6122</v>
      </c>
      <c r="B296" s="93" t="s">
        <v>1300</v>
      </c>
      <c r="C296" s="97" t="s">
        <v>1301</v>
      </c>
      <c r="D296" t="e">
        <f>VLOOKUP(B296,'Clientes CBOT'!D:E,2,0)</f>
        <v>#N/A</v>
      </c>
    </row>
    <row r="297" spans="1:4" hidden="1" x14ac:dyDescent="0.3">
      <c r="A297" s="92">
        <v>32849</v>
      </c>
      <c r="B297" s="92" t="s">
        <v>190</v>
      </c>
      <c r="C297" s="96" t="s">
        <v>1302</v>
      </c>
      <c r="D297" t="e">
        <f>VLOOKUP(B297,'Clientes CBOT'!D:E,2,0)</f>
        <v>#N/A</v>
      </c>
    </row>
    <row r="298" spans="1:4" hidden="1" x14ac:dyDescent="0.3">
      <c r="A298" s="93">
        <v>36372</v>
      </c>
      <c r="B298" s="93" t="s">
        <v>573</v>
      </c>
      <c r="C298" s="97" t="s">
        <v>1303</v>
      </c>
      <c r="D298" t="e">
        <f>VLOOKUP(B298,'Clientes CBOT'!D:E,2,0)</f>
        <v>#N/A</v>
      </c>
    </row>
    <row r="299" spans="1:4" hidden="1" x14ac:dyDescent="0.3">
      <c r="A299" s="92">
        <v>19813</v>
      </c>
      <c r="B299" s="92" t="s">
        <v>510</v>
      </c>
      <c r="C299" s="96" t="s">
        <v>1304</v>
      </c>
      <c r="D299" t="e">
        <f>VLOOKUP(B299,'Clientes CBOT'!D:E,2,0)</f>
        <v>#N/A</v>
      </c>
    </row>
    <row r="300" spans="1:4" hidden="1" x14ac:dyDescent="0.3">
      <c r="A300" s="92">
        <v>20485</v>
      </c>
      <c r="B300" s="92" t="s">
        <v>684</v>
      </c>
      <c r="C300" s="96" t="s">
        <v>1305</v>
      </c>
      <c r="D300" t="e">
        <f>VLOOKUP(B300,'Clientes CBOT'!D:E,2,0)</f>
        <v>#N/A</v>
      </c>
    </row>
    <row r="301" spans="1:4" hidden="1" x14ac:dyDescent="0.3">
      <c r="A301" s="92">
        <v>19490</v>
      </c>
      <c r="B301" s="92" t="s">
        <v>1306</v>
      </c>
      <c r="C301" s="96" t="s">
        <v>1307</v>
      </c>
      <c r="D301" t="e">
        <f>VLOOKUP(B301,'Clientes CBOT'!D:E,2,0)</f>
        <v>#N/A</v>
      </c>
    </row>
    <row r="302" spans="1:4" hidden="1" x14ac:dyDescent="0.3">
      <c r="A302" s="93">
        <v>30220</v>
      </c>
      <c r="B302" s="93" t="s">
        <v>520</v>
      </c>
      <c r="C302" s="97" t="s">
        <v>1308</v>
      </c>
      <c r="D302" t="e">
        <f>VLOOKUP(B302,'Clientes CBOT'!D:E,2,0)</f>
        <v>#N/A</v>
      </c>
    </row>
    <row r="303" spans="1:4" hidden="1" x14ac:dyDescent="0.3">
      <c r="A303" s="92">
        <v>19392</v>
      </c>
      <c r="B303" s="92" t="s">
        <v>1309</v>
      </c>
      <c r="C303" s="96" t="s">
        <v>1310</v>
      </c>
      <c r="D303" t="e">
        <f>VLOOKUP(B303,'Clientes CBOT'!D:E,2,0)</f>
        <v>#N/A</v>
      </c>
    </row>
    <row r="304" spans="1:4" hidden="1" x14ac:dyDescent="0.3">
      <c r="A304" s="93">
        <v>30511</v>
      </c>
      <c r="B304" s="93" t="s">
        <v>575</v>
      </c>
      <c r="C304" s="97" t="s">
        <v>1311</v>
      </c>
      <c r="D304" t="e">
        <f>VLOOKUP(B304,'Clientes CBOT'!D:E,2,0)</f>
        <v>#N/A</v>
      </c>
    </row>
    <row r="305" spans="1:4" hidden="1" x14ac:dyDescent="0.3">
      <c r="A305" s="93">
        <v>34759</v>
      </c>
      <c r="B305" s="93" t="s">
        <v>695</v>
      </c>
      <c r="C305" s="97" t="s">
        <v>1312</v>
      </c>
      <c r="D305" t="e">
        <f>VLOOKUP(B305,'Clientes CBOT'!D:E,2,0)</f>
        <v>#N/A</v>
      </c>
    </row>
    <row r="306" spans="1:4" hidden="1" x14ac:dyDescent="0.3">
      <c r="A306" s="93">
        <v>32155</v>
      </c>
      <c r="B306" s="93" t="s">
        <v>1313</v>
      </c>
      <c r="C306" s="97" t="s">
        <v>1314</v>
      </c>
      <c r="D306" t="e">
        <f>VLOOKUP(B306,'Clientes CBOT'!D:E,2,0)</f>
        <v>#N/A</v>
      </c>
    </row>
    <row r="307" spans="1:4" hidden="1" x14ac:dyDescent="0.3">
      <c r="A307" s="92">
        <v>18292</v>
      </c>
      <c r="B307" s="92" t="s">
        <v>243</v>
      </c>
      <c r="C307" s="96" t="s">
        <v>1315</v>
      </c>
      <c r="D307" t="e">
        <f>VLOOKUP(B307,'Clientes CBOT'!D:E,2,0)</f>
        <v>#N/A</v>
      </c>
    </row>
    <row r="308" spans="1:4" hidden="1" x14ac:dyDescent="0.3">
      <c r="A308" s="93">
        <v>30471</v>
      </c>
      <c r="B308" s="93" t="s">
        <v>469</v>
      </c>
      <c r="C308" s="97" t="s">
        <v>1316</v>
      </c>
      <c r="D308" t="e">
        <f>VLOOKUP(B308,'Clientes CBOT'!D:E,2,0)</f>
        <v>#N/A</v>
      </c>
    </row>
    <row r="309" spans="1:4" hidden="1" x14ac:dyDescent="0.3">
      <c r="A309" s="93">
        <v>3375</v>
      </c>
      <c r="B309" s="93" t="s">
        <v>465</v>
      </c>
      <c r="C309" s="97" t="s">
        <v>1317</v>
      </c>
      <c r="D309" t="e">
        <f>VLOOKUP(B309,'Clientes CBOT'!D:E,2,0)</f>
        <v>#N/A</v>
      </c>
    </row>
    <row r="310" spans="1:4" hidden="1" x14ac:dyDescent="0.3">
      <c r="A310" s="92">
        <v>33173</v>
      </c>
      <c r="B310" s="92" t="s">
        <v>341</v>
      </c>
      <c r="C310" s="96" t="s">
        <v>1318</v>
      </c>
      <c r="D310" t="e">
        <f>VLOOKUP(B310,'Clientes CBOT'!D:E,2,0)</f>
        <v>#N/A</v>
      </c>
    </row>
    <row r="311" spans="1:4" hidden="1" x14ac:dyDescent="0.3">
      <c r="A311" s="92">
        <v>36187</v>
      </c>
      <c r="B311" s="92" t="s">
        <v>311</v>
      </c>
      <c r="C311" s="96" t="s">
        <v>1319</v>
      </c>
      <c r="D311" t="e">
        <f>VLOOKUP(B311,'Clientes CBOT'!D:E,2,0)</f>
        <v>#N/A</v>
      </c>
    </row>
    <row r="312" spans="1:4" hidden="1" x14ac:dyDescent="0.3">
      <c r="A312" s="93">
        <v>9775</v>
      </c>
      <c r="B312" s="93" t="s">
        <v>287</v>
      </c>
      <c r="C312" s="97" t="s">
        <v>1320</v>
      </c>
      <c r="D312" t="e">
        <f>VLOOKUP(B312,'Clientes CBOT'!D:E,2,0)</f>
        <v>#N/A</v>
      </c>
    </row>
    <row r="313" spans="1:4" hidden="1" x14ac:dyDescent="0.3">
      <c r="A313" s="93">
        <v>18751</v>
      </c>
      <c r="B313" s="93" t="s">
        <v>370</v>
      </c>
      <c r="C313" s="97" t="s">
        <v>1321</v>
      </c>
      <c r="D313" t="e">
        <f>VLOOKUP(B313,'Clientes CBOT'!D:E,2,0)</f>
        <v>#N/A</v>
      </c>
    </row>
    <row r="314" spans="1:4" hidden="1" x14ac:dyDescent="0.3">
      <c r="A314" s="93">
        <v>36541</v>
      </c>
      <c r="B314" s="93" t="s">
        <v>454</v>
      </c>
      <c r="C314" s="97" t="s">
        <v>1322</v>
      </c>
      <c r="D314" t="e">
        <f>VLOOKUP(B314,'Clientes CBOT'!D:E,2,0)</f>
        <v>#N/A</v>
      </c>
    </row>
    <row r="315" spans="1:4" hidden="1" x14ac:dyDescent="0.3">
      <c r="A315" s="93">
        <v>30133</v>
      </c>
      <c r="B315" s="93" t="s">
        <v>1323</v>
      </c>
      <c r="C315" s="97" t="s">
        <v>1324</v>
      </c>
      <c r="D315" t="e">
        <f>VLOOKUP(B315,'Clientes CBOT'!D:E,2,0)</f>
        <v>#N/A</v>
      </c>
    </row>
    <row r="316" spans="1:4" hidden="1" x14ac:dyDescent="0.3">
      <c r="A316" s="93">
        <v>30161</v>
      </c>
      <c r="B316" s="93" t="s">
        <v>434</v>
      </c>
      <c r="C316" s="97" t="s">
        <v>1325</v>
      </c>
      <c r="D316" t="e">
        <f>VLOOKUP(B316,'Clientes CBOT'!D:E,2,0)</f>
        <v>#N/A</v>
      </c>
    </row>
    <row r="317" spans="1:4" hidden="1" x14ac:dyDescent="0.3">
      <c r="A317" s="92">
        <v>32736</v>
      </c>
      <c r="B317" s="92" t="s">
        <v>1326</v>
      </c>
      <c r="C317" s="96" t="s">
        <v>1327</v>
      </c>
      <c r="D317" t="e">
        <f>VLOOKUP(B317,'Clientes CBOT'!D:E,2,0)</f>
        <v>#N/A</v>
      </c>
    </row>
    <row r="318" spans="1:4" hidden="1" x14ac:dyDescent="0.3">
      <c r="A318" s="92">
        <v>36729</v>
      </c>
      <c r="B318" s="92" t="s">
        <v>600</v>
      </c>
      <c r="C318" s="96" t="s">
        <v>1328</v>
      </c>
      <c r="D318" t="e">
        <f>VLOOKUP(B318,'Clientes CBOT'!D:E,2,0)</f>
        <v>#N/A</v>
      </c>
    </row>
    <row r="319" spans="1:4" hidden="1" x14ac:dyDescent="0.3">
      <c r="A319" s="92">
        <v>33073</v>
      </c>
      <c r="B319" s="92" t="s">
        <v>383</v>
      </c>
      <c r="C319" s="96" t="s">
        <v>1329</v>
      </c>
      <c r="D319" t="e">
        <f>VLOOKUP(B319,'Clientes CBOT'!D:E,2,0)</f>
        <v>#N/A</v>
      </c>
    </row>
    <row r="320" spans="1:4" hidden="1" x14ac:dyDescent="0.3">
      <c r="A320" s="92">
        <v>37115</v>
      </c>
      <c r="B320" s="92" t="s">
        <v>701</v>
      </c>
      <c r="C320" s="96" t="s">
        <v>1330</v>
      </c>
      <c r="D320" t="e">
        <f>VLOOKUP(B320,'Clientes CBOT'!D:E,2,0)</f>
        <v>#N/A</v>
      </c>
    </row>
    <row r="321" spans="1:4" hidden="1" x14ac:dyDescent="0.3">
      <c r="A321" s="93">
        <v>20401</v>
      </c>
      <c r="B321" s="93" t="s">
        <v>1331</v>
      </c>
      <c r="C321" s="97" t="s">
        <v>1332</v>
      </c>
      <c r="D321" t="e">
        <f>VLOOKUP(B321,'Clientes CBOT'!D:E,2,0)</f>
        <v>#N/A</v>
      </c>
    </row>
    <row r="322" spans="1:4" hidden="1" x14ac:dyDescent="0.3">
      <c r="A322" s="92">
        <v>19620</v>
      </c>
      <c r="B322" s="92" t="s">
        <v>443</v>
      </c>
      <c r="C322" s="96" t="s">
        <v>1333</v>
      </c>
      <c r="D322" t="e">
        <f>VLOOKUP(B322,'Clientes CBOT'!D:E,2,0)</f>
        <v>#N/A</v>
      </c>
    </row>
    <row r="323" spans="1:4" hidden="1" x14ac:dyDescent="0.3">
      <c r="A323" s="92">
        <v>34424</v>
      </c>
      <c r="B323" s="92" t="s">
        <v>209</v>
      </c>
      <c r="C323" s="96" t="s">
        <v>1334</v>
      </c>
      <c r="D323" t="e">
        <f>VLOOKUP(B323,'Clientes CBOT'!D:E,2,0)</f>
        <v>#N/A</v>
      </c>
    </row>
    <row r="324" spans="1:4" hidden="1" x14ac:dyDescent="0.3">
      <c r="A324" s="92">
        <v>34691</v>
      </c>
      <c r="B324" s="92" t="s">
        <v>218</v>
      </c>
      <c r="C324" s="96" t="s">
        <v>1335</v>
      </c>
      <c r="D324" t="e">
        <f>VLOOKUP(B324,'Clientes CBOT'!D:E,2,0)</f>
        <v>#N/A</v>
      </c>
    </row>
    <row r="325" spans="1:4" hidden="1" x14ac:dyDescent="0.3">
      <c r="A325" s="93">
        <v>9352</v>
      </c>
      <c r="B325" s="93" t="s">
        <v>425</v>
      </c>
      <c r="C325" s="97" t="s">
        <v>1336</v>
      </c>
      <c r="D325" t="e">
        <f>VLOOKUP(B325,'Clientes CBOT'!D:E,2,0)</f>
        <v>#N/A</v>
      </c>
    </row>
    <row r="326" spans="1:4" hidden="1" x14ac:dyDescent="0.3">
      <c r="A326" s="93">
        <v>9355</v>
      </c>
      <c r="B326" s="93" t="s">
        <v>1337</v>
      </c>
      <c r="C326" s="97" t="s">
        <v>1338</v>
      </c>
      <c r="D326" t="e">
        <f>VLOOKUP(B326,'Clientes CBOT'!D:E,2,0)</f>
        <v>#N/A</v>
      </c>
    </row>
    <row r="327" spans="1:4" hidden="1" x14ac:dyDescent="0.3">
      <c r="A327" s="92">
        <v>33183</v>
      </c>
      <c r="B327" s="92" t="s">
        <v>585</v>
      </c>
      <c r="C327" s="96" t="s">
        <v>1339</v>
      </c>
      <c r="D327" t="e">
        <f>VLOOKUP(B327,'Clientes CBOT'!D:E,2,0)</f>
        <v>#N/A</v>
      </c>
    </row>
    <row r="328" spans="1:4" hidden="1" x14ac:dyDescent="0.3">
      <c r="A328" s="93">
        <v>36879</v>
      </c>
      <c r="B328" s="93" t="s">
        <v>1340</v>
      </c>
      <c r="C328" s="97" t="s">
        <v>1341</v>
      </c>
      <c r="D328" t="e">
        <f>VLOOKUP(B328,'Clientes CBOT'!D:E,2,0)</f>
        <v>#N/A</v>
      </c>
    </row>
    <row r="329" spans="1:4" hidden="1" x14ac:dyDescent="0.3">
      <c r="A329" s="92">
        <v>37263</v>
      </c>
      <c r="B329" s="92" t="s">
        <v>1342</v>
      </c>
      <c r="C329" s="96" t="s">
        <v>1343</v>
      </c>
      <c r="D329" t="e">
        <f>VLOOKUP(B329,'Clientes CBOT'!D:E,2,0)</f>
        <v>#N/A</v>
      </c>
    </row>
    <row r="330" spans="1:4" hidden="1" x14ac:dyDescent="0.3">
      <c r="A330" s="93">
        <v>9551</v>
      </c>
      <c r="B330" s="93" t="s">
        <v>423</v>
      </c>
      <c r="C330" s="97" t="s">
        <v>1344</v>
      </c>
      <c r="D330" t="e">
        <f>VLOOKUP(B330,'Clientes CBOT'!D:E,2,0)</f>
        <v>#N/A</v>
      </c>
    </row>
    <row r="331" spans="1:4" hidden="1" x14ac:dyDescent="0.3">
      <c r="A331" s="92">
        <v>32972</v>
      </c>
      <c r="B331" s="92" t="s">
        <v>1345</v>
      </c>
      <c r="C331" s="96" t="s">
        <v>1346</v>
      </c>
      <c r="D331" t="e">
        <f>VLOOKUP(B331,'Clientes CBOT'!D:E,2,0)</f>
        <v>#N/A</v>
      </c>
    </row>
    <row r="332" spans="1:4" hidden="1" x14ac:dyDescent="0.3">
      <c r="A332" s="92">
        <v>19327</v>
      </c>
      <c r="B332" s="92" t="s">
        <v>194</v>
      </c>
      <c r="C332" s="96" t="s">
        <v>1347</v>
      </c>
      <c r="D332" t="e">
        <f>VLOOKUP(B332,'Clientes CBOT'!D:E,2,0)</f>
        <v>#N/A</v>
      </c>
    </row>
    <row r="333" spans="1:4" hidden="1" x14ac:dyDescent="0.3">
      <c r="A333" s="93">
        <v>8097</v>
      </c>
      <c r="B333" s="93" t="s">
        <v>822</v>
      </c>
      <c r="C333" s="97" t="s">
        <v>1348</v>
      </c>
      <c r="D333" t="e">
        <f>VLOOKUP(B333,'Clientes CBOT'!D:E,2,0)</f>
        <v>#N/A</v>
      </c>
    </row>
    <row r="334" spans="1:4" hidden="1" x14ac:dyDescent="0.3">
      <c r="A334" s="93">
        <v>37760</v>
      </c>
      <c r="B334" s="93" t="s">
        <v>1349</v>
      </c>
      <c r="C334" s="97" t="s">
        <v>1350</v>
      </c>
      <c r="D334" t="e">
        <f>VLOOKUP(B334,'Clientes CBOT'!D:E,2,0)</f>
        <v>#N/A</v>
      </c>
    </row>
    <row r="335" spans="1:4" hidden="1" x14ac:dyDescent="0.3">
      <c r="A335" s="92">
        <v>35890</v>
      </c>
      <c r="B335" s="92" t="s">
        <v>1351</v>
      </c>
      <c r="C335" s="96" t="s">
        <v>1352</v>
      </c>
      <c r="D335" t="e">
        <f>VLOOKUP(B335,'Clientes CBOT'!D:E,2,0)</f>
        <v>#N/A</v>
      </c>
    </row>
    <row r="336" spans="1:4" hidden="1" x14ac:dyDescent="0.3">
      <c r="A336" s="93">
        <v>31716</v>
      </c>
      <c r="B336" s="93" t="s">
        <v>544</v>
      </c>
      <c r="C336" s="97" t="s">
        <v>1353</v>
      </c>
      <c r="D336" t="e">
        <f>VLOOKUP(B336,'Clientes CBOT'!D:E,2,0)</f>
        <v>#N/A</v>
      </c>
    </row>
    <row r="337" spans="1:4" hidden="1" x14ac:dyDescent="0.3">
      <c r="A337" s="93">
        <v>30908</v>
      </c>
      <c r="B337" s="93" t="s">
        <v>304</v>
      </c>
      <c r="C337" s="97" t="s">
        <v>1354</v>
      </c>
      <c r="D337" t="e">
        <f>VLOOKUP(B337,'Clientes CBOT'!D:E,2,0)</f>
        <v>#N/A</v>
      </c>
    </row>
    <row r="338" spans="1:4" hidden="1" x14ac:dyDescent="0.3">
      <c r="A338" s="92">
        <v>36385</v>
      </c>
      <c r="B338" s="92" t="s">
        <v>444</v>
      </c>
      <c r="C338" s="96" t="s">
        <v>1355</v>
      </c>
      <c r="D338" t="e">
        <f>VLOOKUP(B338,'Clientes CBOT'!D:E,2,0)</f>
        <v>#N/A</v>
      </c>
    </row>
    <row r="339" spans="1:4" hidden="1" x14ac:dyDescent="0.3">
      <c r="A339" s="93">
        <v>9839</v>
      </c>
      <c r="B339" s="93" t="s">
        <v>1356</v>
      </c>
      <c r="C339" s="97" t="s">
        <v>1357</v>
      </c>
      <c r="D339" t="e">
        <f>VLOOKUP(B339,'Clientes CBOT'!D:E,2,0)</f>
        <v>#N/A</v>
      </c>
    </row>
    <row r="340" spans="1:4" hidden="1" x14ac:dyDescent="0.3">
      <c r="A340" s="92">
        <v>30642</v>
      </c>
      <c r="B340" s="92" t="s">
        <v>399</v>
      </c>
      <c r="C340" s="96" t="s">
        <v>1358</v>
      </c>
      <c r="D340" t="e">
        <f>VLOOKUP(B340,'Clientes CBOT'!D:E,2,0)</f>
        <v>#N/A</v>
      </c>
    </row>
    <row r="341" spans="1:4" hidden="1" x14ac:dyDescent="0.3">
      <c r="A341" s="93">
        <v>33533</v>
      </c>
      <c r="B341" s="93" t="s">
        <v>199</v>
      </c>
      <c r="C341" s="97" t="s">
        <v>1359</v>
      </c>
      <c r="D341" t="e">
        <f>VLOOKUP(B341,'Clientes CBOT'!D:E,2,0)</f>
        <v>#N/A</v>
      </c>
    </row>
    <row r="342" spans="1:4" hidden="1" x14ac:dyDescent="0.3">
      <c r="A342" s="92">
        <v>30889</v>
      </c>
      <c r="B342" s="92" t="s">
        <v>1360</v>
      </c>
      <c r="C342" s="96" t="s">
        <v>1361</v>
      </c>
      <c r="D342" t="e">
        <f>VLOOKUP(B342,'Clientes CBOT'!D:E,2,0)</f>
        <v>#N/A</v>
      </c>
    </row>
    <row r="343" spans="1:4" hidden="1" x14ac:dyDescent="0.3">
      <c r="A343" s="92">
        <v>34195</v>
      </c>
      <c r="B343" s="92" t="s">
        <v>244</v>
      </c>
      <c r="C343" s="96" t="s">
        <v>1362</v>
      </c>
      <c r="D343" t="e">
        <f>VLOOKUP(B343,'Clientes CBOT'!D:E,2,0)</f>
        <v>#N/A</v>
      </c>
    </row>
    <row r="344" spans="1:4" x14ac:dyDescent="0.3">
      <c r="A344" s="93">
        <v>32594</v>
      </c>
      <c r="B344" s="93" t="s">
        <v>123</v>
      </c>
      <c r="C344" s="97" t="s">
        <v>1363</v>
      </c>
      <c r="D344">
        <f>VLOOKUP(B344,'Clientes CBOT'!D:E,2,0)</f>
        <v>13033</v>
      </c>
    </row>
    <row r="345" spans="1:4" hidden="1" x14ac:dyDescent="0.3">
      <c r="A345" s="92">
        <v>34623</v>
      </c>
      <c r="B345" s="92" t="s">
        <v>1364</v>
      </c>
      <c r="C345" s="96" t="s">
        <v>1365</v>
      </c>
      <c r="D345" t="e">
        <f>VLOOKUP(B345,'Clientes CBOT'!D:E,2,0)</f>
        <v>#N/A</v>
      </c>
    </row>
    <row r="346" spans="1:4" hidden="1" x14ac:dyDescent="0.3">
      <c r="A346" s="93">
        <v>31104</v>
      </c>
      <c r="B346" s="93" t="s">
        <v>601</v>
      </c>
      <c r="C346" s="97" t="s">
        <v>1366</v>
      </c>
      <c r="D346" t="e">
        <f>VLOOKUP(B346,'Clientes CBOT'!D:E,2,0)</f>
        <v>#N/A</v>
      </c>
    </row>
    <row r="347" spans="1:4" hidden="1" x14ac:dyDescent="0.3">
      <c r="A347" s="92">
        <v>35782</v>
      </c>
      <c r="B347" s="92" t="s">
        <v>297</v>
      </c>
      <c r="C347" s="96" t="s">
        <v>1367</v>
      </c>
      <c r="D347" t="e">
        <f>VLOOKUP(B347,'Clientes CBOT'!D:E,2,0)</f>
        <v>#N/A</v>
      </c>
    </row>
    <row r="348" spans="1:4" hidden="1" x14ac:dyDescent="0.3">
      <c r="A348" s="93">
        <v>37899</v>
      </c>
      <c r="B348" s="93" t="s">
        <v>1368</v>
      </c>
      <c r="C348" s="97" t="s">
        <v>1369</v>
      </c>
      <c r="D348" t="e">
        <f>VLOOKUP(B348,'Clientes CBOT'!D:E,2,0)</f>
        <v>#N/A</v>
      </c>
    </row>
    <row r="349" spans="1:4" hidden="1" x14ac:dyDescent="0.3">
      <c r="A349" s="92">
        <v>36446</v>
      </c>
      <c r="B349" s="92" t="s">
        <v>1370</v>
      </c>
      <c r="C349" s="96" t="s">
        <v>1371</v>
      </c>
      <c r="D349" t="e">
        <f>VLOOKUP(B349,'Clientes CBOT'!D:E,2,0)</f>
        <v>#N/A</v>
      </c>
    </row>
    <row r="350" spans="1:4" hidden="1" x14ac:dyDescent="0.3">
      <c r="A350" s="92">
        <v>38048</v>
      </c>
      <c r="B350" s="92" t="s">
        <v>858</v>
      </c>
      <c r="C350" s="96" t="s">
        <v>1372</v>
      </c>
      <c r="D350" t="e">
        <f>VLOOKUP(B350,'Clientes CBOT'!D:E,2,0)</f>
        <v>#N/A</v>
      </c>
    </row>
    <row r="351" spans="1:4" hidden="1" x14ac:dyDescent="0.3">
      <c r="A351" s="93">
        <v>34358</v>
      </c>
      <c r="B351" s="93" t="s">
        <v>1373</v>
      </c>
      <c r="C351" s="97" t="s">
        <v>1374</v>
      </c>
      <c r="D351" t="e">
        <f>VLOOKUP(B351,'Clientes CBOT'!D:E,2,0)</f>
        <v>#N/A</v>
      </c>
    </row>
    <row r="352" spans="1:4" hidden="1" x14ac:dyDescent="0.3">
      <c r="A352" s="92">
        <v>35646</v>
      </c>
      <c r="B352" s="92" t="s">
        <v>1375</v>
      </c>
      <c r="C352" s="96" t="s">
        <v>1376</v>
      </c>
      <c r="D352" t="e">
        <f>VLOOKUP(B352,'Clientes CBOT'!D:E,2,0)</f>
        <v>#N/A</v>
      </c>
    </row>
    <row r="353" spans="1:4" hidden="1" x14ac:dyDescent="0.3">
      <c r="A353" s="93">
        <v>35043</v>
      </c>
      <c r="B353" s="93" t="s">
        <v>596</v>
      </c>
      <c r="C353" s="97" t="s">
        <v>1377</v>
      </c>
      <c r="D353" t="e">
        <f>VLOOKUP(B353,'Clientes CBOT'!D:E,2,0)</f>
        <v>#N/A</v>
      </c>
    </row>
    <row r="354" spans="1:4" hidden="1" x14ac:dyDescent="0.3">
      <c r="A354" s="93">
        <v>1035</v>
      </c>
      <c r="B354" s="93" t="s">
        <v>686</v>
      </c>
      <c r="C354" s="97" t="s">
        <v>1378</v>
      </c>
      <c r="D354" t="e">
        <f>VLOOKUP(B354,'Clientes CBOT'!D:E,2,0)</f>
        <v>#N/A</v>
      </c>
    </row>
    <row r="355" spans="1:4" hidden="1" x14ac:dyDescent="0.3">
      <c r="A355" s="92">
        <v>30570</v>
      </c>
      <c r="B355" s="92" t="s">
        <v>480</v>
      </c>
      <c r="C355" s="96" t="s">
        <v>1379</v>
      </c>
      <c r="D355" t="e">
        <f>VLOOKUP(B355,'Clientes CBOT'!D:E,2,0)</f>
        <v>#N/A</v>
      </c>
    </row>
    <row r="356" spans="1:4" hidden="1" x14ac:dyDescent="0.3">
      <c r="A356" s="93">
        <v>18749</v>
      </c>
      <c r="B356" s="93" t="s">
        <v>625</v>
      </c>
      <c r="C356" s="97" t="s">
        <v>1380</v>
      </c>
      <c r="D356" t="e">
        <f>VLOOKUP(B356,'Clientes CBOT'!D:E,2,0)</f>
        <v>#N/A</v>
      </c>
    </row>
    <row r="357" spans="1:4" hidden="1" x14ac:dyDescent="0.3">
      <c r="A357" s="92"/>
      <c r="B357" s="92" t="s">
        <v>276</v>
      </c>
      <c r="C357" s="96" t="s">
        <v>1381</v>
      </c>
      <c r="D357" t="e">
        <f>VLOOKUP(B357,'Clientes CBOT'!D:E,2,0)</f>
        <v>#N/A</v>
      </c>
    </row>
    <row r="358" spans="1:4" hidden="1" x14ac:dyDescent="0.3">
      <c r="A358" s="92">
        <v>36053</v>
      </c>
      <c r="B358" s="92" t="s">
        <v>369</v>
      </c>
      <c r="C358" s="96" t="s">
        <v>1382</v>
      </c>
      <c r="D358" t="e">
        <f>VLOOKUP(B358,'Clientes CBOT'!D:E,2,0)</f>
        <v>#N/A</v>
      </c>
    </row>
    <row r="359" spans="1:4" hidden="1" x14ac:dyDescent="0.3">
      <c r="A359" s="92">
        <v>34059</v>
      </c>
      <c r="B359" s="92" t="s">
        <v>331</v>
      </c>
      <c r="C359" s="96" t="s">
        <v>1383</v>
      </c>
      <c r="D359" t="e">
        <f>VLOOKUP(B359,'Clientes CBOT'!D:E,2,0)</f>
        <v>#N/A</v>
      </c>
    </row>
    <row r="360" spans="1:4" hidden="1" x14ac:dyDescent="0.3">
      <c r="A360" s="93">
        <v>31060</v>
      </c>
      <c r="B360" s="93" t="s">
        <v>1384</v>
      </c>
      <c r="C360" s="97" t="s">
        <v>1385</v>
      </c>
      <c r="D360" t="e">
        <f>VLOOKUP(B360,'Clientes CBOT'!D:E,2,0)</f>
        <v>#N/A</v>
      </c>
    </row>
    <row r="361" spans="1:4" hidden="1" x14ac:dyDescent="0.3">
      <c r="A361" s="92">
        <v>30340</v>
      </c>
      <c r="B361" s="92" t="s">
        <v>1386</v>
      </c>
      <c r="C361" s="96" t="s">
        <v>1387</v>
      </c>
      <c r="D361" t="e">
        <f>VLOOKUP(B361,'Clientes CBOT'!D:E,2,0)</f>
        <v>#N/A</v>
      </c>
    </row>
    <row r="362" spans="1:4" hidden="1" x14ac:dyDescent="0.3">
      <c r="A362" s="92">
        <v>20716</v>
      </c>
      <c r="B362" s="92" t="s">
        <v>323</v>
      </c>
      <c r="C362" s="96" t="s">
        <v>1388</v>
      </c>
      <c r="D362" t="e">
        <f>VLOOKUP(B362,'Clientes CBOT'!D:E,2,0)</f>
        <v>#N/A</v>
      </c>
    </row>
    <row r="363" spans="1:4" hidden="1" x14ac:dyDescent="0.3">
      <c r="A363" s="92">
        <v>36945</v>
      </c>
      <c r="B363" s="92" t="s">
        <v>1389</v>
      </c>
      <c r="C363" s="96" t="s">
        <v>1390</v>
      </c>
      <c r="D363" t="e">
        <f>VLOOKUP(B363,'Clientes CBOT'!D:E,2,0)</f>
        <v>#N/A</v>
      </c>
    </row>
    <row r="364" spans="1:4" hidden="1" x14ac:dyDescent="0.3">
      <c r="A364" s="93">
        <v>36847</v>
      </c>
      <c r="B364" s="93" t="s">
        <v>292</v>
      </c>
      <c r="C364" s="97" t="s">
        <v>1391</v>
      </c>
      <c r="D364" t="e">
        <f>VLOOKUP(B364,'Clientes CBOT'!D:E,2,0)</f>
        <v>#N/A</v>
      </c>
    </row>
    <row r="365" spans="1:4" hidden="1" x14ac:dyDescent="0.3">
      <c r="A365" s="93">
        <v>37646</v>
      </c>
      <c r="B365" s="93" t="s">
        <v>1392</v>
      </c>
      <c r="C365" s="97" t="s">
        <v>1393</v>
      </c>
      <c r="D365" t="e">
        <f>VLOOKUP(B365,'Clientes CBOT'!D:E,2,0)</f>
        <v>#N/A</v>
      </c>
    </row>
    <row r="366" spans="1:4" hidden="1" x14ac:dyDescent="0.3">
      <c r="A366" s="92">
        <v>18554</v>
      </c>
      <c r="B366" s="92" t="s">
        <v>550</v>
      </c>
      <c r="C366" s="96" t="s">
        <v>1394</v>
      </c>
      <c r="D366" t="e">
        <f>VLOOKUP(B366,'Clientes CBOT'!D:E,2,0)</f>
        <v>#N/A</v>
      </c>
    </row>
    <row r="367" spans="1:4" hidden="1" x14ac:dyDescent="0.3">
      <c r="A367" s="93">
        <v>33579</v>
      </c>
      <c r="B367" s="93" t="s">
        <v>344</v>
      </c>
      <c r="C367" s="97" t="s">
        <v>1395</v>
      </c>
      <c r="D367" t="e">
        <f>VLOOKUP(B367,'Clientes CBOT'!D:E,2,0)</f>
        <v>#N/A</v>
      </c>
    </row>
    <row r="368" spans="1:4" hidden="1" x14ac:dyDescent="0.3">
      <c r="A368" s="93">
        <v>446</v>
      </c>
      <c r="B368" s="93" t="s">
        <v>1396</v>
      </c>
      <c r="C368" s="97" t="s">
        <v>1397</v>
      </c>
      <c r="D368" t="e">
        <f>VLOOKUP(B368,'Clientes CBOT'!D:E,2,0)</f>
        <v>#N/A</v>
      </c>
    </row>
    <row r="369" spans="1:4" hidden="1" x14ac:dyDescent="0.3">
      <c r="A369" s="92">
        <v>15206</v>
      </c>
      <c r="B369" s="92" t="s">
        <v>537</v>
      </c>
      <c r="C369" s="96" t="s">
        <v>1398</v>
      </c>
      <c r="D369" t="e">
        <f>VLOOKUP(B369,'Clientes CBOT'!D:E,2,0)</f>
        <v>#N/A</v>
      </c>
    </row>
    <row r="370" spans="1:4" hidden="1" x14ac:dyDescent="0.3">
      <c r="A370" s="93">
        <v>19517</v>
      </c>
      <c r="B370" s="93" t="s">
        <v>647</v>
      </c>
      <c r="C370" s="97" t="s">
        <v>1399</v>
      </c>
      <c r="D370" t="e">
        <f>VLOOKUP(B370,'Clientes CBOT'!D:E,2,0)</f>
        <v>#N/A</v>
      </c>
    </row>
    <row r="371" spans="1:4" hidden="1" x14ac:dyDescent="0.3">
      <c r="A371" s="92">
        <v>16298</v>
      </c>
      <c r="B371" s="92" t="s">
        <v>521</v>
      </c>
      <c r="C371" s="96" t="s">
        <v>1400</v>
      </c>
      <c r="D371" t="e">
        <f>VLOOKUP(B371,'Clientes CBOT'!D:E,2,0)</f>
        <v>#N/A</v>
      </c>
    </row>
    <row r="372" spans="1:4" hidden="1" x14ac:dyDescent="0.3">
      <c r="A372" s="92">
        <v>3107</v>
      </c>
      <c r="B372" s="92" t="s">
        <v>280</v>
      </c>
      <c r="C372" s="96" t="s">
        <v>1401</v>
      </c>
      <c r="D372" t="e">
        <f>VLOOKUP(B372,'Clientes CBOT'!D:E,2,0)</f>
        <v>#N/A</v>
      </c>
    </row>
    <row r="373" spans="1:4" hidden="1" x14ac:dyDescent="0.3">
      <c r="A373" s="93">
        <v>36994</v>
      </c>
      <c r="B373" s="93" t="s">
        <v>1402</v>
      </c>
      <c r="C373" s="97" t="s">
        <v>1403</v>
      </c>
      <c r="D373" t="e">
        <f>VLOOKUP(B373,'Clientes CBOT'!D:E,2,0)</f>
        <v>#N/A</v>
      </c>
    </row>
    <row r="374" spans="1:4" hidden="1" x14ac:dyDescent="0.3">
      <c r="A374" s="92">
        <v>8041</v>
      </c>
      <c r="B374" s="92" t="s">
        <v>1404</v>
      </c>
      <c r="C374" s="96" t="s">
        <v>1405</v>
      </c>
      <c r="D374" t="e">
        <f>VLOOKUP(B374,'Clientes CBOT'!D:E,2,0)</f>
        <v>#N/A</v>
      </c>
    </row>
    <row r="375" spans="1:4" hidden="1" x14ac:dyDescent="0.3">
      <c r="A375" s="92">
        <v>20483</v>
      </c>
      <c r="B375" s="92" t="s">
        <v>320</v>
      </c>
      <c r="C375" s="96" t="s">
        <v>1406</v>
      </c>
      <c r="D375" t="e">
        <f>VLOOKUP(B375,'Clientes CBOT'!D:E,2,0)</f>
        <v>#N/A</v>
      </c>
    </row>
    <row r="376" spans="1:4" hidden="1" x14ac:dyDescent="0.3">
      <c r="A376" s="92">
        <v>35790</v>
      </c>
      <c r="B376" s="92" t="s">
        <v>376</v>
      </c>
      <c r="C376" s="96" t="s">
        <v>1407</v>
      </c>
      <c r="D376" t="e">
        <f>VLOOKUP(B376,'Clientes CBOT'!D:E,2,0)</f>
        <v>#N/A</v>
      </c>
    </row>
    <row r="377" spans="1:4" hidden="1" x14ac:dyDescent="0.3">
      <c r="A377" s="92">
        <v>736</v>
      </c>
      <c r="B377" s="92" t="s">
        <v>404</v>
      </c>
      <c r="C377" s="96" t="s">
        <v>1408</v>
      </c>
      <c r="D377" t="e">
        <f>VLOOKUP(B377,'Clientes CBOT'!D:E,2,0)</f>
        <v>#N/A</v>
      </c>
    </row>
    <row r="378" spans="1:4" hidden="1" x14ac:dyDescent="0.3">
      <c r="A378" s="93">
        <v>31437</v>
      </c>
      <c r="B378" s="93" t="s">
        <v>588</v>
      </c>
      <c r="C378" s="97" t="s">
        <v>1409</v>
      </c>
      <c r="D378" t="e">
        <f>VLOOKUP(B378,'Clientes CBOT'!D:E,2,0)</f>
        <v>#N/A</v>
      </c>
    </row>
    <row r="379" spans="1:4" hidden="1" x14ac:dyDescent="0.3">
      <c r="A379" s="93">
        <v>33102</v>
      </c>
      <c r="B379" s="93" t="s">
        <v>412</v>
      </c>
      <c r="C379" s="97" t="s">
        <v>1410</v>
      </c>
      <c r="D379" t="e">
        <f>VLOOKUP(B379,'Clientes CBOT'!D:E,2,0)</f>
        <v>#N/A</v>
      </c>
    </row>
    <row r="380" spans="1:4" hidden="1" x14ac:dyDescent="0.3">
      <c r="A380" s="93">
        <v>35240</v>
      </c>
      <c r="B380" s="93" t="s">
        <v>411</v>
      </c>
      <c r="C380" s="97" t="s">
        <v>1411</v>
      </c>
      <c r="D380" t="e">
        <f>VLOOKUP(B380,'Clientes CBOT'!D:E,2,0)</f>
        <v>#N/A</v>
      </c>
    </row>
    <row r="381" spans="1:4" hidden="1" x14ac:dyDescent="0.3">
      <c r="A381" s="92">
        <v>18421</v>
      </c>
      <c r="B381" s="92" t="s">
        <v>513</v>
      </c>
      <c r="C381" s="96" t="s">
        <v>1412</v>
      </c>
      <c r="D381" t="e">
        <f>VLOOKUP(B381,'Clientes CBOT'!D:E,2,0)</f>
        <v>#N/A</v>
      </c>
    </row>
    <row r="382" spans="1:4" hidden="1" x14ac:dyDescent="0.3">
      <c r="A382" s="93">
        <v>2021</v>
      </c>
      <c r="B382" s="93" t="s">
        <v>707</v>
      </c>
      <c r="C382" s="97" t="s">
        <v>1413</v>
      </c>
      <c r="D382" t="e">
        <f>VLOOKUP(B382,'Clientes CBOT'!D:E,2,0)</f>
        <v>#N/A</v>
      </c>
    </row>
    <row r="383" spans="1:4" hidden="1" x14ac:dyDescent="0.3">
      <c r="A383" s="93">
        <v>33645</v>
      </c>
      <c r="B383" s="93" t="s">
        <v>1414</v>
      </c>
      <c r="C383" s="97" t="s">
        <v>1415</v>
      </c>
      <c r="D383" t="e">
        <f>VLOOKUP(B383,'Clientes CBOT'!D:E,2,0)</f>
        <v>#N/A</v>
      </c>
    </row>
    <row r="384" spans="1:4" hidden="1" x14ac:dyDescent="0.3">
      <c r="A384" s="93">
        <v>30317</v>
      </c>
      <c r="B384" s="93" t="s">
        <v>221</v>
      </c>
      <c r="C384" s="97" t="s">
        <v>1416</v>
      </c>
      <c r="D384" t="e">
        <f>VLOOKUP(B384,'Clientes CBOT'!D:E,2,0)</f>
        <v>#N/A</v>
      </c>
    </row>
    <row r="385" spans="1:4" hidden="1" x14ac:dyDescent="0.3">
      <c r="A385" s="93">
        <v>33986</v>
      </c>
      <c r="B385" s="93" t="s">
        <v>1417</v>
      </c>
      <c r="C385" s="97" t="s">
        <v>1418</v>
      </c>
      <c r="D385" t="e">
        <f>VLOOKUP(B385,'Clientes CBOT'!D:E,2,0)</f>
        <v>#N/A</v>
      </c>
    </row>
    <row r="386" spans="1:4" hidden="1" x14ac:dyDescent="0.3">
      <c r="A386" s="93">
        <v>35523</v>
      </c>
      <c r="B386" s="93" t="s">
        <v>705</v>
      </c>
      <c r="C386" s="97" t="s">
        <v>1419</v>
      </c>
      <c r="D386" t="e">
        <f>VLOOKUP(B386,'Clientes CBOT'!D:E,2,0)</f>
        <v>#N/A</v>
      </c>
    </row>
    <row r="387" spans="1:4" hidden="1" x14ac:dyDescent="0.3">
      <c r="A387" s="92">
        <v>19844</v>
      </c>
      <c r="B387" s="92" t="s">
        <v>535</v>
      </c>
      <c r="C387" s="96" t="s">
        <v>1420</v>
      </c>
      <c r="D387" t="e">
        <f>VLOOKUP(B387,'Clientes CBOT'!D:E,2,0)</f>
        <v>#N/A</v>
      </c>
    </row>
    <row r="388" spans="1:4" hidden="1" x14ac:dyDescent="0.3">
      <c r="A388" s="93">
        <v>36209</v>
      </c>
      <c r="B388" s="93" t="s">
        <v>586</v>
      </c>
      <c r="C388" s="97" t="s">
        <v>1421</v>
      </c>
      <c r="D388" t="e">
        <f>VLOOKUP(B388,'Clientes CBOT'!D:E,2,0)</f>
        <v>#N/A</v>
      </c>
    </row>
    <row r="389" spans="1:4" hidden="1" x14ac:dyDescent="0.3">
      <c r="A389" s="92">
        <v>17729</v>
      </c>
      <c r="B389" s="92" t="s">
        <v>241</v>
      </c>
      <c r="C389" s="96" t="s">
        <v>1422</v>
      </c>
      <c r="D389" t="e">
        <f>VLOOKUP(B389,'Clientes CBOT'!D:E,2,0)</f>
        <v>#N/A</v>
      </c>
    </row>
    <row r="390" spans="1:4" hidden="1" x14ac:dyDescent="0.3">
      <c r="A390" s="92">
        <v>4671</v>
      </c>
      <c r="B390" s="92" t="s">
        <v>1423</v>
      </c>
      <c r="C390" s="96" t="s">
        <v>1424</v>
      </c>
      <c r="D390" t="e">
        <f>VLOOKUP(B390,'Clientes CBOT'!D:E,2,0)</f>
        <v>#N/A</v>
      </c>
    </row>
    <row r="391" spans="1:4" hidden="1" x14ac:dyDescent="0.3">
      <c r="A391" s="93">
        <v>17024</v>
      </c>
      <c r="B391" s="93" t="s">
        <v>1425</v>
      </c>
      <c r="C391" s="97" t="s">
        <v>1426</v>
      </c>
      <c r="D391" t="e">
        <f>VLOOKUP(B391,'Clientes CBOT'!D:E,2,0)</f>
        <v>#N/A</v>
      </c>
    </row>
    <row r="392" spans="1:4" hidden="1" x14ac:dyDescent="0.3">
      <c r="A392" s="92">
        <v>7412</v>
      </c>
      <c r="B392" s="92" t="s">
        <v>589</v>
      </c>
      <c r="C392" s="96" t="s">
        <v>1427</v>
      </c>
      <c r="D392" t="e">
        <f>VLOOKUP(B392,'Clientes CBOT'!D:E,2,0)</f>
        <v>#N/A</v>
      </c>
    </row>
    <row r="393" spans="1:4" hidden="1" x14ac:dyDescent="0.3">
      <c r="A393" s="92">
        <v>35992</v>
      </c>
      <c r="B393" s="92" t="s">
        <v>340</v>
      </c>
      <c r="C393" s="96" t="s">
        <v>1428</v>
      </c>
      <c r="D393" t="e">
        <f>VLOOKUP(B393,'Clientes CBOT'!D:E,2,0)</f>
        <v>#N/A</v>
      </c>
    </row>
    <row r="394" spans="1:4" hidden="1" x14ac:dyDescent="0.3">
      <c r="A394" s="93">
        <v>32219</v>
      </c>
      <c r="B394" s="93" t="s">
        <v>804</v>
      </c>
      <c r="C394" s="97" t="s">
        <v>1429</v>
      </c>
      <c r="D394" t="e">
        <f>VLOOKUP(B394,'Clientes CBOT'!D:E,2,0)</f>
        <v>#N/A</v>
      </c>
    </row>
    <row r="395" spans="1:4" hidden="1" x14ac:dyDescent="0.3">
      <c r="A395" s="93">
        <v>20317</v>
      </c>
      <c r="B395" s="93" t="s">
        <v>721</v>
      </c>
      <c r="C395" s="97" t="s">
        <v>1430</v>
      </c>
      <c r="D395" t="e">
        <f>VLOOKUP(B395,'Clientes CBOT'!D:E,2,0)</f>
        <v>#N/A</v>
      </c>
    </row>
    <row r="396" spans="1:4" hidden="1" x14ac:dyDescent="0.3">
      <c r="A396" s="93">
        <v>20399</v>
      </c>
      <c r="B396" s="93" t="s">
        <v>1431</v>
      </c>
      <c r="C396" s="97" t="s">
        <v>1432</v>
      </c>
      <c r="D396" t="e">
        <f>VLOOKUP(B396,'Clientes CBOT'!D:E,2,0)</f>
        <v>#N/A</v>
      </c>
    </row>
    <row r="397" spans="1:4" hidden="1" x14ac:dyDescent="0.3">
      <c r="A397" s="93">
        <v>18812</v>
      </c>
      <c r="B397" s="93" t="s">
        <v>415</v>
      </c>
      <c r="C397" s="97" t="s">
        <v>1433</v>
      </c>
      <c r="D397" t="e">
        <f>VLOOKUP(B397,'Clientes CBOT'!D:E,2,0)</f>
        <v>#N/A</v>
      </c>
    </row>
    <row r="398" spans="1:4" hidden="1" x14ac:dyDescent="0.3">
      <c r="A398" s="93">
        <v>30567</v>
      </c>
      <c r="B398" s="93" t="s">
        <v>363</v>
      </c>
      <c r="C398" s="97" t="s">
        <v>1434</v>
      </c>
      <c r="D398" t="e">
        <f>VLOOKUP(B398,'Clientes CBOT'!D:E,2,0)</f>
        <v>#N/A</v>
      </c>
    </row>
    <row r="399" spans="1:4" hidden="1" x14ac:dyDescent="0.3">
      <c r="A399" s="92">
        <v>35451</v>
      </c>
      <c r="B399" s="92" t="s">
        <v>477</v>
      </c>
      <c r="C399" s="96" t="s">
        <v>1435</v>
      </c>
      <c r="D399" t="e">
        <f>VLOOKUP(B399,'Clientes CBOT'!D:E,2,0)</f>
        <v>#N/A</v>
      </c>
    </row>
    <row r="400" spans="1:4" hidden="1" x14ac:dyDescent="0.3">
      <c r="A400" s="92">
        <v>9611</v>
      </c>
      <c r="B400" s="92" t="s">
        <v>709</v>
      </c>
      <c r="C400" s="96" t="s">
        <v>1436</v>
      </c>
      <c r="D400" t="e">
        <f>VLOOKUP(B400,'Clientes CBOT'!D:E,2,0)</f>
        <v>#N/A</v>
      </c>
    </row>
    <row r="401" spans="1:4" hidden="1" x14ac:dyDescent="0.3">
      <c r="A401" s="92">
        <v>31905</v>
      </c>
      <c r="B401" s="92" t="s">
        <v>1437</v>
      </c>
      <c r="C401" s="96" t="s">
        <v>1438</v>
      </c>
      <c r="D401" t="e">
        <f>VLOOKUP(B401,'Clientes CBOT'!D:E,2,0)</f>
        <v>#N/A</v>
      </c>
    </row>
    <row r="402" spans="1:4" hidden="1" x14ac:dyDescent="0.3">
      <c r="A402" s="93">
        <v>16903</v>
      </c>
      <c r="B402" s="93" t="s">
        <v>204</v>
      </c>
      <c r="C402" s="97" t="s">
        <v>1439</v>
      </c>
      <c r="D402" t="e">
        <f>VLOOKUP(B402,'Clientes CBOT'!D:E,2,0)</f>
        <v>#N/A</v>
      </c>
    </row>
    <row r="403" spans="1:4" hidden="1" x14ac:dyDescent="0.3">
      <c r="A403" s="92">
        <v>34095</v>
      </c>
      <c r="B403" s="92" t="s">
        <v>406</v>
      </c>
      <c r="C403" s="96" t="s">
        <v>1440</v>
      </c>
      <c r="D403" t="e">
        <f>VLOOKUP(B403,'Clientes CBOT'!D:E,2,0)</f>
        <v>#N/A</v>
      </c>
    </row>
  </sheetData>
  <autoFilter ref="A1:D403" xr:uid="{5500B946-9372-4753-B808-9C5452CC61EA}">
    <filterColumn colId="3">
      <filters>
        <filter val="13002"/>
        <filter val="13005"/>
        <filter val="13006"/>
        <filter val="13007"/>
        <filter val="13008"/>
        <filter val="13009"/>
        <filter val="13010"/>
        <filter val="13016"/>
        <filter val="13033"/>
        <filter val="13035"/>
        <filter val="13036"/>
        <filter val="20176"/>
      </filters>
    </filterColumn>
  </autoFilter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018F35-B3B9-4A3B-97E5-CB2D997DCD85}">
  <sheetPr codeName="Hoja12"/>
  <dimension ref="A1:AP114"/>
  <sheetViews>
    <sheetView topLeftCell="Y1" workbookViewId="0">
      <selection activeCell="F123" sqref="F123"/>
    </sheetView>
  </sheetViews>
  <sheetFormatPr baseColWidth="10" defaultRowHeight="14.4" x14ac:dyDescent="0.3"/>
  <cols>
    <col min="1" max="1" width="13.77734375" bestFit="1" customWidth="1"/>
    <col min="2" max="2" width="11.77734375" bestFit="1" customWidth="1"/>
    <col min="3" max="3" width="12.88671875" bestFit="1" customWidth="1"/>
    <col min="4" max="4" width="12.44140625" bestFit="1" customWidth="1"/>
    <col min="5" max="5" width="17.109375" bestFit="1" customWidth="1"/>
    <col min="6" max="6" width="19.6640625" bestFit="1" customWidth="1"/>
    <col min="7" max="7" width="22.6640625" bestFit="1" customWidth="1"/>
    <col min="8" max="8" width="19" bestFit="1" customWidth="1"/>
    <col min="9" max="9" width="29" bestFit="1" customWidth="1"/>
    <col min="10" max="10" width="27.88671875" bestFit="1" customWidth="1"/>
    <col min="11" max="11" width="17.5546875" bestFit="1" customWidth="1"/>
    <col min="12" max="12" width="21.109375" bestFit="1" customWidth="1"/>
    <col min="13" max="13" width="25.44140625" bestFit="1" customWidth="1"/>
    <col min="14" max="14" width="18.44140625" style="6" bestFit="1" customWidth="1"/>
    <col min="15" max="15" width="25.5546875" bestFit="1" customWidth="1"/>
    <col min="16" max="16" width="26.21875" bestFit="1" customWidth="1"/>
    <col min="17" max="17" width="24.33203125" bestFit="1" customWidth="1"/>
    <col min="18" max="18" width="25" bestFit="1" customWidth="1"/>
    <col min="19" max="19" width="28.5546875" bestFit="1" customWidth="1"/>
    <col min="20" max="20" width="19.77734375" bestFit="1" customWidth="1"/>
    <col min="21" max="21" width="23" bestFit="1" customWidth="1"/>
    <col min="22" max="22" width="20.33203125" bestFit="1" customWidth="1"/>
    <col min="23" max="23" width="24.77734375" style="6" bestFit="1" customWidth="1"/>
    <col min="24" max="24" width="23.109375" bestFit="1" customWidth="1"/>
    <col min="25" max="25" width="22.109375" style="6" bestFit="1" customWidth="1"/>
    <col min="26" max="26" width="24.109375" bestFit="1" customWidth="1"/>
    <col min="27" max="27" width="17.21875" bestFit="1" customWidth="1"/>
    <col min="28" max="28" width="24.88671875" bestFit="1" customWidth="1"/>
    <col min="29" max="29" width="24.6640625" bestFit="1" customWidth="1"/>
    <col min="30" max="30" width="28" bestFit="1" customWidth="1"/>
    <col min="31" max="31" width="19" style="6" bestFit="1" customWidth="1"/>
    <col min="32" max="32" width="19.21875" bestFit="1" customWidth="1"/>
    <col min="33" max="33" width="22" bestFit="1" customWidth="1"/>
    <col min="34" max="34" width="29.88671875" bestFit="1" customWidth="1"/>
    <col min="35" max="35" width="25.77734375" bestFit="1" customWidth="1"/>
    <col min="36" max="36" width="14" bestFit="1" customWidth="1"/>
    <col min="37" max="37" width="18.5546875" bestFit="1" customWidth="1"/>
    <col min="38" max="38" width="24.6640625" bestFit="1" customWidth="1"/>
    <col min="39" max="39" width="25.88671875" bestFit="1" customWidth="1"/>
    <col min="40" max="40" width="20.44140625" bestFit="1" customWidth="1"/>
    <col min="41" max="41" width="25.21875" bestFit="1" customWidth="1"/>
    <col min="42" max="43" width="25.33203125" bestFit="1" customWidth="1"/>
    <col min="44" max="44" width="11.21875" bestFit="1" customWidth="1"/>
    <col min="45" max="45" width="15.33203125" bestFit="1" customWidth="1"/>
    <col min="46" max="46" width="15" bestFit="1" customWidth="1"/>
    <col min="47" max="47" width="13.88671875" bestFit="1" customWidth="1"/>
    <col min="48" max="48" width="80.88671875" bestFit="1" customWidth="1"/>
    <col min="49" max="49" width="19.77734375" bestFit="1" customWidth="1"/>
  </cols>
  <sheetData>
    <row r="1" spans="1:4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39</v>
      </c>
      <c r="J1" t="s">
        <v>136</v>
      </c>
      <c r="K1" t="s">
        <v>137</v>
      </c>
      <c r="L1" t="s">
        <v>138</v>
      </c>
      <c r="M1" t="s">
        <v>139</v>
      </c>
      <c r="N1" s="6" t="s">
        <v>140</v>
      </c>
      <c r="O1" t="s">
        <v>141</v>
      </c>
      <c r="P1" t="s">
        <v>142</v>
      </c>
      <c r="Q1" t="s">
        <v>143</v>
      </c>
      <c r="R1" t="s">
        <v>144</v>
      </c>
      <c r="S1" t="s">
        <v>145</v>
      </c>
      <c r="T1" t="s">
        <v>146</v>
      </c>
      <c r="U1" t="s">
        <v>147</v>
      </c>
      <c r="V1" t="s">
        <v>148</v>
      </c>
      <c r="W1" s="6" t="s">
        <v>149</v>
      </c>
      <c r="X1" t="s">
        <v>150</v>
      </c>
      <c r="Y1" s="6" t="s">
        <v>151</v>
      </c>
      <c r="Z1" t="s">
        <v>152</v>
      </c>
      <c r="AA1" t="s">
        <v>153</v>
      </c>
      <c r="AB1" t="s">
        <v>154</v>
      </c>
      <c r="AC1" t="s">
        <v>155</v>
      </c>
      <c r="AD1" t="s">
        <v>156</v>
      </c>
      <c r="AE1" s="6" t="s">
        <v>157</v>
      </c>
      <c r="AF1" t="s">
        <v>158</v>
      </c>
      <c r="AG1" t="s">
        <v>159</v>
      </c>
      <c r="AH1" t="s">
        <v>160</v>
      </c>
      <c r="AI1" t="s">
        <v>161</v>
      </c>
      <c r="AJ1" t="s">
        <v>162</v>
      </c>
      <c r="AK1" t="s">
        <v>163</v>
      </c>
      <c r="AL1" t="s">
        <v>164</v>
      </c>
      <c r="AM1" t="s">
        <v>165</v>
      </c>
      <c r="AN1" t="s">
        <v>166</v>
      </c>
      <c r="AO1" t="s">
        <v>167</v>
      </c>
      <c r="AP1" t="s">
        <v>661</v>
      </c>
    </row>
    <row r="2" spans="1:42" x14ac:dyDescent="0.3">
      <c r="A2" t="s">
        <v>168</v>
      </c>
      <c r="B2" t="s">
        <v>51</v>
      </c>
      <c r="C2">
        <v>766</v>
      </c>
      <c r="E2">
        <v>13000</v>
      </c>
      <c r="F2" t="s">
        <v>52</v>
      </c>
      <c r="G2" t="s">
        <v>53</v>
      </c>
      <c r="H2" t="s">
        <v>671</v>
      </c>
      <c r="I2" t="s">
        <v>59</v>
      </c>
      <c r="J2" t="s">
        <v>169</v>
      </c>
      <c r="K2">
        <v>20251117</v>
      </c>
      <c r="L2">
        <v>766</v>
      </c>
      <c r="M2" t="s">
        <v>63</v>
      </c>
      <c r="N2" s="6">
        <v>1486490.39</v>
      </c>
      <c r="O2" t="s">
        <v>652</v>
      </c>
      <c r="P2" t="s">
        <v>652</v>
      </c>
      <c r="Q2" t="s">
        <v>652</v>
      </c>
      <c r="R2">
        <v>0</v>
      </c>
      <c r="S2">
        <v>0</v>
      </c>
      <c r="T2">
        <v>0</v>
      </c>
      <c r="U2">
        <v>0</v>
      </c>
      <c r="V2">
        <v>148649039</v>
      </c>
      <c r="W2" s="6">
        <v>0</v>
      </c>
      <c r="X2">
        <v>0</v>
      </c>
      <c r="Y2" s="6">
        <v>1486490.39</v>
      </c>
      <c r="Z2">
        <v>0</v>
      </c>
      <c r="AA2">
        <v>0</v>
      </c>
      <c r="AB2">
        <v>0</v>
      </c>
      <c r="AC2">
        <v>0</v>
      </c>
      <c r="AD2">
        <v>100000000</v>
      </c>
      <c r="AE2" s="6">
        <v>148649039</v>
      </c>
      <c r="AF2">
        <v>0</v>
      </c>
      <c r="AG2">
        <v>0</v>
      </c>
      <c r="AH2">
        <v>0</v>
      </c>
      <c r="AI2">
        <v>0</v>
      </c>
      <c r="AJ2">
        <v>148649039</v>
      </c>
      <c r="AK2">
        <v>0</v>
      </c>
      <c r="AL2">
        <v>148649039</v>
      </c>
      <c r="AM2">
        <v>0</v>
      </c>
      <c r="AN2">
        <v>148649039</v>
      </c>
      <c r="AO2">
        <v>148649039</v>
      </c>
      <c r="AP2" t="s">
        <v>1622</v>
      </c>
    </row>
    <row r="3" spans="1:42" x14ac:dyDescent="0.3">
      <c r="A3" t="s">
        <v>168</v>
      </c>
      <c r="B3" t="s">
        <v>51</v>
      </c>
      <c r="C3">
        <v>766</v>
      </c>
      <c r="E3">
        <v>13000</v>
      </c>
      <c r="F3" t="s">
        <v>52</v>
      </c>
      <c r="G3" t="s">
        <v>53</v>
      </c>
      <c r="H3" t="s">
        <v>170</v>
      </c>
      <c r="I3" t="s">
        <v>59</v>
      </c>
      <c r="J3" t="s">
        <v>169</v>
      </c>
      <c r="K3">
        <v>20251117</v>
      </c>
      <c r="L3">
        <v>766</v>
      </c>
      <c r="M3" t="s">
        <v>63</v>
      </c>
      <c r="N3" s="6">
        <v>1486490.39</v>
      </c>
      <c r="O3" t="s">
        <v>652</v>
      </c>
      <c r="P3" t="s">
        <v>652</v>
      </c>
      <c r="Q3" t="s">
        <v>652</v>
      </c>
      <c r="R3">
        <v>0</v>
      </c>
      <c r="S3">
        <v>0</v>
      </c>
      <c r="T3">
        <v>0</v>
      </c>
      <c r="U3">
        <v>0</v>
      </c>
      <c r="V3">
        <v>148649039</v>
      </c>
      <c r="W3" s="6">
        <v>0</v>
      </c>
      <c r="X3">
        <v>0</v>
      </c>
      <c r="Y3" s="6">
        <v>1486490.39</v>
      </c>
      <c r="Z3">
        <v>0</v>
      </c>
      <c r="AA3">
        <v>0</v>
      </c>
      <c r="AB3">
        <v>0</v>
      </c>
      <c r="AC3">
        <v>0</v>
      </c>
      <c r="AD3">
        <v>100000000</v>
      </c>
      <c r="AE3" s="6">
        <v>148649039</v>
      </c>
      <c r="AF3">
        <v>0</v>
      </c>
      <c r="AG3">
        <v>0</v>
      </c>
      <c r="AH3">
        <v>0</v>
      </c>
      <c r="AI3">
        <v>0</v>
      </c>
      <c r="AJ3">
        <v>148649039</v>
      </c>
      <c r="AK3">
        <v>0</v>
      </c>
      <c r="AL3">
        <v>148649039</v>
      </c>
      <c r="AM3">
        <v>0</v>
      </c>
      <c r="AN3">
        <v>148649039</v>
      </c>
      <c r="AO3">
        <v>148649039</v>
      </c>
      <c r="AP3" t="s">
        <v>1622</v>
      </c>
    </row>
    <row r="4" spans="1:42" x14ac:dyDescent="0.3">
      <c r="A4" t="s">
        <v>171</v>
      </c>
      <c r="B4" t="s">
        <v>51</v>
      </c>
      <c r="C4">
        <v>766</v>
      </c>
      <c r="E4">
        <v>13000</v>
      </c>
      <c r="F4" t="s">
        <v>52</v>
      </c>
      <c r="G4" t="s">
        <v>53</v>
      </c>
      <c r="H4" t="s">
        <v>54</v>
      </c>
      <c r="I4" t="s">
        <v>59</v>
      </c>
      <c r="J4" t="s">
        <v>169</v>
      </c>
      <c r="K4">
        <v>20251117</v>
      </c>
      <c r="L4">
        <v>766</v>
      </c>
      <c r="M4" t="s">
        <v>63</v>
      </c>
      <c r="N4" s="6">
        <v>1486490.39</v>
      </c>
      <c r="O4" t="s">
        <v>652</v>
      </c>
      <c r="P4" t="s">
        <v>652</v>
      </c>
      <c r="Q4" t="s">
        <v>652</v>
      </c>
      <c r="R4">
        <v>0</v>
      </c>
      <c r="S4">
        <v>0</v>
      </c>
      <c r="T4">
        <v>0</v>
      </c>
      <c r="U4">
        <v>0</v>
      </c>
      <c r="V4">
        <v>148649039</v>
      </c>
      <c r="W4" s="6">
        <v>0</v>
      </c>
      <c r="X4">
        <v>0</v>
      </c>
      <c r="Y4" s="6">
        <v>1486490.39</v>
      </c>
      <c r="Z4">
        <v>0</v>
      </c>
      <c r="AA4">
        <v>0</v>
      </c>
      <c r="AB4">
        <v>0</v>
      </c>
      <c r="AC4">
        <v>0</v>
      </c>
      <c r="AD4">
        <v>100000000</v>
      </c>
      <c r="AE4" s="6">
        <v>148649039</v>
      </c>
      <c r="AF4">
        <v>0</v>
      </c>
      <c r="AG4">
        <v>0</v>
      </c>
      <c r="AH4">
        <v>0</v>
      </c>
      <c r="AI4">
        <v>0</v>
      </c>
      <c r="AJ4">
        <v>148649039</v>
      </c>
      <c r="AK4">
        <v>0</v>
      </c>
      <c r="AL4">
        <v>148649039</v>
      </c>
      <c r="AM4">
        <v>0</v>
      </c>
      <c r="AN4">
        <v>148649039</v>
      </c>
      <c r="AO4">
        <v>148649039</v>
      </c>
      <c r="AP4" t="s">
        <v>1622</v>
      </c>
    </row>
    <row r="5" spans="1:42" x14ac:dyDescent="0.3">
      <c r="A5" t="s">
        <v>168</v>
      </c>
      <c r="B5" t="s">
        <v>51</v>
      </c>
      <c r="C5">
        <v>766</v>
      </c>
      <c r="E5">
        <v>13001</v>
      </c>
      <c r="F5" t="s">
        <v>52</v>
      </c>
      <c r="G5" t="s">
        <v>53</v>
      </c>
      <c r="H5" t="s">
        <v>671</v>
      </c>
      <c r="I5" t="s">
        <v>59</v>
      </c>
      <c r="J5" t="s">
        <v>169</v>
      </c>
      <c r="K5">
        <v>20200629</v>
      </c>
      <c r="L5">
        <v>766</v>
      </c>
      <c r="M5" t="s">
        <v>63</v>
      </c>
      <c r="N5" s="6">
        <v>-178294.51</v>
      </c>
      <c r="O5" t="s">
        <v>652</v>
      </c>
      <c r="P5" t="s">
        <v>652</v>
      </c>
      <c r="Q5" t="s">
        <v>652</v>
      </c>
      <c r="R5">
        <v>0</v>
      </c>
      <c r="S5">
        <v>0</v>
      </c>
      <c r="T5">
        <v>0</v>
      </c>
      <c r="U5">
        <v>0</v>
      </c>
      <c r="V5">
        <v>0</v>
      </c>
      <c r="W5" s="6">
        <v>0</v>
      </c>
      <c r="X5">
        <v>0</v>
      </c>
      <c r="Y5" s="6">
        <v>-178294.51</v>
      </c>
      <c r="Z5">
        <v>0</v>
      </c>
      <c r="AA5">
        <v>0</v>
      </c>
      <c r="AB5">
        <v>0</v>
      </c>
      <c r="AC5">
        <v>0</v>
      </c>
      <c r="AD5">
        <v>100000000</v>
      </c>
      <c r="AE5" s="6">
        <v>-17829451</v>
      </c>
      <c r="AF5">
        <v>0</v>
      </c>
      <c r="AG5">
        <v>0</v>
      </c>
      <c r="AH5">
        <v>0</v>
      </c>
      <c r="AI5">
        <v>0</v>
      </c>
      <c r="AJ5">
        <v>-17829451</v>
      </c>
      <c r="AK5">
        <v>0</v>
      </c>
      <c r="AL5">
        <v>-17829451</v>
      </c>
      <c r="AM5">
        <v>0</v>
      </c>
      <c r="AN5">
        <v>-17829451</v>
      </c>
      <c r="AO5">
        <v>-17829451</v>
      </c>
      <c r="AP5" t="s">
        <v>1622</v>
      </c>
    </row>
    <row r="6" spans="1:42" x14ac:dyDescent="0.3">
      <c r="A6" t="s">
        <v>168</v>
      </c>
      <c r="B6" t="s">
        <v>51</v>
      </c>
      <c r="C6">
        <v>766</v>
      </c>
      <c r="E6">
        <v>13001</v>
      </c>
      <c r="F6" t="s">
        <v>52</v>
      </c>
      <c r="G6" t="s">
        <v>53</v>
      </c>
      <c r="H6" t="s">
        <v>170</v>
      </c>
      <c r="I6" t="s">
        <v>59</v>
      </c>
      <c r="J6" t="s">
        <v>169</v>
      </c>
      <c r="K6">
        <v>20200629</v>
      </c>
      <c r="L6">
        <v>766</v>
      </c>
      <c r="M6" t="s">
        <v>63</v>
      </c>
      <c r="N6" s="6">
        <v>-178294.51</v>
      </c>
      <c r="O6" t="s">
        <v>652</v>
      </c>
      <c r="P6" t="s">
        <v>652</v>
      </c>
      <c r="Q6" t="s">
        <v>652</v>
      </c>
      <c r="R6">
        <v>0</v>
      </c>
      <c r="S6">
        <v>0</v>
      </c>
      <c r="T6">
        <v>0</v>
      </c>
      <c r="U6">
        <v>0</v>
      </c>
      <c r="V6">
        <v>0</v>
      </c>
      <c r="W6" s="6">
        <v>0</v>
      </c>
      <c r="X6">
        <v>0</v>
      </c>
      <c r="Y6" s="6">
        <v>-178294.51</v>
      </c>
      <c r="Z6">
        <v>0</v>
      </c>
      <c r="AA6">
        <v>0</v>
      </c>
      <c r="AB6">
        <v>0</v>
      </c>
      <c r="AC6">
        <v>0</v>
      </c>
      <c r="AD6">
        <v>100000000</v>
      </c>
      <c r="AE6" s="6">
        <v>-17829451</v>
      </c>
      <c r="AF6">
        <v>0</v>
      </c>
      <c r="AG6">
        <v>0</v>
      </c>
      <c r="AH6">
        <v>0</v>
      </c>
      <c r="AI6">
        <v>0</v>
      </c>
      <c r="AJ6">
        <v>-17829451</v>
      </c>
      <c r="AK6">
        <v>0</v>
      </c>
      <c r="AL6">
        <v>-17829451</v>
      </c>
      <c r="AM6">
        <v>0</v>
      </c>
      <c r="AN6">
        <v>-17829451</v>
      </c>
      <c r="AO6">
        <v>-17829451</v>
      </c>
      <c r="AP6" t="s">
        <v>1622</v>
      </c>
    </row>
    <row r="7" spans="1:42" x14ac:dyDescent="0.3">
      <c r="A7" t="s">
        <v>171</v>
      </c>
      <c r="B7" t="s">
        <v>51</v>
      </c>
      <c r="C7">
        <v>766</v>
      </c>
      <c r="E7">
        <v>13001</v>
      </c>
      <c r="F7" t="s">
        <v>52</v>
      </c>
      <c r="G7" t="s">
        <v>53</v>
      </c>
      <c r="H7" t="s">
        <v>54</v>
      </c>
      <c r="I7" t="s">
        <v>59</v>
      </c>
      <c r="J7" t="s">
        <v>169</v>
      </c>
      <c r="K7">
        <v>20200629</v>
      </c>
      <c r="L7">
        <v>766</v>
      </c>
      <c r="M7" t="s">
        <v>63</v>
      </c>
      <c r="N7" s="6">
        <v>-178294.51</v>
      </c>
      <c r="O7" t="s">
        <v>652</v>
      </c>
      <c r="P7" t="s">
        <v>652</v>
      </c>
      <c r="Q7" t="s">
        <v>652</v>
      </c>
      <c r="R7">
        <v>0</v>
      </c>
      <c r="S7">
        <v>0</v>
      </c>
      <c r="T7">
        <v>0</v>
      </c>
      <c r="U7">
        <v>0</v>
      </c>
      <c r="V7">
        <v>0</v>
      </c>
      <c r="W7" s="6">
        <v>0</v>
      </c>
      <c r="X7">
        <v>0</v>
      </c>
      <c r="Y7" s="6">
        <v>-178294.51</v>
      </c>
      <c r="Z7">
        <v>0</v>
      </c>
      <c r="AA7">
        <v>0</v>
      </c>
      <c r="AB7">
        <v>0</v>
      </c>
      <c r="AC7">
        <v>0</v>
      </c>
      <c r="AD7">
        <v>100000000</v>
      </c>
      <c r="AE7" s="6">
        <v>-17829451</v>
      </c>
      <c r="AF7">
        <v>0</v>
      </c>
      <c r="AG7">
        <v>0</v>
      </c>
      <c r="AH7">
        <v>0</v>
      </c>
      <c r="AI7">
        <v>0</v>
      </c>
      <c r="AJ7">
        <v>-17829451</v>
      </c>
      <c r="AK7">
        <v>0</v>
      </c>
      <c r="AL7">
        <v>-17829451</v>
      </c>
      <c r="AM7">
        <v>0</v>
      </c>
      <c r="AN7">
        <v>-17829451</v>
      </c>
      <c r="AO7">
        <v>-17829451</v>
      </c>
      <c r="AP7" t="s">
        <v>1622</v>
      </c>
    </row>
    <row r="8" spans="1:42" x14ac:dyDescent="0.3">
      <c r="A8" t="s">
        <v>168</v>
      </c>
      <c r="B8" t="s">
        <v>51</v>
      </c>
      <c r="C8">
        <v>766</v>
      </c>
      <c r="E8">
        <v>13002</v>
      </c>
      <c r="F8" t="s">
        <v>52</v>
      </c>
      <c r="G8" t="s">
        <v>53</v>
      </c>
      <c r="H8" t="s">
        <v>671</v>
      </c>
      <c r="I8" t="s">
        <v>59</v>
      </c>
      <c r="J8" t="s">
        <v>169</v>
      </c>
      <c r="K8">
        <v>20210112</v>
      </c>
      <c r="L8">
        <v>766</v>
      </c>
      <c r="M8" t="s">
        <v>63</v>
      </c>
      <c r="N8" s="6">
        <v>-41996.51</v>
      </c>
      <c r="O8" t="s">
        <v>652</v>
      </c>
      <c r="P8" t="s">
        <v>652</v>
      </c>
      <c r="Q8" t="s">
        <v>652</v>
      </c>
      <c r="R8">
        <v>0</v>
      </c>
      <c r="S8">
        <v>0</v>
      </c>
      <c r="T8">
        <v>0</v>
      </c>
      <c r="U8">
        <v>0</v>
      </c>
      <c r="V8">
        <v>0</v>
      </c>
      <c r="W8" s="6">
        <v>0</v>
      </c>
      <c r="X8">
        <v>0</v>
      </c>
      <c r="Y8" s="6">
        <v>-41996.51</v>
      </c>
      <c r="Z8">
        <v>0</v>
      </c>
      <c r="AA8">
        <v>0</v>
      </c>
      <c r="AB8">
        <v>0</v>
      </c>
      <c r="AC8">
        <v>0</v>
      </c>
      <c r="AD8">
        <v>100000000</v>
      </c>
      <c r="AE8" s="6">
        <v>-4199651</v>
      </c>
      <c r="AF8">
        <v>0</v>
      </c>
      <c r="AG8">
        <v>0</v>
      </c>
      <c r="AH8">
        <v>0</v>
      </c>
      <c r="AI8">
        <v>0</v>
      </c>
      <c r="AJ8">
        <v>-4199651</v>
      </c>
      <c r="AK8">
        <v>0</v>
      </c>
      <c r="AL8">
        <v>-4199651</v>
      </c>
      <c r="AM8">
        <v>0</v>
      </c>
      <c r="AN8">
        <v>-4199651</v>
      </c>
      <c r="AO8">
        <v>-4199651</v>
      </c>
      <c r="AP8" t="s">
        <v>1622</v>
      </c>
    </row>
    <row r="9" spans="1:42" x14ac:dyDescent="0.3">
      <c r="A9" t="s">
        <v>168</v>
      </c>
      <c r="B9" t="s">
        <v>51</v>
      </c>
      <c r="C9">
        <v>766</v>
      </c>
      <c r="E9">
        <v>13002</v>
      </c>
      <c r="F9" t="s">
        <v>52</v>
      </c>
      <c r="G9" t="s">
        <v>53</v>
      </c>
      <c r="H9" t="s">
        <v>170</v>
      </c>
      <c r="I9" t="s">
        <v>59</v>
      </c>
      <c r="J9" t="s">
        <v>169</v>
      </c>
      <c r="K9">
        <v>20210112</v>
      </c>
      <c r="L9">
        <v>766</v>
      </c>
      <c r="M9" t="s">
        <v>63</v>
      </c>
      <c r="N9" s="6">
        <v>-41996.51</v>
      </c>
      <c r="O9" t="s">
        <v>652</v>
      </c>
      <c r="P9" t="s">
        <v>652</v>
      </c>
      <c r="Q9" t="s">
        <v>652</v>
      </c>
      <c r="R9">
        <v>0</v>
      </c>
      <c r="S9">
        <v>0</v>
      </c>
      <c r="T9">
        <v>0</v>
      </c>
      <c r="U9">
        <v>0</v>
      </c>
      <c r="V9">
        <v>0</v>
      </c>
      <c r="W9" s="6">
        <v>0</v>
      </c>
      <c r="X9">
        <v>0</v>
      </c>
      <c r="Y9" s="6">
        <v>-41996.51</v>
      </c>
      <c r="Z9">
        <v>0</v>
      </c>
      <c r="AA9">
        <v>0</v>
      </c>
      <c r="AB9">
        <v>0</v>
      </c>
      <c r="AC9">
        <v>0</v>
      </c>
      <c r="AD9">
        <v>100000000</v>
      </c>
      <c r="AE9" s="6">
        <v>-4199651</v>
      </c>
      <c r="AF9">
        <v>0</v>
      </c>
      <c r="AG9">
        <v>0</v>
      </c>
      <c r="AH9">
        <v>0</v>
      </c>
      <c r="AI9">
        <v>0</v>
      </c>
      <c r="AJ9">
        <v>-4199651</v>
      </c>
      <c r="AK9">
        <v>0</v>
      </c>
      <c r="AL9">
        <v>-4199651</v>
      </c>
      <c r="AM9">
        <v>0</v>
      </c>
      <c r="AN9">
        <v>-4199651</v>
      </c>
      <c r="AO9">
        <v>-4199651</v>
      </c>
      <c r="AP9" t="s">
        <v>1622</v>
      </c>
    </row>
    <row r="10" spans="1:42" x14ac:dyDescent="0.3">
      <c r="A10" t="s">
        <v>171</v>
      </c>
      <c r="B10" t="s">
        <v>51</v>
      </c>
      <c r="C10">
        <v>766</v>
      </c>
      <c r="E10">
        <v>13002</v>
      </c>
      <c r="F10" t="s">
        <v>52</v>
      </c>
      <c r="G10" t="s">
        <v>53</v>
      </c>
      <c r="H10" t="s">
        <v>54</v>
      </c>
      <c r="I10" t="s">
        <v>59</v>
      </c>
      <c r="J10" t="s">
        <v>169</v>
      </c>
      <c r="K10">
        <v>20210112</v>
      </c>
      <c r="L10">
        <v>766</v>
      </c>
      <c r="M10" t="s">
        <v>63</v>
      </c>
      <c r="N10" s="6">
        <v>-41996.51</v>
      </c>
      <c r="O10" t="s">
        <v>652</v>
      </c>
      <c r="P10" t="s">
        <v>652</v>
      </c>
      <c r="Q10" t="s">
        <v>652</v>
      </c>
      <c r="R10">
        <v>0</v>
      </c>
      <c r="S10">
        <v>0</v>
      </c>
      <c r="T10">
        <v>0</v>
      </c>
      <c r="U10">
        <v>0</v>
      </c>
      <c r="V10">
        <v>0</v>
      </c>
      <c r="W10" s="6">
        <v>0</v>
      </c>
      <c r="X10">
        <v>0</v>
      </c>
      <c r="Y10" s="6">
        <v>-41996.51</v>
      </c>
      <c r="Z10">
        <v>0</v>
      </c>
      <c r="AA10">
        <v>0</v>
      </c>
      <c r="AB10">
        <v>0</v>
      </c>
      <c r="AC10">
        <v>0</v>
      </c>
      <c r="AD10">
        <v>100000000</v>
      </c>
      <c r="AE10" s="6">
        <v>-4199651</v>
      </c>
      <c r="AF10">
        <v>0</v>
      </c>
      <c r="AG10">
        <v>0</v>
      </c>
      <c r="AH10">
        <v>0</v>
      </c>
      <c r="AI10">
        <v>0</v>
      </c>
      <c r="AJ10">
        <v>-4199651</v>
      </c>
      <c r="AK10">
        <v>0</v>
      </c>
      <c r="AL10">
        <v>-4199651</v>
      </c>
      <c r="AM10">
        <v>0</v>
      </c>
      <c r="AN10">
        <v>-4199651</v>
      </c>
      <c r="AO10">
        <v>-4199651</v>
      </c>
      <c r="AP10" t="s">
        <v>1622</v>
      </c>
    </row>
    <row r="11" spans="1:42" x14ac:dyDescent="0.3">
      <c r="A11" t="s">
        <v>168</v>
      </c>
      <c r="B11" t="s">
        <v>51</v>
      </c>
      <c r="C11">
        <v>766</v>
      </c>
      <c r="E11">
        <v>13003</v>
      </c>
      <c r="F11" t="s">
        <v>52</v>
      </c>
      <c r="G11" t="s">
        <v>53</v>
      </c>
      <c r="H11" t="s">
        <v>671</v>
      </c>
      <c r="I11" t="s">
        <v>59</v>
      </c>
      <c r="J11" t="s">
        <v>169</v>
      </c>
      <c r="K11">
        <v>20211025</v>
      </c>
      <c r="L11">
        <v>766</v>
      </c>
      <c r="M11" t="s">
        <v>63</v>
      </c>
      <c r="N11" s="6">
        <v>-9597.9</v>
      </c>
      <c r="O11" t="s">
        <v>652</v>
      </c>
      <c r="P11" t="s">
        <v>652</v>
      </c>
      <c r="Q11" t="s">
        <v>652</v>
      </c>
      <c r="R11">
        <v>0</v>
      </c>
      <c r="S11">
        <v>0</v>
      </c>
      <c r="T11">
        <v>0</v>
      </c>
      <c r="U11">
        <v>0</v>
      </c>
      <c r="V11">
        <v>0</v>
      </c>
      <c r="W11" s="6">
        <v>0</v>
      </c>
      <c r="X11">
        <v>0</v>
      </c>
      <c r="Y11" s="6">
        <v>-9597.9</v>
      </c>
      <c r="Z11">
        <v>0</v>
      </c>
      <c r="AA11">
        <v>0</v>
      </c>
      <c r="AB11">
        <v>0</v>
      </c>
      <c r="AC11">
        <v>0</v>
      </c>
      <c r="AD11">
        <v>100000000</v>
      </c>
      <c r="AE11" s="6">
        <v>-959790</v>
      </c>
      <c r="AF11">
        <v>0</v>
      </c>
      <c r="AG11">
        <v>0</v>
      </c>
      <c r="AH11">
        <v>0</v>
      </c>
      <c r="AI11">
        <v>0</v>
      </c>
      <c r="AJ11">
        <v>-959790</v>
      </c>
      <c r="AK11">
        <v>0</v>
      </c>
      <c r="AL11">
        <v>-959790</v>
      </c>
      <c r="AM11">
        <v>0</v>
      </c>
      <c r="AN11">
        <v>-959790</v>
      </c>
      <c r="AO11">
        <v>-959790</v>
      </c>
      <c r="AP11" t="s">
        <v>1622</v>
      </c>
    </row>
    <row r="12" spans="1:42" x14ac:dyDescent="0.3">
      <c r="A12" t="s">
        <v>168</v>
      </c>
      <c r="B12" t="s">
        <v>51</v>
      </c>
      <c r="C12">
        <v>766</v>
      </c>
      <c r="E12">
        <v>13003</v>
      </c>
      <c r="F12" t="s">
        <v>52</v>
      </c>
      <c r="G12" t="s">
        <v>53</v>
      </c>
      <c r="H12" t="s">
        <v>170</v>
      </c>
      <c r="I12" t="s">
        <v>59</v>
      </c>
      <c r="J12" t="s">
        <v>169</v>
      </c>
      <c r="K12">
        <v>20211025</v>
      </c>
      <c r="L12">
        <v>766</v>
      </c>
      <c r="M12" t="s">
        <v>63</v>
      </c>
      <c r="N12" s="6">
        <v>-9597.9</v>
      </c>
      <c r="O12" t="s">
        <v>652</v>
      </c>
      <c r="P12" t="s">
        <v>652</v>
      </c>
      <c r="Q12" t="s">
        <v>652</v>
      </c>
      <c r="R12">
        <v>0</v>
      </c>
      <c r="S12">
        <v>0</v>
      </c>
      <c r="T12">
        <v>0</v>
      </c>
      <c r="U12">
        <v>0</v>
      </c>
      <c r="V12">
        <v>0</v>
      </c>
      <c r="W12" s="6">
        <v>0</v>
      </c>
      <c r="X12">
        <v>0</v>
      </c>
      <c r="Y12" s="6">
        <v>-9597.9</v>
      </c>
      <c r="Z12">
        <v>0</v>
      </c>
      <c r="AA12">
        <v>0</v>
      </c>
      <c r="AB12">
        <v>0</v>
      </c>
      <c r="AC12">
        <v>0</v>
      </c>
      <c r="AD12">
        <v>100000000</v>
      </c>
      <c r="AE12" s="6">
        <v>-959790</v>
      </c>
      <c r="AF12">
        <v>0</v>
      </c>
      <c r="AG12">
        <v>0</v>
      </c>
      <c r="AH12">
        <v>0</v>
      </c>
      <c r="AI12">
        <v>0</v>
      </c>
      <c r="AJ12">
        <v>-959790</v>
      </c>
      <c r="AK12">
        <v>0</v>
      </c>
      <c r="AL12">
        <v>-959790</v>
      </c>
      <c r="AM12">
        <v>0</v>
      </c>
      <c r="AN12">
        <v>-959790</v>
      </c>
      <c r="AO12">
        <v>-959790</v>
      </c>
      <c r="AP12" t="s">
        <v>1622</v>
      </c>
    </row>
    <row r="13" spans="1:42" x14ac:dyDescent="0.3">
      <c r="A13" t="s">
        <v>171</v>
      </c>
      <c r="B13" t="s">
        <v>51</v>
      </c>
      <c r="C13">
        <v>766</v>
      </c>
      <c r="E13">
        <v>13003</v>
      </c>
      <c r="F13" t="s">
        <v>52</v>
      </c>
      <c r="G13" t="s">
        <v>53</v>
      </c>
      <c r="H13" t="s">
        <v>54</v>
      </c>
      <c r="I13" t="s">
        <v>59</v>
      </c>
      <c r="J13" t="s">
        <v>169</v>
      </c>
      <c r="K13">
        <v>20211025</v>
      </c>
      <c r="L13">
        <v>766</v>
      </c>
      <c r="M13" t="s">
        <v>63</v>
      </c>
      <c r="N13" s="6">
        <v>-9597.9</v>
      </c>
      <c r="O13" t="s">
        <v>652</v>
      </c>
      <c r="P13" t="s">
        <v>652</v>
      </c>
      <c r="Q13" t="s">
        <v>652</v>
      </c>
      <c r="R13">
        <v>0</v>
      </c>
      <c r="S13">
        <v>0</v>
      </c>
      <c r="T13">
        <v>0</v>
      </c>
      <c r="U13">
        <v>0</v>
      </c>
      <c r="V13">
        <v>0</v>
      </c>
      <c r="W13" s="6">
        <v>0</v>
      </c>
      <c r="X13">
        <v>0</v>
      </c>
      <c r="Y13" s="6">
        <v>-9597.9</v>
      </c>
      <c r="Z13">
        <v>0</v>
      </c>
      <c r="AA13">
        <v>0</v>
      </c>
      <c r="AB13">
        <v>0</v>
      </c>
      <c r="AC13">
        <v>0</v>
      </c>
      <c r="AD13">
        <v>100000000</v>
      </c>
      <c r="AE13" s="6">
        <v>-959790</v>
      </c>
      <c r="AF13">
        <v>0</v>
      </c>
      <c r="AG13">
        <v>0</v>
      </c>
      <c r="AH13">
        <v>0</v>
      </c>
      <c r="AI13">
        <v>0</v>
      </c>
      <c r="AJ13">
        <v>-959790</v>
      </c>
      <c r="AK13">
        <v>0</v>
      </c>
      <c r="AL13">
        <v>-959790</v>
      </c>
      <c r="AM13">
        <v>0</v>
      </c>
      <c r="AN13">
        <v>-959790</v>
      </c>
      <c r="AO13">
        <v>-959790</v>
      </c>
      <c r="AP13" t="s">
        <v>1622</v>
      </c>
    </row>
    <row r="14" spans="1:42" x14ac:dyDescent="0.3">
      <c r="A14" t="s">
        <v>168</v>
      </c>
      <c r="B14" t="s">
        <v>51</v>
      </c>
      <c r="C14">
        <v>766</v>
      </c>
      <c r="E14">
        <v>13004</v>
      </c>
      <c r="F14" t="s">
        <v>52</v>
      </c>
      <c r="G14" t="s">
        <v>53</v>
      </c>
      <c r="H14" t="s">
        <v>671</v>
      </c>
      <c r="I14" t="s">
        <v>59</v>
      </c>
      <c r="J14" t="s">
        <v>169</v>
      </c>
      <c r="K14">
        <v>20200629</v>
      </c>
      <c r="L14">
        <v>766</v>
      </c>
      <c r="M14" t="s">
        <v>63</v>
      </c>
      <c r="N14" s="6">
        <v>-220029.66</v>
      </c>
      <c r="O14" t="s">
        <v>652</v>
      </c>
      <c r="P14" t="s">
        <v>652</v>
      </c>
      <c r="Q14" t="s">
        <v>652</v>
      </c>
      <c r="R14">
        <v>0</v>
      </c>
      <c r="S14">
        <v>0</v>
      </c>
      <c r="T14">
        <v>0</v>
      </c>
      <c r="U14">
        <v>0</v>
      </c>
      <c r="V14">
        <v>0</v>
      </c>
      <c r="W14" s="6">
        <v>0</v>
      </c>
      <c r="X14">
        <v>0</v>
      </c>
      <c r="Y14" s="6">
        <v>-220029.66</v>
      </c>
      <c r="Z14">
        <v>0</v>
      </c>
      <c r="AA14">
        <v>0</v>
      </c>
      <c r="AB14">
        <v>0</v>
      </c>
      <c r="AC14">
        <v>0</v>
      </c>
      <c r="AD14">
        <v>100000000</v>
      </c>
      <c r="AE14" s="6">
        <v>-22002966</v>
      </c>
      <c r="AF14">
        <v>0</v>
      </c>
      <c r="AG14">
        <v>0</v>
      </c>
      <c r="AH14">
        <v>0</v>
      </c>
      <c r="AI14">
        <v>0</v>
      </c>
      <c r="AJ14">
        <v>-22002966</v>
      </c>
      <c r="AK14">
        <v>0</v>
      </c>
      <c r="AL14">
        <v>-22002966</v>
      </c>
      <c r="AM14">
        <v>0</v>
      </c>
      <c r="AN14">
        <v>-22002966</v>
      </c>
      <c r="AO14">
        <v>-22002966</v>
      </c>
      <c r="AP14" t="s">
        <v>1622</v>
      </c>
    </row>
    <row r="15" spans="1:42" x14ac:dyDescent="0.3">
      <c r="A15" t="s">
        <v>168</v>
      </c>
      <c r="B15" t="s">
        <v>51</v>
      </c>
      <c r="C15">
        <v>766</v>
      </c>
      <c r="E15">
        <v>13004</v>
      </c>
      <c r="F15" t="s">
        <v>52</v>
      </c>
      <c r="G15" t="s">
        <v>53</v>
      </c>
      <c r="H15" t="s">
        <v>170</v>
      </c>
      <c r="I15" t="s">
        <v>59</v>
      </c>
      <c r="J15" t="s">
        <v>169</v>
      </c>
      <c r="K15">
        <v>20200629</v>
      </c>
      <c r="L15">
        <v>766</v>
      </c>
      <c r="M15" t="s">
        <v>63</v>
      </c>
      <c r="N15" s="6">
        <v>-220029.66</v>
      </c>
      <c r="O15" t="s">
        <v>652</v>
      </c>
      <c r="P15" t="s">
        <v>652</v>
      </c>
      <c r="Q15" t="s">
        <v>652</v>
      </c>
      <c r="R15">
        <v>0</v>
      </c>
      <c r="S15">
        <v>0</v>
      </c>
      <c r="T15">
        <v>0</v>
      </c>
      <c r="U15">
        <v>0</v>
      </c>
      <c r="V15">
        <v>0</v>
      </c>
      <c r="W15" s="6">
        <v>0</v>
      </c>
      <c r="X15">
        <v>0</v>
      </c>
      <c r="Y15" s="6">
        <v>-220029.66</v>
      </c>
      <c r="Z15">
        <v>0</v>
      </c>
      <c r="AA15">
        <v>0</v>
      </c>
      <c r="AB15">
        <v>0</v>
      </c>
      <c r="AC15">
        <v>0</v>
      </c>
      <c r="AD15">
        <v>100000000</v>
      </c>
      <c r="AE15" s="6">
        <v>-22002966</v>
      </c>
      <c r="AF15">
        <v>0</v>
      </c>
      <c r="AG15">
        <v>0</v>
      </c>
      <c r="AH15">
        <v>0</v>
      </c>
      <c r="AI15">
        <v>0</v>
      </c>
      <c r="AJ15">
        <v>-22002966</v>
      </c>
      <c r="AK15">
        <v>0</v>
      </c>
      <c r="AL15">
        <v>-22002966</v>
      </c>
      <c r="AM15">
        <v>0</v>
      </c>
      <c r="AN15">
        <v>-22002966</v>
      </c>
      <c r="AO15">
        <v>-22002966</v>
      </c>
      <c r="AP15" t="s">
        <v>1622</v>
      </c>
    </row>
    <row r="16" spans="1:42" x14ac:dyDescent="0.3">
      <c r="A16" t="s">
        <v>171</v>
      </c>
      <c r="B16" t="s">
        <v>51</v>
      </c>
      <c r="C16">
        <v>766</v>
      </c>
      <c r="E16">
        <v>13004</v>
      </c>
      <c r="F16" t="s">
        <v>52</v>
      </c>
      <c r="G16" t="s">
        <v>53</v>
      </c>
      <c r="H16" t="s">
        <v>54</v>
      </c>
      <c r="I16" t="s">
        <v>59</v>
      </c>
      <c r="J16" t="s">
        <v>169</v>
      </c>
      <c r="K16">
        <v>20200629</v>
      </c>
      <c r="L16">
        <v>766</v>
      </c>
      <c r="M16" t="s">
        <v>63</v>
      </c>
      <c r="N16" s="6">
        <v>-220029.66</v>
      </c>
      <c r="O16" t="s">
        <v>652</v>
      </c>
      <c r="P16" t="s">
        <v>652</v>
      </c>
      <c r="Q16" t="s">
        <v>652</v>
      </c>
      <c r="R16">
        <v>0</v>
      </c>
      <c r="S16">
        <v>0</v>
      </c>
      <c r="T16">
        <v>0</v>
      </c>
      <c r="U16">
        <v>0</v>
      </c>
      <c r="V16">
        <v>0</v>
      </c>
      <c r="W16" s="6">
        <v>0</v>
      </c>
      <c r="X16">
        <v>0</v>
      </c>
      <c r="Y16" s="6">
        <v>-220029.66</v>
      </c>
      <c r="Z16">
        <v>0</v>
      </c>
      <c r="AA16">
        <v>0</v>
      </c>
      <c r="AB16">
        <v>0</v>
      </c>
      <c r="AC16">
        <v>0</v>
      </c>
      <c r="AD16">
        <v>100000000</v>
      </c>
      <c r="AE16" s="6">
        <v>-22002966</v>
      </c>
      <c r="AF16">
        <v>0</v>
      </c>
      <c r="AG16">
        <v>0</v>
      </c>
      <c r="AH16">
        <v>0</v>
      </c>
      <c r="AI16">
        <v>0</v>
      </c>
      <c r="AJ16">
        <v>-22002966</v>
      </c>
      <c r="AK16">
        <v>0</v>
      </c>
      <c r="AL16">
        <v>-22002966</v>
      </c>
      <c r="AM16">
        <v>0</v>
      </c>
      <c r="AN16">
        <v>-22002966</v>
      </c>
      <c r="AO16">
        <v>-22002966</v>
      </c>
      <c r="AP16" t="s">
        <v>1622</v>
      </c>
    </row>
    <row r="17" spans="1:42" x14ac:dyDescent="0.3">
      <c r="A17" s="6" t="s">
        <v>168</v>
      </c>
      <c r="B17" s="6" t="s">
        <v>51</v>
      </c>
      <c r="C17" s="6">
        <v>766</v>
      </c>
      <c r="D17" s="6"/>
      <c r="E17" s="6">
        <v>13005</v>
      </c>
      <c r="F17" s="6" t="s">
        <v>52</v>
      </c>
      <c r="G17" s="6" t="s">
        <v>53</v>
      </c>
      <c r="H17" s="6" t="s">
        <v>671</v>
      </c>
      <c r="I17" s="6" t="s">
        <v>59</v>
      </c>
      <c r="J17" s="6" t="s">
        <v>169</v>
      </c>
      <c r="K17" s="6">
        <v>20251031</v>
      </c>
      <c r="L17" s="6">
        <v>766</v>
      </c>
      <c r="M17" s="6" t="s">
        <v>63</v>
      </c>
      <c r="O17" s="6" t="s">
        <v>652</v>
      </c>
      <c r="P17" s="6" t="s">
        <v>652</v>
      </c>
      <c r="Q17" s="6" t="s">
        <v>1623</v>
      </c>
      <c r="R17" s="6">
        <v>0</v>
      </c>
      <c r="S17" s="6">
        <v>0</v>
      </c>
      <c r="T17" s="6">
        <v>0</v>
      </c>
      <c r="U17" s="6">
        <v>0</v>
      </c>
      <c r="V17" s="6">
        <v>0</v>
      </c>
      <c r="W17" s="6">
        <v>0</v>
      </c>
      <c r="X17" s="6">
        <v>0</v>
      </c>
      <c r="Z17" s="6">
        <v>0</v>
      </c>
      <c r="AA17" s="6">
        <v>0</v>
      </c>
      <c r="AB17" s="6">
        <v>0</v>
      </c>
      <c r="AC17" s="6">
        <v>0</v>
      </c>
      <c r="AD17" s="6">
        <v>100000000</v>
      </c>
      <c r="AE17" s="6">
        <v>1788750</v>
      </c>
      <c r="AF17" s="6">
        <v>0</v>
      </c>
      <c r="AG17" s="6">
        <v>-1383750</v>
      </c>
      <c r="AH17" s="6">
        <v>0</v>
      </c>
      <c r="AI17" s="6">
        <v>0</v>
      </c>
      <c r="AJ17" s="6"/>
      <c r="AK17" s="6">
        <v>0</v>
      </c>
      <c r="AL17" s="6"/>
      <c r="AM17" s="6">
        <v>0</v>
      </c>
      <c r="AN17" s="6"/>
      <c r="AO17" s="6">
        <v>2103750</v>
      </c>
      <c r="AP17" t="s">
        <v>1622</v>
      </c>
    </row>
    <row r="18" spans="1:42" x14ac:dyDescent="0.3">
      <c r="A18" s="6" t="s">
        <v>168</v>
      </c>
      <c r="B18" s="6" t="s">
        <v>51</v>
      </c>
      <c r="C18" s="6">
        <v>766</v>
      </c>
      <c r="D18" s="6"/>
      <c r="E18" s="6">
        <v>13005</v>
      </c>
      <c r="F18" s="6" t="s">
        <v>52</v>
      </c>
      <c r="G18" s="6" t="s">
        <v>53</v>
      </c>
      <c r="H18" s="6" t="s">
        <v>170</v>
      </c>
      <c r="I18" s="6" t="s">
        <v>59</v>
      </c>
      <c r="J18" s="6" t="s">
        <v>169</v>
      </c>
      <c r="K18" s="6">
        <v>20251031</v>
      </c>
      <c r="L18" s="6">
        <v>766</v>
      </c>
      <c r="M18" s="6" t="s">
        <v>63</v>
      </c>
      <c r="O18" s="6" t="s">
        <v>652</v>
      </c>
      <c r="P18" s="6" t="s">
        <v>652</v>
      </c>
      <c r="Q18" s="6" t="s">
        <v>1623</v>
      </c>
      <c r="R18" s="6">
        <v>0</v>
      </c>
      <c r="S18" s="6">
        <v>0</v>
      </c>
      <c r="T18" s="6">
        <v>0</v>
      </c>
      <c r="U18" s="6">
        <v>0</v>
      </c>
      <c r="V18" s="6">
        <v>0</v>
      </c>
      <c r="W18" s="6">
        <v>0</v>
      </c>
      <c r="X18" s="6">
        <v>0</v>
      </c>
      <c r="Z18" s="6">
        <v>0</v>
      </c>
      <c r="AA18" s="6">
        <v>0</v>
      </c>
      <c r="AB18" s="6">
        <v>0</v>
      </c>
      <c r="AC18" s="6">
        <v>0</v>
      </c>
      <c r="AD18" s="6">
        <v>100000000</v>
      </c>
      <c r="AE18" s="6">
        <v>1788750</v>
      </c>
      <c r="AF18" s="6">
        <v>0</v>
      </c>
      <c r="AG18" s="6">
        <v>-1383750</v>
      </c>
      <c r="AH18" s="6">
        <v>0</v>
      </c>
      <c r="AI18" s="6">
        <v>0</v>
      </c>
      <c r="AJ18" s="6"/>
      <c r="AK18" s="6">
        <v>0</v>
      </c>
      <c r="AL18" s="6"/>
      <c r="AM18" s="6">
        <v>0</v>
      </c>
      <c r="AN18" s="6"/>
      <c r="AO18" s="6">
        <v>2103750</v>
      </c>
      <c r="AP18" t="s">
        <v>1622</v>
      </c>
    </row>
    <row r="19" spans="1:42" x14ac:dyDescent="0.3">
      <c r="A19" s="6" t="s">
        <v>171</v>
      </c>
      <c r="B19" s="6" t="s">
        <v>51</v>
      </c>
      <c r="C19" s="6">
        <v>766</v>
      </c>
      <c r="D19" s="6"/>
      <c r="E19" s="6">
        <v>13005</v>
      </c>
      <c r="F19" s="6" t="s">
        <v>52</v>
      </c>
      <c r="G19" s="6" t="s">
        <v>53</v>
      </c>
      <c r="H19" s="6" t="s">
        <v>54</v>
      </c>
      <c r="I19" s="6" t="s">
        <v>59</v>
      </c>
      <c r="J19" s="6" t="s">
        <v>169</v>
      </c>
      <c r="K19" s="6">
        <v>20251031</v>
      </c>
      <c r="L19" s="6">
        <v>766</v>
      </c>
      <c r="M19" s="6" t="s">
        <v>63</v>
      </c>
      <c r="O19" s="6" t="s">
        <v>652</v>
      </c>
      <c r="P19" s="6" t="s">
        <v>652</v>
      </c>
      <c r="Q19" s="6" t="s">
        <v>1623</v>
      </c>
      <c r="R19" s="6">
        <v>0</v>
      </c>
      <c r="S19" s="6">
        <v>0</v>
      </c>
      <c r="T19" s="6">
        <v>0</v>
      </c>
      <c r="U19" s="6">
        <v>0</v>
      </c>
      <c r="V19" s="6">
        <v>0</v>
      </c>
      <c r="W19" s="6">
        <v>0</v>
      </c>
      <c r="X19" s="6">
        <v>0</v>
      </c>
      <c r="Z19" s="6">
        <v>0</v>
      </c>
      <c r="AA19" s="6">
        <v>0</v>
      </c>
      <c r="AB19" s="6">
        <v>0</v>
      </c>
      <c r="AC19" s="6">
        <v>0</v>
      </c>
      <c r="AD19" s="6">
        <v>100000000</v>
      </c>
      <c r="AE19" s="6">
        <v>1788750</v>
      </c>
      <c r="AF19" s="6">
        <v>0</v>
      </c>
      <c r="AG19" s="6">
        <v>-1383750</v>
      </c>
      <c r="AH19" s="6">
        <v>0</v>
      </c>
      <c r="AI19" s="6">
        <v>0</v>
      </c>
      <c r="AJ19" s="6"/>
      <c r="AK19" s="6">
        <v>0</v>
      </c>
      <c r="AL19" s="6"/>
      <c r="AM19" s="6">
        <v>0</v>
      </c>
      <c r="AN19" s="6"/>
      <c r="AO19" s="6">
        <v>2103750</v>
      </c>
      <c r="AP19" t="s">
        <v>1622</v>
      </c>
    </row>
    <row r="20" spans="1:42" x14ac:dyDescent="0.3">
      <c r="A20" s="6" t="s">
        <v>168</v>
      </c>
      <c r="B20" s="6" t="s">
        <v>51</v>
      </c>
      <c r="C20" s="6">
        <v>766</v>
      </c>
      <c r="D20" s="6"/>
      <c r="E20" s="6">
        <v>13006</v>
      </c>
      <c r="F20" s="6" t="s">
        <v>52</v>
      </c>
      <c r="G20" s="6" t="s">
        <v>53</v>
      </c>
      <c r="H20" s="6" t="s">
        <v>671</v>
      </c>
      <c r="I20" s="6" t="s">
        <v>59</v>
      </c>
      <c r="J20" s="6" t="s">
        <v>169</v>
      </c>
      <c r="K20" s="6">
        <v>20251205</v>
      </c>
      <c r="L20" s="6">
        <v>766</v>
      </c>
      <c r="M20" s="6" t="s">
        <v>63</v>
      </c>
      <c r="N20" s="6">
        <v>156070.15</v>
      </c>
      <c r="O20" s="6" t="s">
        <v>652</v>
      </c>
      <c r="P20" s="6" t="s">
        <v>652</v>
      </c>
      <c r="Q20" s="6" t="s">
        <v>652</v>
      </c>
      <c r="R20" s="6">
        <v>-41368.75</v>
      </c>
      <c r="S20" s="6">
        <v>0</v>
      </c>
      <c r="T20" s="6">
        <v>0</v>
      </c>
      <c r="U20" s="6">
        <v>0</v>
      </c>
      <c r="V20" s="6">
        <v>5605840</v>
      </c>
      <c r="W20" s="6">
        <v>100011.75</v>
      </c>
      <c r="X20" s="6">
        <v>10001175</v>
      </c>
      <c r="Y20" s="6">
        <v>56058.400000000001</v>
      </c>
      <c r="Z20" s="6">
        <v>0</v>
      </c>
      <c r="AA20" s="6">
        <v>-18500</v>
      </c>
      <c r="AB20" s="6">
        <v>0</v>
      </c>
      <c r="AC20" s="6">
        <v>0</v>
      </c>
      <c r="AD20" s="6">
        <v>100000000</v>
      </c>
      <c r="AE20" s="6">
        <v>11470140</v>
      </c>
      <c r="AF20" s="6">
        <v>0</v>
      </c>
      <c r="AG20" s="6">
        <v>6395000</v>
      </c>
      <c r="AH20" s="6">
        <v>0</v>
      </c>
      <c r="AI20" s="6">
        <v>10001175</v>
      </c>
      <c r="AJ20" s="6">
        <v>15607015</v>
      </c>
      <c r="AK20" s="6">
        <v>0</v>
      </c>
      <c r="AL20" s="6">
        <v>15607015</v>
      </c>
      <c r="AM20" s="6">
        <v>0</v>
      </c>
      <c r="AN20" s="6">
        <v>15607015</v>
      </c>
      <c r="AO20" s="6">
        <v>10578890</v>
      </c>
      <c r="AP20" t="s">
        <v>1622</v>
      </c>
    </row>
    <row r="21" spans="1:42" x14ac:dyDescent="0.3">
      <c r="A21" s="6" t="s">
        <v>168</v>
      </c>
      <c r="B21" s="6" t="s">
        <v>51</v>
      </c>
      <c r="C21" s="6">
        <v>766</v>
      </c>
      <c r="D21" s="6"/>
      <c r="E21" s="6">
        <v>13006</v>
      </c>
      <c r="F21" s="6" t="s">
        <v>52</v>
      </c>
      <c r="G21" s="6" t="s">
        <v>53</v>
      </c>
      <c r="H21" s="6" t="s">
        <v>170</v>
      </c>
      <c r="I21" s="6" t="s">
        <v>59</v>
      </c>
      <c r="J21" s="6" t="s">
        <v>169</v>
      </c>
      <c r="K21" s="6">
        <v>20251205</v>
      </c>
      <c r="L21" s="6">
        <v>766</v>
      </c>
      <c r="M21" s="6" t="s">
        <v>63</v>
      </c>
      <c r="N21" s="6">
        <v>156070.15</v>
      </c>
      <c r="O21" s="6" t="s">
        <v>652</v>
      </c>
      <c r="P21" s="6" t="s">
        <v>652</v>
      </c>
      <c r="Q21" s="6" t="s">
        <v>652</v>
      </c>
      <c r="R21" s="6">
        <v>-41368.75</v>
      </c>
      <c r="S21" s="6">
        <v>0</v>
      </c>
      <c r="T21" s="6">
        <v>0</v>
      </c>
      <c r="U21" s="6">
        <v>0</v>
      </c>
      <c r="V21" s="6">
        <v>5605840</v>
      </c>
      <c r="W21" s="6">
        <v>100011.75</v>
      </c>
      <c r="X21" s="6">
        <v>10001175</v>
      </c>
      <c r="Y21" s="6">
        <v>56058.400000000001</v>
      </c>
      <c r="Z21" s="6">
        <v>0</v>
      </c>
      <c r="AA21" s="6">
        <v>-18500</v>
      </c>
      <c r="AB21" s="6">
        <v>0</v>
      </c>
      <c r="AC21" s="6">
        <v>0</v>
      </c>
      <c r="AD21" s="6">
        <v>100000000</v>
      </c>
      <c r="AE21" s="6">
        <v>11470140</v>
      </c>
      <c r="AF21" s="6">
        <v>0</v>
      </c>
      <c r="AG21" s="6">
        <v>6395000</v>
      </c>
      <c r="AH21" s="6">
        <v>0</v>
      </c>
      <c r="AI21" s="6">
        <v>10001175</v>
      </c>
      <c r="AJ21" s="6">
        <v>15607015</v>
      </c>
      <c r="AK21" s="6">
        <v>0</v>
      </c>
      <c r="AL21" s="6">
        <v>15607015</v>
      </c>
      <c r="AM21" s="6">
        <v>0</v>
      </c>
      <c r="AN21" s="6">
        <v>15607015</v>
      </c>
      <c r="AO21" s="6">
        <v>10578890</v>
      </c>
      <c r="AP21" t="s">
        <v>1622</v>
      </c>
    </row>
    <row r="22" spans="1:42" x14ac:dyDescent="0.3">
      <c r="A22" s="6" t="s">
        <v>171</v>
      </c>
      <c r="B22" s="6" t="s">
        <v>51</v>
      </c>
      <c r="C22" s="6">
        <v>766</v>
      </c>
      <c r="D22" s="6"/>
      <c r="E22" s="6">
        <v>13006</v>
      </c>
      <c r="F22" s="6" t="s">
        <v>52</v>
      </c>
      <c r="G22" s="6" t="s">
        <v>53</v>
      </c>
      <c r="H22" s="6" t="s">
        <v>54</v>
      </c>
      <c r="I22" s="6" t="s">
        <v>59</v>
      </c>
      <c r="J22" s="6" t="s">
        <v>169</v>
      </c>
      <c r="K22" s="6">
        <v>20251205</v>
      </c>
      <c r="L22" s="6">
        <v>766</v>
      </c>
      <c r="M22" s="6" t="s">
        <v>63</v>
      </c>
      <c r="N22" s="6">
        <v>156070.15</v>
      </c>
      <c r="O22" s="6" t="s">
        <v>652</v>
      </c>
      <c r="P22" s="6" t="s">
        <v>652</v>
      </c>
      <c r="Q22" s="6" t="s">
        <v>652</v>
      </c>
      <c r="R22" s="6">
        <v>-41368.75</v>
      </c>
      <c r="S22" s="6">
        <v>0</v>
      </c>
      <c r="T22" s="6">
        <v>0</v>
      </c>
      <c r="U22" s="6">
        <v>0</v>
      </c>
      <c r="V22" s="6">
        <v>5605840</v>
      </c>
      <c r="W22" s="6">
        <v>100011.75</v>
      </c>
      <c r="X22" s="6">
        <v>10001175</v>
      </c>
      <c r="Y22" s="6">
        <v>56058.400000000001</v>
      </c>
      <c r="Z22" s="6">
        <v>0</v>
      </c>
      <c r="AA22" s="6">
        <v>-18500</v>
      </c>
      <c r="AB22" s="6">
        <v>0</v>
      </c>
      <c r="AC22" s="6">
        <v>0</v>
      </c>
      <c r="AD22" s="6">
        <v>100000000</v>
      </c>
      <c r="AE22" s="6">
        <v>11470140</v>
      </c>
      <c r="AF22" s="6">
        <v>0</v>
      </c>
      <c r="AG22" s="6">
        <v>6395000</v>
      </c>
      <c r="AH22" s="6">
        <v>0</v>
      </c>
      <c r="AI22" s="6">
        <v>10001175</v>
      </c>
      <c r="AJ22" s="6">
        <v>15607015</v>
      </c>
      <c r="AK22" s="6">
        <v>0</v>
      </c>
      <c r="AL22" s="6">
        <v>15607015</v>
      </c>
      <c r="AM22" s="6">
        <v>0</v>
      </c>
      <c r="AN22" s="6">
        <v>15607015</v>
      </c>
      <c r="AO22" s="6">
        <v>10578890</v>
      </c>
      <c r="AP22" t="s">
        <v>1622</v>
      </c>
    </row>
    <row r="23" spans="1:42" x14ac:dyDescent="0.3">
      <c r="A23" t="s">
        <v>168</v>
      </c>
      <c r="B23" t="s">
        <v>51</v>
      </c>
      <c r="C23">
        <v>766</v>
      </c>
      <c r="E23">
        <v>13007</v>
      </c>
      <c r="F23" t="s">
        <v>52</v>
      </c>
      <c r="G23" t="s">
        <v>53</v>
      </c>
      <c r="H23" t="s">
        <v>671</v>
      </c>
      <c r="I23" t="s">
        <v>59</v>
      </c>
      <c r="J23" t="s">
        <v>169</v>
      </c>
      <c r="K23">
        <v>20251205</v>
      </c>
      <c r="L23">
        <v>766</v>
      </c>
      <c r="M23" t="s">
        <v>63</v>
      </c>
      <c r="N23" s="6">
        <v>50060.67</v>
      </c>
      <c r="O23" t="s">
        <v>652</v>
      </c>
      <c r="P23" t="s">
        <v>652</v>
      </c>
      <c r="Q23" t="s">
        <v>652</v>
      </c>
      <c r="R23">
        <v>-41368.75</v>
      </c>
      <c r="S23">
        <v>0</v>
      </c>
      <c r="T23">
        <v>0</v>
      </c>
      <c r="U23">
        <v>0</v>
      </c>
      <c r="V23">
        <v>0</v>
      </c>
      <c r="W23" s="6">
        <v>100011.75</v>
      </c>
      <c r="X23" s="6">
        <v>10001175</v>
      </c>
      <c r="Y23" s="6">
        <v>-49951.08</v>
      </c>
      <c r="Z23">
        <v>0</v>
      </c>
      <c r="AA23">
        <v>-15000</v>
      </c>
      <c r="AB23">
        <v>0</v>
      </c>
      <c r="AC23">
        <v>0</v>
      </c>
      <c r="AD23">
        <v>100000000</v>
      </c>
      <c r="AE23" s="6">
        <v>869192</v>
      </c>
      <c r="AF23">
        <v>0</v>
      </c>
      <c r="AG23">
        <v>6382500</v>
      </c>
      <c r="AH23">
        <v>0</v>
      </c>
      <c r="AI23">
        <v>10001175</v>
      </c>
      <c r="AJ23">
        <v>5006067</v>
      </c>
      <c r="AK23">
        <v>0</v>
      </c>
      <c r="AL23">
        <v>5006067</v>
      </c>
      <c r="AM23">
        <v>0</v>
      </c>
      <c r="AN23">
        <v>5006067</v>
      </c>
      <c r="AO23">
        <v>-22058</v>
      </c>
      <c r="AP23" t="s">
        <v>1622</v>
      </c>
    </row>
    <row r="24" spans="1:42" x14ac:dyDescent="0.3">
      <c r="A24" t="s">
        <v>168</v>
      </c>
      <c r="B24" t="s">
        <v>51</v>
      </c>
      <c r="C24">
        <v>766</v>
      </c>
      <c r="E24">
        <v>13007</v>
      </c>
      <c r="F24" t="s">
        <v>52</v>
      </c>
      <c r="G24" t="s">
        <v>53</v>
      </c>
      <c r="H24" t="s">
        <v>170</v>
      </c>
      <c r="I24" t="s">
        <v>59</v>
      </c>
      <c r="J24" t="s">
        <v>169</v>
      </c>
      <c r="K24">
        <v>20251205</v>
      </c>
      <c r="L24">
        <v>766</v>
      </c>
      <c r="M24" t="s">
        <v>63</v>
      </c>
      <c r="N24" s="6">
        <v>50060.67</v>
      </c>
      <c r="O24" t="s">
        <v>652</v>
      </c>
      <c r="P24" t="s">
        <v>652</v>
      </c>
      <c r="Q24" t="s">
        <v>652</v>
      </c>
      <c r="R24">
        <v>-41368.75</v>
      </c>
      <c r="S24">
        <v>0</v>
      </c>
      <c r="T24">
        <v>0</v>
      </c>
      <c r="U24">
        <v>0</v>
      </c>
      <c r="V24">
        <v>0</v>
      </c>
      <c r="W24" s="6">
        <v>100011.75</v>
      </c>
      <c r="X24" s="6">
        <v>10001175</v>
      </c>
      <c r="Y24" s="6">
        <v>-49951.08</v>
      </c>
      <c r="Z24">
        <v>0</v>
      </c>
      <c r="AA24">
        <v>-15000</v>
      </c>
      <c r="AB24">
        <v>0</v>
      </c>
      <c r="AC24">
        <v>0</v>
      </c>
      <c r="AD24">
        <v>100000000</v>
      </c>
      <c r="AE24" s="6">
        <v>869192</v>
      </c>
      <c r="AF24">
        <v>0</v>
      </c>
      <c r="AG24">
        <v>6382500</v>
      </c>
      <c r="AH24">
        <v>0</v>
      </c>
      <c r="AI24">
        <v>10001175</v>
      </c>
      <c r="AJ24">
        <v>5006067</v>
      </c>
      <c r="AK24">
        <v>0</v>
      </c>
      <c r="AL24">
        <v>5006067</v>
      </c>
      <c r="AM24">
        <v>0</v>
      </c>
      <c r="AN24">
        <v>5006067</v>
      </c>
      <c r="AO24">
        <v>-22058</v>
      </c>
      <c r="AP24" t="s">
        <v>1622</v>
      </c>
    </row>
    <row r="25" spans="1:42" x14ac:dyDescent="0.3">
      <c r="A25" t="s">
        <v>171</v>
      </c>
      <c r="B25" t="s">
        <v>51</v>
      </c>
      <c r="C25">
        <v>766</v>
      </c>
      <c r="E25">
        <v>13007</v>
      </c>
      <c r="F25" t="s">
        <v>52</v>
      </c>
      <c r="G25" t="s">
        <v>53</v>
      </c>
      <c r="H25" t="s">
        <v>54</v>
      </c>
      <c r="I25" t="s">
        <v>59</v>
      </c>
      <c r="J25" t="s">
        <v>169</v>
      </c>
      <c r="K25">
        <v>20251205</v>
      </c>
      <c r="L25">
        <v>766</v>
      </c>
      <c r="M25" t="s">
        <v>63</v>
      </c>
      <c r="N25" s="6">
        <v>50060.67</v>
      </c>
      <c r="O25" t="s">
        <v>652</v>
      </c>
      <c r="P25" t="s">
        <v>652</v>
      </c>
      <c r="Q25" t="s">
        <v>652</v>
      </c>
      <c r="R25">
        <v>-41368.75</v>
      </c>
      <c r="S25">
        <v>0</v>
      </c>
      <c r="T25">
        <v>0</v>
      </c>
      <c r="U25">
        <v>0</v>
      </c>
      <c r="V25">
        <v>0</v>
      </c>
      <c r="W25" s="6">
        <v>100011.75</v>
      </c>
      <c r="X25" s="6">
        <v>10001175</v>
      </c>
      <c r="Y25" s="6">
        <v>-49951.08</v>
      </c>
      <c r="Z25">
        <v>0</v>
      </c>
      <c r="AA25">
        <v>-15000</v>
      </c>
      <c r="AB25">
        <v>0</v>
      </c>
      <c r="AC25">
        <v>0</v>
      </c>
      <c r="AD25">
        <v>100000000</v>
      </c>
      <c r="AE25" s="6">
        <v>869192</v>
      </c>
      <c r="AF25">
        <v>0</v>
      </c>
      <c r="AG25">
        <v>6382500</v>
      </c>
      <c r="AH25">
        <v>0</v>
      </c>
      <c r="AI25">
        <v>10001175</v>
      </c>
      <c r="AJ25">
        <v>5006067</v>
      </c>
      <c r="AK25">
        <v>0</v>
      </c>
      <c r="AL25">
        <v>5006067</v>
      </c>
      <c r="AM25">
        <v>0</v>
      </c>
      <c r="AN25">
        <v>5006067</v>
      </c>
      <c r="AO25">
        <v>-22058</v>
      </c>
      <c r="AP25" t="s">
        <v>1622</v>
      </c>
    </row>
    <row r="26" spans="1:42" x14ac:dyDescent="0.3">
      <c r="A26" t="s">
        <v>168</v>
      </c>
      <c r="B26" t="s">
        <v>51</v>
      </c>
      <c r="C26">
        <v>766</v>
      </c>
      <c r="E26">
        <v>13009</v>
      </c>
      <c r="F26" t="s">
        <v>52</v>
      </c>
      <c r="G26" t="s">
        <v>53</v>
      </c>
      <c r="H26" t="s">
        <v>671</v>
      </c>
      <c r="I26" t="s">
        <v>59</v>
      </c>
      <c r="J26" t="s">
        <v>169</v>
      </c>
      <c r="K26">
        <v>20251104</v>
      </c>
      <c r="L26">
        <v>766</v>
      </c>
      <c r="M26" t="s">
        <v>63</v>
      </c>
      <c r="N26" s="6">
        <v>-27451.06</v>
      </c>
      <c r="O26" t="s">
        <v>652</v>
      </c>
      <c r="P26" t="s">
        <v>652</v>
      </c>
      <c r="Q26" t="s">
        <v>652</v>
      </c>
      <c r="R26">
        <v>-23062.5</v>
      </c>
      <c r="S26">
        <v>0</v>
      </c>
      <c r="T26">
        <v>0</v>
      </c>
      <c r="U26">
        <v>0</v>
      </c>
      <c r="V26">
        <v>0</v>
      </c>
      <c r="W26" s="6">
        <v>51607.5</v>
      </c>
      <c r="X26">
        <v>5160750</v>
      </c>
      <c r="Y26" s="6">
        <v>-79058.559999999998</v>
      </c>
      <c r="Z26">
        <v>0</v>
      </c>
      <c r="AA26">
        <v>0</v>
      </c>
      <c r="AB26">
        <v>0</v>
      </c>
      <c r="AC26">
        <v>0</v>
      </c>
      <c r="AD26">
        <v>100000000</v>
      </c>
      <c r="AE26" s="6">
        <v>-5051356</v>
      </c>
      <c r="AF26">
        <v>0</v>
      </c>
      <c r="AG26">
        <v>1993750</v>
      </c>
      <c r="AH26">
        <v>0</v>
      </c>
      <c r="AI26">
        <v>5160750</v>
      </c>
      <c r="AJ26">
        <v>-2745106</v>
      </c>
      <c r="AK26">
        <v>0</v>
      </c>
      <c r="AL26">
        <v>-2745106</v>
      </c>
      <c r="AM26">
        <v>0</v>
      </c>
      <c r="AN26">
        <v>-2745106</v>
      </c>
      <c r="AO26">
        <v>-5491981</v>
      </c>
      <c r="AP26" t="s">
        <v>1622</v>
      </c>
    </row>
    <row r="27" spans="1:42" x14ac:dyDescent="0.3">
      <c r="A27" t="s">
        <v>168</v>
      </c>
      <c r="B27" t="s">
        <v>51</v>
      </c>
      <c r="C27">
        <v>766</v>
      </c>
      <c r="E27">
        <v>13009</v>
      </c>
      <c r="F27" t="s">
        <v>52</v>
      </c>
      <c r="G27" t="s">
        <v>53</v>
      </c>
      <c r="H27" t="s">
        <v>170</v>
      </c>
      <c r="I27" t="s">
        <v>59</v>
      </c>
      <c r="J27" t="s">
        <v>169</v>
      </c>
      <c r="K27">
        <v>20251104</v>
      </c>
      <c r="L27">
        <v>766</v>
      </c>
      <c r="M27" t="s">
        <v>63</v>
      </c>
      <c r="N27" s="6">
        <v>-27451.06</v>
      </c>
      <c r="O27" t="s">
        <v>652</v>
      </c>
      <c r="P27" t="s">
        <v>652</v>
      </c>
      <c r="Q27" t="s">
        <v>652</v>
      </c>
      <c r="R27">
        <v>-23062.5</v>
      </c>
      <c r="S27">
        <v>0</v>
      </c>
      <c r="T27">
        <v>0</v>
      </c>
      <c r="U27">
        <v>0</v>
      </c>
      <c r="V27">
        <v>0</v>
      </c>
      <c r="W27" s="6">
        <v>51607.5</v>
      </c>
      <c r="X27">
        <v>5160750</v>
      </c>
      <c r="Y27" s="6">
        <v>-79058.559999999998</v>
      </c>
      <c r="Z27">
        <v>0</v>
      </c>
      <c r="AA27">
        <v>0</v>
      </c>
      <c r="AB27">
        <v>0</v>
      </c>
      <c r="AC27">
        <v>0</v>
      </c>
      <c r="AD27">
        <v>100000000</v>
      </c>
      <c r="AE27" s="6">
        <v>-5051356</v>
      </c>
      <c r="AF27">
        <v>0</v>
      </c>
      <c r="AG27">
        <v>1993750</v>
      </c>
      <c r="AH27">
        <v>0</v>
      </c>
      <c r="AI27">
        <v>5160750</v>
      </c>
      <c r="AJ27">
        <v>-2745106</v>
      </c>
      <c r="AK27">
        <v>0</v>
      </c>
      <c r="AL27">
        <v>-2745106</v>
      </c>
      <c r="AM27">
        <v>0</v>
      </c>
      <c r="AN27">
        <v>-2745106</v>
      </c>
      <c r="AO27">
        <v>-5491981</v>
      </c>
      <c r="AP27" t="s">
        <v>1622</v>
      </c>
    </row>
    <row r="28" spans="1:42" x14ac:dyDescent="0.3">
      <c r="A28" t="s">
        <v>171</v>
      </c>
      <c r="B28" t="s">
        <v>51</v>
      </c>
      <c r="C28">
        <v>766</v>
      </c>
      <c r="E28">
        <v>13009</v>
      </c>
      <c r="F28" t="s">
        <v>52</v>
      </c>
      <c r="G28" t="s">
        <v>53</v>
      </c>
      <c r="H28" t="s">
        <v>54</v>
      </c>
      <c r="I28" t="s">
        <v>59</v>
      </c>
      <c r="J28" t="s">
        <v>169</v>
      </c>
      <c r="K28">
        <v>20251104</v>
      </c>
      <c r="L28">
        <v>766</v>
      </c>
      <c r="M28" t="s">
        <v>63</v>
      </c>
      <c r="N28" s="6">
        <v>-27451.06</v>
      </c>
      <c r="O28" t="s">
        <v>652</v>
      </c>
      <c r="P28" t="s">
        <v>652</v>
      </c>
      <c r="Q28" t="s">
        <v>652</v>
      </c>
      <c r="R28">
        <v>-23062.5</v>
      </c>
      <c r="S28">
        <v>0</v>
      </c>
      <c r="T28">
        <v>0</v>
      </c>
      <c r="U28">
        <v>0</v>
      </c>
      <c r="V28">
        <v>0</v>
      </c>
      <c r="W28" s="6">
        <v>51607.5</v>
      </c>
      <c r="X28">
        <v>5160750</v>
      </c>
      <c r="Y28" s="6">
        <v>-79058.559999999998</v>
      </c>
      <c r="Z28">
        <v>0</v>
      </c>
      <c r="AA28">
        <v>0</v>
      </c>
      <c r="AB28">
        <v>0</v>
      </c>
      <c r="AC28">
        <v>0</v>
      </c>
      <c r="AD28">
        <v>100000000</v>
      </c>
      <c r="AE28" s="6">
        <v>-5051356</v>
      </c>
      <c r="AF28">
        <v>0</v>
      </c>
      <c r="AG28">
        <v>1993750</v>
      </c>
      <c r="AH28">
        <v>0</v>
      </c>
      <c r="AI28">
        <v>5160750</v>
      </c>
      <c r="AJ28">
        <v>-2745106</v>
      </c>
      <c r="AK28">
        <v>0</v>
      </c>
      <c r="AL28">
        <v>-2745106</v>
      </c>
      <c r="AM28">
        <v>0</v>
      </c>
      <c r="AN28">
        <v>-2745106</v>
      </c>
      <c r="AO28">
        <v>-5491981</v>
      </c>
      <c r="AP28" t="s">
        <v>1622</v>
      </c>
    </row>
    <row r="29" spans="1:42" x14ac:dyDescent="0.3">
      <c r="A29" t="s">
        <v>168</v>
      </c>
      <c r="B29" t="s">
        <v>51</v>
      </c>
      <c r="C29">
        <v>766</v>
      </c>
      <c r="E29">
        <v>13010</v>
      </c>
      <c r="F29" t="s">
        <v>52</v>
      </c>
      <c r="G29" t="s">
        <v>53</v>
      </c>
      <c r="H29" t="s">
        <v>671</v>
      </c>
      <c r="I29" t="s">
        <v>59</v>
      </c>
      <c r="J29" t="s">
        <v>169</v>
      </c>
      <c r="K29">
        <v>20251104</v>
      </c>
      <c r="L29">
        <v>766</v>
      </c>
      <c r="M29" t="s">
        <v>63</v>
      </c>
      <c r="N29" s="6">
        <v>4342.88</v>
      </c>
      <c r="O29" t="s">
        <v>652</v>
      </c>
      <c r="P29" t="s">
        <v>652</v>
      </c>
      <c r="Q29" t="s">
        <v>1624</v>
      </c>
      <c r="R29">
        <v>0</v>
      </c>
      <c r="S29">
        <v>0</v>
      </c>
      <c r="T29">
        <v>0</v>
      </c>
      <c r="U29">
        <v>0</v>
      </c>
      <c r="V29">
        <v>434288</v>
      </c>
      <c r="W29" s="6">
        <v>0</v>
      </c>
      <c r="X29">
        <v>0</v>
      </c>
      <c r="Y29" s="6">
        <v>4342.88</v>
      </c>
      <c r="Z29">
        <v>0</v>
      </c>
      <c r="AA29">
        <v>0</v>
      </c>
      <c r="AB29">
        <v>0</v>
      </c>
      <c r="AC29">
        <v>0</v>
      </c>
      <c r="AD29">
        <v>100000000</v>
      </c>
      <c r="AE29" s="6">
        <v>774288</v>
      </c>
      <c r="AF29">
        <v>0</v>
      </c>
      <c r="AG29">
        <v>-827500</v>
      </c>
      <c r="AH29">
        <v>0</v>
      </c>
      <c r="AI29">
        <v>0</v>
      </c>
      <c r="AJ29">
        <v>434288</v>
      </c>
      <c r="AK29">
        <v>0</v>
      </c>
      <c r="AL29">
        <v>434288</v>
      </c>
      <c r="AM29">
        <v>0</v>
      </c>
      <c r="AN29">
        <v>434288</v>
      </c>
      <c r="AO29">
        <v>886788</v>
      </c>
      <c r="AP29" t="s">
        <v>1622</v>
      </c>
    </row>
    <row r="30" spans="1:42" x14ac:dyDescent="0.3">
      <c r="A30" t="s">
        <v>168</v>
      </c>
      <c r="B30" t="s">
        <v>51</v>
      </c>
      <c r="C30">
        <v>766</v>
      </c>
      <c r="E30">
        <v>13010</v>
      </c>
      <c r="F30" t="s">
        <v>52</v>
      </c>
      <c r="G30" t="s">
        <v>53</v>
      </c>
      <c r="H30" t="s">
        <v>170</v>
      </c>
      <c r="I30" t="s">
        <v>59</v>
      </c>
      <c r="J30" t="s">
        <v>169</v>
      </c>
      <c r="K30">
        <v>20251104</v>
      </c>
      <c r="L30">
        <v>766</v>
      </c>
      <c r="M30" t="s">
        <v>63</v>
      </c>
      <c r="N30" s="6">
        <v>4342.88</v>
      </c>
      <c r="O30" t="s">
        <v>652</v>
      </c>
      <c r="P30" t="s">
        <v>652</v>
      </c>
      <c r="Q30" t="s">
        <v>1624</v>
      </c>
      <c r="R30">
        <v>0</v>
      </c>
      <c r="S30">
        <v>0</v>
      </c>
      <c r="T30">
        <v>0</v>
      </c>
      <c r="U30">
        <v>0</v>
      </c>
      <c r="V30">
        <v>434288</v>
      </c>
      <c r="W30" s="6">
        <v>0</v>
      </c>
      <c r="X30">
        <v>0</v>
      </c>
      <c r="Y30" s="6">
        <v>4342.88</v>
      </c>
      <c r="Z30">
        <v>0</v>
      </c>
      <c r="AA30">
        <v>0</v>
      </c>
      <c r="AB30">
        <v>0</v>
      </c>
      <c r="AC30">
        <v>0</v>
      </c>
      <c r="AD30">
        <v>100000000</v>
      </c>
      <c r="AE30" s="6">
        <v>774288</v>
      </c>
      <c r="AF30">
        <v>0</v>
      </c>
      <c r="AG30">
        <v>-827500</v>
      </c>
      <c r="AH30">
        <v>0</v>
      </c>
      <c r="AI30">
        <v>0</v>
      </c>
      <c r="AJ30">
        <v>434288</v>
      </c>
      <c r="AK30">
        <v>0</v>
      </c>
      <c r="AL30">
        <v>434288</v>
      </c>
      <c r="AM30">
        <v>0</v>
      </c>
      <c r="AN30">
        <v>434288</v>
      </c>
      <c r="AO30">
        <v>886788</v>
      </c>
      <c r="AP30" t="s">
        <v>1622</v>
      </c>
    </row>
    <row r="31" spans="1:42" x14ac:dyDescent="0.3">
      <c r="A31" t="s">
        <v>171</v>
      </c>
      <c r="B31" t="s">
        <v>51</v>
      </c>
      <c r="C31">
        <v>766</v>
      </c>
      <c r="E31">
        <v>13010</v>
      </c>
      <c r="F31" t="s">
        <v>52</v>
      </c>
      <c r="G31" t="s">
        <v>53</v>
      </c>
      <c r="H31" t="s">
        <v>54</v>
      </c>
      <c r="I31" t="s">
        <v>59</v>
      </c>
      <c r="J31" t="s">
        <v>169</v>
      </c>
      <c r="K31">
        <v>20251104</v>
      </c>
      <c r="L31">
        <v>766</v>
      </c>
      <c r="M31" t="s">
        <v>63</v>
      </c>
      <c r="N31" s="6">
        <v>4342.88</v>
      </c>
      <c r="O31" t="s">
        <v>652</v>
      </c>
      <c r="P31" t="s">
        <v>652</v>
      </c>
      <c r="Q31" t="s">
        <v>1624</v>
      </c>
      <c r="R31">
        <v>0</v>
      </c>
      <c r="S31">
        <v>0</v>
      </c>
      <c r="T31">
        <v>0</v>
      </c>
      <c r="U31">
        <v>0</v>
      </c>
      <c r="V31">
        <v>434288</v>
      </c>
      <c r="W31" s="6">
        <v>0</v>
      </c>
      <c r="X31">
        <v>0</v>
      </c>
      <c r="Y31" s="6">
        <v>4342.88</v>
      </c>
      <c r="Z31">
        <v>0</v>
      </c>
      <c r="AA31">
        <v>0</v>
      </c>
      <c r="AB31">
        <v>0</v>
      </c>
      <c r="AC31">
        <v>0</v>
      </c>
      <c r="AD31">
        <v>100000000</v>
      </c>
      <c r="AE31" s="6">
        <v>774288</v>
      </c>
      <c r="AF31">
        <v>0</v>
      </c>
      <c r="AG31">
        <v>-827500</v>
      </c>
      <c r="AH31">
        <v>0</v>
      </c>
      <c r="AI31">
        <v>0</v>
      </c>
      <c r="AJ31">
        <v>434288</v>
      </c>
      <c r="AK31">
        <v>0</v>
      </c>
      <c r="AL31">
        <v>434288</v>
      </c>
      <c r="AM31">
        <v>0</v>
      </c>
      <c r="AN31">
        <v>434288</v>
      </c>
      <c r="AO31">
        <v>886788</v>
      </c>
      <c r="AP31" t="s">
        <v>1622</v>
      </c>
    </row>
    <row r="32" spans="1:42" x14ac:dyDescent="0.3">
      <c r="A32" t="s">
        <v>168</v>
      </c>
      <c r="B32" t="s">
        <v>51</v>
      </c>
      <c r="C32">
        <v>766</v>
      </c>
      <c r="E32">
        <v>13011</v>
      </c>
      <c r="F32" t="s">
        <v>52</v>
      </c>
      <c r="G32" t="s">
        <v>53</v>
      </c>
      <c r="H32" t="s">
        <v>671</v>
      </c>
      <c r="I32" t="s">
        <v>59</v>
      </c>
      <c r="J32" t="s">
        <v>169</v>
      </c>
      <c r="K32">
        <v>20191127</v>
      </c>
      <c r="L32">
        <v>766</v>
      </c>
      <c r="M32" t="s">
        <v>63</v>
      </c>
      <c r="N32" s="6">
        <v>-149084.29999999999</v>
      </c>
      <c r="O32" t="s">
        <v>652</v>
      </c>
      <c r="P32" t="s">
        <v>652</v>
      </c>
      <c r="Q32" t="s">
        <v>652</v>
      </c>
      <c r="R32">
        <v>0</v>
      </c>
      <c r="S32">
        <v>0</v>
      </c>
      <c r="T32">
        <v>0</v>
      </c>
      <c r="U32">
        <v>0</v>
      </c>
      <c r="V32">
        <v>0</v>
      </c>
      <c r="W32" s="6">
        <v>0</v>
      </c>
      <c r="X32">
        <v>0</v>
      </c>
      <c r="Y32" s="6">
        <v>-149084.29999999999</v>
      </c>
      <c r="Z32">
        <v>0</v>
      </c>
      <c r="AA32">
        <v>0</v>
      </c>
      <c r="AB32">
        <v>0</v>
      </c>
      <c r="AC32">
        <v>0</v>
      </c>
      <c r="AD32">
        <v>100000000</v>
      </c>
      <c r="AE32" s="6">
        <v>-14908430</v>
      </c>
      <c r="AF32">
        <v>0</v>
      </c>
      <c r="AG32">
        <v>0</v>
      </c>
      <c r="AH32">
        <v>0</v>
      </c>
      <c r="AI32">
        <v>0</v>
      </c>
      <c r="AJ32">
        <v>-14908430</v>
      </c>
      <c r="AK32">
        <v>0</v>
      </c>
      <c r="AL32">
        <v>-14908430</v>
      </c>
      <c r="AM32">
        <v>0</v>
      </c>
      <c r="AN32">
        <v>-14908430</v>
      </c>
      <c r="AO32">
        <v>-14908430</v>
      </c>
      <c r="AP32" t="s">
        <v>1622</v>
      </c>
    </row>
    <row r="33" spans="1:42" x14ac:dyDescent="0.3">
      <c r="A33" t="s">
        <v>168</v>
      </c>
      <c r="B33" t="s">
        <v>51</v>
      </c>
      <c r="C33">
        <v>766</v>
      </c>
      <c r="E33">
        <v>13011</v>
      </c>
      <c r="F33" t="s">
        <v>52</v>
      </c>
      <c r="G33" t="s">
        <v>53</v>
      </c>
      <c r="H33" t="s">
        <v>170</v>
      </c>
      <c r="I33" t="s">
        <v>59</v>
      </c>
      <c r="J33" t="s">
        <v>169</v>
      </c>
      <c r="K33">
        <v>20191127</v>
      </c>
      <c r="L33">
        <v>766</v>
      </c>
      <c r="M33" t="s">
        <v>63</v>
      </c>
      <c r="N33" s="6">
        <v>-149084.29999999999</v>
      </c>
      <c r="O33" t="s">
        <v>652</v>
      </c>
      <c r="P33" t="s">
        <v>652</v>
      </c>
      <c r="Q33" t="s">
        <v>652</v>
      </c>
      <c r="R33">
        <v>0</v>
      </c>
      <c r="S33">
        <v>0</v>
      </c>
      <c r="T33">
        <v>0</v>
      </c>
      <c r="U33">
        <v>0</v>
      </c>
      <c r="V33">
        <v>0</v>
      </c>
      <c r="W33" s="6">
        <v>0</v>
      </c>
      <c r="X33">
        <v>0</v>
      </c>
      <c r="Y33" s="6">
        <v>-149084.29999999999</v>
      </c>
      <c r="Z33">
        <v>0</v>
      </c>
      <c r="AA33">
        <v>0</v>
      </c>
      <c r="AB33">
        <v>0</v>
      </c>
      <c r="AC33">
        <v>0</v>
      </c>
      <c r="AD33">
        <v>100000000</v>
      </c>
      <c r="AE33" s="6">
        <v>-14908430</v>
      </c>
      <c r="AF33">
        <v>0</v>
      </c>
      <c r="AG33">
        <v>0</v>
      </c>
      <c r="AH33">
        <v>0</v>
      </c>
      <c r="AI33">
        <v>0</v>
      </c>
      <c r="AJ33">
        <v>-14908430</v>
      </c>
      <c r="AK33">
        <v>0</v>
      </c>
      <c r="AL33">
        <v>-14908430</v>
      </c>
      <c r="AM33">
        <v>0</v>
      </c>
      <c r="AN33">
        <v>-14908430</v>
      </c>
      <c r="AO33">
        <v>-14908430</v>
      </c>
      <c r="AP33" t="s">
        <v>1622</v>
      </c>
    </row>
    <row r="34" spans="1:42" x14ac:dyDescent="0.3">
      <c r="A34" t="s">
        <v>171</v>
      </c>
      <c r="B34" t="s">
        <v>51</v>
      </c>
      <c r="C34">
        <v>766</v>
      </c>
      <c r="E34">
        <v>13011</v>
      </c>
      <c r="F34" t="s">
        <v>52</v>
      </c>
      <c r="G34" t="s">
        <v>53</v>
      </c>
      <c r="H34" t="s">
        <v>54</v>
      </c>
      <c r="I34" t="s">
        <v>59</v>
      </c>
      <c r="J34" t="s">
        <v>169</v>
      </c>
      <c r="K34">
        <v>20191127</v>
      </c>
      <c r="L34">
        <v>766</v>
      </c>
      <c r="M34" t="s">
        <v>63</v>
      </c>
      <c r="N34" s="6">
        <v>-149084.29999999999</v>
      </c>
      <c r="O34" t="s">
        <v>652</v>
      </c>
      <c r="P34" t="s">
        <v>652</v>
      </c>
      <c r="Q34" t="s">
        <v>652</v>
      </c>
      <c r="R34">
        <v>0</v>
      </c>
      <c r="S34">
        <v>0</v>
      </c>
      <c r="T34">
        <v>0</v>
      </c>
      <c r="U34">
        <v>0</v>
      </c>
      <c r="V34">
        <v>0</v>
      </c>
      <c r="W34" s="6">
        <v>0</v>
      </c>
      <c r="X34">
        <v>0</v>
      </c>
      <c r="Y34" s="6">
        <v>-149084.29999999999</v>
      </c>
      <c r="Z34">
        <v>0</v>
      </c>
      <c r="AA34">
        <v>0</v>
      </c>
      <c r="AB34">
        <v>0</v>
      </c>
      <c r="AC34">
        <v>0</v>
      </c>
      <c r="AD34">
        <v>100000000</v>
      </c>
      <c r="AE34" s="6">
        <v>-14908430</v>
      </c>
      <c r="AF34">
        <v>0</v>
      </c>
      <c r="AG34">
        <v>0</v>
      </c>
      <c r="AH34">
        <v>0</v>
      </c>
      <c r="AI34">
        <v>0</v>
      </c>
      <c r="AJ34">
        <v>-14908430</v>
      </c>
      <c r="AK34">
        <v>0</v>
      </c>
      <c r="AL34">
        <v>-14908430</v>
      </c>
      <c r="AM34">
        <v>0</v>
      </c>
      <c r="AN34">
        <v>-14908430</v>
      </c>
      <c r="AO34">
        <v>-14908430</v>
      </c>
      <c r="AP34" t="s">
        <v>1622</v>
      </c>
    </row>
    <row r="35" spans="1:42" x14ac:dyDescent="0.3">
      <c r="A35" t="s">
        <v>168</v>
      </c>
      <c r="B35" t="s">
        <v>51</v>
      </c>
      <c r="C35">
        <v>766</v>
      </c>
      <c r="E35">
        <v>13012</v>
      </c>
      <c r="F35" t="s">
        <v>52</v>
      </c>
      <c r="G35" t="s">
        <v>53</v>
      </c>
      <c r="H35" t="s">
        <v>671</v>
      </c>
      <c r="I35" t="s">
        <v>59</v>
      </c>
      <c r="J35" t="s">
        <v>169</v>
      </c>
      <c r="K35">
        <v>20190828</v>
      </c>
      <c r="L35">
        <v>766</v>
      </c>
      <c r="M35" t="s">
        <v>63</v>
      </c>
      <c r="N35" s="6">
        <v>-53143.74</v>
      </c>
      <c r="O35" t="s">
        <v>652</v>
      </c>
      <c r="P35" t="s">
        <v>652</v>
      </c>
      <c r="Q35" t="s">
        <v>652</v>
      </c>
      <c r="R35">
        <v>0</v>
      </c>
      <c r="S35">
        <v>0</v>
      </c>
      <c r="T35">
        <v>0</v>
      </c>
      <c r="U35">
        <v>0</v>
      </c>
      <c r="V35">
        <v>0</v>
      </c>
      <c r="W35" s="6">
        <v>0</v>
      </c>
      <c r="X35">
        <v>0</v>
      </c>
      <c r="Y35" s="6">
        <v>-53143.74</v>
      </c>
      <c r="Z35">
        <v>0</v>
      </c>
      <c r="AA35">
        <v>0</v>
      </c>
      <c r="AB35">
        <v>0</v>
      </c>
      <c r="AC35">
        <v>0</v>
      </c>
      <c r="AD35">
        <v>100000000</v>
      </c>
      <c r="AE35" s="6">
        <v>-5314374</v>
      </c>
      <c r="AF35">
        <v>0</v>
      </c>
      <c r="AG35">
        <v>0</v>
      </c>
      <c r="AH35">
        <v>0</v>
      </c>
      <c r="AI35">
        <v>0</v>
      </c>
      <c r="AJ35">
        <v>-5314374</v>
      </c>
      <c r="AK35">
        <v>0</v>
      </c>
      <c r="AL35">
        <v>-5314374</v>
      </c>
      <c r="AM35">
        <v>0</v>
      </c>
      <c r="AN35">
        <v>-5314374</v>
      </c>
      <c r="AO35">
        <v>-5314374</v>
      </c>
      <c r="AP35" t="s">
        <v>1622</v>
      </c>
    </row>
    <row r="36" spans="1:42" x14ac:dyDescent="0.3">
      <c r="A36" t="s">
        <v>168</v>
      </c>
      <c r="B36" t="s">
        <v>51</v>
      </c>
      <c r="C36">
        <v>766</v>
      </c>
      <c r="E36">
        <v>13012</v>
      </c>
      <c r="F36" t="s">
        <v>52</v>
      </c>
      <c r="G36" t="s">
        <v>53</v>
      </c>
      <c r="H36" t="s">
        <v>170</v>
      </c>
      <c r="I36" t="s">
        <v>59</v>
      </c>
      <c r="J36" t="s">
        <v>169</v>
      </c>
      <c r="K36">
        <v>20190828</v>
      </c>
      <c r="L36">
        <v>766</v>
      </c>
      <c r="M36" t="s">
        <v>63</v>
      </c>
      <c r="N36" s="6">
        <v>-53143.74</v>
      </c>
      <c r="O36" t="s">
        <v>652</v>
      </c>
      <c r="P36" t="s">
        <v>652</v>
      </c>
      <c r="Q36" t="s">
        <v>652</v>
      </c>
      <c r="R36">
        <v>0</v>
      </c>
      <c r="S36">
        <v>0</v>
      </c>
      <c r="T36">
        <v>0</v>
      </c>
      <c r="U36">
        <v>0</v>
      </c>
      <c r="V36">
        <v>0</v>
      </c>
      <c r="W36" s="6">
        <v>0</v>
      </c>
      <c r="X36">
        <v>0</v>
      </c>
      <c r="Y36" s="6">
        <v>-53143.74</v>
      </c>
      <c r="Z36">
        <v>0</v>
      </c>
      <c r="AA36">
        <v>0</v>
      </c>
      <c r="AB36">
        <v>0</v>
      </c>
      <c r="AC36">
        <v>0</v>
      </c>
      <c r="AD36">
        <v>100000000</v>
      </c>
      <c r="AE36" s="6">
        <v>-5314374</v>
      </c>
      <c r="AF36">
        <v>0</v>
      </c>
      <c r="AG36">
        <v>0</v>
      </c>
      <c r="AH36">
        <v>0</v>
      </c>
      <c r="AI36">
        <v>0</v>
      </c>
      <c r="AJ36">
        <v>-5314374</v>
      </c>
      <c r="AK36">
        <v>0</v>
      </c>
      <c r="AL36">
        <v>-5314374</v>
      </c>
      <c r="AM36">
        <v>0</v>
      </c>
      <c r="AN36">
        <v>-5314374</v>
      </c>
      <c r="AO36">
        <v>-5314374</v>
      </c>
      <c r="AP36" t="s">
        <v>1622</v>
      </c>
    </row>
    <row r="37" spans="1:42" x14ac:dyDescent="0.3">
      <c r="A37" t="s">
        <v>171</v>
      </c>
      <c r="B37" t="s">
        <v>51</v>
      </c>
      <c r="C37">
        <v>766</v>
      </c>
      <c r="E37">
        <v>13012</v>
      </c>
      <c r="F37" t="s">
        <v>52</v>
      </c>
      <c r="G37" t="s">
        <v>53</v>
      </c>
      <c r="H37" t="s">
        <v>54</v>
      </c>
      <c r="I37" t="s">
        <v>59</v>
      </c>
      <c r="J37" t="s">
        <v>169</v>
      </c>
      <c r="K37">
        <v>20190828</v>
      </c>
      <c r="L37">
        <v>766</v>
      </c>
      <c r="M37" t="s">
        <v>63</v>
      </c>
      <c r="N37" s="6">
        <v>-53143.74</v>
      </c>
      <c r="O37" t="s">
        <v>652</v>
      </c>
      <c r="P37" t="s">
        <v>652</v>
      </c>
      <c r="Q37" t="s">
        <v>652</v>
      </c>
      <c r="R37">
        <v>0</v>
      </c>
      <c r="S37">
        <v>0</v>
      </c>
      <c r="T37">
        <v>0</v>
      </c>
      <c r="U37">
        <v>0</v>
      </c>
      <c r="V37">
        <v>0</v>
      </c>
      <c r="W37" s="6">
        <v>0</v>
      </c>
      <c r="X37">
        <v>0</v>
      </c>
      <c r="Y37" s="6">
        <v>-53143.74</v>
      </c>
      <c r="Z37">
        <v>0</v>
      </c>
      <c r="AA37">
        <v>0</v>
      </c>
      <c r="AB37">
        <v>0</v>
      </c>
      <c r="AC37">
        <v>0</v>
      </c>
      <c r="AD37">
        <v>100000000</v>
      </c>
      <c r="AE37" s="6">
        <v>-5314374</v>
      </c>
      <c r="AF37">
        <v>0</v>
      </c>
      <c r="AG37">
        <v>0</v>
      </c>
      <c r="AH37">
        <v>0</v>
      </c>
      <c r="AI37">
        <v>0</v>
      </c>
      <c r="AJ37">
        <v>-5314374</v>
      </c>
      <c r="AK37">
        <v>0</v>
      </c>
      <c r="AL37">
        <v>-5314374</v>
      </c>
      <c r="AM37">
        <v>0</v>
      </c>
      <c r="AN37">
        <v>-5314374</v>
      </c>
      <c r="AO37">
        <v>-5314374</v>
      </c>
      <c r="AP37" t="s">
        <v>1622</v>
      </c>
    </row>
    <row r="38" spans="1:42" x14ac:dyDescent="0.3">
      <c r="A38" t="s">
        <v>168</v>
      </c>
      <c r="B38" t="s">
        <v>51</v>
      </c>
      <c r="C38">
        <v>766</v>
      </c>
      <c r="E38">
        <v>13013</v>
      </c>
      <c r="F38" t="s">
        <v>52</v>
      </c>
      <c r="G38" t="s">
        <v>53</v>
      </c>
      <c r="H38" t="s">
        <v>671</v>
      </c>
      <c r="I38" t="s">
        <v>59</v>
      </c>
      <c r="J38" t="s">
        <v>169</v>
      </c>
      <c r="K38">
        <v>20200824</v>
      </c>
      <c r="L38">
        <v>766</v>
      </c>
      <c r="M38" t="s">
        <v>63</v>
      </c>
      <c r="N38" s="6">
        <v>-34558.25</v>
      </c>
      <c r="O38" t="s">
        <v>652</v>
      </c>
      <c r="P38" t="s">
        <v>652</v>
      </c>
      <c r="Q38" t="s">
        <v>652</v>
      </c>
      <c r="R38">
        <v>0</v>
      </c>
      <c r="S38">
        <v>0</v>
      </c>
      <c r="T38">
        <v>0</v>
      </c>
      <c r="U38">
        <v>0</v>
      </c>
      <c r="V38">
        <v>0</v>
      </c>
      <c r="W38" s="6">
        <v>0</v>
      </c>
      <c r="X38">
        <v>0</v>
      </c>
      <c r="Y38" s="6">
        <v>-34558.25</v>
      </c>
      <c r="Z38">
        <v>0</v>
      </c>
      <c r="AA38">
        <v>0</v>
      </c>
      <c r="AB38">
        <v>0</v>
      </c>
      <c r="AC38">
        <v>0</v>
      </c>
      <c r="AD38">
        <v>100000000</v>
      </c>
      <c r="AE38" s="6">
        <v>-3455825</v>
      </c>
      <c r="AF38">
        <v>0</v>
      </c>
      <c r="AG38">
        <v>0</v>
      </c>
      <c r="AH38">
        <v>0</v>
      </c>
      <c r="AI38">
        <v>0</v>
      </c>
      <c r="AJ38">
        <v>-3455825</v>
      </c>
      <c r="AK38">
        <v>0</v>
      </c>
      <c r="AL38">
        <v>-3455825</v>
      </c>
      <c r="AM38">
        <v>0</v>
      </c>
      <c r="AN38">
        <v>-3455825</v>
      </c>
      <c r="AO38">
        <v>-3455825</v>
      </c>
      <c r="AP38" t="s">
        <v>1622</v>
      </c>
    </row>
    <row r="39" spans="1:42" x14ac:dyDescent="0.3">
      <c r="A39" t="s">
        <v>168</v>
      </c>
      <c r="B39" t="s">
        <v>51</v>
      </c>
      <c r="C39">
        <v>766</v>
      </c>
      <c r="E39">
        <v>13013</v>
      </c>
      <c r="F39" t="s">
        <v>52</v>
      </c>
      <c r="G39" t="s">
        <v>53</v>
      </c>
      <c r="H39" t="s">
        <v>170</v>
      </c>
      <c r="I39" t="s">
        <v>59</v>
      </c>
      <c r="J39" t="s">
        <v>169</v>
      </c>
      <c r="K39">
        <v>20200824</v>
      </c>
      <c r="L39">
        <v>766</v>
      </c>
      <c r="M39" t="s">
        <v>63</v>
      </c>
      <c r="N39" s="6">
        <v>-34558.25</v>
      </c>
      <c r="O39" t="s">
        <v>652</v>
      </c>
      <c r="P39" t="s">
        <v>652</v>
      </c>
      <c r="Q39" t="s">
        <v>652</v>
      </c>
      <c r="R39">
        <v>0</v>
      </c>
      <c r="S39">
        <v>0</v>
      </c>
      <c r="T39">
        <v>0</v>
      </c>
      <c r="U39">
        <v>0</v>
      </c>
      <c r="V39">
        <v>0</v>
      </c>
      <c r="W39" s="6">
        <v>0</v>
      </c>
      <c r="X39">
        <v>0</v>
      </c>
      <c r="Y39" s="6">
        <v>-34558.25</v>
      </c>
      <c r="Z39">
        <v>0</v>
      </c>
      <c r="AA39">
        <v>0</v>
      </c>
      <c r="AB39">
        <v>0</v>
      </c>
      <c r="AC39">
        <v>0</v>
      </c>
      <c r="AD39">
        <v>100000000</v>
      </c>
      <c r="AE39" s="6">
        <v>-3455825</v>
      </c>
      <c r="AF39">
        <v>0</v>
      </c>
      <c r="AG39">
        <v>0</v>
      </c>
      <c r="AH39">
        <v>0</v>
      </c>
      <c r="AI39">
        <v>0</v>
      </c>
      <c r="AJ39">
        <v>-3455825</v>
      </c>
      <c r="AK39">
        <v>0</v>
      </c>
      <c r="AL39">
        <v>-3455825</v>
      </c>
      <c r="AM39">
        <v>0</v>
      </c>
      <c r="AN39">
        <v>-3455825</v>
      </c>
      <c r="AO39">
        <v>-3455825</v>
      </c>
      <c r="AP39" t="s">
        <v>1622</v>
      </c>
    </row>
    <row r="40" spans="1:42" x14ac:dyDescent="0.3">
      <c r="A40" t="s">
        <v>171</v>
      </c>
      <c r="B40" t="s">
        <v>51</v>
      </c>
      <c r="C40">
        <v>766</v>
      </c>
      <c r="E40">
        <v>13013</v>
      </c>
      <c r="F40" t="s">
        <v>52</v>
      </c>
      <c r="G40" t="s">
        <v>53</v>
      </c>
      <c r="H40" t="s">
        <v>54</v>
      </c>
      <c r="I40" t="s">
        <v>59</v>
      </c>
      <c r="J40" t="s">
        <v>169</v>
      </c>
      <c r="K40">
        <v>20200824</v>
      </c>
      <c r="L40">
        <v>766</v>
      </c>
      <c r="M40" t="s">
        <v>63</v>
      </c>
      <c r="N40" s="6">
        <v>-34558.25</v>
      </c>
      <c r="O40" t="s">
        <v>652</v>
      </c>
      <c r="P40" t="s">
        <v>652</v>
      </c>
      <c r="Q40" t="s">
        <v>652</v>
      </c>
      <c r="R40">
        <v>0</v>
      </c>
      <c r="S40">
        <v>0</v>
      </c>
      <c r="T40">
        <v>0</v>
      </c>
      <c r="U40">
        <v>0</v>
      </c>
      <c r="V40">
        <v>0</v>
      </c>
      <c r="W40" s="6">
        <v>0</v>
      </c>
      <c r="X40">
        <v>0</v>
      </c>
      <c r="Y40" s="6">
        <v>-34558.25</v>
      </c>
      <c r="Z40">
        <v>0</v>
      </c>
      <c r="AA40">
        <v>0</v>
      </c>
      <c r="AB40">
        <v>0</v>
      </c>
      <c r="AC40">
        <v>0</v>
      </c>
      <c r="AD40">
        <v>100000000</v>
      </c>
      <c r="AE40" s="6">
        <v>-3455825</v>
      </c>
      <c r="AF40">
        <v>0</v>
      </c>
      <c r="AG40">
        <v>0</v>
      </c>
      <c r="AH40">
        <v>0</v>
      </c>
      <c r="AI40">
        <v>0</v>
      </c>
      <c r="AJ40">
        <v>-3455825</v>
      </c>
      <c r="AK40">
        <v>0</v>
      </c>
      <c r="AL40">
        <v>-3455825</v>
      </c>
      <c r="AM40">
        <v>0</v>
      </c>
      <c r="AN40">
        <v>-3455825</v>
      </c>
      <c r="AO40">
        <v>-3455825</v>
      </c>
      <c r="AP40" t="s">
        <v>1622</v>
      </c>
    </row>
    <row r="41" spans="1:42" x14ac:dyDescent="0.3">
      <c r="A41" t="s">
        <v>168</v>
      </c>
      <c r="B41" t="s">
        <v>51</v>
      </c>
      <c r="C41">
        <v>766</v>
      </c>
      <c r="E41">
        <v>13014</v>
      </c>
      <c r="F41" t="s">
        <v>52</v>
      </c>
      <c r="G41" t="s">
        <v>53</v>
      </c>
      <c r="H41" t="s">
        <v>671</v>
      </c>
      <c r="I41" t="s">
        <v>59</v>
      </c>
      <c r="J41" t="s">
        <v>169</v>
      </c>
      <c r="K41">
        <v>20200224</v>
      </c>
      <c r="L41">
        <v>766</v>
      </c>
      <c r="M41" t="s">
        <v>63</v>
      </c>
      <c r="N41" s="6">
        <v>-5172</v>
      </c>
      <c r="O41" t="s">
        <v>652</v>
      </c>
      <c r="P41" t="s">
        <v>652</v>
      </c>
      <c r="Q41" t="s">
        <v>652</v>
      </c>
      <c r="R41">
        <v>0</v>
      </c>
      <c r="S41">
        <v>0</v>
      </c>
      <c r="T41">
        <v>0</v>
      </c>
      <c r="U41">
        <v>0</v>
      </c>
      <c r="V41">
        <v>0</v>
      </c>
      <c r="W41" s="6">
        <v>0</v>
      </c>
      <c r="X41">
        <v>0</v>
      </c>
      <c r="Y41" s="6">
        <v>-5172</v>
      </c>
      <c r="Z41">
        <v>0</v>
      </c>
      <c r="AA41">
        <v>0</v>
      </c>
      <c r="AB41">
        <v>0</v>
      </c>
      <c r="AC41">
        <v>0</v>
      </c>
      <c r="AD41">
        <v>100000000</v>
      </c>
      <c r="AE41" s="6">
        <v>-517200</v>
      </c>
      <c r="AF41">
        <v>0</v>
      </c>
      <c r="AG41">
        <v>0</v>
      </c>
      <c r="AH41">
        <v>0</v>
      </c>
      <c r="AI41">
        <v>0</v>
      </c>
      <c r="AJ41">
        <v>-517200</v>
      </c>
      <c r="AK41">
        <v>0</v>
      </c>
      <c r="AL41">
        <v>-517200</v>
      </c>
      <c r="AM41">
        <v>0</v>
      </c>
      <c r="AN41">
        <v>-517200</v>
      </c>
      <c r="AO41">
        <v>-517200</v>
      </c>
      <c r="AP41" t="s">
        <v>1622</v>
      </c>
    </row>
    <row r="42" spans="1:42" x14ac:dyDescent="0.3">
      <c r="A42" t="s">
        <v>168</v>
      </c>
      <c r="B42" t="s">
        <v>51</v>
      </c>
      <c r="C42">
        <v>766</v>
      </c>
      <c r="E42">
        <v>13014</v>
      </c>
      <c r="F42" t="s">
        <v>52</v>
      </c>
      <c r="G42" t="s">
        <v>53</v>
      </c>
      <c r="H42" t="s">
        <v>170</v>
      </c>
      <c r="I42" t="s">
        <v>59</v>
      </c>
      <c r="J42" t="s">
        <v>169</v>
      </c>
      <c r="K42">
        <v>20200224</v>
      </c>
      <c r="L42">
        <v>766</v>
      </c>
      <c r="M42" t="s">
        <v>63</v>
      </c>
      <c r="N42" s="6">
        <v>-5172</v>
      </c>
      <c r="O42" t="s">
        <v>652</v>
      </c>
      <c r="P42" t="s">
        <v>652</v>
      </c>
      <c r="Q42" t="s">
        <v>652</v>
      </c>
      <c r="R42">
        <v>0</v>
      </c>
      <c r="S42">
        <v>0</v>
      </c>
      <c r="T42">
        <v>0</v>
      </c>
      <c r="U42">
        <v>0</v>
      </c>
      <c r="V42">
        <v>0</v>
      </c>
      <c r="W42" s="6">
        <v>0</v>
      </c>
      <c r="X42">
        <v>0</v>
      </c>
      <c r="Y42" s="6">
        <v>-5172</v>
      </c>
      <c r="Z42">
        <v>0</v>
      </c>
      <c r="AA42">
        <v>0</v>
      </c>
      <c r="AB42">
        <v>0</v>
      </c>
      <c r="AC42">
        <v>0</v>
      </c>
      <c r="AD42">
        <v>100000000</v>
      </c>
      <c r="AE42" s="6">
        <v>-517200</v>
      </c>
      <c r="AF42">
        <v>0</v>
      </c>
      <c r="AG42">
        <v>0</v>
      </c>
      <c r="AH42">
        <v>0</v>
      </c>
      <c r="AI42">
        <v>0</v>
      </c>
      <c r="AJ42">
        <v>-517200</v>
      </c>
      <c r="AK42">
        <v>0</v>
      </c>
      <c r="AL42">
        <v>-517200</v>
      </c>
      <c r="AM42">
        <v>0</v>
      </c>
      <c r="AN42">
        <v>-517200</v>
      </c>
      <c r="AO42">
        <v>-517200</v>
      </c>
      <c r="AP42" t="s">
        <v>1622</v>
      </c>
    </row>
    <row r="43" spans="1:42" x14ac:dyDescent="0.3">
      <c r="A43" t="s">
        <v>171</v>
      </c>
      <c r="B43" t="s">
        <v>51</v>
      </c>
      <c r="C43">
        <v>766</v>
      </c>
      <c r="E43">
        <v>13014</v>
      </c>
      <c r="F43" t="s">
        <v>52</v>
      </c>
      <c r="G43" t="s">
        <v>53</v>
      </c>
      <c r="H43" t="s">
        <v>54</v>
      </c>
      <c r="I43" t="s">
        <v>59</v>
      </c>
      <c r="J43" t="s">
        <v>169</v>
      </c>
      <c r="K43">
        <v>20200224</v>
      </c>
      <c r="L43">
        <v>766</v>
      </c>
      <c r="M43" t="s">
        <v>63</v>
      </c>
      <c r="N43" s="6">
        <v>-5172</v>
      </c>
      <c r="O43" t="s">
        <v>652</v>
      </c>
      <c r="P43" t="s">
        <v>652</v>
      </c>
      <c r="Q43" t="s">
        <v>652</v>
      </c>
      <c r="R43">
        <v>0</v>
      </c>
      <c r="S43">
        <v>0</v>
      </c>
      <c r="T43">
        <v>0</v>
      </c>
      <c r="U43">
        <v>0</v>
      </c>
      <c r="V43">
        <v>0</v>
      </c>
      <c r="W43" s="6">
        <v>0</v>
      </c>
      <c r="X43">
        <v>0</v>
      </c>
      <c r="Y43" s="6">
        <v>-5172</v>
      </c>
      <c r="Z43">
        <v>0</v>
      </c>
      <c r="AA43">
        <v>0</v>
      </c>
      <c r="AB43">
        <v>0</v>
      </c>
      <c r="AC43">
        <v>0</v>
      </c>
      <c r="AD43">
        <v>100000000</v>
      </c>
      <c r="AE43" s="6">
        <v>-517200</v>
      </c>
      <c r="AF43">
        <v>0</v>
      </c>
      <c r="AG43">
        <v>0</v>
      </c>
      <c r="AH43">
        <v>0</v>
      </c>
      <c r="AI43">
        <v>0</v>
      </c>
      <c r="AJ43">
        <v>-517200</v>
      </c>
      <c r="AK43">
        <v>0</v>
      </c>
      <c r="AL43">
        <v>-517200</v>
      </c>
      <c r="AM43">
        <v>0</v>
      </c>
      <c r="AN43">
        <v>-517200</v>
      </c>
      <c r="AO43">
        <v>-517200</v>
      </c>
      <c r="AP43" t="s">
        <v>1622</v>
      </c>
    </row>
    <row r="44" spans="1:42" x14ac:dyDescent="0.3">
      <c r="A44" t="s">
        <v>168</v>
      </c>
      <c r="B44" t="s">
        <v>51</v>
      </c>
      <c r="C44">
        <v>766</v>
      </c>
      <c r="E44">
        <v>13015</v>
      </c>
      <c r="F44" t="s">
        <v>52</v>
      </c>
      <c r="G44" t="s">
        <v>53</v>
      </c>
      <c r="H44" t="s">
        <v>671</v>
      </c>
      <c r="I44" t="s">
        <v>59</v>
      </c>
      <c r="J44" t="s">
        <v>169</v>
      </c>
      <c r="K44">
        <v>20200421</v>
      </c>
      <c r="L44">
        <v>766</v>
      </c>
      <c r="M44" t="s">
        <v>63</v>
      </c>
      <c r="N44" s="6">
        <v>-30287.8</v>
      </c>
      <c r="O44" t="s">
        <v>652</v>
      </c>
      <c r="P44" t="s">
        <v>652</v>
      </c>
      <c r="Q44" t="s">
        <v>652</v>
      </c>
      <c r="R44">
        <v>0</v>
      </c>
      <c r="S44">
        <v>0</v>
      </c>
      <c r="T44">
        <v>0</v>
      </c>
      <c r="U44">
        <v>0</v>
      </c>
      <c r="V44">
        <v>0</v>
      </c>
      <c r="W44" s="6">
        <v>0</v>
      </c>
      <c r="X44">
        <v>0</v>
      </c>
      <c r="Y44" s="6">
        <v>-30287.8</v>
      </c>
      <c r="Z44">
        <v>0</v>
      </c>
      <c r="AA44">
        <v>0</v>
      </c>
      <c r="AB44">
        <v>0</v>
      </c>
      <c r="AC44">
        <v>0</v>
      </c>
      <c r="AD44">
        <v>100000000</v>
      </c>
      <c r="AE44" s="6">
        <v>-3028780</v>
      </c>
      <c r="AF44">
        <v>0</v>
      </c>
      <c r="AG44">
        <v>0</v>
      </c>
      <c r="AH44">
        <v>0</v>
      </c>
      <c r="AI44">
        <v>0</v>
      </c>
      <c r="AJ44">
        <v>-3028780</v>
      </c>
      <c r="AK44">
        <v>0</v>
      </c>
      <c r="AL44">
        <v>-3028780</v>
      </c>
      <c r="AM44">
        <v>0</v>
      </c>
      <c r="AN44">
        <v>-3028780</v>
      </c>
      <c r="AO44">
        <v>-3028780</v>
      </c>
      <c r="AP44" t="s">
        <v>1622</v>
      </c>
    </row>
    <row r="45" spans="1:42" x14ac:dyDescent="0.3">
      <c r="A45" t="s">
        <v>168</v>
      </c>
      <c r="B45" t="s">
        <v>51</v>
      </c>
      <c r="C45">
        <v>766</v>
      </c>
      <c r="E45">
        <v>13015</v>
      </c>
      <c r="F45" t="s">
        <v>52</v>
      </c>
      <c r="G45" t="s">
        <v>53</v>
      </c>
      <c r="H45" t="s">
        <v>170</v>
      </c>
      <c r="I45" t="s">
        <v>59</v>
      </c>
      <c r="J45" t="s">
        <v>169</v>
      </c>
      <c r="K45">
        <v>20200421</v>
      </c>
      <c r="L45">
        <v>766</v>
      </c>
      <c r="M45" t="s">
        <v>63</v>
      </c>
      <c r="N45" s="6">
        <v>-30287.8</v>
      </c>
      <c r="O45" t="s">
        <v>652</v>
      </c>
      <c r="P45" t="s">
        <v>652</v>
      </c>
      <c r="Q45" t="s">
        <v>652</v>
      </c>
      <c r="R45">
        <v>0</v>
      </c>
      <c r="S45">
        <v>0</v>
      </c>
      <c r="T45">
        <v>0</v>
      </c>
      <c r="U45">
        <v>0</v>
      </c>
      <c r="V45">
        <v>0</v>
      </c>
      <c r="W45" s="6">
        <v>0</v>
      </c>
      <c r="X45">
        <v>0</v>
      </c>
      <c r="Y45" s="6">
        <v>-30287.8</v>
      </c>
      <c r="Z45">
        <v>0</v>
      </c>
      <c r="AA45">
        <v>0</v>
      </c>
      <c r="AB45">
        <v>0</v>
      </c>
      <c r="AC45">
        <v>0</v>
      </c>
      <c r="AD45">
        <v>100000000</v>
      </c>
      <c r="AE45" s="6">
        <v>-3028780</v>
      </c>
      <c r="AF45">
        <v>0</v>
      </c>
      <c r="AG45">
        <v>0</v>
      </c>
      <c r="AH45">
        <v>0</v>
      </c>
      <c r="AI45">
        <v>0</v>
      </c>
      <c r="AJ45">
        <v>-3028780</v>
      </c>
      <c r="AK45">
        <v>0</v>
      </c>
      <c r="AL45">
        <v>-3028780</v>
      </c>
      <c r="AM45">
        <v>0</v>
      </c>
      <c r="AN45">
        <v>-3028780</v>
      </c>
      <c r="AO45">
        <v>-3028780</v>
      </c>
      <c r="AP45" t="s">
        <v>1622</v>
      </c>
    </row>
    <row r="46" spans="1:42" x14ac:dyDescent="0.3">
      <c r="A46" t="s">
        <v>171</v>
      </c>
      <c r="B46" t="s">
        <v>51</v>
      </c>
      <c r="C46">
        <v>766</v>
      </c>
      <c r="E46">
        <v>13015</v>
      </c>
      <c r="F46" t="s">
        <v>52</v>
      </c>
      <c r="G46" t="s">
        <v>53</v>
      </c>
      <c r="H46" t="s">
        <v>54</v>
      </c>
      <c r="I46" t="s">
        <v>59</v>
      </c>
      <c r="J46" t="s">
        <v>169</v>
      </c>
      <c r="K46">
        <v>20200421</v>
      </c>
      <c r="L46">
        <v>766</v>
      </c>
      <c r="M46" t="s">
        <v>63</v>
      </c>
      <c r="N46" s="6">
        <v>-30287.8</v>
      </c>
      <c r="O46" t="s">
        <v>652</v>
      </c>
      <c r="P46" t="s">
        <v>652</v>
      </c>
      <c r="Q46" t="s">
        <v>652</v>
      </c>
      <c r="R46">
        <v>0</v>
      </c>
      <c r="S46">
        <v>0</v>
      </c>
      <c r="T46">
        <v>0</v>
      </c>
      <c r="U46">
        <v>0</v>
      </c>
      <c r="V46">
        <v>0</v>
      </c>
      <c r="W46" s="6">
        <v>0</v>
      </c>
      <c r="X46">
        <v>0</v>
      </c>
      <c r="Y46" s="6">
        <v>-30287.8</v>
      </c>
      <c r="Z46">
        <v>0</v>
      </c>
      <c r="AA46">
        <v>0</v>
      </c>
      <c r="AB46">
        <v>0</v>
      </c>
      <c r="AC46">
        <v>0</v>
      </c>
      <c r="AD46">
        <v>100000000</v>
      </c>
      <c r="AE46" s="6">
        <v>-3028780</v>
      </c>
      <c r="AF46">
        <v>0</v>
      </c>
      <c r="AG46">
        <v>0</v>
      </c>
      <c r="AH46">
        <v>0</v>
      </c>
      <c r="AI46">
        <v>0</v>
      </c>
      <c r="AJ46">
        <v>-3028780</v>
      </c>
      <c r="AK46">
        <v>0</v>
      </c>
      <c r="AL46">
        <v>-3028780</v>
      </c>
      <c r="AM46">
        <v>0</v>
      </c>
      <c r="AN46">
        <v>-3028780</v>
      </c>
      <c r="AO46">
        <v>-3028780</v>
      </c>
      <c r="AP46" t="s">
        <v>1622</v>
      </c>
    </row>
    <row r="47" spans="1:42" x14ac:dyDescent="0.3">
      <c r="A47" t="s">
        <v>168</v>
      </c>
      <c r="B47" t="s">
        <v>51</v>
      </c>
      <c r="C47">
        <v>766</v>
      </c>
      <c r="E47">
        <v>13016</v>
      </c>
      <c r="F47" t="s">
        <v>52</v>
      </c>
      <c r="G47" t="s">
        <v>53</v>
      </c>
      <c r="H47" t="s">
        <v>671</v>
      </c>
      <c r="I47" t="s">
        <v>59</v>
      </c>
      <c r="J47" t="s">
        <v>169</v>
      </c>
      <c r="K47">
        <v>20210526</v>
      </c>
      <c r="L47">
        <v>766</v>
      </c>
      <c r="M47" t="s">
        <v>63</v>
      </c>
      <c r="N47" s="6">
        <v>-48176.77</v>
      </c>
      <c r="O47" t="s">
        <v>652</v>
      </c>
      <c r="P47" t="s">
        <v>652</v>
      </c>
      <c r="Q47" t="s">
        <v>652</v>
      </c>
      <c r="R47">
        <v>0</v>
      </c>
      <c r="S47">
        <v>0</v>
      </c>
      <c r="T47">
        <v>0</v>
      </c>
      <c r="U47">
        <v>0</v>
      </c>
      <c r="V47">
        <v>0</v>
      </c>
      <c r="W47" s="6">
        <v>0</v>
      </c>
      <c r="X47">
        <v>0</v>
      </c>
      <c r="Y47" s="6">
        <v>-48176.77</v>
      </c>
      <c r="Z47">
        <v>0</v>
      </c>
      <c r="AA47">
        <v>0</v>
      </c>
      <c r="AB47">
        <v>0</v>
      </c>
      <c r="AC47">
        <v>0</v>
      </c>
      <c r="AD47">
        <v>100000000</v>
      </c>
      <c r="AE47" s="6">
        <v>-4817677</v>
      </c>
      <c r="AF47">
        <v>0</v>
      </c>
      <c r="AG47">
        <v>0</v>
      </c>
      <c r="AH47">
        <v>0</v>
      </c>
      <c r="AI47">
        <v>0</v>
      </c>
      <c r="AJ47">
        <v>-4817677</v>
      </c>
      <c r="AK47">
        <v>0</v>
      </c>
      <c r="AL47">
        <v>-4817677</v>
      </c>
      <c r="AM47">
        <v>0</v>
      </c>
      <c r="AN47">
        <v>-4817677</v>
      </c>
      <c r="AO47">
        <v>-4817677</v>
      </c>
      <c r="AP47" t="s">
        <v>1622</v>
      </c>
    </row>
    <row r="48" spans="1:42" x14ac:dyDescent="0.3">
      <c r="A48" t="s">
        <v>168</v>
      </c>
      <c r="B48" t="s">
        <v>51</v>
      </c>
      <c r="C48">
        <v>766</v>
      </c>
      <c r="E48">
        <v>13016</v>
      </c>
      <c r="F48" t="s">
        <v>52</v>
      </c>
      <c r="G48" t="s">
        <v>53</v>
      </c>
      <c r="H48" t="s">
        <v>170</v>
      </c>
      <c r="I48" t="s">
        <v>59</v>
      </c>
      <c r="J48" t="s">
        <v>169</v>
      </c>
      <c r="K48">
        <v>20210526</v>
      </c>
      <c r="L48">
        <v>766</v>
      </c>
      <c r="M48" t="s">
        <v>63</v>
      </c>
      <c r="N48" s="6">
        <v>-48176.77</v>
      </c>
      <c r="O48" t="s">
        <v>652</v>
      </c>
      <c r="P48" t="s">
        <v>652</v>
      </c>
      <c r="Q48" t="s">
        <v>652</v>
      </c>
      <c r="R48">
        <v>0</v>
      </c>
      <c r="S48">
        <v>0</v>
      </c>
      <c r="T48">
        <v>0</v>
      </c>
      <c r="U48">
        <v>0</v>
      </c>
      <c r="V48">
        <v>0</v>
      </c>
      <c r="W48" s="6">
        <v>0</v>
      </c>
      <c r="X48">
        <v>0</v>
      </c>
      <c r="Y48" s="6">
        <v>-48176.77</v>
      </c>
      <c r="Z48">
        <v>0</v>
      </c>
      <c r="AA48">
        <v>0</v>
      </c>
      <c r="AB48">
        <v>0</v>
      </c>
      <c r="AC48">
        <v>0</v>
      </c>
      <c r="AD48">
        <v>100000000</v>
      </c>
      <c r="AE48" s="6">
        <v>-4817677</v>
      </c>
      <c r="AF48">
        <v>0</v>
      </c>
      <c r="AG48">
        <v>0</v>
      </c>
      <c r="AH48">
        <v>0</v>
      </c>
      <c r="AI48">
        <v>0</v>
      </c>
      <c r="AJ48">
        <v>-4817677</v>
      </c>
      <c r="AK48">
        <v>0</v>
      </c>
      <c r="AL48">
        <v>-4817677</v>
      </c>
      <c r="AM48">
        <v>0</v>
      </c>
      <c r="AN48">
        <v>-4817677</v>
      </c>
      <c r="AO48">
        <v>-4817677</v>
      </c>
      <c r="AP48" t="s">
        <v>1622</v>
      </c>
    </row>
    <row r="49" spans="1:42" x14ac:dyDescent="0.3">
      <c r="A49" t="s">
        <v>171</v>
      </c>
      <c r="B49" t="s">
        <v>51</v>
      </c>
      <c r="C49">
        <v>766</v>
      </c>
      <c r="E49">
        <v>13016</v>
      </c>
      <c r="F49" t="s">
        <v>52</v>
      </c>
      <c r="G49" t="s">
        <v>53</v>
      </c>
      <c r="H49" t="s">
        <v>54</v>
      </c>
      <c r="I49" t="s">
        <v>59</v>
      </c>
      <c r="J49" t="s">
        <v>169</v>
      </c>
      <c r="K49">
        <v>20210526</v>
      </c>
      <c r="L49">
        <v>766</v>
      </c>
      <c r="M49" t="s">
        <v>63</v>
      </c>
      <c r="N49" s="6">
        <v>-48176.77</v>
      </c>
      <c r="O49" t="s">
        <v>652</v>
      </c>
      <c r="P49" t="s">
        <v>652</v>
      </c>
      <c r="Q49" t="s">
        <v>652</v>
      </c>
      <c r="R49">
        <v>0</v>
      </c>
      <c r="S49">
        <v>0</v>
      </c>
      <c r="T49">
        <v>0</v>
      </c>
      <c r="U49">
        <v>0</v>
      </c>
      <c r="V49">
        <v>0</v>
      </c>
      <c r="W49" s="6">
        <v>0</v>
      </c>
      <c r="X49">
        <v>0</v>
      </c>
      <c r="Y49" s="6">
        <v>-48176.77</v>
      </c>
      <c r="Z49">
        <v>0</v>
      </c>
      <c r="AA49">
        <v>0</v>
      </c>
      <c r="AB49">
        <v>0</v>
      </c>
      <c r="AC49">
        <v>0</v>
      </c>
      <c r="AD49">
        <v>100000000</v>
      </c>
      <c r="AE49" s="6">
        <v>-4817677</v>
      </c>
      <c r="AF49">
        <v>0</v>
      </c>
      <c r="AG49">
        <v>0</v>
      </c>
      <c r="AH49">
        <v>0</v>
      </c>
      <c r="AI49">
        <v>0</v>
      </c>
      <c r="AJ49">
        <v>-4817677</v>
      </c>
      <c r="AK49">
        <v>0</v>
      </c>
      <c r="AL49">
        <v>-4817677</v>
      </c>
      <c r="AM49">
        <v>0</v>
      </c>
      <c r="AN49">
        <v>-4817677</v>
      </c>
      <c r="AO49">
        <v>-4817677</v>
      </c>
      <c r="AP49" t="s">
        <v>1622</v>
      </c>
    </row>
    <row r="50" spans="1:42" x14ac:dyDescent="0.3">
      <c r="A50" t="s">
        <v>168</v>
      </c>
      <c r="B50" t="s">
        <v>51</v>
      </c>
      <c r="C50">
        <v>766</v>
      </c>
      <c r="E50">
        <v>13017</v>
      </c>
      <c r="F50" t="s">
        <v>52</v>
      </c>
      <c r="G50" t="s">
        <v>53</v>
      </c>
      <c r="H50" t="s">
        <v>671</v>
      </c>
      <c r="I50" t="s">
        <v>59</v>
      </c>
      <c r="J50" t="s">
        <v>169</v>
      </c>
      <c r="K50">
        <v>20180827</v>
      </c>
      <c r="L50">
        <v>766</v>
      </c>
      <c r="M50" t="s">
        <v>63</v>
      </c>
      <c r="N50" s="6">
        <v>-29752.86</v>
      </c>
      <c r="O50" t="s">
        <v>652</v>
      </c>
      <c r="P50" t="s">
        <v>652</v>
      </c>
      <c r="Q50" t="s">
        <v>652</v>
      </c>
      <c r="R50">
        <v>0</v>
      </c>
      <c r="S50">
        <v>0</v>
      </c>
      <c r="T50">
        <v>0</v>
      </c>
      <c r="U50">
        <v>0</v>
      </c>
      <c r="V50">
        <v>0</v>
      </c>
      <c r="W50" s="6">
        <v>0</v>
      </c>
      <c r="X50">
        <v>0</v>
      </c>
      <c r="Y50" s="6">
        <v>-29752.86</v>
      </c>
      <c r="Z50">
        <v>0</v>
      </c>
      <c r="AA50">
        <v>0</v>
      </c>
      <c r="AB50">
        <v>0</v>
      </c>
      <c r="AC50">
        <v>0</v>
      </c>
      <c r="AD50">
        <v>100000000</v>
      </c>
      <c r="AE50" s="6">
        <v>-2975286</v>
      </c>
      <c r="AF50">
        <v>0</v>
      </c>
      <c r="AG50">
        <v>0</v>
      </c>
      <c r="AH50">
        <v>0</v>
      </c>
      <c r="AI50">
        <v>0</v>
      </c>
      <c r="AJ50">
        <v>-2975286</v>
      </c>
      <c r="AK50">
        <v>0</v>
      </c>
      <c r="AL50">
        <v>-2975286</v>
      </c>
      <c r="AM50">
        <v>0</v>
      </c>
      <c r="AN50">
        <v>-2975286</v>
      </c>
      <c r="AO50">
        <v>-2975286</v>
      </c>
      <c r="AP50" t="s">
        <v>1622</v>
      </c>
    </row>
    <row r="51" spans="1:42" x14ac:dyDescent="0.3">
      <c r="A51" t="s">
        <v>168</v>
      </c>
      <c r="B51" t="s">
        <v>51</v>
      </c>
      <c r="C51">
        <v>766</v>
      </c>
      <c r="E51">
        <v>13017</v>
      </c>
      <c r="F51" t="s">
        <v>52</v>
      </c>
      <c r="G51" t="s">
        <v>53</v>
      </c>
      <c r="H51" t="s">
        <v>170</v>
      </c>
      <c r="I51" t="s">
        <v>59</v>
      </c>
      <c r="J51" t="s">
        <v>169</v>
      </c>
      <c r="K51">
        <v>20180827</v>
      </c>
      <c r="L51">
        <v>766</v>
      </c>
      <c r="M51" t="s">
        <v>63</v>
      </c>
      <c r="N51" s="6">
        <v>-29752.86</v>
      </c>
      <c r="O51" t="s">
        <v>652</v>
      </c>
      <c r="P51" t="s">
        <v>652</v>
      </c>
      <c r="Q51" t="s">
        <v>652</v>
      </c>
      <c r="R51">
        <v>0</v>
      </c>
      <c r="S51">
        <v>0</v>
      </c>
      <c r="T51">
        <v>0</v>
      </c>
      <c r="U51">
        <v>0</v>
      </c>
      <c r="V51">
        <v>0</v>
      </c>
      <c r="W51" s="6">
        <v>0</v>
      </c>
      <c r="X51">
        <v>0</v>
      </c>
      <c r="Y51" s="6">
        <v>-29752.86</v>
      </c>
      <c r="Z51">
        <v>0</v>
      </c>
      <c r="AA51">
        <v>0</v>
      </c>
      <c r="AB51">
        <v>0</v>
      </c>
      <c r="AC51">
        <v>0</v>
      </c>
      <c r="AD51">
        <v>100000000</v>
      </c>
      <c r="AE51" s="6">
        <v>-2975286</v>
      </c>
      <c r="AF51">
        <v>0</v>
      </c>
      <c r="AG51">
        <v>0</v>
      </c>
      <c r="AH51">
        <v>0</v>
      </c>
      <c r="AI51">
        <v>0</v>
      </c>
      <c r="AJ51">
        <v>-2975286</v>
      </c>
      <c r="AK51">
        <v>0</v>
      </c>
      <c r="AL51">
        <v>-2975286</v>
      </c>
      <c r="AM51">
        <v>0</v>
      </c>
      <c r="AN51">
        <v>-2975286</v>
      </c>
      <c r="AO51">
        <v>-2975286</v>
      </c>
      <c r="AP51" t="s">
        <v>1622</v>
      </c>
    </row>
    <row r="52" spans="1:42" x14ac:dyDescent="0.3">
      <c r="A52" t="s">
        <v>171</v>
      </c>
      <c r="B52" t="s">
        <v>51</v>
      </c>
      <c r="C52">
        <v>766</v>
      </c>
      <c r="E52">
        <v>13017</v>
      </c>
      <c r="F52" t="s">
        <v>52</v>
      </c>
      <c r="G52" t="s">
        <v>53</v>
      </c>
      <c r="H52" t="s">
        <v>54</v>
      </c>
      <c r="I52" t="s">
        <v>59</v>
      </c>
      <c r="J52" t="s">
        <v>169</v>
      </c>
      <c r="K52">
        <v>20180827</v>
      </c>
      <c r="L52">
        <v>766</v>
      </c>
      <c r="M52" t="s">
        <v>63</v>
      </c>
      <c r="N52" s="6">
        <v>-29752.86</v>
      </c>
      <c r="O52" t="s">
        <v>652</v>
      </c>
      <c r="P52" t="s">
        <v>652</v>
      </c>
      <c r="Q52" t="s">
        <v>652</v>
      </c>
      <c r="R52">
        <v>0</v>
      </c>
      <c r="S52">
        <v>0</v>
      </c>
      <c r="T52">
        <v>0</v>
      </c>
      <c r="U52">
        <v>0</v>
      </c>
      <c r="V52">
        <v>0</v>
      </c>
      <c r="W52" s="6">
        <v>0</v>
      </c>
      <c r="X52">
        <v>0</v>
      </c>
      <c r="Y52" s="6">
        <v>-29752.86</v>
      </c>
      <c r="Z52">
        <v>0</v>
      </c>
      <c r="AA52">
        <v>0</v>
      </c>
      <c r="AB52">
        <v>0</v>
      </c>
      <c r="AC52">
        <v>0</v>
      </c>
      <c r="AD52">
        <v>100000000</v>
      </c>
      <c r="AE52" s="6">
        <v>-2975286</v>
      </c>
      <c r="AF52">
        <v>0</v>
      </c>
      <c r="AG52">
        <v>0</v>
      </c>
      <c r="AH52">
        <v>0</v>
      </c>
      <c r="AI52">
        <v>0</v>
      </c>
      <c r="AJ52">
        <v>-2975286</v>
      </c>
      <c r="AK52">
        <v>0</v>
      </c>
      <c r="AL52">
        <v>-2975286</v>
      </c>
      <c r="AM52">
        <v>0</v>
      </c>
      <c r="AN52">
        <v>-2975286</v>
      </c>
      <c r="AO52">
        <v>-2975286</v>
      </c>
      <c r="AP52" t="s">
        <v>1622</v>
      </c>
    </row>
    <row r="53" spans="1:42" x14ac:dyDescent="0.3">
      <c r="A53" t="s">
        <v>168</v>
      </c>
      <c r="B53" t="s">
        <v>51</v>
      </c>
      <c r="C53">
        <v>766</v>
      </c>
      <c r="E53">
        <v>13018</v>
      </c>
      <c r="F53" t="s">
        <v>52</v>
      </c>
      <c r="G53" t="s">
        <v>53</v>
      </c>
      <c r="H53" t="s">
        <v>671</v>
      </c>
      <c r="I53" t="s">
        <v>59</v>
      </c>
      <c r="J53" t="s">
        <v>169</v>
      </c>
      <c r="K53">
        <v>20180307</v>
      </c>
      <c r="L53">
        <v>766</v>
      </c>
      <c r="M53" t="s">
        <v>63</v>
      </c>
      <c r="N53" s="6">
        <v>5471.06</v>
      </c>
      <c r="O53" t="s">
        <v>652</v>
      </c>
      <c r="P53" t="s">
        <v>652</v>
      </c>
      <c r="Q53" t="s">
        <v>652</v>
      </c>
      <c r="R53">
        <v>0</v>
      </c>
      <c r="S53">
        <v>0</v>
      </c>
      <c r="T53">
        <v>0</v>
      </c>
      <c r="U53">
        <v>0</v>
      </c>
      <c r="V53">
        <v>547106</v>
      </c>
      <c r="W53" s="6">
        <v>0</v>
      </c>
      <c r="X53">
        <v>0</v>
      </c>
      <c r="Y53" s="6">
        <v>5471.06</v>
      </c>
      <c r="Z53">
        <v>0</v>
      </c>
      <c r="AA53">
        <v>0</v>
      </c>
      <c r="AB53">
        <v>0</v>
      </c>
      <c r="AC53">
        <v>0</v>
      </c>
      <c r="AD53">
        <v>100000000</v>
      </c>
      <c r="AE53" s="6">
        <v>547106</v>
      </c>
      <c r="AF53">
        <v>0</v>
      </c>
      <c r="AG53">
        <v>0</v>
      </c>
      <c r="AH53">
        <v>0</v>
      </c>
      <c r="AI53">
        <v>0</v>
      </c>
      <c r="AJ53">
        <v>547106</v>
      </c>
      <c r="AK53">
        <v>0</v>
      </c>
      <c r="AL53">
        <v>547106</v>
      </c>
      <c r="AM53">
        <v>0</v>
      </c>
      <c r="AN53">
        <v>547106</v>
      </c>
      <c r="AO53">
        <v>547106</v>
      </c>
      <c r="AP53" t="s">
        <v>1622</v>
      </c>
    </row>
    <row r="54" spans="1:42" x14ac:dyDescent="0.3">
      <c r="A54" t="s">
        <v>168</v>
      </c>
      <c r="B54" t="s">
        <v>51</v>
      </c>
      <c r="C54">
        <v>766</v>
      </c>
      <c r="E54">
        <v>13018</v>
      </c>
      <c r="F54" t="s">
        <v>52</v>
      </c>
      <c r="G54" t="s">
        <v>53</v>
      </c>
      <c r="H54" t="s">
        <v>170</v>
      </c>
      <c r="I54" t="s">
        <v>59</v>
      </c>
      <c r="J54" t="s">
        <v>169</v>
      </c>
      <c r="K54">
        <v>20180307</v>
      </c>
      <c r="L54">
        <v>766</v>
      </c>
      <c r="M54" t="s">
        <v>63</v>
      </c>
      <c r="N54" s="6">
        <v>5471.06</v>
      </c>
      <c r="O54" t="s">
        <v>652</v>
      </c>
      <c r="P54" t="s">
        <v>652</v>
      </c>
      <c r="Q54" t="s">
        <v>652</v>
      </c>
      <c r="R54">
        <v>0</v>
      </c>
      <c r="S54">
        <v>0</v>
      </c>
      <c r="T54">
        <v>0</v>
      </c>
      <c r="U54">
        <v>0</v>
      </c>
      <c r="V54">
        <v>547106</v>
      </c>
      <c r="W54" s="6">
        <v>0</v>
      </c>
      <c r="X54">
        <v>0</v>
      </c>
      <c r="Y54" s="6">
        <v>5471.06</v>
      </c>
      <c r="Z54">
        <v>0</v>
      </c>
      <c r="AA54">
        <v>0</v>
      </c>
      <c r="AB54">
        <v>0</v>
      </c>
      <c r="AC54">
        <v>0</v>
      </c>
      <c r="AD54">
        <v>100000000</v>
      </c>
      <c r="AE54" s="6">
        <v>547106</v>
      </c>
      <c r="AF54">
        <v>0</v>
      </c>
      <c r="AG54">
        <v>0</v>
      </c>
      <c r="AH54">
        <v>0</v>
      </c>
      <c r="AI54">
        <v>0</v>
      </c>
      <c r="AJ54">
        <v>547106</v>
      </c>
      <c r="AK54">
        <v>0</v>
      </c>
      <c r="AL54">
        <v>547106</v>
      </c>
      <c r="AM54">
        <v>0</v>
      </c>
      <c r="AN54">
        <v>547106</v>
      </c>
      <c r="AO54">
        <v>547106</v>
      </c>
      <c r="AP54" t="s">
        <v>1622</v>
      </c>
    </row>
    <row r="55" spans="1:42" x14ac:dyDescent="0.3">
      <c r="A55" t="s">
        <v>171</v>
      </c>
      <c r="B55" t="s">
        <v>51</v>
      </c>
      <c r="C55">
        <v>766</v>
      </c>
      <c r="E55">
        <v>13018</v>
      </c>
      <c r="F55" t="s">
        <v>52</v>
      </c>
      <c r="G55" t="s">
        <v>53</v>
      </c>
      <c r="H55" t="s">
        <v>54</v>
      </c>
      <c r="I55" t="s">
        <v>59</v>
      </c>
      <c r="J55" t="s">
        <v>169</v>
      </c>
      <c r="K55">
        <v>20180307</v>
      </c>
      <c r="L55">
        <v>766</v>
      </c>
      <c r="M55" t="s">
        <v>63</v>
      </c>
      <c r="N55" s="6">
        <v>5471.06</v>
      </c>
      <c r="O55" t="s">
        <v>652</v>
      </c>
      <c r="P55" t="s">
        <v>652</v>
      </c>
      <c r="Q55" t="s">
        <v>652</v>
      </c>
      <c r="R55">
        <v>0</v>
      </c>
      <c r="S55">
        <v>0</v>
      </c>
      <c r="T55">
        <v>0</v>
      </c>
      <c r="U55">
        <v>0</v>
      </c>
      <c r="V55">
        <v>547106</v>
      </c>
      <c r="W55" s="6">
        <v>0</v>
      </c>
      <c r="X55">
        <v>0</v>
      </c>
      <c r="Y55" s="6">
        <v>5471.06</v>
      </c>
      <c r="Z55">
        <v>0</v>
      </c>
      <c r="AA55">
        <v>0</v>
      </c>
      <c r="AB55">
        <v>0</v>
      </c>
      <c r="AC55">
        <v>0</v>
      </c>
      <c r="AD55">
        <v>100000000</v>
      </c>
      <c r="AE55" s="6">
        <v>547106</v>
      </c>
      <c r="AF55">
        <v>0</v>
      </c>
      <c r="AG55">
        <v>0</v>
      </c>
      <c r="AH55">
        <v>0</v>
      </c>
      <c r="AI55">
        <v>0</v>
      </c>
      <c r="AJ55">
        <v>547106</v>
      </c>
      <c r="AK55">
        <v>0</v>
      </c>
      <c r="AL55">
        <v>547106</v>
      </c>
      <c r="AM55">
        <v>0</v>
      </c>
      <c r="AN55">
        <v>547106</v>
      </c>
      <c r="AO55">
        <v>547106</v>
      </c>
      <c r="AP55" t="s">
        <v>1622</v>
      </c>
    </row>
    <row r="56" spans="1:42" x14ac:dyDescent="0.3">
      <c r="A56" t="s">
        <v>168</v>
      </c>
      <c r="B56" t="s">
        <v>51</v>
      </c>
      <c r="C56">
        <v>766</v>
      </c>
      <c r="E56">
        <v>13019</v>
      </c>
      <c r="F56" t="s">
        <v>52</v>
      </c>
      <c r="G56" t="s">
        <v>53</v>
      </c>
      <c r="H56" t="s">
        <v>671</v>
      </c>
      <c r="I56" t="s">
        <v>59</v>
      </c>
      <c r="J56" t="s">
        <v>169</v>
      </c>
      <c r="K56">
        <v>20191125</v>
      </c>
      <c r="L56">
        <v>766</v>
      </c>
      <c r="M56" t="s">
        <v>63</v>
      </c>
      <c r="N56" s="6">
        <v>-74842.16</v>
      </c>
      <c r="O56" t="s">
        <v>652</v>
      </c>
      <c r="P56" t="s">
        <v>652</v>
      </c>
      <c r="Q56" t="s">
        <v>652</v>
      </c>
      <c r="R56">
        <v>0</v>
      </c>
      <c r="S56">
        <v>0</v>
      </c>
      <c r="T56">
        <v>0</v>
      </c>
      <c r="U56">
        <v>0</v>
      </c>
      <c r="V56">
        <v>0</v>
      </c>
      <c r="W56" s="6">
        <v>0</v>
      </c>
      <c r="X56">
        <v>0</v>
      </c>
      <c r="Y56" s="6">
        <v>-74842.16</v>
      </c>
      <c r="Z56">
        <v>0</v>
      </c>
      <c r="AA56">
        <v>0</v>
      </c>
      <c r="AB56">
        <v>0</v>
      </c>
      <c r="AC56">
        <v>0</v>
      </c>
      <c r="AD56">
        <v>100000000</v>
      </c>
      <c r="AE56" s="6">
        <v>-7484216</v>
      </c>
      <c r="AF56">
        <v>0</v>
      </c>
      <c r="AG56">
        <v>0</v>
      </c>
      <c r="AH56">
        <v>0</v>
      </c>
      <c r="AI56">
        <v>0</v>
      </c>
      <c r="AJ56">
        <v>-7484216</v>
      </c>
      <c r="AK56">
        <v>0</v>
      </c>
      <c r="AL56">
        <v>-7484216</v>
      </c>
      <c r="AM56">
        <v>0</v>
      </c>
      <c r="AN56">
        <v>-7484216</v>
      </c>
      <c r="AO56">
        <v>-7484216</v>
      </c>
      <c r="AP56" t="s">
        <v>1622</v>
      </c>
    </row>
    <row r="57" spans="1:42" x14ac:dyDescent="0.3">
      <c r="A57" t="s">
        <v>168</v>
      </c>
      <c r="B57" t="s">
        <v>51</v>
      </c>
      <c r="C57">
        <v>766</v>
      </c>
      <c r="E57">
        <v>13019</v>
      </c>
      <c r="F57" t="s">
        <v>52</v>
      </c>
      <c r="G57" t="s">
        <v>53</v>
      </c>
      <c r="H57" t="s">
        <v>170</v>
      </c>
      <c r="I57" t="s">
        <v>59</v>
      </c>
      <c r="J57" t="s">
        <v>169</v>
      </c>
      <c r="K57">
        <v>20191125</v>
      </c>
      <c r="L57">
        <v>766</v>
      </c>
      <c r="M57" t="s">
        <v>63</v>
      </c>
      <c r="N57" s="6">
        <v>-74842.16</v>
      </c>
      <c r="O57" t="s">
        <v>652</v>
      </c>
      <c r="P57" t="s">
        <v>652</v>
      </c>
      <c r="Q57" t="s">
        <v>652</v>
      </c>
      <c r="R57">
        <v>0</v>
      </c>
      <c r="S57">
        <v>0</v>
      </c>
      <c r="T57">
        <v>0</v>
      </c>
      <c r="U57">
        <v>0</v>
      </c>
      <c r="V57">
        <v>0</v>
      </c>
      <c r="W57" s="6">
        <v>0</v>
      </c>
      <c r="X57">
        <v>0</v>
      </c>
      <c r="Y57" s="6">
        <v>-74842.16</v>
      </c>
      <c r="Z57">
        <v>0</v>
      </c>
      <c r="AA57">
        <v>0</v>
      </c>
      <c r="AB57">
        <v>0</v>
      </c>
      <c r="AC57">
        <v>0</v>
      </c>
      <c r="AD57">
        <v>100000000</v>
      </c>
      <c r="AE57" s="6">
        <v>-7484216</v>
      </c>
      <c r="AF57">
        <v>0</v>
      </c>
      <c r="AG57">
        <v>0</v>
      </c>
      <c r="AH57">
        <v>0</v>
      </c>
      <c r="AI57">
        <v>0</v>
      </c>
      <c r="AJ57">
        <v>-7484216</v>
      </c>
      <c r="AK57">
        <v>0</v>
      </c>
      <c r="AL57">
        <v>-7484216</v>
      </c>
      <c r="AM57">
        <v>0</v>
      </c>
      <c r="AN57">
        <v>-7484216</v>
      </c>
      <c r="AO57">
        <v>-7484216</v>
      </c>
      <c r="AP57" t="s">
        <v>1622</v>
      </c>
    </row>
    <row r="58" spans="1:42" x14ac:dyDescent="0.3">
      <c r="A58" t="s">
        <v>171</v>
      </c>
      <c r="B58" t="s">
        <v>51</v>
      </c>
      <c r="C58">
        <v>766</v>
      </c>
      <c r="E58">
        <v>13019</v>
      </c>
      <c r="F58" t="s">
        <v>52</v>
      </c>
      <c r="G58" t="s">
        <v>53</v>
      </c>
      <c r="H58" t="s">
        <v>54</v>
      </c>
      <c r="I58" t="s">
        <v>59</v>
      </c>
      <c r="J58" t="s">
        <v>169</v>
      </c>
      <c r="K58">
        <v>20191125</v>
      </c>
      <c r="L58">
        <v>766</v>
      </c>
      <c r="M58" t="s">
        <v>63</v>
      </c>
      <c r="N58" s="6">
        <v>-74842.16</v>
      </c>
      <c r="O58" t="s">
        <v>652</v>
      </c>
      <c r="P58" t="s">
        <v>652</v>
      </c>
      <c r="Q58" t="s">
        <v>652</v>
      </c>
      <c r="R58">
        <v>0</v>
      </c>
      <c r="S58">
        <v>0</v>
      </c>
      <c r="T58">
        <v>0</v>
      </c>
      <c r="U58">
        <v>0</v>
      </c>
      <c r="V58">
        <v>0</v>
      </c>
      <c r="W58" s="6">
        <v>0</v>
      </c>
      <c r="X58">
        <v>0</v>
      </c>
      <c r="Y58" s="6">
        <v>-74842.16</v>
      </c>
      <c r="Z58">
        <v>0</v>
      </c>
      <c r="AA58">
        <v>0</v>
      </c>
      <c r="AB58">
        <v>0</v>
      </c>
      <c r="AC58">
        <v>0</v>
      </c>
      <c r="AD58">
        <v>100000000</v>
      </c>
      <c r="AE58" s="6">
        <v>-7484216</v>
      </c>
      <c r="AF58">
        <v>0</v>
      </c>
      <c r="AG58">
        <v>0</v>
      </c>
      <c r="AH58">
        <v>0</v>
      </c>
      <c r="AI58">
        <v>0</v>
      </c>
      <c r="AJ58">
        <v>-7484216</v>
      </c>
      <c r="AK58">
        <v>0</v>
      </c>
      <c r="AL58">
        <v>-7484216</v>
      </c>
      <c r="AM58">
        <v>0</v>
      </c>
      <c r="AN58">
        <v>-7484216</v>
      </c>
      <c r="AO58">
        <v>-7484216</v>
      </c>
      <c r="AP58" t="s">
        <v>1622</v>
      </c>
    </row>
    <row r="59" spans="1:42" x14ac:dyDescent="0.3">
      <c r="A59" t="s">
        <v>168</v>
      </c>
      <c r="B59" t="s">
        <v>51</v>
      </c>
      <c r="C59">
        <v>766</v>
      </c>
      <c r="E59">
        <v>13020</v>
      </c>
      <c r="F59" t="s">
        <v>52</v>
      </c>
      <c r="G59" t="s">
        <v>53</v>
      </c>
      <c r="H59" t="s">
        <v>671</v>
      </c>
      <c r="I59" t="s">
        <v>59</v>
      </c>
      <c r="J59" t="s">
        <v>169</v>
      </c>
      <c r="K59">
        <v>20200224</v>
      </c>
      <c r="L59">
        <v>766</v>
      </c>
      <c r="M59" t="s">
        <v>63</v>
      </c>
      <c r="N59" s="6">
        <v>-16015.76</v>
      </c>
      <c r="O59" t="s">
        <v>652</v>
      </c>
      <c r="P59" t="s">
        <v>652</v>
      </c>
      <c r="Q59" t="s">
        <v>652</v>
      </c>
      <c r="R59">
        <v>0</v>
      </c>
      <c r="S59">
        <v>0</v>
      </c>
      <c r="T59">
        <v>0</v>
      </c>
      <c r="U59">
        <v>0</v>
      </c>
      <c r="V59">
        <v>0</v>
      </c>
      <c r="W59" s="6">
        <v>0</v>
      </c>
      <c r="X59">
        <v>0</v>
      </c>
      <c r="Y59" s="6">
        <v>-16015.76</v>
      </c>
      <c r="Z59">
        <v>0</v>
      </c>
      <c r="AA59">
        <v>0</v>
      </c>
      <c r="AB59">
        <v>0</v>
      </c>
      <c r="AC59">
        <v>0</v>
      </c>
      <c r="AD59">
        <v>100000000</v>
      </c>
      <c r="AE59" s="6">
        <v>-1601576</v>
      </c>
      <c r="AF59">
        <v>0</v>
      </c>
      <c r="AG59">
        <v>0</v>
      </c>
      <c r="AH59">
        <v>0</v>
      </c>
      <c r="AI59">
        <v>0</v>
      </c>
      <c r="AJ59">
        <v>-1601576</v>
      </c>
      <c r="AK59">
        <v>0</v>
      </c>
      <c r="AL59">
        <v>-1601576</v>
      </c>
      <c r="AM59">
        <v>0</v>
      </c>
      <c r="AN59">
        <v>-1601576</v>
      </c>
      <c r="AO59">
        <v>-1601576</v>
      </c>
      <c r="AP59" t="s">
        <v>1622</v>
      </c>
    </row>
    <row r="60" spans="1:42" x14ac:dyDescent="0.3">
      <c r="A60" t="s">
        <v>168</v>
      </c>
      <c r="B60" t="s">
        <v>51</v>
      </c>
      <c r="C60">
        <v>766</v>
      </c>
      <c r="E60">
        <v>13020</v>
      </c>
      <c r="F60" t="s">
        <v>52</v>
      </c>
      <c r="G60" t="s">
        <v>53</v>
      </c>
      <c r="H60" t="s">
        <v>170</v>
      </c>
      <c r="I60" t="s">
        <v>59</v>
      </c>
      <c r="J60" t="s">
        <v>169</v>
      </c>
      <c r="K60">
        <v>20200224</v>
      </c>
      <c r="L60">
        <v>766</v>
      </c>
      <c r="M60" t="s">
        <v>63</v>
      </c>
      <c r="N60" s="6">
        <v>-16015.76</v>
      </c>
      <c r="O60" t="s">
        <v>652</v>
      </c>
      <c r="P60" t="s">
        <v>652</v>
      </c>
      <c r="Q60" t="s">
        <v>652</v>
      </c>
      <c r="R60">
        <v>0</v>
      </c>
      <c r="S60">
        <v>0</v>
      </c>
      <c r="T60">
        <v>0</v>
      </c>
      <c r="U60">
        <v>0</v>
      </c>
      <c r="V60">
        <v>0</v>
      </c>
      <c r="W60" s="6">
        <v>0</v>
      </c>
      <c r="X60">
        <v>0</v>
      </c>
      <c r="Y60" s="6">
        <v>-16015.76</v>
      </c>
      <c r="Z60">
        <v>0</v>
      </c>
      <c r="AA60">
        <v>0</v>
      </c>
      <c r="AB60">
        <v>0</v>
      </c>
      <c r="AC60">
        <v>0</v>
      </c>
      <c r="AD60">
        <v>100000000</v>
      </c>
      <c r="AE60" s="6">
        <v>-1601576</v>
      </c>
      <c r="AF60">
        <v>0</v>
      </c>
      <c r="AG60">
        <v>0</v>
      </c>
      <c r="AH60">
        <v>0</v>
      </c>
      <c r="AI60">
        <v>0</v>
      </c>
      <c r="AJ60">
        <v>-1601576</v>
      </c>
      <c r="AK60">
        <v>0</v>
      </c>
      <c r="AL60">
        <v>-1601576</v>
      </c>
      <c r="AM60">
        <v>0</v>
      </c>
      <c r="AN60">
        <v>-1601576</v>
      </c>
      <c r="AO60">
        <v>-1601576</v>
      </c>
      <c r="AP60" t="s">
        <v>1622</v>
      </c>
    </row>
    <row r="61" spans="1:42" x14ac:dyDescent="0.3">
      <c r="A61" t="s">
        <v>171</v>
      </c>
      <c r="B61" t="s">
        <v>51</v>
      </c>
      <c r="C61">
        <v>766</v>
      </c>
      <c r="E61">
        <v>13020</v>
      </c>
      <c r="F61" t="s">
        <v>52</v>
      </c>
      <c r="G61" t="s">
        <v>53</v>
      </c>
      <c r="H61" t="s">
        <v>54</v>
      </c>
      <c r="I61" t="s">
        <v>59</v>
      </c>
      <c r="J61" t="s">
        <v>169</v>
      </c>
      <c r="K61">
        <v>20200224</v>
      </c>
      <c r="L61">
        <v>766</v>
      </c>
      <c r="M61" t="s">
        <v>63</v>
      </c>
      <c r="N61" s="6">
        <v>-16015.76</v>
      </c>
      <c r="O61" t="s">
        <v>652</v>
      </c>
      <c r="P61" t="s">
        <v>652</v>
      </c>
      <c r="Q61" t="s">
        <v>652</v>
      </c>
      <c r="R61">
        <v>0</v>
      </c>
      <c r="S61">
        <v>0</v>
      </c>
      <c r="T61">
        <v>0</v>
      </c>
      <c r="U61">
        <v>0</v>
      </c>
      <c r="V61">
        <v>0</v>
      </c>
      <c r="W61" s="6">
        <v>0</v>
      </c>
      <c r="X61">
        <v>0</v>
      </c>
      <c r="Y61" s="6">
        <v>-16015.76</v>
      </c>
      <c r="Z61">
        <v>0</v>
      </c>
      <c r="AA61">
        <v>0</v>
      </c>
      <c r="AB61">
        <v>0</v>
      </c>
      <c r="AC61">
        <v>0</v>
      </c>
      <c r="AD61">
        <v>100000000</v>
      </c>
      <c r="AE61" s="6">
        <v>-1601576</v>
      </c>
      <c r="AF61">
        <v>0</v>
      </c>
      <c r="AG61">
        <v>0</v>
      </c>
      <c r="AH61">
        <v>0</v>
      </c>
      <c r="AI61">
        <v>0</v>
      </c>
      <c r="AJ61">
        <v>-1601576</v>
      </c>
      <c r="AK61">
        <v>0</v>
      </c>
      <c r="AL61">
        <v>-1601576</v>
      </c>
      <c r="AM61">
        <v>0</v>
      </c>
      <c r="AN61">
        <v>-1601576</v>
      </c>
      <c r="AO61">
        <v>-1601576</v>
      </c>
      <c r="AP61" t="s">
        <v>1622</v>
      </c>
    </row>
    <row r="62" spans="1:42" x14ac:dyDescent="0.3">
      <c r="A62" t="s">
        <v>168</v>
      </c>
      <c r="B62" t="s">
        <v>51</v>
      </c>
      <c r="C62">
        <v>766</v>
      </c>
      <c r="E62">
        <v>13022</v>
      </c>
      <c r="F62" t="s">
        <v>52</v>
      </c>
      <c r="G62" t="s">
        <v>53</v>
      </c>
      <c r="H62" t="s">
        <v>671</v>
      </c>
      <c r="I62" t="s">
        <v>59</v>
      </c>
      <c r="J62" t="s">
        <v>169</v>
      </c>
      <c r="K62">
        <v>20191125</v>
      </c>
      <c r="L62">
        <v>766</v>
      </c>
      <c r="M62" t="s">
        <v>63</v>
      </c>
      <c r="N62" s="6">
        <v>-1819.4</v>
      </c>
      <c r="O62" t="s">
        <v>652</v>
      </c>
      <c r="P62" t="s">
        <v>652</v>
      </c>
      <c r="Q62" t="s">
        <v>652</v>
      </c>
      <c r="R62">
        <v>0</v>
      </c>
      <c r="S62">
        <v>0</v>
      </c>
      <c r="T62">
        <v>0</v>
      </c>
      <c r="U62">
        <v>0</v>
      </c>
      <c r="V62">
        <v>0</v>
      </c>
      <c r="W62" s="6">
        <v>0</v>
      </c>
      <c r="X62">
        <v>0</v>
      </c>
      <c r="Y62" s="6">
        <v>-1819.4</v>
      </c>
      <c r="Z62">
        <v>0</v>
      </c>
      <c r="AA62">
        <v>0</v>
      </c>
      <c r="AB62">
        <v>0</v>
      </c>
      <c r="AC62">
        <v>0</v>
      </c>
      <c r="AD62">
        <v>100000000</v>
      </c>
      <c r="AE62" s="6">
        <v>-181940</v>
      </c>
      <c r="AF62">
        <v>0</v>
      </c>
      <c r="AG62">
        <v>0</v>
      </c>
      <c r="AH62">
        <v>0</v>
      </c>
      <c r="AI62">
        <v>0</v>
      </c>
      <c r="AJ62">
        <v>-181940</v>
      </c>
      <c r="AK62">
        <v>0</v>
      </c>
      <c r="AL62">
        <v>-181940</v>
      </c>
      <c r="AM62">
        <v>0</v>
      </c>
      <c r="AN62">
        <v>-181940</v>
      </c>
      <c r="AO62">
        <v>-181940</v>
      </c>
      <c r="AP62" t="s">
        <v>1622</v>
      </c>
    </row>
    <row r="63" spans="1:42" x14ac:dyDescent="0.3">
      <c r="A63" t="s">
        <v>168</v>
      </c>
      <c r="B63" t="s">
        <v>51</v>
      </c>
      <c r="C63">
        <v>766</v>
      </c>
      <c r="E63">
        <v>13022</v>
      </c>
      <c r="F63" t="s">
        <v>52</v>
      </c>
      <c r="G63" t="s">
        <v>53</v>
      </c>
      <c r="H63" t="s">
        <v>170</v>
      </c>
      <c r="I63" t="s">
        <v>59</v>
      </c>
      <c r="J63" t="s">
        <v>169</v>
      </c>
      <c r="K63">
        <v>20191125</v>
      </c>
      <c r="L63">
        <v>766</v>
      </c>
      <c r="M63" t="s">
        <v>63</v>
      </c>
      <c r="N63" s="6">
        <v>-1819.4</v>
      </c>
      <c r="O63" t="s">
        <v>652</v>
      </c>
      <c r="P63" t="s">
        <v>652</v>
      </c>
      <c r="Q63" t="s">
        <v>652</v>
      </c>
      <c r="R63">
        <v>0</v>
      </c>
      <c r="S63">
        <v>0</v>
      </c>
      <c r="T63">
        <v>0</v>
      </c>
      <c r="U63">
        <v>0</v>
      </c>
      <c r="V63">
        <v>0</v>
      </c>
      <c r="W63" s="6">
        <v>0</v>
      </c>
      <c r="X63">
        <v>0</v>
      </c>
      <c r="Y63" s="6">
        <v>-1819.4</v>
      </c>
      <c r="Z63">
        <v>0</v>
      </c>
      <c r="AA63">
        <v>0</v>
      </c>
      <c r="AB63">
        <v>0</v>
      </c>
      <c r="AC63">
        <v>0</v>
      </c>
      <c r="AD63">
        <v>100000000</v>
      </c>
      <c r="AE63" s="6">
        <v>-181940</v>
      </c>
      <c r="AF63">
        <v>0</v>
      </c>
      <c r="AG63">
        <v>0</v>
      </c>
      <c r="AH63">
        <v>0</v>
      </c>
      <c r="AI63">
        <v>0</v>
      </c>
      <c r="AJ63">
        <v>-181940</v>
      </c>
      <c r="AK63">
        <v>0</v>
      </c>
      <c r="AL63">
        <v>-181940</v>
      </c>
      <c r="AM63">
        <v>0</v>
      </c>
      <c r="AN63">
        <v>-181940</v>
      </c>
      <c r="AO63">
        <v>-181940</v>
      </c>
      <c r="AP63" t="s">
        <v>1622</v>
      </c>
    </row>
    <row r="64" spans="1:42" x14ac:dyDescent="0.3">
      <c r="A64" t="s">
        <v>171</v>
      </c>
      <c r="B64" t="s">
        <v>51</v>
      </c>
      <c r="C64">
        <v>766</v>
      </c>
      <c r="E64">
        <v>13022</v>
      </c>
      <c r="F64" t="s">
        <v>52</v>
      </c>
      <c r="G64" t="s">
        <v>53</v>
      </c>
      <c r="H64" t="s">
        <v>54</v>
      </c>
      <c r="I64" t="s">
        <v>59</v>
      </c>
      <c r="J64" t="s">
        <v>169</v>
      </c>
      <c r="K64">
        <v>20191125</v>
      </c>
      <c r="L64">
        <v>766</v>
      </c>
      <c r="M64" t="s">
        <v>63</v>
      </c>
      <c r="N64" s="6">
        <v>-1819.4</v>
      </c>
      <c r="O64" t="s">
        <v>652</v>
      </c>
      <c r="P64" t="s">
        <v>652</v>
      </c>
      <c r="Q64" t="s">
        <v>652</v>
      </c>
      <c r="R64">
        <v>0</v>
      </c>
      <c r="S64">
        <v>0</v>
      </c>
      <c r="T64">
        <v>0</v>
      </c>
      <c r="U64">
        <v>0</v>
      </c>
      <c r="V64">
        <v>0</v>
      </c>
      <c r="W64" s="6">
        <v>0</v>
      </c>
      <c r="X64">
        <v>0</v>
      </c>
      <c r="Y64" s="6">
        <v>-1819.4</v>
      </c>
      <c r="Z64">
        <v>0</v>
      </c>
      <c r="AA64">
        <v>0</v>
      </c>
      <c r="AB64">
        <v>0</v>
      </c>
      <c r="AC64">
        <v>0</v>
      </c>
      <c r="AD64">
        <v>100000000</v>
      </c>
      <c r="AE64" s="6">
        <v>-181940</v>
      </c>
      <c r="AF64">
        <v>0</v>
      </c>
      <c r="AG64">
        <v>0</v>
      </c>
      <c r="AH64">
        <v>0</v>
      </c>
      <c r="AI64">
        <v>0</v>
      </c>
      <c r="AJ64">
        <v>-181940</v>
      </c>
      <c r="AK64">
        <v>0</v>
      </c>
      <c r="AL64">
        <v>-181940</v>
      </c>
      <c r="AM64">
        <v>0</v>
      </c>
      <c r="AN64">
        <v>-181940</v>
      </c>
      <c r="AO64">
        <v>-181940</v>
      </c>
      <c r="AP64" t="s">
        <v>1622</v>
      </c>
    </row>
    <row r="65" spans="1:42" x14ac:dyDescent="0.3">
      <c r="A65" t="s">
        <v>168</v>
      </c>
      <c r="B65" t="s">
        <v>51</v>
      </c>
      <c r="C65">
        <v>766</v>
      </c>
      <c r="E65">
        <v>13023</v>
      </c>
      <c r="F65" t="s">
        <v>52</v>
      </c>
      <c r="G65" t="s">
        <v>53</v>
      </c>
      <c r="H65" t="s">
        <v>671</v>
      </c>
      <c r="I65" t="s">
        <v>59</v>
      </c>
      <c r="J65" t="s">
        <v>169</v>
      </c>
      <c r="K65">
        <v>20200224</v>
      </c>
      <c r="L65">
        <v>766</v>
      </c>
      <c r="M65" t="s">
        <v>63</v>
      </c>
      <c r="N65" s="6">
        <v>-10252.200000000001</v>
      </c>
      <c r="O65" t="s">
        <v>652</v>
      </c>
      <c r="P65" t="s">
        <v>652</v>
      </c>
      <c r="Q65" t="s">
        <v>652</v>
      </c>
      <c r="R65">
        <v>0</v>
      </c>
      <c r="S65">
        <v>0</v>
      </c>
      <c r="T65">
        <v>0</v>
      </c>
      <c r="U65">
        <v>0</v>
      </c>
      <c r="V65">
        <v>0</v>
      </c>
      <c r="W65" s="6">
        <v>0</v>
      </c>
      <c r="X65">
        <v>0</v>
      </c>
      <c r="Y65" s="6">
        <v>-10252.200000000001</v>
      </c>
      <c r="Z65">
        <v>0</v>
      </c>
      <c r="AA65">
        <v>0</v>
      </c>
      <c r="AB65">
        <v>0</v>
      </c>
      <c r="AC65">
        <v>0</v>
      </c>
      <c r="AD65">
        <v>100000000</v>
      </c>
      <c r="AE65" s="6">
        <v>-1025220</v>
      </c>
      <c r="AF65">
        <v>0</v>
      </c>
      <c r="AG65">
        <v>0</v>
      </c>
      <c r="AH65">
        <v>0</v>
      </c>
      <c r="AI65">
        <v>0</v>
      </c>
      <c r="AJ65">
        <v>-1025220</v>
      </c>
      <c r="AK65">
        <v>0</v>
      </c>
      <c r="AL65">
        <v>-1025220</v>
      </c>
      <c r="AM65">
        <v>0</v>
      </c>
      <c r="AN65">
        <v>-1025220</v>
      </c>
      <c r="AO65">
        <v>-1025220</v>
      </c>
      <c r="AP65" t="s">
        <v>1622</v>
      </c>
    </row>
    <row r="66" spans="1:42" x14ac:dyDescent="0.3">
      <c r="A66" t="s">
        <v>168</v>
      </c>
      <c r="B66" t="s">
        <v>51</v>
      </c>
      <c r="C66">
        <v>766</v>
      </c>
      <c r="E66">
        <v>13023</v>
      </c>
      <c r="F66" t="s">
        <v>52</v>
      </c>
      <c r="G66" t="s">
        <v>53</v>
      </c>
      <c r="H66" t="s">
        <v>170</v>
      </c>
      <c r="I66" t="s">
        <v>59</v>
      </c>
      <c r="J66" t="s">
        <v>169</v>
      </c>
      <c r="K66">
        <v>20200224</v>
      </c>
      <c r="L66">
        <v>766</v>
      </c>
      <c r="M66" t="s">
        <v>63</v>
      </c>
      <c r="N66" s="6">
        <v>-10252.200000000001</v>
      </c>
      <c r="O66" t="s">
        <v>652</v>
      </c>
      <c r="P66" t="s">
        <v>652</v>
      </c>
      <c r="Q66" t="s">
        <v>652</v>
      </c>
      <c r="R66">
        <v>0</v>
      </c>
      <c r="S66">
        <v>0</v>
      </c>
      <c r="T66">
        <v>0</v>
      </c>
      <c r="U66">
        <v>0</v>
      </c>
      <c r="V66">
        <v>0</v>
      </c>
      <c r="W66" s="6">
        <v>0</v>
      </c>
      <c r="X66">
        <v>0</v>
      </c>
      <c r="Y66" s="6">
        <v>-10252.200000000001</v>
      </c>
      <c r="Z66">
        <v>0</v>
      </c>
      <c r="AA66">
        <v>0</v>
      </c>
      <c r="AB66">
        <v>0</v>
      </c>
      <c r="AC66">
        <v>0</v>
      </c>
      <c r="AD66">
        <v>100000000</v>
      </c>
      <c r="AE66" s="6">
        <v>-1025220</v>
      </c>
      <c r="AF66">
        <v>0</v>
      </c>
      <c r="AG66">
        <v>0</v>
      </c>
      <c r="AH66">
        <v>0</v>
      </c>
      <c r="AI66">
        <v>0</v>
      </c>
      <c r="AJ66">
        <v>-1025220</v>
      </c>
      <c r="AK66">
        <v>0</v>
      </c>
      <c r="AL66">
        <v>-1025220</v>
      </c>
      <c r="AM66">
        <v>0</v>
      </c>
      <c r="AN66">
        <v>-1025220</v>
      </c>
      <c r="AO66">
        <v>-1025220</v>
      </c>
      <c r="AP66" t="s">
        <v>1622</v>
      </c>
    </row>
    <row r="67" spans="1:42" x14ac:dyDescent="0.3">
      <c r="A67" t="s">
        <v>171</v>
      </c>
      <c r="B67" t="s">
        <v>51</v>
      </c>
      <c r="C67">
        <v>766</v>
      </c>
      <c r="E67">
        <v>13023</v>
      </c>
      <c r="F67" t="s">
        <v>52</v>
      </c>
      <c r="G67" t="s">
        <v>53</v>
      </c>
      <c r="H67" t="s">
        <v>54</v>
      </c>
      <c r="I67" t="s">
        <v>59</v>
      </c>
      <c r="J67" t="s">
        <v>169</v>
      </c>
      <c r="K67">
        <v>20200224</v>
      </c>
      <c r="L67">
        <v>766</v>
      </c>
      <c r="M67" t="s">
        <v>63</v>
      </c>
      <c r="N67" s="6">
        <v>-10252.200000000001</v>
      </c>
      <c r="O67" t="s">
        <v>652</v>
      </c>
      <c r="P67" t="s">
        <v>652</v>
      </c>
      <c r="Q67" t="s">
        <v>652</v>
      </c>
      <c r="R67">
        <v>0</v>
      </c>
      <c r="S67">
        <v>0</v>
      </c>
      <c r="T67">
        <v>0</v>
      </c>
      <c r="U67">
        <v>0</v>
      </c>
      <c r="V67">
        <v>0</v>
      </c>
      <c r="W67" s="6">
        <v>0</v>
      </c>
      <c r="X67">
        <v>0</v>
      </c>
      <c r="Y67" s="6">
        <v>-10252.200000000001</v>
      </c>
      <c r="Z67">
        <v>0</v>
      </c>
      <c r="AA67">
        <v>0</v>
      </c>
      <c r="AB67">
        <v>0</v>
      </c>
      <c r="AC67">
        <v>0</v>
      </c>
      <c r="AD67">
        <v>100000000</v>
      </c>
      <c r="AE67" s="6">
        <v>-1025220</v>
      </c>
      <c r="AF67">
        <v>0</v>
      </c>
      <c r="AG67">
        <v>0</v>
      </c>
      <c r="AH67">
        <v>0</v>
      </c>
      <c r="AI67">
        <v>0</v>
      </c>
      <c r="AJ67">
        <v>-1025220</v>
      </c>
      <c r="AK67">
        <v>0</v>
      </c>
      <c r="AL67">
        <v>-1025220</v>
      </c>
      <c r="AM67">
        <v>0</v>
      </c>
      <c r="AN67">
        <v>-1025220</v>
      </c>
      <c r="AO67">
        <v>-1025220</v>
      </c>
      <c r="AP67" t="s">
        <v>1622</v>
      </c>
    </row>
    <row r="68" spans="1:42" x14ac:dyDescent="0.3">
      <c r="A68" t="s">
        <v>168</v>
      </c>
      <c r="B68" t="s">
        <v>51</v>
      </c>
      <c r="C68">
        <v>766</v>
      </c>
      <c r="E68">
        <v>13024</v>
      </c>
      <c r="F68" t="s">
        <v>52</v>
      </c>
      <c r="G68" t="s">
        <v>53</v>
      </c>
      <c r="H68" t="s">
        <v>671</v>
      </c>
      <c r="I68" t="s">
        <v>59</v>
      </c>
      <c r="J68" t="s">
        <v>169</v>
      </c>
      <c r="K68">
        <v>20190712</v>
      </c>
      <c r="L68">
        <v>766</v>
      </c>
      <c r="M68" t="s">
        <v>63</v>
      </c>
      <c r="N68" s="6">
        <v>6081.05</v>
      </c>
      <c r="O68" t="s">
        <v>652</v>
      </c>
      <c r="P68" t="s">
        <v>652</v>
      </c>
      <c r="Q68" t="s">
        <v>652</v>
      </c>
      <c r="R68">
        <v>0</v>
      </c>
      <c r="S68">
        <v>0</v>
      </c>
      <c r="T68">
        <v>0</v>
      </c>
      <c r="U68">
        <v>0</v>
      </c>
      <c r="V68">
        <v>608105</v>
      </c>
      <c r="W68" s="6">
        <v>0</v>
      </c>
      <c r="X68">
        <v>0</v>
      </c>
      <c r="Y68" s="6">
        <v>6081.05</v>
      </c>
      <c r="Z68">
        <v>0</v>
      </c>
      <c r="AA68">
        <v>0</v>
      </c>
      <c r="AB68">
        <v>0</v>
      </c>
      <c r="AC68">
        <v>0</v>
      </c>
      <c r="AD68">
        <v>100000000</v>
      </c>
      <c r="AE68" s="6">
        <v>608105</v>
      </c>
      <c r="AF68">
        <v>0</v>
      </c>
      <c r="AG68">
        <v>0</v>
      </c>
      <c r="AH68">
        <v>0</v>
      </c>
      <c r="AI68">
        <v>0</v>
      </c>
      <c r="AJ68">
        <v>608105</v>
      </c>
      <c r="AK68">
        <v>0</v>
      </c>
      <c r="AL68">
        <v>608105</v>
      </c>
      <c r="AM68">
        <v>0</v>
      </c>
      <c r="AN68">
        <v>608105</v>
      </c>
      <c r="AO68">
        <v>608105</v>
      </c>
      <c r="AP68" t="s">
        <v>1622</v>
      </c>
    </row>
    <row r="69" spans="1:42" x14ac:dyDescent="0.3">
      <c r="A69" t="s">
        <v>168</v>
      </c>
      <c r="B69" t="s">
        <v>51</v>
      </c>
      <c r="C69">
        <v>766</v>
      </c>
      <c r="E69">
        <v>13024</v>
      </c>
      <c r="F69" t="s">
        <v>52</v>
      </c>
      <c r="G69" t="s">
        <v>53</v>
      </c>
      <c r="H69" t="s">
        <v>170</v>
      </c>
      <c r="I69" t="s">
        <v>59</v>
      </c>
      <c r="J69" t="s">
        <v>169</v>
      </c>
      <c r="K69">
        <v>20190712</v>
      </c>
      <c r="L69">
        <v>766</v>
      </c>
      <c r="M69" t="s">
        <v>63</v>
      </c>
      <c r="N69" s="6">
        <v>6081.05</v>
      </c>
      <c r="O69" t="s">
        <v>652</v>
      </c>
      <c r="P69" t="s">
        <v>652</v>
      </c>
      <c r="Q69" t="s">
        <v>652</v>
      </c>
      <c r="R69">
        <v>0</v>
      </c>
      <c r="S69">
        <v>0</v>
      </c>
      <c r="T69">
        <v>0</v>
      </c>
      <c r="U69">
        <v>0</v>
      </c>
      <c r="V69">
        <v>608105</v>
      </c>
      <c r="W69" s="6">
        <v>0</v>
      </c>
      <c r="X69">
        <v>0</v>
      </c>
      <c r="Y69" s="6">
        <v>6081.05</v>
      </c>
      <c r="Z69">
        <v>0</v>
      </c>
      <c r="AA69">
        <v>0</v>
      </c>
      <c r="AB69">
        <v>0</v>
      </c>
      <c r="AC69">
        <v>0</v>
      </c>
      <c r="AD69">
        <v>100000000</v>
      </c>
      <c r="AE69" s="6">
        <v>608105</v>
      </c>
      <c r="AF69">
        <v>0</v>
      </c>
      <c r="AG69">
        <v>0</v>
      </c>
      <c r="AH69">
        <v>0</v>
      </c>
      <c r="AI69">
        <v>0</v>
      </c>
      <c r="AJ69">
        <v>608105</v>
      </c>
      <c r="AK69">
        <v>0</v>
      </c>
      <c r="AL69">
        <v>608105</v>
      </c>
      <c r="AM69">
        <v>0</v>
      </c>
      <c r="AN69">
        <v>608105</v>
      </c>
      <c r="AO69">
        <v>608105</v>
      </c>
      <c r="AP69" t="s">
        <v>1622</v>
      </c>
    </row>
    <row r="70" spans="1:42" x14ac:dyDescent="0.3">
      <c r="A70" t="s">
        <v>171</v>
      </c>
      <c r="B70" t="s">
        <v>51</v>
      </c>
      <c r="C70">
        <v>766</v>
      </c>
      <c r="E70">
        <v>13024</v>
      </c>
      <c r="F70" t="s">
        <v>52</v>
      </c>
      <c r="G70" t="s">
        <v>53</v>
      </c>
      <c r="H70" t="s">
        <v>54</v>
      </c>
      <c r="I70" t="s">
        <v>59</v>
      </c>
      <c r="J70" t="s">
        <v>169</v>
      </c>
      <c r="K70">
        <v>20190712</v>
      </c>
      <c r="L70">
        <v>766</v>
      </c>
      <c r="M70" t="s">
        <v>63</v>
      </c>
      <c r="N70" s="6">
        <v>6081.05</v>
      </c>
      <c r="O70" t="s">
        <v>652</v>
      </c>
      <c r="P70" t="s">
        <v>652</v>
      </c>
      <c r="Q70" t="s">
        <v>652</v>
      </c>
      <c r="R70">
        <v>0</v>
      </c>
      <c r="S70">
        <v>0</v>
      </c>
      <c r="T70">
        <v>0</v>
      </c>
      <c r="U70">
        <v>0</v>
      </c>
      <c r="V70">
        <v>608105</v>
      </c>
      <c r="W70" s="6">
        <v>0</v>
      </c>
      <c r="X70">
        <v>0</v>
      </c>
      <c r="Y70" s="6">
        <v>6081.05</v>
      </c>
      <c r="Z70">
        <v>0</v>
      </c>
      <c r="AA70">
        <v>0</v>
      </c>
      <c r="AB70">
        <v>0</v>
      </c>
      <c r="AC70">
        <v>0</v>
      </c>
      <c r="AD70">
        <v>100000000</v>
      </c>
      <c r="AE70" s="6">
        <v>608105</v>
      </c>
      <c r="AF70">
        <v>0</v>
      </c>
      <c r="AG70">
        <v>0</v>
      </c>
      <c r="AH70">
        <v>0</v>
      </c>
      <c r="AI70">
        <v>0</v>
      </c>
      <c r="AJ70">
        <v>608105</v>
      </c>
      <c r="AK70">
        <v>0</v>
      </c>
      <c r="AL70">
        <v>608105</v>
      </c>
      <c r="AM70">
        <v>0</v>
      </c>
      <c r="AN70">
        <v>608105</v>
      </c>
      <c r="AO70">
        <v>608105</v>
      </c>
      <c r="AP70" t="s">
        <v>1622</v>
      </c>
    </row>
    <row r="71" spans="1:42" x14ac:dyDescent="0.3">
      <c r="A71" t="s">
        <v>168</v>
      </c>
      <c r="B71" t="s">
        <v>51</v>
      </c>
      <c r="C71">
        <v>766</v>
      </c>
      <c r="E71">
        <v>13026</v>
      </c>
      <c r="F71" t="s">
        <v>52</v>
      </c>
      <c r="G71" t="s">
        <v>53</v>
      </c>
      <c r="H71" t="s">
        <v>671</v>
      </c>
      <c r="I71" t="s">
        <v>59</v>
      </c>
      <c r="J71" t="s">
        <v>169</v>
      </c>
      <c r="K71">
        <v>20191125</v>
      </c>
      <c r="L71">
        <v>766</v>
      </c>
      <c r="M71" t="s">
        <v>63</v>
      </c>
      <c r="N71" s="6">
        <v>-35862</v>
      </c>
      <c r="O71" t="s">
        <v>652</v>
      </c>
      <c r="P71" t="s">
        <v>652</v>
      </c>
      <c r="Q71" t="s">
        <v>652</v>
      </c>
      <c r="R71">
        <v>0</v>
      </c>
      <c r="S71">
        <v>0</v>
      </c>
      <c r="T71">
        <v>0</v>
      </c>
      <c r="U71">
        <v>0</v>
      </c>
      <c r="V71">
        <v>0</v>
      </c>
      <c r="W71" s="6">
        <v>0</v>
      </c>
      <c r="X71">
        <v>0</v>
      </c>
      <c r="Y71" s="6">
        <v>-35862</v>
      </c>
      <c r="Z71">
        <v>0</v>
      </c>
      <c r="AA71">
        <v>0</v>
      </c>
      <c r="AB71">
        <v>0</v>
      </c>
      <c r="AC71">
        <v>0</v>
      </c>
      <c r="AD71">
        <v>100000000</v>
      </c>
      <c r="AE71" s="6">
        <v>-3586200</v>
      </c>
      <c r="AF71">
        <v>0</v>
      </c>
      <c r="AG71">
        <v>0</v>
      </c>
      <c r="AH71">
        <v>0</v>
      </c>
      <c r="AI71">
        <v>0</v>
      </c>
      <c r="AJ71">
        <v>-3586200</v>
      </c>
      <c r="AK71">
        <v>0</v>
      </c>
      <c r="AL71">
        <v>-3586200</v>
      </c>
      <c r="AM71">
        <v>0</v>
      </c>
      <c r="AN71">
        <v>-3586200</v>
      </c>
      <c r="AO71">
        <v>-3586200</v>
      </c>
      <c r="AP71" t="s">
        <v>1622</v>
      </c>
    </row>
    <row r="72" spans="1:42" x14ac:dyDescent="0.3">
      <c r="A72" t="s">
        <v>168</v>
      </c>
      <c r="B72" t="s">
        <v>51</v>
      </c>
      <c r="C72">
        <v>766</v>
      </c>
      <c r="E72">
        <v>13026</v>
      </c>
      <c r="F72" t="s">
        <v>52</v>
      </c>
      <c r="G72" t="s">
        <v>53</v>
      </c>
      <c r="H72" t="s">
        <v>170</v>
      </c>
      <c r="I72" t="s">
        <v>59</v>
      </c>
      <c r="J72" t="s">
        <v>169</v>
      </c>
      <c r="K72">
        <v>20191125</v>
      </c>
      <c r="L72">
        <v>766</v>
      </c>
      <c r="M72" t="s">
        <v>63</v>
      </c>
      <c r="N72" s="6">
        <v>-35862</v>
      </c>
      <c r="O72" t="s">
        <v>652</v>
      </c>
      <c r="P72" t="s">
        <v>652</v>
      </c>
      <c r="Q72" t="s">
        <v>652</v>
      </c>
      <c r="R72">
        <v>0</v>
      </c>
      <c r="S72">
        <v>0</v>
      </c>
      <c r="T72">
        <v>0</v>
      </c>
      <c r="U72">
        <v>0</v>
      </c>
      <c r="V72">
        <v>0</v>
      </c>
      <c r="W72" s="6">
        <v>0</v>
      </c>
      <c r="X72">
        <v>0</v>
      </c>
      <c r="Y72" s="6">
        <v>-35862</v>
      </c>
      <c r="Z72">
        <v>0</v>
      </c>
      <c r="AA72">
        <v>0</v>
      </c>
      <c r="AB72">
        <v>0</v>
      </c>
      <c r="AC72">
        <v>0</v>
      </c>
      <c r="AD72">
        <v>100000000</v>
      </c>
      <c r="AE72" s="6">
        <v>-3586200</v>
      </c>
      <c r="AF72">
        <v>0</v>
      </c>
      <c r="AG72">
        <v>0</v>
      </c>
      <c r="AH72">
        <v>0</v>
      </c>
      <c r="AI72">
        <v>0</v>
      </c>
      <c r="AJ72">
        <v>-3586200</v>
      </c>
      <c r="AK72">
        <v>0</v>
      </c>
      <c r="AL72">
        <v>-3586200</v>
      </c>
      <c r="AM72">
        <v>0</v>
      </c>
      <c r="AN72">
        <v>-3586200</v>
      </c>
      <c r="AO72">
        <v>-3586200</v>
      </c>
      <c r="AP72" t="s">
        <v>1622</v>
      </c>
    </row>
    <row r="73" spans="1:42" x14ac:dyDescent="0.3">
      <c r="A73" t="s">
        <v>171</v>
      </c>
      <c r="B73" t="s">
        <v>51</v>
      </c>
      <c r="C73">
        <v>766</v>
      </c>
      <c r="E73">
        <v>13026</v>
      </c>
      <c r="F73" t="s">
        <v>52</v>
      </c>
      <c r="G73" t="s">
        <v>53</v>
      </c>
      <c r="H73" t="s">
        <v>54</v>
      </c>
      <c r="I73" t="s">
        <v>59</v>
      </c>
      <c r="J73" t="s">
        <v>169</v>
      </c>
      <c r="K73">
        <v>20191125</v>
      </c>
      <c r="L73">
        <v>766</v>
      </c>
      <c r="M73" t="s">
        <v>63</v>
      </c>
      <c r="N73" s="6">
        <v>-35862</v>
      </c>
      <c r="O73" t="s">
        <v>652</v>
      </c>
      <c r="P73" t="s">
        <v>652</v>
      </c>
      <c r="Q73" t="s">
        <v>652</v>
      </c>
      <c r="R73">
        <v>0</v>
      </c>
      <c r="S73">
        <v>0</v>
      </c>
      <c r="T73">
        <v>0</v>
      </c>
      <c r="U73">
        <v>0</v>
      </c>
      <c r="V73">
        <v>0</v>
      </c>
      <c r="W73" s="6">
        <v>0</v>
      </c>
      <c r="X73">
        <v>0</v>
      </c>
      <c r="Y73" s="6">
        <v>-35862</v>
      </c>
      <c r="Z73">
        <v>0</v>
      </c>
      <c r="AA73">
        <v>0</v>
      </c>
      <c r="AB73">
        <v>0</v>
      </c>
      <c r="AC73">
        <v>0</v>
      </c>
      <c r="AD73">
        <v>100000000</v>
      </c>
      <c r="AE73" s="6">
        <v>-3586200</v>
      </c>
      <c r="AF73">
        <v>0</v>
      </c>
      <c r="AG73">
        <v>0</v>
      </c>
      <c r="AH73">
        <v>0</v>
      </c>
      <c r="AI73">
        <v>0</v>
      </c>
      <c r="AJ73">
        <v>-3586200</v>
      </c>
      <c r="AK73">
        <v>0</v>
      </c>
      <c r="AL73">
        <v>-3586200</v>
      </c>
      <c r="AM73">
        <v>0</v>
      </c>
      <c r="AN73">
        <v>-3586200</v>
      </c>
      <c r="AO73">
        <v>-3586200</v>
      </c>
      <c r="AP73" t="s">
        <v>1622</v>
      </c>
    </row>
    <row r="74" spans="1:42" x14ac:dyDescent="0.3">
      <c r="A74" t="s">
        <v>168</v>
      </c>
      <c r="B74" t="s">
        <v>51</v>
      </c>
      <c r="C74">
        <v>766</v>
      </c>
      <c r="E74">
        <v>13027</v>
      </c>
      <c r="F74" t="s">
        <v>52</v>
      </c>
      <c r="G74" t="s">
        <v>53</v>
      </c>
      <c r="H74" t="s">
        <v>671</v>
      </c>
      <c r="I74" t="s">
        <v>59</v>
      </c>
      <c r="J74" t="s">
        <v>169</v>
      </c>
      <c r="K74">
        <v>20191025</v>
      </c>
      <c r="L74">
        <v>766</v>
      </c>
      <c r="M74" t="s">
        <v>63</v>
      </c>
      <c r="N74" s="6">
        <v>-5325.7</v>
      </c>
      <c r="O74" t="s">
        <v>652</v>
      </c>
      <c r="P74" t="s">
        <v>652</v>
      </c>
      <c r="Q74" t="s">
        <v>652</v>
      </c>
      <c r="R74">
        <v>0</v>
      </c>
      <c r="S74">
        <v>0</v>
      </c>
      <c r="T74">
        <v>0</v>
      </c>
      <c r="U74">
        <v>0</v>
      </c>
      <c r="V74">
        <v>0</v>
      </c>
      <c r="W74" s="6">
        <v>0</v>
      </c>
      <c r="X74">
        <v>0</v>
      </c>
      <c r="Y74" s="6">
        <v>-5325.7</v>
      </c>
      <c r="Z74">
        <v>0</v>
      </c>
      <c r="AA74">
        <v>0</v>
      </c>
      <c r="AB74">
        <v>0</v>
      </c>
      <c r="AC74">
        <v>0</v>
      </c>
      <c r="AD74">
        <v>100000000</v>
      </c>
      <c r="AE74" s="6">
        <v>-532570</v>
      </c>
      <c r="AF74">
        <v>0</v>
      </c>
      <c r="AG74">
        <v>0</v>
      </c>
      <c r="AH74">
        <v>0</v>
      </c>
      <c r="AI74">
        <v>0</v>
      </c>
      <c r="AJ74">
        <v>-532570</v>
      </c>
      <c r="AK74">
        <v>0</v>
      </c>
      <c r="AL74">
        <v>-532570</v>
      </c>
      <c r="AM74">
        <v>0</v>
      </c>
      <c r="AN74">
        <v>-532570</v>
      </c>
      <c r="AO74">
        <v>-532570</v>
      </c>
      <c r="AP74" t="s">
        <v>1622</v>
      </c>
    </row>
    <row r="75" spans="1:42" x14ac:dyDescent="0.3">
      <c r="A75" t="s">
        <v>168</v>
      </c>
      <c r="B75" t="s">
        <v>51</v>
      </c>
      <c r="C75">
        <v>766</v>
      </c>
      <c r="E75">
        <v>13027</v>
      </c>
      <c r="F75" t="s">
        <v>52</v>
      </c>
      <c r="G75" t="s">
        <v>53</v>
      </c>
      <c r="H75" t="s">
        <v>170</v>
      </c>
      <c r="I75" t="s">
        <v>59</v>
      </c>
      <c r="J75" t="s">
        <v>169</v>
      </c>
      <c r="K75">
        <v>20191025</v>
      </c>
      <c r="L75">
        <v>766</v>
      </c>
      <c r="M75" t="s">
        <v>63</v>
      </c>
      <c r="N75" s="6">
        <v>-5325.7</v>
      </c>
      <c r="O75" t="s">
        <v>652</v>
      </c>
      <c r="P75" t="s">
        <v>652</v>
      </c>
      <c r="Q75" t="s">
        <v>652</v>
      </c>
      <c r="R75">
        <v>0</v>
      </c>
      <c r="S75">
        <v>0</v>
      </c>
      <c r="T75">
        <v>0</v>
      </c>
      <c r="U75">
        <v>0</v>
      </c>
      <c r="V75">
        <v>0</v>
      </c>
      <c r="W75" s="6">
        <v>0</v>
      </c>
      <c r="X75">
        <v>0</v>
      </c>
      <c r="Y75" s="6">
        <v>-5325.7</v>
      </c>
      <c r="Z75">
        <v>0</v>
      </c>
      <c r="AA75">
        <v>0</v>
      </c>
      <c r="AB75">
        <v>0</v>
      </c>
      <c r="AC75">
        <v>0</v>
      </c>
      <c r="AD75">
        <v>100000000</v>
      </c>
      <c r="AE75" s="6">
        <v>-532570</v>
      </c>
      <c r="AF75">
        <v>0</v>
      </c>
      <c r="AG75">
        <v>0</v>
      </c>
      <c r="AH75">
        <v>0</v>
      </c>
      <c r="AI75">
        <v>0</v>
      </c>
      <c r="AJ75">
        <v>-532570</v>
      </c>
      <c r="AK75">
        <v>0</v>
      </c>
      <c r="AL75">
        <v>-532570</v>
      </c>
      <c r="AM75">
        <v>0</v>
      </c>
      <c r="AN75">
        <v>-532570</v>
      </c>
      <c r="AO75">
        <v>-532570</v>
      </c>
      <c r="AP75" t="s">
        <v>1622</v>
      </c>
    </row>
    <row r="76" spans="1:42" x14ac:dyDescent="0.3">
      <c r="A76" t="s">
        <v>171</v>
      </c>
      <c r="B76" t="s">
        <v>51</v>
      </c>
      <c r="C76">
        <v>766</v>
      </c>
      <c r="E76">
        <v>13027</v>
      </c>
      <c r="F76" t="s">
        <v>52</v>
      </c>
      <c r="G76" t="s">
        <v>53</v>
      </c>
      <c r="H76" t="s">
        <v>54</v>
      </c>
      <c r="I76" t="s">
        <v>59</v>
      </c>
      <c r="J76" t="s">
        <v>169</v>
      </c>
      <c r="K76">
        <v>20191025</v>
      </c>
      <c r="L76">
        <v>766</v>
      </c>
      <c r="M76" t="s">
        <v>63</v>
      </c>
      <c r="N76" s="6">
        <v>-5325.7</v>
      </c>
      <c r="O76" t="s">
        <v>652</v>
      </c>
      <c r="P76" t="s">
        <v>652</v>
      </c>
      <c r="Q76" t="s">
        <v>652</v>
      </c>
      <c r="R76">
        <v>0</v>
      </c>
      <c r="S76">
        <v>0</v>
      </c>
      <c r="T76">
        <v>0</v>
      </c>
      <c r="U76">
        <v>0</v>
      </c>
      <c r="V76">
        <v>0</v>
      </c>
      <c r="W76" s="6">
        <v>0</v>
      </c>
      <c r="X76">
        <v>0</v>
      </c>
      <c r="Y76" s="6">
        <v>-5325.7</v>
      </c>
      <c r="Z76">
        <v>0</v>
      </c>
      <c r="AA76">
        <v>0</v>
      </c>
      <c r="AB76">
        <v>0</v>
      </c>
      <c r="AC76">
        <v>0</v>
      </c>
      <c r="AD76">
        <v>100000000</v>
      </c>
      <c r="AE76" s="6">
        <v>-532570</v>
      </c>
      <c r="AF76">
        <v>0</v>
      </c>
      <c r="AG76">
        <v>0</v>
      </c>
      <c r="AH76">
        <v>0</v>
      </c>
      <c r="AI76">
        <v>0</v>
      </c>
      <c r="AJ76">
        <v>-532570</v>
      </c>
      <c r="AK76">
        <v>0</v>
      </c>
      <c r="AL76">
        <v>-532570</v>
      </c>
      <c r="AM76">
        <v>0</v>
      </c>
      <c r="AN76">
        <v>-532570</v>
      </c>
      <c r="AO76">
        <v>-532570</v>
      </c>
      <c r="AP76" t="s">
        <v>1622</v>
      </c>
    </row>
    <row r="77" spans="1:42" x14ac:dyDescent="0.3">
      <c r="A77" t="s">
        <v>168</v>
      </c>
      <c r="B77" t="s">
        <v>51</v>
      </c>
      <c r="C77">
        <v>766</v>
      </c>
      <c r="E77">
        <v>13028</v>
      </c>
      <c r="F77" t="s">
        <v>52</v>
      </c>
      <c r="G77" t="s">
        <v>53</v>
      </c>
      <c r="H77" t="s">
        <v>671</v>
      </c>
      <c r="I77" t="s">
        <v>59</v>
      </c>
      <c r="J77" t="s">
        <v>169</v>
      </c>
      <c r="K77">
        <v>20200427</v>
      </c>
      <c r="L77">
        <v>766</v>
      </c>
      <c r="M77" t="s">
        <v>63</v>
      </c>
      <c r="N77" s="6">
        <v>-5412</v>
      </c>
      <c r="O77" t="s">
        <v>652</v>
      </c>
      <c r="P77" t="s">
        <v>652</v>
      </c>
      <c r="Q77" t="s">
        <v>652</v>
      </c>
      <c r="R77">
        <v>0</v>
      </c>
      <c r="S77">
        <v>0</v>
      </c>
      <c r="T77">
        <v>0</v>
      </c>
      <c r="U77">
        <v>0</v>
      </c>
      <c r="V77">
        <v>0</v>
      </c>
      <c r="W77" s="6">
        <v>0</v>
      </c>
      <c r="X77">
        <v>0</v>
      </c>
      <c r="Y77" s="6">
        <v>-5412</v>
      </c>
      <c r="Z77">
        <v>0</v>
      </c>
      <c r="AA77">
        <v>0</v>
      </c>
      <c r="AB77">
        <v>0</v>
      </c>
      <c r="AC77">
        <v>0</v>
      </c>
      <c r="AD77">
        <v>100000000</v>
      </c>
      <c r="AE77" s="6">
        <v>-541200</v>
      </c>
      <c r="AF77">
        <v>0</v>
      </c>
      <c r="AG77">
        <v>0</v>
      </c>
      <c r="AH77">
        <v>0</v>
      </c>
      <c r="AI77">
        <v>0</v>
      </c>
      <c r="AJ77">
        <v>-541200</v>
      </c>
      <c r="AK77">
        <v>0</v>
      </c>
      <c r="AL77">
        <v>-541200</v>
      </c>
      <c r="AM77">
        <v>0</v>
      </c>
      <c r="AN77">
        <v>-541200</v>
      </c>
      <c r="AO77">
        <v>-541200</v>
      </c>
      <c r="AP77" t="s">
        <v>1622</v>
      </c>
    </row>
    <row r="78" spans="1:42" x14ac:dyDescent="0.3">
      <c r="A78" t="s">
        <v>168</v>
      </c>
      <c r="B78" t="s">
        <v>51</v>
      </c>
      <c r="C78">
        <v>766</v>
      </c>
      <c r="E78">
        <v>13028</v>
      </c>
      <c r="F78" t="s">
        <v>52</v>
      </c>
      <c r="G78" t="s">
        <v>53</v>
      </c>
      <c r="H78" t="s">
        <v>170</v>
      </c>
      <c r="I78" t="s">
        <v>59</v>
      </c>
      <c r="J78" t="s">
        <v>169</v>
      </c>
      <c r="K78">
        <v>20200427</v>
      </c>
      <c r="L78">
        <v>766</v>
      </c>
      <c r="M78" t="s">
        <v>63</v>
      </c>
      <c r="N78" s="6">
        <v>-5412</v>
      </c>
      <c r="O78" t="s">
        <v>652</v>
      </c>
      <c r="P78" t="s">
        <v>652</v>
      </c>
      <c r="Q78" t="s">
        <v>652</v>
      </c>
      <c r="R78">
        <v>0</v>
      </c>
      <c r="S78">
        <v>0</v>
      </c>
      <c r="T78">
        <v>0</v>
      </c>
      <c r="U78">
        <v>0</v>
      </c>
      <c r="V78">
        <v>0</v>
      </c>
      <c r="W78" s="6">
        <v>0</v>
      </c>
      <c r="X78">
        <v>0</v>
      </c>
      <c r="Y78" s="6">
        <v>-5412</v>
      </c>
      <c r="Z78">
        <v>0</v>
      </c>
      <c r="AA78">
        <v>0</v>
      </c>
      <c r="AB78">
        <v>0</v>
      </c>
      <c r="AC78">
        <v>0</v>
      </c>
      <c r="AD78">
        <v>100000000</v>
      </c>
      <c r="AE78" s="6">
        <v>-541200</v>
      </c>
      <c r="AF78">
        <v>0</v>
      </c>
      <c r="AG78">
        <v>0</v>
      </c>
      <c r="AH78">
        <v>0</v>
      </c>
      <c r="AI78">
        <v>0</v>
      </c>
      <c r="AJ78">
        <v>-541200</v>
      </c>
      <c r="AK78">
        <v>0</v>
      </c>
      <c r="AL78">
        <v>-541200</v>
      </c>
      <c r="AM78">
        <v>0</v>
      </c>
      <c r="AN78">
        <v>-541200</v>
      </c>
      <c r="AO78">
        <v>-541200</v>
      </c>
      <c r="AP78" t="s">
        <v>1622</v>
      </c>
    </row>
    <row r="79" spans="1:42" x14ac:dyDescent="0.3">
      <c r="A79" t="s">
        <v>171</v>
      </c>
      <c r="B79" t="s">
        <v>51</v>
      </c>
      <c r="C79">
        <v>766</v>
      </c>
      <c r="E79">
        <v>13028</v>
      </c>
      <c r="F79" t="s">
        <v>52</v>
      </c>
      <c r="G79" t="s">
        <v>53</v>
      </c>
      <c r="H79" t="s">
        <v>54</v>
      </c>
      <c r="I79" t="s">
        <v>59</v>
      </c>
      <c r="J79" t="s">
        <v>169</v>
      </c>
      <c r="K79">
        <v>20200427</v>
      </c>
      <c r="L79">
        <v>766</v>
      </c>
      <c r="M79" t="s">
        <v>63</v>
      </c>
      <c r="N79" s="6">
        <v>-5412</v>
      </c>
      <c r="O79" t="s">
        <v>652</v>
      </c>
      <c r="P79" t="s">
        <v>652</v>
      </c>
      <c r="Q79" t="s">
        <v>652</v>
      </c>
      <c r="R79">
        <v>0</v>
      </c>
      <c r="S79">
        <v>0</v>
      </c>
      <c r="T79">
        <v>0</v>
      </c>
      <c r="U79">
        <v>0</v>
      </c>
      <c r="V79">
        <v>0</v>
      </c>
      <c r="W79" s="6">
        <v>0</v>
      </c>
      <c r="X79">
        <v>0</v>
      </c>
      <c r="Y79" s="6">
        <v>-5412</v>
      </c>
      <c r="Z79">
        <v>0</v>
      </c>
      <c r="AA79">
        <v>0</v>
      </c>
      <c r="AB79">
        <v>0</v>
      </c>
      <c r="AC79">
        <v>0</v>
      </c>
      <c r="AD79">
        <v>100000000</v>
      </c>
      <c r="AE79" s="6">
        <v>-541200</v>
      </c>
      <c r="AF79">
        <v>0</v>
      </c>
      <c r="AG79">
        <v>0</v>
      </c>
      <c r="AH79">
        <v>0</v>
      </c>
      <c r="AI79">
        <v>0</v>
      </c>
      <c r="AJ79">
        <v>-541200</v>
      </c>
      <c r="AK79">
        <v>0</v>
      </c>
      <c r="AL79">
        <v>-541200</v>
      </c>
      <c r="AM79">
        <v>0</v>
      </c>
      <c r="AN79">
        <v>-541200</v>
      </c>
      <c r="AO79">
        <v>-541200</v>
      </c>
      <c r="AP79" t="s">
        <v>1622</v>
      </c>
    </row>
    <row r="80" spans="1:42" x14ac:dyDescent="0.3">
      <c r="A80" t="s">
        <v>168</v>
      </c>
      <c r="B80" t="s">
        <v>51</v>
      </c>
      <c r="C80">
        <v>766</v>
      </c>
      <c r="E80">
        <v>13029</v>
      </c>
      <c r="F80" t="s">
        <v>52</v>
      </c>
      <c r="G80" t="s">
        <v>53</v>
      </c>
      <c r="H80" t="s">
        <v>671</v>
      </c>
      <c r="I80" t="s">
        <v>59</v>
      </c>
      <c r="J80" t="s">
        <v>169</v>
      </c>
      <c r="K80">
        <v>20200224</v>
      </c>
      <c r="L80">
        <v>766</v>
      </c>
      <c r="M80" t="s">
        <v>63</v>
      </c>
      <c r="N80" s="6">
        <v>-41576.25</v>
      </c>
      <c r="O80" t="s">
        <v>652</v>
      </c>
      <c r="P80" t="s">
        <v>652</v>
      </c>
      <c r="Q80" t="s">
        <v>652</v>
      </c>
      <c r="R80">
        <v>0</v>
      </c>
      <c r="S80">
        <v>0</v>
      </c>
      <c r="T80">
        <v>0</v>
      </c>
      <c r="U80">
        <v>0</v>
      </c>
      <c r="V80">
        <v>0</v>
      </c>
      <c r="W80" s="6">
        <v>0</v>
      </c>
      <c r="X80">
        <v>0</v>
      </c>
      <c r="Y80" s="6">
        <v>-41576.25</v>
      </c>
      <c r="Z80">
        <v>0</v>
      </c>
      <c r="AA80">
        <v>0</v>
      </c>
      <c r="AB80">
        <v>0</v>
      </c>
      <c r="AC80">
        <v>0</v>
      </c>
      <c r="AD80">
        <v>100000000</v>
      </c>
      <c r="AE80" s="6">
        <v>-4157625</v>
      </c>
      <c r="AF80">
        <v>0</v>
      </c>
      <c r="AG80">
        <v>0</v>
      </c>
      <c r="AH80">
        <v>0</v>
      </c>
      <c r="AI80">
        <v>0</v>
      </c>
      <c r="AJ80">
        <v>-4157625</v>
      </c>
      <c r="AK80">
        <v>0</v>
      </c>
      <c r="AL80">
        <v>-4157625</v>
      </c>
      <c r="AM80">
        <v>0</v>
      </c>
      <c r="AN80">
        <v>-4157625</v>
      </c>
      <c r="AO80">
        <v>-4157625</v>
      </c>
      <c r="AP80" t="s">
        <v>1622</v>
      </c>
    </row>
    <row r="81" spans="1:42" x14ac:dyDescent="0.3">
      <c r="A81" t="s">
        <v>168</v>
      </c>
      <c r="B81" t="s">
        <v>51</v>
      </c>
      <c r="C81">
        <v>766</v>
      </c>
      <c r="E81">
        <v>13029</v>
      </c>
      <c r="F81" t="s">
        <v>52</v>
      </c>
      <c r="G81" t="s">
        <v>53</v>
      </c>
      <c r="H81" t="s">
        <v>170</v>
      </c>
      <c r="I81" t="s">
        <v>59</v>
      </c>
      <c r="J81" t="s">
        <v>169</v>
      </c>
      <c r="K81">
        <v>20200224</v>
      </c>
      <c r="L81">
        <v>766</v>
      </c>
      <c r="M81" t="s">
        <v>63</v>
      </c>
      <c r="N81" s="6">
        <v>-41576.25</v>
      </c>
      <c r="O81" t="s">
        <v>652</v>
      </c>
      <c r="P81" t="s">
        <v>652</v>
      </c>
      <c r="Q81" t="s">
        <v>652</v>
      </c>
      <c r="R81">
        <v>0</v>
      </c>
      <c r="S81">
        <v>0</v>
      </c>
      <c r="T81">
        <v>0</v>
      </c>
      <c r="U81">
        <v>0</v>
      </c>
      <c r="V81">
        <v>0</v>
      </c>
      <c r="W81" s="6">
        <v>0</v>
      </c>
      <c r="X81">
        <v>0</v>
      </c>
      <c r="Y81" s="6">
        <v>-41576.25</v>
      </c>
      <c r="Z81">
        <v>0</v>
      </c>
      <c r="AA81">
        <v>0</v>
      </c>
      <c r="AB81">
        <v>0</v>
      </c>
      <c r="AC81">
        <v>0</v>
      </c>
      <c r="AD81">
        <v>100000000</v>
      </c>
      <c r="AE81" s="6">
        <v>-4157625</v>
      </c>
      <c r="AF81">
        <v>0</v>
      </c>
      <c r="AG81">
        <v>0</v>
      </c>
      <c r="AH81">
        <v>0</v>
      </c>
      <c r="AI81">
        <v>0</v>
      </c>
      <c r="AJ81">
        <v>-4157625</v>
      </c>
      <c r="AK81">
        <v>0</v>
      </c>
      <c r="AL81">
        <v>-4157625</v>
      </c>
      <c r="AM81">
        <v>0</v>
      </c>
      <c r="AN81">
        <v>-4157625</v>
      </c>
      <c r="AO81">
        <v>-4157625</v>
      </c>
      <c r="AP81" t="s">
        <v>1622</v>
      </c>
    </row>
    <row r="82" spans="1:42" x14ac:dyDescent="0.3">
      <c r="A82" t="s">
        <v>171</v>
      </c>
      <c r="B82" t="s">
        <v>51</v>
      </c>
      <c r="C82">
        <v>766</v>
      </c>
      <c r="E82">
        <v>13029</v>
      </c>
      <c r="F82" t="s">
        <v>52</v>
      </c>
      <c r="G82" t="s">
        <v>53</v>
      </c>
      <c r="H82" t="s">
        <v>54</v>
      </c>
      <c r="I82" t="s">
        <v>59</v>
      </c>
      <c r="J82" t="s">
        <v>169</v>
      </c>
      <c r="K82">
        <v>20200224</v>
      </c>
      <c r="L82">
        <v>766</v>
      </c>
      <c r="M82" t="s">
        <v>63</v>
      </c>
      <c r="N82" s="6">
        <v>-41576.25</v>
      </c>
      <c r="O82" t="s">
        <v>652</v>
      </c>
      <c r="P82" t="s">
        <v>652</v>
      </c>
      <c r="Q82" t="s">
        <v>652</v>
      </c>
      <c r="R82">
        <v>0</v>
      </c>
      <c r="S82">
        <v>0</v>
      </c>
      <c r="T82">
        <v>0</v>
      </c>
      <c r="U82">
        <v>0</v>
      </c>
      <c r="V82">
        <v>0</v>
      </c>
      <c r="W82" s="6">
        <v>0</v>
      </c>
      <c r="X82">
        <v>0</v>
      </c>
      <c r="Y82" s="6">
        <v>-41576.25</v>
      </c>
      <c r="Z82">
        <v>0</v>
      </c>
      <c r="AA82">
        <v>0</v>
      </c>
      <c r="AB82">
        <v>0</v>
      </c>
      <c r="AC82">
        <v>0</v>
      </c>
      <c r="AD82">
        <v>100000000</v>
      </c>
      <c r="AE82" s="6">
        <v>-4157625</v>
      </c>
      <c r="AF82">
        <v>0</v>
      </c>
      <c r="AG82">
        <v>0</v>
      </c>
      <c r="AH82">
        <v>0</v>
      </c>
      <c r="AI82">
        <v>0</v>
      </c>
      <c r="AJ82">
        <v>-4157625</v>
      </c>
      <c r="AK82">
        <v>0</v>
      </c>
      <c r="AL82">
        <v>-4157625</v>
      </c>
      <c r="AM82">
        <v>0</v>
      </c>
      <c r="AN82">
        <v>-4157625</v>
      </c>
      <c r="AO82">
        <v>-4157625</v>
      </c>
      <c r="AP82" t="s">
        <v>1622</v>
      </c>
    </row>
    <row r="83" spans="1:42" x14ac:dyDescent="0.3">
      <c r="A83" t="s">
        <v>168</v>
      </c>
      <c r="B83" t="s">
        <v>51</v>
      </c>
      <c r="C83">
        <v>766</v>
      </c>
      <c r="E83">
        <v>13030</v>
      </c>
      <c r="F83" t="s">
        <v>52</v>
      </c>
      <c r="G83" t="s">
        <v>53</v>
      </c>
      <c r="H83" t="s">
        <v>671</v>
      </c>
      <c r="I83" t="s">
        <v>59</v>
      </c>
      <c r="J83" t="s">
        <v>169</v>
      </c>
      <c r="K83">
        <v>20191010</v>
      </c>
      <c r="L83">
        <v>766</v>
      </c>
      <c r="M83" t="s">
        <v>63</v>
      </c>
      <c r="N83" s="6">
        <v>5837</v>
      </c>
      <c r="O83" t="s">
        <v>652</v>
      </c>
      <c r="P83" t="s">
        <v>652</v>
      </c>
      <c r="Q83" t="s">
        <v>652</v>
      </c>
      <c r="R83">
        <v>0</v>
      </c>
      <c r="S83">
        <v>0</v>
      </c>
      <c r="T83">
        <v>0</v>
      </c>
      <c r="U83">
        <v>0</v>
      </c>
      <c r="V83">
        <v>583700</v>
      </c>
      <c r="W83" s="6">
        <v>0</v>
      </c>
      <c r="X83">
        <v>0</v>
      </c>
      <c r="Y83" s="6">
        <v>5837</v>
      </c>
      <c r="Z83">
        <v>0</v>
      </c>
      <c r="AA83">
        <v>0</v>
      </c>
      <c r="AB83">
        <v>0</v>
      </c>
      <c r="AC83">
        <v>0</v>
      </c>
      <c r="AD83">
        <v>100000000</v>
      </c>
      <c r="AE83" s="6">
        <v>583700</v>
      </c>
      <c r="AF83">
        <v>0</v>
      </c>
      <c r="AG83">
        <v>0</v>
      </c>
      <c r="AH83">
        <v>0</v>
      </c>
      <c r="AI83">
        <v>0</v>
      </c>
      <c r="AJ83">
        <v>583700</v>
      </c>
      <c r="AK83">
        <v>0</v>
      </c>
      <c r="AL83">
        <v>583700</v>
      </c>
      <c r="AM83">
        <v>0</v>
      </c>
      <c r="AN83">
        <v>583700</v>
      </c>
      <c r="AO83">
        <v>583700</v>
      </c>
      <c r="AP83" t="s">
        <v>1622</v>
      </c>
    </row>
    <row r="84" spans="1:42" x14ac:dyDescent="0.3">
      <c r="A84" t="s">
        <v>168</v>
      </c>
      <c r="B84" t="s">
        <v>51</v>
      </c>
      <c r="C84">
        <v>766</v>
      </c>
      <c r="E84">
        <v>13030</v>
      </c>
      <c r="F84" t="s">
        <v>52</v>
      </c>
      <c r="G84" t="s">
        <v>53</v>
      </c>
      <c r="H84" t="s">
        <v>170</v>
      </c>
      <c r="I84" t="s">
        <v>59</v>
      </c>
      <c r="J84" t="s">
        <v>169</v>
      </c>
      <c r="K84">
        <v>20191010</v>
      </c>
      <c r="L84">
        <v>766</v>
      </c>
      <c r="M84" t="s">
        <v>63</v>
      </c>
      <c r="N84" s="6">
        <v>5837</v>
      </c>
      <c r="O84" t="s">
        <v>652</v>
      </c>
      <c r="P84" t="s">
        <v>652</v>
      </c>
      <c r="Q84" t="s">
        <v>652</v>
      </c>
      <c r="R84">
        <v>0</v>
      </c>
      <c r="S84">
        <v>0</v>
      </c>
      <c r="T84">
        <v>0</v>
      </c>
      <c r="U84">
        <v>0</v>
      </c>
      <c r="V84">
        <v>583700</v>
      </c>
      <c r="W84" s="6">
        <v>0</v>
      </c>
      <c r="X84">
        <v>0</v>
      </c>
      <c r="Y84" s="6">
        <v>5837</v>
      </c>
      <c r="Z84">
        <v>0</v>
      </c>
      <c r="AA84">
        <v>0</v>
      </c>
      <c r="AB84">
        <v>0</v>
      </c>
      <c r="AC84">
        <v>0</v>
      </c>
      <c r="AD84">
        <v>100000000</v>
      </c>
      <c r="AE84" s="6">
        <v>583700</v>
      </c>
      <c r="AF84">
        <v>0</v>
      </c>
      <c r="AG84">
        <v>0</v>
      </c>
      <c r="AH84">
        <v>0</v>
      </c>
      <c r="AI84">
        <v>0</v>
      </c>
      <c r="AJ84">
        <v>583700</v>
      </c>
      <c r="AK84">
        <v>0</v>
      </c>
      <c r="AL84">
        <v>583700</v>
      </c>
      <c r="AM84">
        <v>0</v>
      </c>
      <c r="AN84">
        <v>583700</v>
      </c>
      <c r="AO84">
        <v>583700</v>
      </c>
      <c r="AP84" t="s">
        <v>1622</v>
      </c>
    </row>
    <row r="85" spans="1:42" x14ac:dyDescent="0.3">
      <c r="A85" t="s">
        <v>171</v>
      </c>
      <c r="B85" t="s">
        <v>51</v>
      </c>
      <c r="C85">
        <v>766</v>
      </c>
      <c r="E85">
        <v>13030</v>
      </c>
      <c r="F85" t="s">
        <v>52</v>
      </c>
      <c r="G85" t="s">
        <v>53</v>
      </c>
      <c r="H85" t="s">
        <v>54</v>
      </c>
      <c r="I85" t="s">
        <v>59</v>
      </c>
      <c r="J85" t="s">
        <v>169</v>
      </c>
      <c r="K85">
        <v>20191010</v>
      </c>
      <c r="L85">
        <v>766</v>
      </c>
      <c r="M85" t="s">
        <v>63</v>
      </c>
      <c r="N85" s="6">
        <v>5837</v>
      </c>
      <c r="O85" t="s">
        <v>652</v>
      </c>
      <c r="P85" t="s">
        <v>652</v>
      </c>
      <c r="Q85" t="s">
        <v>652</v>
      </c>
      <c r="R85">
        <v>0</v>
      </c>
      <c r="S85">
        <v>0</v>
      </c>
      <c r="T85">
        <v>0</v>
      </c>
      <c r="U85">
        <v>0</v>
      </c>
      <c r="V85">
        <v>583700</v>
      </c>
      <c r="W85" s="6">
        <v>0</v>
      </c>
      <c r="X85">
        <v>0</v>
      </c>
      <c r="Y85" s="6">
        <v>5837</v>
      </c>
      <c r="Z85">
        <v>0</v>
      </c>
      <c r="AA85">
        <v>0</v>
      </c>
      <c r="AB85">
        <v>0</v>
      </c>
      <c r="AC85">
        <v>0</v>
      </c>
      <c r="AD85">
        <v>100000000</v>
      </c>
      <c r="AE85" s="6">
        <v>583700</v>
      </c>
      <c r="AF85">
        <v>0</v>
      </c>
      <c r="AG85">
        <v>0</v>
      </c>
      <c r="AH85">
        <v>0</v>
      </c>
      <c r="AI85">
        <v>0</v>
      </c>
      <c r="AJ85">
        <v>583700</v>
      </c>
      <c r="AK85">
        <v>0</v>
      </c>
      <c r="AL85">
        <v>583700</v>
      </c>
      <c r="AM85">
        <v>0</v>
      </c>
      <c r="AN85">
        <v>583700</v>
      </c>
      <c r="AO85">
        <v>583700</v>
      </c>
      <c r="AP85" t="s">
        <v>1622</v>
      </c>
    </row>
    <row r="86" spans="1:42" x14ac:dyDescent="0.3">
      <c r="A86" t="s">
        <v>168</v>
      </c>
      <c r="B86" t="s">
        <v>51</v>
      </c>
      <c r="C86">
        <v>766</v>
      </c>
      <c r="E86">
        <v>13031</v>
      </c>
      <c r="F86" t="s">
        <v>52</v>
      </c>
      <c r="G86" t="s">
        <v>53</v>
      </c>
      <c r="H86" t="s">
        <v>671</v>
      </c>
      <c r="I86" t="s">
        <v>59</v>
      </c>
      <c r="J86" t="s">
        <v>169</v>
      </c>
      <c r="K86">
        <v>20191125</v>
      </c>
      <c r="L86">
        <v>766</v>
      </c>
      <c r="M86" t="s">
        <v>63</v>
      </c>
      <c r="N86" s="6">
        <v>17783.349999999999</v>
      </c>
      <c r="O86" t="s">
        <v>652</v>
      </c>
      <c r="P86" t="s">
        <v>652</v>
      </c>
      <c r="Q86" t="s">
        <v>652</v>
      </c>
      <c r="R86">
        <v>0</v>
      </c>
      <c r="S86">
        <v>0</v>
      </c>
      <c r="T86">
        <v>0</v>
      </c>
      <c r="U86">
        <v>0</v>
      </c>
      <c r="V86">
        <v>1778335</v>
      </c>
      <c r="W86" s="6">
        <v>0</v>
      </c>
      <c r="X86">
        <v>0</v>
      </c>
      <c r="Y86" s="6">
        <v>17783.349999999999</v>
      </c>
      <c r="Z86">
        <v>0</v>
      </c>
      <c r="AA86">
        <v>0</v>
      </c>
      <c r="AB86">
        <v>0</v>
      </c>
      <c r="AC86">
        <v>0</v>
      </c>
      <c r="AD86">
        <v>100000000</v>
      </c>
      <c r="AE86" s="6">
        <v>1778335</v>
      </c>
      <c r="AF86">
        <v>0</v>
      </c>
      <c r="AG86">
        <v>0</v>
      </c>
      <c r="AH86">
        <v>0</v>
      </c>
      <c r="AI86">
        <v>0</v>
      </c>
      <c r="AJ86">
        <v>1778335</v>
      </c>
      <c r="AK86">
        <v>0</v>
      </c>
      <c r="AL86">
        <v>1778335</v>
      </c>
      <c r="AM86">
        <v>0</v>
      </c>
      <c r="AN86">
        <v>1778335</v>
      </c>
      <c r="AO86">
        <v>1778335</v>
      </c>
      <c r="AP86" t="s">
        <v>1622</v>
      </c>
    </row>
    <row r="87" spans="1:42" x14ac:dyDescent="0.3">
      <c r="A87" t="s">
        <v>168</v>
      </c>
      <c r="B87" t="s">
        <v>51</v>
      </c>
      <c r="C87">
        <v>766</v>
      </c>
      <c r="E87">
        <v>13031</v>
      </c>
      <c r="F87" t="s">
        <v>52</v>
      </c>
      <c r="G87" t="s">
        <v>53</v>
      </c>
      <c r="H87" t="s">
        <v>170</v>
      </c>
      <c r="I87" t="s">
        <v>59</v>
      </c>
      <c r="J87" t="s">
        <v>169</v>
      </c>
      <c r="K87">
        <v>20191125</v>
      </c>
      <c r="L87">
        <v>766</v>
      </c>
      <c r="M87" t="s">
        <v>63</v>
      </c>
      <c r="N87" s="6">
        <v>17783.349999999999</v>
      </c>
      <c r="O87" t="s">
        <v>652</v>
      </c>
      <c r="P87" t="s">
        <v>652</v>
      </c>
      <c r="Q87" t="s">
        <v>652</v>
      </c>
      <c r="R87">
        <v>0</v>
      </c>
      <c r="S87">
        <v>0</v>
      </c>
      <c r="T87">
        <v>0</v>
      </c>
      <c r="U87">
        <v>0</v>
      </c>
      <c r="V87">
        <v>1778335</v>
      </c>
      <c r="W87" s="6">
        <v>0</v>
      </c>
      <c r="X87">
        <v>0</v>
      </c>
      <c r="Y87" s="6">
        <v>17783.349999999999</v>
      </c>
      <c r="Z87">
        <v>0</v>
      </c>
      <c r="AA87">
        <v>0</v>
      </c>
      <c r="AB87">
        <v>0</v>
      </c>
      <c r="AC87">
        <v>0</v>
      </c>
      <c r="AD87">
        <v>100000000</v>
      </c>
      <c r="AE87" s="6">
        <v>1778335</v>
      </c>
      <c r="AF87">
        <v>0</v>
      </c>
      <c r="AG87">
        <v>0</v>
      </c>
      <c r="AH87">
        <v>0</v>
      </c>
      <c r="AI87">
        <v>0</v>
      </c>
      <c r="AJ87">
        <v>1778335</v>
      </c>
      <c r="AK87">
        <v>0</v>
      </c>
      <c r="AL87">
        <v>1778335</v>
      </c>
      <c r="AM87">
        <v>0</v>
      </c>
      <c r="AN87">
        <v>1778335</v>
      </c>
      <c r="AO87">
        <v>1778335</v>
      </c>
      <c r="AP87" t="s">
        <v>1622</v>
      </c>
    </row>
    <row r="88" spans="1:42" x14ac:dyDescent="0.3">
      <c r="A88" t="s">
        <v>171</v>
      </c>
      <c r="B88" t="s">
        <v>51</v>
      </c>
      <c r="C88">
        <v>766</v>
      </c>
      <c r="E88">
        <v>13031</v>
      </c>
      <c r="F88" t="s">
        <v>52</v>
      </c>
      <c r="G88" t="s">
        <v>53</v>
      </c>
      <c r="H88" t="s">
        <v>54</v>
      </c>
      <c r="I88" t="s">
        <v>59</v>
      </c>
      <c r="J88" t="s">
        <v>169</v>
      </c>
      <c r="K88">
        <v>20191125</v>
      </c>
      <c r="L88">
        <v>766</v>
      </c>
      <c r="M88" t="s">
        <v>63</v>
      </c>
      <c r="N88" s="6">
        <v>17783.349999999999</v>
      </c>
      <c r="O88" t="s">
        <v>652</v>
      </c>
      <c r="P88" t="s">
        <v>652</v>
      </c>
      <c r="Q88" t="s">
        <v>652</v>
      </c>
      <c r="R88">
        <v>0</v>
      </c>
      <c r="S88">
        <v>0</v>
      </c>
      <c r="T88">
        <v>0</v>
      </c>
      <c r="U88">
        <v>0</v>
      </c>
      <c r="V88">
        <v>1778335</v>
      </c>
      <c r="W88" s="6">
        <v>0</v>
      </c>
      <c r="X88">
        <v>0</v>
      </c>
      <c r="Y88" s="6">
        <v>17783.349999999999</v>
      </c>
      <c r="Z88">
        <v>0</v>
      </c>
      <c r="AA88">
        <v>0</v>
      </c>
      <c r="AB88">
        <v>0</v>
      </c>
      <c r="AC88">
        <v>0</v>
      </c>
      <c r="AD88">
        <v>100000000</v>
      </c>
      <c r="AE88" s="6">
        <v>1778335</v>
      </c>
      <c r="AF88">
        <v>0</v>
      </c>
      <c r="AG88">
        <v>0</v>
      </c>
      <c r="AH88">
        <v>0</v>
      </c>
      <c r="AI88">
        <v>0</v>
      </c>
      <c r="AJ88">
        <v>1778335</v>
      </c>
      <c r="AK88">
        <v>0</v>
      </c>
      <c r="AL88">
        <v>1778335</v>
      </c>
      <c r="AM88">
        <v>0</v>
      </c>
      <c r="AN88">
        <v>1778335</v>
      </c>
      <c r="AO88">
        <v>1778335</v>
      </c>
      <c r="AP88" t="s">
        <v>1622</v>
      </c>
    </row>
    <row r="89" spans="1:42" x14ac:dyDescent="0.3">
      <c r="A89" t="s">
        <v>168</v>
      </c>
      <c r="B89" t="s">
        <v>51</v>
      </c>
      <c r="C89">
        <v>766</v>
      </c>
      <c r="E89">
        <v>13032</v>
      </c>
      <c r="F89" t="s">
        <v>52</v>
      </c>
      <c r="G89" t="s">
        <v>53</v>
      </c>
      <c r="H89" t="s">
        <v>671</v>
      </c>
      <c r="I89" t="s">
        <v>59</v>
      </c>
      <c r="J89" t="s">
        <v>169</v>
      </c>
      <c r="K89">
        <v>20200224</v>
      </c>
      <c r="L89">
        <v>766</v>
      </c>
      <c r="M89" t="s">
        <v>63</v>
      </c>
      <c r="N89" s="6">
        <v>1931.8</v>
      </c>
      <c r="O89" t="s">
        <v>652</v>
      </c>
      <c r="P89" t="s">
        <v>652</v>
      </c>
      <c r="Q89" t="s">
        <v>652</v>
      </c>
      <c r="R89">
        <v>0</v>
      </c>
      <c r="S89">
        <v>0</v>
      </c>
      <c r="T89">
        <v>0</v>
      </c>
      <c r="U89">
        <v>0</v>
      </c>
      <c r="V89">
        <v>193180</v>
      </c>
      <c r="W89" s="6">
        <v>0</v>
      </c>
      <c r="X89">
        <v>0</v>
      </c>
      <c r="Y89" s="6">
        <v>1931.8</v>
      </c>
      <c r="Z89">
        <v>0</v>
      </c>
      <c r="AA89">
        <v>0</v>
      </c>
      <c r="AB89">
        <v>0</v>
      </c>
      <c r="AC89">
        <v>0</v>
      </c>
      <c r="AD89">
        <v>100000000</v>
      </c>
      <c r="AE89" s="6">
        <v>193180</v>
      </c>
      <c r="AF89">
        <v>0</v>
      </c>
      <c r="AG89">
        <v>0</v>
      </c>
      <c r="AH89">
        <v>0</v>
      </c>
      <c r="AI89">
        <v>0</v>
      </c>
      <c r="AJ89">
        <v>193180</v>
      </c>
      <c r="AK89">
        <v>0</v>
      </c>
      <c r="AL89">
        <v>193180</v>
      </c>
      <c r="AM89">
        <v>0</v>
      </c>
      <c r="AN89">
        <v>193180</v>
      </c>
      <c r="AO89">
        <v>193180</v>
      </c>
      <c r="AP89" t="s">
        <v>1622</v>
      </c>
    </row>
    <row r="90" spans="1:42" x14ac:dyDescent="0.3">
      <c r="A90" t="s">
        <v>168</v>
      </c>
      <c r="B90" t="s">
        <v>51</v>
      </c>
      <c r="C90">
        <v>766</v>
      </c>
      <c r="E90">
        <v>13032</v>
      </c>
      <c r="F90" t="s">
        <v>52</v>
      </c>
      <c r="G90" t="s">
        <v>53</v>
      </c>
      <c r="H90" t="s">
        <v>170</v>
      </c>
      <c r="I90" t="s">
        <v>59</v>
      </c>
      <c r="J90" t="s">
        <v>169</v>
      </c>
      <c r="K90">
        <v>20200224</v>
      </c>
      <c r="L90">
        <v>766</v>
      </c>
      <c r="M90" t="s">
        <v>63</v>
      </c>
      <c r="N90" s="6">
        <v>1931.8</v>
      </c>
      <c r="O90" t="s">
        <v>652</v>
      </c>
      <c r="P90" t="s">
        <v>652</v>
      </c>
      <c r="Q90" t="s">
        <v>652</v>
      </c>
      <c r="R90">
        <v>0</v>
      </c>
      <c r="S90">
        <v>0</v>
      </c>
      <c r="T90">
        <v>0</v>
      </c>
      <c r="U90">
        <v>0</v>
      </c>
      <c r="V90">
        <v>193180</v>
      </c>
      <c r="W90" s="6">
        <v>0</v>
      </c>
      <c r="X90">
        <v>0</v>
      </c>
      <c r="Y90" s="6">
        <v>1931.8</v>
      </c>
      <c r="Z90">
        <v>0</v>
      </c>
      <c r="AA90">
        <v>0</v>
      </c>
      <c r="AB90">
        <v>0</v>
      </c>
      <c r="AC90">
        <v>0</v>
      </c>
      <c r="AD90">
        <v>100000000</v>
      </c>
      <c r="AE90" s="6">
        <v>193180</v>
      </c>
      <c r="AF90">
        <v>0</v>
      </c>
      <c r="AG90">
        <v>0</v>
      </c>
      <c r="AH90">
        <v>0</v>
      </c>
      <c r="AI90">
        <v>0</v>
      </c>
      <c r="AJ90">
        <v>193180</v>
      </c>
      <c r="AK90">
        <v>0</v>
      </c>
      <c r="AL90">
        <v>193180</v>
      </c>
      <c r="AM90">
        <v>0</v>
      </c>
      <c r="AN90">
        <v>193180</v>
      </c>
      <c r="AO90">
        <v>193180</v>
      </c>
      <c r="AP90" t="s">
        <v>1622</v>
      </c>
    </row>
    <row r="91" spans="1:42" x14ac:dyDescent="0.3">
      <c r="A91" t="s">
        <v>171</v>
      </c>
      <c r="B91" t="s">
        <v>51</v>
      </c>
      <c r="C91">
        <v>766</v>
      </c>
      <c r="E91">
        <v>13032</v>
      </c>
      <c r="F91" t="s">
        <v>52</v>
      </c>
      <c r="G91" t="s">
        <v>53</v>
      </c>
      <c r="H91" t="s">
        <v>54</v>
      </c>
      <c r="I91" t="s">
        <v>59</v>
      </c>
      <c r="J91" t="s">
        <v>169</v>
      </c>
      <c r="K91">
        <v>20200224</v>
      </c>
      <c r="L91">
        <v>766</v>
      </c>
      <c r="M91" t="s">
        <v>63</v>
      </c>
      <c r="N91" s="6">
        <v>1931.8</v>
      </c>
      <c r="O91" t="s">
        <v>652</v>
      </c>
      <c r="P91" t="s">
        <v>652</v>
      </c>
      <c r="Q91" t="s">
        <v>652</v>
      </c>
      <c r="R91">
        <v>0</v>
      </c>
      <c r="S91">
        <v>0</v>
      </c>
      <c r="T91">
        <v>0</v>
      </c>
      <c r="U91">
        <v>0</v>
      </c>
      <c r="V91">
        <v>193180</v>
      </c>
      <c r="W91" s="6">
        <v>0</v>
      </c>
      <c r="X91">
        <v>0</v>
      </c>
      <c r="Y91" s="6">
        <v>1931.8</v>
      </c>
      <c r="Z91">
        <v>0</v>
      </c>
      <c r="AA91">
        <v>0</v>
      </c>
      <c r="AB91">
        <v>0</v>
      </c>
      <c r="AC91">
        <v>0</v>
      </c>
      <c r="AD91">
        <v>100000000</v>
      </c>
      <c r="AE91" s="6">
        <v>193180</v>
      </c>
      <c r="AF91">
        <v>0</v>
      </c>
      <c r="AG91">
        <v>0</v>
      </c>
      <c r="AH91">
        <v>0</v>
      </c>
      <c r="AI91">
        <v>0</v>
      </c>
      <c r="AJ91">
        <v>193180</v>
      </c>
      <c r="AK91">
        <v>0</v>
      </c>
      <c r="AL91">
        <v>193180</v>
      </c>
      <c r="AM91">
        <v>0</v>
      </c>
      <c r="AN91">
        <v>193180</v>
      </c>
      <c r="AO91">
        <v>193180</v>
      </c>
      <c r="AP91" t="s">
        <v>1622</v>
      </c>
    </row>
    <row r="92" spans="1:42" x14ac:dyDescent="0.3">
      <c r="A92" t="s">
        <v>168</v>
      </c>
      <c r="B92" t="s">
        <v>51</v>
      </c>
      <c r="C92">
        <v>766</v>
      </c>
      <c r="E92">
        <v>13033</v>
      </c>
      <c r="F92" t="s">
        <v>52</v>
      </c>
      <c r="G92" t="s">
        <v>53</v>
      </c>
      <c r="H92" t="s">
        <v>671</v>
      </c>
      <c r="I92" t="s">
        <v>59</v>
      </c>
      <c r="J92" t="s">
        <v>169</v>
      </c>
      <c r="K92">
        <v>20211129</v>
      </c>
      <c r="L92">
        <v>766</v>
      </c>
      <c r="M92" t="s">
        <v>63</v>
      </c>
      <c r="N92" s="6">
        <v>-80924.75</v>
      </c>
      <c r="O92" t="s">
        <v>652</v>
      </c>
      <c r="P92" t="s">
        <v>652</v>
      </c>
      <c r="Q92" t="s">
        <v>652</v>
      </c>
      <c r="R92">
        <v>0</v>
      </c>
      <c r="S92">
        <v>0</v>
      </c>
      <c r="T92">
        <v>0</v>
      </c>
      <c r="U92">
        <v>0</v>
      </c>
      <c r="V92">
        <v>0</v>
      </c>
      <c r="W92" s="6">
        <v>0</v>
      </c>
      <c r="X92">
        <v>0</v>
      </c>
      <c r="Y92" s="6">
        <v>-80924.75</v>
      </c>
      <c r="Z92">
        <v>0</v>
      </c>
      <c r="AA92">
        <v>0</v>
      </c>
      <c r="AB92">
        <v>0</v>
      </c>
      <c r="AC92">
        <v>0</v>
      </c>
      <c r="AD92">
        <v>100000000</v>
      </c>
      <c r="AE92" s="6">
        <v>-8092475</v>
      </c>
      <c r="AF92">
        <v>0</v>
      </c>
      <c r="AG92">
        <v>0</v>
      </c>
      <c r="AH92">
        <v>0</v>
      </c>
      <c r="AI92">
        <v>0</v>
      </c>
      <c r="AJ92">
        <v>-8092475</v>
      </c>
      <c r="AK92">
        <v>0</v>
      </c>
      <c r="AL92">
        <v>-8092475</v>
      </c>
      <c r="AM92">
        <v>0</v>
      </c>
      <c r="AN92">
        <v>-8092475</v>
      </c>
      <c r="AO92">
        <v>-8092475</v>
      </c>
      <c r="AP92" t="s">
        <v>1622</v>
      </c>
    </row>
    <row r="93" spans="1:42" x14ac:dyDescent="0.3">
      <c r="A93" t="s">
        <v>168</v>
      </c>
      <c r="B93" t="s">
        <v>51</v>
      </c>
      <c r="C93">
        <v>766</v>
      </c>
      <c r="E93">
        <v>13033</v>
      </c>
      <c r="F93" t="s">
        <v>52</v>
      </c>
      <c r="G93" t="s">
        <v>53</v>
      </c>
      <c r="H93" t="s">
        <v>170</v>
      </c>
      <c r="I93" t="s">
        <v>59</v>
      </c>
      <c r="J93" t="s">
        <v>169</v>
      </c>
      <c r="K93">
        <v>20211129</v>
      </c>
      <c r="L93">
        <v>766</v>
      </c>
      <c r="M93" t="s">
        <v>63</v>
      </c>
      <c r="N93" s="6">
        <v>-80924.75</v>
      </c>
      <c r="O93" t="s">
        <v>652</v>
      </c>
      <c r="P93" t="s">
        <v>652</v>
      </c>
      <c r="Q93" t="s">
        <v>652</v>
      </c>
      <c r="R93">
        <v>0</v>
      </c>
      <c r="S93">
        <v>0</v>
      </c>
      <c r="T93">
        <v>0</v>
      </c>
      <c r="U93">
        <v>0</v>
      </c>
      <c r="V93">
        <v>0</v>
      </c>
      <c r="W93" s="6">
        <v>0</v>
      </c>
      <c r="X93">
        <v>0</v>
      </c>
      <c r="Y93" s="6">
        <v>-80924.75</v>
      </c>
      <c r="Z93">
        <v>0</v>
      </c>
      <c r="AA93">
        <v>0</v>
      </c>
      <c r="AB93">
        <v>0</v>
      </c>
      <c r="AC93">
        <v>0</v>
      </c>
      <c r="AD93">
        <v>100000000</v>
      </c>
      <c r="AE93" s="6">
        <v>-8092475</v>
      </c>
      <c r="AF93">
        <v>0</v>
      </c>
      <c r="AG93">
        <v>0</v>
      </c>
      <c r="AH93">
        <v>0</v>
      </c>
      <c r="AI93">
        <v>0</v>
      </c>
      <c r="AJ93">
        <v>-8092475</v>
      </c>
      <c r="AK93">
        <v>0</v>
      </c>
      <c r="AL93">
        <v>-8092475</v>
      </c>
      <c r="AM93">
        <v>0</v>
      </c>
      <c r="AN93">
        <v>-8092475</v>
      </c>
      <c r="AO93">
        <v>-8092475</v>
      </c>
      <c r="AP93" t="s">
        <v>1622</v>
      </c>
    </row>
    <row r="94" spans="1:42" x14ac:dyDescent="0.3">
      <c r="A94" t="s">
        <v>171</v>
      </c>
      <c r="B94" t="s">
        <v>51</v>
      </c>
      <c r="C94">
        <v>766</v>
      </c>
      <c r="E94">
        <v>13033</v>
      </c>
      <c r="F94" t="s">
        <v>52</v>
      </c>
      <c r="G94" t="s">
        <v>53</v>
      </c>
      <c r="H94" t="s">
        <v>54</v>
      </c>
      <c r="I94" t="s">
        <v>59</v>
      </c>
      <c r="J94" t="s">
        <v>169</v>
      </c>
      <c r="K94">
        <v>20211129</v>
      </c>
      <c r="L94">
        <v>766</v>
      </c>
      <c r="M94" t="s">
        <v>63</v>
      </c>
      <c r="N94" s="6">
        <v>-80924.75</v>
      </c>
      <c r="O94" t="s">
        <v>652</v>
      </c>
      <c r="P94" t="s">
        <v>652</v>
      </c>
      <c r="Q94" t="s">
        <v>652</v>
      </c>
      <c r="R94">
        <v>0</v>
      </c>
      <c r="S94">
        <v>0</v>
      </c>
      <c r="T94">
        <v>0</v>
      </c>
      <c r="U94">
        <v>0</v>
      </c>
      <c r="V94">
        <v>0</v>
      </c>
      <c r="W94" s="6">
        <v>0</v>
      </c>
      <c r="X94">
        <v>0</v>
      </c>
      <c r="Y94" s="6">
        <v>-80924.75</v>
      </c>
      <c r="Z94">
        <v>0</v>
      </c>
      <c r="AA94">
        <v>0</v>
      </c>
      <c r="AB94">
        <v>0</v>
      </c>
      <c r="AC94">
        <v>0</v>
      </c>
      <c r="AD94">
        <v>100000000</v>
      </c>
      <c r="AE94" s="6">
        <v>-8092475</v>
      </c>
      <c r="AF94">
        <v>0</v>
      </c>
      <c r="AG94">
        <v>0</v>
      </c>
      <c r="AH94">
        <v>0</v>
      </c>
      <c r="AI94">
        <v>0</v>
      </c>
      <c r="AJ94">
        <v>-8092475</v>
      </c>
      <c r="AK94">
        <v>0</v>
      </c>
      <c r="AL94">
        <v>-8092475</v>
      </c>
      <c r="AM94">
        <v>0</v>
      </c>
      <c r="AN94">
        <v>-8092475</v>
      </c>
      <c r="AO94">
        <v>-8092475</v>
      </c>
      <c r="AP94" t="s">
        <v>1622</v>
      </c>
    </row>
    <row r="95" spans="1:42" x14ac:dyDescent="0.3">
      <c r="A95" t="s">
        <v>168</v>
      </c>
      <c r="B95" t="s">
        <v>51</v>
      </c>
      <c r="C95">
        <v>766</v>
      </c>
      <c r="E95">
        <v>13034</v>
      </c>
      <c r="F95" t="s">
        <v>52</v>
      </c>
      <c r="G95" t="s">
        <v>53</v>
      </c>
      <c r="H95" t="s">
        <v>671</v>
      </c>
      <c r="I95" t="s">
        <v>59</v>
      </c>
      <c r="J95" t="s">
        <v>169</v>
      </c>
      <c r="K95">
        <v>20190530</v>
      </c>
      <c r="L95">
        <v>766</v>
      </c>
      <c r="M95" t="s">
        <v>63</v>
      </c>
      <c r="N95" s="6">
        <v>3189.8</v>
      </c>
      <c r="O95" t="s">
        <v>652</v>
      </c>
      <c r="P95" t="s">
        <v>652</v>
      </c>
      <c r="Q95" t="s">
        <v>652</v>
      </c>
      <c r="R95">
        <v>0</v>
      </c>
      <c r="S95">
        <v>0</v>
      </c>
      <c r="T95">
        <v>0</v>
      </c>
      <c r="U95">
        <v>0</v>
      </c>
      <c r="V95">
        <v>318980</v>
      </c>
      <c r="W95" s="6">
        <v>0</v>
      </c>
      <c r="X95">
        <v>0</v>
      </c>
      <c r="Y95" s="6">
        <v>3189.8</v>
      </c>
      <c r="Z95">
        <v>0</v>
      </c>
      <c r="AA95">
        <v>0</v>
      </c>
      <c r="AB95">
        <v>0</v>
      </c>
      <c r="AC95">
        <v>0</v>
      </c>
      <c r="AD95">
        <v>100000000</v>
      </c>
      <c r="AE95" s="6">
        <v>318980</v>
      </c>
      <c r="AF95">
        <v>0</v>
      </c>
      <c r="AG95">
        <v>0</v>
      </c>
      <c r="AH95">
        <v>0</v>
      </c>
      <c r="AI95">
        <v>0</v>
      </c>
      <c r="AJ95">
        <v>318980</v>
      </c>
      <c r="AK95">
        <v>0</v>
      </c>
      <c r="AL95">
        <v>318980</v>
      </c>
      <c r="AM95">
        <v>0</v>
      </c>
      <c r="AN95">
        <v>318980</v>
      </c>
      <c r="AO95">
        <v>318980</v>
      </c>
      <c r="AP95" t="s">
        <v>1622</v>
      </c>
    </row>
    <row r="96" spans="1:42" x14ac:dyDescent="0.3">
      <c r="A96" t="s">
        <v>168</v>
      </c>
      <c r="B96" t="s">
        <v>51</v>
      </c>
      <c r="C96">
        <v>766</v>
      </c>
      <c r="E96">
        <v>13034</v>
      </c>
      <c r="F96" t="s">
        <v>52</v>
      </c>
      <c r="G96" t="s">
        <v>53</v>
      </c>
      <c r="H96" t="s">
        <v>170</v>
      </c>
      <c r="I96" t="s">
        <v>59</v>
      </c>
      <c r="J96" t="s">
        <v>169</v>
      </c>
      <c r="K96">
        <v>20190530</v>
      </c>
      <c r="L96">
        <v>766</v>
      </c>
      <c r="M96" t="s">
        <v>63</v>
      </c>
      <c r="N96" s="6">
        <v>3189.8</v>
      </c>
      <c r="O96" t="s">
        <v>652</v>
      </c>
      <c r="P96" t="s">
        <v>652</v>
      </c>
      <c r="Q96" t="s">
        <v>652</v>
      </c>
      <c r="R96">
        <v>0</v>
      </c>
      <c r="S96">
        <v>0</v>
      </c>
      <c r="T96">
        <v>0</v>
      </c>
      <c r="U96">
        <v>0</v>
      </c>
      <c r="V96">
        <v>318980</v>
      </c>
      <c r="W96" s="6">
        <v>0</v>
      </c>
      <c r="X96">
        <v>0</v>
      </c>
      <c r="Y96" s="6">
        <v>3189.8</v>
      </c>
      <c r="Z96">
        <v>0</v>
      </c>
      <c r="AA96">
        <v>0</v>
      </c>
      <c r="AB96">
        <v>0</v>
      </c>
      <c r="AC96">
        <v>0</v>
      </c>
      <c r="AD96">
        <v>100000000</v>
      </c>
      <c r="AE96" s="6">
        <v>318980</v>
      </c>
      <c r="AF96">
        <v>0</v>
      </c>
      <c r="AG96">
        <v>0</v>
      </c>
      <c r="AH96">
        <v>0</v>
      </c>
      <c r="AI96">
        <v>0</v>
      </c>
      <c r="AJ96">
        <v>318980</v>
      </c>
      <c r="AK96">
        <v>0</v>
      </c>
      <c r="AL96">
        <v>318980</v>
      </c>
      <c r="AM96">
        <v>0</v>
      </c>
      <c r="AN96">
        <v>318980</v>
      </c>
      <c r="AO96">
        <v>318980</v>
      </c>
      <c r="AP96" t="s">
        <v>1622</v>
      </c>
    </row>
    <row r="97" spans="1:42" x14ac:dyDescent="0.3">
      <c r="A97" t="s">
        <v>171</v>
      </c>
      <c r="B97" t="s">
        <v>51</v>
      </c>
      <c r="C97">
        <v>766</v>
      </c>
      <c r="E97">
        <v>13034</v>
      </c>
      <c r="F97" t="s">
        <v>52</v>
      </c>
      <c r="G97" t="s">
        <v>53</v>
      </c>
      <c r="H97" t="s">
        <v>54</v>
      </c>
      <c r="I97" t="s">
        <v>59</v>
      </c>
      <c r="J97" t="s">
        <v>169</v>
      </c>
      <c r="K97">
        <v>20190530</v>
      </c>
      <c r="L97">
        <v>766</v>
      </c>
      <c r="M97" t="s">
        <v>63</v>
      </c>
      <c r="N97" s="6">
        <v>3189.8</v>
      </c>
      <c r="O97" t="s">
        <v>652</v>
      </c>
      <c r="P97" t="s">
        <v>652</v>
      </c>
      <c r="Q97" t="s">
        <v>652</v>
      </c>
      <c r="R97">
        <v>0</v>
      </c>
      <c r="S97">
        <v>0</v>
      </c>
      <c r="T97">
        <v>0</v>
      </c>
      <c r="U97">
        <v>0</v>
      </c>
      <c r="V97">
        <v>318980</v>
      </c>
      <c r="W97" s="6">
        <v>0</v>
      </c>
      <c r="X97">
        <v>0</v>
      </c>
      <c r="Y97" s="6">
        <v>3189.8</v>
      </c>
      <c r="Z97">
        <v>0</v>
      </c>
      <c r="AA97">
        <v>0</v>
      </c>
      <c r="AB97">
        <v>0</v>
      </c>
      <c r="AC97">
        <v>0</v>
      </c>
      <c r="AD97">
        <v>100000000</v>
      </c>
      <c r="AE97" s="6">
        <v>318980</v>
      </c>
      <c r="AF97">
        <v>0</v>
      </c>
      <c r="AG97">
        <v>0</v>
      </c>
      <c r="AH97">
        <v>0</v>
      </c>
      <c r="AI97">
        <v>0</v>
      </c>
      <c r="AJ97">
        <v>318980</v>
      </c>
      <c r="AK97">
        <v>0</v>
      </c>
      <c r="AL97">
        <v>318980</v>
      </c>
      <c r="AM97">
        <v>0</v>
      </c>
      <c r="AN97">
        <v>318980</v>
      </c>
      <c r="AO97">
        <v>318980</v>
      </c>
      <c r="AP97" t="s">
        <v>1622</v>
      </c>
    </row>
    <row r="98" spans="1:42" x14ac:dyDescent="0.3">
      <c r="A98" t="s">
        <v>168</v>
      </c>
      <c r="B98" t="s">
        <v>51</v>
      </c>
      <c r="C98">
        <v>766</v>
      </c>
      <c r="E98">
        <v>13035</v>
      </c>
      <c r="F98" t="s">
        <v>52</v>
      </c>
      <c r="G98" t="s">
        <v>53</v>
      </c>
      <c r="H98" t="s">
        <v>671</v>
      </c>
      <c r="I98" t="s">
        <v>59</v>
      </c>
      <c r="J98" t="s">
        <v>169</v>
      </c>
      <c r="K98">
        <v>20211129</v>
      </c>
      <c r="L98">
        <v>766</v>
      </c>
      <c r="M98" t="s">
        <v>63</v>
      </c>
      <c r="N98" s="6">
        <v>-3506.3</v>
      </c>
      <c r="O98" t="s">
        <v>652</v>
      </c>
      <c r="P98" t="s">
        <v>652</v>
      </c>
      <c r="Q98" t="s">
        <v>652</v>
      </c>
      <c r="R98">
        <v>0</v>
      </c>
      <c r="S98">
        <v>0</v>
      </c>
      <c r="T98">
        <v>0</v>
      </c>
      <c r="U98">
        <v>0</v>
      </c>
      <c r="V98">
        <v>0</v>
      </c>
      <c r="W98" s="6">
        <v>0</v>
      </c>
      <c r="X98">
        <v>0</v>
      </c>
      <c r="Y98" s="6">
        <v>-3506.3</v>
      </c>
      <c r="Z98">
        <v>0</v>
      </c>
      <c r="AA98">
        <v>0</v>
      </c>
      <c r="AB98">
        <v>0</v>
      </c>
      <c r="AC98">
        <v>0</v>
      </c>
      <c r="AD98">
        <v>100000000</v>
      </c>
      <c r="AE98" s="6">
        <v>-350630</v>
      </c>
      <c r="AF98">
        <v>0</v>
      </c>
      <c r="AG98">
        <v>0</v>
      </c>
      <c r="AH98">
        <v>0</v>
      </c>
      <c r="AI98">
        <v>0</v>
      </c>
      <c r="AJ98">
        <v>-350630</v>
      </c>
      <c r="AK98">
        <v>0</v>
      </c>
      <c r="AL98">
        <v>-350630</v>
      </c>
      <c r="AM98">
        <v>0</v>
      </c>
      <c r="AN98">
        <v>-350630</v>
      </c>
      <c r="AO98">
        <v>-350630</v>
      </c>
      <c r="AP98" t="s">
        <v>1622</v>
      </c>
    </row>
    <row r="99" spans="1:42" x14ac:dyDescent="0.3">
      <c r="A99" t="s">
        <v>168</v>
      </c>
      <c r="B99" t="s">
        <v>51</v>
      </c>
      <c r="C99">
        <v>766</v>
      </c>
      <c r="E99">
        <v>13035</v>
      </c>
      <c r="F99" t="s">
        <v>52</v>
      </c>
      <c r="G99" t="s">
        <v>53</v>
      </c>
      <c r="H99" t="s">
        <v>170</v>
      </c>
      <c r="I99" t="s">
        <v>59</v>
      </c>
      <c r="J99" t="s">
        <v>169</v>
      </c>
      <c r="K99">
        <v>20211129</v>
      </c>
      <c r="L99">
        <v>766</v>
      </c>
      <c r="M99" t="s">
        <v>63</v>
      </c>
      <c r="N99" s="6">
        <v>-3506.3</v>
      </c>
      <c r="O99" t="s">
        <v>652</v>
      </c>
      <c r="P99" t="s">
        <v>652</v>
      </c>
      <c r="Q99" t="s">
        <v>652</v>
      </c>
      <c r="R99">
        <v>0</v>
      </c>
      <c r="S99">
        <v>0</v>
      </c>
      <c r="T99">
        <v>0</v>
      </c>
      <c r="U99">
        <v>0</v>
      </c>
      <c r="V99">
        <v>0</v>
      </c>
      <c r="W99" s="6">
        <v>0</v>
      </c>
      <c r="X99">
        <v>0</v>
      </c>
      <c r="Y99" s="6">
        <v>-3506.3</v>
      </c>
      <c r="Z99">
        <v>0</v>
      </c>
      <c r="AA99">
        <v>0</v>
      </c>
      <c r="AB99">
        <v>0</v>
      </c>
      <c r="AC99">
        <v>0</v>
      </c>
      <c r="AD99">
        <v>100000000</v>
      </c>
      <c r="AE99" s="6">
        <v>-350630</v>
      </c>
      <c r="AF99">
        <v>0</v>
      </c>
      <c r="AG99">
        <v>0</v>
      </c>
      <c r="AH99">
        <v>0</v>
      </c>
      <c r="AI99">
        <v>0</v>
      </c>
      <c r="AJ99">
        <v>-350630</v>
      </c>
      <c r="AK99">
        <v>0</v>
      </c>
      <c r="AL99">
        <v>-350630</v>
      </c>
      <c r="AM99">
        <v>0</v>
      </c>
      <c r="AN99">
        <v>-350630</v>
      </c>
      <c r="AO99">
        <v>-350630</v>
      </c>
      <c r="AP99" t="s">
        <v>1622</v>
      </c>
    </row>
    <row r="100" spans="1:42" x14ac:dyDescent="0.3">
      <c r="A100" t="s">
        <v>171</v>
      </c>
      <c r="B100" t="s">
        <v>51</v>
      </c>
      <c r="C100">
        <v>766</v>
      </c>
      <c r="E100">
        <v>13035</v>
      </c>
      <c r="F100" t="s">
        <v>52</v>
      </c>
      <c r="G100" t="s">
        <v>53</v>
      </c>
      <c r="H100" t="s">
        <v>54</v>
      </c>
      <c r="I100" t="s">
        <v>59</v>
      </c>
      <c r="J100" t="s">
        <v>169</v>
      </c>
      <c r="K100">
        <v>20211129</v>
      </c>
      <c r="L100">
        <v>766</v>
      </c>
      <c r="M100" t="s">
        <v>63</v>
      </c>
      <c r="N100" s="6">
        <v>-3506.3</v>
      </c>
      <c r="O100" t="s">
        <v>652</v>
      </c>
      <c r="P100" t="s">
        <v>652</v>
      </c>
      <c r="Q100" t="s">
        <v>652</v>
      </c>
      <c r="R100">
        <v>0</v>
      </c>
      <c r="S100">
        <v>0</v>
      </c>
      <c r="T100">
        <v>0</v>
      </c>
      <c r="U100">
        <v>0</v>
      </c>
      <c r="V100">
        <v>0</v>
      </c>
      <c r="W100" s="6">
        <v>0</v>
      </c>
      <c r="X100">
        <v>0</v>
      </c>
      <c r="Y100" s="6">
        <v>-3506.3</v>
      </c>
      <c r="Z100">
        <v>0</v>
      </c>
      <c r="AA100">
        <v>0</v>
      </c>
      <c r="AB100">
        <v>0</v>
      </c>
      <c r="AC100">
        <v>0</v>
      </c>
      <c r="AD100">
        <v>100000000</v>
      </c>
      <c r="AE100" s="6">
        <v>-350630</v>
      </c>
      <c r="AF100">
        <v>0</v>
      </c>
      <c r="AG100">
        <v>0</v>
      </c>
      <c r="AH100">
        <v>0</v>
      </c>
      <c r="AI100">
        <v>0</v>
      </c>
      <c r="AJ100">
        <v>-350630</v>
      </c>
      <c r="AK100">
        <v>0</v>
      </c>
      <c r="AL100">
        <v>-350630</v>
      </c>
      <c r="AM100">
        <v>0</v>
      </c>
      <c r="AN100">
        <v>-350630</v>
      </c>
      <c r="AO100">
        <v>-350630</v>
      </c>
      <c r="AP100" t="s">
        <v>1622</v>
      </c>
    </row>
    <row r="101" spans="1:42" x14ac:dyDescent="0.3">
      <c r="A101" t="s">
        <v>168</v>
      </c>
      <c r="B101" t="s">
        <v>51</v>
      </c>
      <c r="C101">
        <v>766</v>
      </c>
      <c r="E101">
        <v>13036</v>
      </c>
      <c r="F101" t="s">
        <v>52</v>
      </c>
      <c r="G101" t="s">
        <v>53</v>
      </c>
      <c r="H101" t="s">
        <v>671</v>
      </c>
      <c r="I101" t="s">
        <v>59</v>
      </c>
      <c r="J101" t="s">
        <v>169</v>
      </c>
      <c r="K101">
        <v>20211129</v>
      </c>
      <c r="L101">
        <v>766</v>
      </c>
      <c r="M101" t="s">
        <v>63</v>
      </c>
      <c r="N101" s="6">
        <v>-36667.800000000003</v>
      </c>
      <c r="O101" t="s">
        <v>652</v>
      </c>
      <c r="P101" t="s">
        <v>652</v>
      </c>
      <c r="Q101" t="s">
        <v>652</v>
      </c>
      <c r="R101">
        <v>0</v>
      </c>
      <c r="S101">
        <v>0</v>
      </c>
      <c r="T101">
        <v>0</v>
      </c>
      <c r="U101">
        <v>0</v>
      </c>
      <c r="V101">
        <v>0</v>
      </c>
      <c r="W101" s="6">
        <v>0</v>
      </c>
      <c r="X101">
        <v>0</v>
      </c>
      <c r="Y101" s="6">
        <v>-36667.800000000003</v>
      </c>
      <c r="Z101">
        <v>0</v>
      </c>
      <c r="AA101">
        <v>0</v>
      </c>
      <c r="AB101">
        <v>0</v>
      </c>
      <c r="AC101">
        <v>0</v>
      </c>
      <c r="AD101">
        <v>100000000</v>
      </c>
      <c r="AE101" s="6">
        <v>-3666780</v>
      </c>
      <c r="AF101">
        <v>0</v>
      </c>
      <c r="AG101">
        <v>0</v>
      </c>
      <c r="AH101">
        <v>0</v>
      </c>
      <c r="AI101">
        <v>0</v>
      </c>
      <c r="AJ101">
        <v>-3666780</v>
      </c>
      <c r="AK101">
        <v>0</v>
      </c>
      <c r="AL101">
        <v>-3666780</v>
      </c>
      <c r="AM101">
        <v>0</v>
      </c>
      <c r="AN101">
        <v>-3666780</v>
      </c>
      <c r="AO101">
        <v>-3666780</v>
      </c>
      <c r="AP101" t="s">
        <v>1622</v>
      </c>
    </row>
    <row r="102" spans="1:42" x14ac:dyDescent="0.3">
      <c r="A102" t="s">
        <v>168</v>
      </c>
      <c r="B102" t="s">
        <v>51</v>
      </c>
      <c r="C102">
        <v>766</v>
      </c>
      <c r="E102">
        <v>13036</v>
      </c>
      <c r="F102" t="s">
        <v>52</v>
      </c>
      <c r="G102" t="s">
        <v>53</v>
      </c>
      <c r="H102" t="s">
        <v>170</v>
      </c>
      <c r="I102" t="s">
        <v>59</v>
      </c>
      <c r="J102" t="s">
        <v>169</v>
      </c>
      <c r="K102">
        <v>20211129</v>
      </c>
      <c r="L102">
        <v>766</v>
      </c>
      <c r="M102" t="s">
        <v>63</v>
      </c>
      <c r="N102" s="6">
        <v>-36667.800000000003</v>
      </c>
      <c r="O102" t="s">
        <v>652</v>
      </c>
      <c r="P102" t="s">
        <v>652</v>
      </c>
      <c r="Q102" t="s">
        <v>652</v>
      </c>
      <c r="R102">
        <v>0</v>
      </c>
      <c r="S102">
        <v>0</v>
      </c>
      <c r="T102">
        <v>0</v>
      </c>
      <c r="U102">
        <v>0</v>
      </c>
      <c r="V102">
        <v>0</v>
      </c>
      <c r="W102" s="6">
        <v>0</v>
      </c>
      <c r="X102">
        <v>0</v>
      </c>
      <c r="Y102" s="6">
        <v>-36667.800000000003</v>
      </c>
      <c r="Z102">
        <v>0</v>
      </c>
      <c r="AA102">
        <v>0</v>
      </c>
      <c r="AB102">
        <v>0</v>
      </c>
      <c r="AC102">
        <v>0</v>
      </c>
      <c r="AD102">
        <v>100000000</v>
      </c>
      <c r="AE102" s="6">
        <v>-3666780</v>
      </c>
      <c r="AF102">
        <v>0</v>
      </c>
      <c r="AG102">
        <v>0</v>
      </c>
      <c r="AH102">
        <v>0</v>
      </c>
      <c r="AI102">
        <v>0</v>
      </c>
      <c r="AJ102">
        <v>-3666780</v>
      </c>
      <c r="AK102">
        <v>0</v>
      </c>
      <c r="AL102">
        <v>-3666780</v>
      </c>
      <c r="AM102">
        <v>0</v>
      </c>
      <c r="AN102">
        <v>-3666780</v>
      </c>
      <c r="AO102">
        <v>-3666780</v>
      </c>
      <c r="AP102" t="s">
        <v>1622</v>
      </c>
    </row>
    <row r="103" spans="1:42" x14ac:dyDescent="0.3">
      <c r="A103" t="s">
        <v>171</v>
      </c>
      <c r="B103" t="s">
        <v>51</v>
      </c>
      <c r="C103">
        <v>766</v>
      </c>
      <c r="E103">
        <v>13036</v>
      </c>
      <c r="F103" t="s">
        <v>52</v>
      </c>
      <c r="G103" t="s">
        <v>53</v>
      </c>
      <c r="H103" t="s">
        <v>54</v>
      </c>
      <c r="I103" t="s">
        <v>59</v>
      </c>
      <c r="J103" t="s">
        <v>169</v>
      </c>
      <c r="K103">
        <v>20211129</v>
      </c>
      <c r="L103">
        <v>766</v>
      </c>
      <c r="M103" t="s">
        <v>63</v>
      </c>
      <c r="N103" s="6">
        <v>-36667.800000000003</v>
      </c>
      <c r="O103" t="s">
        <v>652</v>
      </c>
      <c r="P103" t="s">
        <v>652</v>
      </c>
      <c r="Q103" t="s">
        <v>652</v>
      </c>
      <c r="R103">
        <v>0</v>
      </c>
      <c r="S103">
        <v>0</v>
      </c>
      <c r="T103">
        <v>0</v>
      </c>
      <c r="U103">
        <v>0</v>
      </c>
      <c r="V103">
        <v>0</v>
      </c>
      <c r="W103" s="6">
        <v>0</v>
      </c>
      <c r="X103">
        <v>0</v>
      </c>
      <c r="Y103" s="6">
        <v>-36667.800000000003</v>
      </c>
      <c r="Z103">
        <v>0</v>
      </c>
      <c r="AA103">
        <v>0</v>
      </c>
      <c r="AB103">
        <v>0</v>
      </c>
      <c r="AC103">
        <v>0</v>
      </c>
      <c r="AD103">
        <v>100000000</v>
      </c>
      <c r="AE103" s="6">
        <v>-3666780</v>
      </c>
      <c r="AF103">
        <v>0</v>
      </c>
      <c r="AG103">
        <v>0</v>
      </c>
      <c r="AH103">
        <v>0</v>
      </c>
      <c r="AI103">
        <v>0</v>
      </c>
      <c r="AJ103">
        <v>-3666780</v>
      </c>
      <c r="AK103">
        <v>0</v>
      </c>
      <c r="AL103">
        <v>-3666780</v>
      </c>
      <c r="AM103">
        <v>0</v>
      </c>
      <c r="AN103">
        <v>-3666780</v>
      </c>
      <c r="AO103">
        <v>-3666780</v>
      </c>
      <c r="AP103" t="s">
        <v>1622</v>
      </c>
    </row>
    <row r="104" spans="1:42" x14ac:dyDescent="0.3">
      <c r="A104" t="s">
        <v>168</v>
      </c>
      <c r="B104" t="s">
        <v>51</v>
      </c>
      <c r="C104">
        <v>766</v>
      </c>
      <c r="E104">
        <v>20176</v>
      </c>
      <c r="F104" t="s">
        <v>52</v>
      </c>
      <c r="G104" t="s">
        <v>663</v>
      </c>
      <c r="H104" t="s">
        <v>671</v>
      </c>
      <c r="I104" t="s">
        <v>59</v>
      </c>
      <c r="J104" t="s">
        <v>172</v>
      </c>
      <c r="K104">
        <v>20251203</v>
      </c>
      <c r="L104">
        <v>766</v>
      </c>
      <c r="M104" t="s">
        <v>173</v>
      </c>
      <c r="N104" s="6">
        <v>2056008.53</v>
      </c>
      <c r="O104" t="s">
        <v>1513</v>
      </c>
      <c r="P104" t="s">
        <v>652</v>
      </c>
      <c r="Q104" t="s">
        <v>652</v>
      </c>
      <c r="R104">
        <v>0</v>
      </c>
      <c r="S104">
        <v>0</v>
      </c>
      <c r="T104">
        <v>0</v>
      </c>
      <c r="U104">
        <v>0</v>
      </c>
      <c r="V104">
        <v>212187903</v>
      </c>
      <c r="W104" s="6">
        <v>682192</v>
      </c>
      <c r="X104">
        <v>68219200</v>
      </c>
      <c r="Y104" s="6">
        <v>2121879.0299999998</v>
      </c>
      <c r="Z104">
        <v>27306250</v>
      </c>
      <c r="AA104">
        <v>-41000</v>
      </c>
      <c r="AB104">
        <v>0</v>
      </c>
      <c r="AC104">
        <v>0</v>
      </c>
      <c r="AD104">
        <v>100000000</v>
      </c>
      <c r="AE104" s="6">
        <v>232907103</v>
      </c>
      <c r="AF104">
        <v>47500000</v>
      </c>
      <c r="AG104">
        <v>0</v>
      </c>
      <c r="AH104">
        <v>0</v>
      </c>
      <c r="AI104">
        <v>68219200</v>
      </c>
      <c r="AJ104">
        <v>232907103</v>
      </c>
      <c r="AK104">
        <v>0</v>
      </c>
      <c r="AL104">
        <v>205600853</v>
      </c>
      <c r="AM104">
        <v>10155000</v>
      </c>
      <c r="AN104">
        <v>215755853</v>
      </c>
      <c r="AO104">
        <v>215755853</v>
      </c>
      <c r="AP104" t="s">
        <v>1622</v>
      </c>
    </row>
    <row r="105" spans="1:42" x14ac:dyDescent="0.3">
      <c r="A105" t="s">
        <v>168</v>
      </c>
      <c r="B105" t="s">
        <v>51</v>
      </c>
      <c r="C105">
        <v>766</v>
      </c>
      <c r="E105">
        <v>20176</v>
      </c>
      <c r="F105" t="s">
        <v>52</v>
      </c>
      <c r="G105" t="s">
        <v>663</v>
      </c>
      <c r="H105" t="s">
        <v>170</v>
      </c>
      <c r="I105" t="s">
        <v>59</v>
      </c>
      <c r="J105" t="s">
        <v>172</v>
      </c>
      <c r="K105">
        <v>20251203</v>
      </c>
      <c r="L105">
        <v>766</v>
      </c>
      <c r="M105" t="s">
        <v>173</v>
      </c>
      <c r="N105" s="6">
        <v>2056008.53</v>
      </c>
      <c r="O105" t="s">
        <v>1513</v>
      </c>
      <c r="P105" t="s">
        <v>652</v>
      </c>
      <c r="Q105" t="s">
        <v>652</v>
      </c>
      <c r="R105">
        <v>0</v>
      </c>
      <c r="S105">
        <v>0</v>
      </c>
      <c r="T105">
        <v>0</v>
      </c>
      <c r="U105">
        <v>0</v>
      </c>
      <c r="V105">
        <v>212187903</v>
      </c>
      <c r="W105" s="6">
        <v>682192</v>
      </c>
      <c r="X105">
        <v>68219200</v>
      </c>
      <c r="Y105" s="6">
        <v>2121879.0299999998</v>
      </c>
      <c r="Z105">
        <v>27306250</v>
      </c>
      <c r="AA105">
        <v>-41000</v>
      </c>
      <c r="AB105">
        <v>0</v>
      </c>
      <c r="AC105">
        <v>0</v>
      </c>
      <c r="AD105">
        <v>100000000</v>
      </c>
      <c r="AE105" s="6">
        <v>232907103</v>
      </c>
      <c r="AF105">
        <v>47500000</v>
      </c>
      <c r="AG105">
        <v>0</v>
      </c>
      <c r="AH105">
        <v>0</v>
      </c>
      <c r="AI105">
        <v>68219200</v>
      </c>
      <c r="AJ105">
        <v>232907103</v>
      </c>
      <c r="AK105">
        <v>0</v>
      </c>
      <c r="AL105">
        <v>205600853</v>
      </c>
      <c r="AM105">
        <v>10155000</v>
      </c>
      <c r="AN105">
        <v>215755853</v>
      </c>
      <c r="AO105">
        <v>215755853</v>
      </c>
      <c r="AP105" t="s">
        <v>1622</v>
      </c>
    </row>
    <row r="106" spans="1:42" x14ac:dyDescent="0.3">
      <c r="A106" t="s">
        <v>171</v>
      </c>
      <c r="B106" t="s">
        <v>51</v>
      </c>
      <c r="C106">
        <v>766</v>
      </c>
      <c r="E106">
        <v>20176</v>
      </c>
      <c r="F106" t="s">
        <v>52</v>
      </c>
      <c r="G106" t="s">
        <v>663</v>
      </c>
      <c r="H106" t="s">
        <v>54</v>
      </c>
      <c r="I106" t="s">
        <v>59</v>
      </c>
      <c r="J106" t="s">
        <v>172</v>
      </c>
      <c r="K106">
        <v>20251203</v>
      </c>
      <c r="L106">
        <v>766</v>
      </c>
      <c r="M106" t="s">
        <v>173</v>
      </c>
      <c r="N106" s="6">
        <v>2056008.53</v>
      </c>
      <c r="O106" t="s">
        <v>1513</v>
      </c>
      <c r="P106" t="s">
        <v>652</v>
      </c>
      <c r="Q106" t="s">
        <v>652</v>
      </c>
      <c r="R106">
        <v>0</v>
      </c>
      <c r="S106">
        <v>0</v>
      </c>
      <c r="T106">
        <v>0</v>
      </c>
      <c r="U106">
        <v>0</v>
      </c>
      <c r="V106">
        <v>212187903</v>
      </c>
      <c r="W106" s="6">
        <v>682192</v>
      </c>
      <c r="X106">
        <v>68219200</v>
      </c>
      <c r="Y106" s="6">
        <v>2121879.0299999998</v>
      </c>
      <c r="Z106">
        <v>27306250</v>
      </c>
      <c r="AA106">
        <v>-41000</v>
      </c>
      <c r="AB106">
        <v>0</v>
      </c>
      <c r="AC106">
        <v>0</v>
      </c>
      <c r="AD106">
        <v>100000000</v>
      </c>
      <c r="AE106" s="6">
        <v>232907103</v>
      </c>
      <c r="AF106">
        <v>47500000</v>
      </c>
      <c r="AG106">
        <v>0</v>
      </c>
      <c r="AH106">
        <v>0</v>
      </c>
      <c r="AI106">
        <v>68219200</v>
      </c>
      <c r="AJ106">
        <v>232907103</v>
      </c>
      <c r="AK106">
        <v>0</v>
      </c>
      <c r="AL106">
        <v>205600853</v>
      </c>
      <c r="AM106">
        <v>10155000</v>
      </c>
      <c r="AN106">
        <v>215755853</v>
      </c>
      <c r="AO106">
        <v>215755853</v>
      </c>
      <c r="AP106" t="s">
        <v>1622</v>
      </c>
    </row>
    <row r="107" spans="1:42" x14ac:dyDescent="0.3">
      <c r="A107" t="s">
        <v>168</v>
      </c>
      <c r="B107" t="s">
        <v>51</v>
      </c>
      <c r="C107">
        <v>766</v>
      </c>
      <c r="E107">
        <v>1</v>
      </c>
      <c r="F107" t="s">
        <v>51</v>
      </c>
      <c r="G107" t="s">
        <v>52</v>
      </c>
      <c r="H107" t="s">
        <v>671</v>
      </c>
      <c r="I107" t="s">
        <v>59</v>
      </c>
      <c r="J107" t="s">
        <v>169</v>
      </c>
      <c r="K107">
        <v>20251208</v>
      </c>
      <c r="M107" t="s">
        <v>663</v>
      </c>
      <c r="N107" s="6">
        <v>597508.47</v>
      </c>
      <c r="O107" t="s">
        <v>652</v>
      </c>
      <c r="P107" t="s">
        <v>652</v>
      </c>
      <c r="Q107" t="s">
        <v>1625</v>
      </c>
      <c r="R107">
        <v>-105800</v>
      </c>
      <c r="S107">
        <v>0</v>
      </c>
      <c r="T107">
        <v>0</v>
      </c>
      <c r="U107">
        <v>0</v>
      </c>
      <c r="V107">
        <v>35116297</v>
      </c>
      <c r="W107" s="6">
        <v>246345.5</v>
      </c>
      <c r="X107">
        <v>24634550</v>
      </c>
      <c r="Y107" s="6">
        <v>351162.97</v>
      </c>
      <c r="Z107">
        <v>0</v>
      </c>
      <c r="AA107">
        <v>-33500</v>
      </c>
      <c r="AB107">
        <v>0</v>
      </c>
      <c r="AC107">
        <v>0</v>
      </c>
      <c r="AD107">
        <v>100000000</v>
      </c>
      <c r="AE107" s="6">
        <v>51299597</v>
      </c>
      <c r="AF107">
        <v>0</v>
      </c>
      <c r="AG107">
        <v>12560000</v>
      </c>
      <c r="AH107">
        <v>0</v>
      </c>
      <c r="AI107">
        <v>24634550</v>
      </c>
      <c r="AJ107">
        <v>59750847</v>
      </c>
      <c r="AK107">
        <v>0</v>
      </c>
      <c r="AL107">
        <v>59750847</v>
      </c>
      <c r="AM107">
        <v>0</v>
      </c>
      <c r="AN107">
        <v>59750847</v>
      </c>
      <c r="AO107">
        <v>49503972</v>
      </c>
      <c r="AP107" t="s">
        <v>1622</v>
      </c>
    </row>
    <row r="108" spans="1:42" x14ac:dyDescent="0.3">
      <c r="A108" t="s">
        <v>168</v>
      </c>
      <c r="B108" t="s">
        <v>51</v>
      </c>
      <c r="C108">
        <v>766</v>
      </c>
      <c r="E108">
        <v>1</v>
      </c>
      <c r="F108" t="s">
        <v>51</v>
      </c>
      <c r="G108" t="s">
        <v>52</v>
      </c>
      <c r="H108" t="s">
        <v>170</v>
      </c>
      <c r="I108" t="s">
        <v>59</v>
      </c>
      <c r="J108" t="s">
        <v>169</v>
      </c>
      <c r="K108">
        <v>20251208</v>
      </c>
      <c r="M108" t="s">
        <v>663</v>
      </c>
      <c r="N108" s="6">
        <v>597508.47</v>
      </c>
      <c r="O108" t="s">
        <v>652</v>
      </c>
      <c r="P108" t="s">
        <v>652</v>
      </c>
      <c r="Q108" t="s">
        <v>1625</v>
      </c>
      <c r="R108">
        <v>-105800</v>
      </c>
      <c r="S108">
        <v>0</v>
      </c>
      <c r="T108">
        <v>0</v>
      </c>
      <c r="U108">
        <v>0</v>
      </c>
      <c r="V108">
        <v>35116297</v>
      </c>
      <c r="W108" s="6">
        <v>246345.5</v>
      </c>
      <c r="X108">
        <v>24634550</v>
      </c>
      <c r="Y108" s="6">
        <v>351162.97</v>
      </c>
      <c r="Z108">
        <v>0</v>
      </c>
      <c r="AA108">
        <v>-33500</v>
      </c>
      <c r="AB108">
        <v>0</v>
      </c>
      <c r="AC108">
        <v>0</v>
      </c>
      <c r="AD108">
        <v>100000000</v>
      </c>
      <c r="AE108" s="6">
        <v>51299597</v>
      </c>
      <c r="AF108">
        <v>0</v>
      </c>
      <c r="AG108">
        <v>12560000</v>
      </c>
      <c r="AH108">
        <v>0</v>
      </c>
      <c r="AI108">
        <v>24634550</v>
      </c>
      <c r="AJ108">
        <v>59750847</v>
      </c>
      <c r="AK108">
        <v>0</v>
      </c>
      <c r="AL108">
        <v>59750847</v>
      </c>
      <c r="AM108">
        <v>0</v>
      </c>
      <c r="AN108">
        <v>59750847</v>
      </c>
      <c r="AO108">
        <v>49503972</v>
      </c>
      <c r="AP108" t="s">
        <v>1622</v>
      </c>
    </row>
    <row r="109" spans="1:42" x14ac:dyDescent="0.3">
      <c r="A109" t="s">
        <v>51</v>
      </c>
      <c r="B109" t="s">
        <v>51</v>
      </c>
      <c r="C109">
        <v>766</v>
      </c>
      <c r="E109">
        <v>1</v>
      </c>
      <c r="F109" t="s">
        <v>51</v>
      </c>
      <c r="G109" t="s">
        <v>52</v>
      </c>
      <c r="H109" t="s">
        <v>54</v>
      </c>
      <c r="I109" t="s">
        <v>59</v>
      </c>
      <c r="J109" t="s">
        <v>169</v>
      </c>
      <c r="K109">
        <v>20251208</v>
      </c>
      <c r="M109" t="s">
        <v>663</v>
      </c>
      <c r="N109" s="6">
        <v>597508.47</v>
      </c>
      <c r="O109" t="s">
        <v>652</v>
      </c>
      <c r="P109" t="s">
        <v>652</v>
      </c>
      <c r="Q109" t="s">
        <v>1625</v>
      </c>
      <c r="R109">
        <v>-105800</v>
      </c>
      <c r="S109">
        <v>0</v>
      </c>
      <c r="T109">
        <v>0</v>
      </c>
      <c r="U109">
        <v>0</v>
      </c>
      <c r="V109">
        <v>35116297</v>
      </c>
      <c r="W109" s="6">
        <v>246345.5</v>
      </c>
      <c r="X109">
        <v>24634550</v>
      </c>
      <c r="Y109" s="6">
        <v>351162.97</v>
      </c>
      <c r="Z109">
        <v>0</v>
      </c>
      <c r="AA109">
        <v>-33500</v>
      </c>
      <c r="AB109">
        <v>0</v>
      </c>
      <c r="AC109">
        <v>0</v>
      </c>
      <c r="AD109">
        <v>100000000</v>
      </c>
      <c r="AE109" s="6">
        <v>51299597</v>
      </c>
      <c r="AF109">
        <v>0</v>
      </c>
      <c r="AG109">
        <v>12560000</v>
      </c>
      <c r="AH109">
        <v>0</v>
      </c>
      <c r="AI109">
        <v>24634550</v>
      </c>
      <c r="AJ109">
        <v>59750847</v>
      </c>
      <c r="AK109">
        <v>0</v>
      </c>
      <c r="AL109">
        <v>59750847</v>
      </c>
      <c r="AM109">
        <v>0</v>
      </c>
      <c r="AN109">
        <v>59750847</v>
      </c>
      <c r="AO109">
        <v>49503972</v>
      </c>
      <c r="AP109" t="s">
        <v>1622</v>
      </c>
    </row>
    <row r="110" spans="1:42" x14ac:dyDescent="0.3">
      <c r="A110" t="s">
        <v>168</v>
      </c>
      <c r="B110" t="s">
        <v>51</v>
      </c>
      <c r="C110">
        <v>766</v>
      </c>
      <c r="E110">
        <v>1</v>
      </c>
      <c r="F110" t="s">
        <v>51</v>
      </c>
      <c r="G110" t="s">
        <v>52</v>
      </c>
      <c r="H110" t="s">
        <v>671</v>
      </c>
      <c r="I110" t="s">
        <v>59</v>
      </c>
      <c r="J110" t="s">
        <v>172</v>
      </c>
      <c r="K110">
        <v>20251208</v>
      </c>
      <c r="M110" t="s">
        <v>663</v>
      </c>
      <c r="N110" s="6">
        <v>2056008.53</v>
      </c>
      <c r="O110" t="s">
        <v>1513</v>
      </c>
      <c r="P110" t="s">
        <v>652</v>
      </c>
      <c r="Q110" t="s">
        <v>652</v>
      </c>
      <c r="R110">
        <v>0</v>
      </c>
      <c r="S110">
        <v>0</v>
      </c>
      <c r="T110">
        <v>0</v>
      </c>
      <c r="U110">
        <v>0</v>
      </c>
      <c r="V110">
        <v>212187903</v>
      </c>
      <c r="W110" s="6">
        <v>682192</v>
      </c>
      <c r="X110">
        <v>68219200</v>
      </c>
      <c r="Y110" s="6">
        <v>2121879.0299999998</v>
      </c>
      <c r="Z110">
        <v>27306250</v>
      </c>
      <c r="AA110">
        <v>-41000</v>
      </c>
      <c r="AB110">
        <v>0</v>
      </c>
      <c r="AC110">
        <v>0</v>
      </c>
      <c r="AD110">
        <v>100000000</v>
      </c>
      <c r="AE110" s="6">
        <v>232907103</v>
      </c>
      <c r="AF110">
        <v>47500000</v>
      </c>
      <c r="AG110">
        <v>0</v>
      </c>
      <c r="AH110">
        <v>0</v>
      </c>
      <c r="AI110">
        <v>68219200</v>
      </c>
      <c r="AJ110">
        <v>232907103</v>
      </c>
      <c r="AK110">
        <v>0</v>
      </c>
      <c r="AL110">
        <v>205600853</v>
      </c>
      <c r="AM110">
        <v>10155000</v>
      </c>
      <c r="AN110">
        <v>215755853</v>
      </c>
      <c r="AO110">
        <v>215755853</v>
      </c>
      <c r="AP110" t="s">
        <v>1622</v>
      </c>
    </row>
    <row r="111" spans="1:42" x14ac:dyDescent="0.3">
      <c r="A111" t="s">
        <v>168</v>
      </c>
      <c r="B111" t="s">
        <v>51</v>
      </c>
      <c r="C111">
        <v>766</v>
      </c>
      <c r="E111">
        <v>1</v>
      </c>
      <c r="F111" t="s">
        <v>51</v>
      </c>
      <c r="G111" t="s">
        <v>52</v>
      </c>
      <c r="H111" t="s">
        <v>170</v>
      </c>
      <c r="I111" t="s">
        <v>59</v>
      </c>
      <c r="J111" t="s">
        <v>172</v>
      </c>
      <c r="K111">
        <v>20251208</v>
      </c>
      <c r="M111" t="s">
        <v>663</v>
      </c>
      <c r="N111" s="6">
        <v>2056008.53</v>
      </c>
      <c r="O111" t="s">
        <v>1513</v>
      </c>
      <c r="P111" t="s">
        <v>652</v>
      </c>
      <c r="Q111" t="s">
        <v>652</v>
      </c>
      <c r="R111">
        <v>0</v>
      </c>
      <c r="S111">
        <v>0</v>
      </c>
      <c r="T111">
        <v>0</v>
      </c>
      <c r="U111">
        <v>0</v>
      </c>
      <c r="V111">
        <v>212187903</v>
      </c>
      <c r="W111" s="6">
        <v>682192</v>
      </c>
      <c r="X111">
        <v>68219200</v>
      </c>
      <c r="Y111" s="6">
        <v>2121879.0299999998</v>
      </c>
      <c r="Z111">
        <v>27306250</v>
      </c>
      <c r="AA111">
        <v>-41000</v>
      </c>
      <c r="AB111">
        <v>0</v>
      </c>
      <c r="AC111">
        <v>0</v>
      </c>
      <c r="AD111">
        <v>100000000</v>
      </c>
      <c r="AE111" s="6">
        <v>232907103</v>
      </c>
      <c r="AF111">
        <v>47500000</v>
      </c>
      <c r="AG111">
        <v>0</v>
      </c>
      <c r="AH111">
        <v>0</v>
      </c>
      <c r="AI111">
        <v>68219200</v>
      </c>
      <c r="AJ111">
        <v>232907103</v>
      </c>
      <c r="AK111">
        <v>0</v>
      </c>
      <c r="AL111">
        <v>205600853</v>
      </c>
      <c r="AM111">
        <v>10155000</v>
      </c>
      <c r="AN111">
        <v>215755853</v>
      </c>
      <c r="AO111">
        <v>215755853</v>
      </c>
      <c r="AP111" t="s">
        <v>1622</v>
      </c>
    </row>
    <row r="112" spans="1:42" x14ac:dyDescent="0.3">
      <c r="A112" t="s">
        <v>51</v>
      </c>
      <c r="B112" t="s">
        <v>51</v>
      </c>
      <c r="C112">
        <v>766</v>
      </c>
      <c r="E112">
        <v>1</v>
      </c>
      <c r="F112" t="s">
        <v>51</v>
      </c>
      <c r="G112" t="s">
        <v>52</v>
      </c>
      <c r="H112" t="s">
        <v>54</v>
      </c>
      <c r="I112" t="s">
        <v>59</v>
      </c>
      <c r="J112" t="s">
        <v>172</v>
      </c>
      <c r="K112">
        <v>20251208</v>
      </c>
      <c r="M112" t="s">
        <v>663</v>
      </c>
      <c r="N112" s="6">
        <v>2056008.53</v>
      </c>
      <c r="O112" t="s">
        <v>1513</v>
      </c>
      <c r="P112" t="s">
        <v>652</v>
      </c>
      <c r="Q112" t="s">
        <v>652</v>
      </c>
      <c r="R112">
        <v>0</v>
      </c>
      <c r="S112">
        <v>0</v>
      </c>
      <c r="T112">
        <v>0</v>
      </c>
      <c r="U112">
        <v>0</v>
      </c>
      <c r="V112">
        <v>212187903</v>
      </c>
      <c r="W112" s="6">
        <v>682192</v>
      </c>
      <c r="X112">
        <v>68219200</v>
      </c>
      <c r="Y112" s="6">
        <v>2121879.0299999998</v>
      </c>
      <c r="Z112">
        <v>27306250</v>
      </c>
      <c r="AA112">
        <v>-41000</v>
      </c>
      <c r="AB112">
        <v>0</v>
      </c>
      <c r="AC112">
        <v>0</v>
      </c>
      <c r="AD112">
        <v>100000000</v>
      </c>
      <c r="AE112" s="6">
        <v>232907103</v>
      </c>
      <c r="AF112">
        <v>47500000</v>
      </c>
      <c r="AG112">
        <v>0</v>
      </c>
      <c r="AH112">
        <v>0</v>
      </c>
      <c r="AI112">
        <v>68219200</v>
      </c>
      <c r="AJ112">
        <v>232907103</v>
      </c>
      <c r="AK112">
        <v>0</v>
      </c>
      <c r="AL112">
        <v>205600853</v>
      </c>
      <c r="AM112">
        <v>10155000</v>
      </c>
      <c r="AN112">
        <v>215755853</v>
      </c>
      <c r="AO112">
        <v>215755853</v>
      </c>
      <c r="AP112" t="s">
        <v>1622</v>
      </c>
    </row>
    <row r="114" spans="24:24" x14ac:dyDescent="0.3">
      <c r="X114" s="89">
        <f>X25/100</f>
        <v>100011.75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scriptIds xmlns="http://schemas.microsoft.com/office/extensibility/maker/v1.0" id="script-ids-node-id">
  <scriptId id="ms-officescript%3A%2F%2Fonedrive_business_itemlink%2F01ZZONVDY2S5GW7L7ER5HYH2GTE576ARI4:ms-officescript%3A%2F%2Fonedrive_business_sharinglink%2Fu!aHR0cHM6Ly9meW8tbXkuc2hhcmVwb2ludC5jb20vOnU6L3AvZnphbmN6dWsvRVJxWFRXLXY1STlQZy1qVEozX2dSUndCNWF0dElNMWNMY3NsT0VhWDZDTzV1QQ"/>
</scriptIds>
</file>

<file path=customXml/item2.xml>��
</file>

<file path=customXml/itemProps1.xml><?xml version="1.0" encoding="utf-8"?>
<ds:datastoreItem xmlns:ds="http://schemas.openxmlformats.org/officeDocument/2006/customXml" ds:itemID="{CFD9FB71-F672-488C-A8DD-3C098821B0A2}">
  <ds:schemaRefs>
    <ds:schemaRef ds:uri="http://schemas.microsoft.com/office/extensibility/maker/v1.0"/>
  </ds:schemaRefs>
</ds:datastoreItem>
</file>

<file path=customXml/itemProps2.xml><?xml version="1.0" encoding="utf-8"?>
<ds:datastoreItem xmlns:ds="http://schemas.openxmlformats.org/officeDocument/2006/customXml" ds:itemID="{156DCFED-4E22-45BF-8C5F-DDDA5A02A8E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15</vt:i4>
      </vt:variant>
    </vt:vector>
  </HeadingPairs>
  <TitlesOfParts>
    <vt:vector size="15" baseType="lpstr">
      <vt:lpstr>Monitor global</vt:lpstr>
      <vt:lpstr>Cartera clientes</vt:lpstr>
      <vt:lpstr>Stress test RJO</vt:lpstr>
      <vt:lpstr>Tabla</vt:lpstr>
      <vt:lpstr>CC NUEVA</vt:lpstr>
      <vt:lpstr>CC vb</vt:lpstr>
      <vt:lpstr>Clientes CBOT</vt:lpstr>
      <vt:lpstr>Conversor</vt:lpstr>
      <vt:lpstr>Listado clientes</vt:lpstr>
      <vt:lpstr>Saldo CC</vt:lpstr>
      <vt:lpstr>Colocaciones base</vt:lpstr>
      <vt:lpstr>Fact_SaldosMonetarios_FyoCapita</vt:lpstr>
      <vt:lpstr>Fact_AUM_FyoCapital</vt:lpstr>
      <vt:lpstr>clientes SQL</vt:lpstr>
      <vt:lpstr>Statement 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Francisco Zanczuk</cp:lastModifiedBy>
  <dcterms:created xsi:type="dcterms:W3CDTF">2024-12-04T17:56:17Z</dcterms:created>
  <dcterms:modified xsi:type="dcterms:W3CDTF">2025-12-09T18:36:23Z</dcterms:modified>
</cp:coreProperties>
</file>